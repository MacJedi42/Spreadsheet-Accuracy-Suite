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62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5" windowWidth="13275" windowHeight="4365" firstSheet="65" activeTab="68"/>
  </bookViews>
  <sheets>
    <sheet name="Contents" sheetId="76" r:id="rId1"/>
    <sheet name="Input" sheetId="7" r:id="rId2"/>
    <sheet name="Capital Costs" sheetId="1" r:id="rId3"/>
    <sheet name="Replacement Costs - Entry" sheetId="2" r:id="rId4"/>
    <sheet name="Replace Costs - Results 1-5" sheetId="4" r:id="rId5"/>
    <sheet name="Replace Costs-Results 6-10" sheetId="8" r:id="rId6"/>
    <sheet name="Replace Costs-Results 11-15" sheetId="9" r:id="rId7"/>
    <sheet name="Replace Costs-Results 16-20" sheetId="10" r:id="rId8"/>
    <sheet name="Yearly O&amp;M Costs 1-10" sheetId="3" r:id="rId9"/>
    <sheet name="Yearly O&amp;M Costs 11-20" sheetId="47" r:id="rId10"/>
    <sheet name="Inter O&amp;M Entry" sheetId="48" r:id="rId11"/>
    <sheet name="Inter O&amp;M 1-10" sheetId="49" r:id="rId12"/>
    <sheet name="Inter O&amp;M 11-20" sheetId="50" r:id="rId13"/>
    <sheet name="2Capital Costs" sheetId="11" r:id="rId14"/>
    <sheet name="2Replacement Costs - Entry" sheetId="16" r:id="rId15"/>
    <sheet name="2Replace Costs - Results 1-5" sheetId="21" r:id="rId16"/>
    <sheet name="2Replace Costs-Results 6-10" sheetId="26" r:id="rId17"/>
    <sheet name="2Replace Costs-Results 11-15" sheetId="31" r:id="rId18"/>
    <sheet name="2Replace Costs-Results 16-20" sheetId="36" r:id="rId19"/>
    <sheet name="2Yearly O&amp;M Costs 1-10" sheetId="51" r:id="rId20"/>
    <sheet name="2Yearly O&amp;M Costs 11-20" sheetId="52" r:id="rId21"/>
    <sheet name="2Inter O&amp;M Entry" sheetId="53" r:id="rId22"/>
    <sheet name="2Inter O&amp;M 1-10" sheetId="54" r:id="rId23"/>
    <sheet name="2Inter O&amp;M 11-20" sheetId="55" r:id="rId24"/>
    <sheet name="3Capital Costs" sheetId="12" r:id="rId25"/>
    <sheet name="3Replacement Costs - Entry" sheetId="17" r:id="rId26"/>
    <sheet name="3Replace Costs - Results 1-5" sheetId="22" r:id="rId27"/>
    <sheet name="3Replace Costs-Results 6-10" sheetId="27" r:id="rId28"/>
    <sheet name="3Replace Costs-Results 11-15" sheetId="32" r:id="rId29"/>
    <sheet name="3Replace Costs-Results 16-20" sheetId="37" r:id="rId30"/>
    <sheet name="3Yearly O&amp;M Costs 1-10" sheetId="56" r:id="rId31"/>
    <sheet name="3Yearly O&amp;M Costs 11-20" sheetId="57" r:id="rId32"/>
    <sheet name="3Inter O&amp;M Entry" sheetId="58" r:id="rId33"/>
    <sheet name="3Inter O&amp;M 1-10" sheetId="59" r:id="rId34"/>
    <sheet name="3Inter O&amp;M 11-20" sheetId="60" r:id="rId35"/>
    <sheet name="4Capital Costs" sheetId="13" r:id="rId36"/>
    <sheet name="4Replacement Costs - Entry" sheetId="18" r:id="rId37"/>
    <sheet name="4Replace Costs - Results 1-5" sheetId="23" r:id="rId38"/>
    <sheet name="4Replace Costs-Results 6-10" sheetId="28" r:id="rId39"/>
    <sheet name="4Replace Costs-Results 11-15" sheetId="33" r:id="rId40"/>
    <sheet name="4Replace Costs-Results 16-20" sheetId="38" r:id="rId41"/>
    <sheet name="4Yearly O&amp;M Costs 1-10" sheetId="61" r:id="rId42"/>
    <sheet name="4Yearly O&amp;M Costs 11-20" sheetId="62" r:id="rId43"/>
    <sheet name="4Inter O&amp;M Entry" sheetId="63" r:id="rId44"/>
    <sheet name="4Inter O&amp;M 1-10" sheetId="64" r:id="rId45"/>
    <sheet name="4Inter O&amp;M 11-20" sheetId="65" r:id="rId46"/>
    <sheet name="5Capital Costs" sheetId="14" r:id="rId47"/>
    <sheet name="5Replacement Costs - Entry" sheetId="19" r:id="rId48"/>
    <sheet name="5Replace Costs - Results 1-5" sheetId="24" r:id="rId49"/>
    <sheet name="5Replace Costs-Results 6-10" sheetId="29" r:id="rId50"/>
    <sheet name="5Replace Costs-Results 11-15" sheetId="34" r:id="rId51"/>
    <sheet name="5Replace Costs-Results 16-20" sheetId="39" r:id="rId52"/>
    <sheet name="5Yearly O&amp;M Costs 1-10" sheetId="66" r:id="rId53"/>
    <sheet name="5Yearly O&amp;M Costs 11-20" sheetId="67" r:id="rId54"/>
    <sheet name="5Inter O&amp;M Entry" sheetId="68" r:id="rId55"/>
    <sheet name="5Inter O&amp;M 1-10" sheetId="69" r:id="rId56"/>
    <sheet name="5Inter O&amp;M 11-20" sheetId="70" r:id="rId57"/>
    <sheet name="6Capital Costs" sheetId="15" r:id="rId58"/>
    <sheet name="6Replacement Costs - Entry" sheetId="20" r:id="rId59"/>
    <sheet name="6Replace Costs - Results 1-5" sheetId="25" r:id="rId60"/>
    <sheet name="6Replace Costs-Results 6-10" sheetId="30" r:id="rId61"/>
    <sheet name="6Replace Costs-Results 11-15" sheetId="35" r:id="rId62"/>
    <sheet name="6Replace Costs-Results 16-20" sheetId="40" r:id="rId63"/>
    <sheet name="6Yearly O&amp;M Costs 1-10" sheetId="71" r:id="rId64"/>
    <sheet name="6Yearly O&amp;M Costs 11-20" sheetId="72" r:id="rId65"/>
    <sheet name="6Inter O&amp;M Entry" sheetId="73" r:id="rId66"/>
    <sheet name="6Inter O&amp;M 1-10" sheetId="74" r:id="rId67"/>
    <sheet name="6Inter O&amp;M 11-20" sheetId="75" r:id="rId68"/>
    <sheet name="Total Present Worth" sheetId="6" r:id="rId69"/>
    <sheet name="CCI-MCI" sheetId="46" state="hidden" r:id="rId70"/>
  </sheets>
  <definedNames>
    <definedName name="_xlnm.Print_Area" localSheetId="4">'Replace Costs - Results 1-5'!$A$1:$I$37</definedName>
    <definedName name="_xlnm.Print_Area" localSheetId="5">'Replace Costs-Results 6-10'!$A$1:$I$37</definedName>
    <definedName name="_xlnm.Print_Titles" localSheetId="13">'2Capital Costs'!$2:$8</definedName>
    <definedName name="_xlnm.Print_Titles" localSheetId="21">'2Inter O&amp;M Entry'!$A:$D,'2Inter O&amp;M Entry'!$1:$8</definedName>
    <definedName name="_xlnm.Print_Titles" localSheetId="15">'2Replace Costs - Results 1-5'!$A:$D,'2Replace Costs - Results 1-5'!$1:$7</definedName>
    <definedName name="_xlnm.Print_Titles" localSheetId="17">'2Replace Costs-Results 11-15'!$A:$D,'2Replace Costs-Results 11-15'!$1:$7</definedName>
    <definedName name="_xlnm.Print_Titles" localSheetId="18">'2Replace Costs-Results 16-20'!$A:$D,'2Replace Costs-Results 16-20'!$1:$7</definedName>
    <definedName name="_xlnm.Print_Titles" localSheetId="16">'2Replace Costs-Results 6-10'!$A:$D,'2Replace Costs-Results 6-10'!$1:$7</definedName>
    <definedName name="_xlnm.Print_Titles" localSheetId="14">'2Replacement Costs - Entry'!$A:$D,'2Replacement Costs - Entry'!$1:$8</definedName>
    <definedName name="_xlnm.Print_Titles" localSheetId="19">'2Yearly O&amp;M Costs 1-10'!$A:$E,'2Yearly O&amp;M Costs 1-10'!$2:$8</definedName>
    <definedName name="_xlnm.Print_Titles" localSheetId="20">'2Yearly O&amp;M Costs 11-20'!$A:$E,'2Yearly O&amp;M Costs 11-20'!$2:$7</definedName>
    <definedName name="_xlnm.Print_Titles" localSheetId="24">'3Capital Costs'!$2:$8</definedName>
    <definedName name="_xlnm.Print_Titles" localSheetId="32">'3Inter O&amp;M Entry'!$A:$D,'3Inter O&amp;M Entry'!$1:$8</definedName>
    <definedName name="_xlnm.Print_Titles" localSheetId="26">'3Replace Costs - Results 1-5'!$A:$D,'3Replace Costs - Results 1-5'!$1:$7</definedName>
    <definedName name="_xlnm.Print_Titles" localSheetId="28">'3Replace Costs-Results 11-15'!$A:$D,'3Replace Costs-Results 11-15'!$1:$7</definedName>
    <definedName name="_xlnm.Print_Titles" localSheetId="29">'3Replace Costs-Results 16-20'!$A:$D,'3Replace Costs-Results 16-20'!$1:$7</definedName>
    <definedName name="_xlnm.Print_Titles" localSheetId="27">'3Replace Costs-Results 6-10'!$A:$D,'3Replace Costs-Results 6-10'!$1:$7</definedName>
    <definedName name="_xlnm.Print_Titles" localSheetId="25">'3Replacement Costs - Entry'!$A:$D,'3Replacement Costs - Entry'!$1:$8</definedName>
    <definedName name="_xlnm.Print_Titles" localSheetId="30">'3Yearly O&amp;M Costs 1-10'!$A:$E,'3Yearly O&amp;M Costs 1-10'!$2:$8</definedName>
    <definedName name="_xlnm.Print_Titles" localSheetId="31">'3Yearly O&amp;M Costs 11-20'!$A:$E,'3Yearly O&amp;M Costs 11-20'!$2:$7</definedName>
    <definedName name="_xlnm.Print_Titles" localSheetId="35">'4Capital Costs'!$2:$8</definedName>
    <definedName name="_xlnm.Print_Titles" localSheetId="43">'4Inter O&amp;M Entry'!$A:$D,'4Inter O&amp;M Entry'!$1:$8</definedName>
    <definedName name="_xlnm.Print_Titles" localSheetId="37">'4Replace Costs - Results 1-5'!$A:$D,'4Replace Costs - Results 1-5'!$1:$7</definedName>
    <definedName name="_xlnm.Print_Titles" localSheetId="39">'4Replace Costs-Results 11-15'!$A:$D,'4Replace Costs-Results 11-15'!$1:$7</definedName>
    <definedName name="_xlnm.Print_Titles" localSheetId="40">'4Replace Costs-Results 16-20'!$A:$D,'4Replace Costs-Results 16-20'!$1:$7</definedName>
    <definedName name="_xlnm.Print_Titles" localSheetId="38">'4Replace Costs-Results 6-10'!$A:$D,'4Replace Costs-Results 6-10'!$1:$7</definedName>
    <definedName name="_xlnm.Print_Titles" localSheetId="36">'4Replacement Costs - Entry'!$A:$D,'4Replacement Costs - Entry'!$1:$8</definedName>
    <definedName name="_xlnm.Print_Titles" localSheetId="41">'4Yearly O&amp;M Costs 1-10'!$A:$E,'4Yearly O&amp;M Costs 1-10'!$2:$8</definedName>
    <definedName name="_xlnm.Print_Titles" localSheetId="42">'4Yearly O&amp;M Costs 11-20'!$A:$E,'4Yearly O&amp;M Costs 11-20'!$2:$7</definedName>
    <definedName name="_xlnm.Print_Titles" localSheetId="46">'5Capital Costs'!$2:$8</definedName>
    <definedName name="_xlnm.Print_Titles" localSheetId="54">'5Inter O&amp;M Entry'!$A:$D,'5Inter O&amp;M Entry'!$1:$8</definedName>
    <definedName name="_xlnm.Print_Titles" localSheetId="48">'5Replace Costs - Results 1-5'!$A:$D,'5Replace Costs - Results 1-5'!$1:$7</definedName>
    <definedName name="_xlnm.Print_Titles" localSheetId="50">'5Replace Costs-Results 11-15'!$A:$D,'5Replace Costs-Results 11-15'!$1:$7</definedName>
    <definedName name="_xlnm.Print_Titles" localSheetId="51">'5Replace Costs-Results 16-20'!$A:$D,'5Replace Costs-Results 16-20'!$1:$7</definedName>
    <definedName name="_xlnm.Print_Titles" localSheetId="49">'5Replace Costs-Results 6-10'!$A:$D,'5Replace Costs-Results 6-10'!$1:$7</definedName>
    <definedName name="_xlnm.Print_Titles" localSheetId="47">'5Replacement Costs - Entry'!$A:$D,'5Replacement Costs - Entry'!$1:$8</definedName>
    <definedName name="_xlnm.Print_Titles" localSheetId="52">'5Yearly O&amp;M Costs 1-10'!$A:$E,'5Yearly O&amp;M Costs 1-10'!$2:$8</definedName>
    <definedName name="_xlnm.Print_Titles" localSheetId="53">'5Yearly O&amp;M Costs 11-20'!$A:$E,'5Yearly O&amp;M Costs 11-20'!$2:$7</definedName>
    <definedName name="_xlnm.Print_Titles" localSheetId="57">'6Capital Costs'!$2:$8</definedName>
    <definedName name="_xlnm.Print_Titles" localSheetId="65">'6Inter O&amp;M Entry'!$A:$D,'6Inter O&amp;M Entry'!$1:$8</definedName>
    <definedName name="_xlnm.Print_Titles" localSheetId="59">'6Replace Costs - Results 1-5'!$A:$D,'6Replace Costs - Results 1-5'!$1:$7</definedName>
    <definedName name="_xlnm.Print_Titles" localSheetId="61">'6Replace Costs-Results 11-15'!$A:$D,'6Replace Costs-Results 11-15'!$1:$7</definedName>
    <definedName name="_xlnm.Print_Titles" localSheetId="62">'6Replace Costs-Results 16-20'!$A:$D,'6Replace Costs-Results 16-20'!$1:$7</definedName>
    <definedName name="_xlnm.Print_Titles" localSheetId="60">'6Replace Costs-Results 6-10'!$A:$D,'6Replace Costs-Results 6-10'!$1:$7</definedName>
    <definedName name="_xlnm.Print_Titles" localSheetId="58">'6Replacement Costs - Entry'!$A:$D,'6Replacement Costs - Entry'!$1:$8</definedName>
    <definedName name="_xlnm.Print_Titles" localSheetId="63">'6Yearly O&amp;M Costs 1-10'!$A:$E,'6Yearly O&amp;M Costs 1-10'!$2:$8</definedName>
    <definedName name="_xlnm.Print_Titles" localSheetId="64">'6Yearly O&amp;M Costs 11-20'!$A:$E,'6Yearly O&amp;M Costs 11-20'!$2:$7</definedName>
    <definedName name="_xlnm.Print_Titles" localSheetId="2">'Capital Costs'!$2:$8</definedName>
    <definedName name="_xlnm.Print_Titles" localSheetId="10">'Inter O&amp;M Entry'!$A:$D,'Inter O&amp;M Entry'!$1:$8</definedName>
    <definedName name="_xlnm.Print_Titles" localSheetId="4">'Replace Costs - Results 1-5'!$A:$D,'Replace Costs - Results 1-5'!$1:$7</definedName>
    <definedName name="_xlnm.Print_Titles" localSheetId="6">'Replace Costs-Results 11-15'!$A:$D,'Replace Costs-Results 11-15'!$1:$7</definedName>
    <definedName name="_xlnm.Print_Titles" localSheetId="7">'Replace Costs-Results 16-20'!$A:$D,'Replace Costs-Results 16-20'!$1:$7</definedName>
    <definedName name="_xlnm.Print_Titles" localSheetId="5">'Replace Costs-Results 6-10'!$A:$D,'Replace Costs-Results 6-10'!$1:$7</definedName>
    <definedName name="_xlnm.Print_Titles" localSheetId="3">'Replacement Costs - Entry'!$A:$D,'Replacement Costs - Entry'!$1:$8</definedName>
    <definedName name="_xlnm.Print_Titles" localSheetId="8">'Yearly O&amp;M Costs 1-10'!$A:$E,'Yearly O&amp;M Costs 1-10'!$2:$8</definedName>
    <definedName name="_xlnm.Print_Titles" localSheetId="9">'Yearly O&amp;M Costs 11-20'!$A:$E,'Yearly O&amp;M Costs 11-20'!$2:$7</definedName>
  </definedNames>
  <calcPr calcId="125725"/>
</workbook>
</file>

<file path=xl/calcChain.xml><?xml version="1.0" encoding="utf-8"?>
<calcChain xmlns="http://schemas.openxmlformats.org/spreadsheetml/2006/main">
  <c r="A5" i="52"/>
  <c r="A5" i="54" s="1"/>
  <c r="A5" i="55" s="1"/>
  <c r="A5" i="50"/>
  <c r="A5" i="49"/>
  <c r="A5" i="47"/>
  <c r="A6" i="51"/>
  <c r="A6" i="56" s="1"/>
  <c r="B6" i="3"/>
  <c r="B5" i="52" s="1"/>
  <c r="A9" i="75"/>
  <c r="E9" s="1"/>
  <c r="B9"/>
  <c r="C9"/>
  <c r="G9" s="1"/>
  <c r="K9" s="1"/>
  <c r="D9"/>
  <c r="H9" s="1"/>
  <c r="L9" s="1"/>
  <c r="A10"/>
  <c r="E10" s="1"/>
  <c r="B10"/>
  <c r="F10" s="1"/>
  <c r="J10" s="1"/>
  <c r="C10"/>
  <c r="G10" s="1"/>
  <c r="K10" s="1"/>
  <c r="D10"/>
  <c r="A11"/>
  <c r="E11" s="1"/>
  <c r="I11" s="1"/>
  <c r="M11" s="1"/>
  <c r="B11"/>
  <c r="F11" s="1"/>
  <c r="J11" s="1"/>
  <c r="N11" s="1"/>
  <c r="C11"/>
  <c r="G11"/>
  <c r="K11" s="1"/>
  <c r="D11"/>
  <c r="H11" s="1"/>
  <c r="L11" s="1"/>
  <c r="A12"/>
  <c r="E12" s="1"/>
  <c r="I12" s="1"/>
  <c r="M12" s="1"/>
  <c r="B12"/>
  <c r="F12" s="1"/>
  <c r="J12" s="1"/>
  <c r="N12" s="1"/>
  <c r="C12"/>
  <c r="G12" s="1"/>
  <c r="K12" s="1"/>
  <c r="D12"/>
  <c r="H12" s="1"/>
  <c r="L12" s="1"/>
  <c r="A13"/>
  <c r="E13" s="1"/>
  <c r="B13"/>
  <c r="F13" s="1"/>
  <c r="J13" s="1"/>
  <c r="N13" s="1"/>
  <c r="C13"/>
  <c r="G13" s="1"/>
  <c r="K13" s="1"/>
  <c r="D13"/>
  <c r="H13" s="1"/>
  <c r="L13" s="1"/>
  <c r="A14"/>
  <c r="E14" s="1"/>
  <c r="I14" s="1"/>
  <c r="M14" s="1"/>
  <c r="B14"/>
  <c r="F14" s="1"/>
  <c r="J14" s="1"/>
  <c r="N14" s="1"/>
  <c r="C14"/>
  <c r="G14" s="1"/>
  <c r="K14" s="1"/>
  <c r="D14"/>
  <c r="H14" s="1"/>
  <c r="L14" s="1"/>
  <c r="A15"/>
  <c r="E15"/>
  <c r="I15" s="1"/>
  <c r="M15" s="1"/>
  <c r="B15"/>
  <c r="F15"/>
  <c r="J15" s="1"/>
  <c r="N15" s="1"/>
  <c r="C15"/>
  <c r="G15"/>
  <c r="K15" s="1"/>
  <c r="D15"/>
  <c r="H15" s="1"/>
  <c r="L15" s="1"/>
  <c r="A16"/>
  <c r="E16" s="1"/>
  <c r="I16" s="1"/>
  <c r="M16" s="1"/>
  <c r="B16"/>
  <c r="F16" s="1"/>
  <c r="J16" s="1"/>
  <c r="N16" s="1"/>
  <c r="C16"/>
  <c r="G16" s="1"/>
  <c r="K16" s="1"/>
  <c r="D16"/>
  <c r="H16" s="1"/>
  <c r="L16" s="1"/>
  <c r="A17"/>
  <c r="E17" s="1"/>
  <c r="I17" s="1"/>
  <c r="M17" s="1"/>
  <c r="B17"/>
  <c r="F17" s="1"/>
  <c r="J17" s="1"/>
  <c r="N17" s="1"/>
  <c r="C17"/>
  <c r="G17" s="1"/>
  <c r="K17" s="1"/>
  <c r="D17"/>
  <c r="H17" s="1"/>
  <c r="L17" s="1"/>
  <c r="A18"/>
  <c r="E18" s="1"/>
  <c r="I18" s="1"/>
  <c r="M18" s="1"/>
  <c r="B18"/>
  <c r="F18" s="1"/>
  <c r="J18" s="1"/>
  <c r="N18" s="1"/>
  <c r="C18"/>
  <c r="G18" s="1"/>
  <c r="K18" s="1"/>
  <c r="D18"/>
  <c r="H18" s="1"/>
  <c r="L18" s="1"/>
  <c r="A19"/>
  <c r="E19"/>
  <c r="I19" s="1"/>
  <c r="M19" s="1"/>
  <c r="B19"/>
  <c r="F19"/>
  <c r="J19" s="1"/>
  <c r="N19" s="1"/>
  <c r="C19"/>
  <c r="G19"/>
  <c r="K19" s="1"/>
  <c r="D19"/>
  <c r="H19" s="1"/>
  <c r="L19" s="1"/>
  <c r="D8"/>
  <c r="H8" s="1"/>
  <c r="L8" s="1"/>
  <c r="C8"/>
  <c r="G8" s="1"/>
  <c r="K8" s="1"/>
  <c r="B8"/>
  <c r="F8" s="1"/>
  <c r="A8"/>
  <c r="A4"/>
  <c r="A3"/>
  <c r="A2"/>
  <c r="A9" i="74"/>
  <c r="F9" s="1"/>
  <c r="B9"/>
  <c r="C9"/>
  <c r="D9"/>
  <c r="A10"/>
  <c r="F10" s="1"/>
  <c r="B10"/>
  <c r="C10"/>
  <c r="D10"/>
  <c r="A11"/>
  <c r="F11" s="1"/>
  <c r="B11"/>
  <c r="C11"/>
  <c r="D11"/>
  <c r="A12"/>
  <c r="E12" s="1"/>
  <c r="B12"/>
  <c r="C12"/>
  <c r="D12"/>
  <c r="A13"/>
  <c r="E13" s="1"/>
  <c r="B13"/>
  <c r="C13"/>
  <c r="D13"/>
  <c r="A14"/>
  <c r="E14"/>
  <c r="B14"/>
  <c r="C14"/>
  <c r="D14"/>
  <c r="A15"/>
  <c r="E15" s="1"/>
  <c r="B15"/>
  <c r="C15"/>
  <c r="D15"/>
  <c r="A16"/>
  <c r="E16" s="1"/>
  <c r="B16"/>
  <c r="C16"/>
  <c r="D16"/>
  <c r="A17"/>
  <c r="E17" s="1"/>
  <c r="B17"/>
  <c r="C17"/>
  <c r="D17"/>
  <c r="A18"/>
  <c r="E18" s="1"/>
  <c r="B18"/>
  <c r="C18"/>
  <c r="D18"/>
  <c r="A19"/>
  <c r="E19" s="1"/>
  <c r="B19"/>
  <c r="C19"/>
  <c r="D19"/>
  <c r="D8"/>
  <c r="C8"/>
  <c r="B8"/>
  <c r="A8"/>
  <c r="F8" s="1"/>
  <c r="A4"/>
  <c r="A3"/>
  <c r="A2"/>
  <c r="B3" i="73"/>
  <c r="H20"/>
  <c r="G20"/>
  <c r="F20"/>
  <c r="E20"/>
  <c r="H19"/>
  <c r="G19"/>
  <c r="F19"/>
  <c r="E19"/>
  <c r="H18"/>
  <c r="G18"/>
  <c r="F18"/>
  <c r="E18"/>
  <c r="H17"/>
  <c r="G17"/>
  <c r="F17"/>
  <c r="E17"/>
  <c r="H16"/>
  <c r="G16"/>
  <c r="F16"/>
  <c r="E16"/>
  <c r="H15"/>
  <c r="G15"/>
  <c r="F15"/>
  <c r="E15"/>
  <c r="H14"/>
  <c r="G14"/>
  <c r="F14"/>
  <c r="E14"/>
  <c r="H13"/>
  <c r="G13"/>
  <c r="F13"/>
  <c r="E13"/>
  <c r="A9" i="72"/>
  <c r="B9"/>
  <c r="C9"/>
  <c r="D9"/>
  <c r="A10"/>
  <c r="B10"/>
  <c r="C10"/>
  <c r="D10"/>
  <c r="A11"/>
  <c r="B11"/>
  <c r="C11"/>
  <c r="D11"/>
  <c r="A12"/>
  <c r="B12"/>
  <c r="C12"/>
  <c r="D12"/>
  <c r="A13"/>
  <c r="B13"/>
  <c r="C13"/>
  <c r="A14"/>
  <c r="B14"/>
  <c r="C14"/>
  <c r="D14"/>
  <c r="A15"/>
  <c r="N15" s="1"/>
  <c r="B15"/>
  <c r="C15"/>
  <c r="D15"/>
  <c r="A16"/>
  <c r="B16"/>
  <c r="C16"/>
  <c r="D16"/>
  <c r="A17"/>
  <c r="N17" s="1"/>
  <c r="B17"/>
  <c r="C17"/>
  <c r="D17"/>
  <c r="A18"/>
  <c r="B18"/>
  <c r="C18"/>
  <c r="D18"/>
  <c r="A19"/>
  <c r="N19" s="1"/>
  <c r="B19"/>
  <c r="C19"/>
  <c r="D19"/>
  <c r="A20"/>
  <c r="N20" s="1"/>
  <c r="B20"/>
  <c r="C20"/>
  <c r="D20"/>
  <c r="A21"/>
  <c r="N21" s="1"/>
  <c r="B21"/>
  <c r="C21"/>
  <c r="D21"/>
  <c r="A22"/>
  <c r="N22" s="1"/>
  <c r="B22"/>
  <c r="C22"/>
  <c r="D22"/>
  <c r="A23"/>
  <c r="N23" s="1"/>
  <c r="B23"/>
  <c r="C23"/>
  <c r="D23"/>
  <c r="A24"/>
  <c r="B24"/>
  <c r="C24"/>
  <c r="D24"/>
  <c r="A25"/>
  <c r="N25" s="1"/>
  <c r="B25"/>
  <c r="C25"/>
  <c r="D25"/>
  <c r="A26"/>
  <c r="B26"/>
  <c r="C26"/>
  <c r="D26"/>
  <c r="A27"/>
  <c r="N27"/>
  <c r="B27"/>
  <c r="C27"/>
  <c r="D27"/>
  <c r="A28"/>
  <c r="N28" s="1"/>
  <c r="B28"/>
  <c r="C28"/>
  <c r="D28"/>
  <c r="A29"/>
  <c r="N29" s="1"/>
  <c r="B29"/>
  <c r="C29"/>
  <c r="D29"/>
  <c r="A30"/>
  <c r="B30"/>
  <c r="C30"/>
  <c r="D30"/>
  <c r="D8"/>
  <c r="C8"/>
  <c r="B8"/>
  <c r="A8"/>
  <c r="N30"/>
  <c r="N26"/>
  <c r="N24"/>
  <c r="N18"/>
  <c r="N16"/>
  <c r="A4"/>
  <c r="A4" i="71"/>
  <c r="N31"/>
  <c r="M31"/>
  <c r="L31"/>
  <c r="K31"/>
  <c r="J31"/>
  <c r="I31"/>
  <c r="H31"/>
  <c r="G31"/>
  <c r="F31"/>
  <c r="E31"/>
  <c r="N30"/>
  <c r="M30"/>
  <c r="L30"/>
  <c r="K30"/>
  <c r="J30"/>
  <c r="I30"/>
  <c r="H30"/>
  <c r="G30"/>
  <c r="F30"/>
  <c r="E30"/>
  <c r="N29"/>
  <c r="M29"/>
  <c r="L29"/>
  <c r="K29"/>
  <c r="J29"/>
  <c r="I29"/>
  <c r="H29"/>
  <c r="G29"/>
  <c r="F29"/>
  <c r="E29"/>
  <c r="N28"/>
  <c r="M28"/>
  <c r="L28"/>
  <c r="K28"/>
  <c r="J28"/>
  <c r="I28"/>
  <c r="H28"/>
  <c r="G28"/>
  <c r="F28"/>
  <c r="E28"/>
  <c r="N27"/>
  <c r="M27"/>
  <c r="L27"/>
  <c r="K27"/>
  <c r="J27"/>
  <c r="I27"/>
  <c r="H27"/>
  <c r="G27"/>
  <c r="F27"/>
  <c r="E27"/>
  <c r="N26"/>
  <c r="M26"/>
  <c r="L26"/>
  <c r="K26"/>
  <c r="J26"/>
  <c r="I26"/>
  <c r="H26"/>
  <c r="G26"/>
  <c r="F26"/>
  <c r="E26"/>
  <c r="N25"/>
  <c r="M25"/>
  <c r="L25"/>
  <c r="K25"/>
  <c r="J25"/>
  <c r="I25"/>
  <c r="H25"/>
  <c r="G25"/>
  <c r="F25"/>
  <c r="E25"/>
  <c r="N24"/>
  <c r="M24"/>
  <c r="L24"/>
  <c r="K24"/>
  <c r="J24"/>
  <c r="I24"/>
  <c r="H24"/>
  <c r="G24"/>
  <c r="F24"/>
  <c r="E24"/>
  <c r="N23"/>
  <c r="M23"/>
  <c r="L23"/>
  <c r="K23"/>
  <c r="J23"/>
  <c r="I23"/>
  <c r="H23"/>
  <c r="G23"/>
  <c r="F23"/>
  <c r="E23"/>
  <c r="N22"/>
  <c r="M22"/>
  <c r="L22"/>
  <c r="K22"/>
  <c r="J22"/>
  <c r="I22"/>
  <c r="H22"/>
  <c r="G22"/>
  <c r="F22"/>
  <c r="E22"/>
  <c r="N21"/>
  <c r="M21"/>
  <c r="L21"/>
  <c r="K21"/>
  <c r="J21"/>
  <c r="I21"/>
  <c r="H21"/>
  <c r="G21"/>
  <c r="F21"/>
  <c r="E21"/>
  <c r="N20"/>
  <c r="M20"/>
  <c r="L20"/>
  <c r="K20"/>
  <c r="J20"/>
  <c r="I20"/>
  <c r="H20"/>
  <c r="G20"/>
  <c r="F20"/>
  <c r="E20"/>
  <c r="N19"/>
  <c r="M19"/>
  <c r="L19"/>
  <c r="K19"/>
  <c r="J19"/>
  <c r="I19"/>
  <c r="H19"/>
  <c r="G19"/>
  <c r="F19"/>
  <c r="E19"/>
  <c r="N18"/>
  <c r="M18"/>
  <c r="L18"/>
  <c r="K18"/>
  <c r="J18"/>
  <c r="I18"/>
  <c r="H18"/>
  <c r="G18"/>
  <c r="F18"/>
  <c r="E18"/>
  <c r="N17"/>
  <c r="M17"/>
  <c r="L17"/>
  <c r="K17"/>
  <c r="J17"/>
  <c r="I17"/>
  <c r="H17"/>
  <c r="G17"/>
  <c r="F17"/>
  <c r="E17"/>
  <c r="N16"/>
  <c r="M16"/>
  <c r="L16"/>
  <c r="K16"/>
  <c r="J16"/>
  <c r="I16"/>
  <c r="H16"/>
  <c r="G16"/>
  <c r="F16"/>
  <c r="E16"/>
  <c r="A9" i="40"/>
  <c r="F9" s="1"/>
  <c r="B9"/>
  <c r="C9"/>
  <c r="D9"/>
  <c r="A10"/>
  <c r="E10" s="1"/>
  <c r="B10"/>
  <c r="C10"/>
  <c r="D10"/>
  <c r="A11"/>
  <c r="F11" s="1"/>
  <c r="B11"/>
  <c r="C11"/>
  <c r="D11"/>
  <c r="A12"/>
  <c r="E12" s="1"/>
  <c r="B12"/>
  <c r="C12"/>
  <c r="D12"/>
  <c r="A13"/>
  <c r="F13" s="1"/>
  <c r="B13"/>
  <c r="C13"/>
  <c r="D13"/>
  <c r="A14"/>
  <c r="E14" s="1"/>
  <c r="B14"/>
  <c r="C14"/>
  <c r="D14"/>
  <c r="A15"/>
  <c r="F15" s="1"/>
  <c r="B15"/>
  <c r="C15"/>
  <c r="D15"/>
  <c r="A16"/>
  <c r="E16" s="1"/>
  <c r="B16"/>
  <c r="C16"/>
  <c r="D16"/>
  <c r="A17"/>
  <c r="E17" s="1"/>
  <c r="B17"/>
  <c r="C17"/>
  <c r="D17"/>
  <c r="A18"/>
  <c r="F18" s="1"/>
  <c r="B18"/>
  <c r="C18"/>
  <c r="D18"/>
  <c r="A19"/>
  <c r="E19" s="1"/>
  <c r="B19"/>
  <c r="C19"/>
  <c r="D19"/>
  <c r="A20"/>
  <c r="F20" s="1"/>
  <c r="B20"/>
  <c r="C20"/>
  <c r="D20"/>
  <c r="A21"/>
  <c r="E21" s="1"/>
  <c r="B21"/>
  <c r="C21"/>
  <c r="D21"/>
  <c r="A22"/>
  <c r="F22" s="1"/>
  <c r="B22"/>
  <c r="C22"/>
  <c r="D22"/>
  <c r="A23"/>
  <c r="E23" s="1"/>
  <c r="B23"/>
  <c r="C23"/>
  <c r="D23"/>
  <c r="A24"/>
  <c r="F24" s="1"/>
  <c r="B24"/>
  <c r="C24"/>
  <c r="D24"/>
  <c r="A25"/>
  <c r="E25" s="1"/>
  <c r="B25"/>
  <c r="C25"/>
  <c r="D25"/>
  <c r="A26"/>
  <c r="F26" s="1"/>
  <c r="B26"/>
  <c r="C26"/>
  <c r="D26"/>
  <c r="A27"/>
  <c r="E27"/>
  <c r="B27"/>
  <c r="C27"/>
  <c r="D27"/>
  <c r="A28"/>
  <c r="F28" s="1"/>
  <c r="B28"/>
  <c r="C28"/>
  <c r="D28"/>
  <c r="A29"/>
  <c r="E29" s="1"/>
  <c r="B29"/>
  <c r="C29"/>
  <c r="D29"/>
  <c r="A30"/>
  <c r="F30" s="1"/>
  <c r="B30"/>
  <c r="C30"/>
  <c r="D30"/>
  <c r="A31"/>
  <c r="E31" s="1"/>
  <c r="B31"/>
  <c r="C31"/>
  <c r="D31"/>
  <c r="A32"/>
  <c r="F32" s="1"/>
  <c r="B32"/>
  <c r="C32"/>
  <c r="D32"/>
  <c r="A33"/>
  <c r="E33" s="1"/>
  <c r="B33"/>
  <c r="C33"/>
  <c r="D33"/>
  <c r="A34"/>
  <c r="F34" s="1"/>
  <c r="B34"/>
  <c r="C34"/>
  <c r="D34"/>
  <c r="A35"/>
  <c r="E35"/>
  <c r="B35"/>
  <c r="C35"/>
  <c r="D35"/>
  <c r="A36"/>
  <c r="H36" s="1"/>
  <c r="B36"/>
  <c r="C36"/>
  <c r="D36"/>
  <c r="B8"/>
  <c r="C8"/>
  <c r="D8"/>
  <c r="A8"/>
  <c r="F8" s="1"/>
  <c r="A9" i="35"/>
  <c r="G9" s="1"/>
  <c r="B9"/>
  <c r="C9"/>
  <c r="D9"/>
  <c r="A10"/>
  <c r="F10" s="1"/>
  <c r="B10"/>
  <c r="C10"/>
  <c r="D10"/>
  <c r="A11"/>
  <c r="E11" s="1"/>
  <c r="B11"/>
  <c r="C11"/>
  <c r="D11"/>
  <c r="A12"/>
  <c r="H12" s="1"/>
  <c r="B12"/>
  <c r="C12"/>
  <c r="D12"/>
  <c r="A13"/>
  <c r="H13" s="1"/>
  <c r="B13"/>
  <c r="C13"/>
  <c r="D13"/>
  <c r="A14"/>
  <c r="G14" s="1"/>
  <c r="B14"/>
  <c r="C14"/>
  <c r="D14"/>
  <c r="A15"/>
  <c r="F15" s="1"/>
  <c r="B15"/>
  <c r="C15"/>
  <c r="D15"/>
  <c r="A16"/>
  <c r="E16" s="1"/>
  <c r="B16"/>
  <c r="C16"/>
  <c r="D16"/>
  <c r="A17"/>
  <c r="H17" s="1"/>
  <c r="B17"/>
  <c r="C17"/>
  <c r="D17"/>
  <c r="A18"/>
  <c r="G18" s="1"/>
  <c r="B18"/>
  <c r="C18"/>
  <c r="D18"/>
  <c r="A19"/>
  <c r="F19" s="1"/>
  <c r="B19"/>
  <c r="C19"/>
  <c r="D19"/>
  <c r="A20"/>
  <c r="E20" s="1"/>
  <c r="B20"/>
  <c r="C20"/>
  <c r="D20"/>
  <c r="A21"/>
  <c r="H21" s="1"/>
  <c r="B21"/>
  <c r="C21"/>
  <c r="D21"/>
  <c r="A22"/>
  <c r="G22" s="1"/>
  <c r="B22"/>
  <c r="C22"/>
  <c r="D22"/>
  <c r="A23"/>
  <c r="F23" s="1"/>
  <c r="B23"/>
  <c r="C23"/>
  <c r="D23"/>
  <c r="A24"/>
  <c r="E24" s="1"/>
  <c r="B24"/>
  <c r="C24"/>
  <c r="D24"/>
  <c r="A25"/>
  <c r="H25"/>
  <c r="B25"/>
  <c r="C25"/>
  <c r="D25"/>
  <c r="A26"/>
  <c r="G26" s="1"/>
  <c r="B26"/>
  <c r="C26"/>
  <c r="D26"/>
  <c r="A27"/>
  <c r="F27" s="1"/>
  <c r="B27"/>
  <c r="C27"/>
  <c r="D27"/>
  <c r="A28"/>
  <c r="E28" s="1"/>
  <c r="B28"/>
  <c r="C28"/>
  <c r="D28"/>
  <c r="A29"/>
  <c r="H29" s="1"/>
  <c r="B29"/>
  <c r="C29"/>
  <c r="D29"/>
  <c r="A30"/>
  <c r="G30" s="1"/>
  <c r="B30"/>
  <c r="C30"/>
  <c r="D30"/>
  <c r="A31"/>
  <c r="F31" s="1"/>
  <c r="B31"/>
  <c r="C31"/>
  <c r="D31"/>
  <c r="A32"/>
  <c r="E32" s="1"/>
  <c r="B32"/>
  <c r="C32"/>
  <c r="D32"/>
  <c r="A33"/>
  <c r="F33"/>
  <c r="B33"/>
  <c r="C33"/>
  <c r="D33"/>
  <c r="A34"/>
  <c r="E34" s="1"/>
  <c r="B34"/>
  <c r="C34"/>
  <c r="D34"/>
  <c r="A35"/>
  <c r="F35" s="1"/>
  <c r="B35"/>
  <c r="C35"/>
  <c r="D35"/>
  <c r="A36"/>
  <c r="E36" s="1"/>
  <c r="B36"/>
  <c r="C36"/>
  <c r="D36"/>
  <c r="B8"/>
  <c r="C8"/>
  <c r="D8"/>
  <c r="A8"/>
  <c r="F8" s="1"/>
  <c r="A9" i="30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B23"/>
  <c r="C23"/>
  <c r="D23"/>
  <c r="A24"/>
  <c r="B24"/>
  <c r="C24"/>
  <c r="D24"/>
  <c r="A25"/>
  <c r="B25"/>
  <c r="C25"/>
  <c r="D25"/>
  <c r="A26"/>
  <c r="B26"/>
  <c r="C26"/>
  <c r="D26"/>
  <c r="A27"/>
  <c r="B27"/>
  <c r="C27"/>
  <c r="D27"/>
  <c r="A28"/>
  <c r="B28"/>
  <c r="C28"/>
  <c r="D28"/>
  <c r="A29"/>
  <c r="B29"/>
  <c r="C29"/>
  <c r="D29"/>
  <c r="A30"/>
  <c r="B30"/>
  <c r="C30"/>
  <c r="D30"/>
  <c r="A31"/>
  <c r="B31"/>
  <c r="C31"/>
  <c r="D31"/>
  <c r="A32"/>
  <c r="B32"/>
  <c r="C32"/>
  <c r="D32"/>
  <c r="A33"/>
  <c r="B33"/>
  <c r="C33"/>
  <c r="D33"/>
  <c r="A34"/>
  <c r="B34"/>
  <c r="C34"/>
  <c r="D34"/>
  <c r="A35"/>
  <c r="B35"/>
  <c r="C35"/>
  <c r="D35"/>
  <c r="A36"/>
  <c r="B36"/>
  <c r="C36"/>
  <c r="D36"/>
  <c r="B8"/>
  <c r="C8"/>
  <c r="D8"/>
  <c r="A8"/>
  <c r="G8" s="1"/>
  <c r="A9" i="25"/>
  <c r="F9" s="1"/>
  <c r="B9"/>
  <c r="C9"/>
  <c r="D9"/>
  <c r="A10"/>
  <c r="E10" s="1"/>
  <c r="B10"/>
  <c r="C10"/>
  <c r="D10"/>
  <c r="A11"/>
  <c r="F11" s="1"/>
  <c r="B11"/>
  <c r="C11"/>
  <c r="D11"/>
  <c r="A12"/>
  <c r="E12" s="1"/>
  <c r="B12"/>
  <c r="C12"/>
  <c r="D12"/>
  <c r="A13"/>
  <c r="F13" s="1"/>
  <c r="B13"/>
  <c r="C13"/>
  <c r="D13"/>
  <c r="A14"/>
  <c r="E14" s="1"/>
  <c r="B14"/>
  <c r="C14"/>
  <c r="D14"/>
  <c r="A15"/>
  <c r="F15" s="1"/>
  <c r="B15"/>
  <c r="C15"/>
  <c r="D15"/>
  <c r="A16"/>
  <c r="E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I21" s="1"/>
  <c r="B21"/>
  <c r="C21"/>
  <c r="D21"/>
  <c r="A22"/>
  <c r="F22" s="1"/>
  <c r="E22"/>
  <c r="B22"/>
  <c r="C22"/>
  <c r="D22"/>
  <c r="A23"/>
  <c r="B23"/>
  <c r="C23"/>
  <c r="D23"/>
  <c r="A24"/>
  <c r="H24" s="1"/>
  <c r="B24"/>
  <c r="C24"/>
  <c r="D24"/>
  <c r="A25"/>
  <c r="E25" s="1"/>
  <c r="B25"/>
  <c r="C25"/>
  <c r="D25"/>
  <c r="A26"/>
  <c r="F26" s="1"/>
  <c r="B26"/>
  <c r="C26"/>
  <c r="D26"/>
  <c r="A27"/>
  <c r="B27"/>
  <c r="C27"/>
  <c r="D27"/>
  <c r="A28"/>
  <c r="H28" s="1"/>
  <c r="B28"/>
  <c r="C28"/>
  <c r="D28"/>
  <c r="A29"/>
  <c r="I29" s="1"/>
  <c r="B29"/>
  <c r="C29"/>
  <c r="D29"/>
  <c r="A30"/>
  <c r="F30" s="1"/>
  <c r="E30"/>
  <c r="B30"/>
  <c r="C30"/>
  <c r="D30"/>
  <c r="A31"/>
  <c r="B31"/>
  <c r="C31"/>
  <c r="D31"/>
  <c r="A32"/>
  <c r="H32" s="1"/>
  <c r="B32"/>
  <c r="C32"/>
  <c r="D32"/>
  <c r="A33"/>
  <c r="E33" s="1"/>
  <c r="B33"/>
  <c r="C33"/>
  <c r="D33"/>
  <c r="A34"/>
  <c r="F34" s="1"/>
  <c r="B34"/>
  <c r="C34"/>
  <c r="D34"/>
  <c r="A35"/>
  <c r="B35"/>
  <c r="C35"/>
  <c r="D35"/>
  <c r="A36"/>
  <c r="H36" s="1"/>
  <c r="B36"/>
  <c r="C36"/>
  <c r="D36"/>
  <c r="B8"/>
  <c r="C8"/>
  <c r="D8"/>
  <c r="A8"/>
  <c r="F8" s="1"/>
  <c r="A9" i="70"/>
  <c r="E9" s="1"/>
  <c r="B9"/>
  <c r="C9"/>
  <c r="G9" s="1"/>
  <c r="K9" s="1"/>
  <c r="D9"/>
  <c r="H9" s="1"/>
  <c r="L9" s="1"/>
  <c r="A10"/>
  <c r="E10" s="1"/>
  <c r="I10" s="1"/>
  <c r="M10" s="1"/>
  <c r="B10"/>
  <c r="F10" s="1"/>
  <c r="J10" s="1"/>
  <c r="C10"/>
  <c r="G10" s="1"/>
  <c r="K10" s="1"/>
  <c r="D10"/>
  <c r="A11"/>
  <c r="E11" s="1"/>
  <c r="I11" s="1"/>
  <c r="M11" s="1"/>
  <c r="B11"/>
  <c r="F11" s="1"/>
  <c r="J11" s="1"/>
  <c r="C11"/>
  <c r="G11" s="1"/>
  <c r="K11" s="1"/>
  <c r="D11"/>
  <c r="H11" s="1"/>
  <c r="L11" s="1"/>
  <c r="A12"/>
  <c r="E12" s="1"/>
  <c r="I12" s="1"/>
  <c r="M12" s="1"/>
  <c r="B12"/>
  <c r="F12" s="1"/>
  <c r="J12" s="1"/>
  <c r="N12" s="1"/>
  <c r="C12"/>
  <c r="G12" s="1"/>
  <c r="K12" s="1"/>
  <c r="D12"/>
  <c r="H12" s="1"/>
  <c r="A13"/>
  <c r="E13" s="1"/>
  <c r="I13" s="1"/>
  <c r="M13" s="1"/>
  <c r="B13"/>
  <c r="F13" s="1"/>
  <c r="J13" s="1"/>
  <c r="N13" s="1"/>
  <c r="C13"/>
  <c r="G13" s="1"/>
  <c r="K13" s="1"/>
  <c r="D13"/>
  <c r="H13" s="1"/>
  <c r="L13" s="1"/>
  <c r="A14"/>
  <c r="E14"/>
  <c r="I14" s="1"/>
  <c r="M14" s="1"/>
  <c r="B14"/>
  <c r="F14" s="1"/>
  <c r="J14" s="1"/>
  <c r="N14" s="1"/>
  <c r="C14"/>
  <c r="G14" s="1"/>
  <c r="K14" s="1"/>
  <c r="D14"/>
  <c r="H14" s="1"/>
  <c r="L14" s="1"/>
  <c r="A15"/>
  <c r="E15" s="1"/>
  <c r="I15" s="1"/>
  <c r="B15"/>
  <c r="F15" s="1"/>
  <c r="J15" s="1"/>
  <c r="N15" s="1"/>
  <c r="C15"/>
  <c r="G15" s="1"/>
  <c r="K15" s="1"/>
  <c r="D15"/>
  <c r="H15" s="1"/>
  <c r="L15" s="1"/>
  <c r="A16"/>
  <c r="E16"/>
  <c r="I16" s="1"/>
  <c r="M16" s="1"/>
  <c r="B16"/>
  <c r="F16" s="1"/>
  <c r="J16" s="1"/>
  <c r="N16" s="1"/>
  <c r="C16"/>
  <c r="G16" s="1"/>
  <c r="K16" s="1"/>
  <c r="D16"/>
  <c r="H16" s="1"/>
  <c r="L16" s="1"/>
  <c r="A17"/>
  <c r="E17" s="1"/>
  <c r="I17" s="1"/>
  <c r="M17" s="1"/>
  <c r="B17"/>
  <c r="F17" s="1"/>
  <c r="J17" s="1"/>
  <c r="N17" s="1"/>
  <c r="C17"/>
  <c r="G17" s="1"/>
  <c r="K17" s="1"/>
  <c r="D17"/>
  <c r="H17" s="1"/>
  <c r="L17" s="1"/>
  <c r="A18"/>
  <c r="E18" s="1"/>
  <c r="I18" s="1"/>
  <c r="M18" s="1"/>
  <c r="B18"/>
  <c r="F18" s="1"/>
  <c r="J18" s="1"/>
  <c r="N18" s="1"/>
  <c r="C18"/>
  <c r="G18" s="1"/>
  <c r="K18" s="1"/>
  <c r="D18"/>
  <c r="H18" s="1"/>
  <c r="L18" s="1"/>
  <c r="A19"/>
  <c r="E19" s="1"/>
  <c r="I19" s="1"/>
  <c r="M19" s="1"/>
  <c r="B19"/>
  <c r="F19" s="1"/>
  <c r="J19" s="1"/>
  <c r="N19" s="1"/>
  <c r="C19"/>
  <c r="G19"/>
  <c r="K19" s="1"/>
  <c r="D19"/>
  <c r="H19" s="1"/>
  <c r="L19" s="1"/>
  <c r="D8"/>
  <c r="H8" s="1"/>
  <c r="L8" s="1"/>
  <c r="C8"/>
  <c r="G8" s="1"/>
  <c r="B8"/>
  <c r="F8" s="1"/>
  <c r="J8" s="1"/>
  <c r="N8" s="1"/>
  <c r="A8"/>
  <c r="A4"/>
  <c r="A3"/>
  <c r="A2"/>
  <c r="A9" i="39"/>
  <c r="G9" s="1"/>
  <c r="B9"/>
  <c r="C9"/>
  <c r="D9"/>
  <c r="A10"/>
  <c r="F10" s="1"/>
  <c r="B10"/>
  <c r="C10"/>
  <c r="D10"/>
  <c r="A11"/>
  <c r="I11" s="1"/>
  <c r="B11"/>
  <c r="C11"/>
  <c r="D11"/>
  <c r="A12"/>
  <c r="H12" s="1"/>
  <c r="B12"/>
  <c r="C12"/>
  <c r="D12"/>
  <c r="A13"/>
  <c r="G13" s="1"/>
  <c r="B13"/>
  <c r="C13"/>
  <c r="D13"/>
  <c r="A14"/>
  <c r="F14" s="1"/>
  <c r="B14"/>
  <c r="C14"/>
  <c r="D14"/>
  <c r="A15"/>
  <c r="E15" s="1"/>
  <c r="B15"/>
  <c r="C15"/>
  <c r="D15"/>
  <c r="A16"/>
  <c r="H16" s="1"/>
  <c r="B16"/>
  <c r="C16"/>
  <c r="D16"/>
  <c r="A17"/>
  <c r="H17" s="1"/>
  <c r="B17"/>
  <c r="C17"/>
  <c r="D17"/>
  <c r="A18"/>
  <c r="G18" s="1"/>
  <c r="B18"/>
  <c r="C18"/>
  <c r="D18"/>
  <c r="A19"/>
  <c r="F19" s="1"/>
  <c r="B19"/>
  <c r="C19"/>
  <c r="D19"/>
  <c r="A20"/>
  <c r="E20" s="1"/>
  <c r="B20"/>
  <c r="C20"/>
  <c r="D20"/>
  <c r="A21"/>
  <c r="H21" s="1"/>
  <c r="B21"/>
  <c r="C21"/>
  <c r="D21"/>
  <c r="A22"/>
  <c r="G22" s="1"/>
  <c r="B22"/>
  <c r="C22"/>
  <c r="D22"/>
  <c r="A23"/>
  <c r="F23" s="1"/>
  <c r="B23"/>
  <c r="C23"/>
  <c r="D23"/>
  <c r="A24"/>
  <c r="E24" s="1"/>
  <c r="B24"/>
  <c r="C24"/>
  <c r="D24"/>
  <c r="A25"/>
  <c r="H25" s="1"/>
  <c r="B25"/>
  <c r="C25"/>
  <c r="D25"/>
  <c r="A26"/>
  <c r="G26" s="1"/>
  <c r="B26"/>
  <c r="C26"/>
  <c r="D26"/>
  <c r="A27"/>
  <c r="F27" s="1"/>
  <c r="B27"/>
  <c r="C27"/>
  <c r="D27"/>
  <c r="A28"/>
  <c r="I28" s="1"/>
  <c r="B28"/>
  <c r="C28"/>
  <c r="D28"/>
  <c r="A29"/>
  <c r="H29" s="1"/>
  <c r="B29"/>
  <c r="C29"/>
  <c r="D29"/>
  <c r="A30"/>
  <c r="G30" s="1"/>
  <c r="B30"/>
  <c r="C30"/>
  <c r="D30"/>
  <c r="A31"/>
  <c r="F31" s="1"/>
  <c r="B31"/>
  <c r="C31"/>
  <c r="D31"/>
  <c r="A32"/>
  <c r="E32" s="1"/>
  <c r="B32"/>
  <c r="C32"/>
  <c r="D32"/>
  <c r="A33"/>
  <c r="H33" s="1"/>
  <c r="B33"/>
  <c r="C33"/>
  <c r="D33"/>
  <c r="A34"/>
  <c r="G34" s="1"/>
  <c r="B34"/>
  <c r="C34"/>
  <c r="D34"/>
  <c r="A35"/>
  <c r="F35" s="1"/>
  <c r="B35"/>
  <c r="C35"/>
  <c r="D35"/>
  <c r="A36"/>
  <c r="I36" s="1"/>
  <c r="B36"/>
  <c r="C36"/>
  <c r="D36"/>
  <c r="B8"/>
  <c r="C8"/>
  <c r="D8"/>
  <c r="A8"/>
  <c r="F8" s="1"/>
  <c r="A9" i="34"/>
  <c r="E9" s="1"/>
  <c r="B9"/>
  <c r="C9"/>
  <c r="D9"/>
  <c r="A10"/>
  <c r="H10" s="1"/>
  <c r="B10"/>
  <c r="C10"/>
  <c r="D10"/>
  <c r="A11"/>
  <c r="G11" s="1"/>
  <c r="B11"/>
  <c r="C11"/>
  <c r="D11"/>
  <c r="A12"/>
  <c r="F12" s="1"/>
  <c r="B12"/>
  <c r="C12"/>
  <c r="D12"/>
  <c r="A13"/>
  <c r="F13" s="1"/>
  <c r="B13"/>
  <c r="C13"/>
  <c r="D13"/>
  <c r="A14"/>
  <c r="E14" s="1"/>
  <c r="B14"/>
  <c r="C14"/>
  <c r="D14"/>
  <c r="A15"/>
  <c r="F15" s="1"/>
  <c r="B15"/>
  <c r="C15"/>
  <c r="D15"/>
  <c r="A16"/>
  <c r="E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F21" s="1"/>
  <c r="B21"/>
  <c r="C21"/>
  <c r="D21"/>
  <c r="A22"/>
  <c r="E22" s="1"/>
  <c r="B22"/>
  <c r="C22"/>
  <c r="D22"/>
  <c r="A23"/>
  <c r="F23"/>
  <c r="B23"/>
  <c r="C23"/>
  <c r="D23"/>
  <c r="A24"/>
  <c r="E24" s="1"/>
  <c r="B24"/>
  <c r="C24"/>
  <c r="D24"/>
  <c r="A25"/>
  <c r="F25" s="1"/>
  <c r="B25"/>
  <c r="C25"/>
  <c r="D25"/>
  <c r="A26"/>
  <c r="E26" s="1"/>
  <c r="B26"/>
  <c r="C26"/>
  <c r="D26"/>
  <c r="A27"/>
  <c r="F27" s="1"/>
  <c r="B27"/>
  <c r="C27"/>
  <c r="D27"/>
  <c r="A28"/>
  <c r="E28" s="1"/>
  <c r="B28"/>
  <c r="C28"/>
  <c r="D28"/>
  <c r="A29"/>
  <c r="F29" s="1"/>
  <c r="B29"/>
  <c r="C29"/>
  <c r="D29"/>
  <c r="A30"/>
  <c r="E30" s="1"/>
  <c r="B30"/>
  <c r="C30"/>
  <c r="D30"/>
  <c r="A31"/>
  <c r="F31"/>
  <c r="B31"/>
  <c r="C31"/>
  <c r="D31"/>
  <c r="A32"/>
  <c r="E32" s="1"/>
  <c r="B32"/>
  <c r="C32"/>
  <c r="D32"/>
  <c r="A33"/>
  <c r="F33" s="1"/>
  <c r="B33"/>
  <c r="C33"/>
  <c r="D33"/>
  <c r="A34"/>
  <c r="E34" s="1"/>
  <c r="B34"/>
  <c r="C34"/>
  <c r="D34"/>
  <c r="A35"/>
  <c r="F35" s="1"/>
  <c r="B35"/>
  <c r="C35"/>
  <c r="D35"/>
  <c r="A36"/>
  <c r="E36" s="1"/>
  <c r="B36"/>
  <c r="C36"/>
  <c r="D36"/>
  <c r="B8"/>
  <c r="C8"/>
  <c r="D8"/>
  <c r="A8"/>
  <c r="F8" s="1"/>
  <c r="A9" i="29"/>
  <c r="E9" s="1"/>
  <c r="B9"/>
  <c r="C9"/>
  <c r="D9"/>
  <c r="A10"/>
  <c r="F10" s="1"/>
  <c r="B10"/>
  <c r="C10"/>
  <c r="D10"/>
  <c r="A11"/>
  <c r="E11"/>
  <c r="B11"/>
  <c r="C11"/>
  <c r="D11"/>
  <c r="A12"/>
  <c r="F12" s="1"/>
  <c r="B12"/>
  <c r="C12"/>
  <c r="D12"/>
  <c r="A13"/>
  <c r="E13" s="1"/>
  <c r="B13"/>
  <c r="C13"/>
  <c r="D13"/>
  <c r="A14"/>
  <c r="F14" s="1"/>
  <c r="B14"/>
  <c r="C14"/>
  <c r="D14"/>
  <c r="A15"/>
  <c r="E15" s="1"/>
  <c r="B15"/>
  <c r="C15"/>
  <c r="D15"/>
  <c r="A16"/>
  <c r="F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F21" s="1"/>
  <c r="B21"/>
  <c r="C21"/>
  <c r="D21"/>
  <c r="A22"/>
  <c r="E22" s="1"/>
  <c r="B22"/>
  <c r="C22"/>
  <c r="D22"/>
  <c r="A23"/>
  <c r="F23" s="1"/>
  <c r="B23"/>
  <c r="C23"/>
  <c r="D23"/>
  <c r="A24"/>
  <c r="E24" s="1"/>
  <c r="B24"/>
  <c r="C24"/>
  <c r="D24"/>
  <c r="A25"/>
  <c r="F25" s="1"/>
  <c r="B25"/>
  <c r="C25"/>
  <c r="D25"/>
  <c r="A26"/>
  <c r="E26" s="1"/>
  <c r="B26"/>
  <c r="C26"/>
  <c r="D26"/>
  <c r="A27"/>
  <c r="F27"/>
  <c r="B27"/>
  <c r="C27"/>
  <c r="D27"/>
  <c r="A28"/>
  <c r="E28" s="1"/>
  <c r="B28"/>
  <c r="C28"/>
  <c r="D28"/>
  <c r="A29"/>
  <c r="F29" s="1"/>
  <c r="B29"/>
  <c r="C29"/>
  <c r="D29"/>
  <c r="A30"/>
  <c r="E30" s="1"/>
  <c r="B30"/>
  <c r="C30"/>
  <c r="D30"/>
  <c r="A31"/>
  <c r="F31" s="1"/>
  <c r="B31"/>
  <c r="C31"/>
  <c r="D31"/>
  <c r="A32"/>
  <c r="E32" s="1"/>
  <c r="B32"/>
  <c r="C32"/>
  <c r="D32"/>
  <c r="A33"/>
  <c r="F33" s="1"/>
  <c r="B33"/>
  <c r="C33"/>
  <c r="D33"/>
  <c r="A34"/>
  <c r="E34" s="1"/>
  <c r="B34"/>
  <c r="C34"/>
  <c r="D34"/>
  <c r="A35"/>
  <c r="F35"/>
  <c r="B35"/>
  <c r="C35"/>
  <c r="D35"/>
  <c r="A36"/>
  <c r="E36" s="1"/>
  <c r="B36"/>
  <c r="C36"/>
  <c r="D36"/>
  <c r="B8"/>
  <c r="C8"/>
  <c r="D8"/>
  <c r="A8"/>
  <c r="F8" s="1"/>
  <c r="F24" i="24"/>
  <c r="A9"/>
  <c r="F9" s="1"/>
  <c r="B9"/>
  <c r="C9"/>
  <c r="D9"/>
  <c r="A10"/>
  <c r="E10" s="1"/>
  <c r="B10"/>
  <c r="C10"/>
  <c r="D10"/>
  <c r="A11"/>
  <c r="F11" s="1"/>
  <c r="B11"/>
  <c r="C11"/>
  <c r="D11"/>
  <c r="A12"/>
  <c r="E12" s="1"/>
  <c r="B12"/>
  <c r="C12"/>
  <c r="D12"/>
  <c r="A13"/>
  <c r="F13" s="1"/>
  <c r="B13"/>
  <c r="C13"/>
  <c r="D13"/>
  <c r="A14"/>
  <c r="E14" s="1"/>
  <c r="B14"/>
  <c r="C14"/>
  <c r="D14"/>
  <c r="A15"/>
  <c r="F15" s="1"/>
  <c r="B15"/>
  <c r="C15"/>
  <c r="D15"/>
  <c r="A16"/>
  <c r="E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I21" s="1"/>
  <c r="B21"/>
  <c r="C21"/>
  <c r="D21"/>
  <c r="A22"/>
  <c r="F22" s="1"/>
  <c r="B22"/>
  <c r="C22"/>
  <c r="D22"/>
  <c r="A23"/>
  <c r="B23"/>
  <c r="C23"/>
  <c r="D23"/>
  <c r="A24"/>
  <c r="H24" s="1"/>
  <c r="E24"/>
  <c r="B24"/>
  <c r="C24"/>
  <c r="D24"/>
  <c r="A25"/>
  <c r="E25" s="1"/>
  <c r="B25"/>
  <c r="C25"/>
  <c r="D25"/>
  <c r="A26"/>
  <c r="F26" s="1"/>
  <c r="B26"/>
  <c r="C26"/>
  <c r="D26"/>
  <c r="A27"/>
  <c r="B27"/>
  <c r="C27"/>
  <c r="D27"/>
  <c r="A28"/>
  <c r="H28" s="1"/>
  <c r="B28"/>
  <c r="C28"/>
  <c r="D28"/>
  <c r="A29"/>
  <c r="I29" s="1"/>
  <c r="B29"/>
  <c r="C29"/>
  <c r="D29"/>
  <c r="A30"/>
  <c r="F30" s="1"/>
  <c r="B30"/>
  <c r="C30"/>
  <c r="D30"/>
  <c r="A31"/>
  <c r="B31"/>
  <c r="C31"/>
  <c r="D31"/>
  <c r="A32"/>
  <c r="H32" s="1"/>
  <c r="E32"/>
  <c r="B32"/>
  <c r="C32"/>
  <c r="D32"/>
  <c r="A33"/>
  <c r="E33" s="1"/>
  <c r="B33"/>
  <c r="C33"/>
  <c r="D33"/>
  <c r="A34"/>
  <c r="F34" s="1"/>
  <c r="B34"/>
  <c r="C34"/>
  <c r="D34"/>
  <c r="A35"/>
  <c r="B35"/>
  <c r="C35"/>
  <c r="D35"/>
  <c r="A36"/>
  <c r="H36" s="1"/>
  <c r="B36"/>
  <c r="C36"/>
  <c r="D36"/>
  <c r="B8"/>
  <c r="C8"/>
  <c r="D8"/>
  <c r="A8"/>
  <c r="F8" s="1"/>
  <c r="A9" i="38"/>
  <c r="E9" s="1"/>
  <c r="B9"/>
  <c r="C9"/>
  <c r="D9"/>
  <c r="A10"/>
  <c r="F10" s="1"/>
  <c r="B10"/>
  <c r="C10"/>
  <c r="D10"/>
  <c r="A11"/>
  <c r="E11" s="1"/>
  <c r="B11"/>
  <c r="C11"/>
  <c r="D11"/>
  <c r="A12"/>
  <c r="F12" s="1"/>
  <c r="B12"/>
  <c r="C12"/>
  <c r="D12"/>
  <c r="A13"/>
  <c r="E13" s="1"/>
  <c r="B13"/>
  <c r="C13"/>
  <c r="D13"/>
  <c r="A14"/>
  <c r="F14" s="1"/>
  <c r="B14"/>
  <c r="C14"/>
  <c r="D14"/>
  <c r="A15"/>
  <c r="E15" s="1"/>
  <c r="B15"/>
  <c r="C15"/>
  <c r="D15"/>
  <c r="A16"/>
  <c r="F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F21" s="1"/>
  <c r="B21"/>
  <c r="C21"/>
  <c r="D21"/>
  <c r="A22"/>
  <c r="E22" s="1"/>
  <c r="B22"/>
  <c r="C22"/>
  <c r="D22"/>
  <c r="A23"/>
  <c r="F23" s="1"/>
  <c r="B23"/>
  <c r="C23"/>
  <c r="D23"/>
  <c r="A24"/>
  <c r="E24" s="1"/>
  <c r="B24"/>
  <c r="C24"/>
  <c r="D24"/>
  <c r="A25"/>
  <c r="F25" s="1"/>
  <c r="B25"/>
  <c r="C25"/>
  <c r="D25"/>
  <c r="A26"/>
  <c r="E26" s="1"/>
  <c r="B26"/>
  <c r="C26"/>
  <c r="D26"/>
  <c r="A27"/>
  <c r="F27" s="1"/>
  <c r="B27"/>
  <c r="C27"/>
  <c r="D27"/>
  <c r="A28"/>
  <c r="E28" s="1"/>
  <c r="B28"/>
  <c r="C28"/>
  <c r="D28"/>
  <c r="A29"/>
  <c r="E29"/>
  <c r="B29"/>
  <c r="C29"/>
  <c r="D29"/>
  <c r="A30"/>
  <c r="F30" s="1"/>
  <c r="B30"/>
  <c r="C30"/>
  <c r="D30"/>
  <c r="A31"/>
  <c r="E31" s="1"/>
  <c r="B31"/>
  <c r="C31"/>
  <c r="D31"/>
  <c r="A32"/>
  <c r="F32" s="1"/>
  <c r="B32"/>
  <c r="C32"/>
  <c r="D32"/>
  <c r="A33"/>
  <c r="E33" s="1"/>
  <c r="B33"/>
  <c r="C33"/>
  <c r="D33"/>
  <c r="A34"/>
  <c r="F34" s="1"/>
  <c r="B34"/>
  <c r="C34"/>
  <c r="D34"/>
  <c r="A35"/>
  <c r="E35" s="1"/>
  <c r="B35"/>
  <c r="C35"/>
  <c r="D35"/>
  <c r="A36"/>
  <c r="F36" s="1"/>
  <c r="B36"/>
  <c r="C36"/>
  <c r="D36"/>
  <c r="B8"/>
  <c r="C8"/>
  <c r="D8"/>
  <c r="A8"/>
  <c r="F8" s="1"/>
  <c r="A9" i="33"/>
  <c r="F9" s="1"/>
  <c r="B9"/>
  <c r="C9"/>
  <c r="D9"/>
  <c r="A10"/>
  <c r="E10" s="1"/>
  <c r="B10"/>
  <c r="C10"/>
  <c r="D10"/>
  <c r="A11"/>
  <c r="F11" s="1"/>
  <c r="B11"/>
  <c r="C11"/>
  <c r="D11"/>
  <c r="A12"/>
  <c r="E12" s="1"/>
  <c r="B12"/>
  <c r="C12"/>
  <c r="D12"/>
  <c r="A13"/>
  <c r="E13" s="1"/>
  <c r="B13"/>
  <c r="C13"/>
  <c r="D13"/>
  <c r="A14"/>
  <c r="F14" s="1"/>
  <c r="B14"/>
  <c r="C14"/>
  <c r="D14"/>
  <c r="A15"/>
  <c r="E15" s="1"/>
  <c r="B15"/>
  <c r="C15"/>
  <c r="D15"/>
  <c r="A16"/>
  <c r="F16" s="1"/>
  <c r="B16"/>
  <c r="C16"/>
  <c r="D16"/>
  <c r="A17"/>
  <c r="E17" s="1"/>
  <c r="B17"/>
  <c r="C17"/>
  <c r="D17"/>
  <c r="A18"/>
  <c r="F18" s="1"/>
  <c r="B18"/>
  <c r="C18"/>
  <c r="D18"/>
  <c r="A19"/>
  <c r="E19" s="1"/>
  <c r="B19"/>
  <c r="C19"/>
  <c r="D19"/>
  <c r="A20"/>
  <c r="F20" s="1"/>
  <c r="B20"/>
  <c r="C20"/>
  <c r="D20"/>
  <c r="A21"/>
  <c r="E21" s="1"/>
  <c r="B21"/>
  <c r="C21"/>
  <c r="D21"/>
  <c r="A22"/>
  <c r="F22" s="1"/>
  <c r="B22"/>
  <c r="C22"/>
  <c r="D22"/>
  <c r="A23"/>
  <c r="E23" s="1"/>
  <c r="B23"/>
  <c r="C23"/>
  <c r="D23"/>
  <c r="A24"/>
  <c r="F24" s="1"/>
  <c r="B24"/>
  <c r="C24"/>
  <c r="D24"/>
  <c r="A25"/>
  <c r="E25" s="1"/>
  <c r="B25"/>
  <c r="C25"/>
  <c r="D25"/>
  <c r="A26"/>
  <c r="F26"/>
  <c r="B26"/>
  <c r="C26"/>
  <c r="D26"/>
  <c r="A27"/>
  <c r="E27" s="1"/>
  <c r="B27"/>
  <c r="C27"/>
  <c r="D27"/>
  <c r="A28"/>
  <c r="F28" s="1"/>
  <c r="B28"/>
  <c r="C28"/>
  <c r="D28"/>
  <c r="A29"/>
  <c r="E29" s="1"/>
  <c r="B29"/>
  <c r="C29"/>
  <c r="D29"/>
  <c r="A30"/>
  <c r="F30" s="1"/>
  <c r="B30"/>
  <c r="C30"/>
  <c r="D30"/>
  <c r="A31"/>
  <c r="E31" s="1"/>
  <c r="B31"/>
  <c r="C31"/>
  <c r="D31"/>
  <c r="A32"/>
  <c r="F32" s="1"/>
  <c r="B32"/>
  <c r="C32"/>
  <c r="D32"/>
  <c r="A33"/>
  <c r="E33" s="1"/>
  <c r="B33"/>
  <c r="C33"/>
  <c r="D33"/>
  <c r="A34"/>
  <c r="F34"/>
  <c r="B34"/>
  <c r="C34"/>
  <c r="D34"/>
  <c r="A35"/>
  <c r="E35" s="1"/>
  <c r="B35"/>
  <c r="C35"/>
  <c r="D35"/>
  <c r="A36"/>
  <c r="F36" s="1"/>
  <c r="B36"/>
  <c r="C36"/>
  <c r="D36"/>
  <c r="B8"/>
  <c r="C8"/>
  <c r="D8"/>
  <c r="A8"/>
  <c r="F8" s="1"/>
  <c r="A9" i="28"/>
  <c r="F9" s="1"/>
  <c r="B9"/>
  <c r="C9"/>
  <c r="D9"/>
  <c r="A10"/>
  <c r="E10" s="1"/>
  <c r="B10"/>
  <c r="C10"/>
  <c r="D10"/>
  <c r="A11"/>
  <c r="F11" s="1"/>
  <c r="B11"/>
  <c r="C11"/>
  <c r="D11"/>
  <c r="A12"/>
  <c r="E12" s="1"/>
  <c r="B12"/>
  <c r="C12"/>
  <c r="D12"/>
  <c r="A13"/>
  <c r="F13" s="1"/>
  <c r="B13"/>
  <c r="C13"/>
  <c r="D13"/>
  <c r="A14"/>
  <c r="E14" s="1"/>
  <c r="B14"/>
  <c r="C14"/>
  <c r="D14"/>
  <c r="A15"/>
  <c r="F15" s="1"/>
  <c r="B15"/>
  <c r="C15"/>
  <c r="D15"/>
  <c r="A16"/>
  <c r="E16" s="1"/>
  <c r="B16"/>
  <c r="C16"/>
  <c r="D16"/>
  <c r="A17"/>
  <c r="E17" s="1"/>
  <c r="B17"/>
  <c r="C17"/>
  <c r="D17"/>
  <c r="A18"/>
  <c r="F18" s="1"/>
  <c r="B18"/>
  <c r="C18"/>
  <c r="D18"/>
  <c r="A19"/>
  <c r="E19" s="1"/>
  <c r="B19"/>
  <c r="C19"/>
  <c r="D19"/>
  <c r="A20"/>
  <c r="F20" s="1"/>
  <c r="B20"/>
  <c r="C20"/>
  <c r="D20"/>
  <c r="A21"/>
  <c r="E21" s="1"/>
  <c r="B21"/>
  <c r="C21"/>
  <c r="D21"/>
  <c r="A22"/>
  <c r="F22" s="1"/>
  <c r="B22"/>
  <c r="C22"/>
  <c r="D22"/>
  <c r="A23"/>
  <c r="E23"/>
  <c r="B23"/>
  <c r="C23"/>
  <c r="D23"/>
  <c r="A24"/>
  <c r="F24" s="1"/>
  <c r="B24"/>
  <c r="C24"/>
  <c r="D24"/>
  <c r="A25"/>
  <c r="E25" s="1"/>
  <c r="B25"/>
  <c r="C25"/>
  <c r="D25"/>
  <c r="A26"/>
  <c r="F26" s="1"/>
  <c r="B26"/>
  <c r="C26"/>
  <c r="D26"/>
  <c r="A27"/>
  <c r="E27" s="1"/>
  <c r="B27"/>
  <c r="C27"/>
  <c r="D27"/>
  <c r="A28"/>
  <c r="F28" s="1"/>
  <c r="B28"/>
  <c r="C28"/>
  <c r="D28"/>
  <c r="A29"/>
  <c r="E29" s="1"/>
  <c r="B29"/>
  <c r="C29"/>
  <c r="D29"/>
  <c r="A30"/>
  <c r="F30" s="1"/>
  <c r="B30"/>
  <c r="C30"/>
  <c r="D30"/>
  <c r="A31"/>
  <c r="E31"/>
  <c r="B31"/>
  <c r="C31"/>
  <c r="D31"/>
  <c r="A32"/>
  <c r="F32" s="1"/>
  <c r="B32"/>
  <c r="C32"/>
  <c r="D32"/>
  <c r="A33"/>
  <c r="E33" s="1"/>
  <c r="B33"/>
  <c r="C33"/>
  <c r="D33"/>
  <c r="A34"/>
  <c r="F34" s="1"/>
  <c r="B34"/>
  <c r="C34"/>
  <c r="D34"/>
  <c r="A35"/>
  <c r="E35" s="1"/>
  <c r="B35"/>
  <c r="C35"/>
  <c r="D35"/>
  <c r="A36"/>
  <c r="F36" s="1"/>
  <c r="B36"/>
  <c r="C36"/>
  <c r="D36"/>
  <c r="B8"/>
  <c r="C8"/>
  <c r="D8"/>
  <c r="A8"/>
  <c r="F8" s="1"/>
  <c r="A9" i="23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F23" s="1"/>
  <c r="B23"/>
  <c r="C23"/>
  <c r="D23"/>
  <c r="A24"/>
  <c r="E24" s="1"/>
  <c r="B24"/>
  <c r="C24"/>
  <c r="D24"/>
  <c r="A25"/>
  <c r="H25" s="1"/>
  <c r="B25"/>
  <c r="C25"/>
  <c r="D25"/>
  <c r="A26"/>
  <c r="G26"/>
  <c r="B26"/>
  <c r="C26"/>
  <c r="D26"/>
  <c r="A27"/>
  <c r="F27" s="1"/>
  <c r="B27"/>
  <c r="C27"/>
  <c r="D27"/>
  <c r="A28"/>
  <c r="F28" s="1"/>
  <c r="B28"/>
  <c r="C28"/>
  <c r="D28"/>
  <c r="A29"/>
  <c r="F29" s="1"/>
  <c r="B29"/>
  <c r="C29"/>
  <c r="D29"/>
  <c r="A30"/>
  <c r="E30" s="1"/>
  <c r="B30"/>
  <c r="C30"/>
  <c r="D30"/>
  <c r="A31"/>
  <c r="F31" s="1"/>
  <c r="B31"/>
  <c r="C31"/>
  <c r="D31"/>
  <c r="A32"/>
  <c r="E32" s="1"/>
  <c r="B32"/>
  <c r="C32"/>
  <c r="D32"/>
  <c r="A33"/>
  <c r="F33" s="1"/>
  <c r="B33"/>
  <c r="C33"/>
  <c r="D33"/>
  <c r="A34"/>
  <c r="E34"/>
  <c r="B34"/>
  <c r="C34"/>
  <c r="D34"/>
  <c r="A35"/>
  <c r="F35" s="1"/>
  <c r="B35"/>
  <c r="C35"/>
  <c r="D35"/>
  <c r="A36"/>
  <c r="E36" s="1"/>
  <c r="B36"/>
  <c r="C36"/>
  <c r="D36"/>
  <c r="B8"/>
  <c r="C8"/>
  <c r="D8"/>
  <c r="A8"/>
  <c r="G8" s="1"/>
  <c r="A9" i="69"/>
  <c r="E9" s="1"/>
  <c r="B9"/>
  <c r="C9"/>
  <c r="D9"/>
  <c r="A10"/>
  <c r="E10" s="1"/>
  <c r="B10"/>
  <c r="C10"/>
  <c r="D10"/>
  <c r="A11"/>
  <c r="E11" s="1"/>
  <c r="B11"/>
  <c r="C11"/>
  <c r="D11"/>
  <c r="A12"/>
  <c r="F12" s="1"/>
  <c r="B12"/>
  <c r="C12"/>
  <c r="D12"/>
  <c r="A13"/>
  <c r="F13" s="1"/>
  <c r="B13"/>
  <c r="C13"/>
  <c r="D13"/>
  <c r="A14"/>
  <c r="F14" s="1"/>
  <c r="B14"/>
  <c r="C14"/>
  <c r="D14"/>
  <c r="A15"/>
  <c r="F15"/>
  <c r="B15"/>
  <c r="C15"/>
  <c r="D15"/>
  <c r="A16"/>
  <c r="F16" s="1"/>
  <c r="B16"/>
  <c r="C16"/>
  <c r="D16"/>
  <c r="A17"/>
  <c r="F17" s="1"/>
  <c r="B17"/>
  <c r="C17"/>
  <c r="D17"/>
  <c r="A18"/>
  <c r="F18" s="1"/>
  <c r="B18"/>
  <c r="C18"/>
  <c r="D18"/>
  <c r="A19"/>
  <c r="F19" s="1"/>
  <c r="B19"/>
  <c r="C19"/>
  <c r="D19"/>
  <c r="D8"/>
  <c r="C8"/>
  <c r="B8"/>
  <c r="A8"/>
  <c r="G8" s="1"/>
  <c r="A4"/>
  <c r="A3"/>
  <c r="A2"/>
  <c r="B3" i="68"/>
  <c r="H20"/>
  <c r="G20"/>
  <c r="F20"/>
  <c r="E20"/>
  <c r="H19"/>
  <c r="G19"/>
  <c r="F19"/>
  <c r="E19"/>
  <c r="H18"/>
  <c r="G18"/>
  <c r="F18"/>
  <c r="E18"/>
  <c r="H17"/>
  <c r="G17"/>
  <c r="F17"/>
  <c r="E17"/>
  <c r="H16"/>
  <c r="G16"/>
  <c r="F16"/>
  <c r="E16"/>
  <c r="H15"/>
  <c r="G15"/>
  <c r="F15"/>
  <c r="E15"/>
  <c r="H14"/>
  <c r="G14"/>
  <c r="F14"/>
  <c r="E14"/>
  <c r="H13"/>
  <c r="G13"/>
  <c r="F13"/>
  <c r="E13"/>
  <c r="A9" i="67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N16" s="1"/>
  <c r="B16"/>
  <c r="C16"/>
  <c r="D16"/>
  <c r="A17"/>
  <c r="B17"/>
  <c r="C17"/>
  <c r="D17"/>
  <c r="A18"/>
  <c r="N18" s="1"/>
  <c r="B18"/>
  <c r="C18"/>
  <c r="D18"/>
  <c r="A19"/>
  <c r="N19" s="1"/>
  <c r="B19"/>
  <c r="C19"/>
  <c r="D19"/>
  <c r="A20"/>
  <c r="N20" s="1"/>
  <c r="B20"/>
  <c r="C20"/>
  <c r="D20"/>
  <c r="A21"/>
  <c r="N21" s="1"/>
  <c r="B21"/>
  <c r="C21"/>
  <c r="D21"/>
  <c r="A22"/>
  <c r="N22" s="1"/>
  <c r="B22"/>
  <c r="C22"/>
  <c r="D22"/>
  <c r="A23"/>
  <c r="B23"/>
  <c r="C23"/>
  <c r="D23"/>
  <c r="A24"/>
  <c r="N24"/>
  <c r="B24"/>
  <c r="C24"/>
  <c r="D24"/>
  <c r="A25"/>
  <c r="N25" s="1"/>
  <c r="B25"/>
  <c r="C25"/>
  <c r="D25"/>
  <c r="A26"/>
  <c r="N26" s="1"/>
  <c r="B26"/>
  <c r="C26"/>
  <c r="D26"/>
  <c r="A27"/>
  <c r="N27" s="1"/>
  <c r="B27"/>
  <c r="C27"/>
  <c r="D27"/>
  <c r="A28"/>
  <c r="N28" s="1"/>
  <c r="B28"/>
  <c r="C28"/>
  <c r="D28"/>
  <c r="A29"/>
  <c r="N29" s="1"/>
  <c r="B29"/>
  <c r="C29"/>
  <c r="D29"/>
  <c r="A30"/>
  <c r="N30" s="1"/>
  <c r="B30"/>
  <c r="C30"/>
  <c r="D30"/>
  <c r="D9" i="62"/>
  <c r="D10"/>
  <c r="D11"/>
  <c r="D12"/>
  <c r="D13"/>
  <c r="D8"/>
  <c r="D8" i="67"/>
  <c r="C8"/>
  <c r="B8"/>
  <c r="A8"/>
  <c r="A4"/>
  <c r="N23"/>
  <c r="N17"/>
  <c r="N15"/>
  <c r="A4" i="66"/>
  <c r="N31"/>
  <c r="M31"/>
  <c r="L31"/>
  <c r="K31"/>
  <c r="J31"/>
  <c r="I31"/>
  <c r="H31"/>
  <c r="G31"/>
  <c r="F31"/>
  <c r="E31"/>
  <c r="N30"/>
  <c r="M30"/>
  <c r="L30"/>
  <c r="K30"/>
  <c r="J30"/>
  <c r="I30"/>
  <c r="H30"/>
  <c r="G30"/>
  <c r="F30"/>
  <c r="E30"/>
  <c r="N29"/>
  <c r="M29"/>
  <c r="L29"/>
  <c r="K29"/>
  <c r="J29"/>
  <c r="I29"/>
  <c r="H29"/>
  <c r="G29"/>
  <c r="F29"/>
  <c r="E29"/>
  <c r="N28"/>
  <c r="M28"/>
  <c r="L28"/>
  <c r="K28"/>
  <c r="J28"/>
  <c r="I28"/>
  <c r="H28"/>
  <c r="G28"/>
  <c r="F28"/>
  <c r="E28"/>
  <c r="N27"/>
  <c r="M27"/>
  <c r="L27"/>
  <c r="K27"/>
  <c r="J27"/>
  <c r="I27"/>
  <c r="H27"/>
  <c r="G27"/>
  <c r="F27"/>
  <c r="E27"/>
  <c r="N26"/>
  <c r="M26"/>
  <c r="L26"/>
  <c r="K26"/>
  <c r="J26"/>
  <c r="I26"/>
  <c r="H26"/>
  <c r="G26"/>
  <c r="F26"/>
  <c r="E26"/>
  <c r="N25"/>
  <c r="M25"/>
  <c r="L25"/>
  <c r="K25"/>
  <c r="J25"/>
  <c r="I25"/>
  <c r="H25"/>
  <c r="G25"/>
  <c r="F25"/>
  <c r="E25"/>
  <c r="N24"/>
  <c r="M24"/>
  <c r="L24"/>
  <c r="K24"/>
  <c r="J24"/>
  <c r="I24"/>
  <c r="H24"/>
  <c r="G24"/>
  <c r="F24"/>
  <c r="E24"/>
  <c r="N23"/>
  <c r="M23"/>
  <c r="L23"/>
  <c r="K23"/>
  <c r="J23"/>
  <c r="I23"/>
  <c r="H23"/>
  <c r="G23"/>
  <c r="F23"/>
  <c r="E23"/>
  <c r="N22"/>
  <c r="M22"/>
  <c r="L22"/>
  <c r="K22"/>
  <c r="J22"/>
  <c r="I22"/>
  <c r="H22"/>
  <c r="G22"/>
  <c r="F22"/>
  <c r="E22"/>
  <c r="N21"/>
  <c r="M21"/>
  <c r="L21"/>
  <c r="K21"/>
  <c r="J21"/>
  <c r="I21"/>
  <c r="H21"/>
  <c r="G21"/>
  <c r="F21"/>
  <c r="E21"/>
  <c r="N20"/>
  <c r="M20"/>
  <c r="L20"/>
  <c r="K20"/>
  <c r="J20"/>
  <c r="I20"/>
  <c r="H20"/>
  <c r="G20"/>
  <c r="F20"/>
  <c r="E20"/>
  <c r="N19"/>
  <c r="M19"/>
  <c r="L19"/>
  <c r="K19"/>
  <c r="J19"/>
  <c r="I19"/>
  <c r="H19"/>
  <c r="G19"/>
  <c r="F19"/>
  <c r="E19"/>
  <c r="N18"/>
  <c r="M18"/>
  <c r="L18"/>
  <c r="K18"/>
  <c r="J18"/>
  <c r="I18"/>
  <c r="H18"/>
  <c r="G18"/>
  <c r="F18"/>
  <c r="E18"/>
  <c r="N17"/>
  <c r="M17"/>
  <c r="L17"/>
  <c r="K17"/>
  <c r="J17"/>
  <c r="I17"/>
  <c r="H17"/>
  <c r="G17"/>
  <c r="F17"/>
  <c r="E17"/>
  <c r="N16"/>
  <c r="M16"/>
  <c r="L16"/>
  <c r="K16"/>
  <c r="J16"/>
  <c r="I16"/>
  <c r="H16"/>
  <c r="G16"/>
  <c r="F16"/>
  <c r="E16"/>
  <c r="A9" i="65"/>
  <c r="E9" s="1"/>
  <c r="I9" s="1"/>
  <c r="B9"/>
  <c r="C9"/>
  <c r="G9" s="1"/>
  <c r="K9" s="1"/>
  <c r="D9"/>
  <c r="H9" s="1"/>
  <c r="L9" s="1"/>
  <c r="A10"/>
  <c r="E10" s="1"/>
  <c r="B10"/>
  <c r="F10" s="1"/>
  <c r="J10" s="1"/>
  <c r="C10"/>
  <c r="G10" s="1"/>
  <c r="K10" s="1"/>
  <c r="D10"/>
  <c r="A11"/>
  <c r="E11" s="1"/>
  <c r="I11" s="1"/>
  <c r="M11" s="1"/>
  <c r="B11"/>
  <c r="F11" s="1"/>
  <c r="J11" s="1"/>
  <c r="N11" s="1"/>
  <c r="C11"/>
  <c r="G11" s="1"/>
  <c r="K11" s="1"/>
  <c r="D11"/>
  <c r="H11" s="1"/>
  <c r="L11" s="1"/>
  <c r="A12"/>
  <c r="E12" s="1"/>
  <c r="I12" s="1"/>
  <c r="M12" s="1"/>
  <c r="B12"/>
  <c r="F12" s="1"/>
  <c r="J12" s="1"/>
  <c r="N12" s="1"/>
  <c r="C12"/>
  <c r="G12" s="1"/>
  <c r="K12" s="1"/>
  <c r="D12"/>
  <c r="H12" s="1"/>
  <c r="L12" s="1"/>
  <c r="A13"/>
  <c r="E13" s="1"/>
  <c r="I13" s="1"/>
  <c r="M13" s="1"/>
  <c r="B13"/>
  <c r="F13" s="1"/>
  <c r="J13" s="1"/>
  <c r="N13" s="1"/>
  <c r="C13"/>
  <c r="G13" s="1"/>
  <c r="K13" s="1"/>
  <c r="D13"/>
  <c r="H13" s="1"/>
  <c r="L13" s="1"/>
  <c r="A14"/>
  <c r="E14" s="1"/>
  <c r="I14" s="1"/>
  <c r="M14" s="1"/>
  <c r="B14"/>
  <c r="F14" s="1"/>
  <c r="J14" s="1"/>
  <c r="N14" s="1"/>
  <c r="C14"/>
  <c r="G14" s="1"/>
  <c r="K14" s="1"/>
  <c r="D14"/>
  <c r="H14" s="1"/>
  <c r="L14" s="1"/>
  <c r="A15"/>
  <c r="E15" s="1"/>
  <c r="I15" s="1"/>
  <c r="M15" s="1"/>
  <c r="B15"/>
  <c r="F15" s="1"/>
  <c r="J15" s="1"/>
  <c r="N15" s="1"/>
  <c r="C15"/>
  <c r="G15" s="1"/>
  <c r="K15" s="1"/>
  <c r="D15"/>
  <c r="H15" s="1"/>
  <c r="L15" s="1"/>
  <c r="A16"/>
  <c r="E16" s="1"/>
  <c r="I16" s="1"/>
  <c r="M16" s="1"/>
  <c r="B16"/>
  <c r="F16" s="1"/>
  <c r="J16" s="1"/>
  <c r="N16" s="1"/>
  <c r="C16"/>
  <c r="G16" s="1"/>
  <c r="K16" s="1"/>
  <c r="D16"/>
  <c r="H16" s="1"/>
  <c r="L16" s="1"/>
  <c r="A17"/>
  <c r="E17" s="1"/>
  <c r="I17" s="1"/>
  <c r="M17" s="1"/>
  <c r="B17"/>
  <c r="F17" s="1"/>
  <c r="J17" s="1"/>
  <c r="N17" s="1"/>
  <c r="C17"/>
  <c r="G17" s="1"/>
  <c r="K17" s="1"/>
  <c r="D17"/>
  <c r="H17" s="1"/>
  <c r="L17" s="1"/>
  <c r="A18"/>
  <c r="E18" s="1"/>
  <c r="I18" s="1"/>
  <c r="M18" s="1"/>
  <c r="B18"/>
  <c r="F18" s="1"/>
  <c r="J18" s="1"/>
  <c r="N18" s="1"/>
  <c r="C18"/>
  <c r="G18" s="1"/>
  <c r="K18" s="1"/>
  <c r="D18"/>
  <c r="H18" s="1"/>
  <c r="L18" s="1"/>
  <c r="A19"/>
  <c r="E19" s="1"/>
  <c r="I19" s="1"/>
  <c r="M19" s="1"/>
  <c r="B19"/>
  <c r="F19" s="1"/>
  <c r="J19" s="1"/>
  <c r="N19" s="1"/>
  <c r="C19"/>
  <c r="G19" s="1"/>
  <c r="K19" s="1"/>
  <c r="D19"/>
  <c r="H19" s="1"/>
  <c r="L19" s="1"/>
  <c r="D8"/>
  <c r="H8" s="1"/>
  <c r="L8" s="1"/>
  <c r="C8"/>
  <c r="G8" s="1"/>
  <c r="K8" s="1"/>
  <c r="B8"/>
  <c r="F8" s="1"/>
  <c r="J8" s="1"/>
  <c r="N8" s="1"/>
  <c r="A8"/>
  <c r="A4"/>
  <c r="A3"/>
  <c r="A2"/>
  <c r="A9" i="64"/>
  <c r="E9" s="1"/>
  <c r="B9"/>
  <c r="C9"/>
  <c r="D9"/>
  <c r="A10"/>
  <c r="E10" s="1"/>
  <c r="B10"/>
  <c r="C10"/>
  <c r="D10"/>
  <c r="A11"/>
  <c r="E11" s="1"/>
  <c r="B11"/>
  <c r="C11"/>
  <c r="D11"/>
  <c r="A12"/>
  <c r="F12"/>
  <c r="B12"/>
  <c r="C12"/>
  <c r="D12"/>
  <c r="A13"/>
  <c r="F13" s="1"/>
  <c r="B13"/>
  <c r="C13"/>
  <c r="D13"/>
  <c r="A14"/>
  <c r="F14" s="1"/>
  <c r="B14"/>
  <c r="C14"/>
  <c r="D14"/>
  <c r="A15"/>
  <c r="F15" s="1"/>
  <c r="B15"/>
  <c r="C15"/>
  <c r="D15"/>
  <c r="A16"/>
  <c r="F16" s="1"/>
  <c r="B16"/>
  <c r="C16"/>
  <c r="D16"/>
  <c r="A17"/>
  <c r="F17" s="1"/>
  <c r="B17"/>
  <c r="C17"/>
  <c r="D17"/>
  <c r="A18"/>
  <c r="F18" s="1"/>
  <c r="B18"/>
  <c r="C18"/>
  <c r="D18"/>
  <c r="A19"/>
  <c r="F19" s="1"/>
  <c r="B19"/>
  <c r="C19"/>
  <c r="D19"/>
  <c r="D8"/>
  <c r="C8"/>
  <c r="B8"/>
  <c r="A8"/>
  <c r="F8" s="1"/>
  <c r="A4"/>
  <c r="A3"/>
  <c r="A2"/>
  <c r="B3" i="63"/>
  <c r="H20"/>
  <c r="G20"/>
  <c r="F20"/>
  <c r="E20"/>
  <c r="H19"/>
  <c r="G19"/>
  <c r="F19"/>
  <c r="E19"/>
  <c r="H18"/>
  <c r="G18"/>
  <c r="F18"/>
  <c r="E18"/>
  <c r="H17"/>
  <c r="G17"/>
  <c r="F17"/>
  <c r="E17"/>
  <c r="H16"/>
  <c r="G16"/>
  <c r="F16"/>
  <c r="E16"/>
  <c r="H15"/>
  <c r="G15"/>
  <c r="F15"/>
  <c r="E15"/>
  <c r="H14"/>
  <c r="G14"/>
  <c r="F14"/>
  <c r="E14"/>
  <c r="H13"/>
  <c r="G13"/>
  <c r="F13"/>
  <c r="E13"/>
  <c r="A9" i="62"/>
  <c r="L9" s="1"/>
  <c r="B9"/>
  <c r="C9"/>
  <c r="A10"/>
  <c r="B10"/>
  <c r="C10"/>
  <c r="A11"/>
  <c r="B11"/>
  <c r="C11"/>
  <c r="A12"/>
  <c r="B12"/>
  <c r="C12"/>
  <c r="A13"/>
  <c r="L13" s="1"/>
  <c r="B13"/>
  <c r="C13"/>
  <c r="A14"/>
  <c r="B14"/>
  <c r="C14"/>
  <c r="D14"/>
  <c r="C8"/>
  <c r="B8"/>
  <c r="A8"/>
  <c r="A4"/>
  <c r="D30"/>
  <c r="C30"/>
  <c r="B30"/>
  <c r="A30"/>
  <c r="N30" s="1"/>
  <c r="D29"/>
  <c r="C29"/>
  <c r="B29"/>
  <c r="A29"/>
  <c r="N29"/>
  <c r="D28"/>
  <c r="C28"/>
  <c r="B28"/>
  <c r="A28"/>
  <c r="N28" s="1"/>
  <c r="D27"/>
  <c r="C27"/>
  <c r="B27"/>
  <c r="A27"/>
  <c r="N27" s="1"/>
  <c r="D26"/>
  <c r="C26"/>
  <c r="B26"/>
  <c r="A26"/>
  <c r="N26" s="1"/>
  <c r="D25"/>
  <c r="C25"/>
  <c r="B25"/>
  <c r="A25"/>
  <c r="N25" s="1"/>
  <c r="D24"/>
  <c r="C24"/>
  <c r="B24"/>
  <c r="A24"/>
  <c r="N24" s="1"/>
  <c r="D23"/>
  <c r="C23"/>
  <c r="B23"/>
  <c r="A23"/>
  <c r="N23" s="1"/>
  <c r="D22"/>
  <c r="C22"/>
  <c r="B22"/>
  <c r="A22"/>
  <c r="N22" s="1"/>
  <c r="D21"/>
  <c r="C21"/>
  <c r="B21"/>
  <c r="A21"/>
  <c r="N21"/>
  <c r="D20"/>
  <c r="C20"/>
  <c r="B20"/>
  <c r="A20"/>
  <c r="N20" s="1"/>
  <c r="D19"/>
  <c r="C19"/>
  <c r="B19"/>
  <c r="A19"/>
  <c r="N19" s="1"/>
  <c r="D18"/>
  <c r="C18"/>
  <c r="B18"/>
  <c r="A18"/>
  <c r="N18" s="1"/>
  <c r="D17"/>
  <c r="C17"/>
  <c r="B17"/>
  <c r="A17"/>
  <c r="N17" s="1"/>
  <c r="D16"/>
  <c r="C16"/>
  <c r="B16"/>
  <c r="A16"/>
  <c r="N16" s="1"/>
  <c r="D15"/>
  <c r="C15"/>
  <c r="B15"/>
  <c r="A15"/>
  <c r="N15" s="1"/>
  <c r="N14"/>
  <c r="A4" i="61"/>
  <c r="N31"/>
  <c r="M31"/>
  <c r="L31"/>
  <c r="K31"/>
  <c r="J31"/>
  <c r="I31"/>
  <c r="H31"/>
  <c r="G31"/>
  <c r="F31"/>
  <c r="E31"/>
  <c r="N30"/>
  <c r="M30"/>
  <c r="L30"/>
  <c r="K30"/>
  <c r="J30"/>
  <c r="I30"/>
  <c r="H30"/>
  <c r="G30"/>
  <c r="F30"/>
  <c r="E30"/>
  <c r="N29"/>
  <c r="M29"/>
  <c r="L29"/>
  <c r="K29"/>
  <c r="J29"/>
  <c r="I29"/>
  <c r="H29"/>
  <c r="G29"/>
  <c r="F29"/>
  <c r="E29"/>
  <c r="N28"/>
  <c r="M28"/>
  <c r="L28"/>
  <c r="K28"/>
  <c r="J28"/>
  <c r="I28"/>
  <c r="H28"/>
  <c r="G28"/>
  <c r="F28"/>
  <c r="E28"/>
  <c r="N27"/>
  <c r="M27"/>
  <c r="L27"/>
  <c r="K27"/>
  <c r="J27"/>
  <c r="I27"/>
  <c r="H27"/>
  <c r="G27"/>
  <c r="F27"/>
  <c r="E27"/>
  <c r="N26"/>
  <c r="M26"/>
  <c r="L26"/>
  <c r="K26"/>
  <c r="J26"/>
  <c r="I26"/>
  <c r="H26"/>
  <c r="G26"/>
  <c r="F26"/>
  <c r="E26"/>
  <c r="N25"/>
  <c r="M25"/>
  <c r="L25"/>
  <c r="K25"/>
  <c r="J25"/>
  <c r="I25"/>
  <c r="H25"/>
  <c r="G25"/>
  <c r="F25"/>
  <c r="E25"/>
  <c r="N24"/>
  <c r="M24"/>
  <c r="L24"/>
  <c r="K24"/>
  <c r="J24"/>
  <c r="I24"/>
  <c r="H24"/>
  <c r="G24"/>
  <c r="F24"/>
  <c r="E24"/>
  <c r="N23"/>
  <c r="M23"/>
  <c r="L23"/>
  <c r="K23"/>
  <c r="J23"/>
  <c r="I23"/>
  <c r="H23"/>
  <c r="G23"/>
  <c r="F23"/>
  <c r="E23"/>
  <c r="N22"/>
  <c r="M22"/>
  <c r="L22"/>
  <c r="K22"/>
  <c r="J22"/>
  <c r="I22"/>
  <c r="H22"/>
  <c r="G22"/>
  <c r="F22"/>
  <c r="E22"/>
  <c r="N21"/>
  <c r="M21"/>
  <c r="L21"/>
  <c r="K21"/>
  <c r="J21"/>
  <c r="I21"/>
  <c r="H21"/>
  <c r="G21"/>
  <c r="F21"/>
  <c r="E21"/>
  <c r="N20"/>
  <c r="M20"/>
  <c r="L20"/>
  <c r="K20"/>
  <c r="J20"/>
  <c r="I20"/>
  <c r="H20"/>
  <c r="G20"/>
  <c r="F20"/>
  <c r="E20"/>
  <c r="N19"/>
  <c r="M19"/>
  <c r="L19"/>
  <c r="K19"/>
  <c r="J19"/>
  <c r="I19"/>
  <c r="H19"/>
  <c r="G19"/>
  <c r="F19"/>
  <c r="E19"/>
  <c r="N18"/>
  <c r="M18"/>
  <c r="L18"/>
  <c r="K18"/>
  <c r="J18"/>
  <c r="I18"/>
  <c r="H18"/>
  <c r="G18"/>
  <c r="F18"/>
  <c r="E18"/>
  <c r="N17"/>
  <c r="M17"/>
  <c r="L17"/>
  <c r="K17"/>
  <c r="J17"/>
  <c r="I17"/>
  <c r="H17"/>
  <c r="G17"/>
  <c r="F17"/>
  <c r="E17"/>
  <c r="N16"/>
  <c r="M16"/>
  <c r="L16"/>
  <c r="K16"/>
  <c r="J16"/>
  <c r="I16"/>
  <c r="H16"/>
  <c r="G16"/>
  <c r="F16"/>
  <c r="E16"/>
  <c r="N15"/>
  <c r="A9" i="37"/>
  <c r="E9" s="1"/>
  <c r="B9"/>
  <c r="C9"/>
  <c r="D9"/>
  <c r="A10"/>
  <c r="F10" s="1"/>
  <c r="B10"/>
  <c r="C10"/>
  <c r="D10"/>
  <c r="A11"/>
  <c r="E11" s="1"/>
  <c r="B11"/>
  <c r="C11"/>
  <c r="D11"/>
  <c r="A12"/>
  <c r="F12" s="1"/>
  <c r="B12"/>
  <c r="C12"/>
  <c r="D12"/>
  <c r="A13"/>
  <c r="E13" s="1"/>
  <c r="B13"/>
  <c r="C13"/>
  <c r="D13"/>
  <c r="A14"/>
  <c r="F14" s="1"/>
  <c r="B14"/>
  <c r="C14"/>
  <c r="D14"/>
  <c r="A15"/>
  <c r="E15" s="1"/>
  <c r="B15"/>
  <c r="C15"/>
  <c r="D15"/>
  <c r="A16"/>
  <c r="F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F21" s="1"/>
  <c r="B21"/>
  <c r="C21"/>
  <c r="D21"/>
  <c r="A22"/>
  <c r="E22" s="1"/>
  <c r="B22"/>
  <c r="C22"/>
  <c r="D22"/>
  <c r="A23"/>
  <c r="F23" s="1"/>
  <c r="B23"/>
  <c r="C23"/>
  <c r="D23"/>
  <c r="A24"/>
  <c r="E24" s="1"/>
  <c r="B24"/>
  <c r="C24"/>
  <c r="D24"/>
  <c r="A25"/>
  <c r="F25" s="1"/>
  <c r="B25"/>
  <c r="C25"/>
  <c r="D25"/>
  <c r="A26"/>
  <c r="E26"/>
  <c r="B26"/>
  <c r="C26"/>
  <c r="D26"/>
  <c r="A27"/>
  <c r="F27" s="1"/>
  <c r="B27"/>
  <c r="C27"/>
  <c r="D27"/>
  <c r="A28"/>
  <c r="E28" s="1"/>
  <c r="B28"/>
  <c r="C28"/>
  <c r="D28"/>
  <c r="A29"/>
  <c r="F29" s="1"/>
  <c r="B29"/>
  <c r="C29"/>
  <c r="D29"/>
  <c r="A30"/>
  <c r="E30" s="1"/>
  <c r="B30"/>
  <c r="C30"/>
  <c r="D30"/>
  <c r="A31"/>
  <c r="F31" s="1"/>
  <c r="B31"/>
  <c r="C31"/>
  <c r="D31"/>
  <c r="A32"/>
  <c r="E32" s="1"/>
  <c r="B32"/>
  <c r="C32"/>
  <c r="D32"/>
  <c r="A33"/>
  <c r="F33" s="1"/>
  <c r="B33"/>
  <c r="C33"/>
  <c r="D33"/>
  <c r="A34"/>
  <c r="E34"/>
  <c r="B34"/>
  <c r="C34"/>
  <c r="D34"/>
  <c r="A35"/>
  <c r="F35" s="1"/>
  <c r="B35"/>
  <c r="C35"/>
  <c r="D35"/>
  <c r="A36"/>
  <c r="E36" s="1"/>
  <c r="B36"/>
  <c r="C36"/>
  <c r="D36"/>
  <c r="B8"/>
  <c r="C8"/>
  <c r="D8"/>
  <c r="A8"/>
  <c r="F8" s="1"/>
  <c r="A9" i="32"/>
  <c r="F9" s="1"/>
  <c r="B9"/>
  <c r="C9"/>
  <c r="D9"/>
  <c r="A10"/>
  <c r="F10" s="1"/>
  <c r="B10"/>
  <c r="C10"/>
  <c r="D10"/>
  <c r="A11"/>
  <c r="E11" s="1"/>
  <c r="B11"/>
  <c r="C11"/>
  <c r="D11"/>
  <c r="A12"/>
  <c r="F12" s="1"/>
  <c r="B12"/>
  <c r="C12"/>
  <c r="D12"/>
  <c r="A13"/>
  <c r="F13" s="1"/>
  <c r="B13"/>
  <c r="C13"/>
  <c r="D13"/>
  <c r="A14"/>
  <c r="E14" s="1"/>
  <c r="B14"/>
  <c r="C14"/>
  <c r="D14"/>
  <c r="A15"/>
  <c r="F15" s="1"/>
  <c r="B15"/>
  <c r="C15"/>
  <c r="D15"/>
  <c r="A16"/>
  <c r="E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F21" s="1"/>
  <c r="B21"/>
  <c r="C21"/>
  <c r="D21"/>
  <c r="A22"/>
  <c r="E22" s="1"/>
  <c r="B22"/>
  <c r="C22"/>
  <c r="D22"/>
  <c r="A23"/>
  <c r="F23"/>
  <c r="B23"/>
  <c r="C23"/>
  <c r="D23"/>
  <c r="A24"/>
  <c r="E24" s="1"/>
  <c r="B24"/>
  <c r="C24"/>
  <c r="D24"/>
  <c r="A25"/>
  <c r="F25" s="1"/>
  <c r="B25"/>
  <c r="C25"/>
  <c r="D25"/>
  <c r="A26"/>
  <c r="E26" s="1"/>
  <c r="B26"/>
  <c r="C26"/>
  <c r="D26"/>
  <c r="A27"/>
  <c r="F27" s="1"/>
  <c r="B27"/>
  <c r="C27"/>
  <c r="D27"/>
  <c r="A28"/>
  <c r="E28" s="1"/>
  <c r="B28"/>
  <c r="C28"/>
  <c r="D28"/>
  <c r="A29"/>
  <c r="F29" s="1"/>
  <c r="B29"/>
  <c r="C29"/>
  <c r="D29"/>
  <c r="A30"/>
  <c r="E30" s="1"/>
  <c r="B30"/>
  <c r="C30"/>
  <c r="D30"/>
  <c r="A31"/>
  <c r="F31"/>
  <c r="B31"/>
  <c r="C31"/>
  <c r="D31"/>
  <c r="A32"/>
  <c r="E32" s="1"/>
  <c r="B32"/>
  <c r="C32"/>
  <c r="D32"/>
  <c r="A33"/>
  <c r="F33" s="1"/>
  <c r="B33"/>
  <c r="C33"/>
  <c r="D33"/>
  <c r="A34"/>
  <c r="E34" s="1"/>
  <c r="B34"/>
  <c r="C34"/>
  <c r="D34"/>
  <c r="A35"/>
  <c r="F35" s="1"/>
  <c r="B35"/>
  <c r="C35"/>
  <c r="D35"/>
  <c r="A36"/>
  <c r="E36" s="1"/>
  <c r="B36"/>
  <c r="C36"/>
  <c r="D36"/>
  <c r="B8"/>
  <c r="C8"/>
  <c r="D8"/>
  <c r="A8"/>
  <c r="F8" s="1"/>
  <c r="A9" i="27"/>
  <c r="E9" s="1"/>
  <c r="B9"/>
  <c r="C9"/>
  <c r="D9"/>
  <c r="A10"/>
  <c r="F10" s="1"/>
  <c r="B10"/>
  <c r="C10"/>
  <c r="D10"/>
  <c r="A11"/>
  <c r="E11" s="1"/>
  <c r="B11"/>
  <c r="C11"/>
  <c r="D11"/>
  <c r="A12"/>
  <c r="F12" s="1"/>
  <c r="B12"/>
  <c r="C12"/>
  <c r="D12"/>
  <c r="A13"/>
  <c r="E13" s="1"/>
  <c r="B13"/>
  <c r="C13"/>
  <c r="D13"/>
  <c r="A14"/>
  <c r="F14" s="1"/>
  <c r="B14"/>
  <c r="C14"/>
  <c r="D14"/>
  <c r="A15"/>
  <c r="E15" s="1"/>
  <c r="B15"/>
  <c r="C15"/>
  <c r="D15"/>
  <c r="A16"/>
  <c r="F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F21" s="1"/>
  <c r="B21"/>
  <c r="C21"/>
  <c r="D21"/>
  <c r="A22"/>
  <c r="E22" s="1"/>
  <c r="B22"/>
  <c r="C22"/>
  <c r="D22"/>
  <c r="A23"/>
  <c r="F23" s="1"/>
  <c r="B23"/>
  <c r="C23"/>
  <c r="D23"/>
  <c r="A24"/>
  <c r="E24" s="1"/>
  <c r="B24"/>
  <c r="C24"/>
  <c r="D24"/>
  <c r="A25"/>
  <c r="F25" s="1"/>
  <c r="B25"/>
  <c r="C25"/>
  <c r="D25"/>
  <c r="A26"/>
  <c r="E26" s="1"/>
  <c r="B26"/>
  <c r="C26"/>
  <c r="D26"/>
  <c r="A27"/>
  <c r="F27" s="1"/>
  <c r="B27"/>
  <c r="C27"/>
  <c r="D27"/>
  <c r="A28"/>
  <c r="E28"/>
  <c r="B28"/>
  <c r="C28"/>
  <c r="D28"/>
  <c r="A29"/>
  <c r="F29" s="1"/>
  <c r="B29"/>
  <c r="C29"/>
  <c r="D29"/>
  <c r="A30"/>
  <c r="E30" s="1"/>
  <c r="B30"/>
  <c r="C30"/>
  <c r="D30"/>
  <c r="A31"/>
  <c r="F31" s="1"/>
  <c r="B31"/>
  <c r="C31"/>
  <c r="D31"/>
  <c r="A32"/>
  <c r="E32" s="1"/>
  <c r="B32"/>
  <c r="C32"/>
  <c r="D32"/>
  <c r="A33"/>
  <c r="F33" s="1"/>
  <c r="B33"/>
  <c r="C33"/>
  <c r="D33"/>
  <c r="A34"/>
  <c r="E34" s="1"/>
  <c r="B34"/>
  <c r="C34"/>
  <c r="D34"/>
  <c r="A35"/>
  <c r="F35" s="1"/>
  <c r="B35"/>
  <c r="C35"/>
  <c r="D35"/>
  <c r="A36"/>
  <c r="E36"/>
  <c r="B36"/>
  <c r="C36"/>
  <c r="D36"/>
  <c r="B8"/>
  <c r="C8"/>
  <c r="D8"/>
  <c r="A8"/>
  <c r="F8" s="1"/>
  <c r="A9" i="22"/>
  <c r="F9" s="1"/>
  <c r="B9"/>
  <c r="C9"/>
  <c r="D9"/>
  <c r="A10"/>
  <c r="E10" s="1"/>
  <c r="B10"/>
  <c r="C10"/>
  <c r="D10"/>
  <c r="A11"/>
  <c r="F11" s="1"/>
  <c r="B11"/>
  <c r="C11"/>
  <c r="D11"/>
  <c r="A12"/>
  <c r="E12" s="1"/>
  <c r="B12"/>
  <c r="C12"/>
  <c r="D12"/>
  <c r="A13"/>
  <c r="F13" s="1"/>
  <c r="B13"/>
  <c r="C13"/>
  <c r="D13"/>
  <c r="A14"/>
  <c r="E14" s="1"/>
  <c r="B14"/>
  <c r="C14"/>
  <c r="D14"/>
  <c r="A15"/>
  <c r="F15" s="1"/>
  <c r="B15"/>
  <c r="C15"/>
  <c r="D15"/>
  <c r="A16"/>
  <c r="E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F21" s="1"/>
  <c r="B21"/>
  <c r="C21"/>
  <c r="D21"/>
  <c r="A22"/>
  <c r="E22" s="1"/>
  <c r="B22"/>
  <c r="C22"/>
  <c r="D22"/>
  <c r="A23"/>
  <c r="F23" s="1"/>
  <c r="B23"/>
  <c r="C23"/>
  <c r="D23"/>
  <c r="A24"/>
  <c r="E24" s="1"/>
  <c r="B24"/>
  <c r="C24"/>
  <c r="D24"/>
  <c r="A25"/>
  <c r="F25"/>
  <c r="B25"/>
  <c r="C25"/>
  <c r="D25"/>
  <c r="A26"/>
  <c r="E26" s="1"/>
  <c r="B26"/>
  <c r="C26"/>
  <c r="D26"/>
  <c r="A27"/>
  <c r="F27" s="1"/>
  <c r="B27"/>
  <c r="C27"/>
  <c r="D27"/>
  <c r="A28"/>
  <c r="E28" s="1"/>
  <c r="B28"/>
  <c r="C28"/>
  <c r="D28"/>
  <c r="A29"/>
  <c r="F29" s="1"/>
  <c r="B29"/>
  <c r="C29"/>
  <c r="D29"/>
  <c r="A30"/>
  <c r="E30" s="1"/>
  <c r="B30"/>
  <c r="C30"/>
  <c r="D30"/>
  <c r="A31"/>
  <c r="F31" s="1"/>
  <c r="B31"/>
  <c r="C31"/>
  <c r="D31"/>
  <c r="A32"/>
  <c r="E32" s="1"/>
  <c r="B32"/>
  <c r="C32"/>
  <c r="D32"/>
  <c r="A33"/>
  <c r="F33"/>
  <c r="B33"/>
  <c r="C33"/>
  <c r="D33"/>
  <c r="A34"/>
  <c r="E34" s="1"/>
  <c r="B34"/>
  <c r="C34"/>
  <c r="D34"/>
  <c r="A35"/>
  <c r="F35" s="1"/>
  <c r="B35"/>
  <c r="C35"/>
  <c r="D35"/>
  <c r="A36"/>
  <c r="E36" s="1"/>
  <c r="B36"/>
  <c r="C36"/>
  <c r="D36"/>
  <c r="B8"/>
  <c r="C8"/>
  <c r="D8"/>
  <c r="A8"/>
  <c r="F8" s="1"/>
  <c r="A9" i="36"/>
  <c r="E9" s="1"/>
  <c r="B9"/>
  <c r="C9"/>
  <c r="D9"/>
  <c r="A10"/>
  <c r="F10" s="1"/>
  <c r="B10"/>
  <c r="C10"/>
  <c r="D10"/>
  <c r="A11"/>
  <c r="E11" s="1"/>
  <c r="B11"/>
  <c r="C11"/>
  <c r="D11"/>
  <c r="A12"/>
  <c r="F12" s="1"/>
  <c r="B12"/>
  <c r="C12"/>
  <c r="D12"/>
  <c r="A13"/>
  <c r="E13" s="1"/>
  <c r="B13"/>
  <c r="C13"/>
  <c r="D13"/>
  <c r="A14"/>
  <c r="F14" s="1"/>
  <c r="B14"/>
  <c r="C14"/>
  <c r="D14"/>
  <c r="A15"/>
  <c r="E15" s="1"/>
  <c r="B15"/>
  <c r="C15"/>
  <c r="D15"/>
  <c r="A16"/>
  <c r="F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F21" s="1"/>
  <c r="B21"/>
  <c r="C21"/>
  <c r="D21"/>
  <c r="A22"/>
  <c r="E22"/>
  <c r="B22"/>
  <c r="C22"/>
  <c r="D22"/>
  <c r="A23"/>
  <c r="F23" s="1"/>
  <c r="B23"/>
  <c r="C23"/>
  <c r="D23"/>
  <c r="A24"/>
  <c r="E24" s="1"/>
  <c r="B24"/>
  <c r="C24"/>
  <c r="D24"/>
  <c r="A25"/>
  <c r="F25" s="1"/>
  <c r="B25"/>
  <c r="C25"/>
  <c r="D25"/>
  <c r="A26"/>
  <c r="E26" s="1"/>
  <c r="B26"/>
  <c r="C26"/>
  <c r="D26"/>
  <c r="A27"/>
  <c r="F27" s="1"/>
  <c r="B27"/>
  <c r="C27"/>
  <c r="D27"/>
  <c r="A28"/>
  <c r="E28" s="1"/>
  <c r="B28"/>
  <c r="C28"/>
  <c r="D28"/>
  <c r="A29"/>
  <c r="F29" s="1"/>
  <c r="B29"/>
  <c r="C29"/>
  <c r="D29"/>
  <c r="A30"/>
  <c r="E30"/>
  <c r="B30"/>
  <c r="C30"/>
  <c r="D30"/>
  <c r="A31"/>
  <c r="F31" s="1"/>
  <c r="B31"/>
  <c r="C31"/>
  <c r="D31"/>
  <c r="A32"/>
  <c r="E32" s="1"/>
  <c r="B32"/>
  <c r="C32"/>
  <c r="D32"/>
  <c r="A33"/>
  <c r="F33" s="1"/>
  <c r="B33"/>
  <c r="C33"/>
  <c r="D33"/>
  <c r="A34"/>
  <c r="E34" s="1"/>
  <c r="B34"/>
  <c r="C34"/>
  <c r="D34"/>
  <c r="A35"/>
  <c r="F35" s="1"/>
  <c r="B35"/>
  <c r="C35"/>
  <c r="D35"/>
  <c r="A36"/>
  <c r="E36" s="1"/>
  <c r="B36"/>
  <c r="C36"/>
  <c r="D36"/>
  <c r="B8"/>
  <c r="C8"/>
  <c r="D8"/>
  <c r="A8"/>
  <c r="H8" s="1"/>
  <c r="A9" i="31"/>
  <c r="G9" s="1"/>
  <c r="B9"/>
  <c r="C9"/>
  <c r="D9"/>
  <c r="A10"/>
  <c r="F10" s="1"/>
  <c r="B10"/>
  <c r="C10"/>
  <c r="D10"/>
  <c r="A11"/>
  <c r="E11" s="1"/>
  <c r="B11"/>
  <c r="C11"/>
  <c r="D11"/>
  <c r="A12"/>
  <c r="H12" s="1"/>
  <c r="B12"/>
  <c r="C12"/>
  <c r="D12"/>
  <c r="A13"/>
  <c r="H13" s="1"/>
  <c r="B13"/>
  <c r="C13"/>
  <c r="D13"/>
  <c r="A14"/>
  <c r="G14" s="1"/>
  <c r="B14"/>
  <c r="C14"/>
  <c r="D14"/>
  <c r="A15"/>
  <c r="F15" s="1"/>
  <c r="B15"/>
  <c r="C15"/>
  <c r="D15"/>
  <c r="A16"/>
  <c r="E16" s="1"/>
  <c r="B16"/>
  <c r="C16"/>
  <c r="D16"/>
  <c r="A17"/>
  <c r="H17" s="1"/>
  <c r="B17"/>
  <c r="C17"/>
  <c r="D17"/>
  <c r="A18"/>
  <c r="G18" s="1"/>
  <c r="B18"/>
  <c r="C18"/>
  <c r="D18"/>
  <c r="A19"/>
  <c r="F19" s="1"/>
  <c r="B19"/>
  <c r="C19"/>
  <c r="D19"/>
  <c r="A20"/>
  <c r="E20" s="1"/>
  <c r="B20"/>
  <c r="C20"/>
  <c r="D20"/>
  <c r="A21"/>
  <c r="H21" s="1"/>
  <c r="B21"/>
  <c r="C21"/>
  <c r="D21"/>
  <c r="A22"/>
  <c r="G22" s="1"/>
  <c r="B22"/>
  <c r="C22"/>
  <c r="D22"/>
  <c r="A23"/>
  <c r="F23" s="1"/>
  <c r="B23"/>
  <c r="C23"/>
  <c r="D23"/>
  <c r="A24"/>
  <c r="E24" s="1"/>
  <c r="B24"/>
  <c r="C24"/>
  <c r="D24"/>
  <c r="A25"/>
  <c r="H25" s="1"/>
  <c r="B25"/>
  <c r="C25"/>
  <c r="D25"/>
  <c r="A26"/>
  <c r="G26" s="1"/>
  <c r="B26"/>
  <c r="C26"/>
  <c r="D26"/>
  <c r="A27"/>
  <c r="F27" s="1"/>
  <c r="B27"/>
  <c r="C27"/>
  <c r="D27"/>
  <c r="A28"/>
  <c r="E28" s="1"/>
  <c r="B28"/>
  <c r="C28"/>
  <c r="D28"/>
  <c r="A29"/>
  <c r="H29" s="1"/>
  <c r="B29"/>
  <c r="C29"/>
  <c r="D29"/>
  <c r="A30"/>
  <c r="F30" s="1"/>
  <c r="B30"/>
  <c r="C30"/>
  <c r="D30"/>
  <c r="A31"/>
  <c r="E31" s="1"/>
  <c r="B31"/>
  <c r="C31"/>
  <c r="D31"/>
  <c r="A32"/>
  <c r="F32" s="1"/>
  <c r="B32"/>
  <c r="C32"/>
  <c r="D32"/>
  <c r="A33"/>
  <c r="E33" s="1"/>
  <c r="B33"/>
  <c r="C33"/>
  <c r="D33"/>
  <c r="A34"/>
  <c r="F34" s="1"/>
  <c r="B34"/>
  <c r="C34"/>
  <c r="D34"/>
  <c r="A35"/>
  <c r="E35" s="1"/>
  <c r="B35"/>
  <c r="C35"/>
  <c r="D35"/>
  <c r="A36"/>
  <c r="F36" s="1"/>
  <c r="B36"/>
  <c r="C36"/>
  <c r="D36"/>
  <c r="E9"/>
  <c r="H10"/>
  <c r="F12"/>
  <c r="E14"/>
  <c r="H15"/>
  <c r="I18"/>
  <c r="E22"/>
  <c r="I22"/>
  <c r="H23"/>
  <c r="G24"/>
  <c r="F25"/>
  <c r="E26"/>
  <c r="I26"/>
  <c r="H27"/>
  <c r="G28"/>
  <c r="F29"/>
  <c r="E30"/>
  <c r="G30"/>
  <c r="I30"/>
  <c r="F31"/>
  <c r="H31"/>
  <c r="E32"/>
  <c r="G32"/>
  <c r="I32"/>
  <c r="F33"/>
  <c r="H33"/>
  <c r="E34"/>
  <c r="G34"/>
  <c r="I34"/>
  <c r="F35"/>
  <c r="H35"/>
  <c r="E36"/>
  <c r="G36"/>
  <c r="I36"/>
  <c r="B8"/>
  <c r="C8"/>
  <c r="D8"/>
  <c r="A8"/>
  <c r="F8" s="1"/>
  <c r="A9" i="26"/>
  <c r="E9" s="1"/>
  <c r="B9"/>
  <c r="C9"/>
  <c r="D9"/>
  <c r="A10"/>
  <c r="F10" s="1"/>
  <c r="B10"/>
  <c r="C10"/>
  <c r="D10"/>
  <c r="A11"/>
  <c r="E11" s="1"/>
  <c r="B11"/>
  <c r="C11"/>
  <c r="D11"/>
  <c r="A12"/>
  <c r="F12" s="1"/>
  <c r="B12"/>
  <c r="C12"/>
  <c r="D12"/>
  <c r="A13"/>
  <c r="E13" s="1"/>
  <c r="B13"/>
  <c r="C13"/>
  <c r="D13"/>
  <c r="A14"/>
  <c r="F14" s="1"/>
  <c r="B14"/>
  <c r="C14"/>
  <c r="D14"/>
  <c r="A15"/>
  <c r="E15" s="1"/>
  <c r="B15"/>
  <c r="C15"/>
  <c r="D15"/>
  <c r="A16"/>
  <c r="F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F21" s="1"/>
  <c r="B21"/>
  <c r="C21"/>
  <c r="D21"/>
  <c r="A22"/>
  <c r="E22" s="1"/>
  <c r="B22"/>
  <c r="C22"/>
  <c r="D22"/>
  <c r="A23"/>
  <c r="F23" s="1"/>
  <c r="B23"/>
  <c r="C23"/>
  <c r="D23"/>
  <c r="A24"/>
  <c r="E24" s="1"/>
  <c r="B24"/>
  <c r="C24"/>
  <c r="D24"/>
  <c r="A25"/>
  <c r="F25" s="1"/>
  <c r="B25"/>
  <c r="C25"/>
  <c r="D25"/>
  <c r="A26"/>
  <c r="E26" s="1"/>
  <c r="B26"/>
  <c r="C26"/>
  <c r="D26"/>
  <c r="A27"/>
  <c r="F27" s="1"/>
  <c r="B27"/>
  <c r="C27"/>
  <c r="D27"/>
  <c r="A28"/>
  <c r="E28"/>
  <c r="B28"/>
  <c r="C28"/>
  <c r="D28"/>
  <c r="A29"/>
  <c r="F29" s="1"/>
  <c r="B29"/>
  <c r="C29"/>
  <c r="D29"/>
  <c r="A30"/>
  <c r="E30" s="1"/>
  <c r="B30"/>
  <c r="C30"/>
  <c r="D30"/>
  <c r="A31"/>
  <c r="F31" s="1"/>
  <c r="B31"/>
  <c r="C31"/>
  <c r="D31"/>
  <c r="A32"/>
  <c r="E32" s="1"/>
  <c r="B32"/>
  <c r="C32"/>
  <c r="D32"/>
  <c r="A33"/>
  <c r="F33" s="1"/>
  <c r="B33"/>
  <c r="C33"/>
  <c r="D33"/>
  <c r="A34"/>
  <c r="E34" s="1"/>
  <c r="B34"/>
  <c r="C34"/>
  <c r="D34"/>
  <c r="A35"/>
  <c r="F35" s="1"/>
  <c r="B35"/>
  <c r="C35"/>
  <c r="D35"/>
  <c r="A36"/>
  <c r="E36"/>
  <c r="B36"/>
  <c r="C36"/>
  <c r="D36"/>
  <c r="B8"/>
  <c r="C8"/>
  <c r="D8"/>
  <c r="A8"/>
  <c r="G8" s="1"/>
  <c r="A9" i="21"/>
  <c r="E9" s="1"/>
  <c r="B9"/>
  <c r="C9"/>
  <c r="D9"/>
  <c r="A10"/>
  <c r="F10" s="1"/>
  <c r="B10"/>
  <c r="C10"/>
  <c r="D10"/>
  <c r="A11"/>
  <c r="E11" s="1"/>
  <c r="B11"/>
  <c r="C11"/>
  <c r="D11"/>
  <c r="A12"/>
  <c r="F12" s="1"/>
  <c r="B12"/>
  <c r="C12"/>
  <c r="D12"/>
  <c r="A13"/>
  <c r="E13" s="1"/>
  <c r="B13"/>
  <c r="C13"/>
  <c r="D13"/>
  <c r="A14"/>
  <c r="F14" s="1"/>
  <c r="B14"/>
  <c r="C14"/>
  <c r="D14"/>
  <c r="A15"/>
  <c r="E15" s="1"/>
  <c r="B15"/>
  <c r="C15"/>
  <c r="D15"/>
  <c r="A16"/>
  <c r="F16" s="1"/>
  <c r="B16"/>
  <c r="C16"/>
  <c r="D16"/>
  <c r="A17"/>
  <c r="E17" s="1"/>
  <c r="B17"/>
  <c r="C17"/>
  <c r="D17"/>
  <c r="A18"/>
  <c r="F18" s="1"/>
  <c r="B18"/>
  <c r="C18"/>
  <c r="D18"/>
  <c r="A19"/>
  <c r="E19" s="1"/>
  <c r="B19"/>
  <c r="C19"/>
  <c r="D19"/>
  <c r="A20"/>
  <c r="F20" s="1"/>
  <c r="B20"/>
  <c r="C20"/>
  <c r="D20"/>
  <c r="A21"/>
  <c r="E21" s="1"/>
  <c r="B21"/>
  <c r="C21"/>
  <c r="D21"/>
  <c r="A22"/>
  <c r="F22" s="1"/>
  <c r="B22"/>
  <c r="C22"/>
  <c r="D22"/>
  <c r="A23"/>
  <c r="E23" s="1"/>
  <c r="B23"/>
  <c r="C23"/>
  <c r="D23"/>
  <c r="A24"/>
  <c r="F24" s="1"/>
  <c r="B24"/>
  <c r="C24"/>
  <c r="D24"/>
  <c r="A25"/>
  <c r="E25"/>
  <c r="B25"/>
  <c r="C25"/>
  <c r="D25"/>
  <c r="A26"/>
  <c r="F26" s="1"/>
  <c r="B26"/>
  <c r="C26"/>
  <c r="D26"/>
  <c r="A27"/>
  <c r="E27" s="1"/>
  <c r="B27"/>
  <c r="C27"/>
  <c r="D27"/>
  <c r="A28"/>
  <c r="F28" s="1"/>
  <c r="B28"/>
  <c r="C28"/>
  <c r="D28"/>
  <c r="A29"/>
  <c r="E29" s="1"/>
  <c r="B29"/>
  <c r="C29"/>
  <c r="D29"/>
  <c r="A30"/>
  <c r="F30" s="1"/>
  <c r="B30"/>
  <c r="C30"/>
  <c r="D30"/>
  <c r="A31"/>
  <c r="E31" s="1"/>
  <c r="B31"/>
  <c r="C31"/>
  <c r="D31"/>
  <c r="A32"/>
  <c r="F32" s="1"/>
  <c r="B32"/>
  <c r="C32"/>
  <c r="D32"/>
  <c r="A33"/>
  <c r="E33"/>
  <c r="B33"/>
  <c r="C33"/>
  <c r="D33"/>
  <c r="A34"/>
  <c r="F34" s="1"/>
  <c r="B34"/>
  <c r="C34"/>
  <c r="D34"/>
  <c r="A35"/>
  <c r="E35" s="1"/>
  <c r="B35"/>
  <c r="C35"/>
  <c r="D35"/>
  <c r="A36"/>
  <c r="F36" s="1"/>
  <c r="B36"/>
  <c r="C36"/>
  <c r="D36"/>
  <c r="B8"/>
  <c r="C8"/>
  <c r="D8"/>
  <c r="A8"/>
  <c r="F8" s="1"/>
  <c r="A9" i="60"/>
  <c r="E9" s="1"/>
  <c r="B9"/>
  <c r="C9"/>
  <c r="G9" s="1"/>
  <c r="K9" s="1"/>
  <c r="D9"/>
  <c r="H9" s="1"/>
  <c r="L9" s="1"/>
  <c r="A10"/>
  <c r="E10" s="1"/>
  <c r="B10"/>
  <c r="F10" s="1"/>
  <c r="J10" s="1"/>
  <c r="C10"/>
  <c r="G10" s="1"/>
  <c r="K10" s="1"/>
  <c r="D10"/>
  <c r="A11"/>
  <c r="E11" s="1"/>
  <c r="I11" s="1"/>
  <c r="M11" s="1"/>
  <c r="B11"/>
  <c r="F11" s="1"/>
  <c r="J11" s="1"/>
  <c r="N11" s="1"/>
  <c r="C11"/>
  <c r="G11" s="1"/>
  <c r="K11" s="1"/>
  <c r="D11"/>
  <c r="A12"/>
  <c r="E12"/>
  <c r="I12" s="1"/>
  <c r="M12" s="1"/>
  <c r="B12"/>
  <c r="F12"/>
  <c r="J12" s="1"/>
  <c r="N12" s="1"/>
  <c r="C12"/>
  <c r="G12" s="1"/>
  <c r="K12" s="1"/>
  <c r="D12"/>
  <c r="H12" s="1"/>
  <c r="L12" s="1"/>
  <c r="A13"/>
  <c r="E13" s="1"/>
  <c r="I13" s="1"/>
  <c r="M13" s="1"/>
  <c r="B13"/>
  <c r="F13" s="1"/>
  <c r="J13" s="1"/>
  <c r="N13" s="1"/>
  <c r="C13"/>
  <c r="G13" s="1"/>
  <c r="K13" s="1"/>
  <c r="D13"/>
  <c r="H13" s="1"/>
  <c r="L13" s="1"/>
  <c r="A14"/>
  <c r="E14" s="1"/>
  <c r="I14" s="1"/>
  <c r="M14" s="1"/>
  <c r="B14"/>
  <c r="F14" s="1"/>
  <c r="J14" s="1"/>
  <c r="N14" s="1"/>
  <c r="C14"/>
  <c r="G14" s="1"/>
  <c r="K14" s="1"/>
  <c r="D14"/>
  <c r="H14" s="1"/>
  <c r="L14" s="1"/>
  <c r="A15"/>
  <c r="E15" s="1"/>
  <c r="I15" s="1"/>
  <c r="M15" s="1"/>
  <c r="B15"/>
  <c r="F15" s="1"/>
  <c r="J15" s="1"/>
  <c r="N15" s="1"/>
  <c r="C15"/>
  <c r="G15" s="1"/>
  <c r="K15" s="1"/>
  <c r="D15"/>
  <c r="H15" s="1"/>
  <c r="L15" s="1"/>
  <c r="A16"/>
  <c r="E16" s="1"/>
  <c r="I16" s="1"/>
  <c r="M16" s="1"/>
  <c r="B16"/>
  <c r="F16" s="1"/>
  <c r="J16" s="1"/>
  <c r="N16" s="1"/>
  <c r="C16"/>
  <c r="G16" s="1"/>
  <c r="K16" s="1"/>
  <c r="D16"/>
  <c r="H16" s="1"/>
  <c r="L16" s="1"/>
  <c r="A17"/>
  <c r="E17" s="1"/>
  <c r="I17" s="1"/>
  <c r="M17" s="1"/>
  <c r="B17"/>
  <c r="F17" s="1"/>
  <c r="J17" s="1"/>
  <c r="N17" s="1"/>
  <c r="C17"/>
  <c r="G17" s="1"/>
  <c r="K17" s="1"/>
  <c r="D17"/>
  <c r="H17" s="1"/>
  <c r="L17" s="1"/>
  <c r="A18"/>
  <c r="E18" s="1"/>
  <c r="I18" s="1"/>
  <c r="M18" s="1"/>
  <c r="B18"/>
  <c r="F18" s="1"/>
  <c r="J18" s="1"/>
  <c r="N18" s="1"/>
  <c r="C18"/>
  <c r="G18" s="1"/>
  <c r="K18" s="1"/>
  <c r="D18"/>
  <c r="H18" s="1"/>
  <c r="L18" s="1"/>
  <c r="A19"/>
  <c r="E19" s="1"/>
  <c r="I19" s="1"/>
  <c r="M19" s="1"/>
  <c r="B19"/>
  <c r="F19" s="1"/>
  <c r="J19" s="1"/>
  <c r="N19" s="1"/>
  <c r="C19"/>
  <c r="G19" s="1"/>
  <c r="K19" s="1"/>
  <c r="D19"/>
  <c r="H19" s="1"/>
  <c r="L19" s="1"/>
  <c r="D8"/>
  <c r="H8" s="1"/>
  <c r="L8" s="1"/>
  <c r="C8"/>
  <c r="G8" s="1"/>
  <c r="B8"/>
  <c r="F8" s="1"/>
  <c r="J8" s="1"/>
  <c r="N8" s="1"/>
  <c r="A8"/>
  <c r="A4"/>
  <c r="A3"/>
  <c r="A2"/>
  <c r="A9" i="59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D8"/>
  <c r="C8"/>
  <c r="B8"/>
  <c r="A8"/>
  <c r="F8" s="1"/>
  <c r="A4"/>
  <c r="A3"/>
  <c r="A2"/>
  <c r="A9" i="57"/>
  <c r="N9" s="1"/>
  <c r="B9"/>
  <c r="C9"/>
  <c r="D9"/>
  <c r="A10"/>
  <c r="B10"/>
  <c r="C10"/>
  <c r="D10"/>
  <c r="A11"/>
  <c r="B11"/>
  <c r="C11"/>
  <c r="D11"/>
  <c r="A12"/>
  <c r="E12" s="1"/>
  <c r="B12"/>
  <c r="C12"/>
  <c r="D12"/>
  <c r="A13"/>
  <c r="M13" s="1"/>
  <c r="B13"/>
  <c r="C13"/>
  <c r="D13"/>
  <c r="A14"/>
  <c r="J14" s="1"/>
  <c r="B14"/>
  <c r="C14"/>
  <c r="D14"/>
  <c r="A15"/>
  <c r="N15" s="1"/>
  <c r="B15"/>
  <c r="C15"/>
  <c r="D15"/>
  <c r="A16"/>
  <c r="N16" s="1"/>
  <c r="B16"/>
  <c r="C16"/>
  <c r="D16"/>
  <c r="A17"/>
  <c r="N17" s="1"/>
  <c r="B17"/>
  <c r="C17"/>
  <c r="D17"/>
  <c r="A18"/>
  <c r="E18" s="1"/>
  <c r="B18"/>
  <c r="C18"/>
  <c r="D18"/>
  <c r="A19"/>
  <c r="N19" s="1"/>
  <c r="B19"/>
  <c r="C19"/>
  <c r="D19"/>
  <c r="A20"/>
  <c r="B20"/>
  <c r="C20"/>
  <c r="D20"/>
  <c r="A21"/>
  <c r="N21"/>
  <c r="B21"/>
  <c r="C21"/>
  <c r="D21"/>
  <c r="A22"/>
  <c r="N22" s="1"/>
  <c r="B22"/>
  <c r="C22"/>
  <c r="D22"/>
  <c r="A23"/>
  <c r="N23" s="1"/>
  <c r="B23"/>
  <c r="C23"/>
  <c r="D23"/>
  <c r="A24"/>
  <c r="N24" s="1"/>
  <c r="B24"/>
  <c r="C24"/>
  <c r="D24"/>
  <c r="A25"/>
  <c r="N25" s="1"/>
  <c r="B25"/>
  <c r="C25"/>
  <c r="D25"/>
  <c r="A26"/>
  <c r="E26" s="1"/>
  <c r="B26"/>
  <c r="C26"/>
  <c r="D26"/>
  <c r="A27"/>
  <c r="N27" s="1"/>
  <c r="B27"/>
  <c r="C27"/>
  <c r="D27"/>
  <c r="A28"/>
  <c r="N28" s="1"/>
  <c r="B28"/>
  <c r="C28"/>
  <c r="D28"/>
  <c r="A29"/>
  <c r="N29" s="1"/>
  <c r="B29"/>
  <c r="C29"/>
  <c r="D29"/>
  <c r="A30"/>
  <c r="N30" s="1"/>
  <c r="B30"/>
  <c r="C30"/>
  <c r="D30"/>
  <c r="D8"/>
  <c r="C8"/>
  <c r="B8"/>
  <c r="A8"/>
  <c r="E8" s="1"/>
  <c r="B3" i="58"/>
  <c r="A4" i="57"/>
  <c r="N26"/>
  <c r="N20"/>
  <c r="N18"/>
  <c r="A4" i="56"/>
  <c r="N31"/>
  <c r="M31"/>
  <c r="L31"/>
  <c r="K31"/>
  <c r="J31"/>
  <c r="I31"/>
  <c r="H31"/>
  <c r="G31"/>
  <c r="F31"/>
  <c r="E31"/>
  <c r="N30"/>
  <c r="M30"/>
  <c r="L30"/>
  <c r="K30"/>
  <c r="J30"/>
  <c r="I30"/>
  <c r="H30"/>
  <c r="G30"/>
  <c r="F30"/>
  <c r="E30"/>
  <c r="N29"/>
  <c r="M29"/>
  <c r="L29"/>
  <c r="K29"/>
  <c r="J29"/>
  <c r="I29"/>
  <c r="H29"/>
  <c r="G29"/>
  <c r="F29"/>
  <c r="E29"/>
  <c r="N28"/>
  <c r="M28"/>
  <c r="L28"/>
  <c r="K28"/>
  <c r="J28"/>
  <c r="I28"/>
  <c r="H28"/>
  <c r="G28"/>
  <c r="F28"/>
  <c r="E28"/>
  <c r="N27"/>
  <c r="M27"/>
  <c r="L27"/>
  <c r="K27"/>
  <c r="J27"/>
  <c r="I27"/>
  <c r="H27"/>
  <c r="G27"/>
  <c r="F27"/>
  <c r="E27"/>
  <c r="N26"/>
  <c r="M26"/>
  <c r="L26"/>
  <c r="K26"/>
  <c r="J26"/>
  <c r="I26"/>
  <c r="H26"/>
  <c r="G26"/>
  <c r="F26"/>
  <c r="E26"/>
  <c r="N25"/>
  <c r="M25"/>
  <c r="L25"/>
  <c r="K25"/>
  <c r="J25"/>
  <c r="I25"/>
  <c r="H25"/>
  <c r="G25"/>
  <c r="F25"/>
  <c r="E25"/>
  <c r="N24"/>
  <c r="M24"/>
  <c r="L24"/>
  <c r="K24"/>
  <c r="J24"/>
  <c r="I24"/>
  <c r="H24"/>
  <c r="G24"/>
  <c r="F24"/>
  <c r="E24"/>
  <c r="N23"/>
  <c r="M23"/>
  <c r="L23"/>
  <c r="K23"/>
  <c r="J23"/>
  <c r="I23"/>
  <c r="H23"/>
  <c r="G23"/>
  <c r="F23"/>
  <c r="E23"/>
  <c r="N22"/>
  <c r="M22"/>
  <c r="L22"/>
  <c r="K22"/>
  <c r="J22"/>
  <c r="I22"/>
  <c r="H22"/>
  <c r="G22"/>
  <c r="F22"/>
  <c r="E22"/>
  <c r="N21"/>
  <c r="M21"/>
  <c r="L21"/>
  <c r="K21"/>
  <c r="J21"/>
  <c r="I21"/>
  <c r="H21"/>
  <c r="G21"/>
  <c r="F21"/>
  <c r="E21"/>
  <c r="N20"/>
  <c r="M20"/>
  <c r="L20"/>
  <c r="K20"/>
  <c r="J20"/>
  <c r="I20"/>
  <c r="H20"/>
  <c r="G20"/>
  <c r="F20"/>
  <c r="E20"/>
  <c r="N19"/>
  <c r="M19"/>
  <c r="L19"/>
  <c r="K19"/>
  <c r="J19"/>
  <c r="I19"/>
  <c r="H19"/>
  <c r="G19"/>
  <c r="F19"/>
  <c r="E19"/>
  <c r="N18"/>
  <c r="M18"/>
  <c r="L18"/>
  <c r="K18"/>
  <c r="J18"/>
  <c r="I18"/>
  <c r="H18"/>
  <c r="G18"/>
  <c r="F18"/>
  <c r="E18"/>
  <c r="N17"/>
  <c r="M17"/>
  <c r="L17"/>
  <c r="K17"/>
  <c r="J17"/>
  <c r="I17"/>
  <c r="H17"/>
  <c r="G17"/>
  <c r="F17"/>
  <c r="E17"/>
  <c r="N16"/>
  <c r="M16"/>
  <c r="L16"/>
  <c r="K16"/>
  <c r="J16"/>
  <c r="I16"/>
  <c r="H16"/>
  <c r="G16"/>
  <c r="F16"/>
  <c r="E16"/>
  <c r="A9" i="55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B8"/>
  <c r="C8"/>
  <c r="D8"/>
  <c r="A8"/>
  <c r="G8" s="1"/>
  <c r="A4"/>
  <c r="A3"/>
  <c r="A2"/>
  <c r="A9" i="54"/>
  <c r="E9" s="1"/>
  <c r="I9" s="1"/>
  <c r="B9"/>
  <c r="C9"/>
  <c r="G9" s="1"/>
  <c r="K9" s="1"/>
  <c r="D9"/>
  <c r="H9" s="1"/>
  <c r="L9" s="1"/>
  <c r="A10"/>
  <c r="E10" s="1"/>
  <c r="I10" s="1"/>
  <c r="M10" s="1"/>
  <c r="B10"/>
  <c r="F10" s="1"/>
  <c r="J10" s="1"/>
  <c r="N10" s="1"/>
  <c r="C10"/>
  <c r="G10" s="1"/>
  <c r="D10"/>
  <c r="A11"/>
  <c r="E11" s="1"/>
  <c r="B11"/>
  <c r="F11" s="1"/>
  <c r="J11" s="1"/>
  <c r="N11" s="1"/>
  <c r="C11"/>
  <c r="G11" s="1"/>
  <c r="K11" s="1"/>
  <c r="D11"/>
  <c r="H11" s="1"/>
  <c r="L11" s="1"/>
  <c r="A12"/>
  <c r="E12" s="1"/>
  <c r="I12"/>
  <c r="M12" s="1"/>
  <c r="B12"/>
  <c r="F12" s="1"/>
  <c r="J12"/>
  <c r="N12" s="1"/>
  <c r="C12"/>
  <c r="G12" s="1"/>
  <c r="K12"/>
  <c r="D12"/>
  <c r="H12"/>
  <c r="L12" s="1"/>
  <c r="A13"/>
  <c r="E13" s="1"/>
  <c r="I13"/>
  <c r="M13" s="1"/>
  <c r="B13"/>
  <c r="F13" s="1"/>
  <c r="J13"/>
  <c r="N13" s="1"/>
  <c r="C13"/>
  <c r="G13" s="1"/>
  <c r="K13"/>
  <c r="D13"/>
  <c r="H13"/>
  <c r="L13" s="1"/>
  <c r="A14"/>
  <c r="E14" s="1"/>
  <c r="I14"/>
  <c r="M14" s="1"/>
  <c r="B14"/>
  <c r="F14" s="1"/>
  <c r="J14"/>
  <c r="N14" s="1"/>
  <c r="C14"/>
  <c r="G14" s="1"/>
  <c r="K14"/>
  <c r="D14"/>
  <c r="H14"/>
  <c r="L14" s="1"/>
  <c r="A15"/>
  <c r="E15" s="1"/>
  <c r="I15"/>
  <c r="M15" s="1"/>
  <c r="B15"/>
  <c r="F15" s="1"/>
  <c r="J15"/>
  <c r="N15" s="1"/>
  <c r="C15"/>
  <c r="G15" s="1"/>
  <c r="K15"/>
  <c r="D15"/>
  <c r="H15"/>
  <c r="L15" s="1"/>
  <c r="A16"/>
  <c r="E16" s="1"/>
  <c r="I16"/>
  <c r="M16" s="1"/>
  <c r="B16"/>
  <c r="F16" s="1"/>
  <c r="J16"/>
  <c r="N16" s="1"/>
  <c r="C16"/>
  <c r="G16" s="1"/>
  <c r="K16"/>
  <c r="D16"/>
  <c r="H16"/>
  <c r="L16" s="1"/>
  <c r="A17"/>
  <c r="E17" s="1"/>
  <c r="I17"/>
  <c r="M17" s="1"/>
  <c r="B17"/>
  <c r="F17" s="1"/>
  <c r="J17"/>
  <c r="N17" s="1"/>
  <c r="C17"/>
  <c r="G17" s="1"/>
  <c r="K17"/>
  <c r="D17"/>
  <c r="H17"/>
  <c r="L17" s="1"/>
  <c r="A18"/>
  <c r="E18" s="1"/>
  <c r="I18"/>
  <c r="M18" s="1"/>
  <c r="B18"/>
  <c r="F18" s="1"/>
  <c r="J18"/>
  <c r="N18" s="1"/>
  <c r="C18"/>
  <c r="G18" s="1"/>
  <c r="K18"/>
  <c r="D18"/>
  <c r="H18"/>
  <c r="L18" s="1"/>
  <c r="A19"/>
  <c r="E19" s="1"/>
  <c r="I19"/>
  <c r="M19" s="1"/>
  <c r="B19"/>
  <c r="F19" s="1"/>
  <c r="J19"/>
  <c r="N19" s="1"/>
  <c r="C19"/>
  <c r="G19" s="1"/>
  <c r="K19"/>
  <c r="D19"/>
  <c r="H19"/>
  <c r="L19" s="1"/>
  <c r="D8"/>
  <c r="H8" s="1"/>
  <c r="L8" s="1"/>
  <c r="C8"/>
  <c r="G8" s="1"/>
  <c r="K8" s="1"/>
  <c r="B8"/>
  <c r="F8" s="1"/>
  <c r="J8" s="1"/>
  <c r="N8" s="1"/>
  <c r="A8"/>
  <c r="A4"/>
  <c r="A3"/>
  <c r="A2"/>
  <c r="A4" i="52"/>
  <c r="A4" i="51"/>
  <c r="B3" i="53"/>
  <c r="A9" i="52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N15" s="1"/>
  <c r="B15"/>
  <c r="C15"/>
  <c r="D15"/>
  <c r="A16"/>
  <c r="N16" s="1"/>
  <c r="B16"/>
  <c r="C16"/>
  <c r="D16"/>
  <c r="A17"/>
  <c r="N17" s="1"/>
  <c r="B17"/>
  <c r="C17"/>
  <c r="D17"/>
  <c r="A18"/>
  <c r="N18" s="1"/>
  <c r="B18"/>
  <c r="C18"/>
  <c r="D18"/>
  <c r="A19"/>
  <c r="N19" s="1"/>
  <c r="B19"/>
  <c r="C19"/>
  <c r="D19"/>
  <c r="A20"/>
  <c r="N20" s="1"/>
  <c r="B20"/>
  <c r="C20"/>
  <c r="D20"/>
  <c r="A21"/>
  <c r="N21" s="1"/>
  <c r="B21"/>
  <c r="C21"/>
  <c r="D21"/>
  <c r="A22"/>
  <c r="N22" s="1"/>
  <c r="B22"/>
  <c r="C22"/>
  <c r="D22"/>
  <c r="A23"/>
  <c r="N23"/>
  <c r="B23"/>
  <c r="C23"/>
  <c r="D23"/>
  <c r="A24"/>
  <c r="N24" s="1"/>
  <c r="B24"/>
  <c r="C24"/>
  <c r="D24"/>
  <c r="A25"/>
  <c r="N25" s="1"/>
  <c r="B25"/>
  <c r="C25"/>
  <c r="D25"/>
  <c r="A26"/>
  <c r="N26" s="1"/>
  <c r="B26"/>
  <c r="C26"/>
  <c r="D26"/>
  <c r="A27"/>
  <c r="N27" s="1"/>
  <c r="B27"/>
  <c r="C27"/>
  <c r="D27"/>
  <c r="A28"/>
  <c r="N28" s="1"/>
  <c r="B28"/>
  <c r="C28"/>
  <c r="D28"/>
  <c r="A29"/>
  <c r="N29" s="1"/>
  <c r="B29"/>
  <c r="C29"/>
  <c r="D29"/>
  <c r="A30"/>
  <c r="B30"/>
  <c r="C30"/>
  <c r="D30"/>
  <c r="N30"/>
  <c r="B8"/>
  <c r="C8"/>
  <c r="D8"/>
  <c r="A8"/>
  <c r="N31" i="51"/>
  <c r="M31"/>
  <c r="L31"/>
  <c r="K31"/>
  <c r="J31"/>
  <c r="I31"/>
  <c r="H31"/>
  <c r="G31"/>
  <c r="F31"/>
  <c r="E31"/>
  <c r="N30"/>
  <c r="M30"/>
  <c r="L30"/>
  <c r="K30"/>
  <c r="J30"/>
  <c r="I30"/>
  <c r="H30"/>
  <c r="G30"/>
  <c r="F30"/>
  <c r="E30"/>
  <c r="N29"/>
  <c r="M29"/>
  <c r="L29"/>
  <c r="K29"/>
  <c r="J29"/>
  <c r="I29"/>
  <c r="H29"/>
  <c r="G29"/>
  <c r="F29"/>
  <c r="E29"/>
  <c r="N28"/>
  <c r="M28"/>
  <c r="L28"/>
  <c r="K28"/>
  <c r="J28"/>
  <c r="I28"/>
  <c r="H28"/>
  <c r="G28"/>
  <c r="F28"/>
  <c r="E28"/>
  <c r="N27"/>
  <c r="M27"/>
  <c r="L27"/>
  <c r="K27"/>
  <c r="J27"/>
  <c r="I27"/>
  <c r="H27"/>
  <c r="G27"/>
  <c r="F27"/>
  <c r="E27"/>
  <c r="N26"/>
  <c r="M26"/>
  <c r="L26"/>
  <c r="K26"/>
  <c r="J26"/>
  <c r="I26"/>
  <c r="H26"/>
  <c r="G26"/>
  <c r="F26"/>
  <c r="E26"/>
  <c r="N25"/>
  <c r="M25"/>
  <c r="L25"/>
  <c r="K25"/>
  <c r="J25"/>
  <c r="I25"/>
  <c r="H25"/>
  <c r="G25"/>
  <c r="F25"/>
  <c r="E25"/>
  <c r="N24"/>
  <c r="M24"/>
  <c r="L24"/>
  <c r="K24"/>
  <c r="J24"/>
  <c r="I24"/>
  <c r="H24"/>
  <c r="G24"/>
  <c r="F24"/>
  <c r="E24"/>
  <c r="N23"/>
  <c r="M23"/>
  <c r="L23"/>
  <c r="K23"/>
  <c r="J23"/>
  <c r="I23"/>
  <c r="H23"/>
  <c r="G23"/>
  <c r="F23"/>
  <c r="E23"/>
  <c r="N22"/>
  <c r="M22"/>
  <c r="L22"/>
  <c r="K22"/>
  <c r="J22"/>
  <c r="I22"/>
  <c r="H22"/>
  <c r="G22"/>
  <c r="F22"/>
  <c r="E22"/>
  <c r="N21"/>
  <c r="M21"/>
  <c r="L21"/>
  <c r="K21"/>
  <c r="J21"/>
  <c r="I21"/>
  <c r="H21"/>
  <c r="G21"/>
  <c r="F21"/>
  <c r="E21"/>
  <c r="N20"/>
  <c r="M20"/>
  <c r="L20"/>
  <c r="K20"/>
  <c r="J20"/>
  <c r="I20"/>
  <c r="H20"/>
  <c r="G20"/>
  <c r="F20"/>
  <c r="E20"/>
  <c r="N19"/>
  <c r="M19"/>
  <c r="L19"/>
  <c r="K19"/>
  <c r="J19"/>
  <c r="I19"/>
  <c r="H19"/>
  <c r="G19"/>
  <c r="F19"/>
  <c r="E19"/>
  <c r="N18"/>
  <c r="M18"/>
  <c r="L18"/>
  <c r="K18"/>
  <c r="J18"/>
  <c r="I18"/>
  <c r="H18"/>
  <c r="G18"/>
  <c r="F18"/>
  <c r="E18"/>
  <c r="N17"/>
  <c r="M17"/>
  <c r="L17"/>
  <c r="K17"/>
  <c r="J17"/>
  <c r="I17"/>
  <c r="H17"/>
  <c r="G17"/>
  <c r="F17"/>
  <c r="E17"/>
  <c r="N16"/>
  <c r="M16"/>
  <c r="L16"/>
  <c r="K16"/>
  <c r="J16"/>
  <c r="I16"/>
  <c r="H16"/>
  <c r="G16"/>
  <c r="F16"/>
  <c r="E16"/>
  <c r="D19" i="50"/>
  <c r="C19"/>
  <c r="B19"/>
  <c r="A19"/>
  <c r="D18"/>
  <c r="C18"/>
  <c r="B18"/>
  <c r="A18"/>
  <c r="D17"/>
  <c r="C17"/>
  <c r="B17"/>
  <c r="A17"/>
  <c r="D16"/>
  <c r="C16"/>
  <c r="B16"/>
  <c r="A16"/>
  <c r="D15"/>
  <c r="C15"/>
  <c r="B15"/>
  <c r="A15"/>
  <c r="D14"/>
  <c r="C14"/>
  <c r="B14"/>
  <c r="A14"/>
  <c r="D13"/>
  <c r="C13"/>
  <c r="B13"/>
  <c r="A13"/>
  <c r="D12"/>
  <c r="C12"/>
  <c r="B12"/>
  <c r="A12"/>
  <c r="D11"/>
  <c r="C11"/>
  <c r="B11"/>
  <c r="A11"/>
  <c r="D10"/>
  <c r="C10"/>
  <c r="B10"/>
  <c r="A10"/>
  <c r="D9"/>
  <c r="C9"/>
  <c r="B9"/>
  <c r="A9"/>
  <c r="D8"/>
  <c r="C8"/>
  <c r="B8"/>
  <c r="A8"/>
  <c r="H8" s="1"/>
  <c r="A4"/>
  <c r="A3"/>
  <c r="A2"/>
  <c r="D9" i="49"/>
  <c r="D10"/>
  <c r="D11"/>
  <c r="D12"/>
  <c r="D13"/>
  <c r="D14"/>
  <c r="D15"/>
  <c r="D16"/>
  <c r="D17"/>
  <c r="D18"/>
  <c r="D19"/>
  <c r="B9"/>
  <c r="C9"/>
  <c r="B10"/>
  <c r="C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8"/>
  <c r="C8"/>
  <c r="D8"/>
  <c r="A9"/>
  <c r="F9" s="1"/>
  <c r="A10"/>
  <c r="E10" s="1"/>
  <c r="A11"/>
  <c r="F11" s="1"/>
  <c r="A12"/>
  <c r="A13"/>
  <c r="G13" s="1"/>
  <c r="A14"/>
  <c r="A15"/>
  <c r="G15" s="1"/>
  <c r="A16"/>
  <c r="A17"/>
  <c r="G17" s="1"/>
  <c r="A18"/>
  <c r="F18" s="1"/>
  <c r="A19"/>
  <c r="G19" s="1"/>
  <c r="A8"/>
  <c r="A4"/>
  <c r="A3"/>
  <c r="A2"/>
  <c r="B3" i="48"/>
  <c r="D9" i="47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8"/>
  <c r="A9"/>
  <c r="B9"/>
  <c r="C9"/>
  <c r="A10"/>
  <c r="B10"/>
  <c r="C10"/>
  <c r="A11"/>
  <c r="B11"/>
  <c r="C11"/>
  <c r="A12"/>
  <c r="G12" s="1"/>
  <c r="B12"/>
  <c r="C12"/>
  <c r="A13"/>
  <c r="B13"/>
  <c r="C13"/>
  <c r="A14"/>
  <c r="L14" s="1"/>
  <c r="B14"/>
  <c r="C14"/>
  <c r="A15"/>
  <c r="B15"/>
  <c r="C15"/>
  <c r="A16"/>
  <c r="M16" s="1"/>
  <c r="B16"/>
  <c r="C16"/>
  <c r="A17"/>
  <c r="M17" s="1"/>
  <c r="B17"/>
  <c r="C17"/>
  <c r="A18"/>
  <c r="N18" s="1"/>
  <c r="B18"/>
  <c r="C18"/>
  <c r="A19"/>
  <c r="B19"/>
  <c r="C19"/>
  <c r="A20"/>
  <c r="M20" s="1"/>
  <c r="B20"/>
  <c r="C20"/>
  <c r="A21"/>
  <c r="B21"/>
  <c r="C21"/>
  <c r="A22"/>
  <c r="N22" s="1"/>
  <c r="B22"/>
  <c r="C22"/>
  <c r="A23"/>
  <c r="M23" s="1"/>
  <c r="B23"/>
  <c r="C23"/>
  <c r="A24"/>
  <c r="M24" s="1"/>
  <c r="B24"/>
  <c r="C24"/>
  <c r="A25"/>
  <c r="M25" s="1"/>
  <c r="B25"/>
  <c r="C25"/>
  <c r="A26"/>
  <c r="N26" s="1"/>
  <c r="B26"/>
  <c r="C26"/>
  <c r="A27"/>
  <c r="M27" s="1"/>
  <c r="B27"/>
  <c r="C27"/>
  <c r="A28"/>
  <c r="M28" s="1"/>
  <c r="B28"/>
  <c r="C28"/>
  <c r="A29"/>
  <c r="M29" s="1"/>
  <c r="B29"/>
  <c r="C29"/>
  <c r="A30"/>
  <c r="N30" s="1"/>
  <c r="B30"/>
  <c r="C30"/>
  <c r="M19"/>
  <c r="M21"/>
  <c r="B8"/>
  <c r="C8"/>
  <c r="A8"/>
  <c r="G8" s="1"/>
  <c r="A9" i="10"/>
  <c r="E9" s="1"/>
  <c r="B9"/>
  <c r="C9"/>
  <c r="D9"/>
  <c r="A10"/>
  <c r="F10" s="1"/>
  <c r="B10"/>
  <c r="C10"/>
  <c r="D10"/>
  <c r="A11"/>
  <c r="E11" s="1"/>
  <c r="B11"/>
  <c r="C11"/>
  <c r="D11"/>
  <c r="A12"/>
  <c r="F12" s="1"/>
  <c r="B12"/>
  <c r="C12"/>
  <c r="D12"/>
  <c r="A13"/>
  <c r="E13" s="1"/>
  <c r="B13"/>
  <c r="C13"/>
  <c r="D13"/>
  <c r="A14"/>
  <c r="F14" s="1"/>
  <c r="B14"/>
  <c r="C14"/>
  <c r="D14"/>
  <c r="A15"/>
  <c r="E15" s="1"/>
  <c r="B15"/>
  <c r="C15"/>
  <c r="D15"/>
  <c r="A16"/>
  <c r="F16" s="1"/>
  <c r="B16"/>
  <c r="C16"/>
  <c r="D16"/>
  <c r="A17"/>
  <c r="F17" s="1"/>
  <c r="B17"/>
  <c r="C17"/>
  <c r="D17"/>
  <c r="A18"/>
  <c r="E18" s="1"/>
  <c r="B18"/>
  <c r="C18"/>
  <c r="D18"/>
  <c r="A19"/>
  <c r="B19"/>
  <c r="C19"/>
  <c r="D19"/>
  <c r="A20"/>
  <c r="H20" s="1"/>
  <c r="B20"/>
  <c r="C20"/>
  <c r="D20"/>
  <c r="A21"/>
  <c r="I21" s="1"/>
  <c r="B21"/>
  <c r="C21"/>
  <c r="D21"/>
  <c r="A22"/>
  <c r="F22" s="1"/>
  <c r="B22"/>
  <c r="C22"/>
  <c r="D22"/>
  <c r="A23"/>
  <c r="B23"/>
  <c r="C23"/>
  <c r="D23"/>
  <c r="A24"/>
  <c r="H24" s="1"/>
  <c r="B24"/>
  <c r="C24"/>
  <c r="D24"/>
  <c r="A25"/>
  <c r="E25" s="1"/>
  <c r="B25"/>
  <c r="C25"/>
  <c r="D25"/>
  <c r="A26"/>
  <c r="F26" s="1"/>
  <c r="E26"/>
  <c r="B26"/>
  <c r="C26"/>
  <c r="D26"/>
  <c r="A27"/>
  <c r="B27"/>
  <c r="C27"/>
  <c r="D27"/>
  <c r="A28"/>
  <c r="H28" s="1"/>
  <c r="B28"/>
  <c r="C28"/>
  <c r="D28"/>
  <c r="A29"/>
  <c r="I29" s="1"/>
  <c r="B29"/>
  <c r="C29"/>
  <c r="D29"/>
  <c r="A30"/>
  <c r="F30" s="1"/>
  <c r="B30"/>
  <c r="C30"/>
  <c r="D30"/>
  <c r="A31"/>
  <c r="B31"/>
  <c r="C31"/>
  <c r="D31"/>
  <c r="A32"/>
  <c r="H32" s="1"/>
  <c r="B32"/>
  <c r="C32"/>
  <c r="D32"/>
  <c r="A33"/>
  <c r="E33" s="1"/>
  <c r="B33"/>
  <c r="C33"/>
  <c r="D33"/>
  <c r="A34"/>
  <c r="F34" s="1"/>
  <c r="E34"/>
  <c r="B34"/>
  <c r="C34"/>
  <c r="D34"/>
  <c r="A35"/>
  <c r="B35"/>
  <c r="C35"/>
  <c r="D35"/>
  <c r="A36"/>
  <c r="H36" s="1"/>
  <c r="B36"/>
  <c r="C36"/>
  <c r="D36"/>
  <c r="B8"/>
  <c r="C8"/>
  <c r="D8"/>
  <c r="A8"/>
  <c r="F8" s="1"/>
  <c r="A9" i="9"/>
  <c r="F9" s="1"/>
  <c r="B9"/>
  <c r="C9"/>
  <c r="D9"/>
  <c r="A10"/>
  <c r="I10" s="1"/>
  <c r="B10"/>
  <c r="C10"/>
  <c r="D10"/>
  <c r="A11"/>
  <c r="H11" s="1"/>
  <c r="B11"/>
  <c r="C11"/>
  <c r="D11"/>
  <c r="A12"/>
  <c r="G12" s="1"/>
  <c r="B12"/>
  <c r="C12"/>
  <c r="D12"/>
  <c r="A13"/>
  <c r="F13" s="1"/>
  <c r="B13"/>
  <c r="C13"/>
  <c r="D13"/>
  <c r="A14"/>
  <c r="F14" s="1"/>
  <c r="B14"/>
  <c r="C14"/>
  <c r="D14"/>
  <c r="A15"/>
  <c r="I15" s="1"/>
  <c r="B15"/>
  <c r="C15"/>
  <c r="D15"/>
  <c r="A16"/>
  <c r="H16" s="1"/>
  <c r="B16"/>
  <c r="C16"/>
  <c r="D16"/>
  <c r="A17"/>
  <c r="G17" s="1"/>
  <c r="B17"/>
  <c r="C17"/>
  <c r="D17"/>
  <c r="A18"/>
  <c r="F18" s="1"/>
  <c r="B18"/>
  <c r="C18"/>
  <c r="D18"/>
  <c r="A19"/>
  <c r="E19" s="1"/>
  <c r="B19"/>
  <c r="C19"/>
  <c r="D19"/>
  <c r="A20"/>
  <c r="H20" s="1"/>
  <c r="B20"/>
  <c r="C20"/>
  <c r="D20"/>
  <c r="A21"/>
  <c r="G21" s="1"/>
  <c r="B21"/>
  <c r="C21"/>
  <c r="D21"/>
  <c r="A22"/>
  <c r="F22" s="1"/>
  <c r="B22"/>
  <c r="C22"/>
  <c r="D22"/>
  <c r="A23"/>
  <c r="E23" s="1"/>
  <c r="B23"/>
  <c r="C23"/>
  <c r="D23"/>
  <c r="A24"/>
  <c r="H24" s="1"/>
  <c r="E24"/>
  <c r="B24"/>
  <c r="C24"/>
  <c r="D24"/>
  <c r="A25"/>
  <c r="G25" s="1"/>
  <c r="B25"/>
  <c r="C25"/>
  <c r="D25"/>
  <c r="A26"/>
  <c r="F26" s="1"/>
  <c r="B26"/>
  <c r="C26"/>
  <c r="D26"/>
  <c r="A27"/>
  <c r="E27" s="1"/>
  <c r="B27"/>
  <c r="C27"/>
  <c r="D27"/>
  <c r="A28"/>
  <c r="H28" s="1"/>
  <c r="B28"/>
  <c r="C28"/>
  <c r="D28"/>
  <c r="A29"/>
  <c r="G29" s="1"/>
  <c r="B29"/>
  <c r="C29"/>
  <c r="D29"/>
  <c r="A30"/>
  <c r="F30" s="1"/>
  <c r="B30"/>
  <c r="C30"/>
  <c r="D30"/>
  <c r="A31"/>
  <c r="E31" s="1"/>
  <c r="B31"/>
  <c r="C31"/>
  <c r="D31"/>
  <c r="A32"/>
  <c r="H32" s="1"/>
  <c r="E32"/>
  <c r="B32"/>
  <c r="C32"/>
  <c r="D32"/>
  <c r="A33"/>
  <c r="G33" s="1"/>
  <c r="B33"/>
  <c r="C33"/>
  <c r="D33"/>
  <c r="A34"/>
  <c r="F34" s="1"/>
  <c r="B34"/>
  <c r="C34"/>
  <c r="D34"/>
  <c r="A35"/>
  <c r="E35" s="1"/>
  <c r="B35"/>
  <c r="C35"/>
  <c r="D35"/>
  <c r="A36"/>
  <c r="H36" s="1"/>
  <c r="B36"/>
  <c r="C36"/>
  <c r="D36"/>
  <c r="B8"/>
  <c r="C8"/>
  <c r="D8"/>
  <c r="A8"/>
  <c r="F8" s="1"/>
  <c r="A9" i="8"/>
  <c r="E9" s="1"/>
  <c r="B9"/>
  <c r="C9"/>
  <c r="D9"/>
  <c r="A10"/>
  <c r="F10" s="1"/>
  <c r="B10"/>
  <c r="C10"/>
  <c r="D10"/>
  <c r="A11"/>
  <c r="E11" s="1"/>
  <c r="B11"/>
  <c r="C11"/>
  <c r="D11"/>
  <c r="A12"/>
  <c r="F12" s="1"/>
  <c r="B12"/>
  <c r="C12"/>
  <c r="D12"/>
  <c r="A13"/>
  <c r="E13" s="1"/>
  <c r="B13"/>
  <c r="C13"/>
  <c r="D13"/>
  <c r="A14"/>
  <c r="F14" s="1"/>
  <c r="B14"/>
  <c r="C14"/>
  <c r="D14"/>
  <c r="A15"/>
  <c r="E15" s="1"/>
  <c r="B15"/>
  <c r="C15"/>
  <c r="D15"/>
  <c r="A16"/>
  <c r="F16" s="1"/>
  <c r="B16"/>
  <c r="C16"/>
  <c r="D16"/>
  <c r="A17"/>
  <c r="F17" s="1"/>
  <c r="B17"/>
  <c r="C17"/>
  <c r="D17"/>
  <c r="A18"/>
  <c r="E18" s="1"/>
  <c r="B18"/>
  <c r="C18"/>
  <c r="D18"/>
  <c r="A19"/>
  <c r="E19" s="1"/>
  <c r="B19"/>
  <c r="C19"/>
  <c r="D19"/>
  <c r="A20"/>
  <c r="H20" s="1"/>
  <c r="B20"/>
  <c r="C20"/>
  <c r="D20"/>
  <c r="A21"/>
  <c r="G21" s="1"/>
  <c r="B21"/>
  <c r="C21"/>
  <c r="D21"/>
  <c r="A22"/>
  <c r="F22" s="1"/>
  <c r="B22"/>
  <c r="C22"/>
  <c r="D22"/>
  <c r="A23"/>
  <c r="E23" s="1"/>
  <c r="B23"/>
  <c r="C23"/>
  <c r="D23"/>
  <c r="A24"/>
  <c r="H24" s="1"/>
  <c r="E24"/>
  <c r="B24"/>
  <c r="C24"/>
  <c r="D24"/>
  <c r="A25"/>
  <c r="G25" s="1"/>
  <c r="B25"/>
  <c r="C25"/>
  <c r="D25"/>
  <c r="A26"/>
  <c r="F26" s="1"/>
  <c r="B26"/>
  <c r="C26"/>
  <c r="D26"/>
  <c r="A27"/>
  <c r="E27" s="1"/>
  <c r="B27"/>
  <c r="C27"/>
  <c r="D27"/>
  <c r="A28"/>
  <c r="H28" s="1"/>
  <c r="B28"/>
  <c r="C28"/>
  <c r="D28"/>
  <c r="A29"/>
  <c r="G29" s="1"/>
  <c r="B29"/>
  <c r="C29"/>
  <c r="D29"/>
  <c r="A30"/>
  <c r="F30" s="1"/>
  <c r="B30"/>
  <c r="C30"/>
  <c r="D30"/>
  <c r="A31"/>
  <c r="E31" s="1"/>
  <c r="B31"/>
  <c r="C31"/>
  <c r="D31"/>
  <c r="A32"/>
  <c r="H32" s="1"/>
  <c r="E32"/>
  <c r="B32"/>
  <c r="C32"/>
  <c r="D32"/>
  <c r="A33"/>
  <c r="G33" s="1"/>
  <c r="B33"/>
  <c r="C33"/>
  <c r="D33"/>
  <c r="A34"/>
  <c r="F34" s="1"/>
  <c r="B34"/>
  <c r="C34"/>
  <c r="D34"/>
  <c r="A35"/>
  <c r="E35" s="1"/>
  <c r="B35"/>
  <c r="C35"/>
  <c r="D35"/>
  <c r="A36"/>
  <c r="H36" s="1"/>
  <c r="B36"/>
  <c r="C36"/>
  <c r="D36"/>
  <c r="B8"/>
  <c r="C8"/>
  <c r="D8"/>
  <c r="A8"/>
  <c r="F8" s="1"/>
  <c r="A9" i="4"/>
  <c r="F9" s="1"/>
  <c r="B9"/>
  <c r="C9"/>
  <c r="D9"/>
  <c r="A10"/>
  <c r="E10" s="1"/>
  <c r="B10"/>
  <c r="C10"/>
  <c r="D10"/>
  <c r="A11"/>
  <c r="F11" s="1"/>
  <c r="B11"/>
  <c r="C11"/>
  <c r="D11"/>
  <c r="A12"/>
  <c r="E12" s="1"/>
  <c r="B12"/>
  <c r="C12"/>
  <c r="D12"/>
  <c r="A13"/>
  <c r="F13" s="1"/>
  <c r="B13"/>
  <c r="C13"/>
  <c r="D13"/>
  <c r="A14"/>
  <c r="E14" s="1"/>
  <c r="B14"/>
  <c r="C14"/>
  <c r="D14"/>
  <c r="A15"/>
  <c r="F15" s="1"/>
  <c r="B15"/>
  <c r="C15"/>
  <c r="D15"/>
  <c r="A16"/>
  <c r="E16" s="1"/>
  <c r="B16"/>
  <c r="C16"/>
  <c r="D16"/>
  <c r="A17"/>
  <c r="F17" s="1"/>
  <c r="B17"/>
  <c r="C17"/>
  <c r="D17"/>
  <c r="A18"/>
  <c r="E18" s="1"/>
  <c r="B18"/>
  <c r="C18"/>
  <c r="D18"/>
  <c r="A19"/>
  <c r="F19" s="1"/>
  <c r="B19"/>
  <c r="C19"/>
  <c r="D19"/>
  <c r="A20"/>
  <c r="E20" s="1"/>
  <c r="B20"/>
  <c r="C20"/>
  <c r="D20"/>
  <c r="A21"/>
  <c r="F21" s="1"/>
  <c r="B21"/>
  <c r="C21"/>
  <c r="D21"/>
  <c r="A22"/>
  <c r="E22" s="1"/>
  <c r="B22"/>
  <c r="C22"/>
  <c r="D22"/>
  <c r="A23"/>
  <c r="F23" s="1"/>
  <c r="B23"/>
  <c r="C23"/>
  <c r="D23"/>
  <c r="A24"/>
  <c r="E24" s="1"/>
  <c r="B24"/>
  <c r="C24"/>
  <c r="D24"/>
  <c r="A25"/>
  <c r="F25" s="1"/>
  <c r="B25"/>
  <c r="C25"/>
  <c r="D25"/>
  <c r="A26"/>
  <c r="E26" s="1"/>
  <c r="B26"/>
  <c r="C26"/>
  <c r="D26"/>
  <c r="A27"/>
  <c r="F27" s="1"/>
  <c r="B27"/>
  <c r="C27"/>
  <c r="D27"/>
  <c r="A28"/>
  <c r="E28" s="1"/>
  <c r="B28"/>
  <c r="C28"/>
  <c r="D28"/>
  <c r="A29"/>
  <c r="F29" s="1"/>
  <c r="B29"/>
  <c r="C29"/>
  <c r="D29"/>
  <c r="A30"/>
  <c r="E30"/>
  <c r="B30"/>
  <c r="C30"/>
  <c r="D30"/>
  <c r="A31"/>
  <c r="F31" s="1"/>
  <c r="B31"/>
  <c r="C31"/>
  <c r="D31"/>
  <c r="A32"/>
  <c r="E32" s="1"/>
  <c r="B32"/>
  <c r="C32"/>
  <c r="D32"/>
  <c r="A33"/>
  <c r="F33" s="1"/>
  <c r="B33"/>
  <c r="C33"/>
  <c r="D33"/>
  <c r="A34"/>
  <c r="E34" s="1"/>
  <c r="B34"/>
  <c r="C34"/>
  <c r="D34"/>
  <c r="A35"/>
  <c r="F35" s="1"/>
  <c r="B35"/>
  <c r="C35"/>
  <c r="D35"/>
  <c r="A36"/>
  <c r="E36" s="1"/>
  <c r="B36"/>
  <c r="C36"/>
  <c r="D36"/>
  <c r="B8"/>
  <c r="C8"/>
  <c r="D8"/>
  <c r="A8"/>
  <c r="G8" s="1"/>
  <c r="A10" i="2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B23"/>
  <c r="C23"/>
  <c r="D23"/>
  <c r="A24"/>
  <c r="B24"/>
  <c r="C24"/>
  <c r="D24"/>
  <c r="A25"/>
  <c r="B25"/>
  <c r="C25"/>
  <c r="D25"/>
  <c r="A26"/>
  <c r="B26"/>
  <c r="C26"/>
  <c r="D26"/>
  <c r="A27"/>
  <c r="B27"/>
  <c r="C27"/>
  <c r="D27"/>
  <c r="A28"/>
  <c r="B28"/>
  <c r="C28"/>
  <c r="D28"/>
  <c r="A29"/>
  <c r="B29"/>
  <c r="C29"/>
  <c r="D29"/>
  <c r="A30"/>
  <c r="B30"/>
  <c r="C30"/>
  <c r="D30"/>
  <c r="A31"/>
  <c r="B31"/>
  <c r="C31"/>
  <c r="D31"/>
  <c r="A32"/>
  <c r="B32"/>
  <c r="C32"/>
  <c r="D32"/>
  <c r="A33"/>
  <c r="B33"/>
  <c r="C33"/>
  <c r="D33"/>
  <c r="A34"/>
  <c r="B34"/>
  <c r="C34"/>
  <c r="D34"/>
  <c r="A35"/>
  <c r="B35"/>
  <c r="C35"/>
  <c r="D35"/>
  <c r="A36"/>
  <c r="B36"/>
  <c r="C36"/>
  <c r="D36"/>
  <c r="A37"/>
  <c r="B37"/>
  <c r="C37"/>
  <c r="D37"/>
  <c r="B9"/>
  <c r="C9"/>
  <c r="D9"/>
  <c r="A9"/>
  <c r="M18" i="47"/>
  <c r="M22"/>
  <c r="M26"/>
  <c r="M30"/>
  <c r="J30"/>
  <c r="L29"/>
  <c r="J28"/>
  <c r="H27"/>
  <c r="J26"/>
  <c r="L25"/>
  <c r="J24"/>
  <c r="H23"/>
  <c r="J22"/>
  <c r="L21"/>
  <c r="J20"/>
  <c r="H19"/>
  <c r="L18"/>
  <c r="H18"/>
  <c r="N17"/>
  <c r="J17"/>
  <c r="F17"/>
  <c r="L16"/>
  <c r="H16"/>
  <c r="A4"/>
  <c r="F16" i="3"/>
  <c r="G16"/>
  <c r="H16"/>
  <c r="I16"/>
  <c r="J16"/>
  <c r="K16"/>
  <c r="L16"/>
  <c r="M16"/>
  <c r="N16"/>
  <c r="F17"/>
  <c r="G17"/>
  <c r="H17"/>
  <c r="I17"/>
  <c r="J17"/>
  <c r="K17"/>
  <c r="L17"/>
  <c r="M17"/>
  <c r="N17"/>
  <c r="F18"/>
  <c r="G18"/>
  <c r="H18"/>
  <c r="I18"/>
  <c r="J18"/>
  <c r="K18"/>
  <c r="L18"/>
  <c r="M18"/>
  <c r="N18"/>
  <c r="F19"/>
  <c r="G19"/>
  <c r="H19"/>
  <c r="I19"/>
  <c r="J19"/>
  <c r="K19"/>
  <c r="L19"/>
  <c r="M19"/>
  <c r="N19"/>
  <c r="F20"/>
  <c r="G20"/>
  <c r="H20"/>
  <c r="I20"/>
  <c r="J20"/>
  <c r="K20"/>
  <c r="L20"/>
  <c r="M20"/>
  <c r="N20"/>
  <c r="F21"/>
  <c r="G21"/>
  <c r="H21"/>
  <c r="I21"/>
  <c r="J21"/>
  <c r="K21"/>
  <c r="L21"/>
  <c r="M21"/>
  <c r="N21"/>
  <c r="F22"/>
  <c r="G22"/>
  <c r="H22"/>
  <c r="I22"/>
  <c r="J22"/>
  <c r="K22"/>
  <c r="L22"/>
  <c r="M22"/>
  <c r="N22"/>
  <c r="F23"/>
  <c r="G23"/>
  <c r="H23"/>
  <c r="I23"/>
  <c r="J23"/>
  <c r="K23"/>
  <c r="L23"/>
  <c r="M23"/>
  <c r="N23"/>
  <c r="F24"/>
  <c r="G24"/>
  <c r="H24"/>
  <c r="I24"/>
  <c r="J24"/>
  <c r="K24"/>
  <c r="L24"/>
  <c r="M24"/>
  <c r="N24"/>
  <c r="F25"/>
  <c r="G25"/>
  <c r="H25"/>
  <c r="I25"/>
  <c r="J25"/>
  <c r="K25"/>
  <c r="L25"/>
  <c r="M25"/>
  <c r="N25"/>
  <c r="F26"/>
  <c r="G26"/>
  <c r="H26"/>
  <c r="I26"/>
  <c r="J26"/>
  <c r="K26"/>
  <c r="L26"/>
  <c r="M26"/>
  <c r="N26"/>
  <c r="F27"/>
  <c r="G27"/>
  <c r="H27"/>
  <c r="I27"/>
  <c r="J27"/>
  <c r="K27"/>
  <c r="L27"/>
  <c r="M27"/>
  <c r="N27"/>
  <c r="F28"/>
  <c r="G28"/>
  <c r="H28"/>
  <c r="I28"/>
  <c r="J28"/>
  <c r="K28"/>
  <c r="L28"/>
  <c r="M28"/>
  <c r="N28"/>
  <c r="F29"/>
  <c r="G29"/>
  <c r="H29"/>
  <c r="I29"/>
  <c r="J29"/>
  <c r="K29"/>
  <c r="L29"/>
  <c r="M29"/>
  <c r="N29"/>
  <c r="F30"/>
  <c r="G30"/>
  <c r="H30"/>
  <c r="I30"/>
  <c r="J30"/>
  <c r="K30"/>
  <c r="L30"/>
  <c r="M30"/>
  <c r="N30"/>
  <c r="F31"/>
  <c r="G31"/>
  <c r="H31"/>
  <c r="I31"/>
  <c r="J31"/>
  <c r="K31"/>
  <c r="L31"/>
  <c r="M31"/>
  <c r="N31"/>
  <c r="E16"/>
  <c r="E17"/>
  <c r="E18"/>
  <c r="E19"/>
  <c r="E20"/>
  <c r="E21"/>
  <c r="E22"/>
  <c r="E23"/>
  <c r="E24"/>
  <c r="E25"/>
  <c r="E26"/>
  <c r="E27"/>
  <c r="E28"/>
  <c r="E29"/>
  <c r="E30"/>
  <c r="E31"/>
  <c r="A5" i="21"/>
  <c r="A5" i="26" s="1"/>
  <c r="A5" i="31" s="1"/>
  <c r="A5" i="36" s="1"/>
  <c r="A5" i="8"/>
  <c r="A5" i="9" s="1"/>
  <c r="A5" i="10" s="1"/>
  <c r="B5" i="4"/>
  <c r="B5" i="25" s="1"/>
  <c r="B5" i="30" s="1"/>
  <c r="B5" i="35" s="1"/>
  <c r="B5" i="40" s="1"/>
  <c r="F5" i="25"/>
  <c r="F5" i="30" s="1"/>
  <c r="F5" i="35" s="1"/>
  <c r="F5" i="40" s="1"/>
  <c r="A5" i="25"/>
  <c r="A5" i="30" s="1"/>
  <c r="A5" i="35" s="1"/>
  <c r="A5" i="40" s="1"/>
  <c r="F5" i="24"/>
  <c r="F5" i="29" s="1"/>
  <c r="F5" i="34" s="1"/>
  <c r="F5" i="39" s="1"/>
  <c r="A5" i="24"/>
  <c r="A5" i="29" s="1"/>
  <c r="A5" i="34" s="1"/>
  <c r="A5" i="39" s="1"/>
  <c r="F5" i="23"/>
  <c r="F5" i="28" s="1"/>
  <c r="F5" i="33" s="1"/>
  <c r="F5" i="38" s="1"/>
  <c r="A5" i="23"/>
  <c r="A5" i="28" s="1"/>
  <c r="A5" i="33" s="1"/>
  <c r="A5" i="38" s="1"/>
  <c r="F5" i="22"/>
  <c r="F5" i="27" s="1"/>
  <c r="F5" i="32" s="1"/>
  <c r="F5" i="37" s="1"/>
  <c r="A5" i="22"/>
  <c r="A5" i="27" s="1"/>
  <c r="A5" i="32" s="1"/>
  <c r="A5" i="37" s="1"/>
  <c r="F5" i="21"/>
  <c r="F5" i="26" s="1"/>
  <c r="F5" i="31" s="1"/>
  <c r="F5" i="36" s="1"/>
  <c r="F5" i="8"/>
  <c r="F5" i="9" s="1"/>
  <c r="F5" i="10" s="1"/>
  <c r="H37" i="20"/>
  <c r="G37"/>
  <c r="F37"/>
  <c r="E37"/>
  <c r="I37" s="1"/>
  <c r="H36"/>
  <c r="G36"/>
  <c r="F36"/>
  <c r="I36" s="1"/>
  <c r="E36"/>
  <c r="H35"/>
  <c r="G35"/>
  <c r="F35"/>
  <c r="E35"/>
  <c r="I35" s="1"/>
  <c r="H34"/>
  <c r="G34"/>
  <c r="F34"/>
  <c r="I34" s="1"/>
  <c r="E34"/>
  <c r="H33"/>
  <c r="G33"/>
  <c r="F33"/>
  <c r="E33"/>
  <c r="I33" s="1"/>
  <c r="H32"/>
  <c r="G32"/>
  <c r="F32"/>
  <c r="I32" s="1"/>
  <c r="E32"/>
  <c r="H31"/>
  <c r="G31"/>
  <c r="F31"/>
  <c r="E31"/>
  <c r="I31" s="1"/>
  <c r="H30"/>
  <c r="G30"/>
  <c r="F30"/>
  <c r="I30" s="1"/>
  <c r="E30"/>
  <c r="H29"/>
  <c r="G29"/>
  <c r="F29"/>
  <c r="E29"/>
  <c r="I29" s="1"/>
  <c r="H28"/>
  <c r="G28"/>
  <c r="F28"/>
  <c r="I28" s="1"/>
  <c r="E28"/>
  <c r="H27"/>
  <c r="G27"/>
  <c r="F27"/>
  <c r="E27"/>
  <c r="I27" s="1"/>
  <c r="H26"/>
  <c r="G26"/>
  <c r="F26"/>
  <c r="I26" s="1"/>
  <c r="E26"/>
  <c r="H25"/>
  <c r="G25"/>
  <c r="F25"/>
  <c r="E25"/>
  <c r="I25" s="1"/>
  <c r="H24"/>
  <c r="G24"/>
  <c r="F24"/>
  <c r="I24" s="1"/>
  <c r="E24"/>
  <c r="H23"/>
  <c r="G23"/>
  <c r="F23"/>
  <c r="E23"/>
  <c r="I23" s="1"/>
  <c r="H22"/>
  <c r="G22"/>
  <c r="F22"/>
  <c r="E22"/>
  <c r="H21"/>
  <c r="G21"/>
  <c r="F21"/>
  <c r="E21"/>
  <c r="I21" s="1"/>
  <c r="H20"/>
  <c r="G20"/>
  <c r="F20"/>
  <c r="E20"/>
  <c r="H19"/>
  <c r="G19"/>
  <c r="F19"/>
  <c r="E19"/>
  <c r="I19" s="1"/>
  <c r="H18"/>
  <c r="G18"/>
  <c r="F18"/>
  <c r="E18"/>
  <c r="H17"/>
  <c r="G17"/>
  <c r="F17"/>
  <c r="E17"/>
  <c r="H16"/>
  <c r="G16"/>
  <c r="F16"/>
  <c r="E16"/>
  <c r="H15"/>
  <c r="G15"/>
  <c r="F15"/>
  <c r="E15"/>
  <c r="I15" s="1"/>
  <c r="H14"/>
  <c r="G14"/>
  <c r="F14"/>
  <c r="E14"/>
  <c r="H13"/>
  <c r="G13"/>
  <c r="F13"/>
  <c r="E13"/>
  <c r="I13" s="1"/>
  <c r="H12"/>
  <c r="G12"/>
  <c r="F12"/>
  <c r="E12"/>
  <c r="H11"/>
  <c r="G11"/>
  <c r="F11"/>
  <c r="E11"/>
  <c r="I11" s="1"/>
  <c r="H10"/>
  <c r="G10"/>
  <c r="F10"/>
  <c r="E10"/>
  <c r="H9"/>
  <c r="G9"/>
  <c r="F9"/>
  <c r="E9"/>
  <c r="I9" s="1"/>
  <c r="H37" i="19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I32" s="1"/>
  <c r="G32"/>
  <c r="F32"/>
  <c r="E32"/>
  <c r="H31"/>
  <c r="G31"/>
  <c r="F31"/>
  <c r="E31"/>
  <c r="H30"/>
  <c r="I30" s="1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6"/>
  <c r="G16"/>
  <c r="F16"/>
  <c r="E16"/>
  <c r="H15"/>
  <c r="G15"/>
  <c r="F15"/>
  <c r="E15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37" i="18"/>
  <c r="G37"/>
  <c r="F37"/>
  <c r="E37"/>
  <c r="I37" s="1"/>
  <c r="H36"/>
  <c r="G36"/>
  <c r="F36"/>
  <c r="I36" s="1"/>
  <c r="E36"/>
  <c r="H35"/>
  <c r="G35"/>
  <c r="F35"/>
  <c r="E35"/>
  <c r="I35" s="1"/>
  <c r="H34"/>
  <c r="G34"/>
  <c r="F34"/>
  <c r="I34" s="1"/>
  <c r="E34"/>
  <c r="H33"/>
  <c r="G33"/>
  <c r="F33"/>
  <c r="E33"/>
  <c r="I33" s="1"/>
  <c r="H32"/>
  <c r="G32"/>
  <c r="F32"/>
  <c r="I32" s="1"/>
  <c r="E32"/>
  <c r="H31"/>
  <c r="G31"/>
  <c r="F31"/>
  <c r="E31"/>
  <c r="I31" s="1"/>
  <c r="H30"/>
  <c r="G30"/>
  <c r="F30"/>
  <c r="I30" s="1"/>
  <c r="E30"/>
  <c r="H29"/>
  <c r="G29"/>
  <c r="F29"/>
  <c r="E29"/>
  <c r="I29" s="1"/>
  <c r="H28"/>
  <c r="G28"/>
  <c r="F28"/>
  <c r="I28" s="1"/>
  <c r="E28"/>
  <c r="H27"/>
  <c r="G27"/>
  <c r="F27"/>
  <c r="E27"/>
  <c r="I27" s="1"/>
  <c r="H26"/>
  <c r="G26"/>
  <c r="F26"/>
  <c r="I26" s="1"/>
  <c r="E26"/>
  <c r="H25"/>
  <c r="G25"/>
  <c r="F25"/>
  <c r="E25"/>
  <c r="H24"/>
  <c r="G24"/>
  <c r="F24"/>
  <c r="I24" s="1"/>
  <c r="E24"/>
  <c r="H23"/>
  <c r="G23"/>
  <c r="F23"/>
  <c r="E23"/>
  <c r="H22"/>
  <c r="G22"/>
  <c r="F22"/>
  <c r="I22" s="1"/>
  <c r="E22"/>
  <c r="H21"/>
  <c r="G21"/>
  <c r="F21"/>
  <c r="E21"/>
  <c r="H20"/>
  <c r="G20"/>
  <c r="F20"/>
  <c r="I20" s="1"/>
  <c r="E20"/>
  <c r="H19"/>
  <c r="G19"/>
  <c r="F19"/>
  <c r="E19"/>
  <c r="H18"/>
  <c r="G18"/>
  <c r="F18"/>
  <c r="I18" s="1"/>
  <c r="E18"/>
  <c r="H17"/>
  <c r="G17"/>
  <c r="F17"/>
  <c r="E17"/>
  <c r="H16"/>
  <c r="G16"/>
  <c r="F16"/>
  <c r="E16"/>
  <c r="H15"/>
  <c r="G15"/>
  <c r="F15"/>
  <c r="E15"/>
  <c r="H14"/>
  <c r="G14"/>
  <c r="F14"/>
  <c r="E14"/>
  <c r="H13"/>
  <c r="G13"/>
  <c r="F13"/>
  <c r="E13"/>
  <c r="H12"/>
  <c r="G12"/>
  <c r="F12"/>
  <c r="I12" s="1"/>
  <c r="E12"/>
  <c r="H11"/>
  <c r="G11"/>
  <c r="F11"/>
  <c r="E11"/>
  <c r="H10"/>
  <c r="G10"/>
  <c r="F10"/>
  <c r="I10" s="1"/>
  <c r="E10"/>
  <c r="H9"/>
  <c r="G9"/>
  <c r="F9"/>
  <c r="E9"/>
  <c r="H37" i="17"/>
  <c r="G37"/>
  <c r="F37"/>
  <c r="I37"/>
  <c r="E37"/>
  <c r="H36"/>
  <c r="G36"/>
  <c r="F36"/>
  <c r="E36"/>
  <c r="I36"/>
  <c r="H35"/>
  <c r="G35"/>
  <c r="F35"/>
  <c r="I35"/>
  <c r="E35"/>
  <c r="H34"/>
  <c r="G34"/>
  <c r="F34"/>
  <c r="E34"/>
  <c r="I34"/>
  <c r="H33"/>
  <c r="G33"/>
  <c r="F33"/>
  <c r="I33"/>
  <c r="E33"/>
  <c r="H32"/>
  <c r="G32"/>
  <c r="F32"/>
  <c r="E32"/>
  <c r="I32"/>
  <c r="H31"/>
  <c r="G31"/>
  <c r="F31"/>
  <c r="I31"/>
  <c r="E31"/>
  <c r="H30"/>
  <c r="G30"/>
  <c r="F30"/>
  <c r="E30"/>
  <c r="I30"/>
  <c r="H29"/>
  <c r="G29"/>
  <c r="F29"/>
  <c r="I29"/>
  <c r="E29"/>
  <c r="H28"/>
  <c r="G28"/>
  <c r="F28"/>
  <c r="E28"/>
  <c r="I28"/>
  <c r="H27"/>
  <c r="G27"/>
  <c r="F27"/>
  <c r="I27"/>
  <c r="E27"/>
  <c r="H26"/>
  <c r="G26"/>
  <c r="F26"/>
  <c r="E26"/>
  <c r="I26"/>
  <c r="H25"/>
  <c r="G25"/>
  <c r="F25"/>
  <c r="I25"/>
  <c r="E25"/>
  <c r="H24"/>
  <c r="G24"/>
  <c r="F24"/>
  <c r="E24"/>
  <c r="I24"/>
  <c r="H23"/>
  <c r="G23"/>
  <c r="F23"/>
  <c r="I23"/>
  <c r="E23"/>
  <c r="H22"/>
  <c r="G22"/>
  <c r="I22" s="1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6"/>
  <c r="G16"/>
  <c r="F16"/>
  <c r="E16"/>
  <c r="H15"/>
  <c r="G15"/>
  <c r="F15"/>
  <c r="E15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E9" i="16"/>
  <c r="F9"/>
  <c r="G9"/>
  <c r="H9"/>
  <c r="H37"/>
  <c r="G37"/>
  <c r="F37"/>
  <c r="I37"/>
  <c r="E37"/>
  <c r="H36"/>
  <c r="I36" s="1"/>
  <c r="G36"/>
  <c r="F36"/>
  <c r="E36"/>
  <c r="H35"/>
  <c r="G35"/>
  <c r="F35"/>
  <c r="I35"/>
  <c r="E35"/>
  <c r="H34"/>
  <c r="I34" s="1"/>
  <c r="G34"/>
  <c r="F34"/>
  <c r="E34"/>
  <c r="H33"/>
  <c r="G33"/>
  <c r="F33"/>
  <c r="I33"/>
  <c r="E33"/>
  <c r="H32"/>
  <c r="I32" s="1"/>
  <c r="G32"/>
  <c r="F32"/>
  <c r="E32"/>
  <c r="H31"/>
  <c r="G31"/>
  <c r="F31"/>
  <c r="I31"/>
  <c r="E31"/>
  <c r="H30"/>
  <c r="I30" s="1"/>
  <c r="G30"/>
  <c r="F30"/>
  <c r="E30"/>
  <c r="H29"/>
  <c r="G29"/>
  <c r="F29"/>
  <c r="I29"/>
  <c r="E29"/>
  <c r="H28"/>
  <c r="I28" s="1"/>
  <c r="G28"/>
  <c r="F28"/>
  <c r="E28"/>
  <c r="H27"/>
  <c r="G27"/>
  <c r="F27"/>
  <c r="I27"/>
  <c r="E27"/>
  <c r="H26"/>
  <c r="I26" s="1"/>
  <c r="G26"/>
  <c r="F26"/>
  <c r="E26"/>
  <c r="H25"/>
  <c r="G25"/>
  <c r="F25"/>
  <c r="I25"/>
  <c r="E25"/>
  <c r="H24"/>
  <c r="I24" s="1"/>
  <c r="G24"/>
  <c r="F24"/>
  <c r="E24"/>
  <c r="H23"/>
  <c r="G23"/>
  <c r="F23"/>
  <c r="I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6"/>
  <c r="G16"/>
  <c r="F16"/>
  <c r="E16"/>
  <c r="H15"/>
  <c r="G15"/>
  <c r="F15"/>
  <c r="E15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E10" i="2"/>
  <c r="F10"/>
  <c r="G10"/>
  <c r="H10"/>
  <c r="E11"/>
  <c r="F11"/>
  <c r="G11"/>
  <c r="H11"/>
  <c r="I11"/>
  <c r="E12"/>
  <c r="F12"/>
  <c r="G12"/>
  <c r="H12"/>
  <c r="I12" s="1"/>
  <c r="E13"/>
  <c r="F13"/>
  <c r="G13"/>
  <c r="H13"/>
  <c r="I13" s="1"/>
  <c r="E14"/>
  <c r="F14"/>
  <c r="G14"/>
  <c r="H14"/>
  <c r="E15"/>
  <c r="F15"/>
  <c r="G15"/>
  <c r="H15"/>
  <c r="I15"/>
  <c r="E16"/>
  <c r="F16"/>
  <c r="G16"/>
  <c r="H16"/>
  <c r="I16" s="1"/>
  <c r="E17"/>
  <c r="F17"/>
  <c r="G17"/>
  <c r="H17"/>
  <c r="I17" s="1"/>
  <c r="E18"/>
  <c r="F18"/>
  <c r="G18"/>
  <c r="H18"/>
  <c r="E19"/>
  <c r="F19"/>
  <c r="G19"/>
  <c r="H19"/>
  <c r="E20"/>
  <c r="F20"/>
  <c r="G20"/>
  <c r="H20"/>
  <c r="E21"/>
  <c r="F21"/>
  <c r="G21"/>
  <c r="H21"/>
  <c r="E22"/>
  <c r="F22"/>
  <c r="G22"/>
  <c r="H22"/>
  <c r="E23"/>
  <c r="F23"/>
  <c r="G23"/>
  <c r="H23"/>
  <c r="I23"/>
  <c r="E24"/>
  <c r="F24"/>
  <c r="G24"/>
  <c r="H24"/>
  <c r="I24" s="1"/>
  <c r="E25"/>
  <c r="F25"/>
  <c r="G25"/>
  <c r="H25"/>
  <c r="I25"/>
  <c r="E26"/>
  <c r="F26"/>
  <c r="G26"/>
  <c r="H26"/>
  <c r="I26" s="1"/>
  <c r="E27"/>
  <c r="F27"/>
  <c r="G27"/>
  <c r="H27"/>
  <c r="E28"/>
  <c r="F28"/>
  <c r="G28"/>
  <c r="H28"/>
  <c r="I28"/>
  <c r="E29"/>
  <c r="F29"/>
  <c r="G29"/>
  <c r="H29"/>
  <c r="I29" s="1"/>
  <c r="E30"/>
  <c r="F30"/>
  <c r="G30"/>
  <c r="H30"/>
  <c r="I30"/>
  <c r="E31"/>
  <c r="F31"/>
  <c r="G31"/>
  <c r="H31"/>
  <c r="I31" s="1"/>
  <c r="E32"/>
  <c r="F32"/>
  <c r="G32"/>
  <c r="H32"/>
  <c r="I32"/>
  <c r="E33"/>
  <c r="F33"/>
  <c r="G33"/>
  <c r="H33"/>
  <c r="I33" s="1"/>
  <c r="E34"/>
  <c r="F34"/>
  <c r="G34"/>
  <c r="H34"/>
  <c r="I34"/>
  <c r="E35"/>
  <c r="F35"/>
  <c r="G35"/>
  <c r="H35"/>
  <c r="I35" s="1"/>
  <c r="E36"/>
  <c r="F36"/>
  <c r="G36"/>
  <c r="H36"/>
  <c r="I36"/>
  <c r="E37"/>
  <c r="F37"/>
  <c r="G37"/>
  <c r="H37"/>
  <c r="I37" s="1"/>
  <c r="H9"/>
  <c r="G9"/>
  <c r="F9"/>
  <c r="E9"/>
  <c r="A10" i="2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B23"/>
  <c r="C23"/>
  <c r="D23"/>
  <c r="A24"/>
  <c r="B24"/>
  <c r="C24"/>
  <c r="D24"/>
  <c r="A25"/>
  <c r="B25"/>
  <c r="C25"/>
  <c r="D25"/>
  <c r="A26"/>
  <c r="B26"/>
  <c r="C26"/>
  <c r="D26"/>
  <c r="A27"/>
  <c r="B27"/>
  <c r="C27"/>
  <c r="D27"/>
  <c r="A28"/>
  <c r="B28"/>
  <c r="C28"/>
  <c r="D28"/>
  <c r="A29"/>
  <c r="B29"/>
  <c r="C29"/>
  <c r="D29"/>
  <c r="A30"/>
  <c r="B30"/>
  <c r="C30"/>
  <c r="D30"/>
  <c r="A31"/>
  <c r="B31"/>
  <c r="C31"/>
  <c r="D31"/>
  <c r="A32"/>
  <c r="B32"/>
  <c r="C32"/>
  <c r="D32"/>
  <c r="A33"/>
  <c r="B33"/>
  <c r="C33"/>
  <c r="D33"/>
  <c r="A34"/>
  <c r="B34"/>
  <c r="C34"/>
  <c r="D34"/>
  <c r="A35"/>
  <c r="B35"/>
  <c r="C35"/>
  <c r="D35"/>
  <c r="A36"/>
  <c r="B36"/>
  <c r="C36"/>
  <c r="D36"/>
  <c r="A37"/>
  <c r="B37"/>
  <c r="C37"/>
  <c r="D37"/>
  <c r="D9"/>
  <c r="C9"/>
  <c r="B9"/>
  <c r="A9"/>
  <c r="E40" i="15"/>
  <c r="A10" i="19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B23"/>
  <c r="C23"/>
  <c r="D23"/>
  <c r="A24"/>
  <c r="B24"/>
  <c r="C24"/>
  <c r="D24"/>
  <c r="A25"/>
  <c r="B25"/>
  <c r="C25"/>
  <c r="D25"/>
  <c r="A26"/>
  <c r="B26"/>
  <c r="C26"/>
  <c r="D26"/>
  <c r="A27"/>
  <c r="B27"/>
  <c r="C27"/>
  <c r="D27"/>
  <c r="A28"/>
  <c r="B28"/>
  <c r="C28"/>
  <c r="D28"/>
  <c r="A29"/>
  <c r="B29"/>
  <c r="C29"/>
  <c r="D29"/>
  <c r="A30"/>
  <c r="B30"/>
  <c r="C30"/>
  <c r="D30"/>
  <c r="A31"/>
  <c r="B31"/>
  <c r="C31"/>
  <c r="D31"/>
  <c r="A32"/>
  <c r="B32"/>
  <c r="C32"/>
  <c r="D32"/>
  <c r="A33"/>
  <c r="B33"/>
  <c r="C33"/>
  <c r="D33"/>
  <c r="A34"/>
  <c r="B34"/>
  <c r="C34"/>
  <c r="D34"/>
  <c r="A35"/>
  <c r="B35"/>
  <c r="C35"/>
  <c r="D35"/>
  <c r="A36"/>
  <c r="B36"/>
  <c r="C36"/>
  <c r="D36"/>
  <c r="A37"/>
  <c r="B37"/>
  <c r="C37"/>
  <c r="D37"/>
  <c r="D9"/>
  <c r="C9"/>
  <c r="B9"/>
  <c r="A9"/>
  <c r="E40" i="14"/>
  <c r="E40" i="13"/>
  <c r="E40" i="12"/>
  <c r="E40" i="11"/>
  <c r="A10" i="18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B23"/>
  <c r="C23"/>
  <c r="D23"/>
  <c r="A24"/>
  <c r="B24"/>
  <c r="C24"/>
  <c r="D24"/>
  <c r="A25"/>
  <c r="B25"/>
  <c r="C25"/>
  <c r="D25"/>
  <c r="A26"/>
  <c r="B26"/>
  <c r="C26"/>
  <c r="D26"/>
  <c r="A27"/>
  <c r="B27"/>
  <c r="C27"/>
  <c r="D27"/>
  <c r="A28"/>
  <c r="B28"/>
  <c r="C28"/>
  <c r="D28"/>
  <c r="A29"/>
  <c r="B29"/>
  <c r="C29"/>
  <c r="D29"/>
  <c r="A30"/>
  <c r="B30"/>
  <c r="C30"/>
  <c r="D30"/>
  <c r="A31"/>
  <c r="B31"/>
  <c r="C31"/>
  <c r="D31"/>
  <c r="A32"/>
  <c r="B32"/>
  <c r="C32"/>
  <c r="D32"/>
  <c r="A33"/>
  <c r="B33"/>
  <c r="C33"/>
  <c r="D33"/>
  <c r="A34"/>
  <c r="B34"/>
  <c r="C34"/>
  <c r="D34"/>
  <c r="A35"/>
  <c r="B35"/>
  <c r="C35"/>
  <c r="D35"/>
  <c r="A36"/>
  <c r="B36"/>
  <c r="C36"/>
  <c r="D36"/>
  <c r="A37"/>
  <c r="B37"/>
  <c r="C37"/>
  <c r="D37"/>
  <c r="D9"/>
  <c r="C9"/>
  <c r="B9"/>
  <c r="A9"/>
  <c r="A10" i="16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B23"/>
  <c r="C23"/>
  <c r="D23"/>
  <c r="A24"/>
  <c r="B24"/>
  <c r="C24"/>
  <c r="D24"/>
  <c r="A25"/>
  <c r="B25"/>
  <c r="C25"/>
  <c r="D25"/>
  <c r="A26"/>
  <c r="B26"/>
  <c r="C26"/>
  <c r="D26"/>
  <c r="A27"/>
  <c r="B27"/>
  <c r="C27"/>
  <c r="D27"/>
  <c r="A28"/>
  <c r="B28"/>
  <c r="C28"/>
  <c r="D28"/>
  <c r="A29"/>
  <c r="B29"/>
  <c r="C29"/>
  <c r="D29"/>
  <c r="A30"/>
  <c r="B30"/>
  <c r="C30"/>
  <c r="D30"/>
  <c r="A31"/>
  <c r="B31"/>
  <c r="C31"/>
  <c r="D31"/>
  <c r="A32"/>
  <c r="B32"/>
  <c r="C32"/>
  <c r="D32"/>
  <c r="A33"/>
  <c r="B33"/>
  <c r="C33"/>
  <c r="D33"/>
  <c r="A34"/>
  <c r="B34"/>
  <c r="C34"/>
  <c r="D34"/>
  <c r="A35"/>
  <c r="B35"/>
  <c r="C35"/>
  <c r="D35"/>
  <c r="A36"/>
  <c r="B36"/>
  <c r="C36"/>
  <c r="D36"/>
  <c r="A37"/>
  <c r="B37"/>
  <c r="C37"/>
  <c r="D37"/>
  <c r="D9"/>
  <c r="C9"/>
  <c r="B9"/>
  <c r="A10" i="17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B23"/>
  <c r="C23"/>
  <c r="D23"/>
  <c r="A24"/>
  <c r="B24"/>
  <c r="C24"/>
  <c r="D24"/>
  <c r="A25"/>
  <c r="B25"/>
  <c r="C25"/>
  <c r="D25"/>
  <c r="A26"/>
  <c r="B26"/>
  <c r="C26"/>
  <c r="D26"/>
  <c r="A27"/>
  <c r="B27"/>
  <c r="C27"/>
  <c r="D27"/>
  <c r="A28"/>
  <c r="B28"/>
  <c r="C28"/>
  <c r="D28"/>
  <c r="A29"/>
  <c r="B29"/>
  <c r="C29"/>
  <c r="D29"/>
  <c r="A30"/>
  <c r="B30"/>
  <c r="C30"/>
  <c r="D30"/>
  <c r="A31"/>
  <c r="B31"/>
  <c r="C31"/>
  <c r="D31"/>
  <c r="A32"/>
  <c r="B32"/>
  <c r="C32"/>
  <c r="D32"/>
  <c r="A33"/>
  <c r="B33"/>
  <c r="C33"/>
  <c r="D33"/>
  <c r="A34"/>
  <c r="B34"/>
  <c r="C34"/>
  <c r="D34"/>
  <c r="A35"/>
  <c r="B35"/>
  <c r="C35"/>
  <c r="D35"/>
  <c r="A36"/>
  <c r="B36"/>
  <c r="C36"/>
  <c r="D36"/>
  <c r="A37"/>
  <c r="B37"/>
  <c r="C37"/>
  <c r="D37"/>
  <c r="D9"/>
  <c r="C9"/>
  <c r="B9"/>
  <c r="A9"/>
  <c r="A9" i="16"/>
  <c r="E40" i="1"/>
  <c r="A4" i="40"/>
  <c r="A4" i="35"/>
  <c r="A4" i="30"/>
  <c r="A4" i="25"/>
  <c r="B3" i="20"/>
  <c r="A4" i="39"/>
  <c r="A4" i="34"/>
  <c r="A4" i="29"/>
  <c r="A4" i="24"/>
  <c r="B3" i="19"/>
  <c r="A4" i="38"/>
  <c r="A4" i="33"/>
  <c r="A4" i="28"/>
  <c r="A4" i="23"/>
  <c r="B3" i="18"/>
  <c r="A4" i="37"/>
  <c r="A4" i="32"/>
  <c r="A4" i="27"/>
  <c r="A4" i="22"/>
  <c r="B3" i="17"/>
  <c r="B3" i="16"/>
  <c r="B3" i="2"/>
  <c r="A4" i="4"/>
  <c r="A4" i="8"/>
  <c r="A4" i="9"/>
  <c r="A4" i="10"/>
  <c r="A4" i="3"/>
  <c r="A4" i="36"/>
  <c r="A4" i="31"/>
  <c r="A4" i="26"/>
  <c r="A4" i="21"/>
  <c r="A11" i="6"/>
  <c r="A10"/>
  <c r="A9"/>
  <c r="A8"/>
  <c r="A7"/>
  <c r="A6"/>
  <c r="A3" i="40"/>
  <c r="A2"/>
  <c r="A3" i="39"/>
  <c r="A2"/>
  <c r="A3" i="38"/>
  <c r="A2"/>
  <c r="A3" i="37"/>
  <c r="A2"/>
  <c r="A3" i="36"/>
  <c r="A2"/>
  <c r="A3" i="35"/>
  <c r="A2"/>
  <c r="A3" i="34"/>
  <c r="A2"/>
  <c r="A3" i="33"/>
  <c r="A2"/>
  <c r="A3" i="32"/>
  <c r="A2"/>
  <c r="A3" i="31"/>
  <c r="A2"/>
  <c r="A3" i="30"/>
  <c r="A2"/>
  <c r="A3" i="29"/>
  <c r="A2"/>
  <c r="A3" i="28"/>
  <c r="A2"/>
  <c r="A3" i="27"/>
  <c r="A2"/>
  <c r="A3" i="26"/>
  <c r="A2"/>
  <c r="A3" i="25"/>
  <c r="A2"/>
  <c r="A3" i="24"/>
  <c r="A2"/>
  <c r="A3" i="23"/>
  <c r="A2"/>
  <c r="A3" i="22"/>
  <c r="A2"/>
  <c r="A3" i="21"/>
  <c r="A2"/>
  <c r="E37" i="15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A4"/>
  <c r="A3"/>
  <c r="E37" i="14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A4"/>
  <c r="A3"/>
  <c r="E37" i="13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A4"/>
  <c r="A3"/>
  <c r="E37" i="12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A4"/>
  <c r="A3"/>
  <c r="E37" i="11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A4"/>
  <c r="A3"/>
  <c r="A3" i="6"/>
  <c r="A2"/>
  <c r="A3" i="10"/>
  <c r="A2"/>
  <c r="A3" i="9"/>
  <c r="A2"/>
  <c r="A3" i="8"/>
  <c r="A2"/>
  <c r="A3" i="4"/>
  <c r="A2"/>
  <c r="A4" i="1"/>
  <c r="A3" i="3" s="1"/>
  <c r="A3" i="1"/>
  <c r="A2" i="51" s="1"/>
  <c r="E10" i="1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9"/>
  <c r="H17" i="47"/>
  <c r="L17"/>
  <c r="L19"/>
  <c r="H21"/>
  <c r="L23"/>
  <c r="H25"/>
  <c r="L27"/>
  <c r="H29"/>
  <c r="M15"/>
  <c r="G16"/>
  <c r="K16"/>
  <c r="E17"/>
  <c r="G17"/>
  <c r="I17"/>
  <c r="K17"/>
  <c r="G18"/>
  <c r="K18"/>
  <c r="F19"/>
  <c r="J19"/>
  <c r="N19"/>
  <c r="H20"/>
  <c r="F21"/>
  <c r="J21"/>
  <c r="N21"/>
  <c r="L22"/>
  <c r="F23"/>
  <c r="J23"/>
  <c r="N23"/>
  <c r="H24"/>
  <c r="F25"/>
  <c r="J25"/>
  <c r="N25"/>
  <c r="L26"/>
  <c r="F27"/>
  <c r="J27"/>
  <c r="N27"/>
  <c r="H28"/>
  <c r="F29"/>
  <c r="J29"/>
  <c r="N29"/>
  <c r="L30"/>
  <c r="E19"/>
  <c r="G19"/>
  <c r="I19"/>
  <c r="K19"/>
  <c r="G20"/>
  <c r="K20"/>
  <c r="E21"/>
  <c r="G21"/>
  <c r="I21"/>
  <c r="K21"/>
  <c r="G22"/>
  <c r="K22"/>
  <c r="E23"/>
  <c r="G23"/>
  <c r="I23"/>
  <c r="K23"/>
  <c r="G24"/>
  <c r="K24"/>
  <c r="E25"/>
  <c r="G25"/>
  <c r="I25"/>
  <c r="K25"/>
  <c r="G26"/>
  <c r="K26"/>
  <c r="E27"/>
  <c r="G27"/>
  <c r="I27"/>
  <c r="K27"/>
  <c r="G28"/>
  <c r="K28"/>
  <c r="E29"/>
  <c r="G29"/>
  <c r="I29"/>
  <c r="K29"/>
  <c r="G30"/>
  <c r="K30"/>
  <c r="F15"/>
  <c r="H15"/>
  <c r="J15"/>
  <c r="L15"/>
  <c r="N15"/>
  <c r="E15"/>
  <c r="G15"/>
  <c r="I15"/>
  <c r="K15"/>
  <c r="I27" i="2"/>
  <c r="A6" i="61"/>
  <c r="A5" i="57"/>
  <c r="A5" i="59" s="1"/>
  <c r="A5" i="60" s="1"/>
  <c r="B5" i="21"/>
  <c r="B5" i="26" s="1"/>
  <c r="B5" i="31" s="1"/>
  <c r="B5" i="36" s="1"/>
  <c r="B5" i="22"/>
  <c r="B5" i="27" s="1"/>
  <c r="B5" i="32" s="1"/>
  <c r="B5" i="37" s="1"/>
  <c r="B5" i="23"/>
  <c r="B5" i="28" s="1"/>
  <c r="B5" i="33" s="1"/>
  <c r="B5" i="38" s="1"/>
  <c r="E15" i="72"/>
  <c r="G15"/>
  <c r="I15"/>
  <c r="K15"/>
  <c r="M15"/>
  <c r="E16"/>
  <c r="G16"/>
  <c r="I16"/>
  <c r="K16"/>
  <c r="M16"/>
  <c r="E17"/>
  <c r="G17"/>
  <c r="I17"/>
  <c r="K17"/>
  <c r="M17"/>
  <c r="E18"/>
  <c r="G18"/>
  <c r="I18"/>
  <c r="K18"/>
  <c r="M18"/>
  <c r="E19"/>
  <c r="G19"/>
  <c r="I19"/>
  <c r="K19"/>
  <c r="M19"/>
  <c r="G20"/>
  <c r="K20"/>
  <c r="E21"/>
  <c r="I21"/>
  <c r="M21"/>
  <c r="E22"/>
  <c r="G22"/>
  <c r="I22"/>
  <c r="K22"/>
  <c r="M22"/>
  <c r="E23"/>
  <c r="G23"/>
  <c r="I23"/>
  <c r="K23"/>
  <c r="M23"/>
  <c r="E24"/>
  <c r="G24"/>
  <c r="I24"/>
  <c r="K24"/>
  <c r="M24"/>
  <c r="E25"/>
  <c r="G25"/>
  <c r="I25"/>
  <c r="K25"/>
  <c r="M25"/>
  <c r="E26"/>
  <c r="G26"/>
  <c r="I26"/>
  <c r="K26"/>
  <c r="M26"/>
  <c r="E27"/>
  <c r="G27"/>
  <c r="I27"/>
  <c r="K27"/>
  <c r="M27"/>
  <c r="G28"/>
  <c r="K28"/>
  <c r="E29"/>
  <c r="I29"/>
  <c r="M29"/>
  <c r="E30"/>
  <c r="G30"/>
  <c r="I30"/>
  <c r="K30"/>
  <c r="M30"/>
  <c r="F15"/>
  <c r="H15"/>
  <c r="J15"/>
  <c r="L15"/>
  <c r="F16"/>
  <c r="H16"/>
  <c r="J16"/>
  <c r="L16"/>
  <c r="F17"/>
  <c r="H17"/>
  <c r="J17"/>
  <c r="L17"/>
  <c r="F18"/>
  <c r="H18"/>
  <c r="J18"/>
  <c r="L18"/>
  <c r="F19"/>
  <c r="H19"/>
  <c r="J19"/>
  <c r="L19"/>
  <c r="F20"/>
  <c r="J20"/>
  <c r="F21"/>
  <c r="J21"/>
  <c r="F22"/>
  <c r="H22"/>
  <c r="J22"/>
  <c r="L22"/>
  <c r="F23"/>
  <c r="H23"/>
  <c r="J23"/>
  <c r="L23"/>
  <c r="F24"/>
  <c r="H24"/>
  <c r="J24"/>
  <c r="L24"/>
  <c r="F25"/>
  <c r="H25"/>
  <c r="J25"/>
  <c r="L25"/>
  <c r="F26"/>
  <c r="H26"/>
  <c r="J26"/>
  <c r="L26"/>
  <c r="F27"/>
  <c r="H27"/>
  <c r="J27"/>
  <c r="L27"/>
  <c r="F28"/>
  <c r="J28"/>
  <c r="F29"/>
  <c r="J29"/>
  <c r="F30"/>
  <c r="H30"/>
  <c r="J30"/>
  <c r="L30"/>
  <c r="E15" i="67"/>
  <c r="G15"/>
  <c r="I15"/>
  <c r="K15"/>
  <c r="M15"/>
  <c r="E16"/>
  <c r="G16"/>
  <c r="I16"/>
  <c r="K16"/>
  <c r="M16"/>
  <c r="E17"/>
  <c r="G17"/>
  <c r="I17"/>
  <c r="K17"/>
  <c r="M17"/>
  <c r="E18"/>
  <c r="G18"/>
  <c r="I18"/>
  <c r="K18"/>
  <c r="M18"/>
  <c r="E19"/>
  <c r="G19"/>
  <c r="I19"/>
  <c r="K19"/>
  <c r="M19"/>
  <c r="E20"/>
  <c r="G20"/>
  <c r="I20"/>
  <c r="K20"/>
  <c r="M20"/>
  <c r="E21"/>
  <c r="I21"/>
  <c r="M21"/>
  <c r="G22"/>
  <c r="K22"/>
  <c r="E23"/>
  <c r="G23"/>
  <c r="I23"/>
  <c r="K23"/>
  <c r="M23"/>
  <c r="E24"/>
  <c r="G24"/>
  <c r="I24"/>
  <c r="K24"/>
  <c r="M24"/>
  <c r="E25"/>
  <c r="G25"/>
  <c r="I25"/>
  <c r="K25"/>
  <c r="M25"/>
  <c r="E26"/>
  <c r="G26"/>
  <c r="I26"/>
  <c r="K26"/>
  <c r="M26"/>
  <c r="E27"/>
  <c r="G27"/>
  <c r="I27"/>
  <c r="K27"/>
  <c r="M27"/>
  <c r="E28"/>
  <c r="G28"/>
  <c r="I28"/>
  <c r="K28"/>
  <c r="M28"/>
  <c r="E29"/>
  <c r="I29"/>
  <c r="M29"/>
  <c r="G30"/>
  <c r="K30"/>
  <c r="F15"/>
  <c r="H15"/>
  <c r="J15"/>
  <c r="L15"/>
  <c r="F16"/>
  <c r="H16"/>
  <c r="J16"/>
  <c r="L16"/>
  <c r="F17"/>
  <c r="H17"/>
  <c r="J17"/>
  <c r="L17"/>
  <c r="F18"/>
  <c r="H18"/>
  <c r="J18"/>
  <c r="L18"/>
  <c r="F19"/>
  <c r="H19"/>
  <c r="J19"/>
  <c r="L19"/>
  <c r="F20"/>
  <c r="H20"/>
  <c r="J20"/>
  <c r="L20"/>
  <c r="F21"/>
  <c r="J21"/>
  <c r="F22"/>
  <c r="J22"/>
  <c r="F23"/>
  <c r="H23"/>
  <c r="J23"/>
  <c r="L23"/>
  <c r="F24"/>
  <c r="H24"/>
  <c r="J24"/>
  <c r="L24"/>
  <c r="F25"/>
  <c r="H25"/>
  <c r="J25"/>
  <c r="L25"/>
  <c r="F26"/>
  <c r="H26"/>
  <c r="J26"/>
  <c r="L26"/>
  <c r="F27"/>
  <c r="H27"/>
  <c r="J27"/>
  <c r="L27"/>
  <c r="F28"/>
  <c r="H28"/>
  <c r="J28"/>
  <c r="L28"/>
  <c r="F29"/>
  <c r="J29"/>
  <c r="F30"/>
  <c r="J30"/>
  <c r="E14" i="62"/>
  <c r="G14"/>
  <c r="I14"/>
  <c r="K14"/>
  <c r="M14"/>
  <c r="E15"/>
  <c r="G15"/>
  <c r="I15"/>
  <c r="K15"/>
  <c r="M15"/>
  <c r="E16"/>
  <c r="G16"/>
  <c r="I16"/>
  <c r="K16"/>
  <c r="M16"/>
  <c r="E17"/>
  <c r="G17"/>
  <c r="I17"/>
  <c r="K17"/>
  <c r="M17"/>
  <c r="E18"/>
  <c r="I18"/>
  <c r="M18"/>
  <c r="E19"/>
  <c r="G19"/>
  <c r="I19"/>
  <c r="K19"/>
  <c r="M19"/>
  <c r="E20"/>
  <c r="G20"/>
  <c r="I20"/>
  <c r="K20"/>
  <c r="M20"/>
  <c r="E21"/>
  <c r="G21"/>
  <c r="I21"/>
  <c r="K21"/>
  <c r="M21"/>
  <c r="E22"/>
  <c r="I22"/>
  <c r="M22"/>
  <c r="E23"/>
  <c r="G23"/>
  <c r="I23"/>
  <c r="K23"/>
  <c r="M23"/>
  <c r="E24"/>
  <c r="G24"/>
  <c r="I24"/>
  <c r="K24"/>
  <c r="M24"/>
  <c r="E25"/>
  <c r="G25"/>
  <c r="I25"/>
  <c r="K25"/>
  <c r="M25"/>
  <c r="E26"/>
  <c r="I26"/>
  <c r="M26"/>
  <c r="E27"/>
  <c r="G27"/>
  <c r="I27"/>
  <c r="K27"/>
  <c r="M27"/>
  <c r="E28"/>
  <c r="G28"/>
  <c r="I28"/>
  <c r="K28"/>
  <c r="M28"/>
  <c r="E29"/>
  <c r="G29"/>
  <c r="I29"/>
  <c r="K29"/>
  <c r="M29"/>
  <c r="E30"/>
  <c r="I30"/>
  <c r="M30"/>
  <c r="F14"/>
  <c r="H14"/>
  <c r="J14"/>
  <c r="L14"/>
  <c r="F15"/>
  <c r="H15"/>
  <c r="J15"/>
  <c r="L15"/>
  <c r="F16"/>
  <c r="H16"/>
  <c r="J16"/>
  <c r="L16"/>
  <c r="F17"/>
  <c r="H17"/>
  <c r="J17"/>
  <c r="L17"/>
  <c r="H18"/>
  <c r="L18"/>
  <c r="F19"/>
  <c r="H19"/>
  <c r="J19"/>
  <c r="L19"/>
  <c r="F20"/>
  <c r="H20"/>
  <c r="J20"/>
  <c r="L20"/>
  <c r="F21"/>
  <c r="H21"/>
  <c r="J21"/>
  <c r="L21"/>
  <c r="H22"/>
  <c r="L22"/>
  <c r="F23"/>
  <c r="H23"/>
  <c r="J23"/>
  <c r="L23"/>
  <c r="F24"/>
  <c r="H24"/>
  <c r="J24"/>
  <c r="L24"/>
  <c r="F25"/>
  <c r="H25"/>
  <c r="J25"/>
  <c r="L25"/>
  <c r="H26"/>
  <c r="L26"/>
  <c r="F27"/>
  <c r="H27"/>
  <c r="J27"/>
  <c r="L27"/>
  <c r="F28"/>
  <c r="H28"/>
  <c r="J28"/>
  <c r="L28"/>
  <c r="F29"/>
  <c r="H29"/>
  <c r="J29"/>
  <c r="L29"/>
  <c r="H30"/>
  <c r="L30"/>
  <c r="F15" i="61"/>
  <c r="H15"/>
  <c r="J15"/>
  <c r="L15"/>
  <c r="E15"/>
  <c r="G15"/>
  <c r="I15"/>
  <c r="K15"/>
  <c r="E15" i="57"/>
  <c r="I15"/>
  <c r="M15"/>
  <c r="G16"/>
  <c r="K16"/>
  <c r="E17"/>
  <c r="I17"/>
  <c r="M17"/>
  <c r="G18"/>
  <c r="K18"/>
  <c r="E19"/>
  <c r="I19"/>
  <c r="M19"/>
  <c r="E20"/>
  <c r="G20"/>
  <c r="I20"/>
  <c r="K20"/>
  <c r="M20"/>
  <c r="E21"/>
  <c r="G21"/>
  <c r="I21"/>
  <c r="K21"/>
  <c r="M21"/>
  <c r="E22"/>
  <c r="G22"/>
  <c r="I22"/>
  <c r="K22"/>
  <c r="M22"/>
  <c r="E23"/>
  <c r="G23"/>
  <c r="I23"/>
  <c r="K23"/>
  <c r="M23"/>
  <c r="E24"/>
  <c r="G24"/>
  <c r="I24"/>
  <c r="K24"/>
  <c r="M24"/>
  <c r="E25"/>
  <c r="G25"/>
  <c r="I25"/>
  <c r="K25"/>
  <c r="M25"/>
  <c r="G26"/>
  <c r="K26"/>
  <c r="E27"/>
  <c r="I27"/>
  <c r="M27"/>
  <c r="E28"/>
  <c r="G28"/>
  <c r="I28"/>
  <c r="K28"/>
  <c r="M28"/>
  <c r="E29"/>
  <c r="G29"/>
  <c r="I29"/>
  <c r="K29"/>
  <c r="M29"/>
  <c r="E30"/>
  <c r="G30"/>
  <c r="I30"/>
  <c r="K30"/>
  <c r="M30"/>
  <c r="F15"/>
  <c r="J15"/>
  <c r="F16"/>
  <c r="J16"/>
  <c r="F17"/>
  <c r="J17"/>
  <c r="F18"/>
  <c r="J18"/>
  <c r="F19"/>
  <c r="J19"/>
  <c r="F20"/>
  <c r="H20"/>
  <c r="J20"/>
  <c r="L20"/>
  <c r="F21"/>
  <c r="H21"/>
  <c r="J21"/>
  <c r="L21"/>
  <c r="F22"/>
  <c r="H22"/>
  <c r="J22"/>
  <c r="L22"/>
  <c r="F23"/>
  <c r="H23"/>
  <c r="J23"/>
  <c r="L23"/>
  <c r="F24"/>
  <c r="H24"/>
  <c r="J24"/>
  <c r="L24"/>
  <c r="F25"/>
  <c r="H25"/>
  <c r="J25"/>
  <c r="L25"/>
  <c r="F26"/>
  <c r="J26"/>
  <c r="F27"/>
  <c r="J27"/>
  <c r="F28"/>
  <c r="H28"/>
  <c r="J28"/>
  <c r="L28"/>
  <c r="F29"/>
  <c r="H29"/>
  <c r="J29"/>
  <c r="L29"/>
  <c r="F30"/>
  <c r="H30"/>
  <c r="J30"/>
  <c r="L30"/>
  <c r="E15" i="52"/>
  <c r="G15"/>
  <c r="I15"/>
  <c r="K15"/>
  <c r="M15"/>
  <c r="E16"/>
  <c r="G16"/>
  <c r="I16"/>
  <c r="K16"/>
  <c r="M16"/>
  <c r="E17"/>
  <c r="I17"/>
  <c r="M17"/>
  <c r="G18"/>
  <c r="K18"/>
  <c r="E19"/>
  <c r="G19"/>
  <c r="I19"/>
  <c r="K19"/>
  <c r="M19"/>
  <c r="E20"/>
  <c r="G20"/>
  <c r="I20"/>
  <c r="K20"/>
  <c r="M20"/>
  <c r="E21"/>
  <c r="G21"/>
  <c r="I21"/>
  <c r="K21"/>
  <c r="M21"/>
  <c r="G22"/>
  <c r="K22"/>
  <c r="E23"/>
  <c r="G23"/>
  <c r="I23"/>
  <c r="K23"/>
  <c r="M23"/>
  <c r="E24"/>
  <c r="G24"/>
  <c r="I24"/>
  <c r="K24"/>
  <c r="M24"/>
  <c r="E25"/>
  <c r="G25"/>
  <c r="I25"/>
  <c r="K25"/>
  <c r="M25"/>
  <c r="E26"/>
  <c r="G26"/>
  <c r="I26"/>
  <c r="K26"/>
  <c r="M26"/>
  <c r="E27"/>
  <c r="I27"/>
  <c r="M27"/>
  <c r="E28"/>
  <c r="G28"/>
  <c r="I28"/>
  <c r="K28"/>
  <c r="M28"/>
  <c r="E29"/>
  <c r="G29"/>
  <c r="I29"/>
  <c r="K29"/>
  <c r="M29"/>
  <c r="E30"/>
  <c r="G30"/>
  <c r="I30"/>
  <c r="K30"/>
  <c r="M30"/>
  <c r="F15"/>
  <c r="H15"/>
  <c r="J15"/>
  <c r="L15"/>
  <c r="F16"/>
  <c r="H16"/>
  <c r="J16"/>
  <c r="L16"/>
  <c r="F17"/>
  <c r="J17"/>
  <c r="F18"/>
  <c r="J18"/>
  <c r="F19"/>
  <c r="H19"/>
  <c r="J19"/>
  <c r="L19"/>
  <c r="F20"/>
  <c r="H20"/>
  <c r="J20"/>
  <c r="L20"/>
  <c r="F21"/>
  <c r="H21"/>
  <c r="J21"/>
  <c r="L21"/>
  <c r="F22"/>
  <c r="J22"/>
  <c r="F23"/>
  <c r="H23"/>
  <c r="J23"/>
  <c r="L23"/>
  <c r="F24"/>
  <c r="H24"/>
  <c r="J24"/>
  <c r="L24"/>
  <c r="F25"/>
  <c r="H25"/>
  <c r="J25"/>
  <c r="L25"/>
  <c r="F26"/>
  <c r="H26"/>
  <c r="J26"/>
  <c r="L26"/>
  <c r="F27"/>
  <c r="J27"/>
  <c r="F28"/>
  <c r="H28"/>
  <c r="J28"/>
  <c r="L28"/>
  <c r="F29"/>
  <c r="H29"/>
  <c r="J29"/>
  <c r="L29"/>
  <c r="F30"/>
  <c r="H30"/>
  <c r="J30"/>
  <c r="L30"/>
  <c r="A6" i="66"/>
  <c r="A5" i="62"/>
  <c r="A5" i="65" s="1"/>
  <c r="I16" i="8"/>
  <c r="I16" i="27"/>
  <c r="I16" i="26"/>
  <c r="A6" i="71"/>
  <c r="A5" i="72" s="1"/>
  <c r="A5" i="74" s="1"/>
  <c r="A5" i="75" s="1"/>
  <c r="A5" i="67"/>
  <c r="A5" i="69" s="1"/>
  <c r="A5" i="70" s="1"/>
  <c r="A5" i="64"/>
  <c r="M15" i="61"/>
  <c r="I8" i="35"/>
  <c r="K8" i="70"/>
  <c r="H20" i="24"/>
  <c r="E19"/>
  <c r="F18"/>
  <c r="G17"/>
  <c r="H16"/>
  <c r="I15"/>
  <c r="F14"/>
  <c r="G13"/>
  <c r="H12"/>
  <c r="E11"/>
  <c r="F10"/>
  <c r="G9"/>
  <c r="I8" i="34"/>
  <c r="I20" i="39"/>
  <c r="I15"/>
  <c r="E11"/>
  <c r="H20" i="25"/>
  <c r="I19"/>
  <c r="F18"/>
  <c r="G17"/>
  <c r="H16"/>
  <c r="E15"/>
  <c r="F14"/>
  <c r="G13"/>
  <c r="H12"/>
  <c r="I11"/>
  <c r="F10"/>
  <c r="G9"/>
  <c r="F20" i="24"/>
  <c r="H18"/>
  <c r="I17"/>
  <c r="E17"/>
  <c r="F16"/>
  <c r="G15"/>
  <c r="H14"/>
  <c r="I13"/>
  <c r="E13"/>
  <c r="F12"/>
  <c r="H10"/>
  <c r="I9"/>
  <c r="E9"/>
  <c r="F20" i="25"/>
  <c r="G19"/>
  <c r="H18"/>
  <c r="I17"/>
  <c r="E17"/>
  <c r="F16"/>
  <c r="H14"/>
  <c r="I13"/>
  <c r="E13"/>
  <c r="F12"/>
  <c r="G11"/>
  <c r="H10"/>
  <c r="I9"/>
  <c r="E9"/>
  <c r="K8" i="64"/>
  <c r="G8"/>
  <c r="M8"/>
  <c r="I8"/>
  <c r="G27" i="38"/>
  <c r="H26"/>
  <c r="I25"/>
  <c r="E25"/>
  <c r="F24"/>
  <c r="G23"/>
  <c r="H22"/>
  <c r="I21"/>
  <c r="E21"/>
  <c r="G19"/>
  <c r="H18"/>
  <c r="I17"/>
  <c r="E17"/>
  <c r="E16"/>
  <c r="F15"/>
  <c r="G14"/>
  <c r="H13"/>
  <c r="I12"/>
  <c r="F11"/>
  <c r="G10"/>
  <c r="H9"/>
  <c r="I27"/>
  <c r="E27"/>
  <c r="F26"/>
  <c r="G25"/>
  <c r="H24"/>
  <c r="I23"/>
  <c r="E23"/>
  <c r="F22"/>
  <c r="G21"/>
  <c r="I19"/>
  <c r="E19"/>
  <c r="F18"/>
  <c r="G17"/>
  <c r="G16"/>
  <c r="H15"/>
  <c r="I14"/>
  <c r="E14"/>
  <c r="F13"/>
  <c r="H11"/>
  <c r="I10"/>
  <c r="E10"/>
  <c r="F9"/>
  <c r="G8" i="22"/>
  <c r="F36" i="27"/>
  <c r="G35"/>
  <c r="H34"/>
  <c r="I33"/>
  <c r="F32"/>
  <c r="G31"/>
  <c r="H30"/>
  <c r="E29"/>
  <c r="F28"/>
  <c r="G27"/>
  <c r="H26"/>
  <c r="I25"/>
  <c r="F24"/>
  <c r="G23"/>
  <c r="H22"/>
  <c r="E21"/>
  <c r="F20"/>
  <c r="G19"/>
  <c r="H18"/>
  <c r="I17"/>
  <c r="E16"/>
  <c r="F15"/>
  <c r="G14"/>
  <c r="I12"/>
  <c r="E12"/>
  <c r="F11"/>
  <c r="G10"/>
  <c r="H9"/>
  <c r="I35" i="32"/>
  <c r="E35"/>
  <c r="F34"/>
  <c r="G33"/>
  <c r="H32"/>
  <c r="I31"/>
  <c r="E31"/>
  <c r="F30"/>
  <c r="G29"/>
  <c r="I27"/>
  <c r="E27"/>
  <c r="F26"/>
  <c r="G25"/>
  <c r="H24"/>
  <c r="I23"/>
  <c r="E23"/>
  <c r="F22"/>
  <c r="G21"/>
  <c r="I19"/>
  <c r="E19"/>
  <c r="F18"/>
  <c r="G17"/>
  <c r="H16"/>
  <c r="I15"/>
  <c r="E15"/>
  <c r="F14"/>
  <c r="G13"/>
  <c r="H11"/>
  <c r="E10"/>
  <c r="F36" i="37"/>
  <c r="G35"/>
  <c r="H34"/>
  <c r="E33"/>
  <c r="F32"/>
  <c r="G31"/>
  <c r="H30"/>
  <c r="I29"/>
  <c r="F28"/>
  <c r="G27"/>
  <c r="H26"/>
  <c r="E25"/>
  <c r="F24"/>
  <c r="G23"/>
  <c r="H22"/>
  <c r="I21"/>
  <c r="F20"/>
  <c r="G19"/>
  <c r="H18"/>
  <c r="E17"/>
  <c r="E16"/>
  <c r="F15"/>
  <c r="G14"/>
  <c r="H13"/>
  <c r="I12"/>
  <c r="E12"/>
  <c r="F11"/>
  <c r="G10"/>
  <c r="I8" i="22"/>
  <c r="H36" i="27"/>
  <c r="I35"/>
  <c r="E35"/>
  <c r="F34"/>
  <c r="H32"/>
  <c r="I31"/>
  <c r="E31"/>
  <c r="F30"/>
  <c r="G29"/>
  <c r="H28"/>
  <c r="I27"/>
  <c r="E27"/>
  <c r="F26"/>
  <c r="H24"/>
  <c r="I23"/>
  <c r="E23"/>
  <c r="F22"/>
  <c r="G21"/>
  <c r="H20"/>
  <c r="I19"/>
  <c r="E19"/>
  <c r="F18"/>
  <c r="G16"/>
  <c r="H15"/>
  <c r="I14"/>
  <c r="E14"/>
  <c r="F13"/>
  <c r="G12"/>
  <c r="H11"/>
  <c r="I10"/>
  <c r="E10"/>
  <c r="F36" i="32"/>
  <c r="G35"/>
  <c r="H34"/>
  <c r="I33"/>
  <c r="E33"/>
  <c r="G31"/>
  <c r="H30"/>
  <c r="I29"/>
  <c r="E29"/>
  <c r="F28"/>
  <c r="G27"/>
  <c r="H26"/>
  <c r="I25"/>
  <c r="E25"/>
  <c r="G23"/>
  <c r="H22"/>
  <c r="I21"/>
  <c r="E21"/>
  <c r="F20"/>
  <c r="G19"/>
  <c r="H18"/>
  <c r="I17"/>
  <c r="E17"/>
  <c r="G15"/>
  <c r="H14"/>
  <c r="I13"/>
  <c r="E13"/>
  <c r="E12"/>
  <c r="F11"/>
  <c r="G10"/>
  <c r="H9"/>
  <c r="H36" i="37"/>
  <c r="I35"/>
  <c r="E35"/>
  <c r="F34"/>
  <c r="H32"/>
  <c r="I31"/>
  <c r="E31"/>
  <c r="F30"/>
  <c r="G29"/>
  <c r="H28"/>
  <c r="I27"/>
  <c r="E27"/>
  <c r="F26"/>
  <c r="H24"/>
  <c r="I23"/>
  <c r="E23"/>
  <c r="F22"/>
  <c r="G21"/>
  <c r="H20"/>
  <c r="I19"/>
  <c r="E19"/>
  <c r="F18"/>
  <c r="G16"/>
  <c r="H15"/>
  <c r="I14"/>
  <c r="E14"/>
  <c r="F13"/>
  <c r="G12"/>
  <c r="H11"/>
  <c r="I10"/>
  <c r="E10"/>
  <c r="I8" i="31"/>
  <c r="H36" i="36"/>
  <c r="E35"/>
  <c r="F34"/>
  <c r="G33"/>
  <c r="H32"/>
  <c r="I31"/>
  <c r="F30"/>
  <c r="G29"/>
  <c r="H28"/>
  <c r="E27"/>
  <c r="F26"/>
  <c r="G25"/>
  <c r="H24"/>
  <c r="I23"/>
  <c r="F22"/>
  <c r="G21"/>
  <c r="H20"/>
  <c r="E19"/>
  <c r="F18"/>
  <c r="G17"/>
  <c r="G16"/>
  <c r="H15"/>
  <c r="I14"/>
  <c r="E14"/>
  <c r="F13"/>
  <c r="G12"/>
  <c r="I10"/>
  <c r="E10"/>
  <c r="F9"/>
  <c r="G8" i="31"/>
  <c r="F36" i="36"/>
  <c r="G35"/>
  <c r="H34"/>
  <c r="I33"/>
  <c r="E33"/>
  <c r="F32"/>
  <c r="H30"/>
  <c r="I29"/>
  <c r="E29"/>
  <c r="F28"/>
  <c r="G27"/>
  <c r="H26"/>
  <c r="I25"/>
  <c r="E25"/>
  <c r="F24"/>
  <c r="H22"/>
  <c r="I21"/>
  <c r="E21"/>
  <c r="F20"/>
  <c r="G19"/>
  <c r="H18"/>
  <c r="I17"/>
  <c r="E17"/>
  <c r="E16"/>
  <c r="G14"/>
  <c r="H13"/>
  <c r="I12"/>
  <c r="E12"/>
  <c r="F11"/>
  <c r="G10"/>
  <c r="H9"/>
  <c r="I8" i="4"/>
  <c r="F18" i="8"/>
  <c r="G16"/>
  <c r="I14"/>
  <c r="E14"/>
  <c r="F13"/>
  <c r="G12"/>
  <c r="H11"/>
  <c r="I10"/>
  <c r="E10"/>
  <c r="H18" i="9"/>
  <c r="E17"/>
  <c r="F16"/>
  <c r="G15"/>
  <c r="H14"/>
  <c r="I13"/>
  <c r="G10"/>
  <c r="F18" i="10"/>
  <c r="G17"/>
  <c r="G16"/>
  <c r="I14"/>
  <c r="E14"/>
  <c r="F13"/>
  <c r="G12"/>
  <c r="H11"/>
  <c r="I10"/>
  <c r="E10"/>
  <c r="F9"/>
  <c r="H18" i="8"/>
  <c r="E17"/>
  <c r="E16"/>
  <c r="F15"/>
  <c r="G14"/>
  <c r="H13"/>
  <c r="I12"/>
  <c r="E12"/>
  <c r="G10"/>
  <c r="H18" i="10"/>
  <c r="I17"/>
  <c r="E17"/>
  <c r="E16"/>
  <c r="F15"/>
  <c r="G14"/>
  <c r="H13"/>
  <c r="I12"/>
  <c r="E12"/>
  <c r="G10"/>
  <c r="H9"/>
  <c r="A2" i="3"/>
  <c r="I12" i="31"/>
  <c r="I16" i="28"/>
  <c r="N6" i="71"/>
  <c r="N5" i="67"/>
  <c r="N5" i="62"/>
  <c r="N5" i="57"/>
  <c r="N5" i="52"/>
  <c r="N5" i="47"/>
  <c r="I12" i="32"/>
  <c r="I16" i="37"/>
  <c r="I16" i="29"/>
  <c r="I16" i="36"/>
  <c r="A3" i="72"/>
  <c r="A3" i="71"/>
  <c r="A3" i="62"/>
  <c r="A3" i="67"/>
  <c r="A3" i="66"/>
  <c r="A3" i="61"/>
  <c r="G8" i="49"/>
  <c r="I8"/>
  <c r="K8"/>
  <c r="M8"/>
  <c r="H18"/>
  <c r="L18"/>
  <c r="F16"/>
  <c r="H16"/>
  <c r="J16"/>
  <c r="L16"/>
  <c r="N16"/>
  <c r="F14"/>
  <c r="H14"/>
  <c r="J14"/>
  <c r="L14"/>
  <c r="N14"/>
  <c r="F12"/>
  <c r="H12"/>
  <c r="J12"/>
  <c r="L12"/>
  <c r="N12"/>
  <c r="G10"/>
  <c r="M10"/>
  <c r="F9" i="50"/>
  <c r="H9"/>
  <c r="K9"/>
  <c r="M9"/>
  <c r="E9"/>
  <c r="G9"/>
  <c r="J9"/>
  <c r="L9"/>
  <c r="F10"/>
  <c r="I10"/>
  <c r="K10"/>
  <c r="E10"/>
  <c r="G10"/>
  <c r="J10"/>
  <c r="M10"/>
  <c r="E11"/>
  <c r="G11"/>
  <c r="I11"/>
  <c r="K11"/>
  <c r="M11"/>
  <c r="F12"/>
  <c r="H12"/>
  <c r="J12"/>
  <c r="L12"/>
  <c r="N12"/>
  <c r="F13"/>
  <c r="H13"/>
  <c r="J13"/>
  <c r="L13"/>
  <c r="N13"/>
  <c r="F14"/>
  <c r="H14"/>
  <c r="J14"/>
  <c r="L14"/>
  <c r="N14"/>
  <c r="F15"/>
  <c r="H15"/>
  <c r="J15"/>
  <c r="L15"/>
  <c r="N15"/>
  <c r="F16"/>
  <c r="H16"/>
  <c r="J16"/>
  <c r="L16"/>
  <c r="N16"/>
  <c r="F17"/>
  <c r="H17"/>
  <c r="J17"/>
  <c r="L17"/>
  <c r="N17"/>
  <c r="F18"/>
  <c r="H18"/>
  <c r="J18"/>
  <c r="L18"/>
  <c r="N18"/>
  <c r="F19"/>
  <c r="H19"/>
  <c r="J19"/>
  <c r="L19"/>
  <c r="N19"/>
  <c r="I8" i="55"/>
  <c r="M8"/>
  <c r="H8"/>
  <c r="L8"/>
  <c r="E19" i="59"/>
  <c r="G19"/>
  <c r="I19"/>
  <c r="K19"/>
  <c r="M19"/>
  <c r="F19"/>
  <c r="H19"/>
  <c r="J19"/>
  <c r="L19"/>
  <c r="N19"/>
  <c r="E18"/>
  <c r="G18"/>
  <c r="I18"/>
  <c r="K18"/>
  <c r="M18"/>
  <c r="F18"/>
  <c r="H18"/>
  <c r="J18"/>
  <c r="L18"/>
  <c r="N18"/>
  <c r="E17"/>
  <c r="G17"/>
  <c r="I17"/>
  <c r="K17"/>
  <c r="M17"/>
  <c r="F17"/>
  <c r="H17"/>
  <c r="J17"/>
  <c r="L17"/>
  <c r="N17"/>
  <c r="E16"/>
  <c r="G16"/>
  <c r="I16"/>
  <c r="K16"/>
  <c r="M16"/>
  <c r="F16"/>
  <c r="H16"/>
  <c r="J16"/>
  <c r="L16"/>
  <c r="N16"/>
  <c r="E15"/>
  <c r="G15"/>
  <c r="I15"/>
  <c r="K15"/>
  <c r="M15"/>
  <c r="F15"/>
  <c r="H15"/>
  <c r="J15"/>
  <c r="L15"/>
  <c r="N15"/>
  <c r="E14"/>
  <c r="G14"/>
  <c r="I14"/>
  <c r="K14"/>
  <c r="M14"/>
  <c r="F14"/>
  <c r="H14"/>
  <c r="J14"/>
  <c r="L14"/>
  <c r="N14"/>
  <c r="E13"/>
  <c r="G13"/>
  <c r="I13"/>
  <c r="K13"/>
  <c r="M13"/>
  <c r="F13"/>
  <c r="H13"/>
  <c r="J13"/>
  <c r="L13"/>
  <c r="N13"/>
  <c r="E12"/>
  <c r="G12"/>
  <c r="I12"/>
  <c r="K12"/>
  <c r="M12"/>
  <c r="F12"/>
  <c r="H12"/>
  <c r="J12"/>
  <c r="L12"/>
  <c r="N12"/>
  <c r="F11"/>
  <c r="H11"/>
  <c r="J11"/>
  <c r="L11"/>
  <c r="E11"/>
  <c r="G11"/>
  <c r="I11"/>
  <c r="K11"/>
  <c r="M11"/>
  <c r="F10"/>
  <c r="I10"/>
  <c r="K10"/>
  <c r="N10"/>
  <c r="E10"/>
  <c r="G10"/>
  <c r="J10"/>
  <c r="M10"/>
  <c r="F9"/>
  <c r="H9"/>
  <c r="K9"/>
  <c r="M9"/>
  <c r="E9"/>
  <c r="G9"/>
  <c r="J9"/>
  <c r="L9"/>
  <c r="G8" i="36"/>
  <c r="I8"/>
  <c r="A3" i="47"/>
  <c r="E8" i="4"/>
  <c r="H8"/>
  <c r="H36"/>
  <c r="F36"/>
  <c r="I35"/>
  <c r="E35"/>
  <c r="H34"/>
  <c r="F34"/>
  <c r="G33"/>
  <c r="H32"/>
  <c r="F32"/>
  <c r="I31"/>
  <c r="E31"/>
  <c r="H30"/>
  <c r="F30"/>
  <c r="G29"/>
  <c r="H28"/>
  <c r="F28"/>
  <c r="I27"/>
  <c r="E27"/>
  <c r="H26"/>
  <c r="F26"/>
  <c r="G25"/>
  <c r="H24"/>
  <c r="F24"/>
  <c r="I23"/>
  <c r="E23"/>
  <c r="H22"/>
  <c r="F22"/>
  <c r="G21"/>
  <c r="H20"/>
  <c r="F20"/>
  <c r="I19"/>
  <c r="E19"/>
  <c r="H18"/>
  <c r="F18"/>
  <c r="G17"/>
  <c r="H16"/>
  <c r="F16"/>
  <c r="I15"/>
  <c r="E15"/>
  <c r="H14"/>
  <c r="F14"/>
  <c r="G13"/>
  <c r="H12"/>
  <c r="I11"/>
  <c r="E11"/>
  <c r="H10"/>
  <c r="F10"/>
  <c r="I9"/>
  <c r="E9"/>
  <c r="I8" i="8"/>
  <c r="G8"/>
  <c r="I36"/>
  <c r="G36"/>
  <c r="I34"/>
  <c r="G34"/>
  <c r="H33"/>
  <c r="I32"/>
  <c r="G32"/>
  <c r="I30"/>
  <c r="G30"/>
  <c r="H29"/>
  <c r="I28"/>
  <c r="G28"/>
  <c r="I26"/>
  <c r="G26"/>
  <c r="H25"/>
  <c r="I24"/>
  <c r="G24"/>
  <c r="I22"/>
  <c r="G22"/>
  <c r="H21"/>
  <c r="I20"/>
  <c r="G20"/>
  <c r="I18"/>
  <c r="G18"/>
  <c r="H17"/>
  <c r="H16"/>
  <c r="I15"/>
  <c r="H14"/>
  <c r="G13"/>
  <c r="H12"/>
  <c r="I11"/>
  <c r="H10"/>
  <c r="G9"/>
  <c r="I8" i="9"/>
  <c r="G8"/>
  <c r="I36"/>
  <c r="G36"/>
  <c r="I34"/>
  <c r="G34"/>
  <c r="H33"/>
  <c r="I32"/>
  <c r="G32"/>
  <c r="I30"/>
  <c r="G30"/>
  <c r="H29"/>
  <c r="I28"/>
  <c r="G28"/>
  <c r="I26"/>
  <c r="G26"/>
  <c r="H25"/>
  <c r="I24"/>
  <c r="G24"/>
  <c r="I22"/>
  <c r="G22"/>
  <c r="H21"/>
  <c r="I20"/>
  <c r="G20"/>
  <c r="I18"/>
  <c r="G18"/>
  <c r="H17"/>
  <c r="I16"/>
  <c r="G16"/>
  <c r="I14"/>
  <c r="G14"/>
  <c r="H13"/>
  <c r="I11"/>
  <c r="H10"/>
  <c r="G9"/>
  <c r="I8" i="10"/>
  <c r="G8"/>
  <c r="I36"/>
  <c r="G36"/>
  <c r="I34"/>
  <c r="G34"/>
  <c r="H33"/>
  <c r="I32"/>
  <c r="G32"/>
  <c r="I30"/>
  <c r="G30"/>
  <c r="H29"/>
  <c r="I28"/>
  <c r="G28"/>
  <c r="I26"/>
  <c r="G26"/>
  <c r="H25"/>
  <c r="I24"/>
  <c r="G24"/>
  <c r="I22"/>
  <c r="G22"/>
  <c r="H21"/>
  <c r="I20"/>
  <c r="G20"/>
  <c r="I18"/>
  <c r="G18"/>
  <c r="H17"/>
  <c r="H16"/>
  <c r="I15"/>
  <c r="H14"/>
  <c r="I13"/>
  <c r="G13"/>
  <c r="H12"/>
  <c r="I11"/>
  <c r="H10"/>
  <c r="I9"/>
  <c r="G9"/>
  <c r="A3" i="52"/>
  <c r="A3" i="56"/>
  <c r="A3" i="57"/>
  <c r="G8" i="21"/>
  <c r="I36"/>
  <c r="G36"/>
  <c r="E36"/>
  <c r="H35"/>
  <c r="F35"/>
  <c r="I34"/>
  <c r="E34"/>
  <c r="H33"/>
  <c r="F33"/>
  <c r="I32"/>
  <c r="G32"/>
  <c r="E32"/>
  <c r="H31"/>
  <c r="F31"/>
  <c r="I30"/>
  <c r="E30"/>
  <c r="H29"/>
  <c r="F29"/>
  <c r="I28"/>
  <c r="G28"/>
  <c r="E28"/>
  <c r="H27"/>
  <c r="F27"/>
  <c r="I26"/>
  <c r="E26"/>
  <c r="H25"/>
  <c r="F25"/>
  <c r="I24"/>
  <c r="G24"/>
  <c r="E24"/>
  <c r="H23"/>
  <c r="F23"/>
  <c r="I22"/>
  <c r="E22"/>
  <c r="H21"/>
  <c r="F21"/>
  <c r="I20"/>
  <c r="G20"/>
  <c r="E20"/>
  <c r="H19"/>
  <c r="F19"/>
  <c r="I18"/>
  <c r="E18"/>
  <c r="H17"/>
  <c r="F17"/>
  <c r="I16"/>
  <c r="G16"/>
  <c r="E16"/>
  <c r="H15"/>
  <c r="F15"/>
  <c r="I14"/>
  <c r="E14"/>
  <c r="H13"/>
  <c r="F13"/>
  <c r="I12"/>
  <c r="G12"/>
  <c r="E12"/>
  <c r="H11"/>
  <c r="F11"/>
  <c r="I10"/>
  <c r="E10"/>
  <c r="H9"/>
  <c r="F9"/>
  <c r="E8" i="26"/>
  <c r="H8"/>
  <c r="F8"/>
  <c r="H36"/>
  <c r="F36"/>
  <c r="I35"/>
  <c r="G35"/>
  <c r="E35"/>
  <c r="H34"/>
  <c r="F34"/>
  <c r="I33"/>
  <c r="E33"/>
  <c r="H32"/>
  <c r="F32"/>
  <c r="I31"/>
  <c r="G31"/>
  <c r="E31"/>
  <c r="H30"/>
  <c r="F30"/>
  <c r="I29"/>
  <c r="E29"/>
  <c r="H28"/>
  <c r="F28"/>
  <c r="I27"/>
  <c r="G27"/>
  <c r="E27"/>
  <c r="H26"/>
  <c r="F26"/>
  <c r="I25"/>
  <c r="E25"/>
  <c r="H24"/>
  <c r="F24"/>
  <c r="I23"/>
  <c r="G23"/>
  <c r="E23"/>
  <c r="H22"/>
  <c r="F22"/>
  <c r="I21"/>
  <c r="E21"/>
  <c r="H20"/>
  <c r="F20"/>
  <c r="I19"/>
  <c r="G19"/>
  <c r="E19"/>
  <c r="H18"/>
  <c r="F18"/>
  <c r="I17"/>
  <c r="E17"/>
  <c r="G16"/>
  <c r="E16"/>
  <c r="H15"/>
  <c r="F15"/>
  <c r="I14"/>
  <c r="G14"/>
  <c r="E14"/>
  <c r="H13"/>
  <c r="I12"/>
  <c r="G12"/>
  <c r="E12"/>
  <c r="H11"/>
  <c r="F11"/>
  <c r="I10"/>
  <c r="G10"/>
  <c r="E10"/>
  <c r="H9"/>
  <c r="E8" i="31"/>
  <c r="H8"/>
  <c r="E8" i="36"/>
  <c r="F8"/>
  <c r="N8" i="49"/>
  <c r="J8"/>
  <c r="F8"/>
  <c r="K19"/>
  <c r="M18"/>
  <c r="E18"/>
  <c r="K17"/>
  <c r="M16"/>
  <c r="I16"/>
  <c r="E16"/>
  <c r="K15"/>
  <c r="M14"/>
  <c r="I14"/>
  <c r="E14"/>
  <c r="M12"/>
  <c r="I12"/>
  <c r="E12"/>
  <c r="J11"/>
  <c r="K10"/>
  <c r="K9"/>
  <c r="L8" i="50"/>
  <c r="M19"/>
  <c r="I19"/>
  <c r="E19"/>
  <c r="K18"/>
  <c r="G18"/>
  <c r="M17"/>
  <c r="I17"/>
  <c r="E17"/>
  <c r="K16"/>
  <c r="G16"/>
  <c r="M15"/>
  <c r="I15"/>
  <c r="E15"/>
  <c r="K14"/>
  <c r="G14"/>
  <c r="M13"/>
  <c r="I13"/>
  <c r="E13"/>
  <c r="K12"/>
  <c r="G12"/>
  <c r="L11"/>
  <c r="H11"/>
  <c r="N10"/>
  <c r="A2" i="71"/>
  <c r="A2" i="66"/>
  <c r="A2" i="62"/>
  <c r="F19" i="49"/>
  <c r="H19"/>
  <c r="J19"/>
  <c r="L19"/>
  <c r="N19"/>
  <c r="F17"/>
  <c r="H17"/>
  <c r="J17"/>
  <c r="L17"/>
  <c r="N17"/>
  <c r="F15"/>
  <c r="H15"/>
  <c r="J15"/>
  <c r="L15"/>
  <c r="N15"/>
  <c r="F13"/>
  <c r="J13"/>
  <c r="N13"/>
  <c r="E11"/>
  <c r="G11"/>
  <c r="I11"/>
  <c r="K11"/>
  <c r="M11"/>
  <c r="E9"/>
  <c r="G9"/>
  <c r="J9"/>
  <c r="L9"/>
  <c r="G8" i="50"/>
  <c r="I8"/>
  <c r="K8"/>
  <c r="M8"/>
  <c r="F19" i="55"/>
  <c r="H19"/>
  <c r="J19"/>
  <c r="L19"/>
  <c r="N19"/>
  <c r="E19"/>
  <c r="G19"/>
  <c r="I19"/>
  <c r="K19"/>
  <c r="M19"/>
  <c r="F18"/>
  <c r="H18"/>
  <c r="J18"/>
  <c r="L18"/>
  <c r="N18"/>
  <c r="E18"/>
  <c r="G18"/>
  <c r="I18"/>
  <c r="K18"/>
  <c r="M18"/>
  <c r="F17"/>
  <c r="H17"/>
  <c r="J17"/>
  <c r="L17"/>
  <c r="N17"/>
  <c r="E17"/>
  <c r="G17"/>
  <c r="I17"/>
  <c r="K17"/>
  <c r="M17"/>
  <c r="F16"/>
  <c r="H16"/>
  <c r="J16"/>
  <c r="L16"/>
  <c r="N16"/>
  <c r="E16"/>
  <c r="G16"/>
  <c r="I16"/>
  <c r="K16"/>
  <c r="M16"/>
  <c r="F15"/>
  <c r="H15"/>
  <c r="J15"/>
  <c r="L15"/>
  <c r="N15"/>
  <c r="E15"/>
  <c r="G15"/>
  <c r="I15"/>
  <c r="K15"/>
  <c r="M15"/>
  <c r="F14"/>
  <c r="H14"/>
  <c r="J14"/>
  <c r="L14"/>
  <c r="N14"/>
  <c r="E14"/>
  <c r="G14"/>
  <c r="I14"/>
  <c r="K14"/>
  <c r="M14"/>
  <c r="F13"/>
  <c r="H13"/>
  <c r="J13"/>
  <c r="L13"/>
  <c r="N13"/>
  <c r="E13"/>
  <c r="G13"/>
  <c r="I13"/>
  <c r="K13"/>
  <c r="M13"/>
  <c r="F12"/>
  <c r="H12"/>
  <c r="J12"/>
  <c r="L12"/>
  <c r="N12"/>
  <c r="E12"/>
  <c r="G12"/>
  <c r="I12"/>
  <c r="K12"/>
  <c r="M12"/>
  <c r="E11"/>
  <c r="G11"/>
  <c r="I11"/>
  <c r="K11"/>
  <c r="M11"/>
  <c r="F11"/>
  <c r="H11"/>
  <c r="J11"/>
  <c r="L11"/>
  <c r="E10"/>
  <c r="G10"/>
  <c r="J10"/>
  <c r="M10"/>
  <c r="F10"/>
  <c r="I10"/>
  <c r="K10"/>
  <c r="N10"/>
  <c r="E9"/>
  <c r="G9"/>
  <c r="J9"/>
  <c r="L9"/>
  <c r="F9"/>
  <c r="H9"/>
  <c r="K9"/>
  <c r="M9"/>
  <c r="F20" i="59"/>
  <c r="J8"/>
  <c r="J20" s="1"/>
  <c r="L8"/>
  <c r="G8"/>
  <c r="G20" s="1"/>
  <c r="I8"/>
  <c r="I16" i="10"/>
  <c r="A2" i="47"/>
  <c r="I36" i="4"/>
  <c r="G36"/>
  <c r="I34"/>
  <c r="G34"/>
  <c r="H33"/>
  <c r="I32"/>
  <c r="G32"/>
  <c r="I30"/>
  <c r="G30"/>
  <c r="H29"/>
  <c r="I28"/>
  <c r="G28"/>
  <c r="I26"/>
  <c r="G26"/>
  <c r="H25"/>
  <c r="I24"/>
  <c r="G24"/>
  <c r="I22"/>
  <c r="G22"/>
  <c r="H21"/>
  <c r="I20"/>
  <c r="G20"/>
  <c r="I18"/>
  <c r="G18"/>
  <c r="H17"/>
  <c r="I16"/>
  <c r="G16"/>
  <c r="I14"/>
  <c r="G14"/>
  <c r="H13"/>
  <c r="I12"/>
  <c r="I10"/>
  <c r="G10"/>
  <c r="H9"/>
  <c r="E8" i="8"/>
  <c r="H8"/>
  <c r="E8" i="9"/>
  <c r="H8"/>
  <c r="E8" i="10"/>
  <c r="H8"/>
  <c r="A3" i="51"/>
  <c r="A2" i="52"/>
  <c r="A2" i="57"/>
  <c r="H36" i="21"/>
  <c r="I35"/>
  <c r="G35"/>
  <c r="I33"/>
  <c r="G33"/>
  <c r="H32"/>
  <c r="I31"/>
  <c r="G31"/>
  <c r="I29"/>
  <c r="G29"/>
  <c r="H28"/>
  <c r="I27"/>
  <c r="G27"/>
  <c r="I25"/>
  <c r="G25"/>
  <c r="H24"/>
  <c r="I23"/>
  <c r="G23"/>
  <c r="I21"/>
  <c r="G21"/>
  <c r="H20"/>
  <c r="I19"/>
  <c r="G19"/>
  <c r="I17"/>
  <c r="G17"/>
  <c r="H16"/>
  <c r="I15"/>
  <c r="G15"/>
  <c r="I13"/>
  <c r="G13"/>
  <c r="H12"/>
  <c r="I11"/>
  <c r="G11"/>
  <c r="I9"/>
  <c r="G9"/>
  <c r="I8" i="26"/>
  <c r="I36"/>
  <c r="G36"/>
  <c r="H35"/>
  <c r="I34"/>
  <c r="G34"/>
  <c r="H33"/>
  <c r="I32"/>
  <c r="G32"/>
  <c r="H31"/>
  <c r="I30"/>
  <c r="G30"/>
  <c r="H29"/>
  <c r="I28"/>
  <c r="G28"/>
  <c r="H27"/>
  <c r="I26"/>
  <c r="G26"/>
  <c r="H25"/>
  <c r="I24"/>
  <c r="G24"/>
  <c r="H23"/>
  <c r="I22"/>
  <c r="G22"/>
  <c r="H21"/>
  <c r="I20"/>
  <c r="G20"/>
  <c r="H19"/>
  <c r="I18"/>
  <c r="G18"/>
  <c r="H17"/>
  <c r="H16"/>
  <c r="I15"/>
  <c r="G15"/>
  <c r="H14"/>
  <c r="G13"/>
  <c r="H12"/>
  <c r="I11"/>
  <c r="G11"/>
  <c r="H10"/>
  <c r="G9"/>
  <c r="L8" i="49"/>
  <c r="H8"/>
  <c r="M19"/>
  <c r="I19"/>
  <c r="E19"/>
  <c r="G18"/>
  <c r="M17"/>
  <c r="I17"/>
  <c r="E17"/>
  <c r="K16"/>
  <c r="G16"/>
  <c r="M15"/>
  <c r="I15"/>
  <c r="E15"/>
  <c r="K14"/>
  <c r="G14"/>
  <c r="I13"/>
  <c r="K12"/>
  <c r="G12"/>
  <c r="L11"/>
  <c r="H11"/>
  <c r="N10"/>
  <c r="M9"/>
  <c r="H9"/>
  <c r="N8" i="50"/>
  <c r="J8"/>
  <c r="F8"/>
  <c r="K19"/>
  <c r="G19"/>
  <c r="M18"/>
  <c r="I18"/>
  <c r="E18"/>
  <c r="K17"/>
  <c r="G17"/>
  <c r="M16"/>
  <c r="I16"/>
  <c r="E16"/>
  <c r="K15"/>
  <c r="G15"/>
  <c r="M14"/>
  <c r="M20"/>
  <c r="I14"/>
  <c r="E14"/>
  <c r="K13"/>
  <c r="G13"/>
  <c r="M12"/>
  <c r="I12"/>
  <c r="E12"/>
  <c r="J11"/>
  <c r="F11"/>
  <c r="I36" i="36"/>
  <c r="G36"/>
  <c r="H35"/>
  <c r="I34"/>
  <c r="G34"/>
  <c r="H33"/>
  <c r="I32"/>
  <c r="G32"/>
  <c r="H31"/>
  <c r="I30"/>
  <c r="G30"/>
  <c r="H29"/>
  <c r="I28"/>
  <c r="G28"/>
  <c r="H27"/>
  <c r="I26"/>
  <c r="G26"/>
  <c r="H25"/>
  <c r="I24"/>
  <c r="G24"/>
  <c r="H23"/>
  <c r="I22"/>
  <c r="G22"/>
  <c r="H21"/>
  <c r="I20"/>
  <c r="G20"/>
  <c r="H19"/>
  <c r="I18"/>
  <c r="G18"/>
  <c r="H17"/>
  <c r="H16"/>
  <c r="G15"/>
  <c r="H14"/>
  <c r="I13"/>
  <c r="G13"/>
  <c r="H12"/>
  <c r="G11"/>
  <c r="H10"/>
  <c r="I9"/>
  <c r="G9"/>
  <c r="E8" i="22"/>
  <c r="H36"/>
  <c r="F36"/>
  <c r="I35"/>
  <c r="G35"/>
  <c r="E35"/>
  <c r="F34"/>
  <c r="I33"/>
  <c r="G33"/>
  <c r="E33"/>
  <c r="H32"/>
  <c r="F32"/>
  <c r="I31"/>
  <c r="G31"/>
  <c r="E31"/>
  <c r="F30"/>
  <c r="I29"/>
  <c r="G29"/>
  <c r="E29"/>
  <c r="H28"/>
  <c r="F28"/>
  <c r="I27"/>
  <c r="G27"/>
  <c r="E27"/>
  <c r="F26"/>
  <c r="I25"/>
  <c r="G25"/>
  <c r="E25"/>
  <c r="H24"/>
  <c r="F24"/>
  <c r="I23"/>
  <c r="G23"/>
  <c r="E23"/>
  <c r="F22"/>
  <c r="I21"/>
  <c r="G21"/>
  <c r="E21"/>
  <c r="H20"/>
  <c r="F20"/>
  <c r="I19"/>
  <c r="G19"/>
  <c r="E19"/>
  <c r="F18"/>
  <c r="I17"/>
  <c r="G17"/>
  <c r="E17"/>
  <c r="H16"/>
  <c r="F16"/>
  <c r="I15"/>
  <c r="G15"/>
  <c r="E15"/>
  <c r="F14"/>
  <c r="I13"/>
  <c r="G13"/>
  <c r="E13"/>
  <c r="H12"/>
  <c r="F12"/>
  <c r="I11"/>
  <c r="G11"/>
  <c r="E11"/>
  <c r="F10"/>
  <c r="I9"/>
  <c r="G9"/>
  <c r="E9"/>
  <c r="I8" i="27"/>
  <c r="G8"/>
  <c r="I36"/>
  <c r="G36"/>
  <c r="H35"/>
  <c r="I34"/>
  <c r="G34"/>
  <c r="I32"/>
  <c r="G32"/>
  <c r="H31"/>
  <c r="I30"/>
  <c r="G30"/>
  <c r="I28"/>
  <c r="G28"/>
  <c r="H27"/>
  <c r="I26"/>
  <c r="G26"/>
  <c r="I24"/>
  <c r="G24"/>
  <c r="H23"/>
  <c r="I22"/>
  <c r="G22"/>
  <c r="I20"/>
  <c r="G20"/>
  <c r="H19"/>
  <c r="I18"/>
  <c r="G18"/>
  <c r="H16"/>
  <c r="I15"/>
  <c r="G15"/>
  <c r="H14"/>
  <c r="I13"/>
  <c r="H12"/>
  <c r="I11"/>
  <c r="G11"/>
  <c r="H10"/>
  <c r="I9"/>
  <c r="I8" i="32"/>
  <c r="G8"/>
  <c r="I36"/>
  <c r="H35"/>
  <c r="I34"/>
  <c r="G34"/>
  <c r="H33"/>
  <c r="I32"/>
  <c r="H31"/>
  <c r="I30"/>
  <c r="G30"/>
  <c r="H29"/>
  <c r="I28"/>
  <c r="H27"/>
  <c r="I26"/>
  <c r="G26"/>
  <c r="H25"/>
  <c r="I24"/>
  <c r="H23"/>
  <c r="I22"/>
  <c r="G22"/>
  <c r="H21"/>
  <c r="I20"/>
  <c r="H19"/>
  <c r="I18"/>
  <c r="G18"/>
  <c r="H17"/>
  <c r="I16"/>
  <c r="H15"/>
  <c r="I14"/>
  <c r="G14"/>
  <c r="H13"/>
  <c r="H12"/>
  <c r="I11"/>
  <c r="G11"/>
  <c r="H10"/>
  <c r="I9"/>
  <c r="G9"/>
  <c r="I8" i="37"/>
  <c r="G8"/>
  <c r="I36"/>
  <c r="G36"/>
  <c r="H35"/>
  <c r="I34"/>
  <c r="G34"/>
  <c r="I32"/>
  <c r="G32"/>
  <c r="H31"/>
  <c r="I30"/>
  <c r="G30"/>
  <c r="I28"/>
  <c r="G28"/>
  <c r="H27"/>
  <c r="I26"/>
  <c r="G26"/>
  <c r="I24"/>
  <c r="G24"/>
  <c r="H23"/>
  <c r="I22"/>
  <c r="G22"/>
  <c r="I20"/>
  <c r="G20"/>
  <c r="H19"/>
  <c r="I18"/>
  <c r="G18"/>
  <c r="H16"/>
  <c r="I15"/>
  <c r="G15"/>
  <c r="H14"/>
  <c r="I13"/>
  <c r="H12"/>
  <c r="I11"/>
  <c r="G11"/>
  <c r="H10"/>
  <c r="I9"/>
  <c r="N8" i="64"/>
  <c r="L8"/>
  <c r="J8"/>
  <c r="H8"/>
  <c r="M19"/>
  <c r="I19"/>
  <c r="E19"/>
  <c r="M18"/>
  <c r="K18"/>
  <c r="I18"/>
  <c r="G18"/>
  <c r="E18"/>
  <c r="M17"/>
  <c r="K17"/>
  <c r="I17"/>
  <c r="G17"/>
  <c r="E17"/>
  <c r="M16"/>
  <c r="K16"/>
  <c r="I16"/>
  <c r="G16"/>
  <c r="E16"/>
  <c r="M15"/>
  <c r="I15"/>
  <c r="E15"/>
  <c r="M14"/>
  <c r="K14"/>
  <c r="I14"/>
  <c r="G14"/>
  <c r="E14"/>
  <c r="M13"/>
  <c r="K13"/>
  <c r="I13"/>
  <c r="G13"/>
  <c r="E13"/>
  <c r="M12"/>
  <c r="K12"/>
  <c r="I12"/>
  <c r="G12"/>
  <c r="E12"/>
  <c r="L11"/>
  <c r="H11"/>
  <c r="N10"/>
  <c r="K10"/>
  <c r="I10"/>
  <c r="F10"/>
  <c r="M9"/>
  <c r="K9"/>
  <c r="H9"/>
  <c r="F9"/>
  <c r="N8" i="69"/>
  <c r="L8"/>
  <c r="J8"/>
  <c r="H8"/>
  <c r="F8"/>
  <c r="M19"/>
  <c r="K19"/>
  <c r="I19"/>
  <c r="G19"/>
  <c r="E19"/>
  <c r="M18"/>
  <c r="I18"/>
  <c r="E18"/>
  <c r="M17"/>
  <c r="K17"/>
  <c r="I17"/>
  <c r="G17"/>
  <c r="E17"/>
  <c r="M16"/>
  <c r="K16"/>
  <c r="I16"/>
  <c r="G16"/>
  <c r="E16"/>
  <c r="M15"/>
  <c r="K15"/>
  <c r="I15"/>
  <c r="G15"/>
  <c r="E15"/>
  <c r="M14"/>
  <c r="I14"/>
  <c r="E14"/>
  <c r="M13"/>
  <c r="K13"/>
  <c r="I13"/>
  <c r="G13"/>
  <c r="E13"/>
  <c r="M12"/>
  <c r="K12"/>
  <c r="I12"/>
  <c r="G12"/>
  <c r="E12"/>
  <c r="L11"/>
  <c r="J11"/>
  <c r="H11"/>
  <c r="F11"/>
  <c r="K10"/>
  <c r="F10"/>
  <c r="M9"/>
  <c r="K9"/>
  <c r="H9"/>
  <c r="F9"/>
  <c r="E8" i="23"/>
  <c r="H8"/>
  <c r="F8"/>
  <c r="H36"/>
  <c r="F36"/>
  <c r="I35"/>
  <c r="G35"/>
  <c r="E35"/>
  <c r="H34"/>
  <c r="F34"/>
  <c r="G33"/>
  <c r="H32"/>
  <c r="F32"/>
  <c r="I31"/>
  <c r="G31"/>
  <c r="E31"/>
  <c r="H30"/>
  <c r="F30"/>
  <c r="G29"/>
  <c r="H28"/>
  <c r="E28"/>
  <c r="I24"/>
  <c r="E27"/>
  <c r="G27"/>
  <c r="I27"/>
  <c r="F26"/>
  <c r="H26"/>
  <c r="E25"/>
  <c r="I25"/>
  <c r="F24"/>
  <c r="H24"/>
  <c r="E23"/>
  <c r="G23"/>
  <c r="I23"/>
  <c r="E22"/>
  <c r="G22"/>
  <c r="I22"/>
  <c r="F22"/>
  <c r="H22"/>
  <c r="F21"/>
  <c r="H21"/>
  <c r="E21"/>
  <c r="G21"/>
  <c r="I21"/>
  <c r="E20"/>
  <c r="G20"/>
  <c r="I20"/>
  <c r="F20"/>
  <c r="H20"/>
  <c r="F19"/>
  <c r="H19"/>
  <c r="E19"/>
  <c r="G19"/>
  <c r="I19"/>
  <c r="E18"/>
  <c r="G18"/>
  <c r="I18"/>
  <c r="F18"/>
  <c r="H18"/>
  <c r="F17"/>
  <c r="H17"/>
  <c r="E17"/>
  <c r="G17"/>
  <c r="I17"/>
  <c r="E16"/>
  <c r="G16"/>
  <c r="I16"/>
  <c r="F16"/>
  <c r="H16"/>
  <c r="F15"/>
  <c r="H15"/>
  <c r="E15"/>
  <c r="G15"/>
  <c r="I15"/>
  <c r="E14"/>
  <c r="G14"/>
  <c r="I14"/>
  <c r="F14"/>
  <c r="H14"/>
  <c r="F13"/>
  <c r="H13"/>
  <c r="E13"/>
  <c r="G13"/>
  <c r="I13"/>
  <c r="E12"/>
  <c r="G12"/>
  <c r="I12"/>
  <c r="F12"/>
  <c r="H12"/>
  <c r="F11"/>
  <c r="H11"/>
  <c r="E11"/>
  <c r="G11"/>
  <c r="I11"/>
  <c r="E10"/>
  <c r="G10"/>
  <c r="I10"/>
  <c r="F10"/>
  <c r="H10"/>
  <c r="F9"/>
  <c r="H9"/>
  <c r="E9"/>
  <c r="G9"/>
  <c r="I9"/>
  <c r="I36" i="22"/>
  <c r="G36"/>
  <c r="H35"/>
  <c r="G34"/>
  <c r="H33"/>
  <c r="I32"/>
  <c r="G32"/>
  <c r="H31"/>
  <c r="G30"/>
  <c r="H29"/>
  <c r="I28"/>
  <c r="G28"/>
  <c r="H27"/>
  <c r="G26"/>
  <c r="H25"/>
  <c r="I24"/>
  <c r="G24"/>
  <c r="H23"/>
  <c r="G22"/>
  <c r="H21"/>
  <c r="I20"/>
  <c r="G20"/>
  <c r="H19"/>
  <c r="G18"/>
  <c r="H17"/>
  <c r="I16"/>
  <c r="G16"/>
  <c r="H15"/>
  <c r="G14"/>
  <c r="H13"/>
  <c r="I12"/>
  <c r="G12"/>
  <c r="H11"/>
  <c r="G10"/>
  <c r="H9"/>
  <c r="E8" i="27"/>
  <c r="H8"/>
  <c r="E8" i="32"/>
  <c r="H8"/>
  <c r="E8" i="37"/>
  <c r="H8"/>
  <c r="N19" i="64"/>
  <c r="J19"/>
  <c r="N18"/>
  <c r="L18"/>
  <c r="J18"/>
  <c r="H18"/>
  <c r="N17"/>
  <c r="L17"/>
  <c r="J17"/>
  <c r="H17"/>
  <c r="N16"/>
  <c r="L16"/>
  <c r="J16"/>
  <c r="H16"/>
  <c r="N15"/>
  <c r="J15"/>
  <c r="N14"/>
  <c r="L14"/>
  <c r="J14"/>
  <c r="H14"/>
  <c r="N13"/>
  <c r="L13"/>
  <c r="J13"/>
  <c r="H13"/>
  <c r="N12"/>
  <c r="L12"/>
  <c r="J12"/>
  <c r="H12"/>
  <c r="M11"/>
  <c r="I11"/>
  <c r="M10"/>
  <c r="J10"/>
  <c r="G10"/>
  <c r="L9"/>
  <c r="J9"/>
  <c r="G9"/>
  <c r="M8" i="69"/>
  <c r="K8"/>
  <c r="I8"/>
  <c r="N19"/>
  <c r="L19"/>
  <c r="J19"/>
  <c r="H19"/>
  <c r="L18"/>
  <c r="H18"/>
  <c r="N17"/>
  <c r="L17"/>
  <c r="J17"/>
  <c r="H17"/>
  <c r="N16"/>
  <c r="L16"/>
  <c r="J16"/>
  <c r="H16"/>
  <c r="N15"/>
  <c r="L15"/>
  <c r="J15"/>
  <c r="H15"/>
  <c r="L14"/>
  <c r="H14"/>
  <c r="N13"/>
  <c r="L13"/>
  <c r="J13"/>
  <c r="H13"/>
  <c r="N12"/>
  <c r="L12"/>
  <c r="J12"/>
  <c r="H12"/>
  <c r="M11"/>
  <c r="K11"/>
  <c r="I11"/>
  <c r="G11"/>
  <c r="J10"/>
  <c r="L9"/>
  <c r="J9"/>
  <c r="G9"/>
  <c r="I8" i="23"/>
  <c r="I36"/>
  <c r="G36"/>
  <c r="H35"/>
  <c r="I34"/>
  <c r="G34"/>
  <c r="I32"/>
  <c r="G32"/>
  <c r="H31"/>
  <c r="I30"/>
  <c r="G30"/>
  <c r="I28"/>
  <c r="G28"/>
  <c r="H27"/>
  <c r="I26"/>
  <c r="E26"/>
  <c r="G24"/>
  <c r="H23"/>
  <c r="F36" i="39"/>
  <c r="H36"/>
  <c r="E35"/>
  <c r="G35"/>
  <c r="I35"/>
  <c r="F34"/>
  <c r="H34"/>
  <c r="E33"/>
  <c r="G33"/>
  <c r="I33"/>
  <c r="F32"/>
  <c r="H32"/>
  <c r="E31"/>
  <c r="G31"/>
  <c r="I31"/>
  <c r="F30"/>
  <c r="H30"/>
  <c r="E29"/>
  <c r="G29"/>
  <c r="I29"/>
  <c r="F28"/>
  <c r="H28"/>
  <c r="E27"/>
  <c r="G27"/>
  <c r="I27"/>
  <c r="F26"/>
  <c r="H26"/>
  <c r="E25"/>
  <c r="G25"/>
  <c r="I25"/>
  <c r="F24"/>
  <c r="H24"/>
  <c r="E23"/>
  <c r="G23"/>
  <c r="I23"/>
  <c r="F22"/>
  <c r="H22"/>
  <c r="E21"/>
  <c r="G21"/>
  <c r="I21"/>
  <c r="F20"/>
  <c r="H20"/>
  <c r="E19"/>
  <c r="G19"/>
  <c r="I19"/>
  <c r="H18"/>
  <c r="E17"/>
  <c r="G17"/>
  <c r="I17"/>
  <c r="E16"/>
  <c r="G16"/>
  <c r="F15"/>
  <c r="H15"/>
  <c r="E14"/>
  <c r="I14"/>
  <c r="F13"/>
  <c r="H13"/>
  <c r="E12"/>
  <c r="G12"/>
  <c r="I12"/>
  <c r="F11"/>
  <c r="H11"/>
  <c r="E10"/>
  <c r="I10"/>
  <c r="F9"/>
  <c r="H9"/>
  <c r="G8" i="28"/>
  <c r="I36"/>
  <c r="G36"/>
  <c r="E36"/>
  <c r="H35"/>
  <c r="F35"/>
  <c r="I34"/>
  <c r="E34"/>
  <c r="H33"/>
  <c r="F33"/>
  <c r="I32"/>
  <c r="G32"/>
  <c r="E32"/>
  <c r="H31"/>
  <c r="F31"/>
  <c r="I30"/>
  <c r="E30"/>
  <c r="H29"/>
  <c r="F29"/>
  <c r="I28"/>
  <c r="G28"/>
  <c r="E28"/>
  <c r="H27"/>
  <c r="F27"/>
  <c r="I26"/>
  <c r="E26"/>
  <c r="H25"/>
  <c r="F25"/>
  <c r="I24"/>
  <c r="G24"/>
  <c r="E24"/>
  <c r="H23"/>
  <c r="F23"/>
  <c r="I22"/>
  <c r="E22"/>
  <c r="H21"/>
  <c r="F21"/>
  <c r="I20"/>
  <c r="G20"/>
  <c r="E20"/>
  <c r="H19"/>
  <c r="F19"/>
  <c r="I18"/>
  <c r="E18"/>
  <c r="H17"/>
  <c r="F17"/>
  <c r="H16"/>
  <c r="F16"/>
  <c r="I15"/>
  <c r="G15"/>
  <c r="E15"/>
  <c r="H14"/>
  <c r="I13"/>
  <c r="G13"/>
  <c r="E13"/>
  <c r="H12"/>
  <c r="F12"/>
  <c r="I11"/>
  <c r="G11"/>
  <c r="E11"/>
  <c r="H10"/>
  <c r="I9"/>
  <c r="G9"/>
  <c r="E9"/>
  <c r="I8" i="33"/>
  <c r="G8"/>
  <c r="I36"/>
  <c r="G36"/>
  <c r="E36"/>
  <c r="H35"/>
  <c r="F35"/>
  <c r="I34"/>
  <c r="G34"/>
  <c r="E34"/>
  <c r="F33"/>
  <c r="I32"/>
  <c r="G32"/>
  <c r="E32"/>
  <c r="H31"/>
  <c r="F31"/>
  <c r="I30"/>
  <c r="G30"/>
  <c r="E30"/>
  <c r="F29"/>
  <c r="I28"/>
  <c r="G28"/>
  <c r="E28"/>
  <c r="H27"/>
  <c r="F27"/>
  <c r="I26"/>
  <c r="G26"/>
  <c r="E26"/>
  <c r="F25"/>
  <c r="I24"/>
  <c r="G24"/>
  <c r="E24"/>
  <c r="H23"/>
  <c r="F23"/>
  <c r="I22"/>
  <c r="G22"/>
  <c r="E22"/>
  <c r="F21"/>
  <c r="I20"/>
  <c r="G20"/>
  <c r="E20"/>
  <c r="H19"/>
  <c r="F19"/>
  <c r="I18"/>
  <c r="G18"/>
  <c r="E18"/>
  <c r="F17"/>
  <c r="I16"/>
  <c r="G16"/>
  <c r="E16"/>
  <c r="H15"/>
  <c r="F15"/>
  <c r="I14"/>
  <c r="G14"/>
  <c r="E14"/>
  <c r="F13"/>
  <c r="H12"/>
  <c r="F12"/>
  <c r="I11"/>
  <c r="G11"/>
  <c r="E11"/>
  <c r="H10"/>
  <c r="F10"/>
  <c r="I9"/>
  <c r="E9"/>
  <c r="I8" i="38"/>
  <c r="G8"/>
  <c r="G36"/>
  <c r="H35"/>
  <c r="F35"/>
  <c r="I34"/>
  <c r="G34"/>
  <c r="E34"/>
  <c r="H33"/>
  <c r="F33"/>
  <c r="G32"/>
  <c r="H31"/>
  <c r="F31"/>
  <c r="I30"/>
  <c r="G30"/>
  <c r="E30"/>
  <c r="H29"/>
  <c r="F29"/>
  <c r="G28"/>
  <c r="H27"/>
  <c r="I26"/>
  <c r="G26"/>
  <c r="H25"/>
  <c r="G24"/>
  <c r="H23"/>
  <c r="I22"/>
  <c r="G22"/>
  <c r="H21"/>
  <c r="G20"/>
  <c r="H19"/>
  <c r="I18"/>
  <c r="G18"/>
  <c r="H17"/>
  <c r="I15"/>
  <c r="G15"/>
  <c r="H14"/>
  <c r="I13"/>
  <c r="G13"/>
  <c r="I11"/>
  <c r="G11"/>
  <c r="H10"/>
  <c r="I9"/>
  <c r="G9"/>
  <c r="I8" i="24"/>
  <c r="G8"/>
  <c r="I36"/>
  <c r="G36"/>
  <c r="I34"/>
  <c r="G34"/>
  <c r="H33"/>
  <c r="I32"/>
  <c r="G32"/>
  <c r="I30"/>
  <c r="G30"/>
  <c r="H29"/>
  <c r="I28"/>
  <c r="G28"/>
  <c r="I26"/>
  <c r="G26"/>
  <c r="H25"/>
  <c r="I24"/>
  <c r="G24"/>
  <c r="I22"/>
  <c r="G22"/>
  <c r="H21"/>
  <c r="I20"/>
  <c r="G20"/>
  <c r="I18"/>
  <c r="G18"/>
  <c r="H17"/>
  <c r="I16"/>
  <c r="G16"/>
  <c r="I14"/>
  <c r="G14"/>
  <c r="H13"/>
  <c r="I12"/>
  <c r="G12"/>
  <c r="I10"/>
  <c r="G10"/>
  <c r="H9"/>
  <c r="H8" i="29"/>
  <c r="H36"/>
  <c r="F36"/>
  <c r="I35"/>
  <c r="G35"/>
  <c r="E35"/>
  <c r="H34"/>
  <c r="I33"/>
  <c r="G33"/>
  <c r="E33"/>
  <c r="H32"/>
  <c r="F32"/>
  <c r="I31"/>
  <c r="G31"/>
  <c r="E31"/>
  <c r="H30"/>
  <c r="I29"/>
  <c r="G29"/>
  <c r="E29"/>
  <c r="H28"/>
  <c r="F28"/>
  <c r="I27"/>
  <c r="G27"/>
  <c r="E27"/>
  <c r="H26"/>
  <c r="I25"/>
  <c r="G25"/>
  <c r="E25"/>
  <c r="H24"/>
  <c r="F24"/>
  <c r="I23"/>
  <c r="G23"/>
  <c r="E23"/>
  <c r="H22"/>
  <c r="I21"/>
  <c r="G21"/>
  <c r="E21"/>
  <c r="H20"/>
  <c r="F20"/>
  <c r="I19"/>
  <c r="G19"/>
  <c r="E19"/>
  <c r="H18"/>
  <c r="I17"/>
  <c r="G17"/>
  <c r="E17"/>
  <c r="G16"/>
  <c r="E16"/>
  <c r="H15"/>
  <c r="F15"/>
  <c r="G14"/>
  <c r="H13"/>
  <c r="F13"/>
  <c r="I12"/>
  <c r="G12"/>
  <c r="E12"/>
  <c r="H11"/>
  <c r="F11"/>
  <c r="G10"/>
  <c r="H9"/>
  <c r="F9"/>
  <c r="E8" i="34"/>
  <c r="H8"/>
  <c r="F36"/>
  <c r="I35"/>
  <c r="G35"/>
  <c r="E35"/>
  <c r="H34"/>
  <c r="F34"/>
  <c r="I33"/>
  <c r="G33"/>
  <c r="E33"/>
  <c r="F32"/>
  <c r="I31"/>
  <c r="G31"/>
  <c r="E31"/>
  <c r="H30"/>
  <c r="F30"/>
  <c r="I29"/>
  <c r="G29"/>
  <c r="E29"/>
  <c r="F28"/>
  <c r="I27"/>
  <c r="G27"/>
  <c r="E27"/>
  <c r="H26"/>
  <c r="F26"/>
  <c r="I25"/>
  <c r="G25"/>
  <c r="E25"/>
  <c r="F24"/>
  <c r="I23"/>
  <c r="G23"/>
  <c r="E23"/>
  <c r="H22"/>
  <c r="F22"/>
  <c r="I21"/>
  <c r="G21"/>
  <c r="E21"/>
  <c r="F20"/>
  <c r="I19"/>
  <c r="G19"/>
  <c r="E19"/>
  <c r="H18"/>
  <c r="F18"/>
  <c r="I17"/>
  <c r="G17"/>
  <c r="E17"/>
  <c r="F16"/>
  <c r="I15"/>
  <c r="G15"/>
  <c r="E15"/>
  <c r="H14"/>
  <c r="F14"/>
  <c r="I13"/>
  <c r="I9"/>
  <c r="G36" i="39"/>
  <c r="H35"/>
  <c r="I34"/>
  <c r="E34"/>
  <c r="F33"/>
  <c r="G32"/>
  <c r="H31"/>
  <c r="I30"/>
  <c r="E30"/>
  <c r="F29"/>
  <c r="G28"/>
  <c r="H27"/>
  <c r="I26"/>
  <c r="E26"/>
  <c r="F25"/>
  <c r="G24"/>
  <c r="H23"/>
  <c r="I22"/>
  <c r="E22"/>
  <c r="F21"/>
  <c r="G20"/>
  <c r="H19"/>
  <c r="I18"/>
  <c r="F17"/>
  <c r="F16"/>
  <c r="G15"/>
  <c r="I13"/>
  <c r="E13"/>
  <c r="F12"/>
  <c r="G11"/>
  <c r="H10"/>
  <c r="I9"/>
  <c r="E9"/>
  <c r="E13" i="34"/>
  <c r="G13"/>
  <c r="G12"/>
  <c r="F11"/>
  <c r="H11"/>
  <c r="E10"/>
  <c r="G10"/>
  <c r="I10"/>
  <c r="F9"/>
  <c r="H9"/>
  <c r="E8" i="28"/>
  <c r="H8"/>
  <c r="H36"/>
  <c r="I35"/>
  <c r="G35"/>
  <c r="H34"/>
  <c r="I33"/>
  <c r="G33"/>
  <c r="H32"/>
  <c r="I31"/>
  <c r="G31"/>
  <c r="H30"/>
  <c r="I29"/>
  <c r="G29"/>
  <c r="H28"/>
  <c r="I27"/>
  <c r="G27"/>
  <c r="H26"/>
  <c r="I25"/>
  <c r="G25"/>
  <c r="H24"/>
  <c r="I23"/>
  <c r="G23"/>
  <c r="H22"/>
  <c r="I21"/>
  <c r="G21"/>
  <c r="H20"/>
  <c r="I19"/>
  <c r="G19"/>
  <c r="H18"/>
  <c r="I17"/>
  <c r="G17"/>
  <c r="G16"/>
  <c r="H15"/>
  <c r="G14"/>
  <c r="H13"/>
  <c r="I12"/>
  <c r="G12"/>
  <c r="H11"/>
  <c r="G10"/>
  <c r="H9"/>
  <c r="E8" i="33"/>
  <c r="H8"/>
  <c r="H36"/>
  <c r="I35"/>
  <c r="G35"/>
  <c r="H34"/>
  <c r="I33"/>
  <c r="H32"/>
  <c r="I31"/>
  <c r="G31"/>
  <c r="H30"/>
  <c r="I29"/>
  <c r="H28"/>
  <c r="I27"/>
  <c r="G27"/>
  <c r="H26"/>
  <c r="I25"/>
  <c r="H24"/>
  <c r="I23"/>
  <c r="G23"/>
  <c r="H22"/>
  <c r="I21"/>
  <c r="H20"/>
  <c r="I19"/>
  <c r="G19"/>
  <c r="H18"/>
  <c r="I17"/>
  <c r="H16"/>
  <c r="I15"/>
  <c r="G15"/>
  <c r="H14"/>
  <c r="I13"/>
  <c r="G12"/>
  <c r="H11"/>
  <c r="I10"/>
  <c r="G10"/>
  <c r="H9"/>
  <c r="E8" i="38"/>
  <c r="H8"/>
  <c r="H36"/>
  <c r="I35"/>
  <c r="G35"/>
  <c r="H34"/>
  <c r="I33"/>
  <c r="G33"/>
  <c r="H32"/>
  <c r="I31"/>
  <c r="G31"/>
  <c r="H30"/>
  <c r="I29"/>
  <c r="G29"/>
  <c r="E8" i="24"/>
  <c r="H8"/>
  <c r="I36" i="29"/>
  <c r="G36"/>
  <c r="H35"/>
  <c r="I34"/>
  <c r="H33"/>
  <c r="I32"/>
  <c r="G32"/>
  <c r="H31"/>
  <c r="I30"/>
  <c r="H29"/>
  <c r="I28"/>
  <c r="G28"/>
  <c r="H27"/>
  <c r="I26"/>
  <c r="H25"/>
  <c r="I24"/>
  <c r="G24"/>
  <c r="H23"/>
  <c r="I22"/>
  <c r="H21"/>
  <c r="I20"/>
  <c r="G20"/>
  <c r="H19"/>
  <c r="I18"/>
  <c r="H17"/>
  <c r="H16"/>
  <c r="I15"/>
  <c r="G15"/>
  <c r="H14"/>
  <c r="I13"/>
  <c r="G13"/>
  <c r="H12"/>
  <c r="I11"/>
  <c r="G11"/>
  <c r="H10"/>
  <c r="I9"/>
  <c r="G9"/>
  <c r="I36" i="34"/>
  <c r="H35"/>
  <c r="I34"/>
  <c r="G34"/>
  <c r="H33"/>
  <c r="I32"/>
  <c r="H31"/>
  <c r="I30"/>
  <c r="G30"/>
  <c r="H29"/>
  <c r="I28"/>
  <c r="H27"/>
  <c r="I26"/>
  <c r="G26"/>
  <c r="H25"/>
  <c r="I24"/>
  <c r="H23"/>
  <c r="I22"/>
  <c r="G22"/>
  <c r="H21"/>
  <c r="I20"/>
  <c r="H19"/>
  <c r="I18"/>
  <c r="G18"/>
  <c r="H17"/>
  <c r="I16"/>
  <c r="H15"/>
  <c r="I14"/>
  <c r="G14"/>
  <c r="H13"/>
  <c r="H12"/>
  <c r="I11"/>
  <c r="E11"/>
  <c r="F10"/>
  <c r="G9"/>
  <c r="E8" i="39"/>
  <c r="I8" i="25"/>
  <c r="G8"/>
  <c r="I36"/>
  <c r="G36"/>
  <c r="I34"/>
  <c r="G34"/>
  <c r="H33"/>
  <c r="I32"/>
  <c r="G32"/>
  <c r="I30"/>
  <c r="G30"/>
  <c r="H29"/>
  <c r="I28"/>
  <c r="G28"/>
  <c r="I26"/>
  <c r="G26"/>
  <c r="H25"/>
  <c r="I24"/>
  <c r="G24"/>
  <c r="I22"/>
  <c r="G22"/>
  <c r="H21"/>
  <c r="I20"/>
  <c r="G20"/>
  <c r="I18"/>
  <c r="G18"/>
  <c r="H17"/>
  <c r="I16"/>
  <c r="G16"/>
  <c r="I14"/>
  <c r="G14"/>
  <c r="H13"/>
  <c r="I12"/>
  <c r="G12"/>
  <c r="I10"/>
  <c r="G10"/>
  <c r="H9"/>
  <c r="H8" i="35"/>
  <c r="H36"/>
  <c r="F36"/>
  <c r="I35"/>
  <c r="G35"/>
  <c r="E35"/>
  <c r="H34"/>
  <c r="I33"/>
  <c r="G33"/>
  <c r="E33"/>
  <c r="H32"/>
  <c r="F32"/>
  <c r="I31"/>
  <c r="I28"/>
  <c r="I24"/>
  <c r="I20"/>
  <c r="I16"/>
  <c r="I11"/>
  <c r="E31"/>
  <c r="G31"/>
  <c r="H30"/>
  <c r="E29"/>
  <c r="G29"/>
  <c r="I29"/>
  <c r="F28"/>
  <c r="H28"/>
  <c r="E27"/>
  <c r="G27"/>
  <c r="I27"/>
  <c r="H26"/>
  <c r="E25"/>
  <c r="G25"/>
  <c r="I25"/>
  <c r="F24"/>
  <c r="H24"/>
  <c r="E23"/>
  <c r="G23"/>
  <c r="I23"/>
  <c r="H22"/>
  <c r="E21"/>
  <c r="G21"/>
  <c r="I21"/>
  <c r="F20"/>
  <c r="H20"/>
  <c r="E19"/>
  <c r="G19"/>
  <c r="I19"/>
  <c r="H18"/>
  <c r="E17"/>
  <c r="G17"/>
  <c r="I17"/>
  <c r="F16"/>
  <c r="H16"/>
  <c r="E15"/>
  <c r="G15"/>
  <c r="I15"/>
  <c r="H14"/>
  <c r="E13"/>
  <c r="G13"/>
  <c r="I13"/>
  <c r="E12"/>
  <c r="G12"/>
  <c r="F11"/>
  <c r="H11"/>
  <c r="G10"/>
  <c r="F9"/>
  <c r="H9"/>
  <c r="F36" i="40"/>
  <c r="E36"/>
  <c r="I36"/>
  <c r="E8" i="25"/>
  <c r="H8"/>
  <c r="I36" i="35"/>
  <c r="G36"/>
  <c r="H35"/>
  <c r="G34"/>
  <c r="H33"/>
  <c r="I32"/>
  <c r="G32"/>
  <c r="H31"/>
  <c r="E30"/>
  <c r="F29"/>
  <c r="G28"/>
  <c r="H27"/>
  <c r="I26"/>
  <c r="F25"/>
  <c r="G24"/>
  <c r="H23"/>
  <c r="E22"/>
  <c r="F21"/>
  <c r="G20"/>
  <c r="H19"/>
  <c r="I18"/>
  <c r="F17"/>
  <c r="G16"/>
  <c r="H15"/>
  <c r="E14"/>
  <c r="F13"/>
  <c r="F12"/>
  <c r="G11"/>
  <c r="H10"/>
  <c r="I9"/>
  <c r="E9"/>
  <c r="I8" i="40"/>
  <c r="G8"/>
  <c r="H35"/>
  <c r="F35"/>
  <c r="I34"/>
  <c r="G34"/>
  <c r="E34"/>
  <c r="H33"/>
  <c r="F33"/>
  <c r="I32"/>
  <c r="E32"/>
  <c r="H31"/>
  <c r="F31"/>
  <c r="I30"/>
  <c r="G30"/>
  <c r="E30"/>
  <c r="H29"/>
  <c r="F29"/>
  <c r="I28"/>
  <c r="E28"/>
  <c r="H27"/>
  <c r="F27"/>
  <c r="I26"/>
  <c r="G26"/>
  <c r="E26"/>
  <c r="H25"/>
  <c r="F25"/>
  <c r="I24"/>
  <c r="E24"/>
  <c r="H23"/>
  <c r="F23"/>
  <c r="I22"/>
  <c r="G22"/>
  <c r="E22"/>
  <c r="H21"/>
  <c r="F21"/>
  <c r="I20"/>
  <c r="E20"/>
  <c r="H19"/>
  <c r="F19"/>
  <c r="I18"/>
  <c r="G18"/>
  <c r="E18"/>
  <c r="H17"/>
  <c r="F17"/>
  <c r="H16"/>
  <c r="I15"/>
  <c r="G15"/>
  <c r="E15"/>
  <c r="H14"/>
  <c r="F14"/>
  <c r="I13"/>
  <c r="G13"/>
  <c r="E13"/>
  <c r="H12"/>
  <c r="I11"/>
  <c r="G11"/>
  <c r="E11"/>
  <c r="H10"/>
  <c r="F10"/>
  <c r="I9"/>
  <c r="G9"/>
  <c r="E9"/>
  <c r="M8" i="74"/>
  <c r="K8"/>
  <c r="I8"/>
  <c r="G8"/>
  <c r="N19"/>
  <c r="L19"/>
  <c r="J19"/>
  <c r="H19"/>
  <c r="F19"/>
  <c r="N18"/>
  <c r="L18"/>
  <c r="J18"/>
  <c r="H18"/>
  <c r="F18"/>
  <c r="N17"/>
  <c r="L17"/>
  <c r="J17"/>
  <c r="H17"/>
  <c r="F17"/>
  <c r="N16"/>
  <c r="L16"/>
  <c r="J16"/>
  <c r="H16"/>
  <c r="F16"/>
  <c r="N15"/>
  <c r="L15"/>
  <c r="J15"/>
  <c r="H15"/>
  <c r="F15"/>
  <c r="N14"/>
  <c r="L14"/>
  <c r="J14"/>
  <c r="H14"/>
  <c r="F14"/>
  <c r="N13"/>
  <c r="L13"/>
  <c r="J13"/>
  <c r="H13"/>
  <c r="F13"/>
  <c r="N12"/>
  <c r="L12"/>
  <c r="J12"/>
  <c r="H12"/>
  <c r="F12"/>
  <c r="M11"/>
  <c r="K11"/>
  <c r="I11"/>
  <c r="G11"/>
  <c r="E11"/>
  <c r="M10"/>
  <c r="J10"/>
  <c r="G10"/>
  <c r="E10"/>
  <c r="L9"/>
  <c r="J9"/>
  <c r="G9"/>
  <c r="E9"/>
  <c r="B5" i="47"/>
  <c r="B5" i="49"/>
  <c r="B6" i="51"/>
  <c r="B6" i="56" s="1"/>
  <c r="B6" i="61" s="1"/>
  <c r="B5" i="62" s="1"/>
  <c r="E8" i="40"/>
  <c r="H8"/>
  <c r="I35"/>
  <c r="G35"/>
  <c r="H34"/>
  <c r="I33"/>
  <c r="G33"/>
  <c r="H32"/>
  <c r="I31"/>
  <c r="G31"/>
  <c r="H30"/>
  <c r="I29"/>
  <c r="G29"/>
  <c r="H28"/>
  <c r="I27"/>
  <c r="G27"/>
  <c r="H26"/>
  <c r="I25"/>
  <c r="G25"/>
  <c r="H24"/>
  <c r="I23"/>
  <c r="G23"/>
  <c r="H22"/>
  <c r="I21"/>
  <c r="G21"/>
  <c r="H20"/>
  <c r="I19"/>
  <c r="G19"/>
  <c r="H18"/>
  <c r="I17"/>
  <c r="G17"/>
  <c r="G16"/>
  <c r="H15"/>
  <c r="I14"/>
  <c r="G14"/>
  <c r="H13"/>
  <c r="G12"/>
  <c r="H11"/>
  <c r="I10"/>
  <c r="G10"/>
  <c r="H9"/>
  <c r="N8" i="74"/>
  <c r="L8"/>
  <c r="J8"/>
  <c r="H8"/>
  <c r="M19"/>
  <c r="K19"/>
  <c r="I19"/>
  <c r="G19"/>
  <c r="M18"/>
  <c r="K18"/>
  <c r="I18"/>
  <c r="G18"/>
  <c r="M17"/>
  <c r="K17"/>
  <c r="I17"/>
  <c r="G17"/>
  <c r="M16"/>
  <c r="K16"/>
  <c r="I16"/>
  <c r="G16"/>
  <c r="M15"/>
  <c r="K15"/>
  <c r="I15"/>
  <c r="G15"/>
  <c r="M14"/>
  <c r="K14"/>
  <c r="I14"/>
  <c r="G14"/>
  <c r="M13"/>
  <c r="K13"/>
  <c r="I13"/>
  <c r="G13"/>
  <c r="M12"/>
  <c r="K12"/>
  <c r="I12"/>
  <c r="G12"/>
  <c r="L11"/>
  <c r="J11"/>
  <c r="H11"/>
  <c r="N10"/>
  <c r="K10"/>
  <c r="I10"/>
  <c r="M9"/>
  <c r="K9"/>
  <c r="H9"/>
  <c r="N15" i="51"/>
  <c r="J10"/>
  <c r="F12"/>
  <c r="L13"/>
  <c r="H15"/>
  <c r="E10"/>
  <c r="K11"/>
  <c r="G13"/>
  <c r="M14"/>
  <c r="N9"/>
  <c r="L12"/>
  <c r="J15"/>
  <c r="I11"/>
  <c r="K14"/>
  <c r="F11"/>
  <c r="L14"/>
  <c r="M11"/>
  <c r="E15"/>
  <c r="H9"/>
  <c r="N10"/>
  <c r="J12"/>
  <c r="F14"/>
  <c r="L15"/>
  <c r="I10"/>
  <c r="E12"/>
  <c r="K13"/>
  <c r="G15"/>
  <c r="N11"/>
  <c r="F15"/>
  <c r="K10"/>
  <c r="M13"/>
  <c r="H10"/>
  <c r="N13"/>
  <c r="E11"/>
  <c r="G14"/>
  <c r="H11"/>
  <c r="J14"/>
  <c r="M10"/>
  <c r="E14"/>
  <c r="J11"/>
  <c r="G10"/>
  <c r="F9"/>
  <c r="M9"/>
  <c r="M15"/>
  <c r="L11"/>
  <c r="N14"/>
  <c r="G11"/>
  <c r="I14"/>
  <c r="L10"/>
  <c r="I9"/>
  <c r="I15"/>
  <c r="E9"/>
  <c r="L9"/>
  <c r="N12"/>
  <c r="G9"/>
  <c r="I12"/>
  <c r="K15"/>
  <c r="H14"/>
  <c r="E13"/>
  <c r="F13"/>
  <c r="I13"/>
  <c r="F10"/>
  <c r="H13"/>
  <c r="K9"/>
  <c r="M12"/>
  <c r="J9"/>
  <c r="J13"/>
  <c r="G12"/>
  <c r="H12"/>
  <c r="K12"/>
  <c r="F9" i="47"/>
  <c r="J11"/>
  <c r="H13"/>
  <c r="N14"/>
  <c r="G9"/>
  <c r="K11"/>
  <c r="G13"/>
  <c r="N8"/>
  <c r="H11"/>
  <c r="F13"/>
  <c r="I9"/>
  <c r="M11"/>
  <c r="I13"/>
  <c r="N10"/>
  <c r="L8"/>
  <c r="F11"/>
  <c r="N12"/>
  <c r="M8"/>
  <c r="G11"/>
  <c r="M12"/>
  <c r="L11"/>
  <c r="H9"/>
  <c r="N11"/>
  <c r="J13"/>
  <c r="M9"/>
  <c r="M13"/>
  <c r="B5" i="64"/>
  <c r="N9" i="47"/>
  <c r="F14"/>
  <c r="I14"/>
  <c r="H12"/>
  <c r="K12"/>
  <c r="B5" i="75"/>
  <c r="J9" i="47"/>
  <c r="L13"/>
  <c r="K9"/>
  <c r="K13"/>
  <c r="H14"/>
  <c r="I11"/>
  <c r="K14"/>
  <c r="H8"/>
  <c r="I8"/>
  <c r="L9"/>
  <c r="N13"/>
  <c r="E11"/>
  <c r="G10"/>
  <c r="E8"/>
  <c r="J8"/>
  <c r="E9"/>
  <c r="E13"/>
  <c r="K10"/>
  <c r="N5" i="75"/>
  <c r="N5" i="70"/>
  <c r="N5" i="65"/>
  <c r="N5" i="60"/>
  <c r="N5" i="54"/>
  <c r="N5" i="50"/>
  <c r="I9" i="49"/>
  <c r="N11" i="52"/>
  <c r="N10"/>
  <c r="M8"/>
  <c r="I10"/>
  <c r="E12"/>
  <c r="K13"/>
  <c r="H8"/>
  <c r="H10"/>
  <c r="H12"/>
  <c r="H14"/>
  <c r="E9"/>
  <c r="I11"/>
  <c r="M13"/>
  <c r="F10"/>
  <c r="F13"/>
  <c r="G12"/>
  <c r="J9"/>
  <c r="J14"/>
  <c r="N9"/>
  <c r="N8"/>
  <c r="G9"/>
  <c r="M10"/>
  <c r="I12"/>
  <c r="E14"/>
  <c r="L8"/>
  <c r="L10"/>
  <c r="L12"/>
  <c r="L14"/>
  <c r="M9"/>
  <c r="M11"/>
  <c r="G14"/>
  <c r="F11"/>
  <c r="F14"/>
  <c r="I13"/>
  <c r="J10"/>
  <c r="N14"/>
  <c r="K9"/>
  <c r="M12"/>
  <c r="H9"/>
  <c r="H13"/>
  <c r="G10"/>
  <c r="F8"/>
  <c r="I9"/>
  <c r="F12"/>
  <c r="N12"/>
  <c r="E10"/>
  <c r="G13"/>
  <c r="L9"/>
  <c r="L13"/>
  <c r="K10"/>
  <c r="F9"/>
  <c r="E11"/>
  <c r="J13"/>
  <c r="E8"/>
  <c r="G11"/>
  <c r="I14"/>
  <c r="H11"/>
  <c r="G8"/>
  <c r="K12"/>
  <c r="J11"/>
  <c r="K14"/>
  <c r="N13"/>
  <c r="I8"/>
  <c r="K11"/>
  <c r="M14"/>
  <c r="L11"/>
  <c r="K8"/>
  <c r="E13"/>
  <c r="J12"/>
  <c r="J8"/>
  <c r="I12" i="33"/>
  <c r="I37" s="1"/>
  <c r="I16" i="38"/>
  <c r="G37" i="22"/>
  <c r="I12" i="35"/>
  <c r="I16" i="40"/>
  <c r="I16" i="39"/>
  <c r="M9" i="3"/>
  <c r="L10"/>
  <c r="K11"/>
  <c r="J12"/>
  <c r="I13"/>
  <c r="H14"/>
  <c r="G15"/>
  <c r="E10"/>
  <c r="F9"/>
  <c r="N9"/>
  <c r="M10"/>
  <c r="L11"/>
  <c r="K12"/>
  <c r="K9"/>
  <c r="J10"/>
  <c r="I11"/>
  <c r="H12"/>
  <c r="G13"/>
  <c r="F14"/>
  <c r="N14"/>
  <c r="M15"/>
  <c r="E9"/>
  <c r="L9"/>
  <c r="K10"/>
  <c r="J11"/>
  <c r="I12"/>
  <c r="H13"/>
  <c r="G14"/>
  <c r="F15"/>
  <c r="N15"/>
  <c r="F13"/>
  <c r="M14"/>
  <c r="E15"/>
  <c r="I14"/>
  <c r="E11"/>
  <c r="I9"/>
  <c r="H10"/>
  <c r="G11"/>
  <c r="F12"/>
  <c r="N12"/>
  <c r="M13"/>
  <c r="L14"/>
  <c r="K15"/>
  <c r="E14"/>
  <c r="J9"/>
  <c r="I10"/>
  <c r="H11"/>
  <c r="G12"/>
  <c r="G9"/>
  <c r="F10"/>
  <c r="N10"/>
  <c r="M11"/>
  <c r="L12"/>
  <c r="K13"/>
  <c r="J14"/>
  <c r="I15"/>
  <c r="E12"/>
  <c r="H9"/>
  <c r="G10"/>
  <c r="F11"/>
  <c r="M12"/>
  <c r="K14"/>
  <c r="E13"/>
  <c r="L15"/>
  <c r="H15"/>
  <c r="N11"/>
  <c r="L13"/>
  <c r="J15"/>
  <c r="N13"/>
  <c r="J13"/>
  <c r="K20" i="50"/>
  <c r="H10" i="70"/>
  <c r="L10" s="1"/>
  <c r="N11"/>
  <c r="E8"/>
  <c r="I9"/>
  <c r="M9" s="1"/>
  <c r="N9" i="50"/>
  <c r="L10"/>
  <c r="E8"/>
  <c r="E20" s="1"/>
  <c r="H10"/>
  <c r="I9"/>
  <c r="I20" s="1"/>
  <c r="N11"/>
  <c r="I9" i="69"/>
  <c r="H10"/>
  <c r="N11"/>
  <c r="L10"/>
  <c r="E8"/>
  <c r="N9"/>
  <c r="I9" i="55"/>
  <c r="I20" s="1"/>
  <c r="H10"/>
  <c r="H20" s="1"/>
  <c r="N11"/>
  <c r="L10"/>
  <c r="N9"/>
  <c r="E8" i="60"/>
  <c r="I8" s="1"/>
  <c r="I9"/>
  <c r="M9" s="1"/>
  <c r="H10"/>
  <c r="L10" s="1"/>
  <c r="N9" i="74"/>
  <c r="I9"/>
  <c r="E8"/>
  <c r="N11"/>
  <c r="L10"/>
  <c r="H10"/>
  <c r="M9" i="54"/>
  <c r="H10"/>
  <c r="L10" s="1"/>
  <c r="E8"/>
  <c r="I8" s="1"/>
  <c r="M8" s="1"/>
  <c r="H10" i="75"/>
  <c r="L10" s="1"/>
  <c r="L20"/>
  <c r="I9"/>
  <c r="M9"/>
  <c r="E8"/>
  <c r="I8" s="1"/>
  <c r="N9" i="64"/>
  <c r="L10"/>
  <c r="I9"/>
  <c r="E8"/>
  <c r="E20"/>
  <c r="H10"/>
  <c r="E8" i="65"/>
  <c r="I8" s="1"/>
  <c r="H10"/>
  <c r="L10" s="1"/>
  <c r="I9" i="59"/>
  <c r="I20" s="1"/>
  <c r="H10"/>
  <c r="N11"/>
  <c r="L10"/>
  <c r="E8"/>
  <c r="E20" s="1"/>
  <c r="N9"/>
  <c r="M15" i="56"/>
  <c r="J10"/>
  <c r="F12"/>
  <c r="L13"/>
  <c r="H15"/>
  <c r="M9"/>
  <c r="I11"/>
  <c r="N11"/>
  <c r="F15"/>
  <c r="G11"/>
  <c r="E13"/>
  <c r="K14"/>
  <c r="L9"/>
  <c r="F13"/>
  <c r="G9"/>
  <c r="E12"/>
  <c r="K13"/>
  <c r="G15"/>
  <c r="N9"/>
  <c r="L11"/>
  <c r="H13"/>
  <c r="N14"/>
  <c r="I9"/>
  <c r="E11"/>
  <c r="F11"/>
  <c r="H14"/>
  <c r="I10"/>
  <c r="K12"/>
  <c r="G14"/>
  <c r="F10"/>
  <c r="H12"/>
  <c r="J15"/>
  <c r="K11"/>
  <c r="G13"/>
  <c r="M14"/>
  <c r="H11"/>
  <c r="J14"/>
  <c r="K10"/>
  <c r="J13"/>
  <c r="G12"/>
  <c r="I15"/>
  <c r="L14"/>
  <c r="M12"/>
  <c r="F9"/>
  <c r="J12"/>
  <c r="L15"/>
  <c r="H9"/>
  <c r="N15"/>
  <c r="I13"/>
  <c r="L10"/>
  <c r="E10"/>
  <c r="E14"/>
  <c r="J9"/>
  <c r="N12"/>
  <c r="E9"/>
  <c r="H10"/>
  <c r="K9"/>
  <c r="M13"/>
  <c r="J11"/>
  <c r="M10"/>
  <c r="I14"/>
  <c r="N10"/>
  <c r="F14"/>
  <c r="G10"/>
  <c r="L12"/>
  <c r="M11"/>
  <c r="E15"/>
  <c r="N13"/>
  <c r="I12"/>
  <c r="K15"/>
  <c r="N9" i="49"/>
  <c r="E8"/>
  <c r="N11"/>
  <c r="N12" i="57"/>
  <c r="E9"/>
  <c r="G12"/>
  <c r="J8"/>
  <c r="J12"/>
  <c r="I10"/>
  <c r="H10"/>
  <c r="M10"/>
  <c r="L10"/>
  <c r="N10"/>
  <c r="I9"/>
  <c r="K12"/>
  <c r="F9"/>
  <c r="F13"/>
  <c r="G11"/>
  <c r="H11"/>
  <c r="E10"/>
  <c r="L9"/>
  <c r="N8"/>
  <c r="E13"/>
  <c r="J13"/>
  <c r="H12"/>
  <c r="L12"/>
  <c r="G10"/>
  <c r="F10"/>
  <c r="M12"/>
  <c r="K11"/>
  <c r="G8"/>
  <c r="K14"/>
  <c r="M8"/>
  <c r="G9"/>
  <c r="N14"/>
  <c r="M11"/>
  <c r="F12"/>
  <c r="H9"/>
  <c r="J10" i="61"/>
  <c r="F12"/>
  <c r="L13"/>
  <c r="G9"/>
  <c r="M10"/>
  <c r="I12"/>
  <c r="E14"/>
  <c r="N9"/>
  <c r="F13"/>
  <c r="G10"/>
  <c r="I13"/>
  <c r="F11"/>
  <c r="H14"/>
  <c r="I11"/>
  <c r="K14"/>
  <c r="F10"/>
  <c r="L11"/>
  <c r="H13"/>
  <c r="N14"/>
  <c r="I10"/>
  <c r="E12"/>
  <c r="K13"/>
  <c r="F9"/>
  <c r="L10"/>
  <c r="N13"/>
  <c r="K12"/>
  <c r="H10"/>
  <c r="J13"/>
  <c r="G12"/>
  <c r="H11"/>
  <c r="J14"/>
  <c r="K11"/>
  <c r="M14"/>
  <c r="L14"/>
  <c r="J9"/>
  <c r="M9"/>
  <c r="H9"/>
  <c r="J12"/>
  <c r="K9"/>
  <c r="M12"/>
  <c r="I9"/>
  <c r="G14"/>
  <c r="E9"/>
  <c r="M13"/>
  <c r="L9"/>
  <c r="N12"/>
  <c r="E10"/>
  <c r="G13"/>
  <c r="J11"/>
  <c r="M11"/>
  <c r="L12"/>
  <c r="E13"/>
  <c r="N10"/>
  <c r="F14"/>
  <c r="G11"/>
  <c r="I14"/>
  <c r="H12"/>
  <c r="E11"/>
  <c r="N11"/>
  <c r="K10"/>
  <c r="M8" i="65"/>
  <c r="M8" i="75"/>
  <c r="I8" i="70"/>
  <c r="M8" s="1"/>
  <c r="M15" i="66"/>
  <c r="E15"/>
  <c r="H15"/>
  <c r="J9"/>
  <c r="F11"/>
  <c r="L12"/>
  <c r="H14"/>
  <c r="E10"/>
  <c r="K11"/>
  <c r="G13"/>
  <c r="H9"/>
  <c r="J12"/>
  <c r="M9"/>
  <c r="E13"/>
  <c r="J10"/>
  <c r="L13"/>
  <c r="E11"/>
  <c r="G14"/>
  <c r="K15"/>
  <c r="N15"/>
  <c r="F15"/>
  <c r="N9"/>
  <c r="J11"/>
  <c r="F13"/>
  <c r="N14"/>
  <c r="I10"/>
  <c r="E12"/>
  <c r="K13"/>
  <c r="F10"/>
  <c r="H13"/>
  <c r="G12"/>
  <c r="L9"/>
  <c r="H11"/>
  <c r="J14"/>
  <c r="M11"/>
  <c r="I15"/>
  <c r="L14"/>
  <c r="N11"/>
  <c r="G9"/>
  <c r="I12"/>
  <c r="N10"/>
  <c r="I11"/>
  <c r="F12"/>
  <c r="K12"/>
  <c r="G15"/>
  <c r="F9"/>
  <c r="H12"/>
  <c r="K9"/>
  <c r="M12"/>
  <c r="L11"/>
  <c r="K10"/>
  <c r="G10"/>
  <c r="L15"/>
  <c r="H10"/>
  <c r="J13"/>
  <c r="M10"/>
  <c r="E14"/>
  <c r="F14"/>
  <c r="K14"/>
  <c r="I9"/>
  <c r="M14"/>
  <c r="J15"/>
  <c r="L10"/>
  <c r="N13"/>
  <c r="G11"/>
  <c r="I14"/>
  <c r="E9"/>
  <c r="M13"/>
  <c r="N12"/>
  <c r="I13"/>
  <c r="N12" i="62"/>
  <c r="M8"/>
  <c r="I10"/>
  <c r="E12"/>
  <c r="K13"/>
  <c r="L11"/>
  <c r="K10"/>
  <c r="F11"/>
  <c r="K8"/>
  <c r="M11"/>
  <c r="J13"/>
  <c r="I8"/>
  <c r="E10"/>
  <c r="K11"/>
  <c r="H9"/>
  <c r="H13"/>
  <c r="E13"/>
  <c r="F10"/>
  <c r="N8"/>
  <c r="K12"/>
  <c r="J10"/>
  <c r="N11"/>
  <c r="M12"/>
  <c r="L10"/>
  <c r="E9"/>
  <c r="G10"/>
  <c r="N10"/>
  <c r="M10"/>
  <c r="H8"/>
  <c r="H12"/>
  <c r="I11"/>
  <c r="F12"/>
  <c r="E11"/>
  <c r="J12"/>
  <c r="E8"/>
  <c r="G11"/>
  <c r="L8"/>
  <c r="L12"/>
  <c r="G12"/>
  <c r="I13"/>
  <c r="G9"/>
  <c r="I12"/>
  <c r="H10"/>
  <c r="G8"/>
  <c r="F8"/>
  <c r="J8"/>
  <c r="M15" i="71"/>
  <c r="H10"/>
  <c r="N11"/>
  <c r="J13"/>
  <c r="F15"/>
  <c r="J11"/>
  <c r="L14"/>
  <c r="K9"/>
  <c r="G11"/>
  <c r="M12"/>
  <c r="I14"/>
  <c r="H9"/>
  <c r="J12"/>
  <c r="L15"/>
  <c r="M11"/>
  <c r="E15"/>
  <c r="F12"/>
  <c r="H15"/>
  <c r="I11"/>
  <c r="K14"/>
  <c r="L10"/>
  <c r="N13"/>
  <c r="G9"/>
  <c r="M10"/>
  <c r="I12"/>
  <c r="E14"/>
  <c r="K15"/>
  <c r="L11"/>
  <c r="N14"/>
  <c r="E11"/>
  <c r="G14"/>
  <c r="N12"/>
  <c r="E9"/>
  <c r="K10"/>
  <c r="M13"/>
  <c r="F11"/>
  <c r="H14"/>
  <c r="F13"/>
  <c r="I10"/>
  <c r="K13"/>
  <c r="N10"/>
  <c r="G10"/>
  <c r="J10"/>
  <c r="M9"/>
  <c r="F9"/>
  <c r="J15"/>
  <c r="K11"/>
  <c r="M14"/>
  <c r="H13"/>
  <c r="K12"/>
  <c r="H11"/>
  <c r="I15"/>
  <c r="J9"/>
  <c r="L12"/>
  <c r="N9"/>
  <c r="N15"/>
  <c r="E12"/>
  <c r="G15"/>
  <c r="F14"/>
  <c r="I13"/>
  <c r="L13"/>
  <c r="E13"/>
  <c r="H12"/>
  <c r="E10"/>
  <c r="G13"/>
  <c r="F10"/>
  <c r="I9"/>
  <c r="L9"/>
  <c r="J14"/>
  <c r="G12"/>
  <c r="N8" i="67"/>
  <c r="G8"/>
  <c r="M9"/>
  <c r="I11"/>
  <c r="E13"/>
  <c r="K14"/>
  <c r="J9"/>
  <c r="J11"/>
  <c r="J13"/>
  <c r="M8"/>
  <c r="E12"/>
  <c r="H8"/>
  <c r="H12"/>
  <c r="G9"/>
  <c r="I12"/>
  <c r="L8"/>
  <c r="L12"/>
  <c r="N14"/>
  <c r="N13"/>
  <c r="K8"/>
  <c r="G10"/>
  <c r="M11"/>
  <c r="I13"/>
  <c r="F8"/>
  <c r="F10"/>
  <c r="F12"/>
  <c r="F14"/>
  <c r="K9"/>
  <c r="M12"/>
  <c r="H9"/>
  <c r="H13"/>
  <c r="K11"/>
  <c r="M14"/>
  <c r="L11"/>
  <c r="N11"/>
  <c r="K10"/>
  <c r="M13"/>
  <c r="J10"/>
  <c r="J14"/>
  <c r="K13"/>
  <c r="H14"/>
  <c r="E14"/>
  <c r="L14"/>
  <c r="N9"/>
  <c r="E11"/>
  <c r="G14"/>
  <c r="F11"/>
  <c r="E8"/>
  <c r="I14"/>
  <c r="I8"/>
  <c r="G13"/>
  <c r="L13"/>
  <c r="N12"/>
  <c r="E9"/>
  <c r="G12"/>
  <c r="J8"/>
  <c r="J12"/>
  <c r="I10"/>
  <c r="H10"/>
  <c r="M10"/>
  <c r="L10"/>
  <c r="N10"/>
  <c r="I9"/>
  <c r="K12"/>
  <c r="F9"/>
  <c r="F13"/>
  <c r="G11"/>
  <c r="H11"/>
  <c r="E10"/>
  <c r="L9"/>
  <c r="N12" i="72"/>
  <c r="N11"/>
  <c r="E9"/>
  <c r="K10"/>
  <c r="G12"/>
  <c r="M13"/>
  <c r="J8"/>
  <c r="J10"/>
  <c r="J12"/>
  <c r="J14"/>
  <c r="I10"/>
  <c r="K13"/>
  <c r="H10"/>
  <c r="H14"/>
  <c r="M10"/>
  <c r="E14"/>
  <c r="L10"/>
  <c r="L14"/>
  <c r="N10"/>
  <c r="N9"/>
  <c r="I9"/>
  <c r="E11"/>
  <c r="K12"/>
  <c r="G14"/>
  <c r="F9"/>
  <c r="F11"/>
  <c r="F13"/>
  <c r="E8"/>
  <c r="G11"/>
  <c r="I14"/>
  <c r="H11"/>
  <c r="I8"/>
  <c r="E10"/>
  <c r="G13"/>
  <c r="L9"/>
  <c r="L13"/>
  <c r="G8"/>
  <c r="I11"/>
  <c r="K14"/>
  <c r="J11"/>
  <c r="M8"/>
  <c r="H8"/>
  <c r="G9"/>
  <c r="L8"/>
  <c r="N14"/>
  <c r="K8"/>
  <c r="M11"/>
  <c r="F8"/>
  <c r="F12"/>
  <c r="K9"/>
  <c r="H9"/>
  <c r="M14"/>
  <c r="N8"/>
  <c r="N31" s="1"/>
  <c r="M9"/>
  <c r="E13"/>
  <c r="J9"/>
  <c r="J13"/>
  <c r="E12"/>
  <c r="H12"/>
  <c r="I12"/>
  <c r="L12"/>
  <c r="N13"/>
  <c r="G10"/>
  <c r="I13"/>
  <c r="F10"/>
  <c r="F14"/>
  <c r="M12"/>
  <c r="H13"/>
  <c r="K11"/>
  <c r="L11"/>
  <c r="K32" i="61"/>
  <c r="H20" i="75"/>
  <c r="K32" i="56"/>
  <c r="N32"/>
  <c r="J31" i="52"/>
  <c r="J32" i="51"/>
  <c r="J32" i="3"/>
  <c r="F32"/>
  <c r="M32" i="51"/>
  <c r="B5" i="54"/>
  <c r="B5" i="69"/>
  <c r="F32" i="66"/>
  <c r="N32"/>
  <c r="L32" i="61"/>
  <c r="E32" i="56"/>
  <c r="I32"/>
  <c r="L32"/>
  <c r="N32" i="71"/>
  <c r="E32" i="66"/>
  <c r="M32"/>
  <c r="M32" i="61"/>
  <c r="M32" i="56"/>
  <c r="E32" i="3"/>
  <c r="N32"/>
  <c r="F32" i="51"/>
  <c r="H20" i="69"/>
  <c r="B5" i="24"/>
  <c r="B5" i="29" s="1"/>
  <c r="B5" i="34" s="1"/>
  <c r="B5" i="39" s="1"/>
  <c r="E20" i="70" l="1"/>
  <c r="I19" i="19"/>
  <c r="I34"/>
  <c r="I36"/>
  <c r="I35"/>
  <c r="I37"/>
  <c r="I23" i="18"/>
  <c r="I25"/>
  <c r="I11" i="17"/>
  <c r="I13"/>
  <c r="I15"/>
  <c r="I17"/>
  <c r="I19"/>
  <c r="I21"/>
  <c r="I12"/>
  <c r="I14"/>
  <c r="I16"/>
  <c r="I18"/>
  <c r="I20"/>
  <c r="L32" i="51"/>
  <c r="I9" i="16"/>
  <c r="I21"/>
  <c r="I22"/>
  <c r="G20" i="31"/>
  <c r="F17"/>
  <c r="I14"/>
  <c r="F13"/>
  <c r="G11"/>
  <c r="I9"/>
  <c r="I9" i="2"/>
  <c r="I22"/>
  <c r="I21"/>
  <c r="I20"/>
  <c r="I19"/>
  <c r="I18"/>
  <c r="I14"/>
  <c r="I10"/>
  <c r="E16" i="9"/>
  <c r="H11" i="60"/>
  <c r="L11" s="1"/>
  <c r="L20" s="1"/>
  <c r="I10"/>
  <c r="M10" s="1"/>
  <c r="N10"/>
  <c r="N20" s="1"/>
  <c r="F9"/>
  <c r="J9" s="1"/>
  <c r="N9" s="1"/>
  <c r="F20" i="74"/>
  <c r="I10" i="75"/>
  <c r="M10" s="1"/>
  <c r="N10"/>
  <c r="F9"/>
  <c r="J9" s="1"/>
  <c r="N9" s="1"/>
  <c r="N10" i="70"/>
  <c r="F9"/>
  <c r="J9" s="1"/>
  <c r="I10" i="65"/>
  <c r="M10" s="1"/>
  <c r="N10"/>
  <c r="F9"/>
  <c r="K10" i="54"/>
  <c r="G20"/>
  <c r="K20"/>
  <c r="F9"/>
  <c r="J9" s="1"/>
  <c r="N9" s="1"/>
  <c r="H11" i="62"/>
  <c r="N11" i="57"/>
  <c r="K10"/>
  <c r="N31" i="67"/>
  <c r="F20" i="50"/>
  <c r="M10" i="47"/>
  <c r="I17" i="20"/>
  <c r="I9" i="19"/>
  <c r="I11"/>
  <c r="I13"/>
  <c r="I15"/>
  <c r="I10"/>
  <c r="I12"/>
  <c r="I14"/>
  <c r="I16"/>
  <c r="I17"/>
  <c r="I18"/>
  <c r="I13" i="18"/>
  <c r="I15"/>
  <c r="I17"/>
  <c r="I21"/>
  <c r="I9" i="17"/>
  <c r="I17" i="16"/>
  <c r="I10" i="20"/>
  <c r="I12"/>
  <c r="I14"/>
  <c r="I16"/>
  <c r="I18"/>
  <c r="I20"/>
  <c r="I22"/>
  <c r="I21" i="19"/>
  <c r="I23"/>
  <c r="I25"/>
  <c r="I27"/>
  <c r="I29"/>
  <c r="I31"/>
  <c r="I33"/>
  <c r="I20"/>
  <c r="I22"/>
  <c r="I24"/>
  <c r="I26"/>
  <c r="I28"/>
  <c r="I9" i="18"/>
  <c r="I11"/>
  <c r="I14"/>
  <c r="I16"/>
  <c r="I19"/>
  <c r="I10" i="17"/>
  <c r="I11" i="16"/>
  <c r="I13"/>
  <c r="I15"/>
  <c r="I19"/>
  <c r="I10"/>
  <c r="I12"/>
  <c r="I14"/>
  <c r="I16"/>
  <c r="I18"/>
  <c r="I20"/>
  <c r="E38" i="15"/>
  <c r="E39" s="1"/>
  <c r="E41" s="1"/>
  <c r="B11" i="6" s="1"/>
  <c r="E38" i="14"/>
  <c r="E39" s="1"/>
  <c r="E41" s="1"/>
  <c r="B10" i="6" s="1"/>
  <c r="E38" i="13"/>
  <c r="E39" s="1"/>
  <c r="E41" s="1"/>
  <c r="B9" i="6" s="1"/>
  <c r="E38" i="12"/>
  <c r="E38" i="11"/>
  <c r="E39" s="1"/>
  <c r="E41" s="1"/>
  <c r="B7" i="6" s="1"/>
  <c r="F21" i="31"/>
  <c r="H19"/>
  <c r="E18"/>
  <c r="G16"/>
  <c r="G12" i="4"/>
  <c r="H12" i="9"/>
  <c r="F12" i="4"/>
  <c r="E12" i="9"/>
  <c r="I12"/>
  <c r="E38" i="1"/>
  <c r="E39" s="1"/>
  <c r="E41" s="1"/>
  <c r="B6" i="6" s="1"/>
  <c r="E39" i="12"/>
  <c r="E41" s="1"/>
  <c r="B8" i="6" s="1"/>
  <c r="J9" i="65"/>
  <c r="F20"/>
  <c r="M15" i="70"/>
  <c r="I20"/>
  <c r="L12"/>
  <c r="H20"/>
  <c r="K20" i="75"/>
  <c r="I20" i="65"/>
  <c r="M9"/>
  <c r="J8" i="75"/>
  <c r="N8" s="1"/>
  <c r="N20" s="1"/>
  <c r="I13"/>
  <c r="E20"/>
  <c r="L20" i="65"/>
  <c r="E20" i="69"/>
  <c r="H30" i="25"/>
  <c r="H22"/>
  <c r="F31" i="72"/>
  <c r="J31" i="67"/>
  <c r="L32" i="71"/>
  <c r="F32"/>
  <c r="E32"/>
  <c r="I32"/>
  <c r="M32"/>
  <c r="H32" i="66"/>
  <c r="G32"/>
  <c r="K32"/>
  <c r="E20" i="74"/>
  <c r="N20"/>
  <c r="E37" i="28"/>
  <c r="K20" i="70"/>
  <c r="E36" i="8"/>
  <c r="E28"/>
  <c r="E20"/>
  <c r="E36" i="9"/>
  <c r="E28"/>
  <c r="E20"/>
  <c r="F12"/>
  <c r="E30" i="10"/>
  <c r="E22"/>
  <c r="H30"/>
  <c r="H22"/>
  <c r="E36" i="24"/>
  <c r="E28"/>
  <c r="F32"/>
  <c r="E34" i="25"/>
  <c r="E26"/>
  <c r="I11" i="54"/>
  <c r="M11" s="1"/>
  <c r="M20" s="1"/>
  <c r="E20"/>
  <c r="K8" i="60"/>
  <c r="K20" s="1"/>
  <c r="G20"/>
  <c r="N31" i="52"/>
  <c r="K32" i="71"/>
  <c r="E31" i="62"/>
  <c r="H31"/>
  <c r="E20" i="65"/>
  <c r="G32" i="61"/>
  <c r="I32"/>
  <c r="H32"/>
  <c r="F32"/>
  <c r="H20" i="65"/>
  <c r="H32" i="56"/>
  <c r="H32" i="3"/>
  <c r="M32"/>
  <c r="K32" i="51"/>
  <c r="F37" i="34"/>
  <c r="F8" i="4"/>
  <c r="E34" i="8"/>
  <c r="E30"/>
  <c r="E26"/>
  <c r="E22"/>
  <c r="F36"/>
  <c r="F32"/>
  <c r="F28"/>
  <c r="F24"/>
  <c r="F20"/>
  <c r="E34" i="9"/>
  <c r="E30"/>
  <c r="E26"/>
  <c r="E22"/>
  <c r="E18"/>
  <c r="E14"/>
  <c r="F10"/>
  <c r="F36"/>
  <c r="F32"/>
  <c r="F28"/>
  <c r="F24"/>
  <c r="F20"/>
  <c r="E36" i="10"/>
  <c r="E32"/>
  <c r="E28"/>
  <c r="E24"/>
  <c r="E20"/>
  <c r="H34"/>
  <c r="F32"/>
  <c r="H26"/>
  <c r="F24"/>
  <c r="H36" i="31"/>
  <c r="I35"/>
  <c r="G35"/>
  <c r="H34"/>
  <c r="I33"/>
  <c r="G33"/>
  <c r="H32"/>
  <c r="I31"/>
  <c r="G31"/>
  <c r="H30"/>
  <c r="I28"/>
  <c r="I24"/>
  <c r="I20"/>
  <c r="I16"/>
  <c r="I11"/>
  <c r="E29"/>
  <c r="G29"/>
  <c r="I29"/>
  <c r="F28"/>
  <c r="H28"/>
  <c r="E27"/>
  <c r="G27"/>
  <c r="I27"/>
  <c r="F26"/>
  <c r="H26"/>
  <c r="E25"/>
  <c r="G25"/>
  <c r="I25"/>
  <c r="F24"/>
  <c r="H24"/>
  <c r="E23"/>
  <c r="G23"/>
  <c r="I23"/>
  <c r="F22"/>
  <c r="H22"/>
  <c r="E21"/>
  <c r="G21"/>
  <c r="I21"/>
  <c r="F20"/>
  <c r="H20"/>
  <c r="E19"/>
  <c r="G19"/>
  <c r="I19"/>
  <c r="F18"/>
  <c r="H18"/>
  <c r="E17"/>
  <c r="G17"/>
  <c r="I17"/>
  <c r="F16"/>
  <c r="H16"/>
  <c r="E15"/>
  <c r="G15"/>
  <c r="I15"/>
  <c r="F14"/>
  <c r="H14"/>
  <c r="E13"/>
  <c r="G13"/>
  <c r="I13"/>
  <c r="E12"/>
  <c r="G12"/>
  <c r="F11"/>
  <c r="H11"/>
  <c r="E10"/>
  <c r="G10"/>
  <c r="I10"/>
  <c r="F9"/>
  <c r="H9"/>
  <c r="G32" i="71"/>
  <c r="M20" i="70"/>
  <c r="E32" i="51"/>
  <c r="I20" i="74"/>
  <c r="L20"/>
  <c r="M20"/>
  <c r="J20"/>
  <c r="E37" i="33"/>
  <c r="L20" i="69"/>
  <c r="F20"/>
  <c r="I20" i="64"/>
  <c r="E37" i="22"/>
  <c r="N20" i="50"/>
  <c r="E37" i="31"/>
  <c r="L20" i="55"/>
  <c r="M20"/>
  <c r="L31" i="62"/>
  <c r="H34" i="8"/>
  <c r="H30"/>
  <c r="H26"/>
  <c r="H22"/>
  <c r="H34" i="9"/>
  <c r="H30"/>
  <c r="H26"/>
  <c r="H22"/>
  <c r="E10"/>
  <c r="F36" i="10"/>
  <c r="F28"/>
  <c r="F20"/>
  <c r="I20" i="54"/>
  <c r="G20" i="55"/>
  <c r="E9" i="32"/>
  <c r="E37" s="1"/>
  <c r="E34" i="24"/>
  <c r="E30"/>
  <c r="E26"/>
  <c r="E22"/>
  <c r="F36"/>
  <c r="H30"/>
  <c r="F28"/>
  <c r="H22"/>
  <c r="E36" i="39"/>
  <c r="I32"/>
  <c r="I24"/>
  <c r="E36" i="25"/>
  <c r="E32"/>
  <c r="E28"/>
  <c r="E24"/>
  <c r="H34"/>
  <c r="F32"/>
  <c r="H26"/>
  <c r="F24"/>
  <c r="H34" i="24"/>
  <c r="H26"/>
  <c r="E28" i="39"/>
  <c r="F36" i="25"/>
  <c r="F28"/>
  <c r="M8" i="60"/>
  <c r="M20" s="1"/>
  <c r="I20"/>
  <c r="B5" i="74"/>
  <c r="B5" i="55"/>
  <c r="B5" i="50"/>
  <c r="B5" i="59"/>
  <c r="J20" i="70"/>
  <c r="N9"/>
  <c r="N20" s="1"/>
  <c r="N5" i="74"/>
  <c r="N5" i="69"/>
  <c r="N5" i="64"/>
  <c r="N5" i="55"/>
  <c r="N5" i="59"/>
  <c r="N5" i="49"/>
  <c r="N5" i="72"/>
  <c r="N6" i="66"/>
  <c r="N6" i="61"/>
  <c r="N6" i="56"/>
  <c r="N6" i="51"/>
  <c r="N6" i="3"/>
  <c r="J31" i="72"/>
  <c r="F31" i="67"/>
  <c r="H32" i="71"/>
  <c r="J32"/>
  <c r="N32" i="61"/>
  <c r="E32"/>
  <c r="J32"/>
  <c r="H37" i="40"/>
  <c r="G20" i="74"/>
  <c r="K20"/>
  <c r="H37" i="35"/>
  <c r="H37" i="29"/>
  <c r="L20" i="59"/>
  <c r="G20" i="50"/>
  <c r="J20"/>
  <c r="L20"/>
  <c r="H20"/>
  <c r="M20" i="64"/>
  <c r="N20" i="54"/>
  <c r="F37" i="21"/>
  <c r="F37" i="22"/>
  <c r="L20" i="70"/>
  <c r="B6" i="66"/>
  <c r="B5" i="70"/>
  <c r="B5" i="60"/>
  <c r="B5" i="57"/>
  <c r="J20" i="60"/>
  <c r="I32" i="66"/>
  <c r="L32"/>
  <c r="J32"/>
  <c r="E20" i="60"/>
  <c r="M20" i="65"/>
  <c r="J32" i="56"/>
  <c r="F32"/>
  <c r="G32"/>
  <c r="G32" i="3"/>
  <c r="I32"/>
  <c r="K32"/>
  <c r="L32"/>
  <c r="F31" i="52"/>
  <c r="B5" i="65"/>
  <c r="G32" i="51"/>
  <c r="I32"/>
  <c r="H32"/>
  <c r="N32"/>
  <c r="H20" i="74"/>
  <c r="E37" i="40"/>
  <c r="H37" i="28"/>
  <c r="H37" i="26"/>
  <c r="E37"/>
  <c r="G20" i="49"/>
  <c r="F20" i="70"/>
  <c r="F37" i="4"/>
  <c r="K20" i="65"/>
  <c r="F37" i="33"/>
  <c r="E35" i="10"/>
  <c r="I35"/>
  <c r="F35"/>
  <c r="E31"/>
  <c r="I31"/>
  <c r="F31"/>
  <c r="E27"/>
  <c r="I27"/>
  <c r="F27"/>
  <c r="E23"/>
  <c r="I23"/>
  <c r="F23"/>
  <c r="E19"/>
  <c r="I19"/>
  <c r="F19"/>
  <c r="E35" i="24"/>
  <c r="I35"/>
  <c r="F35"/>
  <c r="E31"/>
  <c r="I31"/>
  <c r="F31"/>
  <c r="E27"/>
  <c r="I27"/>
  <c r="F27"/>
  <c r="E23"/>
  <c r="I23"/>
  <c r="F23"/>
  <c r="E35" i="25"/>
  <c r="I35"/>
  <c r="F35"/>
  <c r="G35"/>
  <c r="E31"/>
  <c r="I31"/>
  <c r="F31"/>
  <c r="E27"/>
  <c r="I27"/>
  <c r="F27"/>
  <c r="G27"/>
  <c r="E23"/>
  <c r="I23"/>
  <c r="F23"/>
  <c r="G33" i="10"/>
  <c r="F33"/>
  <c r="G29"/>
  <c r="F29"/>
  <c r="G25"/>
  <c r="F25"/>
  <c r="G21"/>
  <c r="F21"/>
  <c r="G33" i="24"/>
  <c r="F33"/>
  <c r="G29"/>
  <c r="F29"/>
  <c r="G25"/>
  <c r="F25"/>
  <c r="G21"/>
  <c r="F21"/>
  <c r="G35" i="8"/>
  <c r="I33"/>
  <c r="E33"/>
  <c r="G31"/>
  <c r="I29"/>
  <c r="E29"/>
  <c r="G27"/>
  <c r="I25"/>
  <c r="E25"/>
  <c r="G23"/>
  <c r="I21"/>
  <c r="E21"/>
  <c r="G19"/>
  <c r="G35" i="9"/>
  <c r="I33"/>
  <c r="E33"/>
  <c r="G31"/>
  <c r="I29"/>
  <c r="E29"/>
  <c r="G27"/>
  <c r="I25"/>
  <c r="E25"/>
  <c r="G23"/>
  <c r="I21"/>
  <c r="E21"/>
  <c r="G19"/>
  <c r="E15"/>
  <c r="G13"/>
  <c r="G31" i="10"/>
  <c r="G23"/>
  <c r="L20" i="54"/>
  <c r="G31" i="24"/>
  <c r="G23"/>
  <c r="G8" i="29"/>
  <c r="G8" i="39"/>
  <c r="G31" i="25"/>
  <c r="J20" i="75"/>
  <c r="J20" i="54"/>
  <c r="N13" i="62"/>
  <c r="F13"/>
  <c r="J11"/>
  <c r="F9"/>
  <c r="K9"/>
  <c r="I9"/>
  <c r="I31" s="1"/>
  <c r="M9"/>
  <c r="G13"/>
  <c r="N9"/>
  <c r="N31" s="1"/>
  <c r="J9"/>
  <c r="M13"/>
  <c r="H20" i="54"/>
  <c r="M14" i="57"/>
  <c r="K9"/>
  <c r="F8"/>
  <c r="K8"/>
  <c r="L8"/>
  <c r="H8"/>
  <c r="J11"/>
  <c r="I11"/>
  <c r="L11"/>
  <c r="H13"/>
  <c r="F14"/>
  <c r="I13"/>
  <c r="N13"/>
  <c r="N31" s="1"/>
  <c r="I12"/>
  <c r="J9"/>
  <c r="J31" s="1"/>
  <c r="M9"/>
  <c r="L13"/>
  <c r="G13"/>
  <c r="I8"/>
  <c r="I14"/>
  <c r="F11"/>
  <c r="G14"/>
  <c r="E11"/>
  <c r="L14"/>
  <c r="E14"/>
  <c r="H14"/>
  <c r="K13"/>
  <c r="J10"/>
  <c r="H10" i="49"/>
  <c r="L10"/>
  <c r="N11" i="64"/>
  <c r="N20" s="1"/>
  <c r="H20" i="60"/>
  <c r="E8" i="55"/>
  <c r="E20" s="1"/>
  <c r="I12" i="34"/>
  <c r="I37" s="1"/>
  <c r="J10" i="47"/>
  <c r="L12"/>
  <c r="E12"/>
  <c r="F12"/>
  <c r="G14"/>
  <c r="G31" s="1"/>
  <c r="I12"/>
  <c r="J12"/>
  <c r="H10"/>
  <c r="L10"/>
  <c r="E10"/>
  <c r="K8"/>
  <c r="K31" s="1"/>
  <c r="F8"/>
  <c r="I10"/>
  <c r="F10"/>
  <c r="M14"/>
  <c r="M31" s="1"/>
  <c r="J14"/>
  <c r="E14"/>
  <c r="I12" i="40"/>
  <c r="I37" s="1"/>
  <c r="F12"/>
  <c r="F16"/>
  <c r="G20"/>
  <c r="G24"/>
  <c r="G28"/>
  <c r="G32"/>
  <c r="I14" i="35"/>
  <c r="E18"/>
  <c r="I22"/>
  <c r="E26"/>
  <c r="I30"/>
  <c r="I34"/>
  <c r="G36" i="40"/>
  <c r="I10" i="35"/>
  <c r="E10"/>
  <c r="F14"/>
  <c r="F18"/>
  <c r="F22"/>
  <c r="F26"/>
  <c r="F30"/>
  <c r="F34"/>
  <c r="E8"/>
  <c r="H11" i="25"/>
  <c r="H15"/>
  <c r="H19"/>
  <c r="H23"/>
  <c r="H27"/>
  <c r="H31"/>
  <c r="H35"/>
  <c r="H8" i="39"/>
  <c r="G16" i="34"/>
  <c r="G20"/>
  <c r="G24"/>
  <c r="G28"/>
  <c r="G32"/>
  <c r="G36"/>
  <c r="G18" i="29"/>
  <c r="G22"/>
  <c r="G26"/>
  <c r="G30"/>
  <c r="G34"/>
  <c r="G13" i="33"/>
  <c r="G17"/>
  <c r="G21"/>
  <c r="G25"/>
  <c r="G29"/>
  <c r="G33"/>
  <c r="I10" i="28"/>
  <c r="I14"/>
  <c r="E12" i="34"/>
  <c r="E37" s="1"/>
  <c r="H14" i="39"/>
  <c r="E18"/>
  <c r="E37" s="1"/>
  <c r="H16" i="34"/>
  <c r="H20"/>
  <c r="H24"/>
  <c r="H28"/>
  <c r="H32"/>
  <c r="H36"/>
  <c r="E10" i="29"/>
  <c r="I10"/>
  <c r="E14"/>
  <c r="I14"/>
  <c r="F18"/>
  <c r="F22"/>
  <c r="F26"/>
  <c r="F30"/>
  <c r="F34"/>
  <c r="E8"/>
  <c r="H11" i="24"/>
  <c r="H15"/>
  <c r="H19"/>
  <c r="H23"/>
  <c r="H27"/>
  <c r="H31"/>
  <c r="H35"/>
  <c r="H12" i="38"/>
  <c r="H16"/>
  <c r="I20"/>
  <c r="I24"/>
  <c r="I28"/>
  <c r="E32"/>
  <c r="I32"/>
  <c r="E36"/>
  <c r="I36"/>
  <c r="G9" i="33"/>
  <c r="G37" s="1"/>
  <c r="H13"/>
  <c r="H17"/>
  <c r="H21"/>
  <c r="H25"/>
  <c r="H29"/>
  <c r="H33"/>
  <c r="F10" i="28"/>
  <c r="F14"/>
  <c r="G18"/>
  <c r="G22"/>
  <c r="G26"/>
  <c r="G30"/>
  <c r="G34"/>
  <c r="I8"/>
  <c r="I37" s="1"/>
  <c r="G10" i="39"/>
  <c r="G14"/>
  <c r="F18"/>
  <c r="F37" s="1"/>
  <c r="F25" i="23"/>
  <c r="F37" s="1"/>
  <c r="H29"/>
  <c r="H33"/>
  <c r="G10" i="69"/>
  <c r="M10"/>
  <c r="M20" s="1"/>
  <c r="J14"/>
  <c r="N14"/>
  <c r="J18"/>
  <c r="N18"/>
  <c r="G11" i="64"/>
  <c r="K11"/>
  <c r="H15"/>
  <c r="L15"/>
  <c r="H19"/>
  <c r="L19"/>
  <c r="I10" i="22"/>
  <c r="I14"/>
  <c r="I18"/>
  <c r="I22"/>
  <c r="I26"/>
  <c r="I30"/>
  <c r="I34"/>
  <c r="G25" i="23"/>
  <c r="G37" s="1"/>
  <c r="E29"/>
  <c r="I29"/>
  <c r="E33"/>
  <c r="I33"/>
  <c r="I10" i="69"/>
  <c r="I20" s="1"/>
  <c r="N10"/>
  <c r="N20" s="1"/>
  <c r="G14"/>
  <c r="K14"/>
  <c r="G18"/>
  <c r="K18"/>
  <c r="F11" i="64"/>
  <c r="F20" s="1"/>
  <c r="J11"/>
  <c r="J20" s="1"/>
  <c r="G15"/>
  <c r="K15"/>
  <c r="G19"/>
  <c r="K19"/>
  <c r="G9" i="37"/>
  <c r="G13"/>
  <c r="H17"/>
  <c r="H21"/>
  <c r="H25"/>
  <c r="H29"/>
  <c r="H33"/>
  <c r="G16" i="32"/>
  <c r="G20"/>
  <c r="G24"/>
  <c r="G28"/>
  <c r="G32"/>
  <c r="G36"/>
  <c r="G9" i="27"/>
  <c r="G13"/>
  <c r="H17"/>
  <c r="H21"/>
  <c r="H25"/>
  <c r="H29"/>
  <c r="H33"/>
  <c r="H10" i="22"/>
  <c r="H14"/>
  <c r="H18"/>
  <c r="H22"/>
  <c r="H26"/>
  <c r="H30"/>
  <c r="H34"/>
  <c r="H8"/>
  <c r="I11" i="36"/>
  <c r="I15"/>
  <c r="I10" i="49"/>
  <c r="E13"/>
  <c r="E20" s="1"/>
  <c r="M13"/>
  <c r="M20" s="1"/>
  <c r="K18"/>
  <c r="I9" i="26"/>
  <c r="I13"/>
  <c r="H10" i="21"/>
  <c r="H14"/>
  <c r="H18"/>
  <c r="H22"/>
  <c r="H26"/>
  <c r="H30"/>
  <c r="H34"/>
  <c r="H8"/>
  <c r="E8"/>
  <c r="E37" s="1"/>
  <c r="A2" i="56"/>
  <c r="H11" i="4"/>
  <c r="H15"/>
  <c r="H19"/>
  <c r="H23"/>
  <c r="H27"/>
  <c r="H31"/>
  <c r="H35"/>
  <c r="M8" i="59"/>
  <c r="M20" s="1"/>
  <c r="K8"/>
  <c r="K20" s="1"/>
  <c r="N8"/>
  <c r="N20" s="1"/>
  <c r="H8"/>
  <c r="H20" s="1"/>
  <c r="L13" i="49"/>
  <c r="H13"/>
  <c r="A2" i="61"/>
  <c r="A2" i="67"/>
  <c r="A2" i="72"/>
  <c r="F10" i="49"/>
  <c r="F20" s="1"/>
  <c r="K13"/>
  <c r="K20" s="1"/>
  <c r="I18"/>
  <c r="F9" i="26"/>
  <c r="F13"/>
  <c r="G17"/>
  <c r="G21"/>
  <c r="G25"/>
  <c r="G29"/>
  <c r="G33"/>
  <c r="G10" i="21"/>
  <c r="G14"/>
  <c r="G18"/>
  <c r="G22"/>
  <c r="G26"/>
  <c r="G30"/>
  <c r="G34"/>
  <c r="I8"/>
  <c r="I37" s="1"/>
  <c r="G11" i="10"/>
  <c r="G15"/>
  <c r="H19"/>
  <c r="H23"/>
  <c r="H27"/>
  <c r="H31"/>
  <c r="H35"/>
  <c r="I9" i="9"/>
  <c r="G11"/>
  <c r="H15"/>
  <c r="H19"/>
  <c r="H23"/>
  <c r="H27"/>
  <c r="H31"/>
  <c r="H35"/>
  <c r="I9" i="8"/>
  <c r="G11"/>
  <c r="I13"/>
  <c r="G15"/>
  <c r="H19"/>
  <c r="H23"/>
  <c r="H27"/>
  <c r="H31"/>
  <c r="H35"/>
  <c r="G9" i="4"/>
  <c r="G11"/>
  <c r="E13"/>
  <c r="I13"/>
  <c r="G15"/>
  <c r="E17"/>
  <c r="I17"/>
  <c r="G19"/>
  <c r="E21"/>
  <c r="I21"/>
  <c r="G23"/>
  <c r="E25"/>
  <c r="I25"/>
  <c r="G27"/>
  <c r="E29"/>
  <c r="I29"/>
  <c r="G31"/>
  <c r="E33"/>
  <c r="I33"/>
  <c r="G35"/>
  <c r="N8" i="55"/>
  <c r="N20" s="1"/>
  <c r="J8"/>
  <c r="J20" s="1"/>
  <c r="F8"/>
  <c r="F20" s="1"/>
  <c r="K8"/>
  <c r="K20" s="1"/>
  <c r="J10" i="49"/>
  <c r="N18"/>
  <c r="N20" s="1"/>
  <c r="J18"/>
  <c r="F11" i="10"/>
  <c r="F37" s="1"/>
  <c r="H9" i="8"/>
  <c r="F11"/>
  <c r="I17"/>
  <c r="H15" i="10"/>
  <c r="H9" i="9"/>
  <c r="F11"/>
  <c r="E13"/>
  <c r="I17"/>
  <c r="F9" i="8"/>
  <c r="H15"/>
  <c r="G17"/>
  <c r="F15" i="36"/>
  <c r="F37" s="1"/>
  <c r="G23"/>
  <c r="G31"/>
  <c r="H11"/>
  <c r="H37" s="1"/>
  <c r="I19"/>
  <c r="E23"/>
  <c r="I27"/>
  <c r="E31"/>
  <c r="I35"/>
  <c r="F9" i="37"/>
  <c r="F37" s="1"/>
  <c r="G17"/>
  <c r="G25"/>
  <c r="G33"/>
  <c r="F16" i="32"/>
  <c r="F24"/>
  <c r="F32"/>
  <c r="F9" i="27"/>
  <c r="F37" s="1"/>
  <c r="G17"/>
  <c r="G25"/>
  <c r="G33"/>
  <c r="H9" i="37"/>
  <c r="H37" s="1"/>
  <c r="I17"/>
  <c r="E21"/>
  <c r="I25"/>
  <c r="E29"/>
  <c r="I33"/>
  <c r="G12" i="32"/>
  <c r="G37" s="1"/>
  <c r="H20"/>
  <c r="H28"/>
  <c r="H36"/>
  <c r="H13" i="27"/>
  <c r="H37" s="1"/>
  <c r="E17"/>
  <c r="I21"/>
  <c r="E25"/>
  <c r="I29"/>
  <c r="E33"/>
  <c r="G12" i="38"/>
  <c r="G37" s="1"/>
  <c r="H20"/>
  <c r="H28"/>
  <c r="E12"/>
  <c r="E37" s="1"/>
  <c r="F20"/>
  <c r="F37" s="1"/>
  <c r="F28"/>
  <c r="G15" i="25"/>
  <c r="G11" i="24"/>
  <c r="G19"/>
  <c r="E11" i="25"/>
  <c r="I15"/>
  <c r="E19"/>
  <c r="I8" i="39"/>
  <c r="I37" s="1"/>
  <c r="I8" i="29"/>
  <c r="I37" s="1"/>
  <c r="I11" i="24"/>
  <c r="E15"/>
  <c r="I19"/>
  <c r="G20" i="70"/>
  <c r="G8" i="35"/>
  <c r="G37" s="1"/>
  <c r="L27" i="52"/>
  <c r="H27"/>
  <c r="L22"/>
  <c r="H22"/>
  <c r="L18"/>
  <c r="H18"/>
  <c r="L17"/>
  <c r="L31" s="1"/>
  <c r="H17"/>
  <c r="H31" s="1"/>
  <c r="K27"/>
  <c r="G27"/>
  <c r="M22"/>
  <c r="I22"/>
  <c r="E22"/>
  <c r="M18"/>
  <c r="M31" s="1"/>
  <c r="I18"/>
  <c r="E18"/>
  <c r="E31" s="1"/>
  <c r="K17"/>
  <c r="K31" s="1"/>
  <c r="G17"/>
  <c r="G31" s="1"/>
  <c r="F20" i="54"/>
  <c r="L27" i="57"/>
  <c r="H27"/>
  <c r="L26"/>
  <c r="H26"/>
  <c r="L19"/>
  <c r="H19"/>
  <c r="L18"/>
  <c r="H18"/>
  <c r="L17"/>
  <c r="H17"/>
  <c r="L16"/>
  <c r="H16"/>
  <c r="L15"/>
  <c r="H15"/>
  <c r="K27"/>
  <c r="G27"/>
  <c r="M26"/>
  <c r="I26"/>
  <c r="K19"/>
  <c r="G19"/>
  <c r="M18"/>
  <c r="I18"/>
  <c r="K17"/>
  <c r="G17"/>
  <c r="M16"/>
  <c r="I16"/>
  <c r="E16"/>
  <c r="K15"/>
  <c r="G15"/>
  <c r="F20" i="60"/>
  <c r="J30" i="62"/>
  <c r="F30"/>
  <c r="J26"/>
  <c r="F26"/>
  <c r="J22"/>
  <c r="F22"/>
  <c r="J18"/>
  <c r="F18"/>
  <c r="K30"/>
  <c r="G30"/>
  <c r="K26"/>
  <c r="G26"/>
  <c r="K22"/>
  <c r="G22"/>
  <c r="K18"/>
  <c r="G18"/>
  <c r="G20" i="65"/>
  <c r="L30" i="67"/>
  <c r="H30"/>
  <c r="L29"/>
  <c r="H29"/>
  <c r="L22"/>
  <c r="H22"/>
  <c r="L21"/>
  <c r="L31" s="1"/>
  <c r="H21"/>
  <c r="H31" s="1"/>
  <c r="M30"/>
  <c r="I30"/>
  <c r="I31" s="1"/>
  <c r="E30"/>
  <c r="K29"/>
  <c r="G29"/>
  <c r="M22"/>
  <c r="M31" s="1"/>
  <c r="I22"/>
  <c r="E22"/>
  <c r="E31" s="1"/>
  <c r="K21"/>
  <c r="G21"/>
  <c r="G31" s="1"/>
  <c r="L29" i="72"/>
  <c r="H29"/>
  <c r="L28"/>
  <c r="H28"/>
  <c r="L21"/>
  <c r="H21"/>
  <c r="L20"/>
  <c r="L31" s="1"/>
  <c r="H20"/>
  <c r="H31" s="1"/>
  <c r="K29"/>
  <c r="G29"/>
  <c r="M28"/>
  <c r="I28"/>
  <c r="E28"/>
  <c r="K21"/>
  <c r="K31" s="1"/>
  <c r="G21"/>
  <c r="M20"/>
  <c r="M31" s="1"/>
  <c r="I20"/>
  <c r="E20"/>
  <c r="E31" s="1"/>
  <c r="G20" i="75"/>
  <c r="B5" i="8"/>
  <c r="B5" i="9" s="1"/>
  <c r="B5" i="10" s="1"/>
  <c r="I30" i="47"/>
  <c r="E30"/>
  <c r="I28"/>
  <c r="E28"/>
  <c r="I26"/>
  <c r="E26"/>
  <c r="I24"/>
  <c r="E24"/>
  <c r="I22"/>
  <c r="E22"/>
  <c r="I20"/>
  <c r="E20"/>
  <c r="H30"/>
  <c r="L28"/>
  <c r="H26"/>
  <c r="L24"/>
  <c r="H22"/>
  <c r="L20"/>
  <c r="I18"/>
  <c r="E18"/>
  <c r="I16"/>
  <c r="E16"/>
  <c r="F16"/>
  <c r="J16"/>
  <c r="N16"/>
  <c r="F18"/>
  <c r="J18"/>
  <c r="F20"/>
  <c r="N20"/>
  <c r="F22"/>
  <c r="F24"/>
  <c r="N24"/>
  <c r="F26"/>
  <c r="F28"/>
  <c r="N28"/>
  <c r="F30"/>
  <c r="F35" i="8"/>
  <c r="F33"/>
  <c r="F31"/>
  <c r="F29"/>
  <c r="F27"/>
  <c r="F25"/>
  <c r="F23"/>
  <c r="F21"/>
  <c r="F19"/>
  <c r="I35"/>
  <c r="I31"/>
  <c r="I27"/>
  <c r="I23"/>
  <c r="I19"/>
  <c r="F35" i="9"/>
  <c r="F33"/>
  <c r="F31"/>
  <c r="F29"/>
  <c r="F27"/>
  <c r="F25"/>
  <c r="F23"/>
  <c r="F21"/>
  <c r="F19"/>
  <c r="F17"/>
  <c r="F15"/>
  <c r="E11"/>
  <c r="E9"/>
  <c r="I35"/>
  <c r="I31"/>
  <c r="I27"/>
  <c r="I23"/>
  <c r="I19"/>
  <c r="G35" i="10"/>
  <c r="I33"/>
  <c r="E29"/>
  <c r="G27"/>
  <c r="I25"/>
  <c r="E21"/>
  <c r="E37" s="1"/>
  <c r="G19"/>
  <c r="I10" i="32"/>
  <c r="I37" s="1"/>
  <c r="G35" i="24"/>
  <c r="I33"/>
  <c r="E29"/>
  <c r="G27"/>
  <c r="I25"/>
  <c r="E21"/>
  <c r="G8" i="34"/>
  <c r="G23" i="25"/>
  <c r="G33"/>
  <c r="F33"/>
  <c r="G29"/>
  <c r="F29"/>
  <c r="G25"/>
  <c r="F25"/>
  <c r="G21"/>
  <c r="F21"/>
  <c r="F37" s="1"/>
  <c r="E36" i="30"/>
  <c r="G36"/>
  <c r="I36"/>
  <c r="F36"/>
  <c r="H36"/>
  <c r="F35"/>
  <c r="H35"/>
  <c r="E35"/>
  <c r="G35"/>
  <c r="I35"/>
  <c r="E34"/>
  <c r="G34"/>
  <c r="I34"/>
  <c r="F34"/>
  <c r="H34"/>
  <c r="F33"/>
  <c r="H33"/>
  <c r="E33"/>
  <c r="G33"/>
  <c r="I33"/>
  <c r="E32"/>
  <c r="G32"/>
  <c r="I32"/>
  <c r="F32"/>
  <c r="H32"/>
  <c r="F31"/>
  <c r="H31"/>
  <c r="E31"/>
  <c r="G31"/>
  <c r="I31"/>
  <c r="E30"/>
  <c r="G30"/>
  <c r="I30"/>
  <c r="F30"/>
  <c r="H30"/>
  <c r="F29"/>
  <c r="H29"/>
  <c r="E29"/>
  <c r="G29"/>
  <c r="I29"/>
  <c r="E28"/>
  <c r="G28"/>
  <c r="I28"/>
  <c r="F28"/>
  <c r="H28"/>
  <c r="F27"/>
  <c r="H27"/>
  <c r="E27"/>
  <c r="G27"/>
  <c r="I27"/>
  <c r="E26"/>
  <c r="G26"/>
  <c r="I26"/>
  <c r="F26"/>
  <c r="H26"/>
  <c r="F25"/>
  <c r="H25"/>
  <c r="E25"/>
  <c r="G25"/>
  <c r="I25"/>
  <c r="E24"/>
  <c r="G24"/>
  <c r="I24"/>
  <c r="F24"/>
  <c r="H24"/>
  <c r="F23"/>
  <c r="H23"/>
  <c r="E23"/>
  <c r="G23"/>
  <c r="I23"/>
  <c r="E22"/>
  <c r="G22"/>
  <c r="I22"/>
  <c r="F22"/>
  <c r="H22"/>
  <c r="F21"/>
  <c r="H21"/>
  <c r="E21"/>
  <c r="G21"/>
  <c r="I21"/>
  <c r="E20"/>
  <c r="G20"/>
  <c r="I20"/>
  <c r="F20"/>
  <c r="H20"/>
  <c r="F19"/>
  <c r="H19"/>
  <c r="E19"/>
  <c r="G19"/>
  <c r="I19"/>
  <c r="E18"/>
  <c r="G18"/>
  <c r="I18"/>
  <c r="F18"/>
  <c r="H18"/>
  <c r="F17"/>
  <c r="H17"/>
  <c r="E17"/>
  <c r="G17"/>
  <c r="I17"/>
  <c r="E16"/>
  <c r="G16"/>
  <c r="I16"/>
  <c r="F16"/>
  <c r="H16"/>
  <c r="F15"/>
  <c r="H15"/>
  <c r="E15"/>
  <c r="G15"/>
  <c r="I15"/>
  <c r="E14"/>
  <c r="G14"/>
  <c r="I14"/>
  <c r="F14"/>
  <c r="H14"/>
  <c r="F13"/>
  <c r="H13"/>
  <c r="E13"/>
  <c r="G13"/>
  <c r="I13"/>
  <c r="E12"/>
  <c r="G12"/>
  <c r="I12"/>
  <c r="F12"/>
  <c r="H12"/>
  <c r="F11"/>
  <c r="H11"/>
  <c r="E11"/>
  <c r="G11"/>
  <c r="I11"/>
  <c r="E10"/>
  <c r="G10"/>
  <c r="I10"/>
  <c r="F10"/>
  <c r="H10"/>
  <c r="F9"/>
  <c r="H9"/>
  <c r="E9"/>
  <c r="G9"/>
  <c r="I9"/>
  <c r="I33" i="25"/>
  <c r="E29"/>
  <c r="I25"/>
  <c r="E21"/>
  <c r="E8" i="30"/>
  <c r="H8"/>
  <c r="F8"/>
  <c r="I8"/>
  <c r="F20" i="75" l="1"/>
  <c r="N21" i="55"/>
  <c r="E7" i="6" s="1"/>
  <c r="H37" i="22"/>
  <c r="H37" i="21"/>
  <c r="F37" i="40"/>
  <c r="I37" i="30"/>
  <c r="H37"/>
  <c r="F37" i="26"/>
  <c r="F37" i="31"/>
  <c r="G37"/>
  <c r="E37" i="8"/>
  <c r="H37" i="10"/>
  <c r="N9" i="65"/>
  <c r="N20" s="1"/>
  <c r="J20"/>
  <c r="M13" i="75"/>
  <c r="M20" s="1"/>
  <c r="I20"/>
  <c r="E37" i="27"/>
  <c r="I37" i="37"/>
  <c r="E37" i="23"/>
  <c r="G20" i="64"/>
  <c r="J20" i="69"/>
  <c r="G20"/>
  <c r="H31" i="47"/>
  <c r="F31" i="62"/>
  <c r="H37" i="31"/>
  <c r="I37"/>
  <c r="G31" i="72"/>
  <c r="K31" i="67"/>
  <c r="I31" i="52"/>
  <c r="E37" i="24"/>
  <c r="G37"/>
  <c r="H37" i="32"/>
  <c r="E37" i="36"/>
  <c r="G37" i="10"/>
  <c r="I37" i="26"/>
  <c r="I37" i="36"/>
  <c r="H37" i="23"/>
  <c r="G37" i="28"/>
  <c r="I37" i="38"/>
  <c r="H37"/>
  <c r="F37" i="35"/>
  <c r="E31" i="47"/>
  <c r="G31" i="57"/>
  <c r="I37" i="25"/>
  <c r="I37" i="27"/>
  <c r="E37" i="37"/>
  <c r="E37" i="4"/>
  <c r="G37" i="26"/>
  <c r="H37" i="4"/>
  <c r="K20" i="69"/>
  <c r="N21" i="70" s="1"/>
  <c r="E10" i="6" s="1"/>
  <c r="I37" i="23"/>
  <c r="L20" i="64"/>
  <c r="H37" i="33"/>
  <c r="H37" i="34"/>
  <c r="I37" i="35"/>
  <c r="G37" i="40"/>
  <c r="I31" i="47"/>
  <c r="L31"/>
  <c r="J31"/>
  <c r="H20" i="49"/>
  <c r="I31" i="57"/>
  <c r="J31" i="62"/>
  <c r="G37" i="8"/>
  <c r="I37" i="10"/>
  <c r="N21" i="75"/>
  <c r="E11" i="6" s="1"/>
  <c r="N32" i="52"/>
  <c r="D7" i="6" s="1"/>
  <c r="F7" s="1"/>
  <c r="B5" i="67"/>
  <c r="B6" i="71"/>
  <c r="B5" i="72" s="1"/>
  <c r="I37" i="24"/>
  <c r="G37" i="25"/>
  <c r="F37" i="9"/>
  <c r="I37" i="4"/>
  <c r="I37" i="8"/>
  <c r="I37" i="9"/>
  <c r="G37" i="27"/>
  <c r="K20" i="64"/>
  <c r="H37" i="24"/>
  <c r="F37" i="29"/>
  <c r="H37" i="25"/>
  <c r="E31" i="57"/>
  <c r="L31"/>
  <c r="F31"/>
  <c r="M31" i="62"/>
  <c r="K31"/>
  <c r="G37" i="39"/>
  <c r="F37" i="30"/>
  <c r="E37"/>
  <c r="G37"/>
  <c r="G37" i="34"/>
  <c r="E37" i="9"/>
  <c r="N31" i="47"/>
  <c r="I31" i="72"/>
  <c r="N32" s="1"/>
  <c r="D11" i="6" s="1"/>
  <c r="F11" s="1"/>
  <c r="E37" i="25"/>
  <c r="F37" i="32"/>
  <c r="G37" i="36"/>
  <c r="F37" i="8"/>
  <c r="H37" i="9"/>
  <c r="H37" i="8"/>
  <c r="J20" i="49"/>
  <c r="G37" i="4"/>
  <c r="G37" i="9"/>
  <c r="G37" i="21"/>
  <c r="I20" i="49"/>
  <c r="N21" i="60" s="1"/>
  <c r="E8" i="6" s="1"/>
  <c r="G37" i="37"/>
  <c r="I37" i="22"/>
  <c r="H20" i="64"/>
  <c r="F37" i="28"/>
  <c r="I38" i="38" s="1"/>
  <c r="C9" i="6" s="1"/>
  <c r="E37" i="29"/>
  <c r="H37" i="39"/>
  <c r="E37" i="35"/>
  <c r="F31" i="47"/>
  <c r="N32" s="1"/>
  <c r="D6" i="6" s="1"/>
  <c r="L20" i="49"/>
  <c r="M31" i="57"/>
  <c r="H31"/>
  <c r="K31"/>
  <c r="G31" i="62"/>
  <c r="N32" s="1"/>
  <c r="D9" i="6" s="1"/>
  <c r="G37" i="29"/>
  <c r="F37" i="24"/>
  <c r="N32" i="67"/>
  <c r="D10" i="6" s="1"/>
  <c r="N21" i="65" l="1"/>
  <c r="E9" i="6" s="1"/>
  <c r="F9" s="1"/>
  <c r="G9" s="1"/>
  <c r="I38" i="37"/>
  <c r="C8" i="6" s="1"/>
  <c r="I38" i="36"/>
  <c r="C7" i="6" s="1"/>
  <c r="G7" s="1"/>
  <c r="I38" i="10"/>
  <c r="C6" i="6" s="1"/>
  <c r="I38" i="39"/>
  <c r="C10" i="6" s="1"/>
  <c r="N21" i="50"/>
  <c r="E6" i="6" s="1"/>
  <c r="F6" s="1"/>
  <c r="N32" i="57"/>
  <c r="D8" i="6" s="1"/>
  <c r="F8" s="1"/>
  <c r="F10"/>
  <c r="I38" i="40"/>
  <c r="C11" i="6" s="1"/>
  <c r="G11" s="1"/>
  <c r="G6" l="1"/>
  <c r="G8"/>
  <c r="G10"/>
</calcChain>
</file>

<file path=xl/sharedStrings.xml><?xml version="1.0" encoding="utf-8"?>
<sst xmlns="http://schemas.openxmlformats.org/spreadsheetml/2006/main" count="751" uniqueCount="193">
  <si>
    <t>Unit Cost</t>
  </si>
  <si>
    <t>Quantity</t>
  </si>
  <si>
    <t>Total Cost</t>
  </si>
  <si>
    <t>Alternative:</t>
  </si>
  <si>
    <t>Component</t>
  </si>
  <si>
    <t>Unit</t>
  </si>
  <si>
    <t>Year Replacement Needed?  (Insert Y in year where replacement is needed.)</t>
  </si>
  <si>
    <t>i=</t>
  </si>
  <si>
    <t>Total Construction Cost:</t>
  </si>
  <si>
    <t>Total Capital Costs:</t>
  </si>
  <si>
    <t>Total Present Worth</t>
  </si>
  <si>
    <t>Capital Costs</t>
  </si>
  <si>
    <t>Replacement Costs Present Worth</t>
  </si>
  <si>
    <t>O&amp;M Costs Present Worth</t>
  </si>
  <si>
    <t>Project Name:</t>
  </si>
  <si>
    <t>LGU Name:</t>
  </si>
  <si>
    <t>Alternative 1 Name:</t>
  </si>
  <si>
    <t>Alternative 2 Name:</t>
  </si>
  <si>
    <t>Alternative 3 Name:</t>
  </si>
  <si>
    <t>Alternative 4 Name:</t>
  </si>
  <si>
    <t>Alternative 5 Name:</t>
  </si>
  <si>
    <t>Complete the areas shown in gray below.  Where shown, use pulldown menu to select options.  The spreadsheet will calculate the capital costs.</t>
  </si>
  <si>
    <t>Replacement Costs Input</t>
  </si>
  <si>
    <t>Replacement Cost (Years 6 to 10)</t>
  </si>
  <si>
    <t>Alternative 6 Name:</t>
  </si>
  <si>
    <t>Enter information into the gray areas.  For the Preferred Alternative, place the word Preferred in parentheses after the alternative name.</t>
  </si>
  <si>
    <t xml:space="preserve"> </t>
  </si>
  <si>
    <t xml:space="preserve">Construction Contingency </t>
  </si>
  <si>
    <t>Construction Contingency:</t>
  </si>
  <si>
    <t>Construction Contingency Cost:</t>
  </si>
  <si>
    <t>Project Administration Cost:</t>
  </si>
  <si>
    <t>Total Capital Cost:</t>
  </si>
  <si>
    <t>Contingency Cost:</t>
  </si>
  <si>
    <t>Y</t>
  </si>
  <si>
    <r>
      <t>Unit Cost</t>
    </r>
    <r>
      <rPr>
        <b/>
        <vertAlign val="superscript"/>
        <sz val="12"/>
        <color indexed="8"/>
        <rFont val="Times New Roman"/>
        <family val="1"/>
      </rPr>
      <t>a</t>
    </r>
  </si>
  <si>
    <r>
      <rPr>
        <vertAlign val="superscript"/>
        <sz val="10"/>
        <color indexed="8"/>
        <rFont val="Times New Roman"/>
        <family val="1"/>
      </rPr>
      <t>a</t>
    </r>
    <r>
      <rPr>
        <sz val="10"/>
        <color indexed="8"/>
        <rFont val="Times New Roman"/>
        <family val="1"/>
      </rPr>
      <t>Unit costs are in today's dollars, not future dollars.</t>
    </r>
  </si>
  <si>
    <t>Complete the areas shown in gray below.  Where shown, use pulldown menus to select options.  The spreadsheet will calculate the capital costs.</t>
  </si>
  <si>
    <t>Replacement Needed? (Years 1-20)</t>
  </si>
  <si>
    <t>Replacement Needed? (Years 1-5)</t>
  </si>
  <si>
    <t>Replacement Needed? (Years 6-10)</t>
  </si>
  <si>
    <t>Replacement Needed (Years 11-15)</t>
  </si>
  <si>
    <t>Replacement Needed? (Years 16-20)</t>
  </si>
  <si>
    <t>For each component, enter "Y" in the gray area in the year in which replacement, if any, will occur.</t>
  </si>
  <si>
    <t>EPA Discount Rate:</t>
  </si>
  <si>
    <t>Present Value of Replacement Costs in Year:</t>
  </si>
  <si>
    <t>Total Present Value of Replacement Costs (Life of Project):</t>
  </si>
  <si>
    <t>Total Present Value of Replacement Costs (Years 16 to 20):</t>
  </si>
  <si>
    <t>Total Present Value of Replacement Costs (Years 11 to 15):</t>
  </si>
  <si>
    <t>Total Present Value of Replcament Costs (Years 6 to 10):</t>
  </si>
  <si>
    <t>Total Present Value of Replacement Costs (Years 1 to 5):</t>
  </si>
  <si>
    <t>Total Present Value of Replacement Costs (Years 6 to 10):</t>
  </si>
  <si>
    <t>Total Present Value of Replacment Costs (Years 16 to 20):</t>
  </si>
  <si>
    <t>Current Inflation Rate based on Construction Cost Index:</t>
  </si>
  <si>
    <t>Present Value of O&amp;M Costs for Year:</t>
  </si>
  <si>
    <t>Total Present Value of Yearly O&amp;M Expenses (Years 1-10):</t>
  </si>
  <si>
    <t>Total Present Value of Yearly O&amp;M Expenses (Years 11-20):</t>
  </si>
  <si>
    <t>Total Present Value of Annual O&amp;M Costs (Life of Project):</t>
  </si>
  <si>
    <t>Total Present Value of Intermittent Operations &amp; Maintenance Costs (Life of Project):</t>
  </si>
  <si>
    <t>Annual</t>
  </si>
  <si>
    <t>Intermittent</t>
  </si>
  <si>
    <t>Total</t>
  </si>
  <si>
    <t xml:space="preserve">Complete the cells shown in gray below.  </t>
  </si>
  <si>
    <t>CCI</t>
  </si>
  <si>
    <t>MCI</t>
  </si>
  <si>
    <t>Current Inflation Rate Based on Municipal Cost Index:</t>
  </si>
  <si>
    <t>Project Administration ($):</t>
  </si>
  <si>
    <t>O&amp;M Intermittent Costs Input</t>
  </si>
  <si>
    <t>Intermittent O&amp;M Costs Input</t>
  </si>
  <si>
    <t>Year O&amp;M Needed?  (Insert Y in year where O&amp;M is needed.)</t>
  </si>
  <si>
    <t>Present Worth Workbook Contents</t>
  </si>
  <si>
    <t>Input</t>
  </si>
  <si>
    <t>Replacement Costs - Entry</t>
  </si>
  <si>
    <t>Table 6.2.34.  Replacement Costs (Years 6 to 10)</t>
  </si>
  <si>
    <t>Total Present Value of Intermittent Operations &amp; Maintenace Costs (Years 1-10):</t>
  </si>
  <si>
    <t>Total Present Value of Intermittent Operations &amp; Maintenace Costs (Years 11-20):</t>
  </si>
  <si>
    <t>Yearly O&amp;M Costs 11-20</t>
  </si>
  <si>
    <t>Yearly O&amp;M Costs 1-10</t>
  </si>
  <si>
    <t>Inter O&amp;M Entry</t>
  </si>
  <si>
    <t>Inter O&amp;M 1-10</t>
  </si>
  <si>
    <t>Inter O&amp;M 11-20</t>
  </si>
  <si>
    <t>2Replacement Costs - Entry</t>
  </si>
  <si>
    <t>2Capital Costs</t>
  </si>
  <si>
    <t>2Yearly O&amp;M Costs 1-10</t>
  </si>
  <si>
    <t>2Yearly O&amp;M Costs 11-20</t>
  </si>
  <si>
    <t>2Inter O&amp;M Entry</t>
  </si>
  <si>
    <t>2Inter O&amp;M 1-10</t>
  </si>
  <si>
    <t>2Inter O&amp;M 11-20</t>
  </si>
  <si>
    <t>3Capital Costs</t>
  </si>
  <si>
    <t>3Replacement Costs - Entry</t>
  </si>
  <si>
    <t>3Yearly O&amp;M Costs 1-10</t>
  </si>
  <si>
    <t>3Yearly O&amp;M Costs 11-20</t>
  </si>
  <si>
    <t>3Inter O&amp;M Entry</t>
  </si>
  <si>
    <t>3Inter O&amp;M 1-10</t>
  </si>
  <si>
    <t>3Inter O&amp;M 11-20</t>
  </si>
  <si>
    <t>4Capital Costs</t>
  </si>
  <si>
    <t>4Replacement Costs - Entry</t>
  </si>
  <si>
    <t>4Yearly O&amp;M Costs 1-10</t>
  </si>
  <si>
    <t>4Yearly O&amp;M Costs 11-20</t>
  </si>
  <si>
    <t>4Inter O&amp;M Entry</t>
  </si>
  <si>
    <t>4Inter O&amp;M 11-20</t>
  </si>
  <si>
    <t>4Inter O&amp;M 1-10</t>
  </si>
  <si>
    <t>5Capital Costs</t>
  </si>
  <si>
    <t>5Replacement Costs - Entry</t>
  </si>
  <si>
    <t>5Inter O&amp;M Entry</t>
  </si>
  <si>
    <t>5Inter O&amp;M 1-10</t>
  </si>
  <si>
    <t>5Inter O&amp;M 11-20</t>
  </si>
  <si>
    <t>6Capital Costs</t>
  </si>
  <si>
    <t>6Inter O&amp;M Entry</t>
  </si>
  <si>
    <t>6Inter O&amp;M 1-10</t>
  </si>
  <si>
    <t>6Inter O&amp;M 11-20</t>
  </si>
  <si>
    <t>5Yearly O&amp;M 1-10</t>
  </si>
  <si>
    <t>5Yearly O&amp;M 11-20</t>
  </si>
  <si>
    <t>6Yearly O&amp;M 1-10</t>
  </si>
  <si>
    <t>6Yearly O&amp;M 11-20</t>
  </si>
  <si>
    <t>6Replacement Costs - Entry</t>
  </si>
  <si>
    <t>Replace Costs Results 1-5</t>
  </si>
  <si>
    <t>Replace Costs Results 6-10</t>
  </si>
  <si>
    <t>Replace Costs Results 11-15</t>
  </si>
  <si>
    <t>Replace Costs Results16-20</t>
  </si>
  <si>
    <t>2Replace Costs Results 1-5</t>
  </si>
  <si>
    <t>2Replace Costs Results 6-10</t>
  </si>
  <si>
    <t>2Replace Costs Results 11-15</t>
  </si>
  <si>
    <t>2Replace Costs Results 16-20</t>
  </si>
  <si>
    <t>3Replace Costs Results 1-5</t>
  </si>
  <si>
    <t>3Replace Costs Results 6-10</t>
  </si>
  <si>
    <t>3Replace Costs Results 11-15</t>
  </si>
  <si>
    <t>3Replace Costs Results 16-20</t>
  </si>
  <si>
    <t>4Replace Costs Results 1-5</t>
  </si>
  <si>
    <t>4Replace Costs Results 6-10</t>
  </si>
  <si>
    <t>4Replace Costs Results 11-15</t>
  </si>
  <si>
    <t>4Replace Costs Results 16-20</t>
  </si>
  <si>
    <t>5Replace Costs Results 1-5</t>
  </si>
  <si>
    <t>5Replace Costs Results 6-10</t>
  </si>
  <si>
    <t>5Replace Costs Results 11-15</t>
  </si>
  <si>
    <t>5Replace Costs Results 16-20</t>
  </si>
  <si>
    <t>6Replace Costs Results 1-5</t>
  </si>
  <si>
    <t>6Replace Costs Results 6-10</t>
  </si>
  <si>
    <t>6Replace Costs Results 11-15</t>
  </si>
  <si>
    <t>6Replace Costs Results 16-20</t>
  </si>
  <si>
    <t>Table 5.2.1.  Capital Costs</t>
  </si>
  <si>
    <t>Table 5.2.3.  Replacement Costs (Years 1 to 5)</t>
  </si>
  <si>
    <t>Table 5.2.4.  Replacement Costs (Years 6 to 10)</t>
  </si>
  <si>
    <t>Table 5.2.5.  Replacement Costs (Years 11 to 15)</t>
  </si>
  <si>
    <t>Table 5.2.6.  Replacement Costs (Years 16 to 20)</t>
  </si>
  <si>
    <t>Table 5.2.7. Present Value of Operations and Maintenance Costs (Years 1-10)</t>
  </si>
  <si>
    <t>Table 5.2.8. Present Value of Operations and Maintenance Costs (Years 11-20)</t>
  </si>
  <si>
    <t>Table 5.2.9.  Present Value of Intermittent Operations and Maintenance Costs (Years 1-10)</t>
  </si>
  <si>
    <t>Table 5.2.10.  Present Value of Intermittent Operations and Maintenance Costs (Years 11-20)</t>
  </si>
  <si>
    <t>Table 5.2.11.  Capital Costs</t>
  </si>
  <si>
    <t>Table 5.2.13.  Replacement Costs (Years 1 to 5)</t>
  </si>
  <si>
    <t>Table 5.2.14.  Replacement Costs (Years 6 to 10)</t>
  </si>
  <si>
    <t>Table 5.2.15.  Replacement Costs (Years 11 to 15)</t>
  </si>
  <si>
    <t>Table 5.2.16.  Replacement Costs (Years 16 to 20)</t>
  </si>
  <si>
    <t>Table 5.2.17. Present Value of Operations and Maintenance Costs (Years 1-10)</t>
  </si>
  <si>
    <t>Table 5.2.18. Present Value of Operations and Maintenance Costs (Years 11-20)</t>
  </si>
  <si>
    <t>Table 5.2.19.  Present Value of Intermittent Operations and Maintenance Costs (Years 1-10)</t>
  </si>
  <si>
    <t>Table 5.2.20.  Present Value of Intermittent Operations and Maintenance Costs (Years 11-20)</t>
  </si>
  <si>
    <t>Table 5.2.21.  Capital Costs</t>
  </si>
  <si>
    <t>Table 5.2.23.  Replacement Costs (Years 1 to 5)</t>
  </si>
  <si>
    <t>Table 5.2.24.  Replacement Costs (Years 6 to 10)</t>
  </si>
  <si>
    <t>Table 5.2.25.  Replacement Costs (Years 11 to 15)</t>
  </si>
  <si>
    <t>Table 5.2.26.  Replacement Costs (Years 16 to 20)</t>
  </si>
  <si>
    <t>Table 5.2.27. Present Value of Operations and Maintenance Costs (Years 1-10)</t>
  </si>
  <si>
    <t>Table 5.2.28. Present Value of Operations and Maintenance Costs (Years 11-20)</t>
  </si>
  <si>
    <t>Table 5.2.29.  Present Value of Intermittent Operations and Maintenance Costs (Years 1-10)</t>
  </si>
  <si>
    <t>Table 5.2.30.  Present Value of Intermittent Operations and Maintenance Costs (Years 11-20)</t>
  </si>
  <si>
    <t>Table 5.2.31.  Capital Costs</t>
  </si>
  <si>
    <t>Table 5.2.33.  Replacement Costs (Years 1 to 5)</t>
  </si>
  <si>
    <t>Table 5.2.35.  Replacement Costs (Years 11 to 15)</t>
  </si>
  <si>
    <t>Table 5.2.36.  Replacement Costs (Years 16 to 20)</t>
  </si>
  <si>
    <t>Table 5.2.37. Present Value of Operations and Maintenance Costs (Years 1-10)</t>
  </si>
  <si>
    <t>Table 5.2.38. Present Value of Operations and Maintenance Costs (Years 11-20)</t>
  </si>
  <si>
    <t>Table 5.2.39.  Present Value of Intermittent Operations and Maintenance Costs (Years 1-10)</t>
  </si>
  <si>
    <t>Table 5.2.40.  Present Value of Intermittent Operations and Maintenance Costs (Years 11-20)</t>
  </si>
  <si>
    <t>Table 5.2.41.  Capital Costs</t>
  </si>
  <si>
    <t>Table 5.2.43.  Replacement Costs (Years 1 to 5)</t>
  </si>
  <si>
    <t>Table 5.2.44.  Replacement Costs (Years 6 to 10)</t>
  </si>
  <si>
    <t>Table 5.2.45.  Replacement Costs (Years 11 to 15)</t>
  </si>
  <si>
    <t>Table 5.2.46.  Replacement Costs (Years 16 to 20)</t>
  </si>
  <si>
    <t>Table 5.2.47. Present Value of Operations and Maintenance Costs (Years 1-10)</t>
  </si>
  <si>
    <t>Table 5.2.48. Present Value of Operations and Maintenance Costs (Years 11-20)</t>
  </si>
  <si>
    <t>Table 5.2.49.  Present Value of Intermittent Operations and Maintenance Costs (Years 1-10)</t>
  </si>
  <si>
    <t>Table 5.2.50.  Present Value of Intermittent Operations and Maintenance Costs (Years 11-20)</t>
  </si>
  <si>
    <t>Table 5.2.51.  Capital Costs</t>
  </si>
  <si>
    <t>Table 5.2.53.  Replacement Costs (Years 1 to 5)</t>
  </si>
  <si>
    <t>Table 5.2.54.  Replacement Costs (Years 6 to 10)</t>
  </si>
  <si>
    <t>Table 5.2.55.  Replacement Costs (Years 11 to 15)</t>
  </si>
  <si>
    <t>Table 5.2.56.  Replacement Costs (Years 15 to 20)</t>
  </si>
  <si>
    <t>Table 5.2.58. Present Value of Operations and Maintenance Costs (Years 1-10)</t>
  </si>
  <si>
    <t>Table 5.2.59. Present Value of Operations and Maintenance Costs (Years 11-20)</t>
  </si>
  <si>
    <t>Table 5.2.60.  Present Value of Intermittent Operations and Maintenance Costs (Years 1-10)</t>
  </si>
  <si>
    <t>Table 5.2.61.  Present Value of Intermittent Operations and Maintenance Costs (Years 11-20)</t>
  </si>
  <si>
    <t>Table 5.2.62.  Total Present Worth for Feasible Alternatives</t>
  </si>
</sst>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00%"/>
  </numFmts>
  <fonts count="12">
    <font>
      <sz val="11"/>
      <color theme="1"/>
      <name val="Calibri"/>
      <family val="2"/>
      <scheme val="minor"/>
    </font>
    <font>
      <b/>
      <vertAlign val="superscript"/>
      <sz val="12"/>
      <color indexed="8"/>
      <name val="Times New Roman"/>
      <family val="1"/>
    </font>
    <font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theme="1"/>
      <name val="Times New Roman"/>
      <family val="1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</cellStyleXfs>
  <cellXfs count="176">
    <xf numFmtId="0" fontId="0" fillId="0" borderId="0" xfId="0"/>
    <xf numFmtId="0" fontId="7" fillId="0" borderId="0" xfId="0" applyFont="1"/>
    <xf numFmtId="0" fontId="8" fillId="0" borderId="0" xfId="0" applyFont="1" applyAlignment="1">
      <alignment horizontal="right"/>
    </xf>
    <xf numFmtId="164" fontId="7" fillId="0" borderId="1" xfId="0" applyNumberFormat="1" applyFont="1" applyBorder="1" applyAlignment="1"/>
    <xf numFmtId="164" fontId="8" fillId="0" borderId="2" xfId="0" applyNumberFormat="1" applyFont="1" applyBorder="1" applyAlignment="1"/>
    <xf numFmtId="164" fontId="8" fillId="0" borderId="2" xfId="0" applyNumberFormat="1" applyFont="1" applyBorder="1"/>
    <xf numFmtId="0" fontId="7" fillId="0" borderId="0" xfId="0" applyFont="1" applyAlignment="1">
      <alignment horizontal="right"/>
    </xf>
    <xf numFmtId="0" fontId="9" fillId="0" borderId="0" xfId="0" applyFont="1"/>
    <xf numFmtId="0" fontId="6" fillId="0" borderId="0" xfId="0" applyFont="1"/>
    <xf numFmtId="0" fontId="7" fillId="0" borderId="0" xfId="0" applyFont="1" applyBorder="1"/>
    <xf numFmtId="0" fontId="7" fillId="0" borderId="3" xfId="0" applyFont="1" applyBorder="1"/>
    <xf numFmtId="0" fontId="8" fillId="0" borderId="4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7" fillId="0" borderId="5" xfId="0" applyFont="1" applyBorder="1"/>
    <xf numFmtId="0" fontId="7" fillId="0" borderId="6" xfId="0" applyFont="1" applyBorder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166" fontId="7" fillId="0" borderId="0" xfId="2" applyNumberFormat="1" applyFont="1" applyAlignment="1">
      <alignment horizontal="left"/>
    </xf>
    <xf numFmtId="0" fontId="7" fillId="0" borderId="8" xfId="0" applyFont="1" applyBorder="1"/>
    <xf numFmtId="0" fontId="7" fillId="0" borderId="9" xfId="0" applyFont="1" applyBorder="1"/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4" fontId="7" fillId="0" borderId="1" xfId="0" applyNumberFormat="1" applyFont="1" applyFill="1" applyBorder="1"/>
    <xf numFmtId="164" fontId="8" fillId="0" borderId="1" xfId="0" applyNumberFormat="1" applyFont="1" applyBorder="1"/>
    <xf numFmtId="0" fontId="7" fillId="0" borderId="5" xfId="0" applyFont="1" applyBorder="1" applyAlignment="1">
      <alignment horizontal="left"/>
    </xf>
    <xf numFmtId="0" fontId="7" fillId="0" borderId="7" xfId="0" applyFont="1" applyBorder="1"/>
    <xf numFmtId="0" fontId="7" fillId="0" borderId="1" xfId="0" applyFont="1" applyBorder="1"/>
    <xf numFmtId="0" fontId="7" fillId="0" borderId="11" xfId="0" applyFont="1" applyBorder="1"/>
    <xf numFmtId="166" fontId="7" fillId="0" borderId="0" xfId="2" applyNumberFormat="1" applyFont="1"/>
    <xf numFmtId="164" fontId="7" fillId="0" borderId="5" xfId="0" applyNumberFormat="1" applyFont="1" applyBorder="1"/>
    <xf numFmtId="164" fontId="7" fillId="0" borderId="1" xfId="0" applyNumberFormat="1" applyFont="1" applyBorder="1"/>
    <xf numFmtId="0" fontId="8" fillId="0" borderId="12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7" fillId="0" borderId="4" xfId="0" applyFont="1" applyBorder="1"/>
    <xf numFmtId="0" fontId="8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0" xfId="0" applyFont="1" applyBorder="1"/>
    <xf numFmtId="9" fontId="7" fillId="0" borderId="0" xfId="2" applyFont="1"/>
    <xf numFmtId="0" fontId="7" fillId="0" borderId="6" xfId="0" applyFont="1" applyBorder="1" applyAlignment="1">
      <alignment horizontal="left"/>
    </xf>
    <xf numFmtId="164" fontId="7" fillId="0" borderId="6" xfId="0" applyNumberFormat="1" applyFont="1" applyBorder="1" applyAlignment="1"/>
    <xf numFmtId="3" fontId="7" fillId="0" borderId="6" xfId="0" applyNumberFormat="1" applyFont="1" applyBorder="1" applyAlignment="1"/>
    <xf numFmtId="0" fontId="7" fillId="0" borderId="1" xfId="0" applyFont="1" applyBorder="1" applyAlignment="1">
      <alignment horizontal="left"/>
    </xf>
    <xf numFmtId="3" fontId="7" fillId="0" borderId="1" xfId="0" applyNumberFormat="1" applyFont="1" applyBorder="1" applyAlignment="1"/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8" fillId="0" borderId="14" xfId="0" applyFont="1" applyFill="1" applyBorder="1" applyAlignment="1">
      <alignment horizontal="center"/>
    </xf>
    <xf numFmtId="0" fontId="10" fillId="0" borderId="0" xfId="0" applyFont="1"/>
    <xf numFmtId="3" fontId="7" fillId="0" borderId="1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3" fontId="7" fillId="0" borderId="9" xfId="0" applyNumberFormat="1" applyFont="1" applyBorder="1" applyAlignment="1">
      <alignment horizontal="center"/>
    </xf>
    <xf numFmtId="0" fontId="8" fillId="0" borderId="9" xfId="0" applyFont="1" applyFill="1" applyBorder="1" applyAlignment="1">
      <alignment horizontal="left"/>
    </xf>
    <xf numFmtId="0" fontId="7" fillId="0" borderId="6" xfId="0" applyFont="1" applyFill="1" applyBorder="1" applyAlignment="1">
      <alignment horizontal="right"/>
    </xf>
    <xf numFmtId="10" fontId="7" fillId="0" borderId="9" xfId="2" applyNumberFormat="1" applyFont="1" applyFill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0" fontId="7" fillId="0" borderId="0" xfId="0" applyNumberFormat="1" applyFont="1" applyFill="1" applyBorder="1" applyAlignment="1">
      <alignment horizontal="left"/>
    </xf>
    <xf numFmtId="166" fontId="7" fillId="0" borderId="13" xfId="2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10" fontId="7" fillId="0" borderId="0" xfId="0" applyNumberFormat="1" applyFont="1" applyBorder="1" applyAlignment="1">
      <alignment horizontal="left"/>
    </xf>
    <xf numFmtId="0" fontId="7" fillId="0" borderId="13" xfId="0" applyFont="1" applyBorder="1" applyAlignment="1">
      <alignment horizontal="right"/>
    </xf>
    <xf numFmtId="166" fontId="7" fillId="0" borderId="13" xfId="2" applyNumberFormat="1" applyFont="1" applyBorder="1" applyAlignment="1">
      <alignment horizontal="center"/>
    </xf>
    <xf numFmtId="166" fontId="7" fillId="0" borderId="13" xfId="2" applyNumberFormat="1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10" fontId="7" fillId="0" borderId="6" xfId="0" applyNumberFormat="1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2" borderId="0" xfId="0" applyFill="1" applyAlignment="1" applyProtection="1">
      <alignment wrapText="1"/>
      <protection locked="0"/>
    </xf>
    <xf numFmtId="164" fontId="7" fillId="2" borderId="1" xfId="0" applyNumberFormat="1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left"/>
      <protection locked="0"/>
    </xf>
    <xf numFmtId="165" fontId="7" fillId="2" borderId="1" xfId="0" applyNumberFormat="1" applyFont="1" applyFill="1" applyBorder="1" applyProtection="1">
      <protection locked="0"/>
    </xf>
    <xf numFmtId="3" fontId="7" fillId="2" borderId="1" xfId="0" applyNumberFormat="1" applyFont="1" applyFill="1" applyBorder="1" applyProtection="1">
      <protection locked="0"/>
    </xf>
    <xf numFmtId="165" fontId="7" fillId="2" borderId="1" xfId="0" applyNumberFormat="1" applyFont="1" applyFill="1" applyBorder="1" applyAlignment="1" applyProtection="1">
      <alignment horizontal="left"/>
      <protection locked="0"/>
    </xf>
    <xf numFmtId="0" fontId="7" fillId="2" borderId="1" xfId="0" applyFont="1" applyFill="1" applyBorder="1" applyProtection="1"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3" fontId="7" fillId="2" borderId="1" xfId="0" applyNumberFormat="1" applyFont="1" applyFill="1" applyBorder="1" applyAlignment="1" applyProtection="1">
      <protection locked="0"/>
    </xf>
    <xf numFmtId="0" fontId="7" fillId="2" borderId="1" xfId="0" applyFont="1" applyFill="1" applyBorder="1" applyAlignment="1" applyProtection="1">
      <protection locked="0"/>
    </xf>
    <xf numFmtId="0" fontId="9" fillId="0" borderId="6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8" xfId="0" applyFont="1" applyBorder="1" applyAlignment="1">
      <alignment horizontal="right" wrapText="1"/>
    </xf>
    <xf numFmtId="0" fontId="7" fillId="0" borderId="6" xfId="0" applyFont="1" applyBorder="1" applyAlignment="1">
      <alignment horizontal="right"/>
    </xf>
    <xf numFmtId="0" fontId="7" fillId="2" borderId="1" xfId="0" applyFont="1" applyFill="1" applyBorder="1" applyAlignment="1" applyProtection="1">
      <alignment wrapText="1"/>
      <protection locked="0"/>
    </xf>
    <xf numFmtId="0" fontId="7" fillId="0" borderId="1" xfId="0" applyFont="1" applyFill="1" applyBorder="1" applyAlignment="1" applyProtection="1">
      <alignment wrapText="1"/>
      <protection locked="0"/>
    </xf>
    <xf numFmtId="164" fontId="7" fillId="0" borderId="1" xfId="0" applyNumberFormat="1" applyFont="1" applyFill="1" applyBorder="1" applyProtection="1">
      <protection locked="0"/>
    </xf>
    <xf numFmtId="3" fontId="7" fillId="0" borderId="1" xfId="0" applyNumberFormat="1" applyFont="1" applyFill="1" applyBorder="1" applyAlignment="1" applyProtection="1">
      <protection locked="0"/>
    </xf>
    <xf numFmtId="166" fontId="7" fillId="0" borderId="7" xfId="2" applyNumberFormat="1" applyFont="1" applyBorder="1" applyAlignment="1">
      <alignment horizontal="right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164" fontId="7" fillId="2" borderId="1" xfId="0" applyNumberFormat="1" applyFont="1" applyFill="1" applyBorder="1" applyAlignment="1" applyProtection="1">
      <alignment horizontal="center" vertical="center"/>
      <protection locked="0"/>
    </xf>
    <xf numFmtId="10" fontId="7" fillId="0" borderId="6" xfId="2" applyNumberFormat="1" applyFont="1" applyBorder="1" applyAlignment="1">
      <alignment horizontal="left"/>
    </xf>
    <xf numFmtId="166" fontId="7" fillId="0" borderId="7" xfId="2" applyNumberFormat="1" applyFont="1" applyBorder="1" applyAlignment="1">
      <alignment horizontal="left"/>
    </xf>
    <xf numFmtId="0" fontId="8" fillId="0" borderId="15" xfId="0" applyFont="1" applyBorder="1" applyAlignment="1">
      <alignment horizontal="center"/>
    </xf>
    <xf numFmtId="3" fontId="7" fillId="0" borderId="1" xfId="0" applyNumberFormat="1" applyFont="1" applyBorder="1"/>
    <xf numFmtId="3" fontId="7" fillId="0" borderId="1" xfId="0" applyNumberFormat="1" applyFont="1" applyFill="1" applyBorder="1" applyAlignment="1" applyProtection="1">
      <alignment wrapText="1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3" fontId="7" fillId="2" borderId="1" xfId="0" applyNumberFormat="1" applyFont="1" applyFill="1" applyBorder="1" applyAlignment="1" applyProtection="1">
      <alignment vertical="center"/>
      <protection locked="0"/>
    </xf>
    <xf numFmtId="165" fontId="7" fillId="0" borderId="1" xfId="0" applyNumberFormat="1" applyFont="1" applyBorder="1"/>
    <xf numFmtId="164" fontId="7" fillId="0" borderId="1" xfId="0" applyNumberFormat="1" applyFont="1" applyFill="1" applyBorder="1" applyAlignment="1" applyProtection="1">
      <alignment wrapText="1"/>
      <protection locked="0"/>
    </xf>
    <xf numFmtId="164" fontId="7" fillId="0" borderId="1" xfId="0" applyNumberFormat="1" applyFont="1" applyBorder="1" applyAlignment="1" applyProtection="1">
      <protection locked="0"/>
    </xf>
    <xf numFmtId="0" fontId="5" fillId="0" borderId="0" xfId="1" applyAlignment="1" applyProtection="1"/>
    <xf numFmtId="0" fontId="7" fillId="0" borderId="0" xfId="0" applyFont="1" applyProtection="1"/>
    <xf numFmtId="0" fontId="7" fillId="0" borderId="5" xfId="0" applyFont="1" applyBorder="1" applyAlignment="1" applyProtection="1">
      <alignment horizontal="right"/>
    </xf>
    <xf numFmtId="10" fontId="7" fillId="0" borderId="6" xfId="0" applyNumberFormat="1" applyFont="1" applyBorder="1" applyAlignment="1" applyProtection="1">
      <alignment horizontal="left"/>
    </xf>
    <xf numFmtId="0" fontId="9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166" fontId="7" fillId="0" borderId="7" xfId="2" applyNumberFormat="1" applyFont="1" applyBorder="1" applyAlignment="1" applyProtection="1">
      <alignment horizontal="right"/>
    </xf>
    <xf numFmtId="0" fontId="8" fillId="0" borderId="1" xfId="0" applyFont="1" applyBorder="1" applyAlignment="1" applyProtection="1">
      <alignment horizontal="center"/>
    </xf>
    <xf numFmtId="0" fontId="8" fillId="0" borderId="1" xfId="0" applyFont="1" applyBorder="1" applyAlignment="1" applyProtection="1">
      <alignment horizontal="center" wrapText="1"/>
    </xf>
    <xf numFmtId="0" fontId="7" fillId="0" borderId="1" xfId="0" applyFont="1" applyFill="1" applyBorder="1" applyAlignment="1" applyProtection="1">
      <alignment wrapText="1"/>
    </xf>
    <xf numFmtId="164" fontId="7" fillId="0" borderId="1" xfId="0" applyNumberFormat="1" applyFont="1" applyFill="1" applyBorder="1" applyAlignment="1" applyProtection="1">
      <alignment wrapText="1"/>
    </xf>
    <xf numFmtId="3" fontId="7" fillId="0" borderId="1" xfId="0" applyNumberFormat="1" applyFont="1" applyFill="1" applyBorder="1" applyAlignment="1" applyProtection="1">
      <alignment wrapText="1"/>
    </xf>
    <xf numFmtId="164" fontId="7" fillId="0" borderId="5" xfId="0" applyNumberFormat="1" applyFont="1" applyBorder="1" applyProtection="1"/>
    <xf numFmtId="164" fontId="7" fillId="0" borderId="1" xfId="0" applyNumberFormat="1" applyFont="1" applyBorder="1" applyProtection="1"/>
    <xf numFmtId="0" fontId="7" fillId="0" borderId="0" xfId="0" applyFont="1" applyBorder="1" applyProtection="1"/>
    <xf numFmtId="0" fontId="7" fillId="0" borderId="9" xfId="0" applyFont="1" applyBorder="1" applyProtection="1"/>
    <xf numFmtId="0" fontId="8" fillId="0" borderId="9" xfId="0" applyFont="1" applyBorder="1" applyAlignment="1" applyProtection="1">
      <alignment horizontal="right"/>
    </xf>
    <xf numFmtId="164" fontId="8" fillId="0" borderId="1" xfId="0" applyNumberFormat="1" applyFont="1" applyBorder="1" applyProtection="1"/>
    <xf numFmtId="0" fontId="8" fillId="0" borderId="0" xfId="0" applyFont="1" applyAlignment="1" applyProtection="1">
      <alignment horizontal="right"/>
    </xf>
    <xf numFmtId="0" fontId="7" fillId="0" borderId="0" xfId="0" applyFont="1" applyAlignment="1" applyProtection="1">
      <alignment horizontal="right"/>
    </xf>
    <xf numFmtId="166" fontId="7" fillId="0" borderId="0" xfId="2" applyNumberFormat="1" applyFont="1" applyProtection="1"/>
    <xf numFmtId="0" fontId="11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2" borderId="1" xfId="0" applyFont="1" applyFill="1" applyBorder="1" applyAlignment="1" applyProtection="1">
      <alignment horizontal="center"/>
      <protection locked="0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8" fillId="0" borderId="14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8" xfId="0" applyFont="1" applyBorder="1" applyAlignment="1" applyProtection="1">
      <alignment horizontal="center"/>
    </xf>
    <xf numFmtId="0" fontId="8" fillId="0" borderId="9" xfId="0" applyFont="1" applyBorder="1" applyAlignment="1" applyProtection="1">
      <alignment horizontal="center"/>
    </xf>
    <xf numFmtId="0" fontId="8" fillId="0" borderId="12" xfId="0" applyFont="1" applyBorder="1" applyAlignment="1" applyProtection="1">
      <alignment horizontal="center"/>
    </xf>
    <xf numFmtId="0" fontId="8" fillId="0" borderId="4" xfId="0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8" fillId="0" borderId="3" xfId="0" applyFont="1" applyBorder="1" applyAlignment="1" applyProtection="1">
      <alignment horizontal="center"/>
    </xf>
    <xf numFmtId="0" fontId="8" fillId="0" borderId="16" xfId="0" applyFont="1" applyBorder="1" applyAlignment="1" applyProtection="1">
      <alignment horizontal="center"/>
    </xf>
    <xf numFmtId="0" fontId="8" fillId="0" borderId="13" xfId="0" applyFont="1" applyBorder="1" applyAlignment="1" applyProtection="1">
      <alignment horizontal="center"/>
    </xf>
    <xf numFmtId="0" fontId="8" fillId="0" borderId="14" xfId="0" applyFont="1" applyBorder="1" applyAlignment="1" applyProtection="1">
      <alignment horizontal="center"/>
    </xf>
    <xf numFmtId="0" fontId="8" fillId="0" borderId="5" xfId="0" applyFont="1" applyBorder="1" applyAlignment="1" applyProtection="1">
      <alignment horizontal="center"/>
    </xf>
    <xf numFmtId="0" fontId="8" fillId="0" borderId="6" xfId="0" applyFont="1" applyBorder="1" applyAlignment="1" applyProtection="1">
      <alignment horizontal="center"/>
    </xf>
    <xf numFmtId="0" fontId="8" fillId="0" borderId="7" xfId="0" applyFont="1" applyBorder="1" applyAlignment="1" applyProtection="1">
      <alignment horizontal="center"/>
    </xf>
    <xf numFmtId="0" fontId="8" fillId="2" borderId="8" xfId="0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center"/>
      <protection locked="0"/>
    </xf>
    <xf numFmtId="0" fontId="8" fillId="2" borderId="12" xfId="0" applyFont="1" applyFill="1" applyBorder="1" applyAlignment="1" applyProtection="1">
      <alignment horizontal="center"/>
      <protection locked="0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A4" sqref="A4"/>
    </sheetView>
  </sheetViews>
  <sheetFormatPr defaultRowHeight="15"/>
  <cols>
    <col min="1" max="1" width="30.7109375" customWidth="1"/>
    <col min="2" max="2" width="4.7109375" customWidth="1"/>
    <col min="3" max="3" width="30.7109375" customWidth="1"/>
    <col min="4" max="4" width="4.7109375" customWidth="1"/>
    <col min="5" max="5" width="30.7109375" customWidth="1"/>
    <col min="6" max="6" width="4.7109375" customWidth="1"/>
    <col min="7" max="7" width="30.7109375" customWidth="1"/>
  </cols>
  <sheetData>
    <row r="1" spans="1:7" ht="23.25">
      <c r="A1" s="136" t="s">
        <v>69</v>
      </c>
      <c r="B1" s="136"/>
      <c r="C1" s="136"/>
      <c r="D1" s="136"/>
      <c r="E1" s="136"/>
      <c r="F1" s="136"/>
      <c r="G1" s="136"/>
    </row>
    <row r="3" spans="1:7">
      <c r="A3" s="115" t="s">
        <v>70</v>
      </c>
      <c r="C3" s="115" t="s">
        <v>121</v>
      </c>
      <c r="E3" s="115" t="s">
        <v>94</v>
      </c>
      <c r="G3" s="115" t="s">
        <v>134</v>
      </c>
    </row>
    <row r="4" spans="1:7">
      <c r="A4" s="115" t="s">
        <v>11</v>
      </c>
      <c r="C4" s="115" t="s">
        <v>122</v>
      </c>
      <c r="E4" s="115" t="s">
        <v>95</v>
      </c>
      <c r="G4" s="115" t="s">
        <v>110</v>
      </c>
    </row>
    <row r="5" spans="1:7">
      <c r="A5" s="115" t="s">
        <v>71</v>
      </c>
      <c r="C5" s="115" t="s">
        <v>82</v>
      </c>
      <c r="E5" s="115" t="s">
        <v>127</v>
      </c>
      <c r="G5" s="115" t="s">
        <v>111</v>
      </c>
    </row>
    <row r="6" spans="1:7">
      <c r="A6" s="115" t="s">
        <v>115</v>
      </c>
      <c r="C6" s="115" t="s">
        <v>83</v>
      </c>
      <c r="E6" s="115" t="s">
        <v>128</v>
      </c>
      <c r="G6" s="115" t="s">
        <v>103</v>
      </c>
    </row>
    <row r="7" spans="1:7">
      <c r="A7" s="115" t="s">
        <v>116</v>
      </c>
      <c r="C7" s="115" t="s">
        <v>84</v>
      </c>
      <c r="E7" s="115" t="s">
        <v>129</v>
      </c>
      <c r="G7" s="115" t="s">
        <v>104</v>
      </c>
    </row>
    <row r="8" spans="1:7">
      <c r="A8" s="115" t="s">
        <v>117</v>
      </c>
      <c r="C8" s="115" t="s">
        <v>85</v>
      </c>
      <c r="E8" s="115" t="s">
        <v>130</v>
      </c>
      <c r="G8" s="115" t="s">
        <v>105</v>
      </c>
    </row>
    <row r="9" spans="1:7">
      <c r="A9" s="115" t="s">
        <v>118</v>
      </c>
      <c r="C9" s="115" t="s">
        <v>86</v>
      </c>
      <c r="E9" s="115" t="s">
        <v>96</v>
      </c>
      <c r="G9" s="115" t="s">
        <v>106</v>
      </c>
    </row>
    <row r="10" spans="1:7">
      <c r="A10" s="115" t="s">
        <v>76</v>
      </c>
      <c r="C10" s="115" t="s">
        <v>87</v>
      </c>
      <c r="E10" s="115" t="s">
        <v>97</v>
      </c>
      <c r="G10" s="115" t="s">
        <v>114</v>
      </c>
    </row>
    <row r="11" spans="1:7">
      <c r="A11" s="115" t="s">
        <v>75</v>
      </c>
      <c r="C11" s="115" t="s">
        <v>88</v>
      </c>
      <c r="E11" s="115" t="s">
        <v>98</v>
      </c>
      <c r="G11" s="115" t="s">
        <v>135</v>
      </c>
    </row>
    <row r="12" spans="1:7">
      <c r="A12" s="115" t="s">
        <v>77</v>
      </c>
      <c r="C12" s="115" t="s">
        <v>123</v>
      </c>
      <c r="E12" s="115" t="s">
        <v>100</v>
      </c>
      <c r="G12" s="115" t="s">
        <v>136</v>
      </c>
    </row>
    <row r="13" spans="1:7">
      <c r="A13" s="115" t="s">
        <v>78</v>
      </c>
      <c r="C13" s="115" t="s">
        <v>124</v>
      </c>
      <c r="E13" s="115" t="s">
        <v>99</v>
      </c>
      <c r="G13" s="115" t="s">
        <v>137</v>
      </c>
    </row>
    <row r="14" spans="1:7">
      <c r="A14" s="115" t="s">
        <v>79</v>
      </c>
      <c r="C14" s="115" t="s">
        <v>125</v>
      </c>
      <c r="E14" s="115" t="s">
        <v>101</v>
      </c>
      <c r="G14" s="115" t="s">
        <v>138</v>
      </c>
    </row>
    <row r="15" spans="1:7">
      <c r="A15" s="115" t="s">
        <v>81</v>
      </c>
      <c r="C15" s="115" t="s">
        <v>126</v>
      </c>
      <c r="E15" s="115" t="s">
        <v>102</v>
      </c>
      <c r="G15" s="115" t="s">
        <v>112</v>
      </c>
    </row>
    <row r="16" spans="1:7">
      <c r="A16" s="115" t="s">
        <v>80</v>
      </c>
      <c r="C16" s="115" t="s">
        <v>89</v>
      </c>
      <c r="E16" s="115" t="s">
        <v>131</v>
      </c>
      <c r="G16" s="115" t="s">
        <v>113</v>
      </c>
    </row>
    <row r="17" spans="1:7">
      <c r="A17" s="115" t="s">
        <v>119</v>
      </c>
      <c r="C17" s="115" t="s">
        <v>90</v>
      </c>
      <c r="E17" s="115" t="s">
        <v>132</v>
      </c>
      <c r="G17" s="115" t="s">
        <v>107</v>
      </c>
    </row>
    <row r="18" spans="1:7">
      <c r="A18" s="115" t="s">
        <v>120</v>
      </c>
      <c r="C18" s="115" t="s">
        <v>91</v>
      </c>
      <c r="E18" s="115" t="s">
        <v>133</v>
      </c>
      <c r="G18" s="115" t="s">
        <v>108</v>
      </c>
    </row>
    <row r="19" spans="1:7">
      <c r="C19" s="115" t="s">
        <v>92</v>
      </c>
      <c r="G19" s="115" t="s">
        <v>109</v>
      </c>
    </row>
    <row r="20" spans="1:7">
      <c r="C20" s="115" t="s">
        <v>93</v>
      </c>
      <c r="G20" s="115" t="s">
        <v>10</v>
      </c>
    </row>
  </sheetData>
  <mergeCells count="1">
    <mergeCell ref="A1:G1"/>
  </mergeCells>
  <hyperlinks>
    <hyperlink ref="A3" location="Input!A1" display="Input"/>
    <hyperlink ref="A4" location="'Capital Costs'!A1" display="Capital Costs"/>
    <hyperlink ref="A5" location="'Replacement Costs - Entry'!A1" display="Replacement Costs - Entry"/>
    <hyperlink ref="A6" location="'Replace Costs - Results 1-5'!A1" display="Replace Costs 1-5"/>
    <hyperlink ref="A7" location="'Replace Costs-Results 6-10'!A1" display="Replace Costs 6-10"/>
    <hyperlink ref="A8" location="'Replace Costs-Results 11-15'!A1" display="Replace Costs 11-15"/>
    <hyperlink ref="A9" location="'Replace Costs-Results 16-20'!A1" display="Replace Costs 16-20"/>
    <hyperlink ref="A10" location="'Yearly O&amp;M Costs 1-10'!A1" display="Yearly O&amp;M Costs 1-10"/>
    <hyperlink ref="A11" location="'Yearly O&amp;M Costs 11-20'!A1" display="Yearly O&amp;M Costs 11-20"/>
    <hyperlink ref="A12" location="'Inter O&amp;M Entry'!A1" display="Inter O&amp;M Entry"/>
    <hyperlink ref="A13" location="'Inter O&amp;M 1-10'!A1" display="Inter O&amp;M 1-10"/>
    <hyperlink ref="A14" location="'Inter O&amp;M 11-20'!A1" display="Inter O&amp;M 11-20"/>
    <hyperlink ref="A15" location="'2Capital Costs'!A1" display="2Capital Costs"/>
    <hyperlink ref="A16" location="'2Replacement Costs - Entry'!A1" display="2Replacement Costs - Entry"/>
    <hyperlink ref="A17" location="'2Replace Costs - Results 1-5'!A1" display="2Replace Costs 1-5"/>
    <hyperlink ref="A18" location="'2Replace Costs-Results 6-10'!A1" display="2Replace Costs 6-10"/>
    <hyperlink ref="C3" location="'2Replace Costs-Results 11-15'!A1" display="2Replace Costs 11-15"/>
    <hyperlink ref="C4" location="'2Replace Costs-Results 16-20'!A1" display="2Replace Costs 16-20"/>
    <hyperlink ref="C5" location="'2Yearly O&amp;M Costs 1-10'!A1" display="2Yearly O&amp;M Costs 1-10"/>
    <hyperlink ref="C6" location="'2Yearly O&amp;M Costs 11-20'!A1" display="2Yearly O&amp;M Costs 11-20"/>
    <hyperlink ref="C7" location="'2Inter O&amp;M Entry'!A1" display="2Inter O&amp;M Entry"/>
    <hyperlink ref="C8" location="'2Inter O&amp;M 1-10'!A1" display="2Inter O&amp;M 1-10"/>
    <hyperlink ref="C9" location="'2Inter O&amp;M 11-20'!A1" display="2Inter O&amp;M 11-20"/>
    <hyperlink ref="C10" location="'3Capital Costs'!A1" display="3Capital Costs"/>
    <hyperlink ref="C11" location="'3Replacement Costs - Entry'!A1" display="3Replacement Costs - Entry"/>
    <hyperlink ref="C12" location="'3Replace Costs - Results 1- 5'!A1" display="3Replace Costs 1-5"/>
    <hyperlink ref="C13" location="'3Replace Costs-Results 6-10'!A1" display="3Replace Costs 6-10"/>
    <hyperlink ref="C14" location="'3Replace Costs-Results 11-15'!A1" display="3Replace Costs 11-15"/>
    <hyperlink ref="C15" location="'3Replace Costs-Results 16-20'!A1" display="3Replace Costs 16-20"/>
    <hyperlink ref="C16" location="'3Yearly O&amp;M Costs 1-10'!A1" display="3Yearly O&amp;M Costs 1-10"/>
    <hyperlink ref="C17" location="'3Yearly O&amp;M Costs 11-20'!A1" display="3Yearly O&amp;M Costs 11-20"/>
    <hyperlink ref="C18" location="'3Inter O&amp;M Entry'!A1" display="3Inter O&amp;M Entry"/>
    <hyperlink ref="C19" location="'3Inter O&amp;M 1-10'!A1" display="3Inter O&amp;M 1-10"/>
    <hyperlink ref="C20" location="'3Inter O&amp;M 11-20'!A1" display="3Inter O&amp;M 11-20"/>
    <hyperlink ref="E3" location="'4Capital Costs'!A1" display="4Capital Costs"/>
    <hyperlink ref="E4" location="'4Replacement Costs - Entry'!A1" display="4Replacement Costs - Entry"/>
    <hyperlink ref="E5" location="'4Replace Costs - Results 1- 5'!A1" display="4Replace Costs 1-5"/>
    <hyperlink ref="E6" location="'4Replace Costs-Results 6-10'!A1" display="4Replace Costs 6-10"/>
    <hyperlink ref="E7" location="'4Replace Costs-Results 11-15'!A1" display="4Replace Costs 11-15"/>
    <hyperlink ref="E8" location="'4Replace Costs-Results 16-20'!A1" display="4Replace Costs 16-20"/>
    <hyperlink ref="E9" location="'4Yearly O&amp;M Costs 1-10'!A1" display="4Yearly O&amp;M Costs 1-10"/>
    <hyperlink ref="E10" location="'4Yearly O&amp;M Costs 11-20'!A1" display="4Yearly O&amp;M Costs 11-20"/>
    <hyperlink ref="E11" location="'4Inter O&amp;M Entry'!A1" display="4Inter O&amp;M Entry"/>
    <hyperlink ref="E12" location="'4Inter O&amp;M 1-10'!A1" display="4Inter O&amp;M 1-10"/>
    <hyperlink ref="E13" location="'4Inter O&amp;M 11-20'!A1" display="4Inter O&amp;M 11-20"/>
    <hyperlink ref="E14" location="'5Capital Costs'!A1" display="5Capital Costs"/>
    <hyperlink ref="E15" location="'5Replacement Costs - Entry'!A1" display="5Replacement Costs - Entry"/>
    <hyperlink ref="E16" location="'5Replace Costs - Results 1- 5'!A1" display="5Replace Costs 1-5"/>
    <hyperlink ref="E17" location="'5Replace Costs-Results 6-10'!A1" display="5Replace Costs 6-10"/>
    <hyperlink ref="E18" location="'5Replace Costs-Results 11-15'!A1" display="5Replace Costs 11-15"/>
    <hyperlink ref="G3" location="'5Replace Costs-Results 16-20'!A1" display="5Replace Costs 16-20"/>
    <hyperlink ref="G6" location="'5Inter O&amp;M Entry'!A1" display="5Inter O&amp;M Entry"/>
    <hyperlink ref="G7" location="'5Inter O&amp;M 1-10'!A1" display="5Inter O&amp;M 1-10"/>
    <hyperlink ref="G8" location="'5Inter O&amp;M 11-20'!A1" display="5Inter O&amp;M 11-20"/>
    <hyperlink ref="G9" location="'6Capital Costs'!A1" display="6Capital Costs"/>
    <hyperlink ref="G10" location="'6Replacement Costs - Entry'!A1" display="6Repaclement Costs - Entry"/>
    <hyperlink ref="G11" location="'6Replace Costs - Results 1- 5'!A1" display="6Replace Costs 1-5"/>
    <hyperlink ref="G12" location="'6Replace Costs-Results 6-10'!A1" display="6Replace Costs 6-10"/>
    <hyperlink ref="G13" location="'6Replace Costs-Results 11-15'!A1" display="6Replace Costs 11-15"/>
    <hyperlink ref="G14" location="'6Replace Costs-Results 16-20'!A1" display="6Replace Costs 16-20"/>
    <hyperlink ref="G4" location="'5Yearly O&amp;M Costs 1-10'!A1" display="5Yearly O&amp;M 1-10"/>
    <hyperlink ref="G5" location="'5Yearly O&amp;M Costs 11-20'!A1" display="5Yearly O&amp;M 11-20"/>
    <hyperlink ref="G15" location="'6Yearly O&amp;M Costs 1-10'!A1" display="6Yearly O&amp;M 1-10"/>
    <hyperlink ref="G16" location="'6Yearly O&amp;M Costs 11-20'!A1" display="6Yearly O&amp;M 11-20"/>
    <hyperlink ref="G17" location="'6Inter O&amp;M Entry'!A1" display="6Inter O&amp;M Entry"/>
    <hyperlink ref="G18" location="'6Inter O&amp;M 1-10'!A1" display="6Inter O&amp;M 1-10"/>
    <hyperlink ref="G19" location="'6Inter O&amp;M 11-20'!A1" display="6Inter O&amp;M 11-20"/>
    <hyperlink ref="G20" location="'Total Present Worth'!A1" display="Total Present Worth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11"/>
  <sheetViews>
    <sheetView workbookViewId="0">
      <selection activeCell="B4" sqref="B4:B11"/>
    </sheetView>
  </sheetViews>
  <sheetFormatPr defaultRowHeight="15"/>
  <cols>
    <col min="1" max="1" width="27.28515625" customWidth="1"/>
    <col min="2" max="2" width="100.5703125" customWidth="1"/>
  </cols>
  <sheetData>
    <row r="2" spans="1:2">
      <c r="A2" t="s">
        <v>25</v>
      </c>
    </row>
    <row r="4" spans="1:2">
      <c r="A4" s="8" t="s">
        <v>14</v>
      </c>
      <c r="B4" s="80"/>
    </row>
    <row r="5" spans="1:2">
      <c r="A5" s="8" t="s">
        <v>15</v>
      </c>
      <c r="B5" s="80"/>
    </row>
    <row r="6" spans="1:2">
      <c r="A6" s="8" t="s">
        <v>16</v>
      </c>
      <c r="B6" s="80"/>
    </row>
    <row r="7" spans="1:2">
      <c r="A7" s="8" t="s">
        <v>17</v>
      </c>
      <c r="B7" s="80"/>
    </row>
    <row r="8" spans="1:2">
      <c r="A8" s="8" t="s">
        <v>18</v>
      </c>
      <c r="B8" s="80"/>
    </row>
    <row r="9" spans="1:2">
      <c r="A9" s="8" t="s">
        <v>19</v>
      </c>
      <c r="B9" s="80"/>
    </row>
    <row r="10" spans="1:2">
      <c r="A10" s="8" t="s">
        <v>20</v>
      </c>
      <c r="B10" s="80"/>
    </row>
    <row r="11" spans="1:2">
      <c r="A11" s="8" t="s">
        <v>24</v>
      </c>
      <c r="B11" s="80"/>
    </row>
  </sheetData>
  <sheetProtection sheet="1"/>
  <pageMargins left="0.7" right="0.7" top="0.75" bottom="0.75" header="0.3" footer="0.3"/>
  <pageSetup scale="90" orientation="landscape" r:id="rId1"/>
  <headerFooter>
    <oddHeader>&amp;C  Figure E.1 Example of Present Worth Analysis Input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2:E42"/>
  <sheetViews>
    <sheetView topLeftCell="A3" workbookViewId="0">
      <selection activeCell="A9" sqref="A9:D23"/>
    </sheetView>
  </sheetViews>
  <sheetFormatPr defaultRowHeight="15.75"/>
  <cols>
    <col min="1" max="1" width="54.7109375" style="1" customWidth="1"/>
    <col min="2" max="3" width="18.28515625" style="1" customWidth="1"/>
    <col min="4" max="4" width="14.7109375" style="1" customWidth="1"/>
    <col min="5" max="5" width="28.140625" style="1" customWidth="1"/>
    <col min="6" max="16384" width="9.140625" style="1"/>
  </cols>
  <sheetData>
    <row r="2" spans="1:5">
      <c r="A2" s="137" t="s">
        <v>139</v>
      </c>
      <c r="B2" s="138"/>
      <c r="C2" s="138"/>
      <c r="D2" s="138"/>
      <c r="E2" s="139"/>
    </row>
    <row r="3" spans="1:5">
      <c r="A3" s="140">
        <f>Input!B4</f>
        <v>0</v>
      </c>
      <c r="B3" s="141"/>
      <c r="C3" s="141"/>
      <c r="D3" s="141"/>
      <c r="E3" s="142"/>
    </row>
    <row r="4" spans="1:5">
      <c r="A4" s="140">
        <f>Input!B5</f>
        <v>0</v>
      </c>
      <c r="B4" s="141"/>
      <c r="C4" s="141"/>
      <c r="D4" s="141"/>
      <c r="E4" s="142"/>
    </row>
    <row r="5" spans="1:5">
      <c r="A5" s="144" t="s">
        <v>21</v>
      </c>
      <c r="B5" s="145"/>
      <c r="C5" s="145"/>
      <c r="D5" s="145"/>
      <c r="E5" s="146"/>
    </row>
    <row r="6" spans="1:5">
      <c r="A6" s="13" t="s">
        <v>26</v>
      </c>
      <c r="B6" s="143"/>
      <c r="C6" s="143"/>
      <c r="D6" s="143"/>
      <c r="E6" s="143"/>
    </row>
    <row r="7" spans="1:5">
      <c r="A7" s="11" t="s">
        <v>65</v>
      </c>
      <c r="B7" s="81"/>
      <c r="C7" s="9"/>
      <c r="D7" s="9"/>
      <c r="E7" s="10"/>
    </row>
    <row r="8" spans="1:5" ht="18.75">
      <c r="A8" s="12" t="s">
        <v>4</v>
      </c>
      <c r="B8" s="12" t="s">
        <v>34</v>
      </c>
      <c r="C8" s="12" t="s">
        <v>5</v>
      </c>
      <c r="D8" s="12" t="s">
        <v>1</v>
      </c>
      <c r="E8" s="12" t="s">
        <v>2</v>
      </c>
    </row>
    <row r="9" spans="1:5">
      <c r="A9" s="82"/>
      <c r="B9" s="81"/>
      <c r="C9" s="83"/>
      <c r="D9" s="84"/>
      <c r="E9" s="3">
        <f>B9*D9</f>
        <v>0</v>
      </c>
    </row>
    <row r="10" spans="1:5">
      <c r="A10" s="82"/>
      <c r="B10" s="81"/>
      <c r="C10" s="83"/>
      <c r="D10" s="84"/>
      <c r="E10" s="3">
        <f t="shared" ref="E10:E37" si="0">B10*D10</f>
        <v>0</v>
      </c>
    </row>
    <row r="11" spans="1:5">
      <c r="A11" s="82"/>
      <c r="B11" s="81"/>
      <c r="C11" s="83"/>
      <c r="D11" s="84"/>
      <c r="E11" s="3">
        <f t="shared" si="0"/>
        <v>0</v>
      </c>
    </row>
    <row r="12" spans="1:5">
      <c r="A12" s="82"/>
      <c r="B12" s="81"/>
      <c r="C12" s="83"/>
      <c r="D12" s="84"/>
      <c r="E12" s="3">
        <f t="shared" si="0"/>
        <v>0</v>
      </c>
    </row>
    <row r="13" spans="1:5">
      <c r="A13" s="85"/>
      <c r="B13" s="81"/>
      <c r="C13" s="83"/>
      <c r="D13" s="84"/>
      <c r="E13" s="3">
        <f t="shared" si="0"/>
        <v>0</v>
      </c>
    </row>
    <row r="14" spans="1:5">
      <c r="A14" s="82"/>
      <c r="B14" s="81"/>
      <c r="C14" s="83"/>
      <c r="D14" s="84"/>
      <c r="E14" s="3">
        <f t="shared" si="0"/>
        <v>0</v>
      </c>
    </row>
    <row r="15" spans="1:5">
      <c r="A15" s="82"/>
      <c r="B15" s="81"/>
      <c r="C15" s="83"/>
      <c r="D15" s="84"/>
      <c r="E15" s="3">
        <f t="shared" si="0"/>
        <v>0</v>
      </c>
    </row>
    <row r="16" spans="1:5">
      <c r="A16" s="82"/>
      <c r="B16" s="81"/>
      <c r="C16" s="83"/>
      <c r="D16" s="84"/>
      <c r="E16" s="3">
        <f t="shared" si="0"/>
        <v>0</v>
      </c>
    </row>
    <row r="17" spans="1:5">
      <c r="A17" s="82"/>
      <c r="B17" s="81"/>
      <c r="C17" s="83"/>
      <c r="D17" s="84"/>
      <c r="E17" s="3">
        <f t="shared" si="0"/>
        <v>0</v>
      </c>
    </row>
    <row r="18" spans="1:5">
      <c r="A18" s="82"/>
      <c r="B18" s="81"/>
      <c r="C18" s="83"/>
      <c r="D18" s="84"/>
      <c r="E18" s="3">
        <f t="shared" si="0"/>
        <v>0</v>
      </c>
    </row>
    <row r="19" spans="1:5">
      <c r="A19" s="82"/>
      <c r="B19" s="81"/>
      <c r="C19" s="83"/>
      <c r="D19" s="84"/>
      <c r="E19" s="3">
        <f t="shared" si="0"/>
        <v>0</v>
      </c>
    </row>
    <row r="20" spans="1:5">
      <c r="A20" s="82"/>
      <c r="B20" s="81"/>
      <c r="C20" s="83"/>
      <c r="D20" s="84"/>
      <c r="E20" s="3">
        <f t="shared" si="0"/>
        <v>0</v>
      </c>
    </row>
    <row r="21" spans="1:5">
      <c r="A21" s="82"/>
      <c r="B21" s="81"/>
      <c r="C21" s="83"/>
      <c r="D21" s="84"/>
      <c r="E21" s="3">
        <f t="shared" si="0"/>
        <v>0</v>
      </c>
    </row>
    <row r="22" spans="1:5">
      <c r="A22" s="82"/>
      <c r="B22" s="81"/>
      <c r="C22" s="83"/>
      <c r="D22" s="84"/>
      <c r="E22" s="3">
        <f t="shared" si="0"/>
        <v>0</v>
      </c>
    </row>
    <row r="23" spans="1:5">
      <c r="A23" s="82"/>
      <c r="B23" s="81"/>
      <c r="C23" s="83"/>
      <c r="D23" s="84"/>
      <c r="E23" s="3">
        <f t="shared" si="0"/>
        <v>0</v>
      </c>
    </row>
    <row r="24" spans="1:5">
      <c r="A24" s="82"/>
      <c r="B24" s="81"/>
      <c r="C24" s="83"/>
      <c r="D24" s="84"/>
      <c r="E24" s="3">
        <f t="shared" si="0"/>
        <v>0</v>
      </c>
    </row>
    <row r="25" spans="1:5">
      <c r="A25" s="82"/>
      <c r="B25" s="81"/>
      <c r="C25" s="83"/>
      <c r="D25" s="84"/>
      <c r="E25" s="3">
        <f t="shared" si="0"/>
        <v>0</v>
      </c>
    </row>
    <row r="26" spans="1:5">
      <c r="A26" s="82"/>
      <c r="B26" s="81"/>
      <c r="C26" s="83"/>
      <c r="D26" s="84"/>
      <c r="E26" s="3">
        <f t="shared" si="0"/>
        <v>0</v>
      </c>
    </row>
    <row r="27" spans="1:5">
      <c r="A27" s="82"/>
      <c r="B27" s="81"/>
      <c r="C27" s="83"/>
      <c r="D27" s="84"/>
      <c r="E27" s="3">
        <f t="shared" si="0"/>
        <v>0</v>
      </c>
    </row>
    <row r="28" spans="1:5">
      <c r="A28" s="82"/>
      <c r="B28" s="81"/>
      <c r="C28" s="83"/>
      <c r="D28" s="84"/>
      <c r="E28" s="3">
        <f t="shared" si="0"/>
        <v>0</v>
      </c>
    </row>
    <row r="29" spans="1:5">
      <c r="A29" s="82"/>
      <c r="B29" s="81"/>
      <c r="C29" s="83"/>
      <c r="D29" s="84"/>
      <c r="E29" s="3">
        <f t="shared" si="0"/>
        <v>0</v>
      </c>
    </row>
    <row r="30" spans="1:5">
      <c r="A30" s="82"/>
      <c r="B30" s="81"/>
      <c r="C30" s="83"/>
      <c r="D30" s="84"/>
      <c r="E30" s="3">
        <f t="shared" si="0"/>
        <v>0</v>
      </c>
    </row>
    <row r="31" spans="1:5">
      <c r="A31" s="82"/>
      <c r="B31" s="81"/>
      <c r="C31" s="83"/>
      <c r="D31" s="84"/>
      <c r="E31" s="3">
        <f t="shared" si="0"/>
        <v>0</v>
      </c>
    </row>
    <row r="32" spans="1:5">
      <c r="A32" s="82"/>
      <c r="B32" s="81"/>
      <c r="C32" s="83"/>
      <c r="D32" s="84"/>
      <c r="E32" s="3">
        <f t="shared" si="0"/>
        <v>0</v>
      </c>
    </row>
    <row r="33" spans="1:5">
      <c r="A33" s="82"/>
      <c r="B33" s="81"/>
      <c r="C33" s="83"/>
      <c r="D33" s="84"/>
      <c r="E33" s="3">
        <f t="shared" si="0"/>
        <v>0</v>
      </c>
    </row>
    <row r="34" spans="1:5">
      <c r="A34" s="82"/>
      <c r="B34" s="81"/>
      <c r="C34" s="83"/>
      <c r="D34" s="84"/>
      <c r="E34" s="3">
        <f t="shared" si="0"/>
        <v>0</v>
      </c>
    </row>
    <row r="35" spans="1:5">
      <c r="A35" s="82"/>
      <c r="B35" s="81"/>
      <c r="C35" s="83"/>
      <c r="D35" s="84"/>
      <c r="E35" s="3">
        <f t="shared" si="0"/>
        <v>0</v>
      </c>
    </row>
    <row r="36" spans="1:5">
      <c r="A36" s="82"/>
      <c r="B36" s="81"/>
      <c r="C36" s="83"/>
      <c r="D36" s="84"/>
      <c r="E36" s="3">
        <f t="shared" si="0"/>
        <v>0</v>
      </c>
    </row>
    <row r="37" spans="1:5" ht="16.5" thickBot="1">
      <c r="A37" s="82"/>
      <c r="B37" s="81"/>
      <c r="C37" s="86"/>
      <c r="D37" s="84"/>
      <c r="E37" s="3">
        <f t="shared" si="0"/>
        <v>0</v>
      </c>
    </row>
    <row r="38" spans="1:5" ht="17.25" thickBot="1">
      <c r="A38" s="52" t="s">
        <v>35</v>
      </c>
      <c r="D38" s="2" t="s">
        <v>8</v>
      </c>
      <c r="E38" s="4">
        <f>SUM(E9:E37)</f>
        <v>0</v>
      </c>
    </row>
    <row r="39" spans="1:5" ht="16.5" thickBot="1">
      <c r="D39" s="2" t="s">
        <v>29</v>
      </c>
      <c r="E39" s="5">
        <f>E38*$B$42</f>
        <v>0</v>
      </c>
    </row>
    <row r="40" spans="1:5" ht="16.5" thickBot="1">
      <c r="D40" s="2" t="s">
        <v>30</v>
      </c>
      <c r="E40" s="5">
        <f>$B$7</f>
        <v>0</v>
      </c>
    </row>
    <row r="41" spans="1:5" ht="16.5" thickBot="1">
      <c r="D41" s="2" t="s">
        <v>31</v>
      </c>
      <c r="E41" s="5">
        <f>SUM(E38:E40)</f>
        <v>0</v>
      </c>
    </row>
    <row r="42" spans="1:5" hidden="1">
      <c r="A42" s="1" t="s">
        <v>27</v>
      </c>
      <c r="B42" s="42">
        <v>0.1</v>
      </c>
    </row>
  </sheetData>
  <sheetProtection sheet="1" objects="1" scenarios="1"/>
  <mergeCells count="5">
    <mergeCell ref="A2:E2"/>
    <mergeCell ref="A3:E3"/>
    <mergeCell ref="A4:E4"/>
    <mergeCell ref="B6:E6"/>
    <mergeCell ref="A5:E5"/>
  </mergeCells>
  <dataValidations count="1">
    <dataValidation type="list" allowBlank="1" showInputMessage="1" showErrorMessage="1" sqref="B6:E6">
      <formula1>Input!B6:B11</formula1>
    </dataValidation>
  </dataValidations>
  <printOptions horizontalCentered="1"/>
  <pageMargins left="0.5" right="0.5" top="0.5" bottom="0.5" header="0.3" footer="0.3"/>
  <pageSetup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37"/>
  <sheetViews>
    <sheetView zoomScale="60" zoomScaleNormal="60" workbookViewId="0">
      <pane xSplit="4" ySplit="8" topLeftCell="I9" activePane="bottomRight" state="frozen"/>
      <selection pane="topRight" activeCell="E1" sqref="E1"/>
      <selection pane="bottomLeft" activeCell="A8" sqref="A8"/>
      <selection pane="bottomRight" activeCell="J9" sqref="J9:AC22"/>
    </sheetView>
  </sheetViews>
  <sheetFormatPr defaultRowHeight="15.75"/>
  <cols>
    <col min="1" max="1" width="38.42578125" style="1" customWidth="1"/>
    <col min="2" max="4" width="12.7109375" style="1" customWidth="1"/>
    <col min="5" max="5" width="13.28515625" style="1" hidden="1" customWidth="1"/>
    <col min="6" max="6" width="13.5703125" style="1" hidden="1" customWidth="1"/>
    <col min="7" max="7" width="13.85546875" style="1" hidden="1" customWidth="1"/>
    <col min="8" max="8" width="13.7109375" style="1" hidden="1" customWidth="1"/>
    <col min="9" max="9" width="13.7109375" style="1" customWidth="1"/>
    <col min="10" max="29" width="8.7109375" style="1" customWidth="1"/>
    <col min="30" max="16384" width="9.140625" style="1"/>
  </cols>
  <sheetData>
    <row r="1" spans="1:29">
      <c r="A1" s="150" t="s">
        <v>22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</row>
    <row r="3" spans="1:29">
      <c r="A3" s="2" t="s">
        <v>3</v>
      </c>
      <c r="B3" s="149">
        <f>'Capital Costs'!B6</f>
        <v>0</v>
      </c>
      <c r="C3" s="149"/>
      <c r="D3" s="149"/>
      <c r="E3" s="149"/>
      <c r="F3" s="149"/>
      <c r="G3" s="149"/>
      <c r="H3" s="149"/>
      <c r="I3" s="149"/>
      <c r="J3" s="149"/>
      <c r="K3" s="149"/>
    </row>
    <row r="5" spans="1:29">
      <c r="A5" s="7" t="s">
        <v>42</v>
      </c>
      <c r="B5" s="7"/>
      <c r="C5" s="7"/>
      <c r="D5" s="7"/>
      <c r="E5" s="7"/>
      <c r="F5" s="7"/>
      <c r="G5" s="7"/>
      <c r="H5" s="7"/>
      <c r="I5" s="7"/>
    </row>
    <row r="7" spans="1:29">
      <c r="A7" s="14"/>
      <c r="B7" s="15"/>
      <c r="C7" s="15"/>
      <c r="D7" s="15"/>
      <c r="E7" s="32"/>
      <c r="F7" s="32"/>
      <c r="G7" s="32"/>
      <c r="H7" s="32"/>
      <c r="I7" s="32"/>
      <c r="J7" s="147" t="s">
        <v>6</v>
      </c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8"/>
    </row>
    <row r="8" spans="1:29" ht="47.25" customHeight="1">
      <c r="A8" s="16" t="s">
        <v>4</v>
      </c>
      <c r="B8" s="17" t="s">
        <v>0</v>
      </c>
      <c r="C8" s="17" t="s">
        <v>5</v>
      </c>
      <c r="D8" s="17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54" t="s">
        <v>37</v>
      </c>
      <c r="J8" s="17">
        <v>1</v>
      </c>
      <c r="K8" s="17">
        <v>2</v>
      </c>
      <c r="L8" s="17">
        <v>3</v>
      </c>
      <c r="M8" s="17">
        <v>4</v>
      </c>
      <c r="N8" s="17">
        <v>5</v>
      </c>
      <c r="O8" s="17">
        <v>6</v>
      </c>
      <c r="P8" s="17">
        <v>7</v>
      </c>
      <c r="Q8" s="17">
        <v>8</v>
      </c>
      <c r="R8" s="17">
        <v>9</v>
      </c>
      <c r="S8" s="17">
        <v>10</v>
      </c>
      <c r="T8" s="17">
        <v>11</v>
      </c>
      <c r="U8" s="17">
        <v>12</v>
      </c>
      <c r="V8" s="17">
        <v>13</v>
      </c>
      <c r="W8" s="17">
        <v>14</v>
      </c>
      <c r="X8" s="17">
        <v>15</v>
      </c>
      <c r="Y8" s="17">
        <v>16</v>
      </c>
      <c r="Z8" s="17">
        <v>17</v>
      </c>
      <c r="AA8" s="17">
        <v>18</v>
      </c>
      <c r="AB8" s="17">
        <v>19</v>
      </c>
      <c r="AC8" s="18">
        <v>20</v>
      </c>
    </row>
    <row r="9" spans="1:29">
      <c r="A9" s="29" t="str">
        <f>IF('Capital Costs'!A9&lt;&gt;"", 'Capital Costs'!A9, "")</f>
        <v/>
      </c>
      <c r="B9" s="44" t="str">
        <f>IF('Capital Costs'!B9&lt;&gt;"", 'Capital Costs'!B9, "")</f>
        <v/>
      </c>
      <c r="C9" s="29" t="str">
        <f>IF('Capital Costs'!C9&lt;&gt;"", 'Capital Costs'!C9, "")</f>
        <v/>
      </c>
      <c r="D9" s="45" t="str">
        <f>IF('Capital Costs'!D9&lt;&gt;"", 'Capital Costs'!D9, "")</f>
        <v/>
      </c>
      <c r="E9" s="53" t="str">
        <f>IF(N9="Y", "Y", (IF(M9="Y", "Y", (IF(L9="Y", "Y", (IF(K9="Y", "Y", (IF(J9="Y", "Y", " ")))))))))</f>
        <v xml:space="preserve"> </v>
      </c>
      <c r="F9" s="53" t="str">
        <f>IF(S9="Y", "Y", (IF(R9="Y", "Y", (IF(Q9="Y", "Y", (IF(P9="Y", "Y", (IF(O9="Y", "Y", " ")))))))))</f>
        <v xml:space="preserve"> </v>
      </c>
      <c r="G9" s="53" t="str">
        <f>IF(X9="Y", "Y", (IF(W9="Y", "Y", (IF(V9="Y", "Y", (IF(U9="Y", "Y", (IF(T9="Y", "Y", " ")))))))))</f>
        <v xml:space="preserve"> </v>
      </c>
      <c r="H9" s="53" t="str">
        <f>IF(AC9="Y", "Y", (IF(AB9="Y", "Y", (IF(AA9="Y", "Y", (IF(Z9="Y", "Y", (IF(Y9="Y", "Y", " ")))))))))</f>
        <v xml:space="preserve"> </v>
      </c>
      <c r="I9" s="53" t="str">
        <f>IF(H9="Y", "Y", (IF(G9="Y", "Y", (IF(F9="Y", "Y", (IF(E9="Y", "Y", " ")))))))</f>
        <v xml:space="preserve"> </v>
      </c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8"/>
    </row>
    <row r="10" spans="1:29">
      <c r="A10" s="29" t="str">
        <f>IF('Capital Costs'!A10&lt;&gt;"", 'Capital Costs'!A10, "")</f>
        <v/>
      </c>
      <c r="B10" s="44" t="str">
        <f>IF('Capital Costs'!B10&lt;&gt;"", 'Capital Costs'!B10, "")</f>
        <v/>
      </c>
      <c r="C10" s="29" t="str">
        <f>IF('Capital Costs'!C10&lt;&gt;"", 'Capital Costs'!C10, "")</f>
        <v/>
      </c>
      <c r="D10" s="45" t="str">
        <f>IF('Capital Costs'!D10&lt;&gt;"", 'Capital Costs'!D10, "")</f>
        <v/>
      </c>
      <c r="E10" s="53" t="str">
        <f t="shared" ref="E10:E37" si="0">IF(N10="Y", "Y", (IF(M10="Y", "Y", (IF(L10="Y", "Y", (IF(K10="Y", "Y", (IF(J10="Y", "Y", " ")))))))))</f>
        <v xml:space="preserve"> </v>
      </c>
      <c r="F10" s="53" t="str">
        <f t="shared" ref="F10:F37" si="1">IF(S10="Y", "Y", (IF(R10="Y", "Y", (IF(Q10="Y", "Y", (IF(P10="Y", "Y", (IF(O10="Y", "Y", " ")))))))))</f>
        <v xml:space="preserve"> </v>
      </c>
      <c r="G10" s="53" t="str">
        <f t="shared" ref="G10:G37" si="2">IF(X10="Y", "Y", (IF(W10="Y", "Y", (IF(V10="Y", "Y", (IF(U10="Y", "Y", (IF(T10="Y", "Y", " ")))))))))</f>
        <v xml:space="preserve"> </v>
      </c>
      <c r="H10" s="53" t="str">
        <f t="shared" ref="H10:H37" si="3">IF(AC10="Y", "Y", (IF(AB10="Y", "Y", (IF(AA10="Y", "Y", (IF(Z10="Y", "Y", (IF(Y10="Y", "Y", " ")))))))))</f>
        <v xml:space="preserve"> </v>
      </c>
      <c r="I10" s="53" t="str">
        <f t="shared" ref="I10:I37" si="4">IF(H10="Y", "Y", (IF(G10="Y", "Y", (IF(F10="Y", "Y", (IF(E10="Y", "Y", " ")))))))</f>
        <v xml:space="preserve"> </v>
      </c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8"/>
    </row>
    <row r="11" spans="1:29">
      <c r="A11" s="29" t="str">
        <f>IF('Capital Costs'!A11&lt;&gt;"", 'Capital Costs'!A11, "")</f>
        <v/>
      </c>
      <c r="B11" s="44" t="str">
        <f>IF('Capital Costs'!B11&lt;&gt;"", 'Capital Costs'!B11, "")</f>
        <v/>
      </c>
      <c r="C11" s="29" t="str">
        <f>IF('Capital Costs'!C11&lt;&gt;"", 'Capital Costs'!C11, "")</f>
        <v/>
      </c>
      <c r="D11" s="45" t="str">
        <f>IF('Capital Costs'!D11&lt;&gt;"", 'Capital Costs'!D11, "")</f>
        <v/>
      </c>
      <c r="E11" s="53" t="str">
        <f t="shared" si="0"/>
        <v xml:space="preserve"> </v>
      </c>
      <c r="F11" s="53" t="str">
        <f t="shared" si="1"/>
        <v xml:space="preserve"> </v>
      </c>
      <c r="G11" s="53" t="str">
        <f t="shared" si="2"/>
        <v xml:space="preserve"> </v>
      </c>
      <c r="H11" s="53" t="str">
        <f t="shared" si="3"/>
        <v xml:space="preserve"> </v>
      </c>
      <c r="I11" s="53" t="str">
        <f t="shared" si="4"/>
        <v xml:space="preserve"> 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8"/>
    </row>
    <row r="12" spans="1:29">
      <c r="A12" s="29" t="str">
        <f>IF('Capital Costs'!A12&lt;&gt;"", 'Capital Costs'!A12, "")</f>
        <v/>
      </c>
      <c r="B12" s="44" t="str">
        <f>IF('Capital Costs'!B12&lt;&gt;"", 'Capital Costs'!B12, "")</f>
        <v/>
      </c>
      <c r="C12" s="29" t="str">
        <f>IF('Capital Costs'!C12&lt;&gt;"", 'Capital Costs'!C12, "")</f>
        <v/>
      </c>
      <c r="D12" s="45" t="str">
        <f>IF('Capital Costs'!D12&lt;&gt;"", 'Capital Costs'!D12, "")</f>
        <v/>
      </c>
      <c r="E12" s="53" t="str">
        <f t="shared" si="0"/>
        <v xml:space="preserve"> </v>
      </c>
      <c r="F12" s="53" t="str">
        <f t="shared" si="1"/>
        <v xml:space="preserve"> </v>
      </c>
      <c r="G12" s="53" t="str">
        <f t="shared" si="2"/>
        <v xml:space="preserve"> </v>
      </c>
      <c r="H12" s="53" t="str">
        <f t="shared" si="3"/>
        <v xml:space="preserve"> </v>
      </c>
      <c r="I12" s="53" t="str">
        <f t="shared" si="4"/>
        <v xml:space="preserve"> </v>
      </c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8"/>
    </row>
    <row r="13" spans="1:29">
      <c r="A13" s="29" t="str">
        <f>IF('Capital Costs'!A13&lt;&gt;"", 'Capital Costs'!A13, "")</f>
        <v/>
      </c>
      <c r="B13" s="44" t="str">
        <f>IF('Capital Costs'!B13&lt;&gt;"", 'Capital Costs'!B13, "")</f>
        <v/>
      </c>
      <c r="C13" s="29" t="str">
        <f>IF('Capital Costs'!C13&lt;&gt;"", 'Capital Costs'!C13, "")</f>
        <v/>
      </c>
      <c r="D13" s="45" t="str">
        <f>IF('Capital Costs'!D13&lt;&gt;"", 'Capital Costs'!D13, "")</f>
        <v/>
      </c>
      <c r="E13" s="53" t="str">
        <f t="shared" si="0"/>
        <v xml:space="preserve"> </v>
      </c>
      <c r="F13" s="53" t="str">
        <f t="shared" si="1"/>
        <v xml:space="preserve"> </v>
      </c>
      <c r="G13" s="53" t="str">
        <f t="shared" si="2"/>
        <v xml:space="preserve"> </v>
      </c>
      <c r="H13" s="53" t="str">
        <f t="shared" si="3"/>
        <v xml:space="preserve"> </v>
      </c>
      <c r="I13" s="53" t="str">
        <f t="shared" si="4"/>
        <v xml:space="preserve"> </v>
      </c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8"/>
    </row>
    <row r="14" spans="1:29">
      <c r="A14" s="29" t="str">
        <f>IF('Capital Costs'!A14&lt;&gt;"", 'Capital Costs'!A14, "")</f>
        <v/>
      </c>
      <c r="B14" s="44" t="str">
        <f>IF('Capital Costs'!B14&lt;&gt;"", 'Capital Costs'!B14, "")</f>
        <v/>
      </c>
      <c r="C14" s="29" t="str">
        <f>IF('Capital Costs'!C14&lt;&gt;"", 'Capital Costs'!C14, "")</f>
        <v/>
      </c>
      <c r="D14" s="45" t="str">
        <f>IF('Capital Costs'!D14&lt;&gt;"", 'Capital Costs'!D14, "")</f>
        <v/>
      </c>
      <c r="E14" s="53" t="str">
        <f t="shared" si="0"/>
        <v xml:space="preserve"> </v>
      </c>
      <c r="F14" s="53" t="str">
        <f t="shared" si="1"/>
        <v xml:space="preserve"> </v>
      </c>
      <c r="G14" s="53" t="str">
        <f t="shared" si="2"/>
        <v xml:space="preserve"> </v>
      </c>
      <c r="H14" s="53" t="str">
        <f t="shared" si="3"/>
        <v xml:space="preserve"> </v>
      </c>
      <c r="I14" s="53" t="str">
        <f t="shared" si="4"/>
        <v xml:space="preserve"> </v>
      </c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8"/>
    </row>
    <row r="15" spans="1:29">
      <c r="A15" s="29" t="str">
        <f>IF('Capital Costs'!A15&lt;&gt;"", 'Capital Costs'!A15, "")</f>
        <v/>
      </c>
      <c r="B15" s="44" t="str">
        <f>IF('Capital Costs'!B15&lt;&gt;"", 'Capital Costs'!B15, "")</f>
        <v/>
      </c>
      <c r="C15" s="29" t="str">
        <f>IF('Capital Costs'!C15&lt;&gt;"", 'Capital Costs'!C15, "")</f>
        <v/>
      </c>
      <c r="D15" s="45" t="str">
        <f>IF('Capital Costs'!D15&lt;&gt;"", 'Capital Costs'!D15, "")</f>
        <v/>
      </c>
      <c r="E15" s="53" t="str">
        <f t="shared" si="0"/>
        <v xml:space="preserve"> </v>
      </c>
      <c r="F15" s="53" t="str">
        <f t="shared" si="1"/>
        <v xml:space="preserve"> </v>
      </c>
      <c r="G15" s="53" t="str">
        <f t="shared" si="2"/>
        <v xml:space="preserve"> </v>
      </c>
      <c r="H15" s="53" t="str">
        <f t="shared" si="3"/>
        <v xml:space="preserve"> </v>
      </c>
      <c r="I15" s="53" t="str">
        <f t="shared" si="4"/>
        <v xml:space="preserve"> 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8"/>
    </row>
    <row r="16" spans="1:29">
      <c r="A16" s="29" t="str">
        <f>IF('Capital Costs'!A16&lt;&gt;"", 'Capital Costs'!A16, "")</f>
        <v/>
      </c>
      <c r="B16" s="44" t="str">
        <f>IF('Capital Costs'!B16&lt;&gt;"", 'Capital Costs'!B16, "")</f>
        <v/>
      </c>
      <c r="C16" s="29" t="str">
        <f>IF('Capital Costs'!C16&lt;&gt;"", 'Capital Costs'!C16, "")</f>
        <v/>
      </c>
      <c r="D16" s="45" t="str">
        <f>IF('Capital Costs'!D16&lt;&gt;"", 'Capital Costs'!D16, "")</f>
        <v/>
      </c>
      <c r="E16" s="53" t="str">
        <f t="shared" si="0"/>
        <v xml:space="preserve"> </v>
      </c>
      <c r="F16" s="53" t="str">
        <f t="shared" si="1"/>
        <v xml:space="preserve"> </v>
      </c>
      <c r="G16" s="53" t="str">
        <f t="shared" si="2"/>
        <v xml:space="preserve"> </v>
      </c>
      <c r="H16" s="53" t="str">
        <f t="shared" si="3"/>
        <v xml:space="preserve"> </v>
      </c>
      <c r="I16" s="53" t="str">
        <f t="shared" si="4"/>
        <v xml:space="preserve"> </v>
      </c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8"/>
    </row>
    <row r="17" spans="1:29">
      <c r="A17" s="29" t="str">
        <f>IF('Capital Costs'!A17&lt;&gt;"", 'Capital Costs'!A17, "")</f>
        <v/>
      </c>
      <c r="B17" s="44" t="str">
        <f>IF('Capital Costs'!B17&lt;&gt;"", 'Capital Costs'!B17, "")</f>
        <v/>
      </c>
      <c r="C17" s="29" t="str">
        <f>IF('Capital Costs'!C17&lt;&gt;"", 'Capital Costs'!C17, "")</f>
        <v/>
      </c>
      <c r="D17" s="45" t="str">
        <f>IF('Capital Costs'!D17&lt;&gt;"", 'Capital Costs'!D17, "")</f>
        <v/>
      </c>
      <c r="E17" s="53" t="str">
        <f t="shared" si="0"/>
        <v xml:space="preserve"> </v>
      </c>
      <c r="F17" s="53" t="str">
        <f t="shared" si="1"/>
        <v xml:space="preserve"> </v>
      </c>
      <c r="G17" s="53" t="str">
        <f t="shared" si="2"/>
        <v xml:space="preserve"> </v>
      </c>
      <c r="H17" s="53" t="str">
        <f t="shared" si="3"/>
        <v xml:space="preserve"> </v>
      </c>
      <c r="I17" s="53" t="str">
        <f t="shared" si="4"/>
        <v xml:space="preserve"> 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8"/>
    </row>
    <row r="18" spans="1:29">
      <c r="A18" s="29" t="str">
        <f>IF('Capital Costs'!A18&lt;&gt;"", 'Capital Costs'!A18, "")</f>
        <v/>
      </c>
      <c r="B18" s="44" t="str">
        <f>IF('Capital Costs'!B18&lt;&gt;"", 'Capital Costs'!B18, "")</f>
        <v/>
      </c>
      <c r="C18" s="29" t="str">
        <f>IF('Capital Costs'!C18&lt;&gt;"", 'Capital Costs'!C18, "")</f>
        <v/>
      </c>
      <c r="D18" s="45" t="str">
        <f>IF('Capital Costs'!D18&lt;&gt;"", 'Capital Costs'!D18, "")</f>
        <v/>
      </c>
      <c r="E18" s="53" t="str">
        <f t="shared" si="0"/>
        <v xml:space="preserve"> </v>
      </c>
      <c r="F18" s="53" t="str">
        <f t="shared" si="1"/>
        <v xml:space="preserve"> </v>
      </c>
      <c r="G18" s="53" t="str">
        <f t="shared" si="2"/>
        <v xml:space="preserve"> </v>
      </c>
      <c r="H18" s="53" t="str">
        <f t="shared" si="3"/>
        <v xml:space="preserve"> </v>
      </c>
      <c r="I18" s="53" t="str">
        <f t="shared" si="4"/>
        <v xml:space="preserve"> </v>
      </c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8"/>
    </row>
    <row r="19" spans="1:29">
      <c r="A19" s="29" t="str">
        <f>IF('Capital Costs'!A19&lt;&gt;"", 'Capital Costs'!A19, "")</f>
        <v/>
      </c>
      <c r="B19" s="44" t="str">
        <f>IF('Capital Costs'!B19&lt;&gt;"", 'Capital Costs'!B19, "")</f>
        <v/>
      </c>
      <c r="C19" s="29" t="str">
        <f>IF('Capital Costs'!C19&lt;&gt;"", 'Capital Costs'!C19, "")</f>
        <v/>
      </c>
      <c r="D19" s="45" t="str">
        <f>IF('Capital Costs'!D19&lt;&gt;"", 'Capital Costs'!D19, "")</f>
        <v/>
      </c>
      <c r="E19" s="53" t="str">
        <f t="shared" si="0"/>
        <v xml:space="preserve"> </v>
      </c>
      <c r="F19" s="53" t="str">
        <f t="shared" si="1"/>
        <v xml:space="preserve"> </v>
      </c>
      <c r="G19" s="53" t="str">
        <f t="shared" si="2"/>
        <v xml:space="preserve"> </v>
      </c>
      <c r="H19" s="53" t="str">
        <f t="shared" si="3"/>
        <v xml:space="preserve"> </v>
      </c>
      <c r="I19" s="53" t="str">
        <f t="shared" si="4"/>
        <v xml:space="preserve"> </v>
      </c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8"/>
    </row>
    <row r="20" spans="1:29">
      <c r="A20" s="29" t="str">
        <f>IF('Capital Costs'!A20&lt;&gt;"", 'Capital Costs'!A20, "")</f>
        <v/>
      </c>
      <c r="B20" s="44" t="str">
        <f>IF('Capital Costs'!B20&lt;&gt;"", 'Capital Costs'!B20, "")</f>
        <v/>
      </c>
      <c r="C20" s="29" t="str">
        <f>IF('Capital Costs'!C20&lt;&gt;"", 'Capital Costs'!C20, "")</f>
        <v/>
      </c>
      <c r="D20" s="45" t="str">
        <f>IF('Capital Costs'!D20&lt;&gt;"", 'Capital Costs'!D20, "")</f>
        <v/>
      </c>
      <c r="E20" s="53" t="str">
        <f t="shared" si="0"/>
        <v xml:space="preserve"> </v>
      </c>
      <c r="F20" s="53" t="str">
        <f t="shared" si="1"/>
        <v xml:space="preserve"> </v>
      </c>
      <c r="G20" s="53" t="str">
        <f t="shared" si="2"/>
        <v xml:space="preserve"> </v>
      </c>
      <c r="H20" s="53" t="str">
        <f t="shared" si="3"/>
        <v xml:space="preserve"> </v>
      </c>
      <c r="I20" s="53" t="str">
        <f t="shared" si="4"/>
        <v xml:space="preserve"> </v>
      </c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8"/>
    </row>
    <row r="21" spans="1:29">
      <c r="A21" s="29" t="str">
        <f>IF('Capital Costs'!A21&lt;&gt;"", 'Capital Costs'!A21, "")</f>
        <v/>
      </c>
      <c r="B21" s="44" t="str">
        <f>IF('Capital Costs'!B21&lt;&gt;"", 'Capital Costs'!B21, "")</f>
        <v/>
      </c>
      <c r="C21" s="29" t="str">
        <f>IF('Capital Costs'!C21&lt;&gt;"", 'Capital Costs'!C21, "")</f>
        <v/>
      </c>
      <c r="D21" s="45" t="str">
        <f>IF('Capital Costs'!D21&lt;&gt;"", 'Capital Costs'!D21, "")</f>
        <v/>
      </c>
      <c r="E21" s="53" t="str">
        <f t="shared" si="0"/>
        <v xml:space="preserve"> </v>
      </c>
      <c r="F21" s="53" t="str">
        <f t="shared" si="1"/>
        <v xml:space="preserve"> </v>
      </c>
      <c r="G21" s="53" t="str">
        <f t="shared" si="2"/>
        <v xml:space="preserve"> </v>
      </c>
      <c r="H21" s="53" t="str">
        <f t="shared" si="3"/>
        <v xml:space="preserve"> </v>
      </c>
      <c r="I21" s="53" t="str">
        <f t="shared" si="4"/>
        <v xml:space="preserve"> 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8"/>
    </row>
    <row r="22" spans="1:29">
      <c r="A22" s="29" t="str">
        <f>IF('Capital Costs'!A22&lt;&gt;"", 'Capital Costs'!A22, "")</f>
        <v/>
      </c>
      <c r="B22" s="44" t="str">
        <f>IF('Capital Costs'!B22&lt;&gt;"", 'Capital Costs'!B22, "")</f>
        <v/>
      </c>
      <c r="C22" s="29" t="str">
        <f>IF('Capital Costs'!C22&lt;&gt;"", 'Capital Costs'!C22, "")</f>
        <v/>
      </c>
      <c r="D22" s="45" t="str">
        <f>IF('Capital Costs'!D22&lt;&gt;"", 'Capital Costs'!D22, "")</f>
        <v/>
      </c>
      <c r="E22" s="53" t="str">
        <f t="shared" si="0"/>
        <v xml:space="preserve"> </v>
      </c>
      <c r="F22" s="53" t="str">
        <f t="shared" si="1"/>
        <v xml:space="preserve"> </v>
      </c>
      <c r="G22" s="53" t="str">
        <f t="shared" si="2"/>
        <v xml:space="preserve"> </v>
      </c>
      <c r="H22" s="53" t="str">
        <f t="shared" si="3"/>
        <v xml:space="preserve"> </v>
      </c>
      <c r="I22" s="53" t="str">
        <f t="shared" si="4"/>
        <v xml:space="preserve"> </v>
      </c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8"/>
    </row>
    <row r="23" spans="1:29">
      <c r="A23" s="29" t="str">
        <f>IF('Capital Costs'!A23&lt;&gt;"", 'Capital Costs'!A23, "")</f>
        <v/>
      </c>
      <c r="B23" s="44" t="str">
        <f>IF('Capital Costs'!B23&lt;&gt;"", 'Capital Costs'!B23, "")</f>
        <v/>
      </c>
      <c r="C23" s="29" t="str">
        <f>IF('Capital Costs'!C23&lt;&gt;"", 'Capital Costs'!C23, "")</f>
        <v/>
      </c>
      <c r="D23" s="45" t="str">
        <f>IF('Capital Costs'!D23&lt;&gt;"", 'Capital Costs'!D23, "")</f>
        <v/>
      </c>
      <c r="E23" s="53" t="str">
        <f t="shared" si="0"/>
        <v xml:space="preserve"> </v>
      </c>
      <c r="F23" s="53" t="str">
        <f t="shared" si="1"/>
        <v xml:space="preserve"> </v>
      </c>
      <c r="G23" s="53" t="str">
        <f t="shared" si="2"/>
        <v xml:space="preserve"> </v>
      </c>
      <c r="H23" s="53" t="str">
        <f t="shared" si="3"/>
        <v xml:space="preserve"> </v>
      </c>
      <c r="I23" s="53" t="str">
        <f t="shared" si="4"/>
        <v xml:space="preserve"> </v>
      </c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8"/>
    </row>
    <row r="24" spans="1:29">
      <c r="A24" s="29" t="str">
        <f>IF('Capital Costs'!A24&lt;&gt;"", 'Capital Costs'!A24, "")</f>
        <v/>
      </c>
      <c r="B24" s="44" t="str">
        <f>IF('Capital Costs'!B24&lt;&gt;"", 'Capital Costs'!B24, "")</f>
        <v/>
      </c>
      <c r="C24" s="29" t="str">
        <f>IF('Capital Costs'!C24&lt;&gt;"", 'Capital Costs'!C24, "")</f>
        <v/>
      </c>
      <c r="D24" s="45" t="str">
        <f>IF('Capital Costs'!D24&lt;&gt;"", 'Capital Costs'!D24, "")</f>
        <v/>
      </c>
      <c r="E24" s="53" t="str">
        <f t="shared" si="0"/>
        <v xml:space="preserve"> </v>
      </c>
      <c r="F24" s="53" t="str">
        <f t="shared" si="1"/>
        <v xml:space="preserve"> </v>
      </c>
      <c r="G24" s="53" t="str">
        <f t="shared" si="2"/>
        <v xml:space="preserve"> </v>
      </c>
      <c r="H24" s="53" t="str">
        <f t="shared" si="3"/>
        <v xml:space="preserve"> </v>
      </c>
      <c r="I24" s="53" t="str">
        <f t="shared" si="4"/>
        <v xml:space="preserve"> 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8"/>
    </row>
    <row r="25" spans="1:29">
      <c r="A25" s="29" t="str">
        <f>IF('Capital Costs'!A25&lt;&gt;"", 'Capital Costs'!A25, "")</f>
        <v/>
      </c>
      <c r="B25" s="44" t="str">
        <f>IF('Capital Costs'!B25&lt;&gt;"", 'Capital Costs'!B25, "")</f>
        <v/>
      </c>
      <c r="C25" s="29" t="str">
        <f>IF('Capital Costs'!C25&lt;&gt;"", 'Capital Costs'!C25, "")</f>
        <v/>
      </c>
      <c r="D25" s="45" t="str">
        <f>IF('Capital Costs'!D25&lt;&gt;"", 'Capital Costs'!D25, "")</f>
        <v/>
      </c>
      <c r="E25" s="53" t="str">
        <f t="shared" si="0"/>
        <v xml:space="preserve"> </v>
      </c>
      <c r="F25" s="53" t="str">
        <f t="shared" si="1"/>
        <v xml:space="preserve"> </v>
      </c>
      <c r="G25" s="53" t="str">
        <f t="shared" si="2"/>
        <v xml:space="preserve"> </v>
      </c>
      <c r="H25" s="53" t="str">
        <f t="shared" si="3"/>
        <v xml:space="preserve"> </v>
      </c>
      <c r="I25" s="53" t="str">
        <f t="shared" si="4"/>
        <v xml:space="preserve"> </v>
      </c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8"/>
    </row>
    <row r="26" spans="1:29">
      <c r="A26" s="29" t="str">
        <f>IF('Capital Costs'!A26&lt;&gt;"", 'Capital Costs'!A26, "")</f>
        <v/>
      </c>
      <c r="B26" s="44" t="str">
        <f>IF('Capital Costs'!B26&lt;&gt;"", 'Capital Costs'!B26, "")</f>
        <v/>
      </c>
      <c r="C26" s="29" t="str">
        <f>IF('Capital Costs'!C26&lt;&gt;"", 'Capital Costs'!C26, "")</f>
        <v/>
      </c>
      <c r="D26" s="45" t="str">
        <f>IF('Capital Costs'!D26&lt;&gt;"", 'Capital Costs'!D26, "")</f>
        <v/>
      </c>
      <c r="E26" s="53" t="str">
        <f t="shared" si="0"/>
        <v xml:space="preserve"> </v>
      </c>
      <c r="F26" s="53" t="str">
        <f t="shared" si="1"/>
        <v xml:space="preserve"> </v>
      </c>
      <c r="G26" s="53" t="str">
        <f t="shared" si="2"/>
        <v xml:space="preserve"> </v>
      </c>
      <c r="H26" s="53" t="str">
        <f t="shared" si="3"/>
        <v xml:space="preserve"> </v>
      </c>
      <c r="I26" s="53" t="str">
        <f t="shared" si="4"/>
        <v xml:space="preserve"> 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8"/>
    </row>
    <row r="27" spans="1:29">
      <c r="A27" s="29" t="str">
        <f>IF('Capital Costs'!A27&lt;&gt;"", 'Capital Costs'!A27, "")</f>
        <v/>
      </c>
      <c r="B27" s="44" t="str">
        <f>IF('Capital Costs'!B27&lt;&gt;"", 'Capital Costs'!B27, "")</f>
        <v/>
      </c>
      <c r="C27" s="29" t="str">
        <f>IF('Capital Costs'!C27&lt;&gt;"", 'Capital Costs'!C27, "")</f>
        <v/>
      </c>
      <c r="D27" s="45" t="str">
        <f>IF('Capital Costs'!D27&lt;&gt;"", 'Capital Costs'!D27, "")</f>
        <v/>
      </c>
      <c r="E27" s="53" t="str">
        <f t="shared" si="0"/>
        <v xml:space="preserve"> </v>
      </c>
      <c r="F27" s="53" t="str">
        <f t="shared" si="1"/>
        <v xml:space="preserve"> </v>
      </c>
      <c r="G27" s="53" t="str">
        <f t="shared" si="2"/>
        <v xml:space="preserve"> </v>
      </c>
      <c r="H27" s="53" t="str">
        <f t="shared" si="3"/>
        <v xml:space="preserve"> </v>
      </c>
      <c r="I27" s="53" t="str">
        <f t="shared" si="4"/>
        <v xml:space="preserve"> </v>
      </c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8"/>
    </row>
    <row r="28" spans="1:29">
      <c r="A28" s="29" t="str">
        <f>IF('Capital Costs'!A28&lt;&gt;"", 'Capital Costs'!A28, "")</f>
        <v/>
      </c>
      <c r="B28" s="44" t="str">
        <f>IF('Capital Costs'!B28&lt;&gt;"", 'Capital Costs'!B28, "")</f>
        <v/>
      </c>
      <c r="C28" s="29" t="str">
        <f>IF('Capital Costs'!C28&lt;&gt;"", 'Capital Costs'!C28, "")</f>
        <v/>
      </c>
      <c r="D28" s="45" t="str">
        <f>IF('Capital Costs'!D28&lt;&gt;"", 'Capital Costs'!D28, "")</f>
        <v/>
      </c>
      <c r="E28" s="53" t="str">
        <f t="shared" si="0"/>
        <v xml:space="preserve"> </v>
      </c>
      <c r="F28" s="53" t="str">
        <f t="shared" si="1"/>
        <v xml:space="preserve"> </v>
      </c>
      <c r="G28" s="53" t="str">
        <f t="shared" si="2"/>
        <v xml:space="preserve"> </v>
      </c>
      <c r="H28" s="53" t="str">
        <f t="shared" si="3"/>
        <v xml:space="preserve"> </v>
      </c>
      <c r="I28" s="53" t="str">
        <f t="shared" si="4"/>
        <v xml:space="preserve"> </v>
      </c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8"/>
    </row>
    <row r="29" spans="1:29">
      <c r="A29" s="29" t="str">
        <f>IF('Capital Costs'!A29&lt;&gt;"", 'Capital Costs'!A29, "")</f>
        <v/>
      </c>
      <c r="B29" s="44" t="str">
        <f>IF('Capital Costs'!B29&lt;&gt;"", 'Capital Costs'!B29, "")</f>
        <v/>
      </c>
      <c r="C29" s="29" t="str">
        <f>IF('Capital Costs'!C29&lt;&gt;"", 'Capital Costs'!C29, "")</f>
        <v/>
      </c>
      <c r="D29" s="45" t="str">
        <f>IF('Capital Costs'!D29&lt;&gt;"", 'Capital Costs'!D29, "")</f>
        <v/>
      </c>
      <c r="E29" s="53" t="str">
        <f t="shared" si="0"/>
        <v xml:space="preserve"> </v>
      </c>
      <c r="F29" s="53" t="str">
        <f t="shared" si="1"/>
        <v xml:space="preserve"> </v>
      </c>
      <c r="G29" s="53" t="str">
        <f t="shared" si="2"/>
        <v xml:space="preserve"> </v>
      </c>
      <c r="H29" s="53" t="str">
        <f t="shared" si="3"/>
        <v xml:space="preserve"> </v>
      </c>
      <c r="I29" s="53" t="str">
        <f t="shared" si="4"/>
        <v xml:space="preserve"> </v>
      </c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8"/>
    </row>
    <row r="30" spans="1:29">
      <c r="A30" s="29" t="str">
        <f>IF('Capital Costs'!A30&lt;&gt;"", 'Capital Costs'!A30, "")</f>
        <v/>
      </c>
      <c r="B30" s="44" t="str">
        <f>IF('Capital Costs'!B30&lt;&gt;"", 'Capital Costs'!B30, "")</f>
        <v/>
      </c>
      <c r="C30" s="29" t="str">
        <f>IF('Capital Costs'!C30&lt;&gt;"", 'Capital Costs'!C30, "")</f>
        <v/>
      </c>
      <c r="D30" s="45" t="str">
        <f>IF('Capital Costs'!D30&lt;&gt;"", 'Capital Costs'!D30, "")</f>
        <v/>
      </c>
      <c r="E30" s="53" t="str">
        <f t="shared" si="0"/>
        <v xml:space="preserve"> </v>
      </c>
      <c r="F30" s="53" t="str">
        <f t="shared" si="1"/>
        <v xml:space="preserve"> </v>
      </c>
      <c r="G30" s="53" t="str">
        <f t="shared" si="2"/>
        <v xml:space="preserve"> </v>
      </c>
      <c r="H30" s="53" t="str">
        <f t="shared" si="3"/>
        <v xml:space="preserve"> </v>
      </c>
      <c r="I30" s="53" t="str">
        <f t="shared" si="4"/>
        <v xml:space="preserve"> </v>
      </c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8"/>
    </row>
    <row r="31" spans="1:29">
      <c r="A31" s="29" t="str">
        <f>IF('Capital Costs'!A31&lt;&gt;"", 'Capital Costs'!A31, "")</f>
        <v/>
      </c>
      <c r="B31" s="44" t="str">
        <f>IF('Capital Costs'!B31&lt;&gt;"", 'Capital Costs'!B31, "")</f>
        <v/>
      </c>
      <c r="C31" s="29" t="str">
        <f>IF('Capital Costs'!C31&lt;&gt;"", 'Capital Costs'!C31, "")</f>
        <v/>
      </c>
      <c r="D31" s="45" t="str">
        <f>IF('Capital Costs'!D31&lt;&gt;"", 'Capital Costs'!D31, "")</f>
        <v/>
      </c>
      <c r="E31" s="53" t="str">
        <f t="shared" si="0"/>
        <v xml:space="preserve"> </v>
      </c>
      <c r="F31" s="53" t="str">
        <f t="shared" si="1"/>
        <v xml:space="preserve"> </v>
      </c>
      <c r="G31" s="53" t="str">
        <f t="shared" si="2"/>
        <v xml:space="preserve"> </v>
      </c>
      <c r="H31" s="53" t="str">
        <f t="shared" si="3"/>
        <v xml:space="preserve"> </v>
      </c>
      <c r="I31" s="53" t="str">
        <f t="shared" si="4"/>
        <v xml:space="preserve"> </v>
      </c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8"/>
    </row>
    <row r="32" spans="1:29">
      <c r="A32" s="29" t="str">
        <f>IF('Capital Costs'!A32&lt;&gt;"", 'Capital Costs'!A32, "")</f>
        <v/>
      </c>
      <c r="B32" s="44" t="str">
        <f>IF('Capital Costs'!B32&lt;&gt;"", 'Capital Costs'!B32, "")</f>
        <v/>
      </c>
      <c r="C32" s="29" t="str">
        <f>IF('Capital Costs'!C32&lt;&gt;"", 'Capital Costs'!C32, "")</f>
        <v/>
      </c>
      <c r="D32" s="45" t="str">
        <f>IF('Capital Costs'!D32&lt;&gt;"", 'Capital Costs'!D32, "")</f>
        <v/>
      </c>
      <c r="E32" s="53" t="str">
        <f t="shared" si="0"/>
        <v xml:space="preserve"> </v>
      </c>
      <c r="F32" s="53" t="str">
        <f t="shared" si="1"/>
        <v xml:space="preserve"> </v>
      </c>
      <c r="G32" s="53" t="str">
        <f t="shared" si="2"/>
        <v xml:space="preserve"> </v>
      </c>
      <c r="H32" s="53" t="str">
        <f t="shared" si="3"/>
        <v xml:space="preserve"> </v>
      </c>
      <c r="I32" s="53" t="str">
        <f t="shared" si="4"/>
        <v xml:space="preserve"> </v>
      </c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8"/>
    </row>
    <row r="33" spans="1:29">
      <c r="A33" s="29" t="str">
        <f>IF('Capital Costs'!A33&lt;&gt;"", 'Capital Costs'!A33, "")</f>
        <v/>
      </c>
      <c r="B33" s="44" t="str">
        <f>IF('Capital Costs'!B33&lt;&gt;"", 'Capital Costs'!B33, "")</f>
        <v/>
      </c>
      <c r="C33" s="29" t="str">
        <f>IF('Capital Costs'!C33&lt;&gt;"", 'Capital Costs'!C33, "")</f>
        <v/>
      </c>
      <c r="D33" s="45" t="str">
        <f>IF('Capital Costs'!D33&lt;&gt;"", 'Capital Costs'!D33, "")</f>
        <v/>
      </c>
      <c r="E33" s="53" t="str">
        <f t="shared" si="0"/>
        <v xml:space="preserve"> </v>
      </c>
      <c r="F33" s="53" t="str">
        <f t="shared" si="1"/>
        <v xml:space="preserve"> </v>
      </c>
      <c r="G33" s="53" t="str">
        <f t="shared" si="2"/>
        <v xml:space="preserve"> </v>
      </c>
      <c r="H33" s="53" t="str">
        <f t="shared" si="3"/>
        <v xml:space="preserve"> </v>
      </c>
      <c r="I33" s="53" t="str">
        <f t="shared" si="4"/>
        <v xml:space="preserve"> </v>
      </c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8"/>
    </row>
    <row r="34" spans="1:29">
      <c r="A34" s="29" t="str">
        <f>IF('Capital Costs'!A34&lt;&gt;"", 'Capital Costs'!A34, "")</f>
        <v/>
      </c>
      <c r="B34" s="44" t="str">
        <f>IF('Capital Costs'!B34&lt;&gt;"", 'Capital Costs'!B34, "")</f>
        <v/>
      </c>
      <c r="C34" s="29" t="str">
        <f>IF('Capital Costs'!C34&lt;&gt;"", 'Capital Costs'!C34, "")</f>
        <v/>
      </c>
      <c r="D34" s="45" t="str">
        <f>IF('Capital Costs'!D34&lt;&gt;"", 'Capital Costs'!D34, "")</f>
        <v/>
      </c>
      <c r="E34" s="53" t="str">
        <f t="shared" si="0"/>
        <v xml:space="preserve"> </v>
      </c>
      <c r="F34" s="53" t="str">
        <f t="shared" si="1"/>
        <v xml:space="preserve"> </v>
      </c>
      <c r="G34" s="53" t="str">
        <f t="shared" si="2"/>
        <v xml:space="preserve"> </v>
      </c>
      <c r="H34" s="53" t="str">
        <f t="shared" si="3"/>
        <v xml:space="preserve"> </v>
      </c>
      <c r="I34" s="53" t="str">
        <f t="shared" si="4"/>
        <v xml:space="preserve"> </v>
      </c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8"/>
    </row>
    <row r="35" spans="1:29">
      <c r="A35" s="29" t="str">
        <f>IF('Capital Costs'!A35&lt;&gt;"", 'Capital Costs'!A35, "")</f>
        <v/>
      </c>
      <c r="B35" s="44" t="str">
        <f>IF('Capital Costs'!B35&lt;&gt;"", 'Capital Costs'!B35, "")</f>
        <v/>
      </c>
      <c r="C35" s="29" t="str">
        <f>IF('Capital Costs'!C35&lt;&gt;"", 'Capital Costs'!C35, "")</f>
        <v/>
      </c>
      <c r="D35" s="45" t="str">
        <f>IF('Capital Costs'!D35&lt;&gt;"", 'Capital Costs'!D35, "")</f>
        <v/>
      </c>
      <c r="E35" s="53" t="str">
        <f t="shared" si="0"/>
        <v xml:space="preserve"> </v>
      </c>
      <c r="F35" s="53" t="str">
        <f t="shared" si="1"/>
        <v xml:space="preserve"> </v>
      </c>
      <c r="G35" s="53" t="str">
        <f t="shared" si="2"/>
        <v xml:space="preserve"> </v>
      </c>
      <c r="H35" s="53" t="str">
        <f t="shared" si="3"/>
        <v xml:space="preserve"> </v>
      </c>
      <c r="I35" s="53" t="str">
        <f t="shared" si="4"/>
        <v xml:space="preserve"> </v>
      </c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8"/>
    </row>
    <row r="36" spans="1:29">
      <c r="A36" s="29" t="str">
        <f>IF('Capital Costs'!A36&lt;&gt;"", 'Capital Costs'!A36, "")</f>
        <v/>
      </c>
      <c r="B36" s="44" t="str">
        <f>IF('Capital Costs'!B36&lt;&gt;"", 'Capital Costs'!B36, "")</f>
        <v/>
      </c>
      <c r="C36" s="29" t="str">
        <f>IF('Capital Costs'!C36&lt;&gt;"", 'Capital Costs'!C36, "")</f>
        <v/>
      </c>
      <c r="D36" s="45" t="str">
        <f>IF('Capital Costs'!D36&lt;&gt;"", 'Capital Costs'!D36, "")</f>
        <v/>
      </c>
      <c r="E36" s="53" t="str">
        <f t="shared" si="0"/>
        <v xml:space="preserve"> </v>
      </c>
      <c r="F36" s="53" t="str">
        <f t="shared" si="1"/>
        <v xml:space="preserve"> </v>
      </c>
      <c r="G36" s="53" t="str">
        <f t="shared" si="2"/>
        <v xml:space="preserve"> </v>
      </c>
      <c r="H36" s="53" t="str">
        <f t="shared" si="3"/>
        <v xml:space="preserve"> </v>
      </c>
      <c r="I36" s="53" t="str">
        <f t="shared" si="4"/>
        <v xml:space="preserve"> </v>
      </c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8"/>
    </row>
    <row r="37" spans="1:29">
      <c r="A37" s="29" t="str">
        <f>IF('Capital Costs'!A37&lt;&gt;"", 'Capital Costs'!A37, "")</f>
        <v/>
      </c>
      <c r="B37" s="44" t="str">
        <f>IF('Capital Costs'!B37&lt;&gt;"", 'Capital Costs'!B37, "")</f>
        <v/>
      </c>
      <c r="C37" s="29" t="str">
        <f>IF('Capital Costs'!C37&lt;&gt;"", 'Capital Costs'!C37, "")</f>
        <v/>
      </c>
      <c r="D37" s="45" t="str">
        <f>IF('Capital Costs'!D37&lt;&gt;"", 'Capital Costs'!D37, "")</f>
        <v/>
      </c>
      <c r="E37" s="53" t="str">
        <f t="shared" si="0"/>
        <v xml:space="preserve"> </v>
      </c>
      <c r="F37" s="53" t="str">
        <f t="shared" si="1"/>
        <v xml:space="preserve"> </v>
      </c>
      <c r="G37" s="53" t="str">
        <f t="shared" si="2"/>
        <v xml:space="preserve"> </v>
      </c>
      <c r="H37" s="53" t="str">
        <f t="shared" si="3"/>
        <v xml:space="preserve"> </v>
      </c>
      <c r="I37" s="53" t="str">
        <f t="shared" si="4"/>
        <v xml:space="preserve"> 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8"/>
    </row>
  </sheetData>
  <sheetProtection sheet="1" objects="1" scenarios="1"/>
  <mergeCells count="3">
    <mergeCell ref="J7:AC7"/>
    <mergeCell ref="B3:K3"/>
    <mergeCell ref="A1:AC1"/>
  </mergeCells>
  <dataValidations disablePrompts="1" count="1">
    <dataValidation type="list" allowBlank="1" showInputMessage="1" showErrorMessage="1" sqref="B3:K3">
      <formula1>Input!B6:B11</formula1>
    </dataValidation>
  </dataValidations>
  <pageMargins left="0.7" right="0.7" top="0.75" bottom="0.75" header="0.3" footer="0.3"/>
  <pageSetup scale="76" fitToWidth="4" orientation="landscape" r:id="rId1"/>
  <headerFooter>
    <oddHeader>&amp;C&amp;D
&amp;F</oddHead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topLeftCell="A4"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140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2">
        <f>'Capital Costs'!B6</f>
        <v>0</v>
      </c>
      <c r="B4" s="153"/>
      <c r="C4" s="153"/>
      <c r="D4" s="153"/>
      <c r="E4" s="153"/>
      <c r="F4" s="153"/>
      <c r="G4" s="153"/>
      <c r="H4" s="153"/>
      <c r="I4" s="154"/>
    </row>
    <row r="5" spans="1:9" ht="17.25" customHeight="1">
      <c r="A5" s="95" t="s">
        <v>52</v>
      </c>
      <c r="B5" s="60">
        <f>('CCI-MCI'!B3-'CCI-MCI'!B2)/'CCI-MCI'!B2</f>
        <v>2.0671834625323047E-2</v>
      </c>
      <c r="C5" s="58"/>
      <c r="D5" s="58"/>
      <c r="E5" s="59" t="s">
        <v>43</v>
      </c>
      <c r="F5" s="21">
        <v>4.8750000000000002E-2</v>
      </c>
      <c r="G5" s="15"/>
      <c r="H5" s="15"/>
      <c r="I5" s="30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</v>
      </c>
      <c r="F7" s="26">
        <v>2</v>
      </c>
      <c r="G7" s="26">
        <v>3</v>
      </c>
      <c r="H7" s="26">
        <v>4</v>
      </c>
      <c r="I7" s="26">
        <v>5</v>
      </c>
    </row>
    <row r="8" spans="1:9">
      <c r="A8" s="29" t="str">
        <f>IF('Capital Costs'!A9&lt;&gt;"", 'Capital Costs'!A9, "")</f>
        <v/>
      </c>
      <c r="B8" s="3" t="str">
        <f>IF('Capital Costs'!B9&lt;&gt;"", 'Capital Costs'!B9, "")</f>
        <v/>
      </c>
      <c r="C8" s="29" t="str">
        <f>IF('Capital Costs'!C9&lt;&gt;"", 'Capital Costs'!C9, "")</f>
        <v/>
      </c>
      <c r="D8" s="47" t="str">
        <f>IF('Capital Costs'!D9&lt;&gt;"", 'Capital Costs'!D9, "")</f>
        <v/>
      </c>
      <c r="E8" s="27" t="str">
        <f>IF($A8&lt;&gt;"", (IF('Replacement Costs - Entry'!J9="Y",((($B8*$D8)*((1+$B$5)^E$7))*(1/((1+$F$5)^E$7))),0)), "")</f>
        <v/>
      </c>
      <c r="F8" s="27" t="str">
        <f>IF($A8&lt;&gt;"", (IF('Replacement Costs - Entry'!K9="Y",((($B8*$D8)*((1+$B$5)^F$7))*(1/((1+$F$5)^F$7))),0)), "")</f>
        <v/>
      </c>
      <c r="G8" s="27" t="str">
        <f>IF($A8&lt;&gt;"", (IF('Replacement Costs - Entry'!L9="Y",((($B8*$D8)*((1+$B$5)^G$7))*(1/((1+$F$5)^G$7))),0)), "")</f>
        <v/>
      </c>
      <c r="H8" s="27" t="str">
        <f>IF($A8&lt;&gt;"", (IF('Replacement Costs - Entry'!M9="Y",((($B8*$D8)*((1+$B$5)^H$7))*(1/((1+$F$5)^H$7))),0)), "")</f>
        <v/>
      </c>
      <c r="I8" s="27" t="str">
        <f>IF($A8&lt;&gt;"", (IF('Replacement Costs - Entry'!N9="Y",((($B8*$D8)*((1+$B$5)^I$7))*(1/((1+$F$5)^I$7))),0)), "")</f>
        <v/>
      </c>
    </row>
    <row r="9" spans="1:9">
      <c r="A9" s="29" t="str">
        <f>IF('Capital Costs'!A10&lt;&gt;"", 'Capital Costs'!A10, "")</f>
        <v/>
      </c>
      <c r="B9" s="3" t="str">
        <f>IF('Capital Costs'!B10&lt;&gt;"", 'Capital Costs'!B10, "")</f>
        <v/>
      </c>
      <c r="C9" s="29" t="str">
        <f>IF('Capital Costs'!C10&lt;&gt;"", 'Capital Costs'!C10, "")</f>
        <v/>
      </c>
      <c r="D9" s="47" t="str">
        <f>IF('Capital Costs'!D10&lt;&gt;"", 'Capital Costs'!D10, "")</f>
        <v/>
      </c>
      <c r="E9" s="27" t="str">
        <f>IF($A9&lt;&gt;"", (IF('Replacement Costs - Entry'!J10="Y",((($B9*$D9)*((1+$B$5)^E$7))*(1/((1+$F$5)^E$7))),0)), "")</f>
        <v/>
      </c>
      <c r="F9" s="27" t="str">
        <f>IF($A9&lt;&gt;"", (IF('Replacement Costs - Entry'!K10="Y",((($B9*$D9)*((1+$B$5)^F$7))*(1/((1+$F$5)^F$7))),0)), "")</f>
        <v/>
      </c>
      <c r="G9" s="27" t="str">
        <f>IF($A9&lt;&gt;"", (IF('Replacement Costs - Entry'!L10="Y",((($B9*$D9)*((1+$B$5)^G$7))*(1/((1+$F$5)^G$7))),0)), "")</f>
        <v/>
      </c>
      <c r="H9" s="27" t="str">
        <f>IF($A9&lt;&gt;"", (IF('Replacement Costs - Entry'!M10="Y",((($B9*$D9)*((1+$B$5)^H$7))*(1/((1+$F$5)^H$7))),0)), "")</f>
        <v/>
      </c>
      <c r="I9" s="27" t="str">
        <f>IF($A9&lt;&gt;"", (IF('Replacement Costs - Entry'!N10="Y",((($B9*$D9)*((1+$B$5)^I$7))*(1/((1+$F$5)^I$7))),0)), "")</f>
        <v/>
      </c>
    </row>
    <row r="10" spans="1:9">
      <c r="A10" s="29" t="str">
        <f>IF('Capital Costs'!A11&lt;&gt;"", 'Capital Costs'!A11, "")</f>
        <v/>
      </c>
      <c r="B10" s="3" t="str">
        <f>IF('Capital Costs'!B11&lt;&gt;"", 'Capital Costs'!B11, "")</f>
        <v/>
      </c>
      <c r="C10" s="29" t="str">
        <f>IF('Capital Costs'!C11&lt;&gt;"", 'Capital Costs'!C11, "")</f>
        <v/>
      </c>
      <c r="D10" s="47" t="str">
        <f>IF('Capital Costs'!D11&lt;&gt;"", 'Capital Costs'!D11, "")</f>
        <v/>
      </c>
      <c r="E10" s="27" t="str">
        <f>IF($A10&lt;&gt;"", (IF('Replacement Costs - Entry'!J11="Y",((($B10*$D10)*((1+$B$5)^E$7))*(1/((1+$F$5)^E$7))),0)), "")</f>
        <v/>
      </c>
      <c r="F10" s="27" t="str">
        <f>IF($A10&lt;&gt;"", (IF('Replacement Costs - Entry'!K11="Y",((($B10*$D10)*((1+$B$5)^F$7))*(1/((1+$F$5)^F$7))),0)), "")</f>
        <v/>
      </c>
      <c r="G10" s="27" t="str">
        <f>IF($A10&lt;&gt;"", (IF('Replacement Costs - Entry'!L11="Y",((($B10*$D10)*((1+$B$5)^G$7))*(1/((1+$F$5)^G$7))),0)), "")</f>
        <v/>
      </c>
      <c r="H10" s="27" t="str">
        <f>IF($A10&lt;&gt;"", (IF('Replacement Costs - Entry'!M11="Y",((($B10*$D10)*((1+$B$5)^H$7))*(1/((1+$F$5)^H$7))),0)), "")</f>
        <v/>
      </c>
      <c r="I10" s="27" t="str">
        <f>IF($A10&lt;&gt;"", (IF('Replacement Costs - Entry'!N11="Y",((($B10*$D10)*((1+$B$5)^I$7))*(1/((1+$F$5)^I$7))),0)), "")</f>
        <v/>
      </c>
    </row>
    <row r="11" spans="1:9">
      <c r="A11" s="29" t="str">
        <f>IF('Capital Costs'!A12&lt;&gt;"", 'Capital Costs'!A12, "")</f>
        <v/>
      </c>
      <c r="B11" s="3" t="str">
        <f>IF('Capital Costs'!B12&lt;&gt;"", 'Capital Costs'!B12, "")</f>
        <v/>
      </c>
      <c r="C11" s="29" t="str">
        <f>IF('Capital Costs'!C12&lt;&gt;"", 'Capital Costs'!C12, "")</f>
        <v/>
      </c>
      <c r="D11" s="47" t="str">
        <f>IF('Capital Costs'!D12&lt;&gt;"", 'Capital Costs'!D12, "")</f>
        <v/>
      </c>
      <c r="E11" s="27" t="str">
        <f>IF($A11&lt;&gt;"", (IF('Replacement Costs - Entry'!J12="Y",((($B11*$D11)*((1+$B$5)^E$7))*(1/((1+$F$5)^E$7))),0)), "")</f>
        <v/>
      </c>
      <c r="F11" s="27" t="str">
        <f>IF($A11&lt;&gt;"", (IF('Replacement Costs - Entry'!K12="Y",((($B11*$D11)*((1+$B$5)^F$7))*(1/((1+$F$5)^F$7))),0)), "")</f>
        <v/>
      </c>
      <c r="G11" s="27" t="str">
        <f>IF($A11&lt;&gt;"", (IF('Replacement Costs - Entry'!L12="Y",((($B11*$D11)*((1+$B$5)^G$7))*(1/((1+$F$5)^G$7))),0)), "")</f>
        <v/>
      </c>
      <c r="H11" s="27" t="str">
        <f>IF($A11&lt;&gt;"", (IF('Replacement Costs - Entry'!M12="Y",((($B11*$D11)*((1+$B$5)^H$7))*(1/((1+$F$5)^H$7))),0)), "")</f>
        <v/>
      </c>
      <c r="I11" s="27" t="str">
        <f>IF($A11&lt;&gt;"", (IF('Replacement Costs - Entry'!N12="Y",((($B11*$D11)*((1+$B$5)^I$7))*(1/((1+$F$5)^I$7))),0)), "")</f>
        <v/>
      </c>
    </row>
    <row r="12" spans="1:9">
      <c r="A12" s="29" t="str">
        <f>IF('Capital Costs'!A13&lt;&gt;"", 'Capital Costs'!A13, "")</f>
        <v/>
      </c>
      <c r="B12" s="3" t="str">
        <f>IF('Capital Costs'!B13&lt;&gt;"", 'Capital Costs'!B13, "")</f>
        <v/>
      </c>
      <c r="C12" s="29" t="str">
        <f>IF('Capital Costs'!C13&lt;&gt;"", 'Capital Costs'!C13, "")</f>
        <v/>
      </c>
      <c r="D12" s="47" t="str">
        <f>IF('Capital Costs'!D13&lt;&gt;"", 'Capital Costs'!D13, "")</f>
        <v/>
      </c>
      <c r="E12" s="27" t="str">
        <f>IF($A12&lt;&gt;"", (IF('Replacement Costs - Entry'!J13="Y",((($B12*$D12)*((1+$B$5)^E$7))*(1/((1+$F$5)^E$7))),0)), "")</f>
        <v/>
      </c>
      <c r="F12" s="27" t="str">
        <f>IF($A12&lt;&gt;"", (IF('Replacement Costs - Entry'!K13="Y",((($B12*$D12)*((1+$B$5)^F$7))*(1/((1+$F$5)^F$7))),0)), "")</f>
        <v/>
      </c>
      <c r="G12" s="27" t="str">
        <f>IF($A12&lt;&gt;"", (IF('Replacement Costs - Entry'!L13="Y",((($B12*$D12)*((1+$B$5)^G$7))*(1/((1+$F$5)^G$7))),0)), "")</f>
        <v/>
      </c>
      <c r="H12" s="27" t="str">
        <f>IF($A12&lt;&gt;"", (IF('Replacement Costs - Entry'!M13="Y",((($B12*$D12)*((1+$B$5)^H$7))*(1/((1+$F$5)^H$7))),0)), "")</f>
        <v/>
      </c>
      <c r="I12" s="27" t="str">
        <f>IF($A12&lt;&gt;"", (IF('Replacement Costs - Entry'!N13="Y",((($B12*$D12)*((1+$B$5)^I$7))*(1/((1+$F$5)^I$7))),0)), "")</f>
        <v/>
      </c>
    </row>
    <row r="13" spans="1:9">
      <c r="A13" s="29" t="str">
        <f>IF('Capital Costs'!A14&lt;&gt;"", 'Capital Costs'!A14, "")</f>
        <v/>
      </c>
      <c r="B13" s="3" t="str">
        <f>IF('Capital Costs'!B14&lt;&gt;"", 'Capital Costs'!B14, "")</f>
        <v/>
      </c>
      <c r="C13" s="29" t="str">
        <f>IF('Capital Costs'!C14&lt;&gt;"", 'Capital Costs'!C14, "")</f>
        <v/>
      </c>
      <c r="D13" s="47" t="str">
        <f>IF('Capital Costs'!D14&lt;&gt;"", 'Capital Costs'!D14, "")</f>
        <v/>
      </c>
      <c r="E13" s="27" t="str">
        <f>IF($A13&lt;&gt;"", (IF('Replacement Costs - Entry'!J14="Y",((($B13*$D13)*((1+$B$5)^E$7))*(1/((1+$F$5)^E$7))),0)), "")</f>
        <v/>
      </c>
      <c r="F13" s="27" t="str">
        <f>IF($A13&lt;&gt;"", (IF('Replacement Costs - Entry'!K14="Y",((($B13*$D13)*((1+$B$5)^F$7))*(1/((1+$F$5)^F$7))),0)), "")</f>
        <v/>
      </c>
      <c r="G13" s="27" t="str">
        <f>IF($A13&lt;&gt;"", (IF('Replacement Costs - Entry'!L14="Y",((($B13*$D13)*((1+$B$5)^G$7))*(1/((1+$F$5)^G$7))),0)), "")</f>
        <v/>
      </c>
      <c r="H13" s="27" t="str">
        <f>IF($A13&lt;&gt;"", (IF('Replacement Costs - Entry'!M14="Y",((($B13*$D13)*((1+$B$5)^H$7))*(1/((1+$F$5)^H$7))),0)), "")</f>
        <v/>
      </c>
      <c r="I13" s="27" t="str">
        <f>IF($A13&lt;&gt;"", (IF('Replacement Costs - Entry'!N14="Y",((($B13*$D13)*((1+$B$5)^I$7))*(1/((1+$F$5)^I$7))),0)), "")</f>
        <v/>
      </c>
    </row>
    <row r="14" spans="1:9">
      <c r="A14" s="29" t="str">
        <f>IF('Capital Costs'!A15&lt;&gt;"", 'Capital Costs'!A15, "")</f>
        <v/>
      </c>
      <c r="B14" s="3" t="str">
        <f>IF('Capital Costs'!B15&lt;&gt;"", 'Capital Costs'!B15, "")</f>
        <v/>
      </c>
      <c r="C14" s="29" t="str">
        <f>IF('Capital Costs'!C15&lt;&gt;"", 'Capital Costs'!C15, "")</f>
        <v/>
      </c>
      <c r="D14" s="47" t="str">
        <f>IF('Capital Costs'!D15&lt;&gt;"", 'Capital Costs'!D15, "")</f>
        <v/>
      </c>
      <c r="E14" s="27" t="str">
        <f>IF($A14&lt;&gt;"", (IF('Replacement Costs - Entry'!J15="Y",((($B14*$D14)*((1+$B$5)^E$7))*(1/((1+$F$5)^E$7))),0)), "")</f>
        <v/>
      </c>
      <c r="F14" s="27" t="str">
        <f>IF($A14&lt;&gt;"", (IF('Replacement Costs - Entry'!K15="Y",((($B14*$D14)*((1+$B$5)^F$7))*(1/((1+$F$5)^F$7))),0)), "")</f>
        <v/>
      </c>
      <c r="G14" s="27" t="str">
        <f>IF($A14&lt;&gt;"", (IF('Replacement Costs - Entry'!L15="Y",((($B14*$D14)*((1+$B$5)^G$7))*(1/((1+$F$5)^G$7))),0)), "")</f>
        <v/>
      </c>
      <c r="H14" s="27" t="str">
        <f>IF($A14&lt;&gt;"", (IF('Replacement Costs - Entry'!M15="Y",((($B14*$D14)*((1+$B$5)^H$7))*(1/((1+$F$5)^H$7))),0)), "")</f>
        <v/>
      </c>
      <c r="I14" s="27" t="str">
        <f>IF($A14&lt;&gt;"", (IF('Replacement Costs - Entry'!N15="Y",((($B14*$D14)*((1+$B$5)^I$7))*(1/((1+$F$5)^I$7))),0)), "")</f>
        <v/>
      </c>
    </row>
    <row r="15" spans="1:9">
      <c r="A15" s="29" t="str">
        <f>IF('Capital Costs'!A16&lt;&gt;"", 'Capital Costs'!A16, "")</f>
        <v/>
      </c>
      <c r="B15" s="3" t="str">
        <f>IF('Capital Costs'!B16&lt;&gt;"", 'Capital Costs'!B16, "")</f>
        <v/>
      </c>
      <c r="C15" s="29" t="str">
        <f>IF('Capital Costs'!C16&lt;&gt;"", 'Capital Costs'!C16, "")</f>
        <v/>
      </c>
      <c r="D15" s="47" t="str">
        <f>IF('Capital Costs'!D16&lt;&gt;"", 'Capital Costs'!D16, "")</f>
        <v/>
      </c>
      <c r="E15" s="27" t="str">
        <f>IF($A15&lt;&gt;"", (IF('Replacement Costs - Entry'!J16="Y",((($B15*$D15)*((1+$B$5)^E$7))*(1/((1+$F$5)^E$7))),0)), "")</f>
        <v/>
      </c>
      <c r="F15" s="27" t="str">
        <f>IF($A15&lt;&gt;"", (IF('Replacement Costs - Entry'!K16="Y",((($B15*$D15)*((1+$B$5)^F$7))*(1/((1+$F$5)^F$7))),0)), "")</f>
        <v/>
      </c>
      <c r="G15" s="27" t="str">
        <f>IF($A15&lt;&gt;"", (IF('Replacement Costs - Entry'!L16="Y",((($B15*$D15)*((1+$B$5)^G$7))*(1/((1+$F$5)^G$7))),0)), "")</f>
        <v/>
      </c>
      <c r="H15" s="27" t="str">
        <f>IF($A15&lt;&gt;"", (IF('Replacement Costs - Entry'!M16="Y",((($B15*$D15)*((1+$B$5)^H$7))*(1/((1+$F$5)^H$7))),0)), "")</f>
        <v/>
      </c>
      <c r="I15" s="27" t="str">
        <f>IF($A15&lt;&gt;"", (IF('Replacement Costs - Entry'!N16="Y",((($B15*$D15)*((1+$B$5)^I$7))*(1/((1+$F$5)^I$7))),0)), "")</f>
        <v/>
      </c>
    </row>
    <row r="16" spans="1:9">
      <c r="A16" s="29" t="str">
        <f>IF('Capital Costs'!A17&lt;&gt;"", 'Capital Costs'!A17, "")</f>
        <v/>
      </c>
      <c r="B16" s="3" t="str">
        <f>IF('Capital Costs'!B17&lt;&gt;"", 'Capital Costs'!B17, "")</f>
        <v/>
      </c>
      <c r="C16" s="29" t="str">
        <f>IF('Capital Costs'!C17&lt;&gt;"", 'Capital Costs'!C17, "")</f>
        <v/>
      </c>
      <c r="D16" s="47" t="str">
        <f>IF('Capital Costs'!D17&lt;&gt;"", 'Capital Costs'!D17, "")</f>
        <v/>
      </c>
      <c r="E16" s="27" t="str">
        <f>IF($A16&lt;&gt;"", (IF('Replacement Costs - Entry'!J17="Y",((($B16*$D16)*((1+$B$5)^E$7))*(1/((1+$F$5)^E$7))),0)), "")</f>
        <v/>
      </c>
      <c r="F16" s="27" t="str">
        <f>IF($A16&lt;&gt;"", (IF('Replacement Costs - Entry'!K17="Y",((($B16*$D16)*((1+$B$5)^F$7))*(1/((1+$F$5)^F$7))),0)), "")</f>
        <v/>
      </c>
      <c r="G16" s="27" t="str">
        <f>IF($A16&lt;&gt;"", (IF('Replacement Costs - Entry'!L17="Y",((($B16*$D16)*((1+$B$5)^G$7))*(1/((1+$F$5)^G$7))),0)), "")</f>
        <v/>
      </c>
      <c r="H16" s="27" t="str">
        <f>IF($A16&lt;&gt;"", (IF('Replacement Costs - Entry'!M17="Y",((($B16*$D16)*((1+$B$5)^H$7))*(1/((1+$F$5)^H$7))),0)), "")</f>
        <v/>
      </c>
      <c r="I16" s="27" t="str">
        <f>IF($A16&lt;&gt;"", (IF('Replacement Costs - Entry'!N17="Y",((($B16*$D16)*((1+$B$5)^I$7))*(1/((1+$F$5)^I$7))),0)), "")</f>
        <v/>
      </c>
    </row>
    <row r="17" spans="1:9">
      <c r="A17" s="29" t="str">
        <f>IF('Capital Costs'!A18&lt;&gt;"", 'Capital Costs'!A18, "")</f>
        <v/>
      </c>
      <c r="B17" s="3" t="str">
        <f>IF('Capital Costs'!B18&lt;&gt;"", 'Capital Costs'!B18, "")</f>
        <v/>
      </c>
      <c r="C17" s="29" t="str">
        <f>IF('Capital Costs'!C18&lt;&gt;"", 'Capital Costs'!C18, "")</f>
        <v/>
      </c>
      <c r="D17" s="47" t="str">
        <f>IF('Capital Costs'!D18&lt;&gt;"", 'Capital Costs'!D18, "")</f>
        <v/>
      </c>
      <c r="E17" s="27" t="str">
        <f>IF($A17&lt;&gt;"", (IF('Replacement Costs - Entry'!J18="Y",((($B17*$D17)*((1+$B$5)^E$7))*(1/((1+$F$5)^E$7))),0)), "")</f>
        <v/>
      </c>
      <c r="F17" s="27" t="str">
        <f>IF($A17&lt;&gt;"", (IF('Replacement Costs - Entry'!K18="Y",((($B17*$D17)*((1+$B$5)^F$7))*(1/((1+$F$5)^F$7))),0)), "")</f>
        <v/>
      </c>
      <c r="G17" s="27" t="str">
        <f>IF($A17&lt;&gt;"", (IF('Replacement Costs - Entry'!L18="Y",((($B17*$D17)*((1+$B$5)^G$7))*(1/((1+$F$5)^G$7))),0)), "")</f>
        <v/>
      </c>
      <c r="H17" s="27" t="str">
        <f>IF($A17&lt;&gt;"", (IF('Replacement Costs - Entry'!M18="Y",((($B17*$D17)*((1+$B$5)^H$7))*(1/((1+$F$5)^H$7))),0)), "")</f>
        <v/>
      </c>
      <c r="I17" s="27" t="str">
        <f>IF($A17&lt;&gt;"", (IF('Replacement Costs - Entry'!N18="Y",((($B17*$D17)*((1+$B$5)^I$7))*(1/((1+$F$5)^I$7))),0)), "")</f>
        <v/>
      </c>
    </row>
    <row r="18" spans="1:9">
      <c r="A18" s="29" t="str">
        <f>IF('Capital Costs'!A19&lt;&gt;"", 'Capital Costs'!A19, "")</f>
        <v/>
      </c>
      <c r="B18" s="3" t="str">
        <f>IF('Capital Costs'!B19&lt;&gt;"", 'Capital Costs'!B19, "")</f>
        <v/>
      </c>
      <c r="C18" s="29" t="str">
        <f>IF('Capital Costs'!C19&lt;&gt;"", 'Capital Costs'!C19, "")</f>
        <v/>
      </c>
      <c r="D18" s="47" t="str">
        <f>IF('Capital Costs'!D19&lt;&gt;"", 'Capital Costs'!D19, "")</f>
        <v/>
      </c>
      <c r="E18" s="27" t="str">
        <f>IF($A18&lt;&gt;"", (IF('Replacement Costs - Entry'!J19="Y",((($B18*$D18)*((1+$B$5)^E$7))*(1/((1+$F$5)^E$7))),0)), "")</f>
        <v/>
      </c>
      <c r="F18" s="27" t="str">
        <f>IF($A18&lt;&gt;"", (IF('Replacement Costs - Entry'!K19="Y",((($B18*$D18)*((1+$B$5)^F$7))*(1/((1+$F$5)^F$7))),0)), "")</f>
        <v/>
      </c>
      <c r="G18" s="27" t="str">
        <f>IF($A18&lt;&gt;"", (IF('Replacement Costs - Entry'!L19="Y",((($B18*$D18)*((1+$B$5)^G$7))*(1/((1+$F$5)^G$7))),0)), "")</f>
        <v/>
      </c>
      <c r="H18" s="27" t="str">
        <f>IF($A18&lt;&gt;"", (IF('Replacement Costs - Entry'!M19="Y",((($B18*$D18)*((1+$B$5)^H$7))*(1/((1+$F$5)^H$7))),0)), "")</f>
        <v/>
      </c>
      <c r="I18" s="27" t="str">
        <f>IF($A18&lt;&gt;"", (IF('Replacement Costs - Entry'!N19="Y",((($B18*$D18)*((1+$B$5)^I$7))*(1/((1+$F$5)^I$7))),0)), "")</f>
        <v/>
      </c>
    </row>
    <row r="19" spans="1:9">
      <c r="A19" s="29" t="str">
        <f>IF('Capital Costs'!A20&lt;&gt;"", 'Capital Costs'!A20, "")</f>
        <v/>
      </c>
      <c r="B19" s="3" t="str">
        <f>IF('Capital Costs'!B20&lt;&gt;"", 'Capital Costs'!B20, "")</f>
        <v/>
      </c>
      <c r="C19" s="29" t="str">
        <f>IF('Capital Costs'!C20&lt;&gt;"", 'Capital Costs'!C20, "")</f>
        <v/>
      </c>
      <c r="D19" s="47" t="str">
        <f>IF('Capital Costs'!D20&lt;&gt;"", 'Capital Costs'!D20, "")</f>
        <v/>
      </c>
      <c r="E19" s="27" t="str">
        <f>IF($A19&lt;&gt;"", (IF('Replacement Costs - Entry'!J20="Y",((($B19*$D19)*((1+$B$5)^E$7))*(1/((1+$F$5)^E$7))),0)), "")</f>
        <v/>
      </c>
      <c r="F19" s="27" t="str">
        <f>IF($A19&lt;&gt;"", (IF('Replacement Costs - Entry'!K20="Y",((($B19*$D19)*((1+$B$5)^F$7))*(1/((1+$F$5)^F$7))),0)), "")</f>
        <v/>
      </c>
      <c r="G19" s="27" t="str">
        <f>IF($A19&lt;&gt;"", (IF('Replacement Costs - Entry'!L20="Y",((($B19*$D19)*((1+$B$5)^G$7))*(1/((1+$F$5)^G$7))),0)), "")</f>
        <v/>
      </c>
      <c r="H19" s="27" t="str">
        <f>IF($A19&lt;&gt;"", (IF('Replacement Costs - Entry'!M20="Y",((($B19*$D19)*((1+$B$5)^H$7))*(1/((1+$F$5)^H$7))),0)), "")</f>
        <v/>
      </c>
      <c r="I19" s="27" t="str">
        <f>IF($A19&lt;&gt;"", (IF('Replacement Costs - Entry'!N20="Y",((($B19*$D19)*((1+$B$5)^I$7))*(1/((1+$F$5)^I$7))),0)), "")</f>
        <v/>
      </c>
    </row>
    <row r="20" spans="1:9">
      <c r="A20" s="29" t="str">
        <f>IF('Capital Costs'!A21&lt;&gt;"", 'Capital Costs'!A21, "")</f>
        <v/>
      </c>
      <c r="B20" s="3" t="str">
        <f>IF('Capital Costs'!B21&lt;&gt;"", 'Capital Costs'!B21, "")</f>
        <v/>
      </c>
      <c r="C20" s="29" t="str">
        <f>IF('Capital Costs'!C21&lt;&gt;"", 'Capital Costs'!C21, "")</f>
        <v/>
      </c>
      <c r="D20" s="47" t="str">
        <f>IF('Capital Costs'!D21&lt;&gt;"", 'Capital Costs'!D21, "")</f>
        <v/>
      </c>
      <c r="E20" s="27" t="str">
        <f>IF($A20&lt;&gt;"", (IF('Replacement Costs - Entry'!J21="Y",((($B20*$D20)*((1+$B$5)^E$7))*(1/((1+$F$5)^E$7))),0)), "")</f>
        <v/>
      </c>
      <c r="F20" s="27" t="str">
        <f>IF($A20&lt;&gt;"", (IF('Replacement Costs - Entry'!K21="Y",((($B20*$D20)*((1+$B$5)^F$7))*(1/((1+$F$5)^F$7))),0)), "")</f>
        <v/>
      </c>
      <c r="G20" s="27" t="str">
        <f>IF($A20&lt;&gt;"", (IF('Replacement Costs - Entry'!L21="Y",((($B20*$D20)*((1+$B$5)^G$7))*(1/((1+$F$5)^G$7))),0)), "")</f>
        <v/>
      </c>
      <c r="H20" s="27" t="str">
        <f>IF($A20&lt;&gt;"", (IF('Replacement Costs - Entry'!M21="Y",((($B20*$D20)*((1+$B$5)^H$7))*(1/((1+$F$5)^H$7))),0)), "")</f>
        <v/>
      </c>
      <c r="I20" s="27" t="str">
        <f>IF($A20&lt;&gt;"", (IF('Replacement Costs - Entry'!N21="Y",((($B20*$D20)*((1+$B$5)^I$7))*(1/((1+$F$5)^I$7))),0)), "")</f>
        <v/>
      </c>
    </row>
    <row r="21" spans="1:9">
      <c r="A21" s="29" t="str">
        <f>IF('Capital Costs'!A22&lt;&gt;"", 'Capital Costs'!A22, "")</f>
        <v/>
      </c>
      <c r="B21" s="3" t="str">
        <f>IF('Capital Costs'!B22&lt;&gt;"", 'Capital Costs'!B22, "")</f>
        <v/>
      </c>
      <c r="C21" s="29" t="str">
        <f>IF('Capital Costs'!C22&lt;&gt;"", 'Capital Costs'!C22, "")</f>
        <v/>
      </c>
      <c r="D21" s="47" t="str">
        <f>IF('Capital Costs'!D22&lt;&gt;"", 'Capital Costs'!D22, "")</f>
        <v/>
      </c>
      <c r="E21" s="27" t="str">
        <f>IF($A21&lt;&gt;"", (IF('Replacement Costs - Entry'!J22="Y",((($B21*$D21)*((1+$B$5)^E$7))*(1/((1+$F$5)^E$7))),0)), "")</f>
        <v/>
      </c>
      <c r="F21" s="27" t="str">
        <f>IF($A21&lt;&gt;"", (IF('Replacement Costs - Entry'!K22="Y",((($B21*$D21)*((1+$B$5)^F$7))*(1/((1+$F$5)^F$7))),0)), "")</f>
        <v/>
      </c>
      <c r="G21" s="27" t="str">
        <f>IF($A21&lt;&gt;"", (IF('Replacement Costs - Entry'!L22="Y",((($B21*$D21)*((1+$B$5)^G$7))*(1/((1+$F$5)^G$7))),0)), "")</f>
        <v/>
      </c>
      <c r="H21" s="27" t="str">
        <f>IF($A21&lt;&gt;"", (IF('Replacement Costs - Entry'!M22="Y",((($B21*$D21)*((1+$B$5)^H$7))*(1/((1+$F$5)^H$7))),0)), "")</f>
        <v/>
      </c>
      <c r="I21" s="27" t="str">
        <f>IF($A21&lt;&gt;"", (IF('Replacement Costs - Entry'!N22="Y",((($B21*$D21)*((1+$B$5)^I$7))*(1/((1+$F$5)^I$7))),0)), "")</f>
        <v/>
      </c>
    </row>
    <row r="22" spans="1:9">
      <c r="A22" s="29" t="str">
        <f>IF('Capital Costs'!A23&lt;&gt;"", 'Capital Costs'!A23, "")</f>
        <v/>
      </c>
      <c r="B22" s="3" t="str">
        <f>IF('Capital Costs'!B23&lt;&gt;"", 'Capital Costs'!B23, "")</f>
        <v/>
      </c>
      <c r="C22" s="29" t="str">
        <f>IF('Capital Costs'!C23&lt;&gt;"", 'Capital Costs'!C23, "")</f>
        <v/>
      </c>
      <c r="D22" s="47" t="str">
        <f>IF('Capital Costs'!D23&lt;&gt;"", 'Capital Costs'!D23, "")</f>
        <v/>
      </c>
      <c r="E22" s="27" t="str">
        <f>IF($A22&lt;&gt;"", (IF('Replacement Costs - Entry'!J23="Y",((($B22*$D22)*((1+$B$5)^E$7))*(1/((1+$F$5)^E$7))),0)), "")</f>
        <v/>
      </c>
      <c r="F22" s="27" t="str">
        <f>IF($A22&lt;&gt;"", (IF('Replacement Costs - Entry'!K23="Y",((($B22*$D22)*((1+$B$5)^F$7))*(1/((1+$F$5)^F$7))),0)), "")</f>
        <v/>
      </c>
      <c r="G22" s="27" t="str">
        <f>IF($A22&lt;&gt;"", (IF('Replacement Costs - Entry'!L23="Y",((($B22*$D22)*((1+$B$5)^G$7))*(1/((1+$F$5)^G$7))),0)), "")</f>
        <v/>
      </c>
      <c r="H22" s="27" t="str">
        <f>IF($A22&lt;&gt;"", (IF('Replacement Costs - Entry'!M23="Y",((($B22*$D22)*((1+$B$5)^H$7))*(1/((1+$F$5)^H$7))),0)), "")</f>
        <v/>
      </c>
      <c r="I22" s="27" t="str">
        <f>IF($A22&lt;&gt;"", (IF('Replacement Costs - Entry'!N23="Y",((($B22*$D22)*((1+$B$5)^I$7))*(1/((1+$F$5)^I$7))),0)), "")</f>
        <v/>
      </c>
    </row>
    <row r="23" spans="1:9">
      <c r="A23" s="29" t="str">
        <f>IF('Capital Costs'!A24&lt;&gt;"", 'Capital Costs'!A24, "")</f>
        <v/>
      </c>
      <c r="B23" s="3" t="str">
        <f>IF('Capital Costs'!B24&lt;&gt;"", 'Capital Costs'!B24, "")</f>
        <v/>
      </c>
      <c r="C23" s="29" t="str">
        <f>IF('Capital Costs'!C24&lt;&gt;"", 'Capital Costs'!C24, "")</f>
        <v/>
      </c>
      <c r="D23" s="47" t="str">
        <f>IF('Capital Costs'!D24&lt;&gt;"", 'Capital Costs'!D24, "")</f>
        <v/>
      </c>
      <c r="E23" s="27" t="str">
        <f>IF($A23&lt;&gt;"", (IF('Replacement Costs - Entry'!J24="Y",((($B23*$D23)*((1+$B$5)^E$7))*(1/((1+$F$5)^E$7))),0)), "")</f>
        <v/>
      </c>
      <c r="F23" s="27" t="str">
        <f>IF($A23&lt;&gt;"", (IF('Replacement Costs - Entry'!K24="Y",((($B23*$D23)*((1+$B$5)^F$7))*(1/((1+$F$5)^F$7))),0)), "")</f>
        <v/>
      </c>
      <c r="G23" s="27" t="str">
        <f>IF($A23&lt;&gt;"", (IF('Replacement Costs - Entry'!L24="Y",((($B23*$D23)*((1+$B$5)^G$7))*(1/((1+$F$5)^G$7))),0)), "")</f>
        <v/>
      </c>
      <c r="H23" s="27" t="str">
        <f>IF($A23&lt;&gt;"", (IF('Replacement Costs - Entry'!M24="Y",((($B23*$D23)*((1+$B$5)^H$7))*(1/((1+$F$5)^H$7))),0)), "")</f>
        <v/>
      </c>
      <c r="I23" s="27" t="str">
        <f>IF($A23&lt;&gt;"", (IF('Replacement Costs - Entry'!N24="Y",((($B23*$D23)*((1+$B$5)^I$7))*(1/((1+$F$5)^I$7))),0)), "")</f>
        <v/>
      </c>
    </row>
    <row r="24" spans="1:9">
      <c r="A24" s="29" t="str">
        <f>IF('Capital Costs'!A25&lt;&gt;"", 'Capital Costs'!A25, "")</f>
        <v/>
      </c>
      <c r="B24" s="3" t="str">
        <f>IF('Capital Costs'!B25&lt;&gt;"", 'Capital Costs'!B25, "")</f>
        <v/>
      </c>
      <c r="C24" s="29" t="str">
        <f>IF('Capital Costs'!C25&lt;&gt;"", 'Capital Costs'!C25, "")</f>
        <v/>
      </c>
      <c r="D24" s="47" t="str">
        <f>IF('Capital Costs'!D25&lt;&gt;"", 'Capital Costs'!D25, "")</f>
        <v/>
      </c>
      <c r="E24" s="27" t="str">
        <f>IF($A24&lt;&gt;"", (IF('Replacement Costs - Entry'!J25="Y",((($B24*$D24)*((1+$B$5)^E$7))*(1/((1+$F$5)^E$7))),0)), "")</f>
        <v/>
      </c>
      <c r="F24" s="27" t="str">
        <f>IF($A24&lt;&gt;"", (IF('Replacement Costs - Entry'!K25="Y",((($B24*$D24)*((1+$B$5)^F$7))*(1/((1+$F$5)^F$7))),0)), "")</f>
        <v/>
      </c>
      <c r="G24" s="27" t="str">
        <f>IF($A24&lt;&gt;"", (IF('Replacement Costs - Entry'!L25="Y",((($B24*$D24)*((1+$B$5)^G$7))*(1/((1+$F$5)^G$7))),0)), "")</f>
        <v/>
      </c>
      <c r="H24" s="27" t="str">
        <f>IF($A24&lt;&gt;"", (IF('Replacement Costs - Entry'!M25="Y",((($B24*$D24)*((1+$B$5)^H$7))*(1/((1+$F$5)^H$7))),0)), "")</f>
        <v/>
      </c>
      <c r="I24" s="27" t="str">
        <f>IF($A24&lt;&gt;"", (IF('Replacement Costs - Entry'!N25="Y",((($B24*$D24)*((1+$B$5)^I$7))*(1/((1+$F$5)^I$7))),0)), "")</f>
        <v/>
      </c>
    </row>
    <row r="25" spans="1:9">
      <c r="A25" s="29" t="str">
        <f>IF('Capital Costs'!A26&lt;&gt;"", 'Capital Costs'!A26, "")</f>
        <v/>
      </c>
      <c r="B25" s="3" t="str">
        <f>IF('Capital Costs'!B26&lt;&gt;"", 'Capital Costs'!B26, "")</f>
        <v/>
      </c>
      <c r="C25" s="29" t="str">
        <f>IF('Capital Costs'!C26&lt;&gt;"", 'Capital Costs'!C26, "")</f>
        <v/>
      </c>
      <c r="D25" s="47" t="str">
        <f>IF('Capital Costs'!D26&lt;&gt;"", 'Capital Costs'!D26, "")</f>
        <v/>
      </c>
      <c r="E25" s="27" t="str">
        <f>IF($A25&lt;&gt;"", (IF('Replacement Costs - Entry'!J26="Y",((($B25*$D25)*((1+$B$5)^E$7))*(1/((1+$F$5)^E$7))),0)), "")</f>
        <v/>
      </c>
      <c r="F25" s="27" t="str">
        <f>IF($A25&lt;&gt;"", (IF('Replacement Costs - Entry'!K26="Y",((($B25*$D25)*((1+$B$5)^F$7))*(1/((1+$F$5)^F$7))),0)), "")</f>
        <v/>
      </c>
      <c r="G25" s="27" t="str">
        <f>IF($A25&lt;&gt;"", (IF('Replacement Costs - Entry'!L26="Y",((($B25*$D25)*((1+$B$5)^G$7))*(1/((1+$F$5)^G$7))),0)), "")</f>
        <v/>
      </c>
      <c r="H25" s="27" t="str">
        <f>IF($A25&lt;&gt;"", (IF('Replacement Costs - Entry'!M26="Y",((($B25*$D25)*((1+$B$5)^H$7))*(1/((1+$F$5)^H$7))),0)), "")</f>
        <v/>
      </c>
      <c r="I25" s="27" t="str">
        <f>IF($A25&lt;&gt;"", (IF('Replacement Costs - Entry'!N26="Y",((($B25*$D25)*((1+$B$5)^I$7))*(1/((1+$F$5)^I$7))),0)), "")</f>
        <v/>
      </c>
    </row>
    <row r="26" spans="1:9">
      <c r="A26" s="29" t="str">
        <f>IF('Capital Costs'!A27&lt;&gt;"", 'Capital Costs'!A27, "")</f>
        <v/>
      </c>
      <c r="B26" s="3" t="str">
        <f>IF('Capital Costs'!B27&lt;&gt;"", 'Capital Costs'!B27, "")</f>
        <v/>
      </c>
      <c r="C26" s="29" t="str">
        <f>IF('Capital Costs'!C27&lt;&gt;"", 'Capital Costs'!C27, "")</f>
        <v/>
      </c>
      <c r="D26" s="47" t="str">
        <f>IF('Capital Costs'!D27&lt;&gt;"", 'Capital Costs'!D27, "")</f>
        <v/>
      </c>
      <c r="E26" s="27" t="str">
        <f>IF($A26&lt;&gt;"", (IF('Replacement Costs - Entry'!J27="Y",((($B26*$D26)*((1+$B$5)^E$7))*(1/((1+$F$5)^E$7))),0)), "")</f>
        <v/>
      </c>
      <c r="F26" s="27" t="str">
        <f>IF($A26&lt;&gt;"", (IF('Replacement Costs - Entry'!K27="Y",((($B26*$D26)*((1+$B$5)^F$7))*(1/((1+$F$5)^F$7))),0)), "")</f>
        <v/>
      </c>
      <c r="G26" s="27" t="str">
        <f>IF($A26&lt;&gt;"", (IF('Replacement Costs - Entry'!L27="Y",((($B26*$D26)*((1+$B$5)^G$7))*(1/((1+$F$5)^G$7))),0)), "")</f>
        <v/>
      </c>
      <c r="H26" s="27" t="str">
        <f>IF($A26&lt;&gt;"", (IF('Replacement Costs - Entry'!M27="Y",((($B26*$D26)*((1+$B$5)^H$7))*(1/((1+$F$5)^H$7))),0)), "")</f>
        <v/>
      </c>
      <c r="I26" s="27" t="str">
        <f>IF($A26&lt;&gt;"", (IF('Replacement Costs - Entry'!N27="Y",((($B26*$D26)*((1+$B$5)^I$7))*(1/((1+$F$5)^I$7))),0)), "")</f>
        <v/>
      </c>
    </row>
    <row r="27" spans="1:9">
      <c r="A27" s="29" t="str">
        <f>IF('Capital Costs'!A28&lt;&gt;"", 'Capital Costs'!A28, "")</f>
        <v/>
      </c>
      <c r="B27" s="3" t="str">
        <f>IF('Capital Costs'!B28&lt;&gt;"", 'Capital Costs'!B28, "")</f>
        <v/>
      </c>
      <c r="C27" s="29" t="str">
        <f>IF('Capital Costs'!C28&lt;&gt;"", 'Capital Costs'!C28, "")</f>
        <v/>
      </c>
      <c r="D27" s="47" t="str">
        <f>IF('Capital Costs'!D28&lt;&gt;"", 'Capital Costs'!D28, "")</f>
        <v/>
      </c>
      <c r="E27" s="27" t="str">
        <f>IF($A27&lt;&gt;"", (IF('Replacement Costs - Entry'!J28="Y",((($B27*$D27)*((1+$B$5)^E$7))*(1/((1+$F$5)^E$7))),0)), "")</f>
        <v/>
      </c>
      <c r="F27" s="27" t="str">
        <f>IF($A27&lt;&gt;"", (IF('Replacement Costs - Entry'!K28="Y",((($B27*$D27)*((1+$B$5)^F$7))*(1/((1+$F$5)^F$7))),0)), "")</f>
        <v/>
      </c>
      <c r="G27" s="27" t="str">
        <f>IF($A27&lt;&gt;"", (IF('Replacement Costs - Entry'!L28="Y",((($B27*$D27)*((1+$B$5)^G$7))*(1/((1+$F$5)^G$7))),0)), "")</f>
        <v/>
      </c>
      <c r="H27" s="27" t="str">
        <f>IF($A27&lt;&gt;"", (IF('Replacement Costs - Entry'!M28="Y",((($B27*$D27)*((1+$B$5)^H$7))*(1/((1+$F$5)^H$7))),0)), "")</f>
        <v/>
      </c>
      <c r="I27" s="27" t="str">
        <f>IF($A27&lt;&gt;"", (IF('Replacement Costs - Entry'!N28="Y",((($B27*$D27)*((1+$B$5)^I$7))*(1/((1+$F$5)^I$7))),0)), "")</f>
        <v/>
      </c>
    </row>
    <row r="28" spans="1:9">
      <c r="A28" s="29" t="str">
        <f>IF('Capital Costs'!A29&lt;&gt;"", 'Capital Costs'!A29, "")</f>
        <v/>
      </c>
      <c r="B28" s="3" t="str">
        <f>IF('Capital Costs'!B29&lt;&gt;"", 'Capital Costs'!B29, "")</f>
        <v/>
      </c>
      <c r="C28" s="29" t="str">
        <f>IF('Capital Costs'!C29&lt;&gt;"", 'Capital Costs'!C29, "")</f>
        <v/>
      </c>
      <c r="D28" s="47" t="str">
        <f>IF('Capital Costs'!D29&lt;&gt;"", 'Capital Costs'!D29, "")</f>
        <v/>
      </c>
      <c r="E28" s="27" t="str">
        <f>IF($A28&lt;&gt;"", (IF('Replacement Costs - Entry'!J29="Y",((($B28*$D28)*((1+$B$5)^E$7))*(1/((1+$F$5)^E$7))),0)), "")</f>
        <v/>
      </c>
      <c r="F28" s="27" t="str">
        <f>IF($A28&lt;&gt;"", (IF('Replacement Costs - Entry'!K29="Y",((($B28*$D28)*((1+$B$5)^F$7))*(1/((1+$F$5)^F$7))),0)), "")</f>
        <v/>
      </c>
      <c r="G28" s="27" t="str">
        <f>IF($A28&lt;&gt;"", (IF('Replacement Costs - Entry'!L29="Y",((($B28*$D28)*((1+$B$5)^G$7))*(1/((1+$F$5)^G$7))),0)), "")</f>
        <v/>
      </c>
      <c r="H28" s="27" t="str">
        <f>IF($A28&lt;&gt;"", (IF('Replacement Costs - Entry'!M29="Y",((($B28*$D28)*((1+$B$5)^H$7))*(1/((1+$F$5)^H$7))),0)), "")</f>
        <v/>
      </c>
      <c r="I28" s="27" t="str">
        <f>IF($A28&lt;&gt;"", (IF('Replacement Costs - Entry'!N29="Y",((($B28*$D28)*((1+$B$5)^I$7))*(1/((1+$F$5)^I$7))),0)), "")</f>
        <v/>
      </c>
    </row>
    <row r="29" spans="1:9">
      <c r="A29" s="29" t="str">
        <f>IF('Capital Costs'!A30&lt;&gt;"", 'Capital Costs'!A30, "")</f>
        <v/>
      </c>
      <c r="B29" s="3" t="str">
        <f>IF('Capital Costs'!B30&lt;&gt;"", 'Capital Costs'!B30, "")</f>
        <v/>
      </c>
      <c r="C29" s="29" t="str">
        <f>IF('Capital Costs'!C30&lt;&gt;"", 'Capital Costs'!C30, "")</f>
        <v/>
      </c>
      <c r="D29" s="47" t="str">
        <f>IF('Capital Costs'!D30&lt;&gt;"", 'Capital Costs'!D30, "")</f>
        <v/>
      </c>
      <c r="E29" s="27" t="str">
        <f>IF($A29&lt;&gt;"", (IF('Replacement Costs - Entry'!J30="Y",((($B29*$D29)*((1+$B$5)^E$7))*(1/((1+$F$5)^E$7))),0)), "")</f>
        <v/>
      </c>
      <c r="F29" s="27" t="str">
        <f>IF($A29&lt;&gt;"", (IF('Replacement Costs - Entry'!K30="Y",((($B29*$D29)*((1+$B$5)^F$7))*(1/((1+$F$5)^F$7))),0)), "")</f>
        <v/>
      </c>
      <c r="G29" s="27" t="str">
        <f>IF($A29&lt;&gt;"", (IF('Replacement Costs - Entry'!L30="Y",((($B29*$D29)*((1+$B$5)^G$7))*(1/((1+$F$5)^G$7))),0)), "")</f>
        <v/>
      </c>
      <c r="H29" s="27" t="str">
        <f>IF($A29&lt;&gt;"", (IF('Replacement Costs - Entry'!M30="Y",((($B29*$D29)*((1+$B$5)^H$7))*(1/((1+$F$5)^H$7))),0)), "")</f>
        <v/>
      </c>
      <c r="I29" s="27" t="str">
        <f>IF($A29&lt;&gt;"", (IF('Replacement Costs - Entry'!N30="Y",((($B29*$D29)*((1+$B$5)^I$7))*(1/((1+$F$5)^I$7))),0)), "")</f>
        <v/>
      </c>
    </row>
    <row r="30" spans="1:9">
      <c r="A30" s="29" t="str">
        <f>IF('Capital Costs'!A31&lt;&gt;"", 'Capital Costs'!A31, "")</f>
        <v/>
      </c>
      <c r="B30" s="3" t="str">
        <f>IF('Capital Costs'!B31&lt;&gt;"", 'Capital Costs'!B31, "")</f>
        <v/>
      </c>
      <c r="C30" s="29" t="str">
        <f>IF('Capital Costs'!C31&lt;&gt;"", 'Capital Costs'!C31, "")</f>
        <v/>
      </c>
      <c r="D30" s="47" t="str">
        <f>IF('Capital Costs'!D31&lt;&gt;"", 'Capital Costs'!D31, "")</f>
        <v/>
      </c>
      <c r="E30" s="27" t="str">
        <f>IF($A30&lt;&gt;"", (IF('Replacement Costs - Entry'!J31="Y",((($B30*$D30)*((1+$B$5)^E$7))*(1/((1+$F$5)^E$7))),0)), "")</f>
        <v/>
      </c>
      <c r="F30" s="27" t="str">
        <f>IF($A30&lt;&gt;"", (IF('Replacement Costs - Entry'!K31="Y",((($B30*$D30)*((1+$B$5)^F$7))*(1/((1+$F$5)^F$7))),0)), "")</f>
        <v/>
      </c>
      <c r="G30" s="27" t="str">
        <f>IF($A30&lt;&gt;"", (IF('Replacement Costs - Entry'!L31="Y",((($B30*$D30)*((1+$B$5)^G$7))*(1/((1+$F$5)^G$7))),0)), "")</f>
        <v/>
      </c>
      <c r="H30" s="27" t="str">
        <f>IF($A30&lt;&gt;"", (IF('Replacement Costs - Entry'!M31="Y",((($B30*$D30)*((1+$B$5)^H$7))*(1/((1+$F$5)^H$7))),0)), "")</f>
        <v/>
      </c>
      <c r="I30" s="27" t="str">
        <f>IF($A30&lt;&gt;"", (IF('Replacement Costs - Entry'!N31="Y",((($B30*$D30)*((1+$B$5)^I$7))*(1/((1+$F$5)^I$7))),0)), "")</f>
        <v/>
      </c>
    </row>
    <row r="31" spans="1:9">
      <c r="A31" s="29" t="str">
        <f>IF('Capital Costs'!A32&lt;&gt;"", 'Capital Costs'!A32, "")</f>
        <v/>
      </c>
      <c r="B31" s="3" t="str">
        <f>IF('Capital Costs'!B32&lt;&gt;"", 'Capital Costs'!B32, "")</f>
        <v/>
      </c>
      <c r="C31" s="29" t="str">
        <f>IF('Capital Costs'!C32&lt;&gt;"", 'Capital Costs'!C32, "")</f>
        <v/>
      </c>
      <c r="D31" s="47" t="str">
        <f>IF('Capital Costs'!D32&lt;&gt;"", 'Capital Costs'!D32, "")</f>
        <v/>
      </c>
      <c r="E31" s="27" t="str">
        <f>IF($A31&lt;&gt;"", (IF('Replacement Costs - Entry'!J32="Y",((($B31*$D31)*((1+$B$5)^E$7))*(1/((1+$F$5)^E$7))),0)), "")</f>
        <v/>
      </c>
      <c r="F31" s="27" t="str">
        <f>IF($A31&lt;&gt;"", (IF('Replacement Costs - Entry'!K32="Y",((($B31*$D31)*((1+$B$5)^F$7))*(1/((1+$F$5)^F$7))),0)), "")</f>
        <v/>
      </c>
      <c r="G31" s="27" t="str">
        <f>IF($A31&lt;&gt;"", (IF('Replacement Costs - Entry'!L32="Y",((($B31*$D31)*((1+$B$5)^G$7))*(1/((1+$F$5)^G$7))),0)), "")</f>
        <v/>
      </c>
      <c r="H31" s="27" t="str">
        <f>IF($A31&lt;&gt;"", (IF('Replacement Costs - Entry'!M32="Y",((($B31*$D31)*((1+$B$5)^H$7))*(1/((1+$F$5)^H$7))),0)), "")</f>
        <v/>
      </c>
      <c r="I31" s="27" t="str">
        <f>IF($A31&lt;&gt;"", (IF('Replacement Costs - Entry'!N32="Y",((($B31*$D31)*((1+$B$5)^I$7))*(1/((1+$F$5)^I$7))),0)), "")</f>
        <v/>
      </c>
    </row>
    <row r="32" spans="1:9">
      <c r="A32" s="29" t="str">
        <f>IF('Capital Costs'!A33&lt;&gt;"", 'Capital Costs'!A33, "")</f>
        <v/>
      </c>
      <c r="B32" s="3" t="str">
        <f>IF('Capital Costs'!B33&lt;&gt;"", 'Capital Costs'!B33, "")</f>
        <v/>
      </c>
      <c r="C32" s="29" t="str">
        <f>IF('Capital Costs'!C33&lt;&gt;"", 'Capital Costs'!C33, "")</f>
        <v/>
      </c>
      <c r="D32" s="47" t="str">
        <f>IF('Capital Costs'!D33&lt;&gt;"", 'Capital Costs'!D33, "")</f>
        <v/>
      </c>
      <c r="E32" s="27" t="str">
        <f>IF($A32&lt;&gt;"", (IF('Replacement Costs - Entry'!J33="Y",((($B32*$D32)*((1+$B$5)^E$7))*(1/((1+$F$5)^E$7))),0)), "")</f>
        <v/>
      </c>
      <c r="F32" s="27" t="str">
        <f>IF($A32&lt;&gt;"", (IF('Replacement Costs - Entry'!K33="Y",((($B32*$D32)*((1+$B$5)^F$7))*(1/((1+$F$5)^F$7))),0)), "")</f>
        <v/>
      </c>
      <c r="G32" s="27" t="str">
        <f>IF($A32&lt;&gt;"", (IF('Replacement Costs - Entry'!L33="Y",((($B32*$D32)*((1+$B$5)^G$7))*(1/((1+$F$5)^G$7))),0)), "")</f>
        <v/>
      </c>
      <c r="H32" s="27" t="str">
        <f>IF($A32&lt;&gt;"", (IF('Replacement Costs - Entry'!M33="Y",((($B32*$D32)*((1+$B$5)^H$7))*(1/((1+$F$5)^H$7))),0)), "")</f>
        <v/>
      </c>
      <c r="I32" s="27" t="str">
        <f>IF($A32&lt;&gt;"", (IF('Replacement Costs - Entry'!N33="Y",((($B32*$D32)*((1+$B$5)^I$7))*(1/((1+$F$5)^I$7))),0)), "")</f>
        <v/>
      </c>
    </row>
    <row r="33" spans="1:9">
      <c r="A33" s="29" t="str">
        <f>IF('Capital Costs'!A34&lt;&gt;"", 'Capital Costs'!A34, "")</f>
        <v/>
      </c>
      <c r="B33" s="3" t="str">
        <f>IF('Capital Costs'!B34&lt;&gt;"", 'Capital Costs'!B34, "")</f>
        <v/>
      </c>
      <c r="C33" s="29" t="str">
        <f>IF('Capital Costs'!C34&lt;&gt;"", 'Capital Costs'!C34, "")</f>
        <v/>
      </c>
      <c r="D33" s="47" t="str">
        <f>IF('Capital Costs'!D34&lt;&gt;"", 'Capital Costs'!D34, "")</f>
        <v/>
      </c>
      <c r="E33" s="27" t="str">
        <f>IF($A33&lt;&gt;"", (IF('Replacement Costs - Entry'!J34="Y",((($B33*$D33)*((1+$B$5)^E$7))*(1/((1+$F$5)^E$7))),0)), "")</f>
        <v/>
      </c>
      <c r="F33" s="27" t="str">
        <f>IF($A33&lt;&gt;"", (IF('Replacement Costs - Entry'!K34="Y",((($B33*$D33)*((1+$B$5)^F$7))*(1/((1+$F$5)^F$7))),0)), "")</f>
        <v/>
      </c>
      <c r="G33" s="27" t="str">
        <f>IF($A33&lt;&gt;"", (IF('Replacement Costs - Entry'!L34="Y",((($B33*$D33)*((1+$B$5)^G$7))*(1/((1+$F$5)^G$7))),0)), "")</f>
        <v/>
      </c>
      <c r="H33" s="27" t="str">
        <f>IF($A33&lt;&gt;"", (IF('Replacement Costs - Entry'!M34="Y",((($B33*$D33)*((1+$B$5)^H$7))*(1/((1+$F$5)^H$7))),0)), "")</f>
        <v/>
      </c>
      <c r="I33" s="27" t="str">
        <f>IF($A33&lt;&gt;"", (IF('Replacement Costs - Entry'!N34="Y",((($B33*$D33)*((1+$B$5)^I$7))*(1/((1+$F$5)^I$7))),0)), "")</f>
        <v/>
      </c>
    </row>
    <row r="34" spans="1:9">
      <c r="A34" s="29" t="str">
        <f>IF('Capital Costs'!A35&lt;&gt;"", 'Capital Costs'!A35, "")</f>
        <v/>
      </c>
      <c r="B34" s="3" t="str">
        <f>IF('Capital Costs'!B35&lt;&gt;"", 'Capital Costs'!B35, "")</f>
        <v/>
      </c>
      <c r="C34" s="29" t="str">
        <f>IF('Capital Costs'!C35&lt;&gt;"", 'Capital Costs'!C35, "")</f>
        <v/>
      </c>
      <c r="D34" s="47" t="str">
        <f>IF('Capital Costs'!D35&lt;&gt;"", 'Capital Costs'!D35, "")</f>
        <v/>
      </c>
      <c r="E34" s="27" t="str">
        <f>IF($A34&lt;&gt;"", (IF('Replacement Costs - Entry'!J35="Y",((($B34*$D34)*((1+$B$5)^E$7))*(1/((1+$F$5)^E$7))),0)), "")</f>
        <v/>
      </c>
      <c r="F34" s="27" t="str">
        <f>IF($A34&lt;&gt;"", (IF('Replacement Costs - Entry'!K35="Y",((($B34*$D34)*((1+$B$5)^F$7))*(1/((1+$F$5)^F$7))),0)), "")</f>
        <v/>
      </c>
      <c r="G34" s="27" t="str">
        <f>IF($A34&lt;&gt;"", (IF('Replacement Costs - Entry'!L35="Y",((($B34*$D34)*((1+$B$5)^G$7))*(1/((1+$F$5)^G$7))),0)), "")</f>
        <v/>
      </c>
      <c r="H34" s="27" t="str">
        <f>IF($A34&lt;&gt;"", (IF('Replacement Costs - Entry'!M35="Y",((($B34*$D34)*((1+$B$5)^H$7))*(1/((1+$F$5)^H$7))),0)), "")</f>
        <v/>
      </c>
      <c r="I34" s="27" t="str">
        <f>IF($A34&lt;&gt;"", (IF('Replacement Costs - Entry'!N35="Y",((($B34*$D34)*((1+$B$5)^I$7))*(1/((1+$F$5)^I$7))),0)), "")</f>
        <v/>
      </c>
    </row>
    <row r="35" spans="1:9">
      <c r="A35" s="29" t="str">
        <f>IF('Capital Costs'!A36&lt;&gt;"", 'Capital Costs'!A36, "")</f>
        <v/>
      </c>
      <c r="B35" s="3" t="str">
        <f>IF('Capital Costs'!B36&lt;&gt;"", 'Capital Costs'!B36, "")</f>
        <v/>
      </c>
      <c r="C35" s="29" t="str">
        <f>IF('Capital Costs'!C36&lt;&gt;"", 'Capital Costs'!C36, "")</f>
        <v/>
      </c>
      <c r="D35" s="47" t="str">
        <f>IF('Capital Costs'!D36&lt;&gt;"", 'Capital Costs'!D36, "")</f>
        <v/>
      </c>
      <c r="E35" s="27" t="str">
        <f>IF($A35&lt;&gt;"", (IF('Replacement Costs - Entry'!J36="Y",((($B35*$D35)*((1+$B$5)^E$7))*(1/((1+$F$5)^E$7))),0)), "")</f>
        <v/>
      </c>
      <c r="F35" s="27" t="str">
        <f>IF($A35&lt;&gt;"", (IF('Replacement Costs - Entry'!K36="Y",((($B35*$D35)*((1+$B$5)^F$7))*(1/((1+$F$5)^F$7))),0)), "")</f>
        <v/>
      </c>
      <c r="G35" s="27" t="str">
        <f>IF($A35&lt;&gt;"", (IF('Replacement Costs - Entry'!L36="Y",((($B35*$D35)*((1+$B$5)^G$7))*(1/((1+$F$5)^G$7))),0)), "")</f>
        <v/>
      </c>
      <c r="H35" s="27" t="str">
        <f>IF($A35&lt;&gt;"", (IF('Replacement Costs - Entry'!M36="Y",((($B35*$D35)*((1+$B$5)^H$7))*(1/((1+$F$5)^H$7))),0)), "")</f>
        <v/>
      </c>
      <c r="I35" s="27" t="str">
        <f>IF($A35&lt;&gt;"", (IF('Replacement Costs - Entry'!N36="Y",((($B35*$D35)*((1+$B$5)^I$7))*(1/((1+$F$5)^I$7))),0)), "")</f>
        <v/>
      </c>
    </row>
    <row r="36" spans="1:9">
      <c r="A36" s="29" t="str">
        <f>IF('Capital Costs'!A37&lt;&gt;"", 'Capital Costs'!A37, "")</f>
        <v/>
      </c>
      <c r="B36" s="3" t="str">
        <f>IF('Capital Costs'!B37&lt;&gt;"", 'Capital Costs'!B37, "")</f>
        <v/>
      </c>
      <c r="C36" s="29" t="str">
        <f>IF('Capital Costs'!C37&lt;&gt;"", 'Capital Costs'!C37, "")</f>
        <v/>
      </c>
      <c r="D36" s="47" t="str">
        <f>IF('Capital Costs'!D37&lt;&gt;"", 'Capital Costs'!D37, "")</f>
        <v/>
      </c>
      <c r="E36" s="27" t="str">
        <f>IF($A36&lt;&gt;"", (IF('Replacement Costs - Entry'!J37="Y",((($B36*$D36)*((1+$B$5)^E$7))*(1/((1+$F$5)^E$7))),0)), "")</f>
        <v/>
      </c>
      <c r="F36" s="27" t="str">
        <f>IF($A36&lt;&gt;"", (IF('Replacement Costs - Entry'!K37="Y",((($B36*$D36)*((1+$B$5)^F$7))*(1/((1+$F$5)^F$7))),0)), "")</f>
        <v/>
      </c>
      <c r="G36" s="27" t="str">
        <f>IF($A36&lt;&gt;"", (IF('Replacement Costs - Entry'!L37="Y",((($B36*$D36)*((1+$B$5)^G$7))*(1/((1+$F$5)^G$7))),0)), "")</f>
        <v/>
      </c>
      <c r="H36" s="27" t="str">
        <f>IF($A36&lt;&gt;"", (IF('Replacement Costs - Entry'!M37="Y",((($B36*$D36)*((1+$B$5)^H$7))*(1/((1+$F$5)^H$7))),0)), "")</f>
        <v/>
      </c>
      <c r="I36" s="27" t="str">
        <f>IF($A36&lt;&gt;"", (IF('Replacement Costs - Entry'!N37="Y",((($B36*$D36)*((1+$B$5)^I$7))*(1/((1+$F$5)^I$7))),0)), "")</f>
        <v/>
      </c>
    </row>
    <row r="37" spans="1:9">
      <c r="A37" s="23"/>
      <c r="B37" s="23"/>
      <c r="C37" s="23"/>
      <c r="D37" s="36" t="s">
        <v>49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</row>
  </sheetData>
  <sheetProtection sheet="1" objects="1" scenarios="1"/>
  <mergeCells count="5">
    <mergeCell ref="E6:I6"/>
    <mergeCell ref="A1:I1"/>
    <mergeCell ref="A2:I2"/>
    <mergeCell ref="A3:I3"/>
    <mergeCell ref="A4:I4"/>
  </mergeCells>
  <printOptions horizontalCentered="1"/>
  <pageMargins left="0.5" right="0.5" top="0.75" bottom="0.75" header="0.3" footer="0.3"/>
  <pageSetup scale="74" fitToWidth="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1"/>
  <sheetViews>
    <sheetView topLeftCell="A7"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141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2">
        <f>'Capital Costs'!B6</f>
        <v>0</v>
      </c>
      <c r="B4" s="153"/>
      <c r="C4" s="153"/>
      <c r="D4" s="153"/>
      <c r="E4" s="153"/>
      <c r="F4" s="153"/>
      <c r="G4" s="153"/>
      <c r="H4" s="153"/>
      <c r="I4" s="154"/>
    </row>
    <row r="5" spans="1:9" ht="17.25" customHeight="1">
      <c r="A5" s="95" t="str">
        <f>'Replace Costs - Results 1-5'!A5</f>
        <v>Current Inflation Rate based on Construction Cost Index:</v>
      </c>
      <c r="B5" s="63">
        <f>'Replace Costs - Results 1-5'!B5</f>
        <v>2.0671834625323047E-2</v>
      </c>
      <c r="C5" s="62"/>
      <c r="D5" s="62"/>
      <c r="E5" s="59" t="s">
        <v>43</v>
      </c>
      <c r="F5" s="64">
        <f>'Replace Costs - Results 1-5'!F5</f>
        <v>4.8750000000000002E-2</v>
      </c>
      <c r="G5" s="50"/>
      <c r="H5" s="50"/>
      <c r="I5" s="51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6</v>
      </c>
      <c r="F7" s="26">
        <v>7</v>
      </c>
      <c r="G7" s="26">
        <v>8</v>
      </c>
      <c r="H7" s="26">
        <v>9</v>
      </c>
      <c r="I7" s="26">
        <v>10</v>
      </c>
    </row>
    <row r="8" spans="1:9">
      <c r="A8" s="29" t="str">
        <f>IF('Capital Costs'!A9&lt;&gt;"", 'Capital Costs'!A9, "")</f>
        <v/>
      </c>
      <c r="B8" s="3" t="str">
        <f>IF('Capital Costs'!B9&lt;&gt;"", 'Capital Costs'!B9, "")</f>
        <v/>
      </c>
      <c r="C8" s="29" t="str">
        <f>IF('Capital Costs'!C9&lt;&gt;"", 'Capital Costs'!C9, "")</f>
        <v/>
      </c>
      <c r="D8" s="47" t="str">
        <f>IF('Capital Costs'!D9&lt;&gt;"", 'Capital Costs'!D9, "")</f>
        <v/>
      </c>
      <c r="E8" s="27" t="str">
        <f>IF($A8&lt;&gt;"", (IF('Replacement Costs - Entry'!O9="Y",((($B8*$D8)*((1+$B$5)^E$7))*(1/((1+$F$5)^E$7))),0)), "")</f>
        <v/>
      </c>
      <c r="F8" s="27" t="str">
        <f>IF($A8&lt;&gt;"", (IF('Replacement Costs - Entry'!P9="Y",((($B8*$D8)*((1+$B$5)^F$7))*(1/((1+$F$5)^F$7))),0)), "")</f>
        <v/>
      </c>
      <c r="G8" s="27" t="str">
        <f>IF($A8&lt;&gt;"", (IF('Replacement Costs - Entry'!Q9="Y",((($B8*$D8)*((1+$B$5)^G$7))*(1/((1+$F$5)^G$7))),0)), "")</f>
        <v/>
      </c>
      <c r="H8" s="27" t="str">
        <f>IF($A8&lt;&gt;"", (IF('Replacement Costs - Entry'!R9="Y",((($B8*$D8)*((1+$B$5)^H$7))*(1/((1+$F$5)^H$7))),0)), "")</f>
        <v/>
      </c>
      <c r="I8" s="27" t="str">
        <f>IF($A8&lt;&gt;"", (IF('Replacement Costs - Entry'!S9="Y",((($B8*$D8)*((1+$B$5)^I$7))*(1/((1+$F$5)^I$7))),0)), "")</f>
        <v/>
      </c>
    </row>
    <row r="9" spans="1:9">
      <c r="A9" s="29" t="str">
        <f>IF('Capital Costs'!A10&lt;&gt;"", 'Capital Costs'!A10, "")</f>
        <v/>
      </c>
      <c r="B9" s="3" t="str">
        <f>IF('Capital Costs'!B10&lt;&gt;"", 'Capital Costs'!B10, "")</f>
        <v/>
      </c>
      <c r="C9" s="29" t="str">
        <f>IF('Capital Costs'!C10&lt;&gt;"", 'Capital Costs'!C10, "")</f>
        <v/>
      </c>
      <c r="D9" s="47" t="str">
        <f>IF('Capital Costs'!D10&lt;&gt;"", 'Capital Costs'!D10, "")</f>
        <v/>
      </c>
      <c r="E9" s="27" t="str">
        <f>IF($A9&lt;&gt;"", (IF('Replacement Costs - Entry'!O10="Y",((($B9*$D9)*((1+$B$5)^E$7))*(1/((1+$F$5)^E$7))),0)), "")</f>
        <v/>
      </c>
      <c r="F9" s="27" t="str">
        <f>IF($A9&lt;&gt;"", (IF('Replacement Costs - Entry'!P10="Y",((($B9*$D9)*((1+$B$5)^F$7))*(1/((1+$F$5)^F$7))),0)), "")</f>
        <v/>
      </c>
      <c r="G9" s="27" t="str">
        <f>IF($A9&lt;&gt;"", (IF('Replacement Costs - Entry'!Q10="Y",((($B9*$D9)*((1+$B$5)^G$7))*(1/((1+$F$5)^G$7))),0)), "")</f>
        <v/>
      </c>
      <c r="H9" s="27" t="str">
        <f>IF($A9&lt;&gt;"", (IF('Replacement Costs - Entry'!R10="Y",((($B9*$D9)*((1+$B$5)^H$7))*(1/((1+$F$5)^H$7))),0)), "")</f>
        <v/>
      </c>
      <c r="I9" s="27" t="str">
        <f>IF($A9&lt;&gt;"", (IF('Replacement Costs - Entry'!S10="Y",((($B9*$D9)*((1+$B$5)^I$7))*(1/((1+$F$5)^I$7))),0)), "")</f>
        <v/>
      </c>
    </row>
    <row r="10" spans="1:9">
      <c r="A10" s="29" t="str">
        <f>IF('Capital Costs'!A11&lt;&gt;"", 'Capital Costs'!A11, "")</f>
        <v/>
      </c>
      <c r="B10" s="3" t="str">
        <f>IF('Capital Costs'!B11&lt;&gt;"", 'Capital Costs'!B11, "")</f>
        <v/>
      </c>
      <c r="C10" s="29" t="str">
        <f>IF('Capital Costs'!C11&lt;&gt;"", 'Capital Costs'!C11, "")</f>
        <v/>
      </c>
      <c r="D10" s="47" t="str">
        <f>IF('Capital Costs'!D11&lt;&gt;"", 'Capital Costs'!D11, "")</f>
        <v/>
      </c>
      <c r="E10" s="27" t="str">
        <f>IF($A10&lt;&gt;"", (IF('Replacement Costs - Entry'!O11="Y",((($B10*$D10)*((1+$B$5)^E$7))*(1/((1+$F$5)^E$7))),0)), "")</f>
        <v/>
      </c>
      <c r="F10" s="27" t="str">
        <f>IF($A10&lt;&gt;"", (IF('Replacement Costs - Entry'!P11="Y",((($B10*$D10)*((1+$B$5)^F$7))*(1/((1+$F$5)^F$7))),0)), "")</f>
        <v/>
      </c>
      <c r="G10" s="27" t="str">
        <f>IF($A10&lt;&gt;"", (IF('Replacement Costs - Entry'!Q11="Y",((($B10*$D10)*((1+$B$5)^G$7))*(1/((1+$F$5)^G$7))),0)), "")</f>
        <v/>
      </c>
      <c r="H10" s="27" t="str">
        <f>IF($A10&lt;&gt;"", (IF('Replacement Costs - Entry'!R11="Y",((($B10*$D10)*((1+$B$5)^H$7))*(1/((1+$F$5)^H$7))),0)), "")</f>
        <v/>
      </c>
      <c r="I10" s="27" t="str">
        <f>IF($A10&lt;&gt;"", (IF('Replacement Costs - Entry'!S11="Y",((($B10*$D10)*((1+$B$5)^I$7))*(1/((1+$F$5)^I$7))),0)), "")</f>
        <v/>
      </c>
    </row>
    <row r="11" spans="1:9">
      <c r="A11" s="29" t="str">
        <f>IF('Capital Costs'!A12&lt;&gt;"", 'Capital Costs'!A12, "")</f>
        <v/>
      </c>
      <c r="B11" s="3" t="str">
        <f>IF('Capital Costs'!B12&lt;&gt;"", 'Capital Costs'!B12, "")</f>
        <v/>
      </c>
      <c r="C11" s="29" t="str">
        <f>IF('Capital Costs'!C12&lt;&gt;"", 'Capital Costs'!C12, "")</f>
        <v/>
      </c>
      <c r="D11" s="47" t="str">
        <f>IF('Capital Costs'!D12&lt;&gt;"", 'Capital Costs'!D12, "")</f>
        <v/>
      </c>
      <c r="E11" s="27" t="str">
        <f>IF($A11&lt;&gt;"", (IF('Replacement Costs - Entry'!O12="Y",((($B11*$D11)*((1+$B$5)^E$7))*(1/((1+$F$5)^E$7))),0)), "")</f>
        <v/>
      </c>
      <c r="F11" s="27" t="str">
        <f>IF($A11&lt;&gt;"", (IF('Replacement Costs - Entry'!P12="Y",((($B11*$D11)*((1+$B$5)^F$7))*(1/((1+$F$5)^F$7))),0)), "")</f>
        <v/>
      </c>
      <c r="G11" s="27" t="str">
        <f>IF($A11&lt;&gt;"", (IF('Replacement Costs - Entry'!Q12="Y",((($B11*$D11)*((1+$B$5)^G$7))*(1/((1+$F$5)^G$7))),0)), "")</f>
        <v/>
      </c>
      <c r="H11" s="27" t="str">
        <f>IF($A11&lt;&gt;"", (IF('Replacement Costs - Entry'!R12="Y",((($B11*$D11)*((1+$B$5)^H$7))*(1/((1+$F$5)^H$7))),0)), "")</f>
        <v/>
      </c>
      <c r="I11" s="27" t="str">
        <f>IF($A11&lt;&gt;"", (IF('Replacement Costs - Entry'!S12="Y",((($B11*$D11)*((1+$B$5)^I$7))*(1/((1+$F$5)^I$7))),0)), "")</f>
        <v/>
      </c>
    </row>
    <row r="12" spans="1:9">
      <c r="A12" s="29" t="str">
        <f>IF('Capital Costs'!A13&lt;&gt;"", 'Capital Costs'!A13, "")</f>
        <v/>
      </c>
      <c r="B12" s="3" t="str">
        <f>IF('Capital Costs'!B13&lt;&gt;"", 'Capital Costs'!B13, "")</f>
        <v/>
      </c>
      <c r="C12" s="29" t="str">
        <f>IF('Capital Costs'!C13&lt;&gt;"", 'Capital Costs'!C13, "")</f>
        <v/>
      </c>
      <c r="D12" s="47" t="str">
        <f>IF('Capital Costs'!D13&lt;&gt;"", 'Capital Costs'!D13, "")</f>
        <v/>
      </c>
      <c r="E12" s="27" t="str">
        <f>IF($A12&lt;&gt;"", (IF('Replacement Costs - Entry'!O13="Y",((($B12*$D12)*((1+$B$5)^E$7))*(1/((1+$F$5)^E$7))),0)), "")</f>
        <v/>
      </c>
      <c r="F12" s="27" t="str">
        <f>IF($A12&lt;&gt;"", (IF('Replacement Costs - Entry'!P13="Y",((($B12*$D12)*((1+$B$5)^F$7))*(1/((1+$F$5)^F$7))),0)), "")</f>
        <v/>
      </c>
      <c r="G12" s="27" t="str">
        <f>IF($A12&lt;&gt;"", (IF('Replacement Costs - Entry'!Q13="Y",((($B12*$D12)*((1+$B$5)^G$7))*(1/((1+$F$5)^G$7))),0)), "")</f>
        <v/>
      </c>
      <c r="H12" s="27" t="str">
        <f>IF($A12&lt;&gt;"", (IF('Replacement Costs - Entry'!R13="Y",((($B12*$D12)*((1+$B$5)^H$7))*(1/((1+$F$5)^H$7))),0)), "")</f>
        <v/>
      </c>
      <c r="I12" s="27" t="str">
        <f>IF($A12&lt;&gt;"", (IF('Replacement Costs - Entry'!S13="Y",((($B12*$D12)*((1+$B$5)^I$7))*(1/((1+$F$5)^I$7))),0)), "")</f>
        <v/>
      </c>
    </row>
    <row r="13" spans="1:9">
      <c r="A13" s="29" t="str">
        <f>IF('Capital Costs'!A14&lt;&gt;"", 'Capital Costs'!A14, "")</f>
        <v/>
      </c>
      <c r="B13" s="3" t="str">
        <f>IF('Capital Costs'!B14&lt;&gt;"", 'Capital Costs'!B14, "")</f>
        <v/>
      </c>
      <c r="C13" s="29" t="str">
        <f>IF('Capital Costs'!C14&lt;&gt;"", 'Capital Costs'!C14, "")</f>
        <v/>
      </c>
      <c r="D13" s="47" t="str">
        <f>IF('Capital Costs'!D14&lt;&gt;"", 'Capital Costs'!D14, "")</f>
        <v/>
      </c>
      <c r="E13" s="27" t="str">
        <f>IF($A13&lt;&gt;"", (IF('Replacement Costs - Entry'!O14="Y",((($B13*$D13)*((1+$B$5)^E$7))*(1/((1+$F$5)^E$7))),0)), "")</f>
        <v/>
      </c>
      <c r="F13" s="27" t="str">
        <f>IF($A13&lt;&gt;"", (IF('Replacement Costs - Entry'!P14="Y",((($B13*$D13)*((1+$B$5)^F$7))*(1/((1+$F$5)^F$7))),0)), "")</f>
        <v/>
      </c>
      <c r="G13" s="27" t="str">
        <f>IF($A13&lt;&gt;"", (IF('Replacement Costs - Entry'!Q14="Y",((($B13*$D13)*((1+$B$5)^G$7))*(1/((1+$F$5)^G$7))),0)), "")</f>
        <v/>
      </c>
      <c r="H13" s="27" t="str">
        <f>IF($A13&lt;&gt;"", (IF('Replacement Costs - Entry'!R14="Y",((($B13*$D13)*((1+$B$5)^H$7))*(1/((1+$F$5)^H$7))),0)), "")</f>
        <v/>
      </c>
      <c r="I13" s="27" t="str">
        <f>IF($A13&lt;&gt;"", (IF('Replacement Costs - Entry'!S14="Y",((($B13*$D13)*((1+$B$5)^I$7))*(1/((1+$F$5)^I$7))),0)), "")</f>
        <v/>
      </c>
    </row>
    <row r="14" spans="1:9">
      <c r="A14" s="29" t="str">
        <f>IF('Capital Costs'!A15&lt;&gt;"", 'Capital Costs'!A15, "")</f>
        <v/>
      </c>
      <c r="B14" s="3" t="str">
        <f>IF('Capital Costs'!B15&lt;&gt;"", 'Capital Costs'!B15, "")</f>
        <v/>
      </c>
      <c r="C14" s="29" t="str">
        <f>IF('Capital Costs'!C15&lt;&gt;"", 'Capital Costs'!C15, "")</f>
        <v/>
      </c>
      <c r="D14" s="47" t="str">
        <f>IF('Capital Costs'!D15&lt;&gt;"", 'Capital Costs'!D15, "")</f>
        <v/>
      </c>
      <c r="E14" s="27" t="str">
        <f>IF($A14&lt;&gt;"", (IF('Replacement Costs - Entry'!O15="Y",((($B14*$D14)*((1+$B$5)^E$7))*(1/((1+$F$5)^E$7))),0)), "")</f>
        <v/>
      </c>
      <c r="F14" s="27" t="str">
        <f>IF($A14&lt;&gt;"", (IF('Replacement Costs - Entry'!P15="Y",((($B14*$D14)*((1+$B$5)^F$7))*(1/((1+$F$5)^F$7))),0)), "")</f>
        <v/>
      </c>
      <c r="G14" s="27" t="str">
        <f>IF($A14&lt;&gt;"", (IF('Replacement Costs - Entry'!Q15="Y",((($B14*$D14)*((1+$B$5)^G$7))*(1/((1+$F$5)^G$7))),0)), "")</f>
        <v/>
      </c>
      <c r="H14" s="27" t="str">
        <f>IF($A14&lt;&gt;"", (IF('Replacement Costs - Entry'!R15="Y",((($B14*$D14)*((1+$B$5)^H$7))*(1/((1+$F$5)^H$7))),0)), "")</f>
        <v/>
      </c>
      <c r="I14" s="27" t="str">
        <f>IF($A14&lt;&gt;"", (IF('Replacement Costs - Entry'!S15="Y",((($B14*$D14)*((1+$B$5)^I$7))*(1/((1+$F$5)^I$7))),0)), "")</f>
        <v/>
      </c>
    </row>
    <row r="15" spans="1:9">
      <c r="A15" s="29" t="str">
        <f>IF('Capital Costs'!A16&lt;&gt;"", 'Capital Costs'!A16, "")</f>
        <v/>
      </c>
      <c r="B15" s="3" t="str">
        <f>IF('Capital Costs'!B16&lt;&gt;"", 'Capital Costs'!B16, "")</f>
        <v/>
      </c>
      <c r="C15" s="29" t="str">
        <f>IF('Capital Costs'!C16&lt;&gt;"", 'Capital Costs'!C16, "")</f>
        <v/>
      </c>
      <c r="D15" s="47" t="str">
        <f>IF('Capital Costs'!D16&lt;&gt;"", 'Capital Costs'!D16, "")</f>
        <v/>
      </c>
      <c r="E15" s="27" t="str">
        <f>IF($A15&lt;&gt;"", (IF('Replacement Costs - Entry'!O16="Y",((($B15*$D15)*((1+$B$5)^E$7))*(1/((1+$F$5)^E$7))),0)), "")</f>
        <v/>
      </c>
      <c r="F15" s="27" t="str">
        <f>IF($A15&lt;&gt;"", (IF('Replacement Costs - Entry'!P16="Y",((($B15*$D15)*((1+$B$5)^F$7))*(1/((1+$F$5)^F$7))),0)), "")</f>
        <v/>
      </c>
      <c r="G15" s="27" t="str">
        <f>IF($A15&lt;&gt;"", (IF('Replacement Costs - Entry'!Q16="Y",((($B15*$D15)*((1+$B$5)^G$7))*(1/((1+$F$5)^G$7))),0)), "")</f>
        <v/>
      </c>
      <c r="H15" s="27" t="str">
        <f>IF($A15&lt;&gt;"", (IF('Replacement Costs - Entry'!R16="Y",((($B15*$D15)*((1+$B$5)^H$7))*(1/((1+$F$5)^H$7))),0)), "")</f>
        <v/>
      </c>
      <c r="I15" s="27" t="str">
        <f>IF($A15&lt;&gt;"", (IF('Replacement Costs - Entry'!S16="Y",((($B15*$D15)*((1+$B$5)^I$7))*(1/((1+$F$5)^I$7))),0)), "")</f>
        <v/>
      </c>
    </row>
    <row r="16" spans="1:9">
      <c r="A16" s="29" t="str">
        <f>IF('Capital Costs'!A17&lt;&gt;"", 'Capital Costs'!A17, "")</f>
        <v/>
      </c>
      <c r="B16" s="3" t="str">
        <f>IF('Capital Costs'!B17&lt;&gt;"", 'Capital Costs'!B17, "")</f>
        <v/>
      </c>
      <c r="C16" s="29" t="str">
        <f>IF('Capital Costs'!C17&lt;&gt;"", 'Capital Costs'!C17, "")</f>
        <v/>
      </c>
      <c r="D16" s="47" t="str">
        <f>IF('Capital Costs'!D17&lt;&gt;"", 'Capital Costs'!D17, "")</f>
        <v/>
      </c>
      <c r="E16" s="27" t="str">
        <f>IF($A16&lt;&gt;"", (IF('Replacement Costs - Entry'!O17="Y",((($B16*$D16)*((1+$B$5)^E$7))*(1/((1+$F$5)^E$7))),0)), "")</f>
        <v/>
      </c>
      <c r="F16" s="27" t="str">
        <f>IF($A16&lt;&gt;"", (IF('Replacement Costs - Entry'!P17="Y",((($B16*$D16)*((1+$B$5)^F$7))*(1/((1+$F$5)^F$7))),0)), "")</f>
        <v/>
      </c>
      <c r="G16" s="27" t="str">
        <f>IF($A16&lt;&gt;"", (IF('Replacement Costs - Entry'!Q17="Y",((($B16*$D16)*((1+$B$5)^G$7))*(1/((1+$F$5)^G$7))),0)), "")</f>
        <v/>
      </c>
      <c r="H16" s="27" t="str">
        <f>IF($A16&lt;&gt;"", (IF('Replacement Costs - Entry'!R17="Y",((($B16*$D16)*((1+$B$5)^H$7))*(1/((1+$F$5)^H$7))),0)), "")</f>
        <v/>
      </c>
      <c r="I16" s="27" t="str">
        <f>IF($A16&lt;&gt;"", (IF('Replacement Costs - Entry'!S17="Y",((($B16*$D16)*((1+$B$5)^I$7))*(1/((1+$F$5)^I$7))),0)), "")</f>
        <v/>
      </c>
    </row>
    <row r="17" spans="1:9">
      <c r="A17" s="29" t="str">
        <f>IF('Capital Costs'!A18&lt;&gt;"", 'Capital Costs'!A18, "")</f>
        <v/>
      </c>
      <c r="B17" s="3" t="str">
        <f>IF('Capital Costs'!B18&lt;&gt;"", 'Capital Costs'!B18, "")</f>
        <v/>
      </c>
      <c r="C17" s="29" t="str">
        <f>IF('Capital Costs'!C18&lt;&gt;"", 'Capital Costs'!C18, "")</f>
        <v/>
      </c>
      <c r="D17" s="47" t="str">
        <f>IF('Capital Costs'!D18&lt;&gt;"", 'Capital Costs'!D18, "")</f>
        <v/>
      </c>
      <c r="E17" s="27" t="str">
        <f>IF($A17&lt;&gt;"", (IF('Replacement Costs - Entry'!O18="Y",((($B17*$D17)*((1+$B$5)^E$7))*(1/((1+$F$5)^E$7))),0)), "")</f>
        <v/>
      </c>
      <c r="F17" s="27" t="str">
        <f>IF($A17&lt;&gt;"", (IF('Replacement Costs - Entry'!P18="Y",((($B17*$D17)*((1+$B$5)^F$7))*(1/((1+$F$5)^F$7))),0)), "")</f>
        <v/>
      </c>
      <c r="G17" s="27" t="str">
        <f>IF($A17&lt;&gt;"", (IF('Replacement Costs - Entry'!Q18="Y",((($B17*$D17)*((1+$B$5)^G$7))*(1/((1+$F$5)^G$7))),0)), "")</f>
        <v/>
      </c>
      <c r="H17" s="27" t="str">
        <f>IF($A17&lt;&gt;"", (IF('Replacement Costs - Entry'!R18="Y",((($B17*$D17)*((1+$B$5)^H$7))*(1/((1+$F$5)^H$7))),0)), "")</f>
        <v/>
      </c>
      <c r="I17" s="27" t="str">
        <f>IF($A17&lt;&gt;"", (IF('Replacement Costs - Entry'!S18="Y",((($B17*$D17)*((1+$B$5)^I$7))*(1/((1+$F$5)^I$7))),0)), "")</f>
        <v/>
      </c>
    </row>
    <row r="18" spans="1:9">
      <c r="A18" s="29" t="str">
        <f>IF('Capital Costs'!A19&lt;&gt;"", 'Capital Costs'!A19, "")</f>
        <v/>
      </c>
      <c r="B18" s="3" t="str">
        <f>IF('Capital Costs'!B19&lt;&gt;"", 'Capital Costs'!B19, "")</f>
        <v/>
      </c>
      <c r="C18" s="29" t="str">
        <f>IF('Capital Costs'!C19&lt;&gt;"", 'Capital Costs'!C19, "")</f>
        <v/>
      </c>
      <c r="D18" s="47" t="str">
        <f>IF('Capital Costs'!D19&lt;&gt;"", 'Capital Costs'!D19, "")</f>
        <v/>
      </c>
      <c r="E18" s="27" t="str">
        <f>IF($A18&lt;&gt;"", (IF('Replacement Costs - Entry'!O19="Y",((($B18*$D18)*((1+$B$5)^E$7))*(1/((1+$F$5)^E$7))),0)), "")</f>
        <v/>
      </c>
      <c r="F18" s="27" t="str">
        <f>IF($A18&lt;&gt;"", (IF('Replacement Costs - Entry'!P19="Y",((($B18*$D18)*((1+$B$5)^F$7))*(1/((1+$F$5)^F$7))),0)), "")</f>
        <v/>
      </c>
      <c r="G18" s="27" t="str">
        <f>IF($A18&lt;&gt;"", (IF('Replacement Costs - Entry'!Q19="Y",((($B18*$D18)*((1+$B$5)^G$7))*(1/((1+$F$5)^G$7))),0)), "")</f>
        <v/>
      </c>
      <c r="H18" s="27" t="str">
        <f>IF($A18&lt;&gt;"", (IF('Replacement Costs - Entry'!R19="Y",((($B18*$D18)*((1+$B$5)^H$7))*(1/((1+$F$5)^H$7))),0)), "")</f>
        <v/>
      </c>
      <c r="I18" s="27" t="str">
        <f>IF($A18&lt;&gt;"", (IF('Replacement Costs - Entry'!S19="Y",((($B18*$D18)*((1+$B$5)^I$7))*(1/((1+$F$5)^I$7))),0)), "")</f>
        <v/>
      </c>
    </row>
    <row r="19" spans="1:9">
      <c r="A19" s="29" t="str">
        <f>IF('Capital Costs'!A20&lt;&gt;"", 'Capital Costs'!A20, "")</f>
        <v/>
      </c>
      <c r="B19" s="3" t="str">
        <f>IF('Capital Costs'!B20&lt;&gt;"", 'Capital Costs'!B20, "")</f>
        <v/>
      </c>
      <c r="C19" s="29" t="str">
        <f>IF('Capital Costs'!C20&lt;&gt;"", 'Capital Costs'!C20, "")</f>
        <v/>
      </c>
      <c r="D19" s="47" t="str">
        <f>IF('Capital Costs'!D20&lt;&gt;"", 'Capital Costs'!D20, "")</f>
        <v/>
      </c>
      <c r="E19" s="27" t="str">
        <f>IF($A19&lt;&gt;"", (IF('Replacement Costs - Entry'!O20="Y",((($B19*$D19)*((1+$B$5)^E$7))*(1/((1+$F$5)^E$7))),0)), "")</f>
        <v/>
      </c>
      <c r="F19" s="27" t="str">
        <f>IF($A19&lt;&gt;"", (IF('Replacement Costs - Entry'!P20="Y",((($B19*$D19)*((1+$B$5)^F$7))*(1/((1+$F$5)^F$7))),0)), "")</f>
        <v/>
      </c>
      <c r="G19" s="27" t="str">
        <f>IF($A19&lt;&gt;"", (IF('Replacement Costs - Entry'!Q20="Y",((($B19*$D19)*((1+$B$5)^G$7))*(1/((1+$F$5)^G$7))),0)), "")</f>
        <v/>
      </c>
      <c r="H19" s="27" t="str">
        <f>IF($A19&lt;&gt;"", (IF('Replacement Costs - Entry'!R20="Y",((($B19*$D19)*((1+$B$5)^H$7))*(1/((1+$F$5)^H$7))),0)), "")</f>
        <v/>
      </c>
      <c r="I19" s="27" t="str">
        <f>IF($A19&lt;&gt;"", (IF('Replacement Costs - Entry'!S20="Y",((($B19*$D19)*((1+$B$5)^I$7))*(1/((1+$F$5)^I$7))),0)), "")</f>
        <v/>
      </c>
    </row>
    <row r="20" spans="1:9">
      <c r="A20" s="29" t="str">
        <f>IF('Capital Costs'!A21&lt;&gt;"", 'Capital Costs'!A21, "")</f>
        <v/>
      </c>
      <c r="B20" s="3" t="str">
        <f>IF('Capital Costs'!B21&lt;&gt;"", 'Capital Costs'!B21, "")</f>
        <v/>
      </c>
      <c r="C20" s="29" t="str">
        <f>IF('Capital Costs'!C21&lt;&gt;"", 'Capital Costs'!C21, "")</f>
        <v/>
      </c>
      <c r="D20" s="47" t="str">
        <f>IF('Capital Costs'!D21&lt;&gt;"", 'Capital Costs'!D21, "")</f>
        <v/>
      </c>
      <c r="E20" s="27" t="str">
        <f>IF($A20&lt;&gt;"", (IF('Replacement Costs - Entry'!O21="Y",((($B20*$D20)*((1+$B$5)^E$7))*(1/((1+$F$5)^E$7))),0)), "")</f>
        <v/>
      </c>
      <c r="F20" s="27" t="str">
        <f>IF($A20&lt;&gt;"", (IF('Replacement Costs - Entry'!P21="Y",((($B20*$D20)*((1+$B$5)^F$7))*(1/((1+$F$5)^F$7))),0)), "")</f>
        <v/>
      </c>
      <c r="G20" s="27" t="str">
        <f>IF($A20&lt;&gt;"", (IF('Replacement Costs - Entry'!Q21="Y",((($B20*$D20)*((1+$B$5)^G$7))*(1/((1+$F$5)^G$7))),0)), "")</f>
        <v/>
      </c>
      <c r="H20" s="27" t="str">
        <f>IF($A20&lt;&gt;"", (IF('Replacement Costs - Entry'!R21="Y",((($B20*$D20)*((1+$B$5)^H$7))*(1/((1+$F$5)^H$7))),0)), "")</f>
        <v/>
      </c>
      <c r="I20" s="27" t="str">
        <f>IF($A20&lt;&gt;"", (IF('Replacement Costs - Entry'!S21="Y",((($B20*$D20)*((1+$B$5)^I$7))*(1/((1+$F$5)^I$7))),0)), "")</f>
        <v/>
      </c>
    </row>
    <row r="21" spans="1:9">
      <c r="A21" s="29" t="str">
        <f>IF('Capital Costs'!A22&lt;&gt;"", 'Capital Costs'!A22, "")</f>
        <v/>
      </c>
      <c r="B21" s="3" t="str">
        <f>IF('Capital Costs'!B22&lt;&gt;"", 'Capital Costs'!B22, "")</f>
        <v/>
      </c>
      <c r="C21" s="29" t="str">
        <f>IF('Capital Costs'!C22&lt;&gt;"", 'Capital Costs'!C22, "")</f>
        <v/>
      </c>
      <c r="D21" s="47" t="str">
        <f>IF('Capital Costs'!D22&lt;&gt;"", 'Capital Costs'!D22, "")</f>
        <v/>
      </c>
      <c r="E21" s="27" t="str">
        <f>IF($A21&lt;&gt;"", (IF('Replacement Costs - Entry'!O22="Y",((($B21*$D21)*((1+$B$5)^E$7))*(1/((1+$F$5)^E$7))),0)), "")</f>
        <v/>
      </c>
      <c r="F21" s="27" t="str">
        <f>IF($A21&lt;&gt;"", (IF('Replacement Costs - Entry'!P22="Y",((($B21*$D21)*((1+$B$5)^F$7))*(1/((1+$F$5)^F$7))),0)), "")</f>
        <v/>
      </c>
      <c r="G21" s="27" t="str">
        <f>IF($A21&lt;&gt;"", (IF('Replacement Costs - Entry'!Q22="Y",((($B21*$D21)*((1+$B$5)^G$7))*(1/((1+$F$5)^G$7))),0)), "")</f>
        <v/>
      </c>
      <c r="H21" s="27" t="str">
        <f>IF($A21&lt;&gt;"", (IF('Replacement Costs - Entry'!R22="Y",((($B21*$D21)*((1+$B$5)^H$7))*(1/((1+$F$5)^H$7))),0)), "")</f>
        <v/>
      </c>
      <c r="I21" s="27" t="str">
        <f>IF($A21&lt;&gt;"", (IF('Replacement Costs - Entry'!S22="Y",((($B21*$D21)*((1+$B$5)^I$7))*(1/((1+$F$5)^I$7))),0)), "")</f>
        <v/>
      </c>
    </row>
    <row r="22" spans="1:9">
      <c r="A22" s="29" t="str">
        <f>IF('Capital Costs'!A23&lt;&gt;"", 'Capital Costs'!A23, "")</f>
        <v/>
      </c>
      <c r="B22" s="3" t="str">
        <f>IF('Capital Costs'!B23&lt;&gt;"", 'Capital Costs'!B23, "")</f>
        <v/>
      </c>
      <c r="C22" s="29" t="str">
        <f>IF('Capital Costs'!C23&lt;&gt;"", 'Capital Costs'!C23, "")</f>
        <v/>
      </c>
      <c r="D22" s="47" t="str">
        <f>IF('Capital Costs'!D23&lt;&gt;"", 'Capital Costs'!D23, "")</f>
        <v/>
      </c>
      <c r="E22" s="27" t="str">
        <f>IF($A22&lt;&gt;"", (IF('Replacement Costs - Entry'!O23="Y",((($B22*$D22)*((1+$B$5)^E$7))*(1/((1+$F$5)^E$7))),0)), "")</f>
        <v/>
      </c>
      <c r="F22" s="27" t="str">
        <f>IF($A22&lt;&gt;"", (IF('Replacement Costs - Entry'!P23="Y",((($B22*$D22)*((1+$B$5)^F$7))*(1/((1+$F$5)^F$7))),0)), "")</f>
        <v/>
      </c>
      <c r="G22" s="27" t="str">
        <f>IF($A22&lt;&gt;"", (IF('Replacement Costs - Entry'!Q23="Y",((($B22*$D22)*((1+$B$5)^G$7))*(1/((1+$F$5)^G$7))),0)), "")</f>
        <v/>
      </c>
      <c r="H22" s="27" t="str">
        <f>IF($A22&lt;&gt;"", (IF('Replacement Costs - Entry'!R23="Y",((($B22*$D22)*((1+$B$5)^H$7))*(1/((1+$F$5)^H$7))),0)), "")</f>
        <v/>
      </c>
      <c r="I22" s="27" t="str">
        <f>IF($A22&lt;&gt;"", (IF('Replacement Costs - Entry'!S23="Y",((($B22*$D22)*((1+$B$5)^I$7))*(1/((1+$F$5)^I$7))),0)), "")</f>
        <v/>
      </c>
    </row>
    <row r="23" spans="1:9">
      <c r="A23" s="29" t="str">
        <f>IF('Capital Costs'!A24&lt;&gt;"", 'Capital Costs'!A24, "")</f>
        <v/>
      </c>
      <c r="B23" s="3" t="str">
        <f>IF('Capital Costs'!B24&lt;&gt;"", 'Capital Costs'!B24, "")</f>
        <v/>
      </c>
      <c r="C23" s="29" t="str">
        <f>IF('Capital Costs'!C24&lt;&gt;"", 'Capital Costs'!C24, "")</f>
        <v/>
      </c>
      <c r="D23" s="47" t="str">
        <f>IF('Capital Costs'!D24&lt;&gt;"", 'Capital Costs'!D24, "")</f>
        <v/>
      </c>
      <c r="E23" s="27" t="str">
        <f>IF($A23&lt;&gt;"", (IF('Replacement Costs - Entry'!O24="Y",((($B23*$D23)*((1+$B$5)^E$7))*(1/((1+$F$5)^E$7))),0)), "")</f>
        <v/>
      </c>
      <c r="F23" s="27" t="str">
        <f>IF($A23&lt;&gt;"", (IF('Replacement Costs - Entry'!P24="Y",((($B23*$D23)*((1+$B$5)^F$7))*(1/((1+$F$5)^F$7))),0)), "")</f>
        <v/>
      </c>
      <c r="G23" s="27" t="str">
        <f>IF($A23&lt;&gt;"", (IF('Replacement Costs - Entry'!Q24="Y",((($B23*$D23)*((1+$B$5)^G$7))*(1/((1+$F$5)^G$7))),0)), "")</f>
        <v/>
      </c>
      <c r="H23" s="27" t="str">
        <f>IF($A23&lt;&gt;"", (IF('Replacement Costs - Entry'!R24="Y",((($B23*$D23)*((1+$B$5)^H$7))*(1/((1+$F$5)^H$7))),0)), "")</f>
        <v/>
      </c>
      <c r="I23" s="27" t="str">
        <f>IF($A23&lt;&gt;"", (IF('Replacement Costs - Entry'!S24="Y",((($B23*$D23)*((1+$B$5)^I$7))*(1/((1+$F$5)^I$7))),0)), "")</f>
        <v/>
      </c>
    </row>
    <row r="24" spans="1:9">
      <c r="A24" s="29" t="str">
        <f>IF('Capital Costs'!A25&lt;&gt;"", 'Capital Costs'!A25, "")</f>
        <v/>
      </c>
      <c r="B24" s="3" t="str">
        <f>IF('Capital Costs'!B25&lt;&gt;"", 'Capital Costs'!B25, "")</f>
        <v/>
      </c>
      <c r="C24" s="29" t="str">
        <f>IF('Capital Costs'!C25&lt;&gt;"", 'Capital Costs'!C25, "")</f>
        <v/>
      </c>
      <c r="D24" s="47" t="str">
        <f>IF('Capital Costs'!D25&lt;&gt;"", 'Capital Costs'!D25, "")</f>
        <v/>
      </c>
      <c r="E24" s="27" t="str">
        <f>IF($A24&lt;&gt;"", (IF('Replacement Costs - Entry'!O25="Y",((($B24*$D24)*((1+$B$5)^E$7))*(1/((1+$F$5)^E$7))),0)), "")</f>
        <v/>
      </c>
      <c r="F24" s="27" t="str">
        <f>IF($A24&lt;&gt;"", (IF('Replacement Costs - Entry'!P25="Y",((($B24*$D24)*((1+$B$5)^F$7))*(1/((1+$F$5)^F$7))),0)), "")</f>
        <v/>
      </c>
      <c r="G24" s="27" t="str">
        <f>IF($A24&lt;&gt;"", (IF('Replacement Costs - Entry'!Q25="Y",((($B24*$D24)*((1+$B$5)^G$7))*(1/((1+$F$5)^G$7))),0)), "")</f>
        <v/>
      </c>
      <c r="H24" s="27" t="str">
        <f>IF($A24&lt;&gt;"", (IF('Replacement Costs - Entry'!R25="Y",((($B24*$D24)*((1+$B$5)^H$7))*(1/((1+$F$5)^H$7))),0)), "")</f>
        <v/>
      </c>
      <c r="I24" s="27" t="str">
        <f>IF($A24&lt;&gt;"", (IF('Replacement Costs - Entry'!S25="Y",((($B24*$D24)*((1+$B$5)^I$7))*(1/((1+$F$5)^I$7))),0)), "")</f>
        <v/>
      </c>
    </row>
    <row r="25" spans="1:9">
      <c r="A25" s="29" t="str">
        <f>IF('Capital Costs'!A26&lt;&gt;"", 'Capital Costs'!A26, "")</f>
        <v/>
      </c>
      <c r="B25" s="3" t="str">
        <f>IF('Capital Costs'!B26&lt;&gt;"", 'Capital Costs'!B26, "")</f>
        <v/>
      </c>
      <c r="C25" s="29" t="str">
        <f>IF('Capital Costs'!C26&lt;&gt;"", 'Capital Costs'!C26, "")</f>
        <v/>
      </c>
      <c r="D25" s="47" t="str">
        <f>IF('Capital Costs'!D26&lt;&gt;"", 'Capital Costs'!D26, "")</f>
        <v/>
      </c>
      <c r="E25" s="27" t="str">
        <f>IF($A25&lt;&gt;"", (IF('Replacement Costs - Entry'!O26="Y",((($B25*$D25)*((1+$B$5)^E$7))*(1/((1+$F$5)^E$7))),0)), "")</f>
        <v/>
      </c>
      <c r="F25" s="27" t="str">
        <f>IF($A25&lt;&gt;"", (IF('Replacement Costs - Entry'!P26="Y",((($B25*$D25)*((1+$B$5)^F$7))*(1/((1+$F$5)^F$7))),0)), "")</f>
        <v/>
      </c>
      <c r="G25" s="27" t="str">
        <f>IF($A25&lt;&gt;"", (IF('Replacement Costs - Entry'!Q26="Y",((($B25*$D25)*((1+$B$5)^G$7))*(1/((1+$F$5)^G$7))),0)), "")</f>
        <v/>
      </c>
      <c r="H25" s="27" t="str">
        <f>IF($A25&lt;&gt;"", (IF('Replacement Costs - Entry'!R26="Y",((($B25*$D25)*((1+$B$5)^H$7))*(1/((1+$F$5)^H$7))),0)), "")</f>
        <v/>
      </c>
      <c r="I25" s="27" t="str">
        <f>IF($A25&lt;&gt;"", (IF('Replacement Costs - Entry'!S26="Y",((($B25*$D25)*((1+$B$5)^I$7))*(1/((1+$F$5)^I$7))),0)), "")</f>
        <v/>
      </c>
    </row>
    <row r="26" spans="1:9">
      <c r="A26" s="29" t="str">
        <f>IF('Capital Costs'!A27&lt;&gt;"", 'Capital Costs'!A27, "")</f>
        <v/>
      </c>
      <c r="B26" s="3" t="str">
        <f>IF('Capital Costs'!B27&lt;&gt;"", 'Capital Costs'!B27, "")</f>
        <v/>
      </c>
      <c r="C26" s="29" t="str">
        <f>IF('Capital Costs'!C27&lt;&gt;"", 'Capital Costs'!C27, "")</f>
        <v/>
      </c>
      <c r="D26" s="47" t="str">
        <f>IF('Capital Costs'!D27&lt;&gt;"", 'Capital Costs'!D27, "")</f>
        <v/>
      </c>
      <c r="E26" s="27" t="str">
        <f>IF($A26&lt;&gt;"", (IF('Replacement Costs - Entry'!O27="Y",((($B26*$D26)*((1+$B$5)^E$7))*(1/((1+$F$5)^E$7))),0)), "")</f>
        <v/>
      </c>
      <c r="F26" s="27" t="str">
        <f>IF($A26&lt;&gt;"", (IF('Replacement Costs - Entry'!P27="Y",((($B26*$D26)*((1+$B$5)^F$7))*(1/((1+$F$5)^F$7))),0)), "")</f>
        <v/>
      </c>
      <c r="G26" s="27" t="str">
        <f>IF($A26&lt;&gt;"", (IF('Replacement Costs - Entry'!Q27="Y",((($B26*$D26)*((1+$B$5)^G$7))*(1/((1+$F$5)^G$7))),0)), "")</f>
        <v/>
      </c>
      <c r="H26" s="27" t="str">
        <f>IF($A26&lt;&gt;"", (IF('Replacement Costs - Entry'!R27="Y",((($B26*$D26)*((1+$B$5)^H$7))*(1/((1+$F$5)^H$7))),0)), "")</f>
        <v/>
      </c>
      <c r="I26" s="27" t="str">
        <f>IF($A26&lt;&gt;"", (IF('Replacement Costs - Entry'!S27="Y",((($B26*$D26)*((1+$B$5)^I$7))*(1/((1+$F$5)^I$7))),0)), "")</f>
        <v/>
      </c>
    </row>
    <row r="27" spans="1:9">
      <c r="A27" s="29" t="str">
        <f>IF('Capital Costs'!A28&lt;&gt;"", 'Capital Costs'!A28, "")</f>
        <v/>
      </c>
      <c r="B27" s="3" t="str">
        <f>IF('Capital Costs'!B28&lt;&gt;"", 'Capital Costs'!B28, "")</f>
        <v/>
      </c>
      <c r="C27" s="29" t="str">
        <f>IF('Capital Costs'!C28&lt;&gt;"", 'Capital Costs'!C28, "")</f>
        <v/>
      </c>
      <c r="D27" s="47" t="str">
        <f>IF('Capital Costs'!D28&lt;&gt;"", 'Capital Costs'!D28, "")</f>
        <v/>
      </c>
      <c r="E27" s="27" t="str">
        <f>IF($A27&lt;&gt;"", (IF('Replacement Costs - Entry'!O28="Y",((($B27*$D27)*((1+$B$5)^E$7))*(1/((1+$F$5)^E$7))),0)), "")</f>
        <v/>
      </c>
      <c r="F27" s="27" t="str">
        <f>IF($A27&lt;&gt;"", (IF('Replacement Costs - Entry'!P28="Y",((($B27*$D27)*((1+$B$5)^F$7))*(1/((1+$F$5)^F$7))),0)), "")</f>
        <v/>
      </c>
      <c r="G27" s="27" t="str">
        <f>IF($A27&lt;&gt;"", (IF('Replacement Costs - Entry'!Q28="Y",((($B27*$D27)*((1+$B$5)^G$7))*(1/((1+$F$5)^G$7))),0)), "")</f>
        <v/>
      </c>
      <c r="H27" s="27" t="str">
        <f>IF($A27&lt;&gt;"", (IF('Replacement Costs - Entry'!R28="Y",((($B27*$D27)*((1+$B$5)^H$7))*(1/((1+$F$5)^H$7))),0)), "")</f>
        <v/>
      </c>
      <c r="I27" s="27" t="str">
        <f>IF($A27&lt;&gt;"", (IF('Replacement Costs - Entry'!S28="Y",((($B27*$D27)*((1+$B$5)^I$7))*(1/((1+$F$5)^I$7))),0)), "")</f>
        <v/>
      </c>
    </row>
    <row r="28" spans="1:9">
      <c r="A28" s="29" t="str">
        <f>IF('Capital Costs'!A29&lt;&gt;"", 'Capital Costs'!A29, "")</f>
        <v/>
      </c>
      <c r="B28" s="3" t="str">
        <f>IF('Capital Costs'!B29&lt;&gt;"", 'Capital Costs'!B29, "")</f>
        <v/>
      </c>
      <c r="C28" s="29" t="str">
        <f>IF('Capital Costs'!C29&lt;&gt;"", 'Capital Costs'!C29, "")</f>
        <v/>
      </c>
      <c r="D28" s="47" t="str">
        <f>IF('Capital Costs'!D29&lt;&gt;"", 'Capital Costs'!D29, "")</f>
        <v/>
      </c>
      <c r="E28" s="27" t="str">
        <f>IF($A28&lt;&gt;"", (IF('Replacement Costs - Entry'!O29="Y",((($B28*$D28)*((1+$B$5)^E$7))*(1/((1+$F$5)^E$7))),0)), "")</f>
        <v/>
      </c>
      <c r="F28" s="27" t="str">
        <f>IF($A28&lt;&gt;"", (IF('Replacement Costs - Entry'!P29="Y",((($B28*$D28)*((1+$B$5)^F$7))*(1/((1+$F$5)^F$7))),0)), "")</f>
        <v/>
      </c>
      <c r="G28" s="27" t="str">
        <f>IF($A28&lt;&gt;"", (IF('Replacement Costs - Entry'!Q29="Y",((($B28*$D28)*((1+$B$5)^G$7))*(1/((1+$F$5)^G$7))),0)), "")</f>
        <v/>
      </c>
      <c r="H28" s="27" t="str">
        <f>IF($A28&lt;&gt;"", (IF('Replacement Costs - Entry'!R29="Y",((($B28*$D28)*((1+$B$5)^H$7))*(1/((1+$F$5)^H$7))),0)), "")</f>
        <v/>
      </c>
      <c r="I28" s="27" t="str">
        <f>IF($A28&lt;&gt;"", (IF('Replacement Costs - Entry'!S29="Y",((($B28*$D28)*((1+$B$5)^I$7))*(1/((1+$F$5)^I$7))),0)), "")</f>
        <v/>
      </c>
    </row>
    <row r="29" spans="1:9">
      <c r="A29" s="29" t="str">
        <f>IF('Capital Costs'!A30&lt;&gt;"", 'Capital Costs'!A30, "")</f>
        <v/>
      </c>
      <c r="B29" s="3" t="str">
        <f>IF('Capital Costs'!B30&lt;&gt;"", 'Capital Costs'!B30, "")</f>
        <v/>
      </c>
      <c r="C29" s="29" t="str">
        <f>IF('Capital Costs'!C30&lt;&gt;"", 'Capital Costs'!C30, "")</f>
        <v/>
      </c>
      <c r="D29" s="47" t="str">
        <f>IF('Capital Costs'!D30&lt;&gt;"", 'Capital Costs'!D30, "")</f>
        <v/>
      </c>
      <c r="E29" s="27" t="str">
        <f>IF($A29&lt;&gt;"", (IF('Replacement Costs - Entry'!O30="Y",((($B29*$D29)*((1+$B$5)^E$7))*(1/((1+$F$5)^E$7))),0)), "")</f>
        <v/>
      </c>
      <c r="F29" s="27" t="str">
        <f>IF($A29&lt;&gt;"", (IF('Replacement Costs - Entry'!P30="Y",((($B29*$D29)*((1+$B$5)^F$7))*(1/((1+$F$5)^F$7))),0)), "")</f>
        <v/>
      </c>
      <c r="G29" s="27" t="str">
        <f>IF($A29&lt;&gt;"", (IF('Replacement Costs - Entry'!Q30="Y",((($B29*$D29)*((1+$B$5)^G$7))*(1/((1+$F$5)^G$7))),0)), "")</f>
        <v/>
      </c>
      <c r="H29" s="27" t="str">
        <f>IF($A29&lt;&gt;"", (IF('Replacement Costs - Entry'!R30="Y",((($B29*$D29)*((1+$B$5)^H$7))*(1/((1+$F$5)^H$7))),0)), "")</f>
        <v/>
      </c>
      <c r="I29" s="27" t="str">
        <f>IF($A29&lt;&gt;"", (IF('Replacement Costs - Entry'!S30="Y",((($B29*$D29)*((1+$B$5)^I$7))*(1/((1+$F$5)^I$7))),0)), "")</f>
        <v/>
      </c>
    </row>
    <row r="30" spans="1:9">
      <c r="A30" s="29" t="str">
        <f>IF('Capital Costs'!A31&lt;&gt;"", 'Capital Costs'!A31, "")</f>
        <v/>
      </c>
      <c r="B30" s="3" t="str">
        <f>IF('Capital Costs'!B31&lt;&gt;"", 'Capital Costs'!B31, "")</f>
        <v/>
      </c>
      <c r="C30" s="29" t="str">
        <f>IF('Capital Costs'!C31&lt;&gt;"", 'Capital Costs'!C31, "")</f>
        <v/>
      </c>
      <c r="D30" s="47" t="str">
        <f>IF('Capital Costs'!D31&lt;&gt;"", 'Capital Costs'!D31, "")</f>
        <v/>
      </c>
      <c r="E30" s="27" t="str">
        <f>IF($A30&lt;&gt;"", (IF('Replacement Costs - Entry'!O31="Y",((($B30*$D30)*((1+$B$5)^E$7))*(1/((1+$F$5)^E$7))),0)), "")</f>
        <v/>
      </c>
      <c r="F30" s="27" t="str">
        <f>IF($A30&lt;&gt;"", (IF('Replacement Costs - Entry'!P31="Y",((($B30*$D30)*((1+$B$5)^F$7))*(1/((1+$F$5)^F$7))),0)), "")</f>
        <v/>
      </c>
      <c r="G30" s="27" t="str">
        <f>IF($A30&lt;&gt;"", (IF('Replacement Costs - Entry'!Q31="Y",((($B30*$D30)*((1+$B$5)^G$7))*(1/((1+$F$5)^G$7))),0)), "")</f>
        <v/>
      </c>
      <c r="H30" s="27" t="str">
        <f>IF($A30&lt;&gt;"", (IF('Replacement Costs - Entry'!R31="Y",((($B30*$D30)*((1+$B$5)^H$7))*(1/((1+$F$5)^H$7))),0)), "")</f>
        <v/>
      </c>
      <c r="I30" s="27" t="str">
        <f>IF($A30&lt;&gt;"", (IF('Replacement Costs - Entry'!S31="Y",((($B30*$D30)*((1+$B$5)^I$7))*(1/((1+$F$5)^I$7))),0)), "")</f>
        <v/>
      </c>
    </row>
    <row r="31" spans="1:9">
      <c r="A31" s="29" t="str">
        <f>IF('Capital Costs'!A32&lt;&gt;"", 'Capital Costs'!A32, "")</f>
        <v/>
      </c>
      <c r="B31" s="3" t="str">
        <f>IF('Capital Costs'!B32&lt;&gt;"", 'Capital Costs'!B32, "")</f>
        <v/>
      </c>
      <c r="C31" s="29" t="str">
        <f>IF('Capital Costs'!C32&lt;&gt;"", 'Capital Costs'!C32, "")</f>
        <v/>
      </c>
      <c r="D31" s="47" t="str">
        <f>IF('Capital Costs'!D32&lt;&gt;"", 'Capital Costs'!D32, "")</f>
        <v/>
      </c>
      <c r="E31" s="27" t="str">
        <f>IF($A31&lt;&gt;"", (IF('Replacement Costs - Entry'!O32="Y",((($B31*$D31)*((1+$B$5)^E$7))*(1/((1+$F$5)^E$7))),0)), "")</f>
        <v/>
      </c>
      <c r="F31" s="27" t="str">
        <f>IF($A31&lt;&gt;"", (IF('Replacement Costs - Entry'!P32="Y",((($B31*$D31)*((1+$B$5)^F$7))*(1/((1+$F$5)^F$7))),0)), "")</f>
        <v/>
      </c>
      <c r="G31" s="27" t="str">
        <f>IF($A31&lt;&gt;"", (IF('Replacement Costs - Entry'!Q32="Y",((($B31*$D31)*((1+$B$5)^G$7))*(1/((1+$F$5)^G$7))),0)), "")</f>
        <v/>
      </c>
      <c r="H31" s="27" t="str">
        <f>IF($A31&lt;&gt;"", (IF('Replacement Costs - Entry'!R32="Y",((($B31*$D31)*((1+$B$5)^H$7))*(1/((1+$F$5)^H$7))),0)), "")</f>
        <v/>
      </c>
      <c r="I31" s="27" t="str">
        <f>IF($A31&lt;&gt;"", (IF('Replacement Costs - Entry'!S32="Y",((($B31*$D31)*((1+$B$5)^I$7))*(1/((1+$F$5)^I$7))),0)), "")</f>
        <v/>
      </c>
    </row>
    <row r="32" spans="1:9">
      <c r="A32" s="29" t="str">
        <f>IF('Capital Costs'!A33&lt;&gt;"", 'Capital Costs'!A33, "")</f>
        <v/>
      </c>
      <c r="B32" s="3" t="str">
        <f>IF('Capital Costs'!B33&lt;&gt;"", 'Capital Costs'!B33, "")</f>
        <v/>
      </c>
      <c r="C32" s="29" t="str">
        <f>IF('Capital Costs'!C33&lt;&gt;"", 'Capital Costs'!C33, "")</f>
        <v/>
      </c>
      <c r="D32" s="47" t="str">
        <f>IF('Capital Costs'!D33&lt;&gt;"", 'Capital Costs'!D33, "")</f>
        <v/>
      </c>
      <c r="E32" s="27" t="str">
        <f>IF($A32&lt;&gt;"", (IF('Replacement Costs - Entry'!O33="Y",((($B32*$D32)*((1+$B$5)^E$7))*(1/((1+$F$5)^E$7))),0)), "")</f>
        <v/>
      </c>
      <c r="F32" s="27" t="str">
        <f>IF($A32&lt;&gt;"", (IF('Replacement Costs - Entry'!P33="Y",((($B32*$D32)*((1+$B$5)^F$7))*(1/((1+$F$5)^F$7))),0)), "")</f>
        <v/>
      </c>
      <c r="G32" s="27" t="str">
        <f>IF($A32&lt;&gt;"", (IF('Replacement Costs - Entry'!Q33="Y",((($B32*$D32)*((1+$B$5)^G$7))*(1/((1+$F$5)^G$7))),0)), "")</f>
        <v/>
      </c>
      <c r="H32" s="27" t="str">
        <f>IF($A32&lt;&gt;"", (IF('Replacement Costs - Entry'!R33="Y",((($B32*$D32)*((1+$B$5)^H$7))*(1/((1+$F$5)^H$7))),0)), "")</f>
        <v/>
      </c>
      <c r="I32" s="27" t="str">
        <f>IF($A32&lt;&gt;"", (IF('Replacement Costs - Entry'!S33="Y",((($B32*$D32)*((1+$B$5)^I$7))*(1/((1+$F$5)^I$7))),0)), "")</f>
        <v/>
      </c>
    </row>
    <row r="33" spans="1:9">
      <c r="A33" s="29" t="str">
        <f>IF('Capital Costs'!A34&lt;&gt;"", 'Capital Costs'!A34, "")</f>
        <v/>
      </c>
      <c r="B33" s="3" t="str">
        <f>IF('Capital Costs'!B34&lt;&gt;"", 'Capital Costs'!B34, "")</f>
        <v/>
      </c>
      <c r="C33" s="29" t="str">
        <f>IF('Capital Costs'!C34&lt;&gt;"", 'Capital Costs'!C34, "")</f>
        <v/>
      </c>
      <c r="D33" s="47" t="str">
        <f>IF('Capital Costs'!D34&lt;&gt;"", 'Capital Costs'!D34, "")</f>
        <v/>
      </c>
      <c r="E33" s="27" t="str">
        <f>IF($A33&lt;&gt;"", (IF('Replacement Costs - Entry'!O34="Y",((($B33*$D33)*((1+$B$5)^E$7))*(1/((1+$F$5)^E$7))),0)), "")</f>
        <v/>
      </c>
      <c r="F33" s="27" t="str">
        <f>IF($A33&lt;&gt;"", (IF('Replacement Costs - Entry'!P34="Y",((($B33*$D33)*((1+$B$5)^F$7))*(1/((1+$F$5)^F$7))),0)), "")</f>
        <v/>
      </c>
      <c r="G33" s="27" t="str">
        <f>IF($A33&lt;&gt;"", (IF('Replacement Costs - Entry'!Q34="Y",((($B33*$D33)*((1+$B$5)^G$7))*(1/((1+$F$5)^G$7))),0)), "")</f>
        <v/>
      </c>
      <c r="H33" s="27" t="str">
        <f>IF($A33&lt;&gt;"", (IF('Replacement Costs - Entry'!R34="Y",((($B33*$D33)*((1+$B$5)^H$7))*(1/((1+$F$5)^H$7))),0)), "")</f>
        <v/>
      </c>
      <c r="I33" s="27" t="str">
        <f>IF($A33&lt;&gt;"", (IF('Replacement Costs - Entry'!S34="Y",((($B33*$D33)*((1+$B$5)^I$7))*(1/((1+$F$5)^I$7))),0)), "")</f>
        <v/>
      </c>
    </row>
    <row r="34" spans="1:9">
      <c r="A34" s="29" t="str">
        <f>IF('Capital Costs'!A35&lt;&gt;"", 'Capital Costs'!A35, "")</f>
        <v/>
      </c>
      <c r="B34" s="3" t="str">
        <f>IF('Capital Costs'!B35&lt;&gt;"", 'Capital Costs'!B35, "")</f>
        <v/>
      </c>
      <c r="C34" s="29" t="str">
        <f>IF('Capital Costs'!C35&lt;&gt;"", 'Capital Costs'!C35, "")</f>
        <v/>
      </c>
      <c r="D34" s="47" t="str">
        <f>IF('Capital Costs'!D35&lt;&gt;"", 'Capital Costs'!D35, "")</f>
        <v/>
      </c>
      <c r="E34" s="27" t="str">
        <f>IF($A34&lt;&gt;"", (IF('Replacement Costs - Entry'!O35="Y",((($B34*$D34)*((1+$B$5)^E$7))*(1/((1+$F$5)^E$7))),0)), "")</f>
        <v/>
      </c>
      <c r="F34" s="27" t="str">
        <f>IF($A34&lt;&gt;"", (IF('Replacement Costs - Entry'!P35="Y",((($B34*$D34)*((1+$B$5)^F$7))*(1/((1+$F$5)^F$7))),0)), "")</f>
        <v/>
      </c>
      <c r="G34" s="27" t="str">
        <f>IF($A34&lt;&gt;"", (IF('Replacement Costs - Entry'!Q35="Y",((($B34*$D34)*((1+$B$5)^G$7))*(1/((1+$F$5)^G$7))),0)), "")</f>
        <v/>
      </c>
      <c r="H34" s="27" t="str">
        <f>IF($A34&lt;&gt;"", (IF('Replacement Costs - Entry'!R35="Y",((($B34*$D34)*((1+$B$5)^H$7))*(1/((1+$F$5)^H$7))),0)), "")</f>
        <v/>
      </c>
      <c r="I34" s="27" t="str">
        <f>IF($A34&lt;&gt;"", (IF('Replacement Costs - Entry'!S35="Y",((($B34*$D34)*((1+$B$5)^I$7))*(1/((1+$F$5)^I$7))),0)), "")</f>
        <v/>
      </c>
    </row>
    <row r="35" spans="1:9">
      <c r="A35" s="29" t="str">
        <f>IF('Capital Costs'!A36&lt;&gt;"", 'Capital Costs'!A36, "")</f>
        <v/>
      </c>
      <c r="B35" s="3" t="str">
        <f>IF('Capital Costs'!B36&lt;&gt;"", 'Capital Costs'!B36, "")</f>
        <v/>
      </c>
      <c r="C35" s="29" t="str">
        <f>IF('Capital Costs'!C36&lt;&gt;"", 'Capital Costs'!C36, "")</f>
        <v/>
      </c>
      <c r="D35" s="47" t="str">
        <f>IF('Capital Costs'!D36&lt;&gt;"", 'Capital Costs'!D36, "")</f>
        <v/>
      </c>
      <c r="E35" s="27" t="str">
        <f>IF($A35&lt;&gt;"", (IF('Replacement Costs - Entry'!O36="Y",((($B35*$D35)*((1+$B$5)^E$7))*(1/((1+$F$5)^E$7))),0)), "")</f>
        <v/>
      </c>
      <c r="F35" s="27" t="str">
        <f>IF($A35&lt;&gt;"", (IF('Replacement Costs - Entry'!P36="Y",((($B35*$D35)*((1+$B$5)^F$7))*(1/((1+$F$5)^F$7))),0)), "")</f>
        <v/>
      </c>
      <c r="G35" s="27" t="str">
        <f>IF($A35&lt;&gt;"", (IF('Replacement Costs - Entry'!Q36="Y",((($B35*$D35)*((1+$B$5)^G$7))*(1/((1+$F$5)^G$7))),0)), "")</f>
        <v/>
      </c>
      <c r="H35" s="27" t="str">
        <f>IF($A35&lt;&gt;"", (IF('Replacement Costs - Entry'!R36="Y",((($B35*$D35)*((1+$B$5)^H$7))*(1/((1+$F$5)^H$7))),0)), "")</f>
        <v/>
      </c>
      <c r="I35" s="27" t="str">
        <f>IF($A35&lt;&gt;"", (IF('Replacement Costs - Entry'!S36="Y",((($B35*$D35)*((1+$B$5)^I$7))*(1/((1+$F$5)^I$7))),0)), "")</f>
        <v/>
      </c>
    </row>
    <row r="36" spans="1:9">
      <c r="A36" s="29" t="str">
        <f>IF('Capital Costs'!A37&lt;&gt;"", 'Capital Costs'!A37, "")</f>
        <v/>
      </c>
      <c r="B36" s="3" t="str">
        <f>IF('Capital Costs'!B37&lt;&gt;"", 'Capital Costs'!B37, "")</f>
        <v/>
      </c>
      <c r="C36" s="29" t="str">
        <f>IF('Capital Costs'!C37&lt;&gt;"", 'Capital Costs'!C37, "")</f>
        <v/>
      </c>
      <c r="D36" s="47" t="str">
        <f>IF('Capital Costs'!D37&lt;&gt;"", 'Capital Costs'!D37, "")</f>
        <v/>
      </c>
      <c r="E36" s="27" t="str">
        <f>IF($A36&lt;&gt;"", (IF('Replacement Costs - Entry'!O37="Y",((($B36*$D36)*((1+$B$5)^E$7))*(1/((1+$F$5)^E$7))),0)), "")</f>
        <v/>
      </c>
      <c r="F36" s="27" t="str">
        <f>IF($A36&lt;&gt;"", (IF('Replacement Costs - Entry'!P37="Y",((($B36*$D36)*((1+$B$5)^F$7))*(1/((1+$F$5)^F$7))),0)), "")</f>
        <v/>
      </c>
      <c r="G36" s="27" t="str">
        <f>IF($A36&lt;&gt;"", (IF('Replacement Costs - Entry'!Q37="Y",((($B36*$D36)*((1+$B$5)^G$7))*(1/((1+$F$5)^G$7))),0)), "")</f>
        <v/>
      </c>
      <c r="H36" s="27" t="str">
        <f>IF($A36&lt;&gt;"", (IF('Replacement Costs - Entry'!R37="Y",((($B36*$D36)*((1+$B$5)^H$7))*(1/((1+$F$5)^H$7))),0)), "")</f>
        <v/>
      </c>
      <c r="I36" s="27" t="str">
        <f>IF($A36&lt;&gt;"", (IF('Replacement Costs - Entry'!S37="Y",((($B36*$D36)*((1+$B$5)^I$7))*(1/((1+$F$5)^I$7))),0)), "")</f>
        <v/>
      </c>
    </row>
    <row r="37" spans="1:9">
      <c r="A37" s="23"/>
      <c r="B37" s="23"/>
      <c r="C37" s="23"/>
      <c r="D37" s="36" t="s">
        <v>50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rintOptions horizontalCentered="1"/>
  <pageMargins left="0.5" right="0.5" top="0.75" bottom="0.75" header="0.3" footer="0.3"/>
  <pageSetup scale="75" fitToWidth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142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2">
        <f>'Capital Costs'!B6</f>
        <v>0</v>
      </c>
      <c r="B4" s="153"/>
      <c r="C4" s="153"/>
      <c r="D4" s="153"/>
      <c r="E4" s="153"/>
      <c r="F4" s="153"/>
      <c r="G4" s="153"/>
      <c r="H4" s="153"/>
      <c r="I4" s="154"/>
    </row>
    <row r="5" spans="1:9">
      <c r="A5" s="95" t="str">
        <f>'Replace Costs-Results 6-10'!A5</f>
        <v>Current Inflation Rate based on Construction Cost Index:</v>
      </c>
      <c r="B5" s="63">
        <f>'Replace Costs-Results 6-10'!B5</f>
        <v>2.0671834625323047E-2</v>
      </c>
      <c r="C5" s="65"/>
      <c r="D5" s="65"/>
      <c r="E5" s="66" t="s">
        <v>43</v>
      </c>
      <c r="F5" s="64">
        <f>'Replace Costs-Results 6-10'!F5</f>
        <v>4.8750000000000002E-2</v>
      </c>
      <c r="G5" s="50"/>
      <c r="H5" s="50"/>
      <c r="I5" s="51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11</v>
      </c>
      <c r="F7" s="26">
        <v>12</v>
      </c>
      <c r="G7" s="26">
        <v>13</v>
      </c>
      <c r="H7" s="26">
        <v>14</v>
      </c>
      <c r="I7" s="26">
        <v>15</v>
      </c>
    </row>
    <row r="8" spans="1:9">
      <c r="A8" s="29" t="str">
        <f>IF('Capital Costs'!A9&lt;&gt;"", 'Capital Costs'!A9, "")</f>
        <v/>
      </c>
      <c r="B8" s="3" t="str">
        <f>IF('Capital Costs'!B9&lt;&gt;"", 'Capital Costs'!B9, "")</f>
        <v/>
      </c>
      <c r="C8" s="29" t="str">
        <f>IF('Capital Costs'!C9&lt;&gt;"", 'Capital Costs'!C9, "")</f>
        <v/>
      </c>
      <c r="D8" s="47" t="str">
        <f>IF('Capital Costs'!D9&lt;&gt;"", 'Capital Costs'!D9, "")</f>
        <v/>
      </c>
      <c r="E8" s="27" t="str">
        <f>IF($A8&lt;&gt;"", (IF('Replacement Costs - Entry'!T9="Y",((($B8*$D8)*((1+$B$5)^E$7))*(1/((1+$F$5)^E$7))),0)), "")</f>
        <v/>
      </c>
      <c r="F8" s="27" t="str">
        <f>IF($A8&lt;&gt;"", (IF('Replacement Costs - Entry'!U9="Y",((($B8*$D8)*((1+$B$5)^F$7))*(1/((1+$F$5)^F$7))),0)), "")</f>
        <v/>
      </c>
      <c r="G8" s="27" t="str">
        <f>IF($A8&lt;&gt;"", (IF('Replacement Costs - Entry'!V9="Y",((($B8*$D8)*((1+$B$5)^G$7))*(1/((1+$F$5)^G$7))),0)), "")</f>
        <v/>
      </c>
      <c r="H8" s="27" t="str">
        <f>IF($A8&lt;&gt;"", (IF('Replacement Costs - Entry'!W9="Y",((($B8*$D8)*((1+$B$5)^H$7))*(1/((1+$F$5)^H$7))),0)), "")</f>
        <v/>
      </c>
      <c r="I8" s="27" t="str">
        <f>IF($A8&lt;&gt;"", (IF('Replacement Costs - Entry'!X9="Y",((($B8*$D8)*((1+$B$5)^I$7))*(1/((1+$F$5)^I$7))),0)), "")</f>
        <v/>
      </c>
    </row>
    <row r="9" spans="1:9">
      <c r="A9" s="29" t="str">
        <f>IF('Capital Costs'!A10&lt;&gt;"", 'Capital Costs'!A10, "")</f>
        <v/>
      </c>
      <c r="B9" s="3" t="str">
        <f>IF('Capital Costs'!B10&lt;&gt;"", 'Capital Costs'!B10, "")</f>
        <v/>
      </c>
      <c r="C9" s="29" t="str">
        <f>IF('Capital Costs'!C10&lt;&gt;"", 'Capital Costs'!C10, "")</f>
        <v/>
      </c>
      <c r="D9" s="47" t="str">
        <f>IF('Capital Costs'!D10&lt;&gt;"", 'Capital Costs'!D10, "")</f>
        <v/>
      </c>
      <c r="E9" s="27" t="str">
        <f>IF($A9&lt;&gt;"", (IF('Replacement Costs - Entry'!T10="Y",((($B9*$D9)*((1+$B$5)^E$7))*(1/((1+$F$5)^E$7))),0)), "")</f>
        <v/>
      </c>
      <c r="F9" s="27" t="str">
        <f>IF($A9&lt;&gt;"", (IF('Replacement Costs - Entry'!U10="Y",((($B9*$D9)*((1+$B$5)^F$7))*(1/((1+$F$5)^F$7))),0)), "")</f>
        <v/>
      </c>
      <c r="G9" s="27" t="str">
        <f>IF($A9&lt;&gt;"", (IF('Replacement Costs - Entry'!V10="Y",((($B9*$D9)*((1+$B$5)^G$7))*(1/((1+$F$5)^G$7))),0)), "")</f>
        <v/>
      </c>
      <c r="H9" s="27" t="str">
        <f>IF($A9&lt;&gt;"", (IF('Replacement Costs - Entry'!W10="Y",((($B9*$D9)*((1+$B$5)^H$7))*(1/((1+$F$5)^H$7))),0)), "")</f>
        <v/>
      </c>
      <c r="I9" s="27" t="str">
        <f>IF($A9&lt;&gt;"", (IF('Replacement Costs - Entry'!X10="Y",((($B9*$D9)*((1+$B$5)^I$7))*(1/((1+$F$5)^I$7))),0)), "")</f>
        <v/>
      </c>
    </row>
    <row r="10" spans="1:9">
      <c r="A10" s="29" t="str">
        <f>IF('Capital Costs'!A11&lt;&gt;"", 'Capital Costs'!A11, "")</f>
        <v/>
      </c>
      <c r="B10" s="3" t="str">
        <f>IF('Capital Costs'!B11&lt;&gt;"", 'Capital Costs'!B11, "")</f>
        <v/>
      </c>
      <c r="C10" s="29" t="str">
        <f>IF('Capital Costs'!C11&lt;&gt;"", 'Capital Costs'!C11, "")</f>
        <v/>
      </c>
      <c r="D10" s="47" t="str">
        <f>IF('Capital Costs'!D11&lt;&gt;"", 'Capital Costs'!D11, "")</f>
        <v/>
      </c>
      <c r="E10" s="27" t="str">
        <f>IF($A10&lt;&gt;"", (IF('Replacement Costs - Entry'!T11="Y",((($B10*$D10)*((1+$B$5)^E$7))*(1/((1+$F$5)^E$7))),0)), "")</f>
        <v/>
      </c>
      <c r="F10" s="27" t="str">
        <f>IF($A10&lt;&gt;"", (IF('Replacement Costs - Entry'!U11="Y",((($B10*$D10)*((1+$B$5)^F$7))*(1/((1+$F$5)^F$7))),0)), "")</f>
        <v/>
      </c>
      <c r="G10" s="27" t="str">
        <f>IF($A10&lt;&gt;"", (IF('Replacement Costs - Entry'!V11="Y",((($B10*$D10)*((1+$B$5)^G$7))*(1/((1+$F$5)^G$7))),0)), "")</f>
        <v/>
      </c>
      <c r="H10" s="27" t="str">
        <f>IF($A10&lt;&gt;"", (IF('Replacement Costs - Entry'!W11="Y",((($B10*$D10)*((1+$B$5)^H$7))*(1/((1+$F$5)^H$7))),0)), "")</f>
        <v/>
      </c>
      <c r="I10" s="27" t="str">
        <f>IF($A10&lt;&gt;"", (IF('Replacement Costs - Entry'!X11="Y",((($B10*$D10)*((1+$B$5)^I$7))*(1/((1+$F$5)^I$7))),0)), "")</f>
        <v/>
      </c>
    </row>
    <row r="11" spans="1:9">
      <c r="A11" s="29" t="str">
        <f>IF('Capital Costs'!A12&lt;&gt;"", 'Capital Costs'!A12, "")</f>
        <v/>
      </c>
      <c r="B11" s="3" t="str">
        <f>IF('Capital Costs'!B12&lt;&gt;"", 'Capital Costs'!B12, "")</f>
        <v/>
      </c>
      <c r="C11" s="29" t="str">
        <f>IF('Capital Costs'!C12&lt;&gt;"", 'Capital Costs'!C12, "")</f>
        <v/>
      </c>
      <c r="D11" s="47" t="str">
        <f>IF('Capital Costs'!D12&lt;&gt;"", 'Capital Costs'!D12, "")</f>
        <v/>
      </c>
      <c r="E11" s="27" t="str">
        <f>IF($A11&lt;&gt;"", (IF('Replacement Costs - Entry'!T12="Y",((($B11*$D11)*((1+$B$5)^E$7))*(1/((1+$F$5)^E$7))),0)), "")</f>
        <v/>
      </c>
      <c r="F11" s="27" t="str">
        <f>IF($A11&lt;&gt;"", (IF('Replacement Costs - Entry'!U12="Y",((($B11*$D11)*((1+$B$5)^F$7))*(1/((1+$F$5)^F$7))),0)), "")</f>
        <v/>
      </c>
      <c r="G11" s="27" t="str">
        <f>IF($A11&lt;&gt;"", (IF('Replacement Costs - Entry'!V12="Y",((($B11*$D11)*((1+$B$5)^G$7))*(1/((1+$F$5)^G$7))),0)), "")</f>
        <v/>
      </c>
      <c r="H11" s="27" t="str">
        <f>IF($A11&lt;&gt;"", (IF('Replacement Costs - Entry'!W12="Y",((($B11*$D11)*((1+$B$5)^H$7))*(1/((1+$F$5)^H$7))),0)), "")</f>
        <v/>
      </c>
      <c r="I11" s="27" t="str">
        <f>IF($A11&lt;&gt;"", (IF('Replacement Costs - Entry'!X12="Y",((($B11*$D11)*((1+$B$5)^I$7))*(1/((1+$F$5)^I$7))),0)), "")</f>
        <v/>
      </c>
    </row>
    <row r="12" spans="1:9">
      <c r="A12" s="29" t="str">
        <f>IF('Capital Costs'!A13&lt;&gt;"", 'Capital Costs'!A13, "")</f>
        <v/>
      </c>
      <c r="B12" s="3" t="str">
        <f>IF('Capital Costs'!B13&lt;&gt;"", 'Capital Costs'!B13, "")</f>
        <v/>
      </c>
      <c r="C12" s="29" t="str">
        <f>IF('Capital Costs'!C13&lt;&gt;"", 'Capital Costs'!C13, "")</f>
        <v/>
      </c>
      <c r="D12" s="47" t="str">
        <f>IF('Capital Costs'!D13&lt;&gt;"", 'Capital Costs'!D13, "")</f>
        <v/>
      </c>
      <c r="E12" s="27" t="str">
        <f>IF($A12&lt;&gt;"", (IF('Replacement Costs - Entry'!T13="Y",((($B12*$D12)*((1+$B$5)^E$7))*(1/((1+$F$5)^E$7))),0)), "")</f>
        <v/>
      </c>
      <c r="F12" s="27" t="str">
        <f>IF($A12&lt;&gt;"", (IF('Replacement Costs - Entry'!U13="Y",((($B12*$D12)*((1+$B$5)^F$7))*(1/((1+$F$5)^F$7))),0)), "")</f>
        <v/>
      </c>
      <c r="G12" s="27" t="str">
        <f>IF($A12&lt;&gt;"", (IF('Replacement Costs - Entry'!V13="Y",((($B12*$D12)*((1+$B$5)^G$7))*(1/((1+$F$5)^G$7))),0)), "")</f>
        <v/>
      </c>
      <c r="H12" s="27" t="str">
        <f>IF($A12&lt;&gt;"", (IF('Replacement Costs - Entry'!W13="Y",((($B12*$D12)*((1+$B$5)^H$7))*(1/((1+$F$5)^H$7))),0)), "")</f>
        <v/>
      </c>
      <c r="I12" s="27" t="str">
        <f>IF($A12&lt;&gt;"", (IF('Replacement Costs - Entry'!X13="Y",((($B12*$D12)*((1+$B$5)^I$7))*(1/((1+$F$5)^I$7))),0)), "")</f>
        <v/>
      </c>
    </row>
    <row r="13" spans="1:9">
      <c r="A13" s="29" t="str">
        <f>IF('Capital Costs'!A14&lt;&gt;"", 'Capital Costs'!A14, "")</f>
        <v/>
      </c>
      <c r="B13" s="3" t="str">
        <f>IF('Capital Costs'!B14&lt;&gt;"", 'Capital Costs'!B14, "")</f>
        <v/>
      </c>
      <c r="C13" s="29" t="str">
        <f>IF('Capital Costs'!C14&lt;&gt;"", 'Capital Costs'!C14, "")</f>
        <v/>
      </c>
      <c r="D13" s="47" t="str">
        <f>IF('Capital Costs'!D14&lt;&gt;"", 'Capital Costs'!D14, "")</f>
        <v/>
      </c>
      <c r="E13" s="27" t="str">
        <f>IF($A13&lt;&gt;"", (IF('Replacement Costs - Entry'!T14="Y",((($B13*$D13)*((1+$B$5)^E$7))*(1/((1+$F$5)^E$7))),0)), "")</f>
        <v/>
      </c>
      <c r="F13" s="27" t="str">
        <f>IF($A13&lt;&gt;"", (IF('Replacement Costs - Entry'!U14="Y",((($B13*$D13)*((1+$B$5)^F$7))*(1/((1+$F$5)^F$7))),0)), "")</f>
        <v/>
      </c>
      <c r="G13" s="27" t="str">
        <f>IF($A13&lt;&gt;"", (IF('Replacement Costs - Entry'!V14="Y",((($B13*$D13)*((1+$B$5)^G$7))*(1/((1+$F$5)^G$7))),0)), "")</f>
        <v/>
      </c>
      <c r="H13" s="27" t="str">
        <f>IF($A13&lt;&gt;"", (IF('Replacement Costs - Entry'!W14="Y",((($B13*$D13)*((1+$B$5)^H$7))*(1/((1+$F$5)^H$7))),0)), "")</f>
        <v/>
      </c>
      <c r="I13" s="27" t="str">
        <f>IF($A13&lt;&gt;"", (IF('Replacement Costs - Entry'!X14="Y",((($B13*$D13)*((1+$B$5)^I$7))*(1/((1+$F$5)^I$7))),0)), "")</f>
        <v/>
      </c>
    </row>
    <row r="14" spans="1:9">
      <c r="A14" s="29" t="str">
        <f>IF('Capital Costs'!A15&lt;&gt;"", 'Capital Costs'!A15, "")</f>
        <v/>
      </c>
      <c r="B14" s="3" t="str">
        <f>IF('Capital Costs'!B15&lt;&gt;"", 'Capital Costs'!B15, "")</f>
        <v/>
      </c>
      <c r="C14" s="29" t="str">
        <f>IF('Capital Costs'!C15&lt;&gt;"", 'Capital Costs'!C15, "")</f>
        <v/>
      </c>
      <c r="D14" s="47" t="str">
        <f>IF('Capital Costs'!D15&lt;&gt;"", 'Capital Costs'!D15, "")</f>
        <v/>
      </c>
      <c r="E14" s="27" t="str">
        <f>IF($A14&lt;&gt;"", (IF('Replacement Costs - Entry'!T15="Y",((($B14*$D14)*((1+$B$5)^E$7))*(1/((1+$F$5)^E$7))),0)), "")</f>
        <v/>
      </c>
      <c r="F14" s="27" t="str">
        <f>IF($A14&lt;&gt;"", (IF('Replacement Costs - Entry'!U15="Y",((($B14*$D14)*((1+$B$5)^F$7))*(1/((1+$F$5)^F$7))),0)), "")</f>
        <v/>
      </c>
      <c r="G14" s="27" t="str">
        <f>IF($A14&lt;&gt;"", (IF('Replacement Costs - Entry'!V15="Y",((($B14*$D14)*((1+$B$5)^G$7))*(1/((1+$F$5)^G$7))),0)), "")</f>
        <v/>
      </c>
      <c r="H14" s="27" t="str">
        <f>IF($A14&lt;&gt;"", (IF('Replacement Costs - Entry'!W15="Y",((($B14*$D14)*((1+$B$5)^H$7))*(1/((1+$F$5)^H$7))),0)), "")</f>
        <v/>
      </c>
      <c r="I14" s="27" t="str">
        <f>IF($A14&lt;&gt;"", (IF('Replacement Costs - Entry'!X15="Y",((($B14*$D14)*((1+$B$5)^I$7))*(1/((1+$F$5)^I$7))),0)), "")</f>
        <v/>
      </c>
    </row>
    <row r="15" spans="1:9">
      <c r="A15" s="29" t="str">
        <f>IF('Capital Costs'!A16&lt;&gt;"", 'Capital Costs'!A16, "")</f>
        <v/>
      </c>
      <c r="B15" s="3" t="str">
        <f>IF('Capital Costs'!B16&lt;&gt;"", 'Capital Costs'!B16, "")</f>
        <v/>
      </c>
      <c r="C15" s="29" t="str">
        <f>IF('Capital Costs'!C16&lt;&gt;"", 'Capital Costs'!C16, "")</f>
        <v/>
      </c>
      <c r="D15" s="47" t="str">
        <f>IF('Capital Costs'!D16&lt;&gt;"", 'Capital Costs'!D16, "")</f>
        <v/>
      </c>
      <c r="E15" s="27" t="str">
        <f>IF($A15&lt;&gt;"", (IF('Replacement Costs - Entry'!T16="Y",((($B15*$D15)*((1+$B$5)^E$7))*(1/((1+$F$5)^E$7))),0)), "")</f>
        <v/>
      </c>
      <c r="F15" s="27" t="str">
        <f>IF($A15&lt;&gt;"", (IF('Replacement Costs - Entry'!U16="Y",((($B15*$D15)*((1+$B$5)^F$7))*(1/((1+$F$5)^F$7))),0)), "")</f>
        <v/>
      </c>
      <c r="G15" s="27" t="str">
        <f>IF($A15&lt;&gt;"", (IF('Replacement Costs - Entry'!V16="Y",((($B15*$D15)*((1+$B$5)^G$7))*(1/((1+$F$5)^G$7))),0)), "")</f>
        <v/>
      </c>
      <c r="H15" s="27" t="str">
        <f>IF($A15&lt;&gt;"", (IF('Replacement Costs - Entry'!W16="Y",((($B15*$D15)*((1+$B$5)^H$7))*(1/((1+$F$5)^H$7))),0)), "")</f>
        <v/>
      </c>
      <c r="I15" s="27" t="str">
        <f>IF($A15&lt;&gt;"", (IF('Replacement Costs - Entry'!X16="Y",((($B15*$D15)*((1+$B$5)^I$7))*(1/((1+$F$5)^I$7))),0)), "")</f>
        <v/>
      </c>
    </row>
    <row r="16" spans="1:9">
      <c r="A16" s="29" t="str">
        <f>IF('Capital Costs'!A17&lt;&gt;"", 'Capital Costs'!A17, "")</f>
        <v/>
      </c>
      <c r="B16" s="3" t="str">
        <f>IF('Capital Costs'!B17&lt;&gt;"", 'Capital Costs'!B17, "")</f>
        <v/>
      </c>
      <c r="C16" s="29" t="str">
        <f>IF('Capital Costs'!C17&lt;&gt;"", 'Capital Costs'!C17, "")</f>
        <v/>
      </c>
      <c r="D16" s="47" t="str">
        <f>IF('Capital Costs'!D17&lt;&gt;"", 'Capital Costs'!D17, "")</f>
        <v/>
      </c>
      <c r="E16" s="27" t="str">
        <f>IF($A16&lt;&gt;"", (IF('Replacement Costs - Entry'!T17="Y",((($B16*$D16)*((1+$B$5)^E$7))*(1/((1+$F$5)^E$7))),0)), "")</f>
        <v/>
      </c>
      <c r="F16" s="27" t="str">
        <f>IF($A16&lt;&gt;"", (IF('Replacement Costs - Entry'!U17="Y",((($B16*$D16)*((1+$B$5)^F$7))*(1/((1+$F$5)^F$7))),0)), "")</f>
        <v/>
      </c>
      <c r="G16" s="27" t="str">
        <f>IF($A16&lt;&gt;"", (IF('Replacement Costs - Entry'!V17="Y",((($B16*$D16)*((1+$B$5)^G$7))*(1/((1+$F$5)^G$7))),0)), "")</f>
        <v/>
      </c>
      <c r="H16" s="27" t="str">
        <f>IF($A16&lt;&gt;"", (IF('Replacement Costs - Entry'!W17="Y",((($B16*$D16)*((1+$B$5)^H$7))*(1/((1+$F$5)^H$7))),0)), "")</f>
        <v/>
      </c>
      <c r="I16" s="27" t="str">
        <f>IF($A16&lt;&gt;"", (IF('Replacement Costs - Entry'!X17="Y",((($B16*$D16)*((1+$B$5)^I$7))*(1/((1+$F$5)^I$7))),0)), "")</f>
        <v/>
      </c>
    </row>
    <row r="17" spans="1:9">
      <c r="A17" s="29" t="str">
        <f>IF('Capital Costs'!A18&lt;&gt;"", 'Capital Costs'!A18, "")</f>
        <v/>
      </c>
      <c r="B17" s="3" t="str">
        <f>IF('Capital Costs'!B18&lt;&gt;"", 'Capital Costs'!B18, "")</f>
        <v/>
      </c>
      <c r="C17" s="29" t="str">
        <f>IF('Capital Costs'!C18&lt;&gt;"", 'Capital Costs'!C18, "")</f>
        <v/>
      </c>
      <c r="D17" s="47" t="str">
        <f>IF('Capital Costs'!D18&lt;&gt;"", 'Capital Costs'!D18, "")</f>
        <v/>
      </c>
      <c r="E17" s="27" t="str">
        <f>IF($A17&lt;&gt;"", (IF('Replacement Costs - Entry'!T18="Y",((($B17*$D17)*((1+$B$5)^E$7))*(1/((1+$F$5)^E$7))),0)), "")</f>
        <v/>
      </c>
      <c r="F17" s="27" t="str">
        <f>IF($A17&lt;&gt;"", (IF('Replacement Costs - Entry'!U18="Y",((($B17*$D17)*((1+$B$5)^F$7))*(1/((1+$F$5)^F$7))),0)), "")</f>
        <v/>
      </c>
      <c r="G17" s="27" t="str">
        <f>IF($A17&lt;&gt;"", (IF('Replacement Costs - Entry'!V18="Y",((($B17*$D17)*((1+$B$5)^G$7))*(1/((1+$F$5)^G$7))),0)), "")</f>
        <v/>
      </c>
      <c r="H17" s="27" t="str">
        <f>IF($A17&lt;&gt;"", (IF('Replacement Costs - Entry'!W18="Y",((($B17*$D17)*((1+$B$5)^H$7))*(1/((1+$F$5)^H$7))),0)), "")</f>
        <v/>
      </c>
      <c r="I17" s="27" t="str">
        <f>IF($A17&lt;&gt;"", (IF('Replacement Costs - Entry'!X18="Y",((($B17*$D17)*((1+$B$5)^I$7))*(1/((1+$F$5)^I$7))),0)), "")</f>
        <v/>
      </c>
    </row>
    <row r="18" spans="1:9">
      <c r="A18" s="29" t="str">
        <f>IF('Capital Costs'!A19&lt;&gt;"", 'Capital Costs'!A19, "")</f>
        <v/>
      </c>
      <c r="B18" s="3" t="str">
        <f>IF('Capital Costs'!B19&lt;&gt;"", 'Capital Costs'!B19, "")</f>
        <v/>
      </c>
      <c r="C18" s="29" t="str">
        <f>IF('Capital Costs'!C19&lt;&gt;"", 'Capital Costs'!C19, "")</f>
        <v/>
      </c>
      <c r="D18" s="47" t="str">
        <f>IF('Capital Costs'!D19&lt;&gt;"", 'Capital Costs'!D19, "")</f>
        <v/>
      </c>
      <c r="E18" s="27" t="str">
        <f>IF($A18&lt;&gt;"", (IF('Replacement Costs - Entry'!T19="Y",((($B18*$D18)*((1+$B$5)^E$7))*(1/((1+$F$5)^E$7))),0)), "")</f>
        <v/>
      </c>
      <c r="F18" s="27" t="str">
        <f>IF($A18&lt;&gt;"", (IF('Replacement Costs - Entry'!U19="Y",((($B18*$D18)*((1+$B$5)^F$7))*(1/((1+$F$5)^F$7))),0)), "")</f>
        <v/>
      </c>
      <c r="G18" s="27" t="str">
        <f>IF($A18&lt;&gt;"", (IF('Replacement Costs - Entry'!V19="Y",((($B18*$D18)*((1+$B$5)^G$7))*(1/((1+$F$5)^G$7))),0)), "")</f>
        <v/>
      </c>
      <c r="H18" s="27" t="str">
        <f>IF($A18&lt;&gt;"", (IF('Replacement Costs - Entry'!W19="Y",((($B18*$D18)*((1+$B$5)^H$7))*(1/((1+$F$5)^H$7))),0)), "")</f>
        <v/>
      </c>
      <c r="I18" s="27" t="str">
        <f>IF($A18&lt;&gt;"", (IF('Replacement Costs - Entry'!X19="Y",((($B18*$D18)*((1+$B$5)^I$7))*(1/((1+$F$5)^I$7))),0)), "")</f>
        <v/>
      </c>
    </row>
    <row r="19" spans="1:9">
      <c r="A19" s="29" t="str">
        <f>IF('Capital Costs'!A20&lt;&gt;"", 'Capital Costs'!A20, "")</f>
        <v/>
      </c>
      <c r="B19" s="3" t="str">
        <f>IF('Capital Costs'!B20&lt;&gt;"", 'Capital Costs'!B20, "")</f>
        <v/>
      </c>
      <c r="C19" s="29" t="str">
        <f>IF('Capital Costs'!C20&lt;&gt;"", 'Capital Costs'!C20, "")</f>
        <v/>
      </c>
      <c r="D19" s="47" t="str">
        <f>IF('Capital Costs'!D20&lt;&gt;"", 'Capital Costs'!D20, "")</f>
        <v/>
      </c>
      <c r="E19" s="27" t="str">
        <f>IF($A19&lt;&gt;"", (IF('Replacement Costs - Entry'!T20="Y",((($B19*$D19)*((1+$B$5)^E$7))*(1/((1+$F$5)^E$7))),0)), "")</f>
        <v/>
      </c>
      <c r="F19" s="27" t="str">
        <f>IF($A19&lt;&gt;"", (IF('Replacement Costs - Entry'!U20="Y",((($B19*$D19)*((1+$B$5)^F$7))*(1/((1+$F$5)^F$7))),0)), "")</f>
        <v/>
      </c>
      <c r="G19" s="27" t="str">
        <f>IF($A19&lt;&gt;"", (IF('Replacement Costs - Entry'!V20="Y",((($B19*$D19)*((1+$B$5)^G$7))*(1/((1+$F$5)^G$7))),0)), "")</f>
        <v/>
      </c>
      <c r="H19" s="27" t="str">
        <f>IF($A19&lt;&gt;"", (IF('Replacement Costs - Entry'!W20="Y",((($B19*$D19)*((1+$B$5)^H$7))*(1/((1+$F$5)^H$7))),0)), "")</f>
        <v/>
      </c>
      <c r="I19" s="27" t="str">
        <f>IF($A19&lt;&gt;"", (IF('Replacement Costs - Entry'!X20="Y",((($B19*$D19)*((1+$B$5)^I$7))*(1/((1+$F$5)^I$7))),0)), "")</f>
        <v/>
      </c>
    </row>
    <row r="20" spans="1:9">
      <c r="A20" s="29" t="str">
        <f>IF('Capital Costs'!A21&lt;&gt;"", 'Capital Costs'!A21, "")</f>
        <v/>
      </c>
      <c r="B20" s="3" t="str">
        <f>IF('Capital Costs'!B21&lt;&gt;"", 'Capital Costs'!B21, "")</f>
        <v/>
      </c>
      <c r="C20" s="29" t="str">
        <f>IF('Capital Costs'!C21&lt;&gt;"", 'Capital Costs'!C21, "")</f>
        <v/>
      </c>
      <c r="D20" s="47" t="str">
        <f>IF('Capital Costs'!D21&lt;&gt;"", 'Capital Costs'!D21, "")</f>
        <v/>
      </c>
      <c r="E20" s="27" t="str">
        <f>IF($A20&lt;&gt;"", (IF('Replacement Costs - Entry'!T21="Y",((($B20*$D20)*((1+$B$5)^E$7))*(1/((1+$F$5)^E$7))),0)), "")</f>
        <v/>
      </c>
      <c r="F20" s="27" t="str">
        <f>IF($A20&lt;&gt;"", (IF('Replacement Costs - Entry'!U21="Y",((($B20*$D20)*((1+$B$5)^F$7))*(1/((1+$F$5)^F$7))),0)), "")</f>
        <v/>
      </c>
      <c r="G20" s="27" t="str">
        <f>IF($A20&lt;&gt;"", (IF('Replacement Costs - Entry'!V21="Y",((($B20*$D20)*((1+$B$5)^G$7))*(1/((1+$F$5)^G$7))),0)), "")</f>
        <v/>
      </c>
      <c r="H20" s="27" t="str">
        <f>IF($A20&lt;&gt;"", (IF('Replacement Costs - Entry'!W21="Y",((($B20*$D20)*((1+$B$5)^H$7))*(1/((1+$F$5)^H$7))),0)), "")</f>
        <v/>
      </c>
      <c r="I20" s="27" t="str">
        <f>IF($A20&lt;&gt;"", (IF('Replacement Costs - Entry'!X21="Y",((($B20*$D20)*((1+$B$5)^I$7))*(1/((1+$F$5)^I$7))),0)), "")</f>
        <v/>
      </c>
    </row>
    <row r="21" spans="1:9">
      <c r="A21" s="29" t="str">
        <f>IF('Capital Costs'!A22&lt;&gt;"", 'Capital Costs'!A22, "")</f>
        <v/>
      </c>
      <c r="B21" s="3" t="str">
        <f>IF('Capital Costs'!B22&lt;&gt;"", 'Capital Costs'!B22, "")</f>
        <v/>
      </c>
      <c r="C21" s="29" t="str">
        <f>IF('Capital Costs'!C22&lt;&gt;"", 'Capital Costs'!C22, "")</f>
        <v/>
      </c>
      <c r="D21" s="47" t="str">
        <f>IF('Capital Costs'!D22&lt;&gt;"", 'Capital Costs'!D22, "")</f>
        <v/>
      </c>
      <c r="E21" s="27" t="str">
        <f>IF($A21&lt;&gt;"", (IF('Replacement Costs - Entry'!T22="Y",((($B21*$D21)*((1+$B$5)^E$7))*(1/((1+$F$5)^E$7))),0)), "")</f>
        <v/>
      </c>
      <c r="F21" s="27" t="str">
        <f>IF($A21&lt;&gt;"", (IF('Replacement Costs - Entry'!U22="Y",((($B21*$D21)*((1+$B$5)^F$7))*(1/((1+$F$5)^F$7))),0)), "")</f>
        <v/>
      </c>
      <c r="G21" s="27" t="str">
        <f>IF($A21&lt;&gt;"", (IF('Replacement Costs - Entry'!V22="Y",((($B21*$D21)*((1+$B$5)^G$7))*(1/((1+$F$5)^G$7))),0)), "")</f>
        <v/>
      </c>
      <c r="H21" s="27" t="str">
        <f>IF($A21&lt;&gt;"", (IF('Replacement Costs - Entry'!W22="Y",((($B21*$D21)*((1+$B$5)^H$7))*(1/((1+$F$5)^H$7))),0)), "")</f>
        <v/>
      </c>
      <c r="I21" s="27" t="str">
        <f>IF($A21&lt;&gt;"", (IF('Replacement Costs - Entry'!X22="Y",((($B21*$D21)*((1+$B$5)^I$7))*(1/((1+$F$5)^I$7))),0)), "")</f>
        <v/>
      </c>
    </row>
    <row r="22" spans="1:9">
      <c r="A22" s="29" t="str">
        <f>IF('Capital Costs'!A23&lt;&gt;"", 'Capital Costs'!A23, "")</f>
        <v/>
      </c>
      <c r="B22" s="3" t="str">
        <f>IF('Capital Costs'!B23&lt;&gt;"", 'Capital Costs'!B23, "")</f>
        <v/>
      </c>
      <c r="C22" s="29" t="str">
        <f>IF('Capital Costs'!C23&lt;&gt;"", 'Capital Costs'!C23, "")</f>
        <v/>
      </c>
      <c r="D22" s="47" t="str">
        <f>IF('Capital Costs'!D23&lt;&gt;"", 'Capital Costs'!D23, "")</f>
        <v/>
      </c>
      <c r="E22" s="27" t="str">
        <f>IF($A22&lt;&gt;"", (IF('Replacement Costs - Entry'!T23="Y",((($B22*$D22)*((1+$B$5)^E$7))*(1/((1+$F$5)^E$7))),0)), "")</f>
        <v/>
      </c>
      <c r="F22" s="27" t="str">
        <f>IF($A22&lt;&gt;"", (IF('Replacement Costs - Entry'!U23="Y",((($B22*$D22)*((1+$B$5)^F$7))*(1/((1+$F$5)^F$7))),0)), "")</f>
        <v/>
      </c>
      <c r="G22" s="27" t="str">
        <f>IF($A22&lt;&gt;"", (IF('Replacement Costs - Entry'!V23="Y",((($B22*$D22)*((1+$B$5)^G$7))*(1/((1+$F$5)^G$7))),0)), "")</f>
        <v/>
      </c>
      <c r="H22" s="27" t="str">
        <f>IF($A22&lt;&gt;"", (IF('Replacement Costs - Entry'!W23="Y",((($B22*$D22)*((1+$B$5)^H$7))*(1/((1+$F$5)^H$7))),0)), "")</f>
        <v/>
      </c>
      <c r="I22" s="27" t="str">
        <f>IF($A22&lt;&gt;"", (IF('Replacement Costs - Entry'!X23="Y",((($B22*$D22)*((1+$B$5)^I$7))*(1/((1+$F$5)^I$7))),0)), "")</f>
        <v/>
      </c>
    </row>
    <row r="23" spans="1:9">
      <c r="A23" s="29" t="str">
        <f>IF('Capital Costs'!A24&lt;&gt;"", 'Capital Costs'!A24, "")</f>
        <v/>
      </c>
      <c r="B23" s="3" t="str">
        <f>IF('Capital Costs'!B24&lt;&gt;"", 'Capital Costs'!B24, "")</f>
        <v/>
      </c>
      <c r="C23" s="29" t="str">
        <f>IF('Capital Costs'!C24&lt;&gt;"", 'Capital Costs'!C24, "")</f>
        <v/>
      </c>
      <c r="D23" s="47" t="str">
        <f>IF('Capital Costs'!D24&lt;&gt;"", 'Capital Costs'!D24, "")</f>
        <v/>
      </c>
      <c r="E23" s="27" t="str">
        <f>IF($A23&lt;&gt;"", (IF('Replacement Costs - Entry'!T24="Y",((($B23*$D23)*((1+$B$5)^E$7))*(1/((1+$F$5)^E$7))),0)), "")</f>
        <v/>
      </c>
      <c r="F23" s="27" t="str">
        <f>IF($A23&lt;&gt;"", (IF('Replacement Costs - Entry'!U24="Y",((($B23*$D23)*((1+$B$5)^F$7))*(1/((1+$F$5)^F$7))),0)), "")</f>
        <v/>
      </c>
      <c r="G23" s="27" t="str">
        <f>IF($A23&lt;&gt;"", (IF('Replacement Costs - Entry'!V24="Y",((($B23*$D23)*((1+$B$5)^G$7))*(1/((1+$F$5)^G$7))),0)), "")</f>
        <v/>
      </c>
      <c r="H23" s="27" t="str">
        <f>IF($A23&lt;&gt;"", (IF('Replacement Costs - Entry'!W24="Y",((($B23*$D23)*((1+$B$5)^H$7))*(1/((1+$F$5)^H$7))),0)), "")</f>
        <v/>
      </c>
      <c r="I23" s="27" t="str">
        <f>IF($A23&lt;&gt;"", (IF('Replacement Costs - Entry'!X24="Y",((($B23*$D23)*((1+$B$5)^I$7))*(1/((1+$F$5)^I$7))),0)), "")</f>
        <v/>
      </c>
    </row>
    <row r="24" spans="1:9">
      <c r="A24" s="29" t="str">
        <f>IF('Capital Costs'!A25&lt;&gt;"", 'Capital Costs'!A25, "")</f>
        <v/>
      </c>
      <c r="B24" s="3" t="str">
        <f>IF('Capital Costs'!B25&lt;&gt;"", 'Capital Costs'!B25, "")</f>
        <v/>
      </c>
      <c r="C24" s="29" t="str">
        <f>IF('Capital Costs'!C25&lt;&gt;"", 'Capital Costs'!C25, "")</f>
        <v/>
      </c>
      <c r="D24" s="47" t="str">
        <f>IF('Capital Costs'!D25&lt;&gt;"", 'Capital Costs'!D25, "")</f>
        <v/>
      </c>
      <c r="E24" s="27" t="str">
        <f>IF($A24&lt;&gt;"", (IF('Replacement Costs - Entry'!T25="Y",((($B24*$D24)*((1+$B$5)^E$7))*(1/((1+$F$5)^E$7))),0)), "")</f>
        <v/>
      </c>
      <c r="F24" s="27" t="str">
        <f>IF($A24&lt;&gt;"", (IF('Replacement Costs - Entry'!U25="Y",((($B24*$D24)*((1+$B$5)^F$7))*(1/((1+$F$5)^F$7))),0)), "")</f>
        <v/>
      </c>
      <c r="G24" s="27" t="str">
        <f>IF($A24&lt;&gt;"", (IF('Replacement Costs - Entry'!V25="Y",((($B24*$D24)*((1+$B$5)^G$7))*(1/((1+$F$5)^G$7))),0)), "")</f>
        <v/>
      </c>
      <c r="H24" s="27" t="str">
        <f>IF($A24&lt;&gt;"", (IF('Replacement Costs - Entry'!W25="Y",((($B24*$D24)*((1+$B$5)^H$7))*(1/((1+$F$5)^H$7))),0)), "")</f>
        <v/>
      </c>
      <c r="I24" s="27" t="str">
        <f>IF($A24&lt;&gt;"", (IF('Replacement Costs - Entry'!X25="Y",((($B24*$D24)*((1+$B$5)^I$7))*(1/((1+$F$5)^I$7))),0)), "")</f>
        <v/>
      </c>
    </row>
    <row r="25" spans="1:9">
      <c r="A25" s="29" t="str">
        <f>IF('Capital Costs'!A26&lt;&gt;"", 'Capital Costs'!A26, "")</f>
        <v/>
      </c>
      <c r="B25" s="3" t="str">
        <f>IF('Capital Costs'!B26&lt;&gt;"", 'Capital Costs'!B26, "")</f>
        <v/>
      </c>
      <c r="C25" s="29" t="str">
        <f>IF('Capital Costs'!C26&lt;&gt;"", 'Capital Costs'!C26, "")</f>
        <v/>
      </c>
      <c r="D25" s="47" t="str">
        <f>IF('Capital Costs'!D26&lt;&gt;"", 'Capital Costs'!D26, "")</f>
        <v/>
      </c>
      <c r="E25" s="27" t="str">
        <f>IF($A25&lt;&gt;"", (IF('Replacement Costs - Entry'!T26="Y",((($B25*$D25)*((1+$B$5)^E$7))*(1/((1+$F$5)^E$7))),0)), "")</f>
        <v/>
      </c>
      <c r="F25" s="27" t="str">
        <f>IF($A25&lt;&gt;"", (IF('Replacement Costs - Entry'!U26="Y",((($B25*$D25)*((1+$B$5)^F$7))*(1/((1+$F$5)^F$7))),0)), "")</f>
        <v/>
      </c>
      <c r="G25" s="27" t="str">
        <f>IF($A25&lt;&gt;"", (IF('Replacement Costs - Entry'!V26="Y",((($B25*$D25)*((1+$B$5)^G$7))*(1/((1+$F$5)^G$7))),0)), "")</f>
        <v/>
      </c>
      <c r="H25" s="27" t="str">
        <f>IF($A25&lt;&gt;"", (IF('Replacement Costs - Entry'!W26="Y",((($B25*$D25)*((1+$B$5)^H$7))*(1/((1+$F$5)^H$7))),0)), "")</f>
        <v/>
      </c>
      <c r="I25" s="27" t="str">
        <f>IF($A25&lt;&gt;"", (IF('Replacement Costs - Entry'!X26="Y",((($B25*$D25)*((1+$B$5)^I$7))*(1/((1+$F$5)^I$7))),0)), "")</f>
        <v/>
      </c>
    </row>
    <row r="26" spans="1:9">
      <c r="A26" s="29" t="str">
        <f>IF('Capital Costs'!A27&lt;&gt;"", 'Capital Costs'!A27, "")</f>
        <v/>
      </c>
      <c r="B26" s="3" t="str">
        <f>IF('Capital Costs'!B27&lt;&gt;"", 'Capital Costs'!B27, "")</f>
        <v/>
      </c>
      <c r="C26" s="29" t="str">
        <f>IF('Capital Costs'!C27&lt;&gt;"", 'Capital Costs'!C27, "")</f>
        <v/>
      </c>
      <c r="D26" s="47" t="str">
        <f>IF('Capital Costs'!D27&lt;&gt;"", 'Capital Costs'!D27, "")</f>
        <v/>
      </c>
      <c r="E26" s="27" t="str">
        <f>IF($A26&lt;&gt;"", (IF('Replacement Costs - Entry'!T27="Y",((($B26*$D26)*((1+$B$5)^E$7))*(1/((1+$F$5)^E$7))),0)), "")</f>
        <v/>
      </c>
      <c r="F26" s="27" t="str">
        <f>IF($A26&lt;&gt;"", (IF('Replacement Costs - Entry'!U27="Y",((($B26*$D26)*((1+$B$5)^F$7))*(1/((1+$F$5)^F$7))),0)), "")</f>
        <v/>
      </c>
      <c r="G26" s="27" t="str">
        <f>IF($A26&lt;&gt;"", (IF('Replacement Costs - Entry'!V27="Y",((($B26*$D26)*((1+$B$5)^G$7))*(1/((1+$F$5)^G$7))),0)), "")</f>
        <v/>
      </c>
      <c r="H26" s="27" t="str">
        <f>IF($A26&lt;&gt;"", (IF('Replacement Costs - Entry'!W27="Y",((($B26*$D26)*((1+$B$5)^H$7))*(1/((1+$F$5)^H$7))),0)), "")</f>
        <v/>
      </c>
      <c r="I26" s="27" t="str">
        <f>IF($A26&lt;&gt;"", (IF('Replacement Costs - Entry'!X27="Y",((($B26*$D26)*((1+$B$5)^I$7))*(1/((1+$F$5)^I$7))),0)), "")</f>
        <v/>
      </c>
    </row>
    <row r="27" spans="1:9">
      <c r="A27" s="29" t="str">
        <f>IF('Capital Costs'!A28&lt;&gt;"", 'Capital Costs'!A28, "")</f>
        <v/>
      </c>
      <c r="B27" s="3" t="str">
        <f>IF('Capital Costs'!B28&lt;&gt;"", 'Capital Costs'!B28, "")</f>
        <v/>
      </c>
      <c r="C27" s="29" t="str">
        <f>IF('Capital Costs'!C28&lt;&gt;"", 'Capital Costs'!C28, "")</f>
        <v/>
      </c>
      <c r="D27" s="47" t="str">
        <f>IF('Capital Costs'!D28&lt;&gt;"", 'Capital Costs'!D28, "")</f>
        <v/>
      </c>
      <c r="E27" s="27" t="str">
        <f>IF($A27&lt;&gt;"", (IF('Replacement Costs - Entry'!T28="Y",((($B27*$D27)*((1+$B$5)^E$7))*(1/((1+$F$5)^E$7))),0)), "")</f>
        <v/>
      </c>
      <c r="F27" s="27" t="str">
        <f>IF($A27&lt;&gt;"", (IF('Replacement Costs - Entry'!U28="Y",((($B27*$D27)*((1+$B$5)^F$7))*(1/((1+$F$5)^F$7))),0)), "")</f>
        <v/>
      </c>
      <c r="G27" s="27" t="str">
        <f>IF($A27&lt;&gt;"", (IF('Replacement Costs - Entry'!V28="Y",((($B27*$D27)*((1+$B$5)^G$7))*(1/((1+$F$5)^G$7))),0)), "")</f>
        <v/>
      </c>
      <c r="H27" s="27" t="str">
        <f>IF($A27&lt;&gt;"", (IF('Replacement Costs - Entry'!W28="Y",((($B27*$D27)*((1+$B$5)^H$7))*(1/((1+$F$5)^H$7))),0)), "")</f>
        <v/>
      </c>
      <c r="I27" s="27" t="str">
        <f>IF($A27&lt;&gt;"", (IF('Replacement Costs - Entry'!X28="Y",((($B27*$D27)*((1+$B$5)^I$7))*(1/((1+$F$5)^I$7))),0)), "")</f>
        <v/>
      </c>
    </row>
    <row r="28" spans="1:9">
      <c r="A28" s="29" t="str">
        <f>IF('Capital Costs'!A29&lt;&gt;"", 'Capital Costs'!A29, "")</f>
        <v/>
      </c>
      <c r="B28" s="3" t="str">
        <f>IF('Capital Costs'!B29&lt;&gt;"", 'Capital Costs'!B29, "")</f>
        <v/>
      </c>
      <c r="C28" s="29" t="str">
        <f>IF('Capital Costs'!C29&lt;&gt;"", 'Capital Costs'!C29, "")</f>
        <v/>
      </c>
      <c r="D28" s="47" t="str">
        <f>IF('Capital Costs'!D29&lt;&gt;"", 'Capital Costs'!D29, "")</f>
        <v/>
      </c>
      <c r="E28" s="27" t="str">
        <f>IF($A28&lt;&gt;"", (IF('Replacement Costs - Entry'!T29="Y",((($B28*$D28)*((1+$B$5)^E$7))*(1/((1+$F$5)^E$7))),0)), "")</f>
        <v/>
      </c>
      <c r="F28" s="27" t="str">
        <f>IF($A28&lt;&gt;"", (IF('Replacement Costs - Entry'!U29="Y",((($B28*$D28)*((1+$B$5)^F$7))*(1/((1+$F$5)^F$7))),0)), "")</f>
        <v/>
      </c>
      <c r="G28" s="27" t="str">
        <f>IF($A28&lt;&gt;"", (IF('Replacement Costs - Entry'!V29="Y",((($B28*$D28)*((1+$B$5)^G$7))*(1/((1+$F$5)^G$7))),0)), "")</f>
        <v/>
      </c>
      <c r="H28" s="27" t="str">
        <f>IF($A28&lt;&gt;"", (IF('Replacement Costs - Entry'!W29="Y",((($B28*$D28)*((1+$B$5)^H$7))*(1/((1+$F$5)^H$7))),0)), "")</f>
        <v/>
      </c>
      <c r="I28" s="27" t="str">
        <f>IF($A28&lt;&gt;"", (IF('Replacement Costs - Entry'!X29="Y",((($B28*$D28)*((1+$B$5)^I$7))*(1/((1+$F$5)^I$7))),0)), "")</f>
        <v/>
      </c>
    </row>
    <row r="29" spans="1:9">
      <c r="A29" s="29" t="str">
        <f>IF('Capital Costs'!A30&lt;&gt;"", 'Capital Costs'!A30, "")</f>
        <v/>
      </c>
      <c r="B29" s="3" t="str">
        <f>IF('Capital Costs'!B30&lt;&gt;"", 'Capital Costs'!B30, "")</f>
        <v/>
      </c>
      <c r="C29" s="29" t="str">
        <f>IF('Capital Costs'!C30&lt;&gt;"", 'Capital Costs'!C30, "")</f>
        <v/>
      </c>
      <c r="D29" s="47" t="str">
        <f>IF('Capital Costs'!D30&lt;&gt;"", 'Capital Costs'!D30, "")</f>
        <v/>
      </c>
      <c r="E29" s="27" t="str">
        <f>IF($A29&lt;&gt;"", (IF('Replacement Costs - Entry'!T30="Y",((($B29*$D29)*((1+$B$5)^E$7))*(1/((1+$F$5)^E$7))),0)), "")</f>
        <v/>
      </c>
      <c r="F29" s="27" t="str">
        <f>IF($A29&lt;&gt;"", (IF('Replacement Costs - Entry'!U30="Y",((($B29*$D29)*((1+$B$5)^F$7))*(1/((1+$F$5)^F$7))),0)), "")</f>
        <v/>
      </c>
      <c r="G29" s="27" t="str">
        <f>IF($A29&lt;&gt;"", (IF('Replacement Costs - Entry'!V30="Y",((($B29*$D29)*((1+$B$5)^G$7))*(1/((1+$F$5)^G$7))),0)), "")</f>
        <v/>
      </c>
      <c r="H29" s="27" t="str">
        <f>IF($A29&lt;&gt;"", (IF('Replacement Costs - Entry'!W30="Y",((($B29*$D29)*((1+$B$5)^H$7))*(1/((1+$F$5)^H$7))),0)), "")</f>
        <v/>
      </c>
      <c r="I29" s="27" t="str">
        <f>IF($A29&lt;&gt;"", (IF('Replacement Costs - Entry'!X30="Y",((($B29*$D29)*((1+$B$5)^I$7))*(1/((1+$F$5)^I$7))),0)), "")</f>
        <v/>
      </c>
    </row>
    <row r="30" spans="1:9">
      <c r="A30" s="29" t="str">
        <f>IF('Capital Costs'!A31&lt;&gt;"", 'Capital Costs'!A31, "")</f>
        <v/>
      </c>
      <c r="B30" s="3" t="str">
        <f>IF('Capital Costs'!B31&lt;&gt;"", 'Capital Costs'!B31, "")</f>
        <v/>
      </c>
      <c r="C30" s="29" t="str">
        <f>IF('Capital Costs'!C31&lt;&gt;"", 'Capital Costs'!C31, "")</f>
        <v/>
      </c>
      <c r="D30" s="47" t="str">
        <f>IF('Capital Costs'!D31&lt;&gt;"", 'Capital Costs'!D31, "")</f>
        <v/>
      </c>
      <c r="E30" s="27" t="str">
        <f>IF($A30&lt;&gt;"", (IF('Replacement Costs - Entry'!T31="Y",((($B30*$D30)*((1+$B$5)^E$7))*(1/((1+$F$5)^E$7))),0)), "")</f>
        <v/>
      </c>
      <c r="F30" s="27" t="str">
        <f>IF($A30&lt;&gt;"", (IF('Replacement Costs - Entry'!U31="Y",((($B30*$D30)*((1+$B$5)^F$7))*(1/((1+$F$5)^F$7))),0)), "")</f>
        <v/>
      </c>
      <c r="G30" s="27" t="str">
        <f>IF($A30&lt;&gt;"", (IF('Replacement Costs - Entry'!V31="Y",((($B30*$D30)*((1+$B$5)^G$7))*(1/((1+$F$5)^G$7))),0)), "")</f>
        <v/>
      </c>
      <c r="H30" s="27" t="str">
        <f>IF($A30&lt;&gt;"", (IF('Replacement Costs - Entry'!W31="Y",((($B30*$D30)*((1+$B$5)^H$7))*(1/((1+$F$5)^H$7))),0)), "")</f>
        <v/>
      </c>
      <c r="I30" s="27" t="str">
        <f>IF($A30&lt;&gt;"", (IF('Replacement Costs - Entry'!X31="Y",((($B30*$D30)*((1+$B$5)^I$7))*(1/((1+$F$5)^I$7))),0)), "")</f>
        <v/>
      </c>
    </row>
    <row r="31" spans="1:9">
      <c r="A31" s="29" t="str">
        <f>IF('Capital Costs'!A32&lt;&gt;"", 'Capital Costs'!A32, "")</f>
        <v/>
      </c>
      <c r="B31" s="3" t="str">
        <f>IF('Capital Costs'!B32&lt;&gt;"", 'Capital Costs'!B32, "")</f>
        <v/>
      </c>
      <c r="C31" s="29" t="str">
        <f>IF('Capital Costs'!C32&lt;&gt;"", 'Capital Costs'!C32, "")</f>
        <v/>
      </c>
      <c r="D31" s="47" t="str">
        <f>IF('Capital Costs'!D32&lt;&gt;"", 'Capital Costs'!D32, "")</f>
        <v/>
      </c>
      <c r="E31" s="27" t="str">
        <f>IF($A31&lt;&gt;"", (IF('Replacement Costs - Entry'!T32="Y",((($B31*$D31)*((1+$B$5)^E$7))*(1/((1+$F$5)^E$7))),0)), "")</f>
        <v/>
      </c>
      <c r="F31" s="27" t="str">
        <f>IF($A31&lt;&gt;"", (IF('Replacement Costs - Entry'!U32="Y",((($B31*$D31)*((1+$B$5)^F$7))*(1/((1+$F$5)^F$7))),0)), "")</f>
        <v/>
      </c>
      <c r="G31" s="27" t="str">
        <f>IF($A31&lt;&gt;"", (IF('Replacement Costs - Entry'!V32="Y",((($B31*$D31)*((1+$B$5)^G$7))*(1/((1+$F$5)^G$7))),0)), "")</f>
        <v/>
      </c>
      <c r="H31" s="27" t="str">
        <f>IF($A31&lt;&gt;"", (IF('Replacement Costs - Entry'!W32="Y",((($B31*$D31)*((1+$B$5)^H$7))*(1/((1+$F$5)^H$7))),0)), "")</f>
        <v/>
      </c>
      <c r="I31" s="27" t="str">
        <f>IF($A31&lt;&gt;"", (IF('Replacement Costs - Entry'!X32="Y",((($B31*$D31)*((1+$B$5)^I$7))*(1/((1+$F$5)^I$7))),0)), "")</f>
        <v/>
      </c>
    </row>
    <row r="32" spans="1:9">
      <c r="A32" s="29" t="str">
        <f>IF('Capital Costs'!A33&lt;&gt;"", 'Capital Costs'!A33, "")</f>
        <v/>
      </c>
      <c r="B32" s="3" t="str">
        <f>IF('Capital Costs'!B33&lt;&gt;"", 'Capital Costs'!B33, "")</f>
        <v/>
      </c>
      <c r="C32" s="29" t="str">
        <f>IF('Capital Costs'!C33&lt;&gt;"", 'Capital Costs'!C33, "")</f>
        <v/>
      </c>
      <c r="D32" s="47" t="str">
        <f>IF('Capital Costs'!D33&lt;&gt;"", 'Capital Costs'!D33, "")</f>
        <v/>
      </c>
      <c r="E32" s="27" t="str">
        <f>IF($A32&lt;&gt;"", (IF('Replacement Costs - Entry'!T33="Y",((($B32*$D32)*((1+$B$5)^E$7))*(1/((1+$F$5)^E$7))),0)), "")</f>
        <v/>
      </c>
      <c r="F32" s="27" t="str">
        <f>IF($A32&lt;&gt;"", (IF('Replacement Costs - Entry'!U33="Y",((($B32*$D32)*((1+$B$5)^F$7))*(1/((1+$F$5)^F$7))),0)), "")</f>
        <v/>
      </c>
      <c r="G32" s="27" t="str">
        <f>IF($A32&lt;&gt;"", (IF('Replacement Costs - Entry'!V33="Y",((($B32*$D32)*((1+$B$5)^G$7))*(1/((1+$F$5)^G$7))),0)), "")</f>
        <v/>
      </c>
      <c r="H32" s="27" t="str">
        <f>IF($A32&lt;&gt;"", (IF('Replacement Costs - Entry'!W33="Y",((($B32*$D32)*((1+$B$5)^H$7))*(1/((1+$F$5)^H$7))),0)), "")</f>
        <v/>
      </c>
      <c r="I32" s="27" t="str">
        <f>IF($A32&lt;&gt;"", (IF('Replacement Costs - Entry'!X33="Y",((($B32*$D32)*((1+$B$5)^I$7))*(1/((1+$F$5)^I$7))),0)), "")</f>
        <v/>
      </c>
    </row>
    <row r="33" spans="1:9">
      <c r="A33" s="29" t="str">
        <f>IF('Capital Costs'!A34&lt;&gt;"", 'Capital Costs'!A34, "")</f>
        <v/>
      </c>
      <c r="B33" s="3" t="str">
        <f>IF('Capital Costs'!B34&lt;&gt;"", 'Capital Costs'!B34, "")</f>
        <v/>
      </c>
      <c r="C33" s="29" t="str">
        <f>IF('Capital Costs'!C34&lt;&gt;"", 'Capital Costs'!C34, "")</f>
        <v/>
      </c>
      <c r="D33" s="47" t="str">
        <f>IF('Capital Costs'!D34&lt;&gt;"", 'Capital Costs'!D34, "")</f>
        <v/>
      </c>
      <c r="E33" s="27" t="str">
        <f>IF($A33&lt;&gt;"", (IF('Replacement Costs - Entry'!T34="Y",((($B33*$D33)*((1+$B$5)^E$7))*(1/((1+$F$5)^E$7))),0)), "")</f>
        <v/>
      </c>
      <c r="F33" s="27" t="str">
        <f>IF($A33&lt;&gt;"", (IF('Replacement Costs - Entry'!U34="Y",((($B33*$D33)*((1+$B$5)^F$7))*(1/((1+$F$5)^F$7))),0)), "")</f>
        <v/>
      </c>
      <c r="G33" s="27" t="str">
        <f>IF($A33&lt;&gt;"", (IF('Replacement Costs - Entry'!V34="Y",((($B33*$D33)*((1+$B$5)^G$7))*(1/((1+$F$5)^G$7))),0)), "")</f>
        <v/>
      </c>
      <c r="H33" s="27" t="str">
        <f>IF($A33&lt;&gt;"", (IF('Replacement Costs - Entry'!W34="Y",((($B33*$D33)*((1+$B$5)^H$7))*(1/((1+$F$5)^H$7))),0)), "")</f>
        <v/>
      </c>
      <c r="I33" s="27" t="str">
        <f>IF($A33&lt;&gt;"", (IF('Replacement Costs - Entry'!X34="Y",((($B33*$D33)*((1+$B$5)^I$7))*(1/((1+$F$5)^I$7))),0)), "")</f>
        <v/>
      </c>
    </row>
    <row r="34" spans="1:9">
      <c r="A34" s="29" t="str">
        <f>IF('Capital Costs'!A35&lt;&gt;"", 'Capital Costs'!A35, "")</f>
        <v/>
      </c>
      <c r="B34" s="3" t="str">
        <f>IF('Capital Costs'!B35&lt;&gt;"", 'Capital Costs'!B35, "")</f>
        <v/>
      </c>
      <c r="C34" s="29" t="str">
        <f>IF('Capital Costs'!C35&lt;&gt;"", 'Capital Costs'!C35, "")</f>
        <v/>
      </c>
      <c r="D34" s="47" t="str">
        <f>IF('Capital Costs'!D35&lt;&gt;"", 'Capital Costs'!D35, "")</f>
        <v/>
      </c>
      <c r="E34" s="27" t="str">
        <f>IF($A34&lt;&gt;"", (IF('Replacement Costs - Entry'!T35="Y",((($B34*$D34)*((1+$B$5)^E$7))*(1/((1+$F$5)^E$7))),0)), "")</f>
        <v/>
      </c>
      <c r="F34" s="27" t="str">
        <f>IF($A34&lt;&gt;"", (IF('Replacement Costs - Entry'!U35="Y",((($B34*$D34)*((1+$B$5)^F$7))*(1/((1+$F$5)^F$7))),0)), "")</f>
        <v/>
      </c>
      <c r="G34" s="27" t="str">
        <f>IF($A34&lt;&gt;"", (IF('Replacement Costs - Entry'!V35="Y",((($B34*$D34)*((1+$B$5)^G$7))*(1/((1+$F$5)^G$7))),0)), "")</f>
        <v/>
      </c>
      <c r="H34" s="27" t="str">
        <f>IF($A34&lt;&gt;"", (IF('Replacement Costs - Entry'!W35="Y",((($B34*$D34)*((1+$B$5)^H$7))*(1/((1+$F$5)^H$7))),0)), "")</f>
        <v/>
      </c>
      <c r="I34" s="27" t="str">
        <f>IF($A34&lt;&gt;"", (IF('Replacement Costs - Entry'!X35="Y",((($B34*$D34)*((1+$B$5)^I$7))*(1/((1+$F$5)^I$7))),0)), "")</f>
        <v/>
      </c>
    </row>
    <row r="35" spans="1:9">
      <c r="A35" s="29" t="str">
        <f>IF('Capital Costs'!A36&lt;&gt;"", 'Capital Costs'!A36, "")</f>
        <v/>
      </c>
      <c r="B35" s="3" t="str">
        <f>IF('Capital Costs'!B36&lt;&gt;"", 'Capital Costs'!B36, "")</f>
        <v/>
      </c>
      <c r="C35" s="29" t="str">
        <f>IF('Capital Costs'!C36&lt;&gt;"", 'Capital Costs'!C36, "")</f>
        <v/>
      </c>
      <c r="D35" s="47" t="str">
        <f>IF('Capital Costs'!D36&lt;&gt;"", 'Capital Costs'!D36, "")</f>
        <v/>
      </c>
      <c r="E35" s="27" t="str">
        <f>IF($A35&lt;&gt;"", (IF('Replacement Costs - Entry'!T36="Y",((($B35*$D35)*((1+$B$5)^E$7))*(1/((1+$F$5)^E$7))),0)), "")</f>
        <v/>
      </c>
      <c r="F35" s="27" t="str">
        <f>IF($A35&lt;&gt;"", (IF('Replacement Costs - Entry'!U36="Y",((($B35*$D35)*((1+$B$5)^F$7))*(1/((1+$F$5)^F$7))),0)), "")</f>
        <v/>
      </c>
      <c r="G35" s="27" t="str">
        <f>IF($A35&lt;&gt;"", (IF('Replacement Costs - Entry'!V36="Y",((($B35*$D35)*((1+$B$5)^G$7))*(1/((1+$F$5)^G$7))),0)), "")</f>
        <v/>
      </c>
      <c r="H35" s="27" t="str">
        <f>IF($A35&lt;&gt;"", (IF('Replacement Costs - Entry'!W36="Y",((($B35*$D35)*((1+$B$5)^H$7))*(1/((1+$F$5)^H$7))),0)), "")</f>
        <v/>
      </c>
      <c r="I35" s="27" t="str">
        <f>IF($A35&lt;&gt;"", (IF('Replacement Costs - Entry'!X36="Y",((($B35*$D35)*((1+$B$5)^I$7))*(1/((1+$F$5)^I$7))),0)), "")</f>
        <v/>
      </c>
    </row>
    <row r="36" spans="1:9">
      <c r="A36" s="29" t="str">
        <f>IF('Capital Costs'!A37&lt;&gt;"", 'Capital Costs'!A37, "")</f>
        <v/>
      </c>
      <c r="B36" s="3" t="str">
        <f>IF('Capital Costs'!B37&lt;&gt;"", 'Capital Costs'!B37, "")</f>
        <v/>
      </c>
      <c r="C36" s="29" t="str">
        <f>IF('Capital Costs'!C37&lt;&gt;"", 'Capital Costs'!C37, "")</f>
        <v/>
      </c>
      <c r="D36" s="47" t="str">
        <f>IF('Capital Costs'!D37&lt;&gt;"", 'Capital Costs'!D37, "")</f>
        <v/>
      </c>
      <c r="E36" s="27" t="str">
        <f>IF($A36&lt;&gt;"", (IF('Replacement Costs - Entry'!T37="Y",((($B36*$D36)*((1+$B$5)^E$7))*(1/((1+$F$5)^E$7))),0)), "")</f>
        <v/>
      </c>
      <c r="F36" s="27" t="str">
        <f>IF($A36&lt;&gt;"", (IF('Replacement Costs - Entry'!U37="Y",((($B36*$D36)*((1+$B$5)^F$7))*(1/((1+$F$5)^F$7))),0)), "")</f>
        <v/>
      </c>
      <c r="G36" s="27" t="str">
        <f>IF($A36&lt;&gt;"", (IF('Replacement Costs - Entry'!V37="Y",((($B36*$D36)*((1+$B$5)^G$7))*(1/((1+$F$5)^G$7))),0)), "")</f>
        <v/>
      </c>
      <c r="H36" s="27" t="str">
        <f>IF($A36&lt;&gt;"", (IF('Replacement Costs - Entry'!W37="Y",((($B36*$D36)*((1+$B$5)^H$7))*(1/((1+$F$5)^H$7))),0)), "")</f>
        <v/>
      </c>
      <c r="I36" s="27" t="str">
        <f>IF($A36&lt;&gt;"", (IF('Replacement Costs - Entry'!X37="Y",((($B36*$D36)*((1+$B$5)^I$7))*(1/((1+$F$5)^I$7))),0)), "")</f>
        <v/>
      </c>
    </row>
    <row r="37" spans="1:9">
      <c r="A37" s="23"/>
      <c r="B37" s="23"/>
      <c r="C37" s="23"/>
      <c r="D37" s="36" t="s">
        <v>47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rintOptions horizontalCentered="1"/>
  <pageMargins left="0.7" right="0.7" top="0.75" bottom="0.75" header="0.3" footer="0.3"/>
  <pageSetup scale="75" fitToWidth="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143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2">
        <f>'Capital Costs'!B6</f>
        <v>0</v>
      </c>
      <c r="B4" s="153"/>
      <c r="C4" s="153"/>
      <c r="D4" s="153"/>
      <c r="E4" s="153"/>
      <c r="F4" s="153"/>
      <c r="G4" s="153"/>
      <c r="H4" s="153"/>
      <c r="I4" s="154"/>
    </row>
    <row r="5" spans="1:9">
      <c r="A5" s="95" t="str">
        <f>'Replace Costs-Results 11-15'!A5</f>
        <v>Current Inflation Rate based on Construction Cost Index:</v>
      </c>
      <c r="B5" s="63">
        <f>'Replace Costs-Results 11-15'!B5</f>
        <v>2.0671834625323047E-2</v>
      </c>
      <c r="C5" s="62"/>
      <c r="D5" s="62"/>
      <c r="E5" s="66" t="s">
        <v>43</v>
      </c>
      <c r="F5" s="64">
        <f>'Replace Costs-Results 11-15'!F5</f>
        <v>4.8750000000000002E-2</v>
      </c>
      <c r="G5" s="50"/>
      <c r="H5" s="50"/>
      <c r="I5" s="51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16</v>
      </c>
      <c r="F7" s="26">
        <v>17</v>
      </c>
      <c r="G7" s="26">
        <v>18</v>
      </c>
      <c r="H7" s="26">
        <v>19</v>
      </c>
      <c r="I7" s="26">
        <v>20</v>
      </c>
    </row>
    <row r="8" spans="1:9">
      <c r="A8" s="29" t="str">
        <f>IF('Capital Costs'!A9&lt;&gt;"", 'Capital Costs'!A9, "")</f>
        <v/>
      </c>
      <c r="B8" s="3" t="str">
        <f>IF('Capital Costs'!B9&lt;&gt;"", 'Capital Costs'!B9, "")</f>
        <v/>
      </c>
      <c r="C8" s="29" t="str">
        <f>IF('Capital Costs'!C9&lt;&gt;"", 'Capital Costs'!C9, "")</f>
        <v/>
      </c>
      <c r="D8" s="47" t="str">
        <f>IF('Capital Costs'!D9&lt;&gt;"", 'Capital Costs'!D9, "")</f>
        <v/>
      </c>
      <c r="E8" s="27" t="str">
        <f>IF($A8&lt;&gt;"", (IF('Replacement Costs - Entry'!Y9="Y",((($B8*$D8)*((1+$B$5)^E$7))*(1/((1+$F$5)^E$7))),0)), "")</f>
        <v/>
      </c>
      <c r="F8" s="27" t="str">
        <f>IF($A8&lt;&gt;"", (IF('Replacement Costs - Entry'!Z9="Y",((($B8*$D8)*((1+$B$5)^F$7))*(1/((1+$F$5)^F$7))),0)), "")</f>
        <v/>
      </c>
      <c r="G8" s="27" t="str">
        <f>IF($A8&lt;&gt;"", (IF('Replacement Costs - Entry'!AA9="Y",((($B8*$D8)*((1+$B$5)^G$7))*(1/((1+$F$5)^G$7))),0)), "")</f>
        <v/>
      </c>
      <c r="H8" s="27" t="str">
        <f>IF($A8&lt;&gt;"", (IF('Replacement Costs - Entry'!AB9="Y",((($B8*$D8)*((1+$B$5)^H$7))*(1/((1+$F$5)^H$7))),0)), "")</f>
        <v/>
      </c>
      <c r="I8" s="27" t="str">
        <f>IF($A8&lt;&gt;"", (IF('Replacement Costs - Entry'!AC9="Y",((($B8*$D8)*((1+$B$5)^I$7))*(1/((1+$F$5)^I$7))),0)), "")</f>
        <v/>
      </c>
    </row>
    <row r="9" spans="1:9">
      <c r="A9" s="29" t="str">
        <f>IF('Capital Costs'!A10&lt;&gt;"", 'Capital Costs'!A10, "")</f>
        <v/>
      </c>
      <c r="B9" s="3" t="str">
        <f>IF('Capital Costs'!B10&lt;&gt;"", 'Capital Costs'!B10, "")</f>
        <v/>
      </c>
      <c r="C9" s="29" t="str">
        <f>IF('Capital Costs'!C10&lt;&gt;"", 'Capital Costs'!C10, "")</f>
        <v/>
      </c>
      <c r="D9" s="47" t="str">
        <f>IF('Capital Costs'!D10&lt;&gt;"", 'Capital Costs'!D10, "")</f>
        <v/>
      </c>
      <c r="E9" s="27" t="str">
        <f>IF($A9&lt;&gt;"", (IF('Replacement Costs - Entry'!Y10="Y",((($B9*$D9)*((1+$B$5)^E$7))*(1/((1+$F$5)^E$7))),0)), "")</f>
        <v/>
      </c>
      <c r="F9" s="27" t="str">
        <f>IF($A9&lt;&gt;"", (IF('Replacement Costs - Entry'!Z10="Y",((($B9*$D9)*((1+$B$5)^F$7))*(1/((1+$F$5)^F$7))),0)), "")</f>
        <v/>
      </c>
      <c r="G9" s="27" t="str">
        <f>IF($A9&lt;&gt;"", (IF('Replacement Costs - Entry'!AA10="Y",((($B9*$D9)*((1+$B$5)^G$7))*(1/((1+$F$5)^G$7))),0)), "")</f>
        <v/>
      </c>
      <c r="H9" s="27" t="str">
        <f>IF($A9&lt;&gt;"", (IF('Replacement Costs - Entry'!AB10="Y",((($B9*$D9)*((1+$B$5)^H$7))*(1/((1+$F$5)^H$7))),0)), "")</f>
        <v/>
      </c>
      <c r="I9" s="27" t="str">
        <f>IF($A9&lt;&gt;"", (IF('Replacement Costs - Entry'!AC10="Y",((($B9*$D9)*((1+$B$5)^I$7))*(1/((1+$F$5)^I$7))),0)), "")</f>
        <v/>
      </c>
    </row>
    <row r="10" spans="1:9">
      <c r="A10" s="29" t="str">
        <f>IF('Capital Costs'!A11&lt;&gt;"", 'Capital Costs'!A11, "")</f>
        <v/>
      </c>
      <c r="B10" s="3" t="str">
        <f>IF('Capital Costs'!B11&lt;&gt;"", 'Capital Costs'!B11, "")</f>
        <v/>
      </c>
      <c r="C10" s="29" t="str">
        <f>IF('Capital Costs'!C11&lt;&gt;"", 'Capital Costs'!C11, "")</f>
        <v/>
      </c>
      <c r="D10" s="47" t="str">
        <f>IF('Capital Costs'!D11&lt;&gt;"", 'Capital Costs'!D11, "")</f>
        <v/>
      </c>
      <c r="E10" s="27" t="str">
        <f>IF($A10&lt;&gt;"", (IF('Replacement Costs - Entry'!Y11="Y",((($B10*$D10)*((1+$B$5)^E$7))*(1/((1+$F$5)^E$7))),0)), "")</f>
        <v/>
      </c>
      <c r="F10" s="27" t="str">
        <f>IF($A10&lt;&gt;"", (IF('Replacement Costs - Entry'!Z11="Y",((($B10*$D10)*((1+$B$5)^F$7))*(1/((1+$F$5)^F$7))),0)), "")</f>
        <v/>
      </c>
      <c r="G10" s="27" t="str">
        <f>IF($A10&lt;&gt;"", (IF('Replacement Costs - Entry'!AA11="Y",((($B10*$D10)*((1+$B$5)^G$7))*(1/((1+$F$5)^G$7))),0)), "")</f>
        <v/>
      </c>
      <c r="H10" s="27" t="str">
        <f>IF($A10&lt;&gt;"", (IF('Replacement Costs - Entry'!AB11="Y",((($B10*$D10)*((1+$B$5)^H$7))*(1/((1+$F$5)^H$7))),0)), "")</f>
        <v/>
      </c>
      <c r="I10" s="27" t="str">
        <f>IF($A10&lt;&gt;"", (IF('Replacement Costs - Entry'!AC11="Y",((($B10*$D10)*((1+$B$5)^I$7))*(1/((1+$F$5)^I$7))),0)), "")</f>
        <v/>
      </c>
    </row>
    <row r="11" spans="1:9">
      <c r="A11" s="29" t="str">
        <f>IF('Capital Costs'!A12&lt;&gt;"", 'Capital Costs'!A12, "")</f>
        <v/>
      </c>
      <c r="B11" s="3" t="str">
        <f>IF('Capital Costs'!B12&lt;&gt;"", 'Capital Costs'!B12, "")</f>
        <v/>
      </c>
      <c r="C11" s="29" t="str">
        <f>IF('Capital Costs'!C12&lt;&gt;"", 'Capital Costs'!C12, "")</f>
        <v/>
      </c>
      <c r="D11" s="47" t="str">
        <f>IF('Capital Costs'!D12&lt;&gt;"", 'Capital Costs'!D12, "")</f>
        <v/>
      </c>
      <c r="E11" s="27" t="str">
        <f>IF($A11&lt;&gt;"", (IF('Replacement Costs - Entry'!Y12="Y",((($B11*$D11)*((1+$B$5)^E$7))*(1/((1+$F$5)^E$7))),0)), "")</f>
        <v/>
      </c>
      <c r="F11" s="27" t="str">
        <f>IF($A11&lt;&gt;"", (IF('Replacement Costs - Entry'!Z12="Y",((($B11*$D11)*((1+$B$5)^F$7))*(1/((1+$F$5)^F$7))),0)), "")</f>
        <v/>
      </c>
      <c r="G11" s="27" t="str">
        <f>IF($A11&lt;&gt;"", (IF('Replacement Costs - Entry'!AA12="Y",((($B11*$D11)*((1+$B$5)^G$7))*(1/((1+$F$5)^G$7))),0)), "")</f>
        <v/>
      </c>
      <c r="H11" s="27" t="str">
        <f>IF($A11&lt;&gt;"", (IF('Replacement Costs - Entry'!AB12="Y",((($B11*$D11)*((1+$B$5)^H$7))*(1/((1+$F$5)^H$7))),0)), "")</f>
        <v/>
      </c>
      <c r="I11" s="27" t="str">
        <f>IF($A11&lt;&gt;"", (IF('Replacement Costs - Entry'!AC12="Y",((($B11*$D11)*((1+$B$5)^I$7))*(1/((1+$F$5)^I$7))),0)), "")</f>
        <v/>
      </c>
    </row>
    <row r="12" spans="1:9">
      <c r="A12" s="29" t="str">
        <f>IF('Capital Costs'!A13&lt;&gt;"", 'Capital Costs'!A13, "")</f>
        <v/>
      </c>
      <c r="B12" s="3" t="str">
        <f>IF('Capital Costs'!B13&lt;&gt;"", 'Capital Costs'!B13, "")</f>
        <v/>
      </c>
      <c r="C12" s="29" t="str">
        <f>IF('Capital Costs'!C13&lt;&gt;"", 'Capital Costs'!C13, "")</f>
        <v/>
      </c>
      <c r="D12" s="47" t="str">
        <f>IF('Capital Costs'!D13&lt;&gt;"", 'Capital Costs'!D13, "")</f>
        <v/>
      </c>
      <c r="E12" s="27" t="str">
        <f>IF($A12&lt;&gt;"", (IF('Replacement Costs - Entry'!Y13="Y",((($B12*$D12)*((1+$B$5)^E$7))*(1/((1+$F$5)^E$7))),0)), "")</f>
        <v/>
      </c>
      <c r="F12" s="27" t="str">
        <f>IF($A12&lt;&gt;"", (IF('Replacement Costs - Entry'!Z13="Y",((($B12*$D12)*((1+$B$5)^F$7))*(1/((1+$F$5)^F$7))),0)), "")</f>
        <v/>
      </c>
      <c r="G12" s="27" t="str">
        <f>IF($A12&lt;&gt;"", (IF('Replacement Costs - Entry'!AA13="Y",((($B12*$D12)*((1+$B$5)^G$7))*(1/((1+$F$5)^G$7))),0)), "")</f>
        <v/>
      </c>
      <c r="H12" s="27" t="str">
        <f>IF($A12&lt;&gt;"", (IF('Replacement Costs - Entry'!AB13="Y",((($B12*$D12)*((1+$B$5)^H$7))*(1/((1+$F$5)^H$7))),0)), "")</f>
        <v/>
      </c>
      <c r="I12" s="27" t="str">
        <f>IF($A12&lt;&gt;"", (IF('Replacement Costs - Entry'!AC13="Y",((($B12*$D12)*((1+$B$5)^I$7))*(1/((1+$F$5)^I$7))),0)), "")</f>
        <v/>
      </c>
    </row>
    <row r="13" spans="1:9">
      <c r="A13" s="29" t="str">
        <f>IF('Capital Costs'!A14&lt;&gt;"", 'Capital Costs'!A14, "")</f>
        <v/>
      </c>
      <c r="B13" s="3" t="str">
        <f>IF('Capital Costs'!B14&lt;&gt;"", 'Capital Costs'!B14, "")</f>
        <v/>
      </c>
      <c r="C13" s="29" t="str">
        <f>IF('Capital Costs'!C14&lt;&gt;"", 'Capital Costs'!C14, "")</f>
        <v/>
      </c>
      <c r="D13" s="47" t="str">
        <f>IF('Capital Costs'!D14&lt;&gt;"", 'Capital Costs'!D14, "")</f>
        <v/>
      </c>
      <c r="E13" s="27" t="str">
        <f>IF($A13&lt;&gt;"", (IF('Replacement Costs - Entry'!Y14="Y",((($B13*$D13)*((1+$B$5)^E$7))*(1/((1+$F$5)^E$7))),0)), "")</f>
        <v/>
      </c>
      <c r="F13" s="27" t="str">
        <f>IF($A13&lt;&gt;"", (IF('Replacement Costs - Entry'!Z14="Y",((($B13*$D13)*((1+$B$5)^F$7))*(1/((1+$F$5)^F$7))),0)), "")</f>
        <v/>
      </c>
      <c r="G13" s="27" t="str">
        <f>IF($A13&lt;&gt;"", (IF('Replacement Costs - Entry'!AA14="Y",((($B13*$D13)*((1+$B$5)^G$7))*(1/((1+$F$5)^G$7))),0)), "")</f>
        <v/>
      </c>
      <c r="H13" s="27" t="str">
        <f>IF($A13&lt;&gt;"", (IF('Replacement Costs - Entry'!AB14="Y",((($B13*$D13)*((1+$B$5)^H$7))*(1/((1+$F$5)^H$7))),0)), "")</f>
        <v/>
      </c>
      <c r="I13" s="27" t="str">
        <f>IF($A13&lt;&gt;"", (IF('Replacement Costs - Entry'!AC14="Y",((($B13*$D13)*((1+$B$5)^I$7))*(1/((1+$F$5)^I$7))),0)), "")</f>
        <v/>
      </c>
    </row>
    <row r="14" spans="1:9">
      <c r="A14" s="29" t="str">
        <f>IF('Capital Costs'!A15&lt;&gt;"", 'Capital Costs'!A15, "")</f>
        <v/>
      </c>
      <c r="B14" s="3" t="str">
        <f>IF('Capital Costs'!B15&lt;&gt;"", 'Capital Costs'!B15, "")</f>
        <v/>
      </c>
      <c r="C14" s="29" t="str">
        <f>IF('Capital Costs'!C15&lt;&gt;"", 'Capital Costs'!C15, "")</f>
        <v/>
      </c>
      <c r="D14" s="47" t="str">
        <f>IF('Capital Costs'!D15&lt;&gt;"", 'Capital Costs'!D15, "")</f>
        <v/>
      </c>
      <c r="E14" s="27" t="str">
        <f>IF($A14&lt;&gt;"", (IF('Replacement Costs - Entry'!Y15="Y",((($B14*$D14)*((1+$B$5)^E$7))*(1/((1+$F$5)^E$7))),0)), "")</f>
        <v/>
      </c>
      <c r="F14" s="27" t="str">
        <f>IF($A14&lt;&gt;"", (IF('Replacement Costs - Entry'!Z15="Y",((($B14*$D14)*((1+$B$5)^F$7))*(1/((1+$F$5)^F$7))),0)), "")</f>
        <v/>
      </c>
      <c r="G14" s="27" t="str">
        <f>IF($A14&lt;&gt;"", (IF('Replacement Costs - Entry'!AA15="Y",((($B14*$D14)*((1+$B$5)^G$7))*(1/((1+$F$5)^G$7))),0)), "")</f>
        <v/>
      </c>
      <c r="H14" s="27" t="str">
        <f>IF($A14&lt;&gt;"", (IF('Replacement Costs - Entry'!AB15="Y",((($B14*$D14)*((1+$B$5)^H$7))*(1/((1+$F$5)^H$7))),0)), "")</f>
        <v/>
      </c>
      <c r="I14" s="27" t="str">
        <f>IF($A14&lt;&gt;"", (IF('Replacement Costs - Entry'!AC15="Y",((($B14*$D14)*((1+$B$5)^I$7))*(1/((1+$F$5)^I$7))),0)), "")</f>
        <v/>
      </c>
    </row>
    <row r="15" spans="1:9">
      <c r="A15" s="29" t="str">
        <f>IF('Capital Costs'!A16&lt;&gt;"", 'Capital Costs'!A16, "")</f>
        <v/>
      </c>
      <c r="B15" s="3" t="str">
        <f>IF('Capital Costs'!B16&lt;&gt;"", 'Capital Costs'!B16, "")</f>
        <v/>
      </c>
      <c r="C15" s="29" t="str">
        <f>IF('Capital Costs'!C16&lt;&gt;"", 'Capital Costs'!C16, "")</f>
        <v/>
      </c>
      <c r="D15" s="47" t="str">
        <f>IF('Capital Costs'!D16&lt;&gt;"", 'Capital Costs'!D16, "")</f>
        <v/>
      </c>
      <c r="E15" s="27" t="str">
        <f>IF($A15&lt;&gt;"", (IF('Replacement Costs - Entry'!Y16="Y",((($B15*$D15)*((1+$B$5)^E$7))*(1/((1+$F$5)^E$7))),0)), "")</f>
        <v/>
      </c>
      <c r="F15" s="27" t="str">
        <f>IF($A15&lt;&gt;"", (IF('Replacement Costs - Entry'!Z16="Y",((($B15*$D15)*((1+$B$5)^F$7))*(1/((1+$F$5)^F$7))),0)), "")</f>
        <v/>
      </c>
      <c r="G15" s="27" t="str">
        <f>IF($A15&lt;&gt;"", (IF('Replacement Costs - Entry'!AA16="Y",((($B15*$D15)*((1+$B$5)^G$7))*(1/((1+$F$5)^G$7))),0)), "")</f>
        <v/>
      </c>
      <c r="H15" s="27" t="str">
        <f>IF($A15&lt;&gt;"", (IF('Replacement Costs - Entry'!AB16="Y",((($B15*$D15)*((1+$B$5)^H$7))*(1/((1+$F$5)^H$7))),0)), "")</f>
        <v/>
      </c>
      <c r="I15" s="27" t="str">
        <f>IF($A15&lt;&gt;"", (IF('Replacement Costs - Entry'!AC16="Y",((($B15*$D15)*((1+$B$5)^I$7))*(1/((1+$F$5)^I$7))),0)), "")</f>
        <v/>
      </c>
    </row>
    <row r="16" spans="1:9">
      <c r="A16" s="29" t="str">
        <f>IF('Capital Costs'!A17&lt;&gt;"", 'Capital Costs'!A17, "")</f>
        <v/>
      </c>
      <c r="B16" s="3" t="str">
        <f>IF('Capital Costs'!B17&lt;&gt;"", 'Capital Costs'!B17, "")</f>
        <v/>
      </c>
      <c r="C16" s="29" t="str">
        <f>IF('Capital Costs'!C17&lt;&gt;"", 'Capital Costs'!C17, "")</f>
        <v/>
      </c>
      <c r="D16" s="47" t="str">
        <f>IF('Capital Costs'!D17&lt;&gt;"", 'Capital Costs'!D17, "")</f>
        <v/>
      </c>
      <c r="E16" s="27" t="str">
        <f>IF($A16&lt;&gt;"", (IF('Replacement Costs - Entry'!Y17="Y",((($B16*$D16)*((1+$B$5)^E$7))*(1/((1+$F$5)^E$7))),0)), "")</f>
        <v/>
      </c>
      <c r="F16" s="27" t="str">
        <f>IF($A16&lt;&gt;"", (IF('Replacement Costs - Entry'!Z17="Y",((($B16*$D16)*((1+$B$5)^F$7))*(1/((1+$F$5)^F$7))),0)), "")</f>
        <v/>
      </c>
      <c r="G16" s="27" t="str">
        <f>IF($A16&lt;&gt;"", (IF('Replacement Costs - Entry'!AA17="Y",((($B16*$D16)*((1+$B$5)^G$7))*(1/((1+$F$5)^G$7))),0)), "")</f>
        <v/>
      </c>
      <c r="H16" s="27" t="str">
        <f>IF($A16&lt;&gt;"", (IF('Replacement Costs - Entry'!AB17="Y",((($B16*$D16)*((1+$B$5)^H$7))*(1/((1+$F$5)^H$7))),0)), "")</f>
        <v/>
      </c>
      <c r="I16" s="27" t="str">
        <f>IF($A16&lt;&gt;"", (IF('Replacement Costs - Entry'!AC17="Y",((($B16*$D16)*((1+$B$5)^I$7))*(1/((1+$F$5)^I$7))),0)), "")</f>
        <v/>
      </c>
    </row>
    <row r="17" spans="1:9">
      <c r="A17" s="29" t="str">
        <f>IF('Capital Costs'!A18&lt;&gt;"", 'Capital Costs'!A18, "")</f>
        <v/>
      </c>
      <c r="B17" s="3" t="str">
        <f>IF('Capital Costs'!B18&lt;&gt;"", 'Capital Costs'!B18, "")</f>
        <v/>
      </c>
      <c r="C17" s="29" t="str">
        <f>IF('Capital Costs'!C18&lt;&gt;"", 'Capital Costs'!C18, "")</f>
        <v/>
      </c>
      <c r="D17" s="47" t="str">
        <f>IF('Capital Costs'!D18&lt;&gt;"", 'Capital Costs'!D18, "")</f>
        <v/>
      </c>
      <c r="E17" s="27" t="str">
        <f>IF($A17&lt;&gt;"", (IF('Replacement Costs - Entry'!Y18="Y",((($B17*$D17)*((1+$B$5)^E$7))*(1/((1+$F$5)^E$7))),0)), "")</f>
        <v/>
      </c>
      <c r="F17" s="27" t="str">
        <f>IF($A17&lt;&gt;"", (IF('Replacement Costs - Entry'!Z18="Y",((($B17*$D17)*((1+$B$5)^F$7))*(1/((1+$F$5)^F$7))),0)), "")</f>
        <v/>
      </c>
      <c r="G17" s="27" t="str">
        <f>IF($A17&lt;&gt;"", (IF('Replacement Costs - Entry'!AA18="Y",((($B17*$D17)*((1+$B$5)^G$7))*(1/((1+$F$5)^G$7))),0)), "")</f>
        <v/>
      </c>
      <c r="H17" s="27" t="str">
        <f>IF($A17&lt;&gt;"", (IF('Replacement Costs - Entry'!AB18="Y",((($B17*$D17)*((1+$B$5)^H$7))*(1/((1+$F$5)^H$7))),0)), "")</f>
        <v/>
      </c>
      <c r="I17" s="27" t="str">
        <f>IF($A17&lt;&gt;"", (IF('Replacement Costs - Entry'!AC18="Y",((($B17*$D17)*((1+$B$5)^I$7))*(1/((1+$F$5)^I$7))),0)), "")</f>
        <v/>
      </c>
    </row>
    <row r="18" spans="1:9">
      <c r="A18" s="29" t="str">
        <f>IF('Capital Costs'!A19&lt;&gt;"", 'Capital Costs'!A19, "")</f>
        <v/>
      </c>
      <c r="B18" s="3" t="str">
        <f>IF('Capital Costs'!B19&lt;&gt;"", 'Capital Costs'!B19, "")</f>
        <v/>
      </c>
      <c r="C18" s="29" t="str">
        <f>IF('Capital Costs'!C19&lt;&gt;"", 'Capital Costs'!C19, "")</f>
        <v/>
      </c>
      <c r="D18" s="47" t="str">
        <f>IF('Capital Costs'!D19&lt;&gt;"", 'Capital Costs'!D19, "")</f>
        <v/>
      </c>
      <c r="E18" s="27" t="str">
        <f>IF($A18&lt;&gt;"", (IF('Replacement Costs - Entry'!Y19="Y",((($B18*$D18)*((1+$B$5)^E$7))*(1/((1+$F$5)^E$7))),0)), "")</f>
        <v/>
      </c>
      <c r="F18" s="27" t="str">
        <f>IF($A18&lt;&gt;"", (IF('Replacement Costs - Entry'!Z19="Y",((($B18*$D18)*((1+$B$5)^F$7))*(1/((1+$F$5)^F$7))),0)), "")</f>
        <v/>
      </c>
      <c r="G18" s="27" t="str">
        <f>IF($A18&lt;&gt;"", (IF('Replacement Costs - Entry'!AA19="Y",((($B18*$D18)*((1+$B$5)^G$7))*(1/((1+$F$5)^G$7))),0)), "")</f>
        <v/>
      </c>
      <c r="H18" s="27" t="str">
        <f>IF($A18&lt;&gt;"", (IF('Replacement Costs - Entry'!AB19="Y",((($B18*$D18)*((1+$B$5)^H$7))*(1/((1+$F$5)^H$7))),0)), "")</f>
        <v/>
      </c>
      <c r="I18" s="27" t="str">
        <f>IF($A18&lt;&gt;"", (IF('Replacement Costs - Entry'!AC19="Y",((($B18*$D18)*((1+$B$5)^I$7))*(1/((1+$F$5)^I$7))),0)), "")</f>
        <v/>
      </c>
    </row>
    <row r="19" spans="1:9">
      <c r="A19" s="29" t="str">
        <f>IF('Capital Costs'!A20&lt;&gt;"", 'Capital Costs'!A20, "")</f>
        <v/>
      </c>
      <c r="B19" s="3" t="str">
        <f>IF('Capital Costs'!B20&lt;&gt;"", 'Capital Costs'!B20, "")</f>
        <v/>
      </c>
      <c r="C19" s="29" t="str">
        <f>IF('Capital Costs'!C20&lt;&gt;"", 'Capital Costs'!C20, "")</f>
        <v/>
      </c>
      <c r="D19" s="47" t="str">
        <f>IF('Capital Costs'!D20&lt;&gt;"", 'Capital Costs'!D20, "")</f>
        <v/>
      </c>
      <c r="E19" s="27" t="str">
        <f>IF($A19&lt;&gt;"", (IF('Replacement Costs - Entry'!Y20="Y",((($B19*$D19)*((1+$B$5)^E$7))*(1/((1+$F$5)^E$7))),0)), "")</f>
        <v/>
      </c>
      <c r="F19" s="27" t="str">
        <f>IF($A19&lt;&gt;"", (IF('Replacement Costs - Entry'!Z20="Y",((($B19*$D19)*((1+$B$5)^F$7))*(1/((1+$F$5)^F$7))),0)), "")</f>
        <v/>
      </c>
      <c r="G19" s="27" t="str">
        <f>IF($A19&lt;&gt;"", (IF('Replacement Costs - Entry'!AA20="Y",((($B19*$D19)*((1+$B$5)^G$7))*(1/((1+$F$5)^G$7))),0)), "")</f>
        <v/>
      </c>
      <c r="H19" s="27" t="str">
        <f>IF($A19&lt;&gt;"", (IF('Replacement Costs - Entry'!AB20="Y",((($B19*$D19)*((1+$B$5)^H$7))*(1/((1+$F$5)^H$7))),0)), "")</f>
        <v/>
      </c>
      <c r="I19" s="27" t="str">
        <f>IF($A19&lt;&gt;"", (IF('Replacement Costs - Entry'!AC20="Y",((($B19*$D19)*((1+$B$5)^I$7))*(1/((1+$F$5)^I$7))),0)), "")</f>
        <v/>
      </c>
    </row>
    <row r="20" spans="1:9">
      <c r="A20" s="29" t="str">
        <f>IF('Capital Costs'!A21&lt;&gt;"", 'Capital Costs'!A21, "")</f>
        <v/>
      </c>
      <c r="B20" s="3" t="str">
        <f>IF('Capital Costs'!B21&lt;&gt;"", 'Capital Costs'!B21, "")</f>
        <v/>
      </c>
      <c r="C20" s="29" t="str">
        <f>IF('Capital Costs'!C21&lt;&gt;"", 'Capital Costs'!C21, "")</f>
        <v/>
      </c>
      <c r="D20" s="47" t="str">
        <f>IF('Capital Costs'!D21&lt;&gt;"", 'Capital Costs'!D21, "")</f>
        <v/>
      </c>
      <c r="E20" s="27" t="str">
        <f>IF($A20&lt;&gt;"", (IF('Replacement Costs - Entry'!Y21="Y",((($B20*$D20)*((1+$B$5)^E$7))*(1/((1+$F$5)^E$7))),0)), "")</f>
        <v/>
      </c>
      <c r="F20" s="27" t="str">
        <f>IF($A20&lt;&gt;"", (IF('Replacement Costs - Entry'!Z21="Y",((($B20*$D20)*((1+$B$5)^F$7))*(1/((1+$F$5)^F$7))),0)), "")</f>
        <v/>
      </c>
      <c r="G20" s="27" t="str">
        <f>IF($A20&lt;&gt;"", (IF('Replacement Costs - Entry'!AA21="Y",((($B20*$D20)*((1+$B$5)^G$7))*(1/((1+$F$5)^G$7))),0)), "")</f>
        <v/>
      </c>
      <c r="H20" s="27" t="str">
        <f>IF($A20&lt;&gt;"", (IF('Replacement Costs - Entry'!AB21="Y",((($B20*$D20)*((1+$B$5)^H$7))*(1/((1+$F$5)^H$7))),0)), "")</f>
        <v/>
      </c>
      <c r="I20" s="27" t="str">
        <f>IF($A20&lt;&gt;"", (IF('Replacement Costs - Entry'!AC21="Y",((($B20*$D20)*((1+$B$5)^I$7))*(1/((1+$F$5)^I$7))),0)), "")</f>
        <v/>
      </c>
    </row>
    <row r="21" spans="1:9">
      <c r="A21" s="29" t="str">
        <f>IF('Capital Costs'!A22&lt;&gt;"", 'Capital Costs'!A22, "")</f>
        <v/>
      </c>
      <c r="B21" s="3" t="str">
        <f>IF('Capital Costs'!B22&lt;&gt;"", 'Capital Costs'!B22, "")</f>
        <v/>
      </c>
      <c r="C21" s="29" t="str">
        <f>IF('Capital Costs'!C22&lt;&gt;"", 'Capital Costs'!C22, "")</f>
        <v/>
      </c>
      <c r="D21" s="47" t="str">
        <f>IF('Capital Costs'!D22&lt;&gt;"", 'Capital Costs'!D22, "")</f>
        <v/>
      </c>
      <c r="E21" s="27" t="str">
        <f>IF($A21&lt;&gt;"", (IF('Replacement Costs - Entry'!Y22="Y",((($B21*$D21)*((1+$B$5)^E$7))*(1/((1+$F$5)^E$7))),0)), "")</f>
        <v/>
      </c>
      <c r="F21" s="27" t="str">
        <f>IF($A21&lt;&gt;"", (IF('Replacement Costs - Entry'!Z22="Y",((($B21*$D21)*((1+$B$5)^F$7))*(1/((1+$F$5)^F$7))),0)), "")</f>
        <v/>
      </c>
      <c r="G21" s="27" t="str">
        <f>IF($A21&lt;&gt;"", (IF('Replacement Costs - Entry'!AA22="Y",((($B21*$D21)*((1+$B$5)^G$7))*(1/((1+$F$5)^G$7))),0)), "")</f>
        <v/>
      </c>
      <c r="H21" s="27" t="str">
        <f>IF($A21&lt;&gt;"", (IF('Replacement Costs - Entry'!AB22="Y",((($B21*$D21)*((1+$B$5)^H$7))*(1/((1+$F$5)^H$7))),0)), "")</f>
        <v/>
      </c>
      <c r="I21" s="27" t="str">
        <f>IF($A21&lt;&gt;"", (IF('Replacement Costs - Entry'!AC22="Y",((($B21*$D21)*((1+$B$5)^I$7))*(1/((1+$F$5)^I$7))),0)), "")</f>
        <v/>
      </c>
    </row>
    <row r="22" spans="1:9">
      <c r="A22" s="29" t="str">
        <f>IF('Capital Costs'!A23&lt;&gt;"", 'Capital Costs'!A23, "")</f>
        <v/>
      </c>
      <c r="B22" s="3" t="str">
        <f>IF('Capital Costs'!B23&lt;&gt;"", 'Capital Costs'!B23, "")</f>
        <v/>
      </c>
      <c r="C22" s="29" t="str">
        <f>IF('Capital Costs'!C23&lt;&gt;"", 'Capital Costs'!C23, "")</f>
        <v/>
      </c>
      <c r="D22" s="47" t="str">
        <f>IF('Capital Costs'!D23&lt;&gt;"", 'Capital Costs'!D23, "")</f>
        <v/>
      </c>
      <c r="E22" s="27" t="str">
        <f>IF($A22&lt;&gt;"", (IF('Replacement Costs - Entry'!Y23="Y",((($B22*$D22)*((1+$B$5)^E$7))*(1/((1+$F$5)^E$7))),0)), "")</f>
        <v/>
      </c>
      <c r="F22" s="27" t="str">
        <f>IF($A22&lt;&gt;"", (IF('Replacement Costs - Entry'!Z23="Y",((($B22*$D22)*((1+$B$5)^F$7))*(1/((1+$F$5)^F$7))),0)), "")</f>
        <v/>
      </c>
      <c r="G22" s="27" t="str">
        <f>IF($A22&lt;&gt;"", (IF('Replacement Costs - Entry'!AA23="Y",((($B22*$D22)*((1+$B$5)^G$7))*(1/((1+$F$5)^G$7))),0)), "")</f>
        <v/>
      </c>
      <c r="H22" s="27" t="str">
        <f>IF($A22&lt;&gt;"", (IF('Replacement Costs - Entry'!AB23="Y",((($B22*$D22)*((1+$B$5)^H$7))*(1/((1+$F$5)^H$7))),0)), "")</f>
        <v/>
      </c>
      <c r="I22" s="27" t="str">
        <f>IF($A22&lt;&gt;"", (IF('Replacement Costs - Entry'!AC23="Y",((($B22*$D22)*((1+$B$5)^I$7))*(1/((1+$F$5)^I$7))),0)), "")</f>
        <v/>
      </c>
    </row>
    <row r="23" spans="1:9">
      <c r="A23" s="29" t="str">
        <f>IF('Capital Costs'!A24&lt;&gt;"", 'Capital Costs'!A24, "")</f>
        <v/>
      </c>
      <c r="B23" s="3" t="str">
        <f>IF('Capital Costs'!B24&lt;&gt;"", 'Capital Costs'!B24, "")</f>
        <v/>
      </c>
      <c r="C23" s="29" t="str">
        <f>IF('Capital Costs'!C24&lt;&gt;"", 'Capital Costs'!C24, "")</f>
        <v/>
      </c>
      <c r="D23" s="47" t="str">
        <f>IF('Capital Costs'!D24&lt;&gt;"", 'Capital Costs'!D24, "")</f>
        <v/>
      </c>
      <c r="E23" s="27" t="str">
        <f>IF($A23&lt;&gt;"", (IF('Replacement Costs - Entry'!Y24="Y",((($B23*$D23)*((1+$B$5)^E$7))*(1/((1+$F$5)^E$7))),0)), "")</f>
        <v/>
      </c>
      <c r="F23" s="27" t="str">
        <f>IF($A23&lt;&gt;"", (IF('Replacement Costs - Entry'!Z24="Y",((($B23*$D23)*((1+$B$5)^F$7))*(1/((1+$F$5)^F$7))),0)), "")</f>
        <v/>
      </c>
      <c r="G23" s="27" t="str">
        <f>IF($A23&lt;&gt;"", (IF('Replacement Costs - Entry'!AA24="Y",((($B23*$D23)*((1+$B$5)^G$7))*(1/((1+$F$5)^G$7))),0)), "")</f>
        <v/>
      </c>
      <c r="H23" s="27" t="str">
        <f>IF($A23&lt;&gt;"", (IF('Replacement Costs - Entry'!AB24="Y",((($B23*$D23)*((1+$B$5)^H$7))*(1/((1+$F$5)^H$7))),0)), "")</f>
        <v/>
      </c>
      <c r="I23" s="27" t="str">
        <f>IF($A23&lt;&gt;"", (IF('Replacement Costs - Entry'!AC24="Y",((($B23*$D23)*((1+$B$5)^I$7))*(1/((1+$F$5)^I$7))),0)), "")</f>
        <v/>
      </c>
    </row>
    <row r="24" spans="1:9">
      <c r="A24" s="29" t="str">
        <f>IF('Capital Costs'!A25&lt;&gt;"", 'Capital Costs'!A25, "")</f>
        <v/>
      </c>
      <c r="B24" s="3" t="str">
        <f>IF('Capital Costs'!B25&lt;&gt;"", 'Capital Costs'!B25, "")</f>
        <v/>
      </c>
      <c r="C24" s="29" t="str">
        <f>IF('Capital Costs'!C25&lt;&gt;"", 'Capital Costs'!C25, "")</f>
        <v/>
      </c>
      <c r="D24" s="47" t="str">
        <f>IF('Capital Costs'!D25&lt;&gt;"", 'Capital Costs'!D25, "")</f>
        <v/>
      </c>
      <c r="E24" s="27" t="str">
        <f>IF($A24&lt;&gt;"", (IF('Replacement Costs - Entry'!Y25="Y",((($B24*$D24)*((1+$B$5)^E$7))*(1/((1+$F$5)^E$7))),0)), "")</f>
        <v/>
      </c>
      <c r="F24" s="27" t="str">
        <f>IF($A24&lt;&gt;"", (IF('Replacement Costs - Entry'!Z25="Y",((($B24*$D24)*((1+$B$5)^F$7))*(1/((1+$F$5)^F$7))),0)), "")</f>
        <v/>
      </c>
      <c r="G24" s="27" t="str">
        <f>IF($A24&lt;&gt;"", (IF('Replacement Costs - Entry'!AA25="Y",((($B24*$D24)*((1+$B$5)^G$7))*(1/((1+$F$5)^G$7))),0)), "")</f>
        <v/>
      </c>
      <c r="H24" s="27" t="str">
        <f>IF($A24&lt;&gt;"", (IF('Replacement Costs - Entry'!AB25="Y",((($B24*$D24)*((1+$B$5)^H$7))*(1/((1+$F$5)^H$7))),0)), "")</f>
        <v/>
      </c>
      <c r="I24" s="27" t="str">
        <f>IF($A24&lt;&gt;"", (IF('Replacement Costs - Entry'!AC25="Y",((($B24*$D24)*((1+$B$5)^I$7))*(1/((1+$F$5)^I$7))),0)), "")</f>
        <v/>
      </c>
    </row>
    <row r="25" spans="1:9">
      <c r="A25" s="29" t="str">
        <f>IF('Capital Costs'!A26&lt;&gt;"", 'Capital Costs'!A26, "")</f>
        <v/>
      </c>
      <c r="B25" s="3" t="str">
        <f>IF('Capital Costs'!B26&lt;&gt;"", 'Capital Costs'!B26, "")</f>
        <v/>
      </c>
      <c r="C25" s="29" t="str">
        <f>IF('Capital Costs'!C26&lt;&gt;"", 'Capital Costs'!C26, "")</f>
        <v/>
      </c>
      <c r="D25" s="47" t="str">
        <f>IF('Capital Costs'!D26&lt;&gt;"", 'Capital Costs'!D26, "")</f>
        <v/>
      </c>
      <c r="E25" s="27" t="str">
        <f>IF($A25&lt;&gt;"", (IF('Replacement Costs - Entry'!Y26="Y",((($B25*$D25)*((1+$B$5)^E$7))*(1/((1+$F$5)^E$7))),0)), "")</f>
        <v/>
      </c>
      <c r="F25" s="27" t="str">
        <f>IF($A25&lt;&gt;"", (IF('Replacement Costs - Entry'!Z26="Y",((($B25*$D25)*((1+$B$5)^F$7))*(1/((1+$F$5)^F$7))),0)), "")</f>
        <v/>
      </c>
      <c r="G25" s="27" t="str">
        <f>IF($A25&lt;&gt;"", (IF('Replacement Costs - Entry'!AA26="Y",((($B25*$D25)*((1+$B$5)^G$7))*(1/((1+$F$5)^G$7))),0)), "")</f>
        <v/>
      </c>
      <c r="H25" s="27" t="str">
        <f>IF($A25&lt;&gt;"", (IF('Replacement Costs - Entry'!AB26="Y",((($B25*$D25)*((1+$B$5)^H$7))*(1/((1+$F$5)^H$7))),0)), "")</f>
        <v/>
      </c>
      <c r="I25" s="27" t="str">
        <f>IF($A25&lt;&gt;"", (IF('Replacement Costs - Entry'!AC26="Y",((($B25*$D25)*((1+$B$5)^I$7))*(1/((1+$F$5)^I$7))),0)), "")</f>
        <v/>
      </c>
    </row>
    <row r="26" spans="1:9">
      <c r="A26" s="29" t="str">
        <f>IF('Capital Costs'!A27&lt;&gt;"", 'Capital Costs'!A27, "")</f>
        <v/>
      </c>
      <c r="B26" s="3" t="str">
        <f>IF('Capital Costs'!B27&lt;&gt;"", 'Capital Costs'!B27, "")</f>
        <v/>
      </c>
      <c r="C26" s="29" t="str">
        <f>IF('Capital Costs'!C27&lt;&gt;"", 'Capital Costs'!C27, "")</f>
        <v/>
      </c>
      <c r="D26" s="47" t="str">
        <f>IF('Capital Costs'!D27&lt;&gt;"", 'Capital Costs'!D27, "")</f>
        <v/>
      </c>
      <c r="E26" s="27" t="str">
        <f>IF($A26&lt;&gt;"", (IF('Replacement Costs - Entry'!Y27="Y",((($B26*$D26)*((1+$B$5)^E$7))*(1/((1+$F$5)^E$7))),0)), "")</f>
        <v/>
      </c>
      <c r="F26" s="27" t="str">
        <f>IF($A26&lt;&gt;"", (IF('Replacement Costs - Entry'!Z27="Y",((($B26*$D26)*((1+$B$5)^F$7))*(1/((1+$F$5)^F$7))),0)), "")</f>
        <v/>
      </c>
      <c r="G26" s="27" t="str">
        <f>IF($A26&lt;&gt;"", (IF('Replacement Costs - Entry'!AA27="Y",((($B26*$D26)*((1+$B$5)^G$7))*(1/((1+$F$5)^G$7))),0)), "")</f>
        <v/>
      </c>
      <c r="H26" s="27" t="str">
        <f>IF($A26&lt;&gt;"", (IF('Replacement Costs - Entry'!AB27="Y",((($B26*$D26)*((1+$B$5)^H$7))*(1/((1+$F$5)^H$7))),0)), "")</f>
        <v/>
      </c>
      <c r="I26" s="27" t="str">
        <f>IF($A26&lt;&gt;"", (IF('Replacement Costs - Entry'!AC27="Y",((($B26*$D26)*((1+$B$5)^I$7))*(1/((1+$F$5)^I$7))),0)), "")</f>
        <v/>
      </c>
    </row>
    <row r="27" spans="1:9">
      <c r="A27" s="29" t="str">
        <f>IF('Capital Costs'!A28&lt;&gt;"", 'Capital Costs'!A28, "")</f>
        <v/>
      </c>
      <c r="B27" s="3" t="str">
        <f>IF('Capital Costs'!B28&lt;&gt;"", 'Capital Costs'!B28, "")</f>
        <v/>
      </c>
      <c r="C27" s="29" t="str">
        <f>IF('Capital Costs'!C28&lt;&gt;"", 'Capital Costs'!C28, "")</f>
        <v/>
      </c>
      <c r="D27" s="47" t="str">
        <f>IF('Capital Costs'!D28&lt;&gt;"", 'Capital Costs'!D28, "")</f>
        <v/>
      </c>
      <c r="E27" s="27" t="str">
        <f>IF($A27&lt;&gt;"", (IF('Replacement Costs - Entry'!Y28="Y",((($B27*$D27)*((1+$B$5)^E$7))*(1/((1+$F$5)^E$7))),0)), "")</f>
        <v/>
      </c>
      <c r="F27" s="27" t="str">
        <f>IF($A27&lt;&gt;"", (IF('Replacement Costs - Entry'!Z28="Y",((($B27*$D27)*((1+$B$5)^F$7))*(1/((1+$F$5)^F$7))),0)), "")</f>
        <v/>
      </c>
      <c r="G27" s="27" t="str">
        <f>IF($A27&lt;&gt;"", (IF('Replacement Costs - Entry'!AA28="Y",((($B27*$D27)*((1+$B$5)^G$7))*(1/((1+$F$5)^G$7))),0)), "")</f>
        <v/>
      </c>
      <c r="H27" s="27" t="str">
        <f>IF($A27&lt;&gt;"", (IF('Replacement Costs - Entry'!AB28="Y",((($B27*$D27)*((1+$B$5)^H$7))*(1/((1+$F$5)^H$7))),0)), "")</f>
        <v/>
      </c>
      <c r="I27" s="27" t="str">
        <f>IF($A27&lt;&gt;"", (IF('Replacement Costs - Entry'!AC28="Y",((($B27*$D27)*((1+$B$5)^I$7))*(1/((1+$F$5)^I$7))),0)), "")</f>
        <v/>
      </c>
    </row>
    <row r="28" spans="1:9">
      <c r="A28" s="29" t="str">
        <f>IF('Capital Costs'!A29&lt;&gt;"", 'Capital Costs'!A29, "")</f>
        <v/>
      </c>
      <c r="B28" s="3" t="str">
        <f>IF('Capital Costs'!B29&lt;&gt;"", 'Capital Costs'!B29, "")</f>
        <v/>
      </c>
      <c r="C28" s="29" t="str">
        <f>IF('Capital Costs'!C29&lt;&gt;"", 'Capital Costs'!C29, "")</f>
        <v/>
      </c>
      <c r="D28" s="47" t="str">
        <f>IF('Capital Costs'!D29&lt;&gt;"", 'Capital Costs'!D29, "")</f>
        <v/>
      </c>
      <c r="E28" s="27" t="str">
        <f>IF($A28&lt;&gt;"", (IF('Replacement Costs - Entry'!Y29="Y",((($B28*$D28)*((1+$B$5)^E$7))*(1/((1+$F$5)^E$7))),0)), "")</f>
        <v/>
      </c>
      <c r="F28" s="27" t="str">
        <f>IF($A28&lt;&gt;"", (IF('Replacement Costs - Entry'!Z29="Y",((($B28*$D28)*((1+$B$5)^F$7))*(1/((1+$F$5)^F$7))),0)), "")</f>
        <v/>
      </c>
      <c r="G28" s="27" t="str">
        <f>IF($A28&lt;&gt;"", (IF('Replacement Costs - Entry'!AA29="Y",((($B28*$D28)*((1+$B$5)^G$7))*(1/((1+$F$5)^G$7))),0)), "")</f>
        <v/>
      </c>
      <c r="H28" s="27" t="str">
        <f>IF($A28&lt;&gt;"", (IF('Replacement Costs - Entry'!AB29="Y",((($B28*$D28)*((1+$B$5)^H$7))*(1/((1+$F$5)^H$7))),0)), "")</f>
        <v/>
      </c>
      <c r="I28" s="27" t="str">
        <f>IF($A28&lt;&gt;"", (IF('Replacement Costs - Entry'!AC29="Y",((($B28*$D28)*((1+$B$5)^I$7))*(1/((1+$F$5)^I$7))),0)), "")</f>
        <v/>
      </c>
    </row>
    <row r="29" spans="1:9">
      <c r="A29" s="29" t="str">
        <f>IF('Capital Costs'!A30&lt;&gt;"", 'Capital Costs'!A30, "")</f>
        <v/>
      </c>
      <c r="B29" s="3" t="str">
        <f>IF('Capital Costs'!B30&lt;&gt;"", 'Capital Costs'!B30, "")</f>
        <v/>
      </c>
      <c r="C29" s="29" t="str">
        <f>IF('Capital Costs'!C30&lt;&gt;"", 'Capital Costs'!C30, "")</f>
        <v/>
      </c>
      <c r="D29" s="47" t="str">
        <f>IF('Capital Costs'!D30&lt;&gt;"", 'Capital Costs'!D30, "")</f>
        <v/>
      </c>
      <c r="E29" s="27" t="str">
        <f>IF($A29&lt;&gt;"", (IF('Replacement Costs - Entry'!Y30="Y",((($B29*$D29)*((1+$B$5)^E$7))*(1/((1+$F$5)^E$7))),0)), "")</f>
        <v/>
      </c>
      <c r="F29" s="27" t="str">
        <f>IF($A29&lt;&gt;"", (IF('Replacement Costs - Entry'!Z30="Y",((($B29*$D29)*((1+$B$5)^F$7))*(1/((1+$F$5)^F$7))),0)), "")</f>
        <v/>
      </c>
      <c r="G29" s="27" t="str">
        <f>IF($A29&lt;&gt;"", (IF('Replacement Costs - Entry'!AA30="Y",((($B29*$D29)*((1+$B$5)^G$7))*(1/((1+$F$5)^G$7))),0)), "")</f>
        <v/>
      </c>
      <c r="H29" s="27" t="str">
        <f>IF($A29&lt;&gt;"", (IF('Replacement Costs - Entry'!AB30="Y",((($B29*$D29)*((1+$B$5)^H$7))*(1/((1+$F$5)^H$7))),0)), "")</f>
        <v/>
      </c>
      <c r="I29" s="27" t="str">
        <f>IF($A29&lt;&gt;"", (IF('Replacement Costs - Entry'!AC30="Y",((($B29*$D29)*((1+$B$5)^I$7))*(1/((1+$F$5)^I$7))),0)), "")</f>
        <v/>
      </c>
    </row>
    <row r="30" spans="1:9">
      <c r="A30" s="29" t="str">
        <f>IF('Capital Costs'!A31&lt;&gt;"", 'Capital Costs'!A31, "")</f>
        <v/>
      </c>
      <c r="B30" s="3" t="str">
        <f>IF('Capital Costs'!B31&lt;&gt;"", 'Capital Costs'!B31, "")</f>
        <v/>
      </c>
      <c r="C30" s="29" t="str">
        <f>IF('Capital Costs'!C31&lt;&gt;"", 'Capital Costs'!C31, "")</f>
        <v/>
      </c>
      <c r="D30" s="47" t="str">
        <f>IF('Capital Costs'!D31&lt;&gt;"", 'Capital Costs'!D31, "")</f>
        <v/>
      </c>
      <c r="E30" s="27" t="str">
        <f>IF($A30&lt;&gt;"", (IF('Replacement Costs - Entry'!Y31="Y",((($B30*$D30)*((1+$B$5)^E$7))*(1/((1+$F$5)^E$7))),0)), "")</f>
        <v/>
      </c>
      <c r="F30" s="27" t="str">
        <f>IF($A30&lt;&gt;"", (IF('Replacement Costs - Entry'!Z31="Y",((($B30*$D30)*((1+$B$5)^F$7))*(1/((1+$F$5)^F$7))),0)), "")</f>
        <v/>
      </c>
      <c r="G30" s="27" t="str">
        <f>IF($A30&lt;&gt;"", (IF('Replacement Costs - Entry'!AA31="Y",((($B30*$D30)*((1+$B$5)^G$7))*(1/((1+$F$5)^G$7))),0)), "")</f>
        <v/>
      </c>
      <c r="H30" s="27" t="str">
        <f>IF($A30&lt;&gt;"", (IF('Replacement Costs - Entry'!AB31="Y",((($B30*$D30)*((1+$B$5)^H$7))*(1/((1+$F$5)^H$7))),0)), "")</f>
        <v/>
      </c>
      <c r="I30" s="27" t="str">
        <f>IF($A30&lt;&gt;"", (IF('Replacement Costs - Entry'!AC31="Y",((($B30*$D30)*((1+$B$5)^I$7))*(1/((1+$F$5)^I$7))),0)), "")</f>
        <v/>
      </c>
    </row>
    <row r="31" spans="1:9">
      <c r="A31" s="29" t="str">
        <f>IF('Capital Costs'!A32&lt;&gt;"", 'Capital Costs'!A32, "")</f>
        <v/>
      </c>
      <c r="B31" s="3" t="str">
        <f>IF('Capital Costs'!B32&lt;&gt;"", 'Capital Costs'!B32, "")</f>
        <v/>
      </c>
      <c r="C31" s="29" t="str">
        <f>IF('Capital Costs'!C32&lt;&gt;"", 'Capital Costs'!C32, "")</f>
        <v/>
      </c>
      <c r="D31" s="47" t="str">
        <f>IF('Capital Costs'!D32&lt;&gt;"", 'Capital Costs'!D32, "")</f>
        <v/>
      </c>
      <c r="E31" s="27" t="str">
        <f>IF($A31&lt;&gt;"", (IF('Replacement Costs - Entry'!Y32="Y",((($B31*$D31)*((1+$B$5)^E$7))*(1/((1+$F$5)^E$7))),0)), "")</f>
        <v/>
      </c>
      <c r="F31" s="27" t="str">
        <f>IF($A31&lt;&gt;"", (IF('Replacement Costs - Entry'!Z32="Y",((($B31*$D31)*((1+$B$5)^F$7))*(1/((1+$F$5)^F$7))),0)), "")</f>
        <v/>
      </c>
      <c r="G31" s="27" t="str">
        <f>IF($A31&lt;&gt;"", (IF('Replacement Costs - Entry'!AA32="Y",((($B31*$D31)*((1+$B$5)^G$7))*(1/((1+$F$5)^G$7))),0)), "")</f>
        <v/>
      </c>
      <c r="H31" s="27" t="str">
        <f>IF($A31&lt;&gt;"", (IF('Replacement Costs - Entry'!AB32="Y",((($B31*$D31)*((1+$B$5)^H$7))*(1/((1+$F$5)^H$7))),0)), "")</f>
        <v/>
      </c>
      <c r="I31" s="27" t="str">
        <f>IF($A31&lt;&gt;"", (IF('Replacement Costs - Entry'!AC32="Y",((($B31*$D31)*((1+$B$5)^I$7))*(1/((1+$F$5)^I$7))),0)), "")</f>
        <v/>
      </c>
    </row>
    <row r="32" spans="1:9">
      <c r="A32" s="29" t="str">
        <f>IF('Capital Costs'!A33&lt;&gt;"", 'Capital Costs'!A33, "")</f>
        <v/>
      </c>
      <c r="B32" s="3" t="str">
        <f>IF('Capital Costs'!B33&lt;&gt;"", 'Capital Costs'!B33, "")</f>
        <v/>
      </c>
      <c r="C32" s="29" t="str">
        <f>IF('Capital Costs'!C33&lt;&gt;"", 'Capital Costs'!C33, "")</f>
        <v/>
      </c>
      <c r="D32" s="47" t="str">
        <f>IF('Capital Costs'!D33&lt;&gt;"", 'Capital Costs'!D33, "")</f>
        <v/>
      </c>
      <c r="E32" s="27" t="str">
        <f>IF($A32&lt;&gt;"", (IF('Replacement Costs - Entry'!Y33="Y",((($B32*$D32)*((1+$B$5)^E$7))*(1/((1+$F$5)^E$7))),0)), "")</f>
        <v/>
      </c>
      <c r="F32" s="27" t="str">
        <f>IF($A32&lt;&gt;"", (IF('Replacement Costs - Entry'!Z33="Y",((($B32*$D32)*((1+$B$5)^F$7))*(1/((1+$F$5)^F$7))),0)), "")</f>
        <v/>
      </c>
      <c r="G32" s="27" t="str">
        <f>IF($A32&lt;&gt;"", (IF('Replacement Costs - Entry'!AA33="Y",((($B32*$D32)*((1+$B$5)^G$7))*(1/((1+$F$5)^G$7))),0)), "")</f>
        <v/>
      </c>
      <c r="H32" s="27" t="str">
        <f>IF($A32&lt;&gt;"", (IF('Replacement Costs - Entry'!AB33="Y",((($B32*$D32)*((1+$B$5)^H$7))*(1/((1+$F$5)^H$7))),0)), "")</f>
        <v/>
      </c>
      <c r="I32" s="27" t="str">
        <f>IF($A32&lt;&gt;"", (IF('Replacement Costs - Entry'!AC33="Y",((($B32*$D32)*((1+$B$5)^I$7))*(1/((1+$F$5)^I$7))),0)), "")</f>
        <v/>
      </c>
    </row>
    <row r="33" spans="1:9">
      <c r="A33" s="29" t="str">
        <f>IF('Capital Costs'!A34&lt;&gt;"", 'Capital Costs'!A34, "")</f>
        <v/>
      </c>
      <c r="B33" s="3" t="str">
        <f>IF('Capital Costs'!B34&lt;&gt;"", 'Capital Costs'!B34, "")</f>
        <v/>
      </c>
      <c r="C33" s="29" t="str">
        <f>IF('Capital Costs'!C34&lt;&gt;"", 'Capital Costs'!C34, "")</f>
        <v/>
      </c>
      <c r="D33" s="47" t="str">
        <f>IF('Capital Costs'!D34&lt;&gt;"", 'Capital Costs'!D34, "")</f>
        <v/>
      </c>
      <c r="E33" s="27" t="str">
        <f>IF($A33&lt;&gt;"", (IF('Replacement Costs - Entry'!Y34="Y",((($B33*$D33)*((1+$B$5)^E$7))*(1/((1+$F$5)^E$7))),0)), "")</f>
        <v/>
      </c>
      <c r="F33" s="27" t="str">
        <f>IF($A33&lt;&gt;"", (IF('Replacement Costs - Entry'!Z34="Y",((($B33*$D33)*((1+$B$5)^F$7))*(1/((1+$F$5)^F$7))),0)), "")</f>
        <v/>
      </c>
      <c r="G33" s="27" t="str">
        <f>IF($A33&lt;&gt;"", (IF('Replacement Costs - Entry'!AA34="Y",((($B33*$D33)*((1+$B$5)^G$7))*(1/((1+$F$5)^G$7))),0)), "")</f>
        <v/>
      </c>
      <c r="H33" s="27" t="str">
        <f>IF($A33&lt;&gt;"", (IF('Replacement Costs - Entry'!AB34="Y",((($B33*$D33)*((1+$B$5)^H$7))*(1/((1+$F$5)^H$7))),0)), "")</f>
        <v/>
      </c>
      <c r="I33" s="27" t="str">
        <f>IF($A33&lt;&gt;"", (IF('Replacement Costs - Entry'!AC34="Y",((($B33*$D33)*((1+$B$5)^I$7))*(1/((1+$F$5)^I$7))),0)), "")</f>
        <v/>
      </c>
    </row>
    <row r="34" spans="1:9">
      <c r="A34" s="29" t="str">
        <f>IF('Capital Costs'!A35&lt;&gt;"", 'Capital Costs'!A35, "")</f>
        <v/>
      </c>
      <c r="B34" s="3" t="str">
        <f>IF('Capital Costs'!B35&lt;&gt;"", 'Capital Costs'!B35, "")</f>
        <v/>
      </c>
      <c r="C34" s="29" t="str">
        <f>IF('Capital Costs'!C35&lt;&gt;"", 'Capital Costs'!C35, "")</f>
        <v/>
      </c>
      <c r="D34" s="47" t="str">
        <f>IF('Capital Costs'!D35&lt;&gt;"", 'Capital Costs'!D35, "")</f>
        <v/>
      </c>
      <c r="E34" s="27" t="str">
        <f>IF($A34&lt;&gt;"", (IF('Replacement Costs - Entry'!Y35="Y",((($B34*$D34)*((1+$B$5)^E$7))*(1/((1+$F$5)^E$7))),0)), "")</f>
        <v/>
      </c>
      <c r="F34" s="27" t="str">
        <f>IF($A34&lt;&gt;"", (IF('Replacement Costs - Entry'!Z35="Y",((($B34*$D34)*((1+$B$5)^F$7))*(1/((1+$F$5)^F$7))),0)), "")</f>
        <v/>
      </c>
      <c r="G34" s="27" t="str">
        <f>IF($A34&lt;&gt;"", (IF('Replacement Costs - Entry'!AA35="Y",((($B34*$D34)*((1+$B$5)^G$7))*(1/((1+$F$5)^G$7))),0)), "")</f>
        <v/>
      </c>
      <c r="H34" s="27" t="str">
        <f>IF($A34&lt;&gt;"", (IF('Replacement Costs - Entry'!AB35="Y",((($B34*$D34)*((1+$B$5)^H$7))*(1/((1+$F$5)^H$7))),0)), "")</f>
        <v/>
      </c>
      <c r="I34" s="27" t="str">
        <f>IF($A34&lt;&gt;"", (IF('Replacement Costs - Entry'!AC35="Y",((($B34*$D34)*((1+$B$5)^I$7))*(1/((1+$F$5)^I$7))),0)), "")</f>
        <v/>
      </c>
    </row>
    <row r="35" spans="1:9">
      <c r="A35" s="29" t="str">
        <f>IF('Capital Costs'!A36&lt;&gt;"", 'Capital Costs'!A36, "")</f>
        <v/>
      </c>
      <c r="B35" s="3" t="str">
        <f>IF('Capital Costs'!B36&lt;&gt;"", 'Capital Costs'!B36, "")</f>
        <v/>
      </c>
      <c r="C35" s="29" t="str">
        <f>IF('Capital Costs'!C36&lt;&gt;"", 'Capital Costs'!C36, "")</f>
        <v/>
      </c>
      <c r="D35" s="47" t="str">
        <f>IF('Capital Costs'!D36&lt;&gt;"", 'Capital Costs'!D36, "")</f>
        <v/>
      </c>
      <c r="E35" s="27" t="str">
        <f>IF($A35&lt;&gt;"", (IF('Replacement Costs - Entry'!Y36="Y",((($B35*$D35)*((1+$B$5)^E$7))*(1/((1+$F$5)^E$7))),0)), "")</f>
        <v/>
      </c>
      <c r="F35" s="27" t="str">
        <f>IF($A35&lt;&gt;"", (IF('Replacement Costs - Entry'!Z36="Y",((($B35*$D35)*((1+$B$5)^F$7))*(1/((1+$F$5)^F$7))),0)), "")</f>
        <v/>
      </c>
      <c r="G35" s="27" t="str">
        <f>IF($A35&lt;&gt;"", (IF('Replacement Costs - Entry'!AA36="Y",((($B35*$D35)*((1+$B$5)^G$7))*(1/((1+$F$5)^G$7))),0)), "")</f>
        <v/>
      </c>
      <c r="H35" s="27" t="str">
        <f>IF($A35&lt;&gt;"", (IF('Replacement Costs - Entry'!AB36="Y",((($B35*$D35)*((1+$B$5)^H$7))*(1/((1+$F$5)^H$7))),0)), "")</f>
        <v/>
      </c>
      <c r="I35" s="27" t="str">
        <f>IF($A35&lt;&gt;"", (IF('Replacement Costs - Entry'!AC36="Y",((($B35*$D35)*((1+$B$5)^I$7))*(1/((1+$F$5)^I$7))),0)), "")</f>
        <v/>
      </c>
    </row>
    <row r="36" spans="1:9">
      <c r="A36" s="29" t="str">
        <f>IF('Capital Costs'!A37&lt;&gt;"", 'Capital Costs'!A37, "")</f>
        <v/>
      </c>
      <c r="B36" s="3" t="str">
        <f>IF('Capital Costs'!B37&lt;&gt;"", 'Capital Costs'!B37, "")</f>
        <v/>
      </c>
      <c r="C36" s="29" t="str">
        <f>IF('Capital Costs'!C37&lt;&gt;"", 'Capital Costs'!C37, "")</f>
        <v/>
      </c>
      <c r="D36" s="47" t="str">
        <f>IF('Capital Costs'!D37&lt;&gt;"", 'Capital Costs'!D37, "")</f>
        <v/>
      </c>
      <c r="E36" s="27" t="str">
        <f>IF($A36&lt;&gt;"", (IF('Replacement Costs - Entry'!Y37="Y",((($B36*$D36)*((1+$B$5)^E$7))*(1/((1+$F$5)^E$7))),0)), "")</f>
        <v/>
      </c>
      <c r="F36" s="27" t="str">
        <f>IF($A36&lt;&gt;"", (IF('Replacement Costs - Entry'!Z37="Y",((($B36*$D36)*((1+$B$5)^F$7))*(1/((1+$F$5)^F$7))),0)), "")</f>
        <v/>
      </c>
      <c r="G36" s="27" t="str">
        <f>IF($A36&lt;&gt;"", (IF('Replacement Costs - Entry'!AA37="Y",((($B36*$D36)*((1+$B$5)^G$7))*(1/((1+$F$5)^G$7))),0)), "")</f>
        <v/>
      </c>
      <c r="H36" s="27" t="str">
        <f>IF($A36&lt;&gt;"", (IF('Replacement Costs - Entry'!AB37="Y",((($B36*$D36)*((1+$B$5)^H$7))*(1/((1+$F$5)^H$7))),0)), "")</f>
        <v/>
      </c>
      <c r="I36" s="27" t="str">
        <f>IF($A36&lt;&gt;"", (IF('Replacement Costs - Entry'!AC37="Y",((($B36*$D36)*((1+$B$5)^I$7))*(1/((1+$F$5)^I$7))),0)), "")</f>
        <v/>
      </c>
    </row>
    <row r="37" spans="1:9">
      <c r="A37" s="23"/>
      <c r="B37" s="23"/>
      <c r="C37" s="23"/>
      <c r="D37" s="36" t="s">
        <v>46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38" spans="1:9">
      <c r="H38" s="2" t="s">
        <v>45</v>
      </c>
      <c r="I38" s="28">
        <f>'Replace Costs - Results 1-5'!E37+'Replace Costs - Results 1-5'!F37+'Replace Costs - Results 1-5'!G37+'Replace Costs - Results 1-5'!H37+'Replace Costs - Results 1-5'!I37+'Replace Costs-Results 6-10'!E37+'Replace Costs-Results 6-10'!F37+'Replace Costs-Results 6-10'!G37+'Replace Costs-Results 6-10'!H37+'Replace Costs-Results 6-10'!I37+'Replace Costs-Results 11-15'!E37+'Replace Costs-Results 11-15'!F37+'Replace Costs-Results 11-15'!G37+'Replace Costs-Results 11-15'!H37+'Replace Costs-Results 11-15'!I37+'Replace Costs-Results 16-20'!E37+'Replace Costs-Results 16-20'!F37+'Replace Costs-Results 16-20'!G37+'Replace Costs-Results 16-20'!H37+'Replace Costs-Results 16-20'!I37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rintOptions horizontalCentered="1"/>
  <pageMargins left="0.7" right="0.7" top="0.75" bottom="0.75" header="0.3" footer="0.3"/>
  <pageSetup scale="73" fitToWidth="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selection activeCell="A9" sqref="A9:D12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4" width="9.7109375" style="1" customWidth="1"/>
    <col min="15" max="16384" width="9.140625" style="1"/>
  </cols>
  <sheetData>
    <row r="1" spans="1:14">
      <c r="A1" s="137" t="s">
        <v>144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144" t="s">
        <v>61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6"/>
    </row>
    <row r="6" spans="1:14">
      <c r="A6" s="74" t="s">
        <v>64</v>
      </c>
      <c r="B6" s="75">
        <f>('CCI-MCI'!B7-'CCI-MCI'!B6)/'CCI-MCI'!B6</f>
        <v>2.7598896044158234E-2</v>
      </c>
      <c r="C6" s="76"/>
      <c r="D6" s="76"/>
      <c r="E6" s="96"/>
      <c r="G6" s="96"/>
      <c r="H6" s="96"/>
      <c r="I6" s="96"/>
      <c r="J6" s="96"/>
      <c r="K6" s="96"/>
      <c r="L6" s="96"/>
      <c r="M6" s="96" t="s">
        <v>43</v>
      </c>
      <c r="N6" s="101">
        <f>'Replace Costs-Results 16-20'!F5</f>
        <v>4.8750000000000002E-2</v>
      </c>
    </row>
    <row r="7" spans="1:14">
      <c r="A7" s="74"/>
      <c r="B7" s="75"/>
      <c r="C7" s="76"/>
      <c r="D7" s="76"/>
      <c r="E7" s="151" t="s">
        <v>53</v>
      </c>
      <c r="F7" s="147"/>
      <c r="G7" s="147"/>
      <c r="H7" s="147"/>
      <c r="I7" s="147"/>
      <c r="J7" s="147"/>
      <c r="K7" s="147"/>
      <c r="L7" s="147"/>
      <c r="M7" s="147"/>
      <c r="N7" s="148"/>
    </row>
    <row r="8" spans="1:14">
      <c r="A8" s="12" t="s">
        <v>4</v>
      </c>
      <c r="B8" s="12" t="s">
        <v>0</v>
      </c>
      <c r="C8" s="12" t="s">
        <v>5</v>
      </c>
      <c r="D8" s="12" t="s">
        <v>1</v>
      </c>
      <c r="E8" s="39">
        <v>1</v>
      </c>
      <c r="F8" s="39">
        <v>2</v>
      </c>
      <c r="G8" s="39">
        <v>3</v>
      </c>
      <c r="H8" s="39">
        <v>4</v>
      </c>
      <c r="I8" s="39">
        <v>5</v>
      </c>
      <c r="J8" s="39">
        <v>6</v>
      </c>
      <c r="K8" s="39">
        <v>7</v>
      </c>
      <c r="L8" s="39">
        <v>8</v>
      </c>
      <c r="M8" s="39">
        <v>9</v>
      </c>
      <c r="N8" s="39">
        <v>10</v>
      </c>
    </row>
    <row r="9" spans="1:14">
      <c r="A9" s="97"/>
      <c r="B9" s="81"/>
      <c r="C9" s="86"/>
      <c r="D9" s="89"/>
      <c r="E9" s="34" t="str">
        <f t="shared" ref="E9:N18" si="0">IF($A9&lt;&gt;"", (($B9*$D9)*((1+$B$6)^E$8)*(1/((1+$N$6)^E$8))), "")</f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7"/>
      <c r="B10" s="81"/>
      <c r="C10" s="86"/>
      <c r="D10" s="89"/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7"/>
      <c r="B11" s="81"/>
      <c r="C11" s="86"/>
      <c r="D11" s="89"/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7"/>
      <c r="B12" s="81"/>
      <c r="C12" s="84"/>
      <c r="D12" s="89"/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7"/>
      <c r="B13" s="83"/>
      <c r="C13" s="86"/>
      <c r="D13" s="89"/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7"/>
      <c r="B14" s="83"/>
      <c r="C14" s="86"/>
      <c r="D14" s="89"/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7"/>
      <c r="B15" s="81"/>
      <c r="C15" s="86"/>
      <c r="D15" s="89"/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7"/>
      <c r="B16" s="81"/>
      <c r="C16" s="86"/>
      <c r="D16" s="90"/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7"/>
      <c r="B17" s="81"/>
      <c r="C17" s="86"/>
      <c r="D17" s="90"/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7"/>
      <c r="B18" s="81"/>
      <c r="C18" s="86"/>
      <c r="D18" s="90"/>
      <c r="E18" s="34" t="str">
        <f t="shared" si="0"/>
        <v/>
      </c>
      <c r="F18" s="34" t="str">
        <f t="shared" si="0"/>
        <v/>
      </c>
      <c r="G18" s="34" t="str">
        <f t="shared" si="0"/>
        <v/>
      </c>
      <c r="H18" s="34" t="str">
        <f t="shared" si="0"/>
        <v/>
      </c>
      <c r="I18" s="34" t="str">
        <f t="shared" si="0"/>
        <v/>
      </c>
      <c r="J18" s="34" t="str">
        <f t="shared" si="0"/>
        <v/>
      </c>
      <c r="K18" s="34" t="str">
        <f t="shared" si="0"/>
        <v/>
      </c>
      <c r="L18" s="34" t="str">
        <f t="shared" si="0"/>
        <v/>
      </c>
      <c r="M18" s="34" t="str">
        <f t="shared" si="0"/>
        <v/>
      </c>
      <c r="N18" s="35" t="str">
        <f t="shared" si="0"/>
        <v/>
      </c>
    </row>
    <row r="19" spans="1:14">
      <c r="A19" s="97"/>
      <c r="B19" s="81"/>
      <c r="C19" s="86"/>
      <c r="D19" s="90"/>
      <c r="E19" s="34" t="str">
        <f t="shared" ref="E19:N31" si="1">IF($A19&lt;&gt;"", (($B19*$D19)*((1+$B$6)^E$8)*(1/((1+$N$6)^E$8))), "")</f>
        <v/>
      </c>
      <c r="F19" s="34" t="str">
        <f t="shared" si="1"/>
        <v/>
      </c>
      <c r="G19" s="34" t="str">
        <f t="shared" si="1"/>
        <v/>
      </c>
      <c r="H19" s="34" t="str">
        <f t="shared" si="1"/>
        <v/>
      </c>
      <c r="I19" s="34" t="str">
        <f t="shared" si="1"/>
        <v/>
      </c>
      <c r="J19" s="34" t="str">
        <f t="shared" si="1"/>
        <v/>
      </c>
      <c r="K19" s="34" t="str">
        <f t="shared" si="1"/>
        <v/>
      </c>
      <c r="L19" s="34" t="str">
        <f t="shared" si="1"/>
        <v/>
      </c>
      <c r="M19" s="34" t="str">
        <f t="shared" si="1"/>
        <v/>
      </c>
      <c r="N19" s="35" t="str">
        <f t="shared" si="1"/>
        <v/>
      </c>
    </row>
    <row r="20" spans="1:14">
      <c r="A20" s="97"/>
      <c r="B20" s="81"/>
      <c r="C20" s="86"/>
      <c r="D20" s="90"/>
      <c r="E20" s="34" t="str">
        <f t="shared" si="1"/>
        <v/>
      </c>
      <c r="F20" s="34" t="str">
        <f t="shared" si="1"/>
        <v/>
      </c>
      <c r="G20" s="34" t="str">
        <f t="shared" si="1"/>
        <v/>
      </c>
      <c r="H20" s="34" t="str">
        <f t="shared" si="1"/>
        <v/>
      </c>
      <c r="I20" s="34" t="str">
        <f t="shared" si="1"/>
        <v/>
      </c>
      <c r="J20" s="34" t="str">
        <f t="shared" si="1"/>
        <v/>
      </c>
      <c r="K20" s="34" t="str">
        <f t="shared" si="1"/>
        <v/>
      </c>
      <c r="L20" s="34" t="str">
        <f t="shared" si="1"/>
        <v/>
      </c>
      <c r="M20" s="34" t="str">
        <f t="shared" si="1"/>
        <v/>
      </c>
      <c r="N20" s="35" t="str">
        <f t="shared" si="1"/>
        <v/>
      </c>
    </row>
    <row r="21" spans="1:14">
      <c r="A21" s="97"/>
      <c r="B21" s="81"/>
      <c r="C21" s="86"/>
      <c r="D21" s="90"/>
      <c r="E21" s="34" t="str">
        <f t="shared" si="1"/>
        <v/>
      </c>
      <c r="F21" s="34" t="str">
        <f t="shared" si="1"/>
        <v/>
      </c>
      <c r="G21" s="34" t="str">
        <f t="shared" si="1"/>
        <v/>
      </c>
      <c r="H21" s="34" t="str">
        <f t="shared" si="1"/>
        <v/>
      </c>
      <c r="I21" s="34" t="str">
        <f t="shared" si="1"/>
        <v/>
      </c>
      <c r="J21" s="34" t="str">
        <f t="shared" si="1"/>
        <v/>
      </c>
      <c r="K21" s="34" t="str">
        <f t="shared" si="1"/>
        <v/>
      </c>
      <c r="L21" s="34" t="str">
        <f t="shared" si="1"/>
        <v/>
      </c>
      <c r="M21" s="34" t="str">
        <f t="shared" si="1"/>
        <v/>
      </c>
      <c r="N21" s="35" t="str">
        <f t="shared" si="1"/>
        <v/>
      </c>
    </row>
    <row r="22" spans="1:14">
      <c r="A22" s="97"/>
      <c r="B22" s="81"/>
      <c r="C22" s="86"/>
      <c r="D22" s="90"/>
      <c r="E22" s="34" t="str">
        <f t="shared" si="1"/>
        <v/>
      </c>
      <c r="F22" s="34" t="str">
        <f t="shared" si="1"/>
        <v/>
      </c>
      <c r="G22" s="34" t="str">
        <f t="shared" si="1"/>
        <v/>
      </c>
      <c r="H22" s="34" t="str">
        <f t="shared" si="1"/>
        <v/>
      </c>
      <c r="I22" s="34" t="str">
        <f t="shared" si="1"/>
        <v/>
      </c>
      <c r="J22" s="34" t="str">
        <f t="shared" si="1"/>
        <v/>
      </c>
      <c r="K22" s="34" t="str">
        <f t="shared" si="1"/>
        <v/>
      </c>
      <c r="L22" s="34" t="str">
        <f t="shared" si="1"/>
        <v/>
      </c>
      <c r="M22" s="34" t="str">
        <f t="shared" si="1"/>
        <v/>
      </c>
      <c r="N22" s="35" t="str">
        <f t="shared" si="1"/>
        <v/>
      </c>
    </row>
    <row r="23" spans="1:14">
      <c r="A23" s="97"/>
      <c r="B23" s="81"/>
      <c r="C23" s="86"/>
      <c r="D23" s="90"/>
      <c r="E23" s="34" t="str">
        <f t="shared" si="1"/>
        <v/>
      </c>
      <c r="F23" s="34" t="str">
        <f t="shared" si="1"/>
        <v/>
      </c>
      <c r="G23" s="34" t="str">
        <f t="shared" si="1"/>
        <v/>
      </c>
      <c r="H23" s="34" t="str">
        <f t="shared" si="1"/>
        <v/>
      </c>
      <c r="I23" s="34" t="str">
        <f t="shared" si="1"/>
        <v/>
      </c>
      <c r="J23" s="34" t="str">
        <f t="shared" si="1"/>
        <v/>
      </c>
      <c r="K23" s="34" t="str">
        <f t="shared" si="1"/>
        <v/>
      </c>
      <c r="L23" s="34" t="str">
        <f t="shared" si="1"/>
        <v/>
      </c>
      <c r="M23" s="34" t="str">
        <f t="shared" si="1"/>
        <v/>
      </c>
      <c r="N23" s="35" t="str">
        <f t="shared" si="1"/>
        <v/>
      </c>
    </row>
    <row r="24" spans="1:14">
      <c r="A24" s="97"/>
      <c r="B24" s="81"/>
      <c r="C24" s="86"/>
      <c r="D24" s="90"/>
      <c r="E24" s="34" t="str">
        <f t="shared" si="1"/>
        <v/>
      </c>
      <c r="F24" s="34" t="str">
        <f t="shared" si="1"/>
        <v/>
      </c>
      <c r="G24" s="34" t="str">
        <f t="shared" si="1"/>
        <v/>
      </c>
      <c r="H24" s="34" t="str">
        <f t="shared" si="1"/>
        <v/>
      </c>
      <c r="I24" s="34" t="str">
        <f t="shared" si="1"/>
        <v/>
      </c>
      <c r="J24" s="34" t="str">
        <f t="shared" si="1"/>
        <v/>
      </c>
      <c r="K24" s="34" t="str">
        <f t="shared" si="1"/>
        <v/>
      </c>
      <c r="L24" s="34" t="str">
        <f t="shared" si="1"/>
        <v/>
      </c>
      <c r="M24" s="34" t="str">
        <f t="shared" si="1"/>
        <v/>
      </c>
      <c r="N24" s="35" t="str">
        <f t="shared" si="1"/>
        <v/>
      </c>
    </row>
    <row r="25" spans="1:14">
      <c r="A25" s="97"/>
      <c r="B25" s="81"/>
      <c r="C25" s="86"/>
      <c r="D25" s="90"/>
      <c r="E25" s="34" t="str">
        <f t="shared" si="1"/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7"/>
      <c r="B26" s="81"/>
      <c r="C26" s="86"/>
      <c r="D26" s="90"/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7"/>
      <c r="B27" s="81"/>
      <c r="C27" s="86"/>
      <c r="D27" s="90"/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7"/>
      <c r="B28" s="81"/>
      <c r="C28" s="86"/>
      <c r="D28" s="90"/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7"/>
      <c r="B29" s="81"/>
      <c r="C29" s="86"/>
      <c r="D29" s="90"/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7"/>
      <c r="B30" s="81"/>
      <c r="C30" s="86"/>
      <c r="D30" s="90"/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7"/>
      <c r="B31" s="81"/>
      <c r="C31" s="86"/>
      <c r="D31" s="90"/>
      <c r="E31" s="34" t="str">
        <f t="shared" si="1"/>
        <v/>
      </c>
      <c r="F31" s="34" t="str">
        <f t="shared" si="1"/>
        <v/>
      </c>
      <c r="G31" s="34" t="str">
        <f t="shared" si="1"/>
        <v/>
      </c>
      <c r="H31" s="34" t="str">
        <f t="shared" si="1"/>
        <v/>
      </c>
      <c r="I31" s="34" t="str">
        <f t="shared" si="1"/>
        <v/>
      </c>
      <c r="J31" s="34" t="str">
        <f t="shared" si="1"/>
        <v/>
      </c>
      <c r="K31" s="34" t="str">
        <f t="shared" si="1"/>
        <v/>
      </c>
      <c r="L31" s="34" t="str">
        <f t="shared" si="1"/>
        <v/>
      </c>
      <c r="M31" s="34" t="str">
        <f t="shared" si="1"/>
        <v/>
      </c>
      <c r="N31" s="35" t="str">
        <f t="shared" si="1"/>
        <v/>
      </c>
    </row>
    <row r="32" spans="1:14">
      <c r="A32" s="9"/>
      <c r="B32" s="23"/>
      <c r="C32" s="23"/>
      <c r="D32" s="37" t="s">
        <v>54</v>
      </c>
      <c r="E32" s="28">
        <f>SUM(E9:E31)</f>
        <v>0</v>
      </c>
      <c r="F32" s="28">
        <f t="shared" ref="F32:N32" si="2">SUM(F9:F31)</f>
        <v>0</v>
      </c>
      <c r="G32" s="28">
        <f t="shared" si="2"/>
        <v>0</v>
      </c>
      <c r="H32" s="28">
        <f t="shared" si="2"/>
        <v>0</v>
      </c>
      <c r="I32" s="28">
        <f t="shared" si="2"/>
        <v>0</v>
      </c>
      <c r="J32" s="28">
        <f t="shared" si="2"/>
        <v>0</v>
      </c>
      <c r="K32" s="28">
        <f t="shared" si="2"/>
        <v>0</v>
      </c>
      <c r="L32" s="28">
        <f t="shared" si="2"/>
        <v>0</v>
      </c>
      <c r="M32" s="28">
        <f t="shared" si="2"/>
        <v>0</v>
      </c>
      <c r="N32" s="28">
        <f t="shared" si="2"/>
        <v>0</v>
      </c>
    </row>
    <row r="35" spans="1:2" hidden="1">
      <c r="A35" s="6" t="s">
        <v>7</v>
      </c>
      <c r="B35" s="33">
        <v>4.8750000000000002E-2</v>
      </c>
    </row>
  </sheetData>
  <sheetProtection sheet="1" objects="1" scenarios="1"/>
  <mergeCells count="6">
    <mergeCell ref="E7:N7"/>
    <mergeCell ref="A2:N2"/>
    <mergeCell ref="A1:N1"/>
    <mergeCell ref="A3:N3"/>
    <mergeCell ref="A5:N5"/>
    <mergeCell ref="A4:N4"/>
  </mergeCells>
  <printOptions horizontalCentered="1"/>
  <pageMargins left="0.5" right="0.5" top="0.5" bottom="0.5" header="0.3" footer="0.3"/>
  <pageSetup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workbookViewId="0">
      <selection activeCell="A2" sqref="A2:N2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3" width="9.7109375" style="1" customWidth="1"/>
    <col min="14" max="14" width="12.7109375" style="1" customWidth="1"/>
    <col min="15" max="16384" width="9.140625" style="1"/>
  </cols>
  <sheetData>
    <row r="1" spans="1:14">
      <c r="A1" s="137" t="s">
        <v>145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'Yearly O&amp;M Costs 1-10'!A6</f>
        <v>Current Inflation Rate Based on Municipal Cost Index:</v>
      </c>
      <c r="B5" s="75">
        <f>'Yearly O&amp;M Costs 1-10'!B6</f>
        <v>2.7598896044158234E-2</v>
      </c>
      <c r="C5" s="76"/>
      <c r="D5" s="76"/>
      <c r="E5" s="96"/>
      <c r="G5" s="96"/>
      <c r="H5" s="96"/>
      <c r="I5" s="96"/>
      <c r="J5" s="96"/>
      <c r="K5" s="96"/>
      <c r="L5" s="96"/>
      <c r="M5" s="96" t="s">
        <v>43</v>
      </c>
      <c r="N5" s="101">
        <f>'Replace Costs-Results 16-20'!F5</f>
        <v>4.8750000000000002E-2</v>
      </c>
    </row>
    <row r="6" spans="1:14">
      <c r="A6" s="74"/>
      <c r="B6" s="75"/>
      <c r="C6" s="76"/>
      <c r="D6" s="76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2" t="s">
        <v>4</v>
      </c>
      <c r="B7" s="12" t="s">
        <v>0</v>
      </c>
      <c r="C7" s="12" t="s">
        <v>5</v>
      </c>
      <c r="D7" s="12" t="s">
        <v>1</v>
      </c>
      <c r="E7" s="39">
        <v>11</v>
      </c>
      <c r="F7" s="39">
        <v>12</v>
      </c>
      <c r="G7" s="39">
        <v>13</v>
      </c>
      <c r="H7" s="39">
        <v>14</v>
      </c>
      <c r="I7" s="39">
        <v>15</v>
      </c>
      <c r="J7" s="39">
        <v>16</v>
      </c>
      <c r="K7" s="39">
        <v>17</v>
      </c>
      <c r="L7" s="39">
        <v>18</v>
      </c>
      <c r="M7" s="39">
        <v>19</v>
      </c>
      <c r="N7" s="39">
        <v>20</v>
      </c>
    </row>
    <row r="8" spans="1:14">
      <c r="A8" s="98" t="str">
        <f>IF('Yearly O&amp;M Costs 1-10'!A9&lt;&gt;"", 'Yearly O&amp;M Costs 1-10'!A9, "")</f>
        <v/>
      </c>
      <c r="B8" s="99" t="str">
        <f>IF('Yearly O&amp;M Costs 1-10'!B9&lt;&gt;"", 'Yearly O&amp;M Costs 1-10'!B9, "")</f>
        <v/>
      </c>
      <c r="C8" s="98" t="str">
        <f>IF('Yearly O&amp;M Costs 1-10'!C9&lt;&gt;"", 'Yearly O&amp;M Costs 1-10'!C9, "")</f>
        <v/>
      </c>
      <c r="D8" s="100" t="str">
        <f>IF('Yearly O&amp;M Costs 1-10'!D9&lt;&gt;"", 'Yearly O&amp;M Costs 1-10'!D9, "")</f>
        <v/>
      </c>
      <c r="E8" s="34" t="str">
        <f t="shared" ref="E8:N17" si="0">IF($A8&lt;&gt;"", (($B8*$D8)*((1+$B$5)^E$7)*(1/((1+$N$5)^E$7))), "")</f>
        <v/>
      </c>
      <c r="F8" s="34" t="str">
        <f t="shared" si="0"/>
        <v/>
      </c>
      <c r="G8" s="34" t="str">
        <f t="shared" si="0"/>
        <v/>
      </c>
      <c r="H8" s="34" t="str">
        <f t="shared" si="0"/>
        <v/>
      </c>
      <c r="I8" s="34" t="str">
        <f t="shared" si="0"/>
        <v/>
      </c>
      <c r="J8" s="34" t="str">
        <f t="shared" si="0"/>
        <v/>
      </c>
      <c r="K8" s="34" t="str">
        <f t="shared" si="0"/>
        <v/>
      </c>
      <c r="L8" s="34" t="str">
        <f t="shared" si="0"/>
        <v/>
      </c>
      <c r="M8" s="34" t="str">
        <f t="shared" si="0"/>
        <v/>
      </c>
      <c r="N8" s="35" t="str">
        <f t="shared" si="0"/>
        <v/>
      </c>
    </row>
    <row r="9" spans="1:14">
      <c r="A9" s="98" t="str">
        <f>IF('Yearly O&amp;M Costs 1-10'!A10&lt;&gt;"", 'Yearly O&amp;M Costs 1-10'!A10, "")</f>
        <v/>
      </c>
      <c r="B9" s="99" t="str">
        <f>IF('Yearly O&amp;M Costs 1-10'!B10&lt;&gt;"", 'Yearly O&amp;M Costs 1-10'!B10, "")</f>
        <v/>
      </c>
      <c r="C9" s="98" t="str">
        <f>IF('Yearly O&amp;M Costs 1-10'!C10&lt;&gt;"", 'Yearly O&amp;M Costs 1-10'!C10, "")</f>
        <v/>
      </c>
      <c r="D9" s="100" t="str">
        <f>IF('Yearly O&amp;M Costs 1-10'!D10&lt;&gt;"", 'Yearly O&amp;M Costs 1-10'!D10, "")</f>
        <v/>
      </c>
      <c r="E9" s="34" t="str">
        <f t="shared" si="0"/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8" t="str">
        <f>IF('Yearly O&amp;M Costs 1-10'!A11&lt;&gt;"", 'Yearly O&amp;M Costs 1-10'!A11, "")</f>
        <v/>
      </c>
      <c r="B10" s="99" t="str">
        <f>IF('Yearly O&amp;M Costs 1-10'!B11&lt;&gt;"", 'Yearly O&amp;M Costs 1-10'!B11, "")</f>
        <v/>
      </c>
      <c r="C10" s="98" t="str">
        <f>IF('Yearly O&amp;M Costs 1-10'!C11&lt;&gt;"", 'Yearly O&amp;M Costs 1-10'!C11, "")</f>
        <v/>
      </c>
      <c r="D10" s="100" t="str">
        <f>IF('Yearly O&amp;M Costs 1-10'!D11&lt;&gt;"", 'Yearly O&amp;M Costs 1-10'!D11, "")</f>
        <v/>
      </c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8" t="str">
        <f>IF('Yearly O&amp;M Costs 1-10'!A12&lt;&gt;"", 'Yearly O&amp;M Costs 1-10'!A12, "")</f>
        <v/>
      </c>
      <c r="B11" s="99" t="str">
        <f>IF('Yearly O&amp;M Costs 1-10'!B12&lt;&gt;"", 'Yearly O&amp;M Costs 1-10'!B12, "")</f>
        <v/>
      </c>
      <c r="C11" s="98" t="str">
        <f>IF('Yearly O&amp;M Costs 1-10'!C12&lt;&gt;"", 'Yearly O&amp;M Costs 1-10'!C12, "")</f>
        <v/>
      </c>
      <c r="D11" s="100" t="str">
        <f>IF('Yearly O&amp;M Costs 1-10'!D12&lt;&gt;"", 'Yearly O&amp;M Costs 1-10'!D12, "")</f>
        <v/>
      </c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8" t="str">
        <f>IF('Yearly O&amp;M Costs 1-10'!A13&lt;&gt;"", 'Yearly O&amp;M Costs 1-10'!A13, "")</f>
        <v/>
      </c>
      <c r="B12" s="99" t="str">
        <f>IF('Yearly O&amp;M Costs 1-10'!B13&lt;&gt;"", 'Yearly O&amp;M Costs 1-10'!B13, "")</f>
        <v/>
      </c>
      <c r="C12" s="98" t="str">
        <f>IF('Yearly O&amp;M Costs 1-10'!C13&lt;&gt;"", 'Yearly O&amp;M Costs 1-10'!C13, "")</f>
        <v/>
      </c>
      <c r="D12" s="100" t="str">
        <f>IF('Yearly O&amp;M Costs 1-10'!D13&lt;&gt;"", 'Yearly O&amp;M Costs 1-10'!D13, "")</f>
        <v/>
      </c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8" t="str">
        <f>IF('Yearly O&amp;M Costs 1-10'!A14&lt;&gt;"", 'Yearly O&amp;M Costs 1-10'!A14, "")</f>
        <v/>
      </c>
      <c r="B13" s="99" t="str">
        <f>IF('Yearly O&amp;M Costs 1-10'!B14&lt;&gt;"", 'Yearly O&amp;M Costs 1-10'!B14, "")</f>
        <v/>
      </c>
      <c r="C13" s="98" t="str">
        <f>IF('Yearly O&amp;M Costs 1-10'!C14&lt;&gt;"", 'Yearly O&amp;M Costs 1-10'!C14, "")</f>
        <v/>
      </c>
      <c r="D13" s="100" t="str">
        <f>IF('Yearly O&amp;M Costs 1-10'!D14&lt;&gt;"", 'Yearly O&amp;M Costs 1-10'!D14, "")</f>
        <v/>
      </c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8" t="str">
        <f>IF('Yearly O&amp;M Costs 1-10'!A15&lt;&gt;"", 'Yearly O&amp;M Costs 1-10'!A15, "")</f>
        <v/>
      </c>
      <c r="B14" s="99" t="str">
        <f>IF('Yearly O&amp;M Costs 1-10'!B15&lt;&gt;"", 'Yearly O&amp;M Costs 1-10'!B15, "")</f>
        <v/>
      </c>
      <c r="C14" s="98" t="str">
        <f>IF('Yearly O&amp;M Costs 1-10'!C15&lt;&gt;"", 'Yearly O&amp;M Costs 1-10'!C15, "")</f>
        <v/>
      </c>
      <c r="D14" s="100" t="str">
        <f>IF('Yearly O&amp;M Costs 1-10'!D15&lt;&gt;"", 'Yearly O&amp;M Costs 1-10'!D15, "")</f>
        <v/>
      </c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8" t="str">
        <f>IF('Yearly O&amp;M Costs 1-10'!A16&lt;&gt;"", 'Yearly O&amp;M Costs 1-10'!A16, "")</f>
        <v/>
      </c>
      <c r="B15" s="99" t="str">
        <f>IF('Yearly O&amp;M Costs 1-10'!B16&lt;&gt;"", 'Yearly O&amp;M Costs 1-10'!B16, "")</f>
        <v/>
      </c>
      <c r="C15" s="98" t="str">
        <f>IF('Yearly O&amp;M Costs 1-10'!C16&lt;&gt;"", 'Yearly O&amp;M Costs 1-10'!C16, "")</f>
        <v/>
      </c>
      <c r="D15" s="100" t="str">
        <f>IF('Yearly O&amp;M Costs 1-10'!D16&lt;&gt;"", 'Yearly O&amp;M Costs 1-10'!D16, "")</f>
        <v/>
      </c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8" t="str">
        <f>IF('Yearly O&amp;M Costs 1-10'!A17&lt;&gt;"", 'Yearly O&amp;M Costs 1-10'!A17, "")</f>
        <v/>
      </c>
      <c r="B16" s="99" t="str">
        <f>IF('Yearly O&amp;M Costs 1-10'!B17&lt;&gt;"", 'Yearly O&amp;M Costs 1-10'!B17, "")</f>
        <v/>
      </c>
      <c r="C16" s="98" t="str">
        <f>IF('Yearly O&amp;M Costs 1-10'!C17&lt;&gt;"", 'Yearly O&amp;M Costs 1-10'!C17, "")</f>
        <v/>
      </c>
      <c r="D16" s="100" t="str">
        <f>IF('Yearly O&amp;M Costs 1-10'!D17&lt;&gt;"", 'Yearly O&amp;M Costs 1-10'!D17, "")</f>
        <v/>
      </c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8" t="str">
        <f>IF('Yearly O&amp;M Costs 1-10'!A18&lt;&gt;"", 'Yearly O&amp;M Costs 1-10'!A18, "")</f>
        <v/>
      </c>
      <c r="B17" s="99" t="str">
        <f>IF('Yearly O&amp;M Costs 1-10'!B18&lt;&gt;"", 'Yearly O&amp;M Costs 1-10'!B18, "")</f>
        <v/>
      </c>
      <c r="C17" s="98" t="str">
        <f>IF('Yearly O&amp;M Costs 1-10'!C18&lt;&gt;"", 'Yearly O&amp;M Costs 1-10'!C18, "")</f>
        <v/>
      </c>
      <c r="D17" s="100" t="str">
        <f>IF('Yearly O&amp;M Costs 1-10'!D18&lt;&gt;"", 'Yearly O&amp;M Costs 1-10'!D18, "")</f>
        <v/>
      </c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8" t="str">
        <f>IF('Yearly O&amp;M Costs 1-10'!A19&lt;&gt;"", 'Yearly O&amp;M Costs 1-10'!A19, "")</f>
        <v/>
      </c>
      <c r="B18" s="99" t="str">
        <f>IF('Yearly O&amp;M Costs 1-10'!B19&lt;&gt;"", 'Yearly O&amp;M Costs 1-10'!B19, "")</f>
        <v/>
      </c>
      <c r="C18" s="98" t="str">
        <f>IF('Yearly O&amp;M Costs 1-10'!C19&lt;&gt;"", 'Yearly O&amp;M Costs 1-10'!C19, "")</f>
        <v/>
      </c>
      <c r="D18" s="100" t="str">
        <f>IF('Yearly O&amp;M Costs 1-10'!D19&lt;&gt;"", 'Yearly O&amp;M Costs 1-10'!D19, "")</f>
        <v/>
      </c>
      <c r="E18" s="34" t="str">
        <f t="shared" ref="E18:N30" si="1">IF($A18&lt;&gt;"", (($B18*$D18)*((1+$B$5)^E$7)*(1/((1+$N$5)^E$7))), "")</f>
        <v/>
      </c>
      <c r="F18" s="34" t="str">
        <f t="shared" si="1"/>
        <v/>
      </c>
      <c r="G18" s="34" t="str">
        <f t="shared" si="1"/>
        <v/>
      </c>
      <c r="H18" s="34" t="str">
        <f t="shared" si="1"/>
        <v/>
      </c>
      <c r="I18" s="34" t="str">
        <f t="shared" si="1"/>
        <v/>
      </c>
      <c r="J18" s="34" t="str">
        <f t="shared" si="1"/>
        <v/>
      </c>
      <c r="K18" s="34" t="str">
        <f t="shared" si="1"/>
        <v/>
      </c>
      <c r="L18" s="34" t="str">
        <f t="shared" si="1"/>
        <v/>
      </c>
      <c r="M18" s="34" t="str">
        <f t="shared" si="1"/>
        <v/>
      </c>
      <c r="N18" s="35" t="str">
        <f t="shared" si="1"/>
        <v/>
      </c>
    </row>
    <row r="19" spans="1:14">
      <c r="A19" s="98" t="str">
        <f>IF('Yearly O&amp;M Costs 1-10'!A20&lt;&gt;"", 'Yearly O&amp;M Costs 1-10'!A20, "")</f>
        <v/>
      </c>
      <c r="B19" s="99" t="str">
        <f>IF('Yearly O&amp;M Costs 1-10'!B20&lt;&gt;"", 'Yearly O&amp;M Costs 1-10'!B20, "")</f>
        <v/>
      </c>
      <c r="C19" s="98" t="str">
        <f>IF('Yearly O&amp;M Costs 1-10'!C20&lt;&gt;"", 'Yearly O&amp;M Costs 1-10'!C20, "")</f>
        <v/>
      </c>
      <c r="D19" s="100" t="str">
        <f>IF('Yearly O&amp;M Costs 1-10'!D20&lt;&gt;"", 'Yearly O&amp;M Costs 1-10'!D20, "")</f>
        <v/>
      </c>
      <c r="E19" s="34" t="str">
        <f t="shared" si="1"/>
        <v/>
      </c>
      <c r="F19" s="34" t="str">
        <f t="shared" si="1"/>
        <v/>
      </c>
      <c r="G19" s="34" t="str">
        <f t="shared" si="1"/>
        <v/>
      </c>
      <c r="H19" s="34" t="str">
        <f t="shared" si="1"/>
        <v/>
      </c>
      <c r="I19" s="34" t="str">
        <f t="shared" si="1"/>
        <v/>
      </c>
      <c r="J19" s="34" t="str">
        <f t="shared" si="1"/>
        <v/>
      </c>
      <c r="K19" s="34" t="str">
        <f t="shared" si="1"/>
        <v/>
      </c>
      <c r="L19" s="34" t="str">
        <f t="shared" si="1"/>
        <v/>
      </c>
      <c r="M19" s="34" t="str">
        <f t="shared" si="1"/>
        <v/>
      </c>
      <c r="N19" s="35" t="str">
        <f t="shared" si="1"/>
        <v/>
      </c>
    </row>
    <row r="20" spans="1:14">
      <c r="A20" s="98" t="str">
        <f>IF('Yearly O&amp;M Costs 1-10'!A21&lt;&gt;"", 'Yearly O&amp;M Costs 1-10'!A21, "")</f>
        <v/>
      </c>
      <c r="B20" s="99" t="str">
        <f>IF('Yearly O&amp;M Costs 1-10'!B21&lt;&gt;"", 'Yearly O&amp;M Costs 1-10'!B21, "")</f>
        <v/>
      </c>
      <c r="C20" s="98" t="str">
        <f>IF('Yearly O&amp;M Costs 1-10'!C21&lt;&gt;"", 'Yearly O&amp;M Costs 1-10'!C21, "")</f>
        <v/>
      </c>
      <c r="D20" s="100" t="str">
        <f>IF('Yearly O&amp;M Costs 1-10'!D21&lt;&gt;"", 'Yearly O&amp;M Costs 1-10'!D21, "")</f>
        <v/>
      </c>
      <c r="E20" s="34" t="str">
        <f t="shared" si="1"/>
        <v/>
      </c>
      <c r="F20" s="34" t="str">
        <f t="shared" si="1"/>
        <v/>
      </c>
      <c r="G20" s="34" t="str">
        <f t="shared" si="1"/>
        <v/>
      </c>
      <c r="H20" s="34" t="str">
        <f t="shared" si="1"/>
        <v/>
      </c>
      <c r="I20" s="34" t="str">
        <f t="shared" si="1"/>
        <v/>
      </c>
      <c r="J20" s="34" t="str">
        <f t="shared" si="1"/>
        <v/>
      </c>
      <c r="K20" s="34" t="str">
        <f t="shared" si="1"/>
        <v/>
      </c>
      <c r="L20" s="34" t="str">
        <f t="shared" si="1"/>
        <v/>
      </c>
      <c r="M20" s="34" t="str">
        <f t="shared" si="1"/>
        <v/>
      </c>
      <c r="N20" s="35" t="str">
        <f t="shared" si="1"/>
        <v/>
      </c>
    </row>
    <row r="21" spans="1:14">
      <c r="A21" s="98" t="str">
        <f>IF('Yearly O&amp;M Costs 1-10'!A22&lt;&gt;"", 'Yearly O&amp;M Costs 1-10'!A22, "")</f>
        <v/>
      </c>
      <c r="B21" s="99" t="str">
        <f>IF('Yearly O&amp;M Costs 1-10'!B22&lt;&gt;"", 'Yearly O&amp;M Costs 1-10'!B22, "")</f>
        <v/>
      </c>
      <c r="C21" s="98" t="str">
        <f>IF('Yearly O&amp;M Costs 1-10'!C22&lt;&gt;"", 'Yearly O&amp;M Costs 1-10'!C22, "")</f>
        <v/>
      </c>
      <c r="D21" s="100" t="str">
        <f>IF('Yearly O&amp;M Costs 1-10'!D22&lt;&gt;"", 'Yearly O&amp;M Costs 1-10'!D22, "")</f>
        <v/>
      </c>
      <c r="E21" s="34" t="str">
        <f t="shared" si="1"/>
        <v/>
      </c>
      <c r="F21" s="34" t="str">
        <f t="shared" si="1"/>
        <v/>
      </c>
      <c r="G21" s="34" t="str">
        <f t="shared" si="1"/>
        <v/>
      </c>
      <c r="H21" s="34" t="str">
        <f t="shared" si="1"/>
        <v/>
      </c>
      <c r="I21" s="34" t="str">
        <f t="shared" si="1"/>
        <v/>
      </c>
      <c r="J21" s="34" t="str">
        <f t="shared" si="1"/>
        <v/>
      </c>
      <c r="K21" s="34" t="str">
        <f t="shared" si="1"/>
        <v/>
      </c>
      <c r="L21" s="34" t="str">
        <f t="shared" si="1"/>
        <v/>
      </c>
      <c r="M21" s="34" t="str">
        <f t="shared" si="1"/>
        <v/>
      </c>
      <c r="N21" s="35" t="str">
        <f t="shared" si="1"/>
        <v/>
      </c>
    </row>
    <row r="22" spans="1:14">
      <c r="A22" s="98" t="str">
        <f>IF('Yearly O&amp;M Costs 1-10'!A23&lt;&gt;"", 'Yearly O&amp;M Costs 1-10'!A23, "")</f>
        <v/>
      </c>
      <c r="B22" s="99" t="str">
        <f>IF('Yearly O&amp;M Costs 1-10'!B23&lt;&gt;"", 'Yearly O&amp;M Costs 1-10'!B23, "")</f>
        <v/>
      </c>
      <c r="C22" s="98" t="str">
        <f>IF('Yearly O&amp;M Costs 1-10'!C23&lt;&gt;"", 'Yearly O&amp;M Costs 1-10'!C23, "")</f>
        <v/>
      </c>
      <c r="D22" s="100" t="str">
        <f>IF('Yearly O&amp;M Costs 1-10'!D23&lt;&gt;"", 'Yearly O&amp;M Costs 1-10'!D23, "")</f>
        <v/>
      </c>
      <c r="E22" s="34" t="str">
        <f t="shared" si="1"/>
        <v/>
      </c>
      <c r="F22" s="34" t="str">
        <f t="shared" si="1"/>
        <v/>
      </c>
      <c r="G22" s="34" t="str">
        <f t="shared" si="1"/>
        <v/>
      </c>
      <c r="H22" s="34" t="str">
        <f t="shared" si="1"/>
        <v/>
      </c>
      <c r="I22" s="34" t="str">
        <f t="shared" si="1"/>
        <v/>
      </c>
      <c r="J22" s="34" t="str">
        <f t="shared" si="1"/>
        <v/>
      </c>
      <c r="K22" s="34" t="str">
        <f t="shared" si="1"/>
        <v/>
      </c>
      <c r="L22" s="34" t="str">
        <f t="shared" si="1"/>
        <v/>
      </c>
      <c r="M22" s="34" t="str">
        <f t="shared" si="1"/>
        <v/>
      </c>
      <c r="N22" s="35" t="str">
        <f t="shared" si="1"/>
        <v/>
      </c>
    </row>
    <row r="23" spans="1:14">
      <c r="A23" s="98" t="str">
        <f>IF('Yearly O&amp;M Costs 1-10'!A24&lt;&gt;"", 'Yearly O&amp;M Costs 1-10'!A24, "")</f>
        <v/>
      </c>
      <c r="B23" s="99" t="str">
        <f>IF('Yearly O&amp;M Costs 1-10'!B24&lt;&gt;"", 'Yearly O&amp;M Costs 1-10'!B24, "")</f>
        <v/>
      </c>
      <c r="C23" s="98" t="str">
        <f>IF('Yearly O&amp;M Costs 1-10'!C24&lt;&gt;"", 'Yearly O&amp;M Costs 1-10'!C24, "")</f>
        <v/>
      </c>
      <c r="D23" s="100" t="str">
        <f>IF('Yearly O&amp;M Costs 1-10'!D24&lt;&gt;"", 'Yearly O&amp;M Costs 1-10'!D24, "")</f>
        <v/>
      </c>
      <c r="E23" s="34" t="str">
        <f t="shared" si="1"/>
        <v/>
      </c>
      <c r="F23" s="34" t="str">
        <f t="shared" si="1"/>
        <v/>
      </c>
      <c r="G23" s="34" t="str">
        <f t="shared" si="1"/>
        <v/>
      </c>
      <c r="H23" s="34" t="str">
        <f t="shared" si="1"/>
        <v/>
      </c>
      <c r="I23" s="34" t="str">
        <f t="shared" si="1"/>
        <v/>
      </c>
      <c r="J23" s="34" t="str">
        <f t="shared" si="1"/>
        <v/>
      </c>
      <c r="K23" s="34" t="str">
        <f t="shared" si="1"/>
        <v/>
      </c>
      <c r="L23" s="34" t="str">
        <f t="shared" si="1"/>
        <v/>
      </c>
      <c r="M23" s="34" t="str">
        <f t="shared" si="1"/>
        <v/>
      </c>
      <c r="N23" s="35" t="str">
        <f t="shared" si="1"/>
        <v/>
      </c>
    </row>
    <row r="24" spans="1:14">
      <c r="A24" s="98" t="str">
        <f>IF('Yearly O&amp;M Costs 1-10'!A25&lt;&gt;"", 'Yearly O&amp;M Costs 1-10'!A25, "")</f>
        <v/>
      </c>
      <c r="B24" s="99" t="str">
        <f>IF('Yearly O&amp;M Costs 1-10'!B25&lt;&gt;"", 'Yearly O&amp;M Costs 1-10'!B25, "")</f>
        <v/>
      </c>
      <c r="C24" s="98" t="str">
        <f>IF('Yearly O&amp;M Costs 1-10'!C25&lt;&gt;"", 'Yearly O&amp;M Costs 1-10'!C25, "")</f>
        <v/>
      </c>
      <c r="D24" s="100" t="str">
        <f>IF('Yearly O&amp;M Costs 1-10'!D25&lt;&gt;"", 'Yearly O&amp;M Costs 1-10'!D25, "")</f>
        <v/>
      </c>
      <c r="E24" s="34" t="str">
        <f t="shared" si="1"/>
        <v/>
      </c>
      <c r="F24" s="34" t="str">
        <f t="shared" si="1"/>
        <v/>
      </c>
      <c r="G24" s="34" t="str">
        <f t="shared" si="1"/>
        <v/>
      </c>
      <c r="H24" s="34" t="str">
        <f t="shared" si="1"/>
        <v/>
      </c>
      <c r="I24" s="34" t="str">
        <f t="shared" si="1"/>
        <v/>
      </c>
      <c r="J24" s="34" t="str">
        <f t="shared" si="1"/>
        <v/>
      </c>
      <c r="K24" s="34" t="str">
        <f t="shared" si="1"/>
        <v/>
      </c>
      <c r="L24" s="34" t="str">
        <f t="shared" si="1"/>
        <v/>
      </c>
      <c r="M24" s="34" t="str">
        <f t="shared" si="1"/>
        <v/>
      </c>
      <c r="N24" s="35" t="str">
        <f t="shared" si="1"/>
        <v/>
      </c>
    </row>
    <row r="25" spans="1:14">
      <c r="A25" s="98" t="str">
        <f>IF('Yearly O&amp;M Costs 1-10'!A26&lt;&gt;"", 'Yearly O&amp;M Costs 1-10'!A26, "")</f>
        <v/>
      </c>
      <c r="B25" s="99" t="str">
        <f>IF('Yearly O&amp;M Costs 1-10'!B26&lt;&gt;"", 'Yearly O&amp;M Costs 1-10'!B26, "")</f>
        <v/>
      </c>
      <c r="C25" s="98" t="str">
        <f>IF('Yearly O&amp;M Costs 1-10'!C26&lt;&gt;"", 'Yearly O&amp;M Costs 1-10'!C26, "")</f>
        <v/>
      </c>
      <c r="D25" s="100" t="str">
        <f>IF('Yearly O&amp;M Costs 1-10'!D26&lt;&gt;"", 'Yearly O&amp;M Costs 1-10'!D26, "")</f>
        <v/>
      </c>
      <c r="E25" s="34" t="str">
        <f t="shared" si="1"/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8" t="str">
        <f>IF('Yearly O&amp;M Costs 1-10'!A27&lt;&gt;"", 'Yearly O&amp;M Costs 1-10'!A27, "")</f>
        <v/>
      </c>
      <c r="B26" s="99" t="str">
        <f>IF('Yearly O&amp;M Costs 1-10'!B27&lt;&gt;"", 'Yearly O&amp;M Costs 1-10'!B27, "")</f>
        <v/>
      </c>
      <c r="C26" s="98" t="str">
        <f>IF('Yearly O&amp;M Costs 1-10'!C27&lt;&gt;"", 'Yearly O&amp;M Costs 1-10'!C27, "")</f>
        <v/>
      </c>
      <c r="D26" s="100" t="str">
        <f>IF('Yearly O&amp;M Costs 1-10'!D27&lt;&gt;"", 'Yearly O&amp;M Costs 1-10'!D27, "")</f>
        <v/>
      </c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8" t="str">
        <f>IF('Yearly O&amp;M Costs 1-10'!A28&lt;&gt;"", 'Yearly O&amp;M Costs 1-10'!A28, "")</f>
        <v/>
      </c>
      <c r="B27" s="99" t="str">
        <f>IF('Yearly O&amp;M Costs 1-10'!B28&lt;&gt;"", 'Yearly O&amp;M Costs 1-10'!B28, "")</f>
        <v/>
      </c>
      <c r="C27" s="98" t="str">
        <f>IF('Yearly O&amp;M Costs 1-10'!C28&lt;&gt;"", 'Yearly O&amp;M Costs 1-10'!C28, "")</f>
        <v/>
      </c>
      <c r="D27" s="100" t="str">
        <f>IF('Yearly O&amp;M Costs 1-10'!D28&lt;&gt;"", 'Yearly O&amp;M Costs 1-10'!D28, "")</f>
        <v/>
      </c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8" t="str">
        <f>IF('Yearly O&amp;M Costs 1-10'!A29&lt;&gt;"", 'Yearly O&amp;M Costs 1-10'!A29, "")</f>
        <v/>
      </c>
      <c r="B28" s="99" t="str">
        <f>IF('Yearly O&amp;M Costs 1-10'!B29&lt;&gt;"", 'Yearly O&amp;M Costs 1-10'!B29, "")</f>
        <v/>
      </c>
      <c r="C28" s="98" t="str">
        <f>IF('Yearly O&amp;M Costs 1-10'!C29&lt;&gt;"", 'Yearly O&amp;M Costs 1-10'!C29, "")</f>
        <v/>
      </c>
      <c r="D28" s="100" t="str">
        <f>IF('Yearly O&amp;M Costs 1-10'!D29&lt;&gt;"", 'Yearly O&amp;M Costs 1-10'!D29, "")</f>
        <v/>
      </c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8" t="str">
        <f>IF('Yearly O&amp;M Costs 1-10'!A30&lt;&gt;"", 'Yearly O&amp;M Costs 1-10'!A30, "")</f>
        <v/>
      </c>
      <c r="B29" s="99" t="str">
        <f>IF('Yearly O&amp;M Costs 1-10'!B30&lt;&gt;"", 'Yearly O&amp;M Costs 1-10'!B30, "")</f>
        <v/>
      </c>
      <c r="C29" s="98" t="str">
        <f>IF('Yearly O&amp;M Costs 1-10'!C30&lt;&gt;"", 'Yearly O&amp;M Costs 1-10'!C30, "")</f>
        <v/>
      </c>
      <c r="D29" s="100" t="str">
        <f>IF('Yearly O&amp;M Costs 1-10'!D30&lt;&gt;"", 'Yearly O&amp;M Costs 1-10'!D30, "")</f>
        <v/>
      </c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8" t="str">
        <f>IF('Yearly O&amp;M Costs 1-10'!A31&lt;&gt;"", 'Yearly O&amp;M Costs 1-10'!A31, "")</f>
        <v/>
      </c>
      <c r="B30" s="99" t="str">
        <f>IF('Yearly O&amp;M Costs 1-10'!B31&lt;&gt;"", 'Yearly O&amp;M Costs 1-10'!B31, "")</f>
        <v/>
      </c>
      <c r="C30" s="98" t="str">
        <f>IF('Yearly O&amp;M Costs 1-10'!C31&lt;&gt;"", 'Yearly O&amp;M Costs 1-10'!C31, "")</f>
        <v/>
      </c>
      <c r="D30" s="100" t="str">
        <f>IF('Yearly O&amp;M Costs 1-10'!D31&lt;&gt;"", 'Yearly O&amp;M Costs 1-10'!D31, "")</f>
        <v/>
      </c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"/>
      <c r="B31" s="23"/>
      <c r="C31" s="23"/>
      <c r="D31" s="37" t="s">
        <v>55</v>
      </c>
      <c r="E31" s="28">
        <f>SUM(E8:E30)</f>
        <v>0</v>
      </c>
      <c r="F31" s="28">
        <f t="shared" ref="F31:N31" si="2">SUM(F8:F30)</f>
        <v>0</v>
      </c>
      <c r="G31" s="28">
        <f t="shared" si="2"/>
        <v>0</v>
      </c>
      <c r="H31" s="28">
        <f t="shared" si="2"/>
        <v>0</v>
      </c>
      <c r="I31" s="28">
        <f t="shared" si="2"/>
        <v>0</v>
      </c>
      <c r="J31" s="28">
        <f t="shared" si="2"/>
        <v>0</v>
      </c>
      <c r="K31" s="28">
        <f t="shared" si="2"/>
        <v>0</v>
      </c>
      <c r="L31" s="28">
        <f t="shared" si="2"/>
        <v>0</v>
      </c>
      <c r="M31" s="28">
        <f t="shared" si="2"/>
        <v>0</v>
      </c>
      <c r="N31" s="28">
        <f t="shared" si="2"/>
        <v>0</v>
      </c>
    </row>
    <row r="32" spans="1:14">
      <c r="M32" s="2" t="s">
        <v>56</v>
      </c>
      <c r="N32" s="28">
        <f>'Yearly O&amp;M Costs 1-10'!E32+'Yearly O&amp;M Costs 1-10'!F32+'Yearly O&amp;M Costs 1-10'!G32+'Yearly O&amp;M Costs 1-10'!H32+'Yearly O&amp;M Costs 1-10'!I32+'Yearly O&amp;M Costs 1-10'!J32+'Yearly O&amp;M Costs 1-10'!K32+'Yearly O&amp;M Costs 1-10'!L32+'Yearly O&amp;M Costs 1-10'!M32+'Yearly O&amp;M Costs 1-10'!N32+'Yearly O&amp;M Costs 11-20'!E31+'Yearly O&amp;M Costs 11-20'!F31+'Yearly O&amp;M Costs 11-20'!G31+'Yearly O&amp;M Costs 11-20'!H31+'Yearly O&amp;M Costs 11-20'!I31+'Yearly O&amp;M Costs 11-20'!J31+'Yearly O&amp;M Costs 11-20'!K31+'Yearly O&amp;M Costs 11-20'!L31+'Yearly O&amp;M Costs 11-20'!M31+'Yearly O&amp;M Costs 11-20'!N31</f>
        <v>0</v>
      </c>
    </row>
    <row r="34" spans="1:2" hidden="1">
      <c r="A34" s="6" t="s">
        <v>7</v>
      </c>
      <c r="B34" s="33">
        <v>4.8750000000000002E-2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5" bottom="0.5" header="0.3" footer="0.3"/>
  <pageSetup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20"/>
  <sheetViews>
    <sheetView zoomScaleNormal="100" workbookViewId="0">
      <pane xSplit="4" ySplit="8" topLeftCell="S9" activePane="bottomRight" state="frozen"/>
      <selection pane="topRight" activeCell="E1" sqref="E1"/>
      <selection pane="bottomLeft" activeCell="A8" sqref="A8"/>
      <selection pane="bottomRight" activeCell="A9" sqref="A9:AB12"/>
    </sheetView>
  </sheetViews>
  <sheetFormatPr defaultRowHeight="15.75"/>
  <cols>
    <col min="1" max="1" width="38.42578125" style="1" customWidth="1"/>
    <col min="2" max="4" width="12.7109375" style="1" customWidth="1"/>
    <col min="5" max="5" width="13.28515625" style="1" hidden="1" customWidth="1"/>
    <col min="6" max="6" width="13.5703125" style="1" hidden="1" customWidth="1"/>
    <col min="7" max="7" width="13.85546875" style="1" hidden="1" customWidth="1"/>
    <col min="8" max="8" width="13.7109375" style="1" hidden="1" customWidth="1"/>
    <col min="9" max="28" width="8.7109375" style="1" customWidth="1"/>
    <col min="29" max="16384" width="9.140625" style="1"/>
  </cols>
  <sheetData>
    <row r="1" spans="1:28">
      <c r="A1" s="150" t="s">
        <v>66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3" spans="1:28">
      <c r="A3" s="2" t="s">
        <v>3</v>
      </c>
      <c r="B3" s="149">
        <f>'Capital Costs'!B6</f>
        <v>0</v>
      </c>
      <c r="C3" s="149"/>
      <c r="D3" s="149"/>
      <c r="E3" s="149"/>
      <c r="F3" s="149"/>
      <c r="G3" s="149"/>
      <c r="H3" s="149"/>
      <c r="I3" s="149"/>
      <c r="J3" s="149"/>
    </row>
    <row r="5" spans="1:28">
      <c r="A5" s="7" t="s">
        <v>42</v>
      </c>
      <c r="B5" s="7"/>
      <c r="C5" s="7"/>
      <c r="D5" s="7"/>
      <c r="E5" s="7"/>
      <c r="F5" s="7"/>
      <c r="G5" s="7"/>
      <c r="H5" s="7"/>
    </row>
    <row r="7" spans="1:28">
      <c r="A7" s="14"/>
      <c r="B7" s="15"/>
      <c r="C7" s="15"/>
      <c r="D7" s="15"/>
      <c r="E7" s="32"/>
      <c r="F7" s="32"/>
      <c r="G7" s="32"/>
      <c r="H7" s="32"/>
      <c r="I7" s="147" t="s">
        <v>68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8"/>
    </row>
    <row r="8" spans="1:28" ht="62.25" customHeight="1">
      <c r="A8" s="79" t="s">
        <v>4</v>
      </c>
      <c r="B8" s="77" t="s">
        <v>0</v>
      </c>
      <c r="C8" s="77" t="s">
        <v>5</v>
      </c>
      <c r="D8" s="77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77">
        <v>1</v>
      </c>
      <c r="J8" s="77">
        <v>2</v>
      </c>
      <c r="K8" s="77">
        <v>3</v>
      </c>
      <c r="L8" s="77">
        <v>4</v>
      </c>
      <c r="M8" s="77">
        <v>5</v>
      </c>
      <c r="N8" s="77">
        <v>6</v>
      </c>
      <c r="O8" s="77">
        <v>7</v>
      </c>
      <c r="P8" s="77">
        <v>8</v>
      </c>
      <c r="Q8" s="77">
        <v>9</v>
      </c>
      <c r="R8" s="77">
        <v>10</v>
      </c>
      <c r="S8" s="77">
        <v>11</v>
      </c>
      <c r="T8" s="77">
        <v>12</v>
      </c>
      <c r="U8" s="77">
        <v>13</v>
      </c>
      <c r="V8" s="77">
        <v>14</v>
      </c>
      <c r="W8" s="77">
        <v>15</v>
      </c>
      <c r="X8" s="77">
        <v>16</v>
      </c>
      <c r="Y8" s="77">
        <v>17</v>
      </c>
      <c r="Z8" s="77">
        <v>18</v>
      </c>
      <c r="AA8" s="77">
        <v>19</v>
      </c>
      <c r="AB8" s="78">
        <v>20</v>
      </c>
    </row>
    <row r="9" spans="1:28">
      <c r="A9" s="103"/>
      <c r="B9" s="104"/>
      <c r="C9" s="103"/>
      <c r="D9" s="111"/>
      <c r="E9" s="102"/>
      <c r="F9" s="102"/>
      <c r="G9" s="102"/>
      <c r="H9" s="102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8"/>
    </row>
    <row r="10" spans="1:28">
      <c r="A10" s="103"/>
      <c r="B10" s="104"/>
      <c r="C10" s="103"/>
      <c r="D10" s="111"/>
      <c r="E10" s="102"/>
      <c r="F10" s="102"/>
      <c r="G10" s="102"/>
      <c r="H10" s="102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8"/>
    </row>
    <row r="11" spans="1:28">
      <c r="A11" s="103"/>
      <c r="B11" s="104"/>
      <c r="C11" s="103"/>
      <c r="D11" s="111"/>
      <c r="E11" s="102"/>
      <c r="F11" s="102"/>
      <c r="G11" s="102"/>
      <c r="H11" s="102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8"/>
    </row>
    <row r="12" spans="1:28">
      <c r="A12" s="103"/>
      <c r="B12" s="110"/>
      <c r="C12" s="103"/>
      <c r="D12" s="111"/>
      <c r="E12" s="102"/>
      <c r="F12" s="102"/>
      <c r="G12" s="102"/>
      <c r="H12" s="102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8"/>
    </row>
    <row r="13" spans="1:28">
      <c r="A13" s="103"/>
      <c r="B13" s="104"/>
      <c r="C13" s="103"/>
      <c r="D13" s="111"/>
      <c r="E13" s="102"/>
      <c r="F13" s="102"/>
      <c r="G13" s="102"/>
      <c r="H13" s="102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8"/>
    </row>
    <row r="14" spans="1:28">
      <c r="A14" s="103"/>
      <c r="B14" s="104"/>
      <c r="C14" s="103"/>
      <c r="D14" s="111"/>
      <c r="E14" s="102"/>
      <c r="F14" s="102"/>
      <c r="G14" s="102"/>
      <c r="H14" s="102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8"/>
    </row>
    <row r="15" spans="1:28">
      <c r="A15" s="103"/>
      <c r="B15" s="104"/>
      <c r="C15" s="103"/>
      <c r="D15" s="111"/>
      <c r="E15" s="102"/>
      <c r="F15" s="102"/>
      <c r="G15" s="102"/>
      <c r="H15" s="102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8"/>
    </row>
    <row r="16" spans="1:28">
      <c r="A16" s="103"/>
      <c r="B16" s="104"/>
      <c r="C16" s="103"/>
      <c r="D16" s="111"/>
      <c r="E16" s="102"/>
      <c r="F16" s="102"/>
      <c r="G16" s="102"/>
      <c r="H16" s="102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8"/>
    </row>
    <row r="17" spans="1:28">
      <c r="A17" s="103"/>
      <c r="B17" s="104"/>
      <c r="C17" s="103"/>
      <c r="D17" s="111"/>
      <c r="E17" s="102"/>
      <c r="F17" s="102"/>
      <c r="G17" s="102"/>
      <c r="H17" s="102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8"/>
    </row>
    <row r="18" spans="1:28">
      <c r="A18" s="103"/>
      <c r="B18" s="104"/>
      <c r="C18" s="103"/>
      <c r="D18" s="111"/>
      <c r="E18" s="102"/>
      <c r="F18" s="102"/>
      <c r="G18" s="102"/>
      <c r="H18" s="102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8"/>
    </row>
    <row r="19" spans="1:28">
      <c r="A19" s="103"/>
      <c r="B19" s="104"/>
      <c r="C19" s="103"/>
      <c r="D19" s="111"/>
      <c r="E19" s="102"/>
      <c r="F19" s="102"/>
      <c r="G19" s="102"/>
      <c r="H19" s="102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8"/>
    </row>
    <row r="20" spans="1:28">
      <c r="A20" s="103"/>
      <c r="B20" s="104"/>
      <c r="C20" s="103"/>
      <c r="D20" s="111"/>
      <c r="E20" s="102"/>
      <c r="F20" s="102"/>
      <c r="G20" s="102"/>
      <c r="H20" s="102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8"/>
    </row>
  </sheetData>
  <sheetProtection sheet="1"/>
  <mergeCells count="3">
    <mergeCell ref="A1:AB1"/>
    <mergeCell ref="B3:J3"/>
    <mergeCell ref="I7:AB7"/>
  </mergeCells>
  <dataValidations count="1">
    <dataValidation type="list" allowBlank="1" showInputMessage="1" showErrorMessage="1" sqref="B3:J3">
      <formula1>Input!B6:B11</formula1>
    </dataValidation>
  </dataValidations>
  <pageMargins left="0.7" right="0.7" top="0.75" bottom="0.75" header="0.3" footer="0.3"/>
  <pageSetup scale="76" fitToWidth="4" orientation="landscape" r:id="rId1"/>
  <headerFooter>
    <oddHeader>&amp;C&amp;D
&amp;F</oddHeader>
    <oddFooter>&amp;L&amp;A&amp;RPage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N20"/>
  <sheetViews>
    <sheetView zoomScale="90" zoomScaleNormal="90" workbookViewId="0">
      <selection activeCell="H15" sqref="H15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146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Input!B6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'Yearly O&amp;M Costs 1-10'!A6</f>
        <v>Current Inflation Rate Based on Municipal Cost Index:</v>
      </c>
      <c r="B5" s="105">
        <f>'Yearly O&amp;M Costs 1-10'!B6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</v>
      </c>
      <c r="F7" s="12">
        <v>2</v>
      </c>
      <c r="G7" s="12">
        <v>3</v>
      </c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12">
        <v>9</v>
      </c>
      <c r="N7" s="12">
        <v>10</v>
      </c>
    </row>
    <row r="8" spans="1:14">
      <c r="A8" s="31" t="str">
        <f>IF('Inter O&amp;M Entry'!A9&lt;&gt;"", 'Inter O&amp;M Entry'!A9, "")</f>
        <v/>
      </c>
      <c r="B8" s="35" t="str">
        <f>IF('Inter O&amp;M Entry'!B9&lt;&gt;"", 'Inter O&amp;M Entry'!B9, "")</f>
        <v/>
      </c>
      <c r="C8" s="31" t="str">
        <f>IF('Inter O&amp;M Entry'!C9&lt;&gt;"", 'Inter O&amp;M Entry'!C9, "")</f>
        <v/>
      </c>
      <c r="D8" s="108" t="str">
        <f>IF('Inter O&amp;M Entry'!D9&lt;&gt;"", 'Inter O&amp;M Entry'!D9, "")</f>
        <v/>
      </c>
      <c r="E8" s="35" t="str">
        <f>IF($A8&lt;&gt;"", (IF('Inter O&amp;M Entry'!I9="Y", ((($B8*$D8)*((1+$B$5)^E$7))*(1/((1+$N$5)^E$7))), 0)), "")</f>
        <v/>
      </c>
      <c r="F8" s="35" t="str">
        <f>IF($A8&lt;&gt;"", (IF('Inter O&amp;M Entry'!J9="Y", ((($B8*$D8)*((1+$B$5)^F$7))*(1/((1+$N$5)^F$7))), 0)), "")</f>
        <v/>
      </c>
      <c r="G8" s="35" t="str">
        <f>IF($A8&lt;&gt;"", (IF('Inter O&amp;M Entry'!K9="Y", ((($B8*$D8)*((1+$B$5)^G$7))*(1/((1+$N$5)^G$7))), 0)), "")</f>
        <v/>
      </c>
      <c r="H8" s="35" t="str">
        <f>IF($A8&lt;&gt;"", (IF('Inter O&amp;M Entry'!L9="Y", ((($B8*$D8)*((1+$B$5)^H$7))*(1/((1+$N$5)^H$7))), 0)), "")</f>
        <v/>
      </c>
      <c r="I8" s="35" t="str">
        <f>IF($A8&lt;&gt;"", (IF('Inter O&amp;M Entry'!M9="Y", ((($B8*$D8)*((1+$B$5)^I$7))*(1/((1+$N$5)^I$7))), 0)), "")</f>
        <v/>
      </c>
      <c r="J8" s="35" t="str">
        <f>IF($A8&lt;&gt;"", (IF('Inter O&amp;M Entry'!N9="Y", ((($B8*$D8)*((1+$B$5)^J$7))*(1/((1+$N$5)^J$7))), 0)), "")</f>
        <v/>
      </c>
      <c r="K8" s="35" t="str">
        <f>IF($A8&lt;&gt;"", (IF('Inter O&amp;M Entry'!O9="Y", ((($B8*$D8)*((1+$B$5)^K$7))*(1/((1+$N$5)^K$7))), 0)), "")</f>
        <v/>
      </c>
      <c r="L8" s="35" t="str">
        <f>IF($A8&lt;&gt;"", (IF('Inter O&amp;M Entry'!P9="Y", ((($B8*$D8)*((1+$B$5)^L$7))*(1/((1+$N$5)^L$7))), 0)), "")</f>
        <v/>
      </c>
      <c r="M8" s="35" t="str">
        <f>IF($A8&lt;&gt;"", (IF('Inter O&amp;M Entry'!Q9="Y", ((($B8*$D8)*((1+$B$5)^M$7))*(1/((1+$N$5)^M$7))), 0)), "")</f>
        <v/>
      </c>
      <c r="N8" s="35" t="str">
        <f>IF($A8&lt;&gt;"", (IF('Inter O&amp;M Entry'!R9="Y", ((($B8*$D8)*((1+$B$5)^N$7))*(1/((1+$N$5)^N$7))), 0)), "")</f>
        <v/>
      </c>
    </row>
    <row r="9" spans="1:14">
      <c r="A9" s="31" t="str">
        <f>IF('Inter O&amp;M Entry'!A10&lt;&gt;"", 'Inter O&amp;M Entry'!A10, "")</f>
        <v/>
      </c>
      <c r="B9" s="35" t="str">
        <f>IF('Inter O&amp;M Entry'!B10&lt;&gt;"", 'Inter O&amp;M Entry'!B10, "")</f>
        <v/>
      </c>
      <c r="C9" s="31" t="str">
        <f>IF('Inter O&amp;M Entry'!C10&lt;&gt;"", 'Inter O&amp;M Entry'!C10, "")</f>
        <v/>
      </c>
      <c r="D9" s="108" t="str">
        <f>IF('Inter O&amp;M Entry'!D10&lt;&gt;"", 'Inter O&amp;M Entry'!D10, "")</f>
        <v/>
      </c>
      <c r="E9" s="35" t="str">
        <f>IF($A9&lt;&gt;"", (IF('Inter O&amp;M Entry'!I10="Y", ((($B9*$D9)*((1+$B$5)^E$7))*(1/((1+$N$5)^E$7))), 0)), "")</f>
        <v/>
      </c>
      <c r="F9" s="35" t="str">
        <f>IF($A9&lt;&gt;"", (IF('Inter O&amp;M Entry'!J10="Y", ((($B9*$D9)*((1+$B$5)^F$7))*(1/((1+$N$5)^F$7))), 0)), "")</f>
        <v/>
      </c>
      <c r="G9" s="35" t="str">
        <f>IF($A9&lt;&gt;"", (IF('Inter O&amp;M Entry'!K10="Y", ((($B9*$D9)*((1+$B$5)^G$7))*(1/((1+$N$5)^G$7))), 0)), "")</f>
        <v/>
      </c>
      <c r="H9" s="35" t="str">
        <f>IF($A9&lt;&gt;"", (IF('Inter O&amp;M Entry'!L10="Y", ((($B9*$D9)*((1+$B$5)^H$7))*(1/((1+$N$5)^H$7))), 0)), "")</f>
        <v/>
      </c>
      <c r="I9" s="35" t="str">
        <f>IF($A9&lt;&gt;"", (IF('Inter O&amp;M Entry'!M10="Y", ((($B9*$D9)*((1+$B$5)^I$7))*(1/((1+$N$5)^I$7))), 0)), "")</f>
        <v/>
      </c>
      <c r="J9" s="35" t="str">
        <f>IF($A9&lt;&gt;"", (IF('Inter O&amp;M Entry'!N10="Y", ((($B9*$D9)*((1+$B$5)^J$7))*(1/((1+$N$5)^J$7))), 0)), "")</f>
        <v/>
      </c>
      <c r="K9" s="35" t="str">
        <f>IF($A9&lt;&gt;"", (IF('Inter O&amp;M Entry'!O10="Y", ((($B9*$D9)*((1+$B$5)^K$7))*(1/((1+$N$5)^K$7))), 0)), "")</f>
        <v/>
      </c>
      <c r="L9" s="35" t="str">
        <f>IF($A9&lt;&gt;"", (IF('Inter O&amp;M Entry'!P10="Y", ((($B9*$D9)*((1+$B$5)^L$7))*(1/((1+$N$5)^L$7))), 0)), "")</f>
        <v/>
      </c>
      <c r="M9" s="35" t="str">
        <f>IF($A9&lt;&gt;"", (IF('Inter O&amp;M Entry'!Q10="Y", ((($B9*$D9)*((1+$B$5)^M$7))*(1/((1+$N$5)^M$7))), 0)), "")</f>
        <v/>
      </c>
      <c r="N9" s="35" t="str">
        <f>IF($A9&lt;&gt;"", (IF('Inter O&amp;M Entry'!R10="Y", ((($B9*$D9)*((1+$B$5)^N$7))*(1/((1+$N$5)^N$7))), 0)), "")</f>
        <v/>
      </c>
    </row>
    <row r="10" spans="1:14">
      <c r="A10" s="31" t="str">
        <f>IF('Inter O&amp;M Entry'!A11&lt;&gt;"", 'Inter O&amp;M Entry'!A11, "")</f>
        <v/>
      </c>
      <c r="B10" s="35" t="str">
        <f>IF('Inter O&amp;M Entry'!B11&lt;&gt;"", 'Inter O&amp;M Entry'!B11, "")</f>
        <v/>
      </c>
      <c r="C10" s="31" t="str">
        <f>IF('Inter O&amp;M Entry'!C11&lt;&gt;"", 'Inter O&amp;M Entry'!C11, "")</f>
        <v/>
      </c>
      <c r="D10" s="108" t="str">
        <f>IF('Inter O&amp;M Entry'!D11&lt;&gt;"", 'Inter O&amp;M Entry'!D11, "")</f>
        <v/>
      </c>
      <c r="E10" s="35" t="str">
        <f>IF($A10&lt;&gt;"", (IF('Inter O&amp;M Entry'!I11="Y", ((($B10*$D10)*((1+$B$5)^E$7))*(1/((1+$N$5)^E$7))), 0)), "")</f>
        <v/>
      </c>
      <c r="F10" s="35" t="str">
        <f>IF($A10&lt;&gt;"", (IF('Inter O&amp;M Entry'!J11="Y", ((($B10*$D10)*((1+$B$5)^F$7))*(1/((1+$N$5)^F$7))), 0)), "")</f>
        <v/>
      </c>
      <c r="G10" s="35" t="str">
        <f>IF($A10&lt;&gt;"", (IF('Inter O&amp;M Entry'!K11="Y", ((($B10*$D10)*((1+$B$5)^G$7))*(1/((1+$N$5)^G$7))), 0)), "")</f>
        <v/>
      </c>
      <c r="H10" s="35" t="str">
        <f>IF($A10&lt;&gt;"", (IF('Inter O&amp;M Entry'!L11="Y", ((($B10*$D10)*((1+$B$5)^H$7))*(1/((1+$N$5)^H$7))), 0)), "")</f>
        <v/>
      </c>
      <c r="I10" s="35" t="str">
        <f>IF($A10&lt;&gt;"", (IF('Inter O&amp;M Entry'!M11="Y", ((($B10*$D10)*((1+$B$5)^I$7))*(1/((1+$N$5)^I$7))), 0)), "")</f>
        <v/>
      </c>
      <c r="J10" s="35" t="str">
        <f>IF($A10&lt;&gt;"", (IF('Inter O&amp;M Entry'!N11="Y", ((($B10*$D10)*((1+$B$5)^J$7))*(1/((1+$N$5)^J$7))), 0)), "")</f>
        <v/>
      </c>
      <c r="K10" s="35" t="str">
        <f>IF($A10&lt;&gt;"", (IF('Inter O&amp;M Entry'!O11="Y", ((($B10*$D10)*((1+$B$5)^K$7))*(1/((1+$N$5)^K$7))), 0)), "")</f>
        <v/>
      </c>
      <c r="L10" s="35" t="str">
        <f>IF($A10&lt;&gt;"", (IF('Inter O&amp;M Entry'!P11="Y", ((($B10*$D10)*((1+$B$5)^L$7))*(1/((1+$N$5)^L$7))), 0)), "")</f>
        <v/>
      </c>
      <c r="M10" s="35" t="str">
        <f>IF($A10&lt;&gt;"", (IF('Inter O&amp;M Entry'!Q11="Y", ((($B10*$D10)*((1+$B$5)^M$7))*(1/((1+$N$5)^M$7))), 0)), "")</f>
        <v/>
      </c>
      <c r="N10" s="35" t="str">
        <f>IF($A10&lt;&gt;"", (IF('Inter O&amp;M Entry'!R11="Y", ((($B10*$D10)*((1+$B$5)^N$7))*(1/((1+$N$5)^N$7))), 0)), "")</f>
        <v/>
      </c>
    </row>
    <row r="11" spans="1:14">
      <c r="A11" s="31" t="str">
        <f>IF('Inter O&amp;M Entry'!A12&lt;&gt;"", 'Inter O&amp;M Entry'!A12, "")</f>
        <v/>
      </c>
      <c r="B11" s="35" t="str">
        <f>IF('Inter O&amp;M Entry'!B12&lt;&gt;"", 'Inter O&amp;M Entry'!B12, "")</f>
        <v/>
      </c>
      <c r="C11" s="31" t="str">
        <f>IF('Inter O&amp;M Entry'!C12&lt;&gt;"", 'Inter O&amp;M Entry'!C12, "")</f>
        <v/>
      </c>
      <c r="D11" s="108" t="str">
        <f>IF('Inter O&amp;M Entry'!D12&lt;&gt;"", 'Inter O&amp;M Entry'!D12, "")</f>
        <v/>
      </c>
      <c r="E11" s="35" t="str">
        <f>IF($A11&lt;&gt;"", (IF('Inter O&amp;M Entry'!I12="Y", ((($B11*$D11)*((1+$B$5)^E$7))*(1/((1+$N$5)^E$7))), 0)), "")</f>
        <v/>
      </c>
      <c r="F11" s="35" t="str">
        <f>IF($A11&lt;&gt;"", (IF('Inter O&amp;M Entry'!J12="Y", ((($B11*$D11)*((1+$B$5)^F$7))*(1/((1+$N$5)^F$7))), 0)), "")</f>
        <v/>
      </c>
      <c r="G11" s="35" t="str">
        <f>IF($A11&lt;&gt;"", (IF('Inter O&amp;M Entry'!K12="Y", ((($B11*$D11)*((1+$B$5)^G$7))*(1/((1+$N$5)^G$7))), 0)), "")</f>
        <v/>
      </c>
      <c r="H11" s="35" t="str">
        <f>IF($A11&lt;&gt;"", (IF('Inter O&amp;M Entry'!L12="Y", ((($B11*$D11)*((1+$B$5)^H$7))*(1/((1+$N$5)^H$7))), 0)), "")</f>
        <v/>
      </c>
      <c r="I11" s="35" t="str">
        <f>IF($A11&lt;&gt;"", (IF('Inter O&amp;M Entry'!M12="Y", ((($B11*$D11)*((1+$B$5)^I$7))*(1/((1+$N$5)^I$7))), 0)), "")</f>
        <v/>
      </c>
      <c r="J11" s="35" t="str">
        <f>IF($A11&lt;&gt;"", (IF('Inter O&amp;M Entry'!N12="Y", ((($B11*$D11)*((1+$B$5)^J$7))*(1/((1+$N$5)^J$7))), 0)), "")</f>
        <v/>
      </c>
      <c r="K11" s="35" t="str">
        <f>IF($A11&lt;&gt;"", (IF('Inter O&amp;M Entry'!O12="Y", ((($B11*$D11)*((1+$B$5)^K$7))*(1/((1+$N$5)^K$7))), 0)), "")</f>
        <v/>
      </c>
      <c r="L11" s="35" t="str">
        <f>IF($A11&lt;&gt;"", (IF('Inter O&amp;M Entry'!P12="Y", ((($B11*$D11)*((1+$B$5)^L$7))*(1/((1+$N$5)^L$7))), 0)), "")</f>
        <v/>
      </c>
      <c r="M11" s="35" t="str">
        <f>IF($A11&lt;&gt;"", (IF('Inter O&amp;M Entry'!Q12="Y", ((($B11*$D11)*((1+$B$5)^M$7))*(1/((1+$N$5)^M$7))), 0)), "")</f>
        <v/>
      </c>
      <c r="N11" s="35" t="str">
        <f>IF($A11&lt;&gt;"", (IF('Inter O&amp;M Entry'!R12="Y", ((($B11*$D11)*((1+$B$5)^N$7))*(1/((1+$N$5)^N$7))), 0)), "")</f>
        <v/>
      </c>
    </row>
    <row r="12" spans="1:14">
      <c r="A12" s="31" t="str">
        <f>IF('Inter O&amp;M Entry'!A13&lt;&gt;"", 'Inter O&amp;M Entry'!A13, "")</f>
        <v/>
      </c>
      <c r="B12" s="35" t="str">
        <f>IF('Inter O&amp;M Entry'!B13&lt;&gt;"", 'Inter O&amp;M Entry'!B13, "")</f>
        <v/>
      </c>
      <c r="C12" s="31" t="str">
        <f>IF('Inter O&amp;M Entry'!C13&lt;&gt;"", 'Inter O&amp;M Entry'!C13, "")</f>
        <v/>
      </c>
      <c r="D12" s="108" t="str">
        <f>IF('Inter O&amp;M Entry'!D13&lt;&gt;"", 'Inter O&amp;M Entry'!D13, "")</f>
        <v/>
      </c>
      <c r="E12" s="35" t="str">
        <f>IF($A12&lt;&gt;"", (IF('Inter O&amp;M Entry'!I13="Y", ((($B12*$D12)*((1+$B$5)^E$7))*(1/((1+$N$5)^E$7))), 0)), "")</f>
        <v/>
      </c>
      <c r="F12" s="35" t="str">
        <f>IF($A12&lt;&gt;"", (IF('Inter O&amp;M Entry'!J13="Y", ((($B12*$D12)*((1+$B$5)^F$7))*(1/((1+$N$5)^F$7))), 0)), "")</f>
        <v/>
      </c>
      <c r="G12" s="35" t="str">
        <f>IF($A12&lt;&gt;"", (IF('Inter O&amp;M Entry'!K13="Y", ((($B12*$D12)*((1+$B$5)^G$7))*(1/((1+$N$5)^G$7))), 0)), "")</f>
        <v/>
      </c>
      <c r="H12" s="35" t="str">
        <f>IF($A12&lt;&gt;"", (IF('Inter O&amp;M Entry'!L13="Y", ((($B12*$D12)*((1+$B$5)^H$7))*(1/((1+$N$5)^H$7))), 0)), "")</f>
        <v/>
      </c>
      <c r="I12" s="35" t="str">
        <f>IF($A12&lt;&gt;"", (IF('Inter O&amp;M Entry'!M13="Y", ((($B12*$D12)*((1+$B$5)^I$7))*(1/((1+$N$5)^I$7))), 0)), "")</f>
        <v/>
      </c>
      <c r="J12" s="35" t="str">
        <f>IF($A12&lt;&gt;"", (IF('Inter O&amp;M Entry'!N13="Y", ((($B12*$D12)*((1+$B$5)^J$7))*(1/((1+$N$5)^J$7))), 0)), "")</f>
        <v/>
      </c>
      <c r="K12" s="35" t="str">
        <f>IF($A12&lt;&gt;"", (IF('Inter O&amp;M Entry'!O13="Y", ((($B12*$D12)*((1+$B$5)^K$7))*(1/((1+$N$5)^K$7))), 0)), "")</f>
        <v/>
      </c>
      <c r="L12" s="35" t="str">
        <f>IF($A12&lt;&gt;"", (IF('Inter O&amp;M Entry'!P13="Y", ((($B12*$D12)*((1+$B$5)^L$7))*(1/((1+$N$5)^L$7))), 0)), "")</f>
        <v/>
      </c>
      <c r="M12" s="35" t="str">
        <f>IF($A12&lt;&gt;"", (IF('Inter O&amp;M Entry'!Q13="Y", ((($B12*$D12)*((1+$B$5)^M$7))*(1/((1+$N$5)^M$7))), 0)), "")</f>
        <v/>
      </c>
      <c r="N12" s="35" t="str">
        <f>IF($A12&lt;&gt;"", (IF('Inter O&amp;M Entry'!R13="Y", ((($B12*$D12)*((1+$B$5)^N$7))*(1/((1+$N$5)^N$7))), 0)), "")</f>
        <v/>
      </c>
    </row>
    <row r="13" spans="1:14">
      <c r="A13" s="31" t="str">
        <f>IF('Inter O&amp;M Entry'!A14&lt;&gt;"", 'Inter O&amp;M Entry'!A14, "")</f>
        <v/>
      </c>
      <c r="B13" s="35" t="str">
        <f>IF('Inter O&amp;M Entry'!B14&lt;&gt;"", 'Inter O&amp;M Entry'!B14, "")</f>
        <v/>
      </c>
      <c r="C13" s="31" t="str">
        <f>IF('Inter O&amp;M Entry'!C14&lt;&gt;"", 'Inter O&amp;M Entry'!C14, "")</f>
        <v/>
      </c>
      <c r="D13" s="108" t="str">
        <f>IF('Inter O&amp;M Entry'!D14&lt;&gt;"", 'Inter O&amp;M Entry'!D14, "")</f>
        <v/>
      </c>
      <c r="E13" s="35" t="str">
        <f>IF($A13&lt;&gt;"", (IF('Inter O&amp;M Entry'!I14="Y", ((($B13*$D13)*((1+$B$5)^E$7))*(1/((1+$N$5)^E$7))), 0)), "")</f>
        <v/>
      </c>
      <c r="F13" s="35" t="str">
        <f>IF($A13&lt;&gt;"", (IF('Inter O&amp;M Entry'!J14="Y", ((($B13*$D13)*((1+$B$5)^F$7))*(1/((1+$N$5)^F$7))), 0)), "")</f>
        <v/>
      </c>
      <c r="G13" s="35" t="str">
        <f>IF($A13&lt;&gt;"", (IF('Inter O&amp;M Entry'!K14="Y", ((($B13*$D13)*((1+$B$5)^G$7))*(1/((1+$N$5)^G$7))), 0)), "")</f>
        <v/>
      </c>
      <c r="H13" s="35" t="str">
        <f>IF($A13&lt;&gt;"", (IF('Inter O&amp;M Entry'!L14="Y", ((($B13*$D13)*((1+$B$5)^H$7))*(1/((1+$N$5)^H$7))), 0)), "")</f>
        <v/>
      </c>
      <c r="I13" s="35" t="str">
        <f>IF($A13&lt;&gt;"", (IF('Inter O&amp;M Entry'!M14="Y", ((($B13*$D13)*((1+$B$5)^I$7))*(1/((1+$N$5)^I$7))), 0)), "")</f>
        <v/>
      </c>
      <c r="J13" s="35" t="str">
        <f>IF($A13&lt;&gt;"", (IF('Inter O&amp;M Entry'!N14="Y", ((($B13*$D13)*((1+$B$5)^J$7))*(1/((1+$N$5)^J$7))), 0)), "")</f>
        <v/>
      </c>
      <c r="K13" s="35" t="str">
        <f>IF($A13&lt;&gt;"", (IF('Inter O&amp;M Entry'!O14="Y", ((($B13*$D13)*((1+$B$5)^K$7))*(1/((1+$N$5)^K$7))), 0)), "")</f>
        <v/>
      </c>
      <c r="L13" s="35" t="str">
        <f>IF($A13&lt;&gt;"", (IF('Inter O&amp;M Entry'!P14="Y", ((($B13*$D13)*((1+$B$5)^L$7))*(1/((1+$N$5)^L$7))), 0)), "")</f>
        <v/>
      </c>
      <c r="M13" s="35" t="str">
        <f>IF($A13&lt;&gt;"", (IF('Inter O&amp;M Entry'!Q14="Y", ((($B13*$D13)*((1+$B$5)^M$7))*(1/((1+$N$5)^M$7))), 0)), "")</f>
        <v/>
      </c>
      <c r="N13" s="35" t="str">
        <f>IF($A13&lt;&gt;"", (IF('Inter O&amp;M Entry'!R14="Y", ((($B13*$D13)*((1+$B$5)^N$7))*(1/((1+$N$5)^N$7))), 0)), "")</f>
        <v/>
      </c>
    </row>
    <row r="14" spans="1:14">
      <c r="A14" s="31" t="str">
        <f>IF('Inter O&amp;M Entry'!A15&lt;&gt;"", 'Inter O&amp;M Entry'!A15, "")</f>
        <v/>
      </c>
      <c r="B14" s="35" t="str">
        <f>IF('Inter O&amp;M Entry'!B15&lt;&gt;"", 'Inter O&amp;M Entry'!B15, "")</f>
        <v/>
      </c>
      <c r="C14" s="31" t="str">
        <f>IF('Inter O&amp;M Entry'!C15&lt;&gt;"", 'Inter O&amp;M Entry'!C15, "")</f>
        <v/>
      </c>
      <c r="D14" s="108" t="str">
        <f>IF('Inter O&amp;M Entry'!D15&lt;&gt;"", 'Inter O&amp;M Entry'!D15, "")</f>
        <v/>
      </c>
      <c r="E14" s="35" t="str">
        <f>IF($A14&lt;&gt;"", (IF('Inter O&amp;M Entry'!I15="Y", ((($B14*$D14)*((1+$B$5)^E$7))*(1/((1+$N$5)^E$7))), 0)), "")</f>
        <v/>
      </c>
      <c r="F14" s="35" t="str">
        <f>IF($A14&lt;&gt;"", (IF('Inter O&amp;M Entry'!J15="Y", ((($B14*$D14)*((1+$B$5)^F$7))*(1/((1+$N$5)^F$7))), 0)), "")</f>
        <v/>
      </c>
      <c r="G14" s="35" t="str">
        <f>IF($A14&lt;&gt;"", (IF('Inter O&amp;M Entry'!K15="Y", ((($B14*$D14)*((1+$B$5)^G$7))*(1/((1+$N$5)^G$7))), 0)), "")</f>
        <v/>
      </c>
      <c r="H14" s="35" t="str">
        <f>IF($A14&lt;&gt;"", (IF('Inter O&amp;M Entry'!L15="Y", ((($B14*$D14)*((1+$B$5)^H$7))*(1/((1+$N$5)^H$7))), 0)), "")</f>
        <v/>
      </c>
      <c r="I14" s="35" t="str">
        <f>IF($A14&lt;&gt;"", (IF('Inter O&amp;M Entry'!M15="Y", ((($B14*$D14)*((1+$B$5)^I$7))*(1/((1+$N$5)^I$7))), 0)), "")</f>
        <v/>
      </c>
      <c r="J14" s="35" t="str">
        <f>IF($A14&lt;&gt;"", (IF('Inter O&amp;M Entry'!N15="Y", ((($B14*$D14)*((1+$B$5)^J$7))*(1/((1+$N$5)^J$7))), 0)), "")</f>
        <v/>
      </c>
      <c r="K14" s="35" t="str">
        <f>IF($A14&lt;&gt;"", (IF('Inter O&amp;M Entry'!O15="Y", ((($B14*$D14)*((1+$B$5)^K$7))*(1/((1+$N$5)^K$7))), 0)), "")</f>
        <v/>
      </c>
      <c r="L14" s="35" t="str">
        <f>IF($A14&lt;&gt;"", (IF('Inter O&amp;M Entry'!P15="Y", ((($B14*$D14)*((1+$B$5)^L$7))*(1/((1+$N$5)^L$7))), 0)), "")</f>
        <v/>
      </c>
      <c r="M14" s="35" t="str">
        <f>IF($A14&lt;&gt;"", (IF('Inter O&amp;M Entry'!Q15="Y", ((($B14*$D14)*((1+$B$5)^M$7))*(1/((1+$N$5)^M$7))), 0)), "")</f>
        <v/>
      </c>
      <c r="N14" s="35" t="str">
        <f>IF($A14&lt;&gt;"", (IF('Inter O&amp;M Entry'!R15="Y", ((($B14*$D14)*((1+$B$5)^N$7))*(1/((1+$N$5)^N$7))), 0)), "")</f>
        <v/>
      </c>
    </row>
    <row r="15" spans="1:14">
      <c r="A15" s="31" t="str">
        <f>IF('Inter O&amp;M Entry'!A16&lt;&gt;"", 'Inter O&amp;M Entry'!A16, "")</f>
        <v/>
      </c>
      <c r="B15" s="35" t="str">
        <f>IF('Inter O&amp;M Entry'!B16&lt;&gt;"", 'Inter O&amp;M Entry'!B16, "")</f>
        <v/>
      </c>
      <c r="C15" s="31" t="str">
        <f>IF('Inter O&amp;M Entry'!C16&lt;&gt;"", 'Inter O&amp;M Entry'!C16, "")</f>
        <v/>
      </c>
      <c r="D15" s="108" t="str">
        <f>IF('Inter O&amp;M Entry'!D16&lt;&gt;"", 'Inter O&amp;M Entry'!D16, "")</f>
        <v/>
      </c>
      <c r="E15" s="35" t="str">
        <f>IF($A15&lt;&gt;"", (IF('Inter O&amp;M Entry'!I16="Y", ((($B15*$D15)*((1+$B$5)^E$7))*(1/((1+$N$5)^E$7))), 0)), "")</f>
        <v/>
      </c>
      <c r="F15" s="35" t="str">
        <f>IF($A15&lt;&gt;"", (IF('Inter O&amp;M Entry'!J16="Y", ((($B15*$D15)*((1+$B$5)^F$7))*(1/((1+$N$5)^F$7))), 0)), "")</f>
        <v/>
      </c>
      <c r="G15" s="35" t="str">
        <f>IF($A15&lt;&gt;"", (IF('Inter O&amp;M Entry'!K16="Y", ((($B15*$D15)*((1+$B$5)^G$7))*(1/((1+$N$5)^G$7))), 0)), "")</f>
        <v/>
      </c>
      <c r="H15" s="35" t="str">
        <f>IF($A15&lt;&gt;"", (IF('Inter O&amp;M Entry'!L16="Y", ((($B15*$D15)*((1+$B$5)^H$7))*(1/((1+$N$5)^H$7))), 0)), "")</f>
        <v/>
      </c>
      <c r="I15" s="35" t="str">
        <f>IF($A15&lt;&gt;"", (IF('Inter O&amp;M Entry'!M16="Y", ((($B15*$D15)*((1+$B$5)^I$7))*(1/((1+$N$5)^I$7))), 0)), "")</f>
        <v/>
      </c>
      <c r="J15" s="35" t="str">
        <f>IF($A15&lt;&gt;"", (IF('Inter O&amp;M Entry'!N16="Y", ((($B15*$D15)*((1+$B$5)^J$7))*(1/((1+$N$5)^J$7))), 0)), "")</f>
        <v/>
      </c>
      <c r="K15" s="35" t="str">
        <f>IF($A15&lt;&gt;"", (IF('Inter O&amp;M Entry'!O16="Y", ((($B15*$D15)*((1+$B$5)^K$7))*(1/((1+$N$5)^K$7))), 0)), "")</f>
        <v/>
      </c>
      <c r="L15" s="35" t="str">
        <f>IF($A15&lt;&gt;"", (IF('Inter O&amp;M Entry'!P16="Y", ((($B15*$D15)*((1+$B$5)^L$7))*(1/((1+$N$5)^L$7))), 0)), "")</f>
        <v/>
      </c>
      <c r="M15" s="35" t="str">
        <f>IF($A15&lt;&gt;"", (IF('Inter O&amp;M Entry'!Q16="Y", ((($B15*$D15)*((1+$B$5)^M$7))*(1/((1+$N$5)^M$7))), 0)), "")</f>
        <v/>
      </c>
      <c r="N15" s="35" t="str">
        <f>IF($A15&lt;&gt;"", (IF('Inter O&amp;M Entry'!R16="Y", ((($B15*$D15)*((1+$B$5)^N$7))*(1/((1+$N$5)^N$7))), 0)), "")</f>
        <v/>
      </c>
    </row>
    <row r="16" spans="1:14">
      <c r="A16" s="31" t="str">
        <f>IF('Inter O&amp;M Entry'!A17&lt;&gt;"", 'Inter O&amp;M Entry'!A17, "")</f>
        <v/>
      </c>
      <c r="B16" s="35" t="str">
        <f>IF('Inter O&amp;M Entry'!B17&lt;&gt;"", 'Inter O&amp;M Entry'!B17, "")</f>
        <v/>
      </c>
      <c r="C16" s="31" t="str">
        <f>IF('Inter O&amp;M Entry'!C17&lt;&gt;"", 'Inter O&amp;M Entry'!C17, "")</f>
        <v/>
      </c>
      <c r="D16" s="108" t="str">
        <f>IF('Inter O&amp;M Entry'!D17&lt;&gt;"", 'Inter O&amp;M Entry'!D17, "")</f>
        <v/>
      </c>
      <c r="E16" s="35" t="str">
        <f>IF($A16&lt;&gt;"", (IF('Inter O&amp;M Entry'!I17="Y", ((($B16*$D16)*((1+$B$5)^E$7))*(1/((1+$N$5)^E$7))), 0)), "")</f>
        <v/>
      </c>
      <c r="F16" s="35" t="str">
        <f>IF($A16&lt;&gt;"", (IF('Inter O&amp;M Entry'!J17="Y", ((($B16*$D16)*((1+$B$5)^F$7))*(1/((1+$N$5)^F$7))), 0)), "")</f>
        <v/>
      </c>
      <c r="G16" s="35" t="str">
        <f>IF($A16&lt;&gt;"", (IF('Inter O&amp;M Entry'!K17="Y", ((($B16*$D16)*((1+$B$5)^G$7))*(1/((1+$N$5)^G$7))), 0)), "")</f>
        <v/>
      </c>
      <c r="H16" s="35" t="str">
        <f>IF($A16&lt;&gt;"", (IF('Inter O&amp;M Entry'!L17="Y", ((($B16*$D16)*((1+$B$5)^H$7))*(1/((1+$N$5)^H$7))), 0)), "")</f>
        <v/>
      </c>
      <c r="I16" s="35" t="str">
        <f>IF($A16&lt;&gt;"", (IF('Inter O&amp;M Entry'!M17="Y", ((($B16*$D16)*((1+$B$5)^I$7))*(1/((1+$N$5)^I$7))), 0)), "")</f>
        <v/>
      </c>
      <c r="J16" s="35" t="str">
        <f>IF($A16&lt;&gt;"", (IF('Inter O&amp;M Entry'!N17="Y", ((($B16*$D16)*((1+$B$5)^J$7))*(1/((1+$N$5)^J$7))), 0)), "")</f>
        <v/>
      </c>
      <c r="K16" s="35" t="str">
        <f>IF($A16&lt;&gt;"", (IF('Inter O&amp;M Entry'!O17="Y", ((($B16*$D16)*((1+$B$5)^K$7))*(1/((1+$N$5)^K$7))), 0)), "")</f>
        <v/>
      </c>
      <c r="L16" s="35" t="str">
        <f>IF($A16&lt;&gt;"", (IF('Inter O&amp;M Entry'!P17="Y", ((($B16*$D16)*((1+$B$5)^L$7))*(1/((1+$N$5)^L$7))), 0)), "")</f>
        <v/>
      </c>
      <c r="M16" s="35" t="str">
        <f>IF($A16&lt;&gt;"", (IF('Inter O&amp;M Entry'!Q17="Y", ((($B16*$D16)*((1+$B$5)^M$7))*(1/((1+$N$5)^M$7))), 0)), "")</f>
        <v/>
      </c>
      <c r="N16" s="35" t="str">
        <f>IF($A16&lt;&gt;"", (IF('Inter O&amp;M Entry'!R17="Y", ((($B16*$D16)*((1+$B$5)^N$7))*(1/((1+$N$5)^N$7))), 0)), "")</f>
        <v/>
      </c>
    </row>
    <row r="17" spans="1:14">
      <c r="A17" s="31" t="str">
        <f>IF('Inter O&amp;M Entry'!A18&lt;&gt;"", 'Inter O&amp;M Entry'!A18, "")</f>
        <v/>
      </c>
      <c r="B17" s="35" t="str">
        <f>IF('Inter O&amp;M Entry'!B18&lt;&gt;"", 'Inter O&amp;M Entry'!B18, "")</f>
        <v/>
      </c>
      <c r="C17" s="31" t="str">
        <f>IF('Inter O&amp;M Entry'!C18&lt;&gt;"", 'Inter O&amp;M Entry'!C18, "")</f>
        <v/>
      </c>
      <c r="D17" s="108" t="str">
        <f>IF('Inter O&amp;M Entry'!D18&lt;&gt;"", 'Inter O&amp;M Entry'!D18, "")</f>
        <v/>
      </c>
      <c r="E17" s="35" t="str">
        <f>IF($A17&lt;&gt;"", (IF('Inter O&amp;M Entry'!I18="Y", ((($B17*$D17)*((1+$B$5)^E$7))*(1/((1+$N$5)^E$7))), 0)), "")</f>
        <v/>
      </c>
      <c r="F17" s="35" t="str">
        <f>IF($A17&lt;&gt;"", (IF('Inter O&amp;M Entry'!J18="Y", ((($B17*$D17)*((1+$B$5)^F$7))*(1/((1+$N$5)^F$7))), 0)), "")</f>
        <v/>
      </c>
      <c r="G17" s="35" t="str">
        <f>IF($A17&lt;&gt;"", (IF('Inter O&amp;M Entry'!K18="Y", ((($B17*$D17)*((1+$B$5)^G$7))*(1/((1+$N$5)^G$7))), 0)), "")</f>
        <v/>
      </c>
      <c r="H17" s="35" t="str">
        <f>IF($A17&lt;&gt;"", (IF('Inter O&amp;M Entry'!L18="Y", ((($B17*$D17)*((1+$B$5)^H$7))*(1/((1+$N$5)^H$7))), 0)), "")</f>
        <v/>
      </c>
      <c r="I17" s="35" t="str">
        <f>IF($A17&lt;&gt;"", (IF('Inter O&amp;M Entry'!M18="Y", ((($B17*$D17)*((1+$B$5)^I$7))*(1/((1+$N$5)^I$7))), 0)), "")</f>
        <v/>
      </c>
      <c r="J17" s="35" t="str">
        <f>IF($A17&lt;&gt;"", (IF('Inter O&amp;M Entry'!N18="Y", ((($B17*$D17)*((1+$B$5)^J$7))*(1/((1+$N$5)^J$7))), 0)), "")</f>
        <v/>
      </c>
      <c r="K17" s="35" t="str">
        <f>IF($A17&lt;&gt;"", (IF('Inter O&amp;M Entry'!O18="Y", ((($B17*$D17)*((1+$B$5)^K$7))*(1/((1+$N$5)^K$7))), 0)), "")</f>
        <v/>
      </c>
      <c r="L17" s="35" t="str">
        <f>IF($A17&lt;&gt;"", (IF('Inter O&amp;M Entry'!P18="Y", ((($B17*$D17)*((1+$B$5)^L$7))*(1/((1+$N$5)^L$7))), 0)), "")</f>
        <v/>
      </c>
      <c r="M17" s="35" t="str">
        <f>IF($A17&lt;&gt;"", (IF('Inter O&amp;M Entry'!Q18="Y", ((($B17*$D17)*((1+$B$5)^M$7))*(1/((1+$N$5)^M$7))), 0)), "")</f>
        <v/>
      </c>
      <c r="N17" s="35" t="str">
        <f>IF($A17&lt;&gt;"", (IF('Inter O&amp;M Entry'!R18="Y", ((($B17*$D17)*((1+$B$5)^N$7))*(1/((1+$N$5)^N$7))), 0)), "")</f>
        <v/>
      </c>
    </row>
    <row r="18" spans="1:14">
      <c r="A18" s="31" t="str">
        <f>IF('Inter O&amp;M Entry'!A19&lt;&gt;"", 'Inter O&amp;M Entry'!A19, "")</f>
        <v/>
      </c>
      <c r="B18" s="35" t="str">
        <f>IF('Inter O&amp;M Entry'!B19&lt;&gt;"", 'Inter O&amp;M Entry'!B19, "")</f>
        <v/>
      </c>
      <c r="C18" s="31" t="str">
        <f>IF('Inter O&amp;M Entry'!C19&lt;&gt;"", 'Inter O&amp;M Entry'!C19, "")</f>
        <v/>
      </c>
      <c r="D18" s="108" t="str">
        <f>IF('Inter O&amp;M Entry'!D19&lt;&gt;"", 'Inter O&amp;M Entry'!D19, "")</f>
        <v/>
      </c>
      <c r="E18" s="35" t="str">
        <f>IF($A18&lt;&gt;"", (IF('Inter O&amp;M Entry'!I19="Y", ((($B18*$D18)*((1+$B$5)^E$7))*(1/((1+$N$5)^E$7))), 0)), "")</f>
        <v/>
      </c>
      <c r="F18" s="35" t="str">
        <f>IF($A18&lt;&gt;"", (IF('Inter O&amp;M Entry'!J19="Y", ((($B18*$D18)*((1+$B$5)^F$7))*(1/((1+$N$5)^F$7))), 0)), "")</f>
        <v/>
      </c>
      <c r="G18" s="35" t="str">
        <f>IF($A18&lt;&gt;"", (IF('Inter O&amp;M Entry'!K19="Y", ((($B18*$D18)*((1+$B$5)^G$7))*(1/((1+$N$5)^G$7))), 0)), "")</f>
        <v/>
      </c>
      <c r="H18" s="35" t="str">
        <f>IF($A18&lt;&gt;"", (IF('Inter O&amp;M Entry'!L19="Y", ((($B18*$D18)*((1+$B$5)^H$7))*(1/((1+$N$5)^H$7))), 0)), "")</f>
        <v/>
      </c>
      <c r="I18" s="35" t="str">
        <f>IF($A18&lt;&gt;"", (IF('Inter O&amp;M Entry'!M19="Y", ((($B18*$D18)*((1+$B$5)^I$7))*(1/((1+$N$5)^I$7))), 0)), "")</f>
        <v/>
      </c>
      <c r="J18" s="35" t="str">
        <f>IF($A18&lt;&gt;"", (IF('Inter O&amp;M Entry'!N19="Y", ((($B18*$D18)*((1+$B$5)^J$7))*(1/((1+$N$5)^J$7))), 0)), "")</f>
        <v/>
      </c>
      <c r="K18" s="35" t="str">
        <f>IF($A18&lt;&gt;"", (IF('Inter O&amp;M Entry'!O19="Y", ((($B18*$D18)*((1+$B$5)^K$7))*(1/((1+$N$5)^K$7))), 0)), "")</f>
        <v/>
      </c>
      <c r="L18" s="35" t="str">
        <f>IF($A18&lt;&gt;"", (IF('Inter O&amp;M Entry'!P19="Y", ((($B18*$D18)*((1+$B$5)^L$7))*(1/((1+$N$5)^L$7))), 0)), "")</f>
        <v/>
      </c>
      <c r="M18" s="35" t="str">
        <f>IF($A18&lt;&gt;"", (IF('Inter O&amp;M Entry'!Q19="Y", ((($B18*$D18)*((1+$B$5)^M$7))*(1/((1+$N$5)^M$7))), 0)), "")</f>
        <v/>
      </c>
      <c r="N18" s="35" t="str">
        <f>IF($A18&lt;&gt;"", (IF('Inter O&amp;M Entry'!R19="Y", ((($B18*$D18)*((1+$B$5)^N$7))*(1/((1+$N$5)^N$7))), 0)), "")</f>
        <v/>
      </c>
    </row>
    <row r="19" spans="1:14">
      <c r="A19" s="31" t="str">
        <f>IF('Inter O&amp;M Entry'!A20&lt;&gt;"", 'Inter O&amp;M Entry'!A20, "")</f>
        <v/>
      </c>
      <c r="B19" s="35" t="str">
        <f>IF('Inter O&amp;M Entry'!B20&lt;&gt;"", 'Inter O&amp;M Entry'!B20, "")</f>
        <v/>
      </c>
      <c r="C19" s="31" t="str">
        <f>IF('Inter O&amp;M Entry'!C20&lt;&gt;"", 'Inter O&amp;M Entry'!C20, "")</f>
        <v/>
      </c>
      <c r="D19" s="108" t="str">
        <f>IF('Inter O&amp;M Entry'!D20&lt;&gt;"", 'Inter O&amp;M Entry'!D20, "")</f>
        <v/>
      </c>
      <c r="E19" s="35" t="str">
        <f>IF($A19&lt;&gt;"", (IF('Inter O&amp;M Entry'!I20="Y", ((($B19*$D19)*((1+$B$5)^E$7))*(1/((1+$N$5)^E$7))), 0)), "")</f>
        <v/>
      </c>
      <c r="F19" s="35" t="str">
        <f>IF($A19&lt;&gt;"", (IF('Inter O&amp;M Entry'!J20="Y", ((($B19*$D19)*((1+$B$5)^F$7))*(1/((1+$N$5)^F$7))), 0)), "")</f>
        <v/>
      </c>
      <c r="G19" s="35" t="str">
        <f>IF($A19&lt;&gt;"", (IF('Inter O&amp;M Entry'!K20="Y", ((($B19*$D19)*((1+$B$5)^G$7))*(1/((1+$N$5)^G$7))), 0)), "")</f>
        <v/>
      </c>
      <c r="H19" s="35" t="str">
        <f>IF($A19&lt;&gt;"", (IF('Inter O&amp;M Entry'!L20="Y", ((($B19*$D19)*((1+$B$5)^H$7))*(1/((1+$N$5)^H$7))), 0)), "")</f>
        <v/>
      </c>
      <c r="I19" s="35" t="str">
        <f>IF($A19&lt;&gt;"", (IF('Inter O&amp;M Entry'!M20="Y", ((($B19*$D19)*((1+$B$5)^I$7))*(1/((1+$N$5)^I$7))), 0)), "")</f>
        <v/>
      </c>
      <c r="J19" s="35" t="str">
        <f>IF($A19&lt;&gt;"", (IF('Inter O&amp;M Entry'!N20="Y", ((($B19*$D19)*((1+$B$5)^J$7))*(1/((1+$N$5)^J$7))), 0)), "")</f>
        <v/>
      </c>
      <c r="K19" s="35" t="str">
        <f>IF($A19&lt;&gt;"", (IF('Inter O&amp;M Entry'!O20="Y", ((($B19*$D19)*((1+$B$5)^K$7))*(1/((1+$N$5)^K$7))), 0)), "")</f>
        <v/>
      </c>
      <c r="L19" s="35" t="str">
        <f>IF($A19&lt;&gt;"", (IF('Inter O&amp;M Entry'!P20="Y", ((($B19*$D19)*((1+$B$5)^L$7))*(1/((1+$N$5)^L$7))), 0)), "")</f>
        <v/>
      </c>
      <c r="M19" s="35" t="str">
        <f>IF($A19&lt;&gt;"", (IF('Inter O&amp;M Entry'!Q20="Y", ((($B19*$D19)*((1+$B$5)^M$7))*(1/((1+$N$5)^M$7))), 0)), "")</f>
        <v/>
      </c>
      <c r="N19" s="35" t="str">
        <f>IF($A19&lt;&gt;"", (IF('Inter O&amp;M Entry'!R20="Y", ((($B19*$D19)*((1+$B$5)^N$7))*(1/((1+$N$5)^N$7))), 0)), "")</f>
        <v/>
      </c>
    </row>
    <row r="20" spans="1:14">
      <c r="D20" s="2" t="s">
        <v>73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</sheetData>
  <sheetProtection sheet="1" objects="1" scenarios="1"/>
  <mergeCells count="5">
    <mergeCell ref="A3:N3"/>
    <mergeCell ref="A2:N2"/>
    <mergeCell ref="A1:N1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1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147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Input!B6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'Yearly O&amp;M Costs 1-10'!A6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11</v>
      </c>
      <c r="F7" s="12">
        <v>12</v>
      </c>
      <c r="G7" s="12">
        <v>13</v>
      </c>
      <c r="H7" s="12">
        <v>14</v>
      </c>
      <c r="I7" s="12">
        <v>15</v>
      </c>
      <c r="J7" s="12">
        <v>16</v>
      </c>
      <c r="K7" s="12">
        <v>17</v>
      </c>
      <c r="L7" s="12">
        <v>18</v>
      </c>
      <c r="M7" s="12">
        <v>19</v>
      </c>
      <c r="N7" s="12">
        <v>20</v>
      </c>
    </row>
    <row r="8" spans="1:14">
      <c r="A8" s="31" t="str">
        <f>IF('Inter O&amp;M Entry'!A9&lt;&gt;"", 'Inter O&amp;M Entry'!A9, "")</f>
        <v/>
      </c>
      <c r="B8" s="35" t="str">
        <f>IF('Inter O&amp;M Entry'!B9&lt;&gt;"", 'Inter O&amp;M Entry'!B9, "")</f>
        <v/>
      </c>
      <c r="C8" s="31" t="str">
        <f>IF('Inter O&amp;M Entry'!C9&lt;&gt;"", 'Inter O&amp;M Entry'!C9, "")</f>
        <v/>
      </c>
      <c r="D8" s="108" t="str">
        <f>IF('Inter O&amp;M Entry'!D9&lt;&gt;"", 'Inter O&amp;M Entry'!D9, "")</f>
        <v/>
      </c>
      <c r="E8" s="35" t="str">
        <f>IF($A8&lt;&gt;"", (IF('Inter O&amp;M Entry'!I9="Y", ((($B8*$D8)*((1+$B$5)^E$7))*(1/((1+$N$5)^E$7))), 0)), "")</f>
        <v/>
      </c>
      <c r="F8" s="35" t="str">
        <f>IF($A8&lt;&gt;"", (IF('Inter O&amp;M Entry'!J9="Y", ((($B8*$D8)*((1+$B$5)^F$7))*(1/((1+$N$5)^F$7))), 0)), "")</f>
        <v/>
      </c>
      <c r="G8" s="35" t="str">
        <f>IF($A8&lt;&gt;"", (IF('Inter O&amp;M Entry'!K9="Y", ((($B8*$D8)*((1+$B$5)^G$7))*(1/((1+$N$5)^G$7))), 0)), "")</f>
        <v/>
      </c>
      <c r="H8" s="35" t="str">
        <f>IF($A8&lt;&gt;"", (IF('Inter O&amp;M Entry'!L9="Y", ((($B8*$D8)*((1+$B$5)^H$7))*(1/((1+$N$5)^H$7))), 0)), "")</f>
        <v/>
      </c>
      <c r="I8" s="35" t="str">
        <f>IF($A8&lt;&gt;"", (IF('Inter O&amp;M Entry'!M9="Y", ((($B8*$D8)*((1+$B$5)^I$7))*(1/((1+$N$5)^I$7))), 0)), "")</f>
        <v/>
      </c>
      <c r="J8" s="35" t="str">
        <f>IF($A8&lt;&gt;"", (IF('Inter O&amp;M Entry'!N9="Y", ((($B8*$D8)*((1+$B$5)^J$7))*(1/((1+$N$5)^J$7))), 0)), "")</f>
        <v/>
      </c>
      <c r="K8" s="35" t="str">
        <f>IF($A8&lt;&gt;"", (IF('Inter O&amp;M Entry'!O9="Y", ((($B8*$D8)*((1+$B$5)^K$7))*(1/((1+$N$5)^K$7))), 0)), "")</f>
        <v/>
      </c>
      <c r="L8" s="35" t="str">
        <f>IF($A8&lt;&gt;"", (IF('Inter O&amp;M Entry'!P9="Y", ((($B8*$D8)*((1+$B$5)^L$7))*(1/((1+$N$5)^L$7))), 0)), "")</f>
        <v/>
      </c>
      <c r="M8" s="35" t="str">
        <f>IF($A8&lt;&gt;"", (IF('Inter O&amp;M Entry'!Q9="Y", ((($B8*$D8)*((1+$B$5)^M$7))*(1/((1+$N$5)^M$7))), 0)), "")</f>
        <v/>
      </c>
      <c r="N8" s="35" t="str">
        <f>IF($A8&lt;&gt;"", (IF('Inter O&amp;M Entry'!R9="Y", ((($B8*$D8)*((1+$B$5)^N$7))*(1/((1+$N$5)^N$7))), 0)), "")</f>
        <v/>
      </c>
    </row>
    <row r="9" spans="1:14">
      <c r="A9" s="31" t="str">
        <f>IF('Inter O&amp;M Entry'!A10&lt;&gt;"", 'Inter O&amp;M Entry'!A10, "")</f>
        <v/>
      </c>
      <c r="B9" s="35" t="str">
        <f>IF('Inter O&amp;M Entry'!B10&lt;&gt;"", 'Inter O&amp;M Entry'!B10, "")</f>
        <v/>
      </c>
      <c r="C9" s="31" t="str">
        <f>IF('Inter O&amp;M Entry'!C10&lt;&gt;"", 'Inter O&amp;M Entry'!C10, "")</f>
        <v/>
      </c>
      <c r="D9" s="108" t="str">
        <f>IF('Inter O&amp;M Entry'!D10&lt;&gt;"", 'Inter O&amp;M Entry'!D10, "")</f>
        <v/>
      </c>
      <c r="E9" s="35" t="str">
        <f>IF($A9&lt;&gt;"", (IF('Inter O&amp;M Entry'!I10="Y", ((($B9*$D9)*((1+$B$5)^E$7))*(1/((1+$N$5)^E$7))), 0)), "")</f>
        <v/>
      </c>
      <c r="F9" s="35" t="str">
        <f>IF($A9&lt;&gt;"", (IF('Inter O&amp;M Entry'!J10="Y", ((($B9*$D9)*((1+$B$5)^F$7))*(1/((1+$N$5)^F$7))), 0)), "")</f>
        <v/>
      </c>
      <c r="G9" s="35" t="str">
        <f>IF($A9&lt;&gt;"", (IF('Inter O&amp;M Entry'!K10="Y", ((($B9*$D9)*((1+$B$5)^G$7))*(1/((1+$N$5)^G$7))), 0)), "")</f>
        <v/>
      </c>
      <c r="H9" s="35" t="str">
        <f>IF($A9&lt;&gt;"", (IF('Inter O&amp;M Entry'!L10="Y", ((($B9*$D9)*((1+$B$5)^H$7))*(1/((1+$N$5)^H$7))), 0)), "")</f>
        <v/>
      </c>
      <c r="I9" s="35" t="str">
        <f>IF($A9&lt;&gt;"", (IF('Inter O&amp;M Entry'!M10="Y", ((($B9*$D9)*((1+$B$5)^I$7))*(1/((1+$N$5)^I$7))), 0)), "")</f>
        <v/>
      </c>
      <c r="J9" s="35" t="str">
        <f>IF($A9&lt;&gt;"", (IF('Inter O&amp;M Entry'!N10="Y", ((($B9*$D9)*((1+$B$5)^J$7))*(1/((1+$N$5)^J$7))), 0)), "")</f>
        <v/>
      </c>
      <c r="K9" s="35" t="str">
        <f>IF($A9&lt;&gt;"", (IF('Inter O&amp;M Entry'!O10="Y", ((($B9*$D9)*((1+$B$5)^K$7))*(1/((1+$N$5)^K$7))), 0)), "")</f>
        <v/>
      </c>
      <c r="L9" s="35" t="str">
        <f>IF($A9&lt;&gt;"", (IF('Inter O&amp;M Entry'!P10="Y", ((($B9*$D9)*((1+$B$5)^L$7))*(1/((1+$N$5)^L$7))), 0)), "")</f>
        <v/>
      </c>
      <c r="M9" s="35" t="str">
        <f>IF($A9&lt;&gt;"", (IF('Inter O&amp;M Entry'!Q10="Y", ((($B9*$D9)*((1+$B$5)^M$7))*(1/((1+$N$5)^M$7))), 0)), "")</f>
        <v/>
      </c>
      <c r="N9" s="35" t="str">
        <f>IF($A9&lt;&gt;"", (IF('Inter O&amp;M Entry'!R10="Y", ((($B9*$D9)*((1+$B$5)^N$7))*(1/((1+$N$5)^N$7))), 0)), "")</f>
        <v/>
      </c>
    </row>
    <row r="10" spans="1:14">
      <c r="A10" s="31" t="str">
        <f>IF('Inter O&amp;M Entry'!A11&lt;&gt;"", 'Inter O&amp;M Entry'!A11, "")</f>
        <v/>
      </c>
      <c r="B10" s="35" t="str">
        <f>IF('Inter O&amp;M Entry'!B11&lt;&gt;"", 'Inter O&amp;M Entry'!B11, "")</f>
        <v/>
      </c>
      <c r="C10" s="31" t="str">
        <f>IF('Inter O&amp;M Entry'!C11&lt;&gt;"", 'Inter O&amp;M Entry'!C11, "")</f>
        <v/>
      </c>
      <c r="D10" s="108" t="str">
        <f>IF('Inter O&amp;M Entry'!D11&lt;&gt;"", 'Inter O&amp;M Entry'!D11, "")</f>
        <v/>
      </c>
      <c r="E10" s="35" t="str">
        <f>IF($A10&lt;&gt;"", (IF('Inter O&amp;M Entry'!I11="Y", ((($B10*$D10)*((1+$B$5)^E$7))*(1/((1+$N$5)^E$7))), 0)), "")</f>
        <v/>
      </c>
      <c r="F10" s="35" t="str">
        <f>IF($A10&lt;&gt;"", (IF('Inter O&amp;M Entry'!J11="Y", ((($B10*$D10)*((1+$B$5)^F$7))*(1/((1+$N$5)^F$7))), 0)), "")</f>
        <v/>
      </c>
      <c r="G10" s="35" t="str">
        <f>IF($A10&lt;&gt;"", (IF('Inter O&amp;M Entry'!K11="Y", ((($B10*$D10)*((1+$B$5)^G$7))*(1/((1+$N$5)^G$7))), 0)), "")</f>
        <v/>
      </c>
      <c r="H10" s="35" t="str">
        <f>IF($A10&lt;&gt;"", (IF('Inter O&amp;M Entry'!L11="Y", ((($B10*$D10)*((1+$B$5)^H$7))*(1/((1+$N$5)^H$7))), 0)), "")</f>
        <v/>
      </c>
      <c r="I10" s="35" t="str">
        <f>IF($A10&lt;&gt;"", (IF('Inter O&amp;M Entry'!M11="Y", ((($B10*$D10)*((1+$B$5)^I$7))*(1/((1+$N$5)^I$7))), 0)), "")</f>
        <v/>
      </c>
      <c r="J10" s="35" t="str">
        <f>IF($A10&lt;&gt;"", (IF('Inter O&amp;M Entry'!N11="Y", ((($B10*$D10)*((1+$B$5)^J$7))*(1/((1+$N$5)^J$7))), 0)), "")</f>
        <v/>
      </c>
      <c r="K10" s="35" t="str">
        <f>IF($A10&lt;&gt;"", (IF('Inter O&amp;M Entry'!O11="Y", ((($B10*$D10)*((1+$B$5)^K$7))*(1/((1+$N$5)^K$7))), 0)), "")</f>
        <v/>
      </c>
      <c r="L10" s="35" t="str">
        <f>IF($A10&lt;&gt;"", (IF('Inter O&amp;M Entry'!P11="Y", ((($B10*$D10)*((1+$B$5)^L$7))*(1/((1+$N$5)^L$7))), 0)), "")</f>
        <v/>
      </c>
      <c r="M10" s="35" t="str">
        <f>IF($A10&lt;&gt;"", (IF('Inter O&amp;M Entry'!Q11="Y", ((($B10*$D10)*((1+$B$5)^M$7))*(1/((1+$N$5)^M$7))), 0)), "")</f>
        <v/>
      </c>
      <c r="N10" s="35" t="str">
        <f>IF($A10&lt;&gt;"", (IF('Inter O&amp;M Entry'!R11="Y", ((($B10*$D10)*((1+$B$5)^N$7))*(1/((1+$N$5)^N$7))), 0)), "")</f>
        <v/>
      </c>
    </row>
    <row r="11" spans="1:14">
      <c r="A11" s="31" t="str">
        <f>IF('Inter O&amp;M Entry'!A12&lt;&gt;"", 'Inter O&amp;M Entry'!A12, "")</f>
        <v/>
      </c>
      <c r="B11" s="35" t="str">
        <f>IF('Inter O&amp;M Entry'!B12&lt;&gt;"", 'Inter O&amp;M Entry'!B12, "")</f>
        <v/>
      </c>
      <c r="C11" s="31" t="str">
        <f>IF('Inter O&amp;M Entry'!C12&lt;&gt;"", 'Inter O&amp;M Entry'!C12, "")</f>
        <v/>
      </c>
      <c r="D11" s="108" t="str">
        <f>IF('Inter O&amp;M Entry'!D12&lt;&gt;"", 'Inter O&amp;M Entry'!D12, "")</f>
        <v/>
      </c>
      <c r="E11" s="35" t="str">
        <f>IF($A11&lt;&gt;"", (IF('Inter O&amp;M Entry'!I12="Y", ((($B11*$D11)*((1+$B$5)^E$7))*(1/((1+$N$5)^E$7))), 0)), "")</f>
        <v/>
      </c>
      <c r="F11" s="35" t="str">
        <f>IF($A11&lt;&gt;"", (IF('Inter O&amp;M Entry'!J12="Y", ((($B11*$D11)*((1+$B$5)^F$7))*(1/((1+$N$5)^F$7))), 0)), "")</f>
        <v/>
      </c>
      <c r="G11" s="35" t="str">
        <f>IF($A11&lt;&gt;"", (IF('Inter O&amp;M Entry'!K12="Y", ((($B11*$D11)*((1+$B$5)^G$7))*(1/((1+$N$5)^G$7))), 0)), "")</f>
        <v/>
      </c>
      <c r="H11" s="35" t="str">
        <f>IF($A11&lt;&gt;"", (IF('Inter O&amp;M Entry'!L12="Y", ((($B11*$D11)*((1+$B$5)^H$7))*(1/((1+$N$5)^H$7))), 0)), "")</f>
        <v/>
      </c>
      <c r="I11" s="35" t="str">
        <f>IF($A11&lt;&gt;"", (IF('Inter O&amp;M Entry'!M12="Y", ((($B11*$D11)*((1+$B$5)^I$7))*(1/((1+$N$5)^I$7))), 0)), "")</f>
        <v/>
      </c>
      <c r="J11" s="35" t="str">
        <f>IF($A11&lt;&gt;"", (IF('Inter O&amp;M Entry'!N12="Y", ((($B11*$D11)*((1+$B$5)^J$7))*(1/((1+$N$5)^J$7))), 0)), "")</f>
        <v/>
      </c>
      <c r="K11" s="35" t="str">
        <f>IF($A11&lt;&gt;"", (IF('Inter O&amp;M Entry'!O12="Y", ((($B11*$D11)*((1+$B$5)^K$7))*(1/((1+$N$5)^K$7))), 0)), "")</f>
        <v/>
      </c>
      <c r="L11" s="35" t="str">
        <f>IF($A11&lt;&gt;"", (IF('Inter O&amp;M Entry'!P12="Y", ((($B11*$D11)*((1+$B$5)^L$7))*(1/((1+$N$5)^L$7))), 0)), "")</f>
        <v/>
      </c>
      <c r="M11" s="35" t="str">
        <f>IF($A11&lt;&gt;"", (IF('Inter O&amp;M Entry'!Q12="Y", ((($B11*$D11)*((1+$B$5)^M$7))*(1/((1+$N$5)^M$7))), 0)), "")</f>
        <v/>
      </c>
      <c r="N11" s="35" t="str">
        <f>IF($A11&lt;&gt;"", (IF('Inter O&amp;M Entry'!R12="Y", ((($B11*$D11)*((1+$B$5)^N$7))*(1/((1+$N$5)^N$7))), 0)), "")</f>
        <v/>
      </c>
    </row>
    <row r="12" spans="1:14">
      <c r="A12" s="31" t="str">
        <f>IF('Inter O&amp;M Entry'!A13&lt;&gt;"", 'Inter O&amp;M Entry'!A13, "")</f>
        <v/>
      </c>
      <c r="B12" s="35" t="str">
        <f>IF('Inter O&amp;M Entry'!B13&lt;&gt;"", 'Inter O&amp;M Entry'!B13, "")</f>
        <v/>
      </c>
      <c r="C12" s="31" t="str">
        <f>IF('Inter O&amp;M Entry'!C13&lt;&gt;"", 'Inter O&amp;M Entry'!C13, "")</f>
        <v/>
      </c>
      <c r="D12" s="108" t="str">
        <f>IF('Inter O&amp;M Entry'!D13&lt;&gt;"", 'Inter O&amp;M Entry'!D13, "")</f>
        <v/>
      </c>
      <c r="E12" s="35" t="str">
        <f>IF($A12&lt;&gt;"", (IF('Inter O&amp;M Entry'!I13="Y", ((($B12*$D12)*((1+$B$5)^E$7))*(1/((1+$N$5)^E$7))), 0)), "")</f>
        <v/>
      </c>
      <c r="F12" s="35" t="str">
        <f>IF($A12&lt;&gt;"", (IF('Inter O&amp;M Entry'!J13="Y", ((($B12*$D12)*((1+$B$5)^F$7))*(1/((1+$N$5)^F$7))), 0)), "")</f>
        <v/>
      </c>
      <c r="G12" s="35" t="str">
        <f>IF($A12&lt;&gt;"", (IF('Inter O&amp;M Entry'!K13="Y", ((($B12*$D12)*((1+$B$5)^G$7))*(1/((1+$N$5)^G$7))), 0)), "")</f>
        <v/>
      </c>
      <c r="H12" s="35" t="str">
        <f>IF($A12&lt;&gt;"", (IF('Inter O&amp;M Entry'!L13="Y", ((($B12*$D12)*((1+$B$5)^H$7))*(1/((1+$N$5)^H$7))), 0)), "")</f>
        <v/>
      </c>
      <c r="I12" s="35" t="str">
        <f>IF($A12&lt;&gt;"", (IF('Inter O&amp;M Entry'!M13="Y", ((($B12*$D12)*((1+$B$5)^I$7))*(1/((1+$N$5)^I$7))), 0)), "")</f>
        <v/>
      </c>
      <c r="J12" s="35" t="str">
        <f>IF($A12&lt;&gt;"", (IF('Inter O&amp;M Entry'!N13="Y", ((($B12*$D12)*((1+$B$5)^J$7))*(1/((1+$N$5)^J$7))), 0)), "")</f>
        <v/>
      </c>
      <c r="K12" s="35" t="str">
        <f>IF($A12&lt;&gt;"", (IF('Inter O&amp;M Entry'!O13="Y", ((($B12*$D12)*((1+$B$5)^K$7))*(1/((1+$N$5)^K$7))), 0)), "")</f>
        <v/>
      </c>
      <c r="L12" s="35" t="str">
        <f>IF($A12&lt;&gt;"", (IF('Inter O&amp;M Entry'!P13="Y", ((($B12*$D12)*((1+$B$5)^L$7))*(1/((1+$N$5)^L$7))), 0)), "")</f>
        <v/>
      </c>
      <c r="M12" s="35" t="str">
        <f>IF($A12&lt;&gt;"", (IF('Inter O&amp;M Entry'!Q13="Y", ((($B12*$D12)*((1+$B$5)^M$7))*(1/((1+$N$5)^M$7))), 0)), "")</f>
        <v/>
      </c>
      <c r="N12" s="35" t="str">
        <f>IF($A12&lt;&gt;"", (IF('Inter O&amp;M Entry'!R13="Y", ((($B12*$D12)*((1+$B$5)^N$7))*(1/((1+$N$5)^N$7))), 0)), "")</f>
        <v/>
      </c>
    </row>
    <row r="13" spans="1:14">
      <c r="A13" s="31" t="str">
        <f>IF('Inter O&amp;M Entry'!A14&lt;&gt;"", 'Inter O&amp;M Entry'!A14, "")</f>
        <v/>
      </c>
      <c r="B13" s="35" t="str">
        <f>IF('Inter O&amp;M Entry'!B14&lt;&gt;"", 'Inter O&amp;M Entry'!B14, "")</f>
        <v/>
      </c>
      <c r="C13" s="31" t="str">
        <f>IF('Inter O&amp;M Entry'!C14&lt;&gt;"", 'Inter O&amp;M Entry'!C14, "")</f>
        <v/>
      </c>
      <c r="D13" s="108" t="str">
        <f>IF('Inter O&amp;M Entry'!D14&lt;&gt;"", 'Inter O&amp;M Entry'!D14, "")</f>
        <v/>
      </c>
      <c r="E13" s="35" t="str">
        <f>IF($A13&lt;&gt;"", (IF('Inter O&amp;M Entry'!I14="Y", ((($B13*$D13)*((1+$B$5)^E$7))*(1/((1+$N$5)^E$7))), 0)), "")</f>
        <v/>
      </c>
      <c r="F13" s="35" t="str">
        <f>IF($A13&lt;&gt;"", (IF('Inter O&amp;M Entry'!J14="Y", ((($B13*$D13)*((1+$B$5)^F$7))*(1/((1+$N$5)^F$7))), 0)), "")</f>
        <v/>
      </c>
      <c r="G13" s="35" t="str">
        <f>IF($A13&lt;&gt;"", (IF('Inter O&amp;M Entry'!K14="Y", ((($B13*$D13)*((1+$B$5)^G$7))*(1/((1+$N$5)^G$7))), 0)), "")</f>
        <v/>
      </c>
      <c r="H13" s="35" t="str">
        <f>IF($A13&lt;&gt;"", (IF('Inter O&amp;M Entry'!L14="Y", ((($B13*$D13)*((1+$B$5)^H$7))*(1/((1+$N$5)^H$7))), 0)), "")</f>
        <v/>
      </c>
      <c r="I13" s="35" t="str">
        <f>IF($A13&lt;&gt;"", (IF('Inter O&amp;M Entry'!M14="Y", ((($B13*$D13)*((1+$B$5)^I$7))*(1/((1+$N$5)^I$7))), 0)), "")</f>
        <v/>
      </c>
      <c r="J13" s="35" t="str">
        <f>IF($A13&lt;&gt;"", (IF('Inter O&amp;M Entry'!N14="Y", ((($B13*$D13)*((1+$B$5)^J$7))*(1/((1+$N$5)^J$7))), 0)), "")</f>
        <v/>
      </c>
      <c r="K13" s="35" t="str">
        <f>IF($A13&lt;&gt;"", (IF('Inter O&amp;M Entry'!O14="Y", ((($B13*$D13)*((1+$B$5)^K$7))*(1/((1+$N$5)^K$7))), 0)), "")</f>
        <v/>
      </c>
      <c r="L13" s="35" t="str">
        <f>IF($A13&lt;&gt;"", (IF('Inter O&amp;M Entry'!P14="Y", ((($B13*$D13)*((1+$B$5)^L$7))*(1/((1+$N$5)^L$7))), 0)), "")</f>
        <v/>
      </c>
      <c r="M13" s="35" t="str">
        <f>IF($A13&lt;&gt;"", (IF('Inter O&amp;M Entry'!Q14="Y", ((($B13*$D13)*((1+$B$5)^M$7))*(1/((1+$N$5)^M$7))), 0)), "")</f>
        <v/>
      </c>
      <c r="N13" s="35" t="str">
        <f>IF($A13&lt;&gt;"", (IF('Inter O&amp;M Entry'!R14="Y", ((($B13*$D13)*((1+$B$5)^N$7))*(1/((1+$N$5)^N$7))), 0)), "")</f>
        <v/>
      </c>
    </row>
    <row r="14" spans="1:14">
      <c r="A14" s="31" t="str">
        <f>IF('Inter O&amp;M Entry'!A15&lt;&gt;"", 'Inter O&amp;M Entry'!A15, "")</f>
        <v/>
      </c>
      <c r="B14" s="35" t="str">
        <f>IF('Inter O&amp;M Entry'!B15&lt;&gt;"", 'Inter O&amp;M Entry'!B15, "")</f>
        <v/>
      </c>
      <c r="C14" s="31" t="str">
        <f>IF('Inter O&amp;M Entry'!C15&lt;&gt;"", 'Inter O&amp;M Entry'!C15, "")</f>
        <v/>
      </c>
      <c r="D14" s="108" t="str">
        <f>IF('Inter O&amp;M Entry'!D15&lt;&gt;"", 'Inter O&amp;M Entry'!D15, "")</f>
        <v/>
      </c>
      <c r="E14" s="35" t="str">
        <f>IF($A14&lt;&gt;"", (IF('Inter O&amp;M Entry'!I15="Y", ((($B14*$D14)*((1+$B$5)^E$7))*(1/((1+$N$5)^E$7))), 0)), "")</f>
        <v/>
      </c>
      <c r="F14" s="35" t="str">
        <f>IF($A14&lt;&gt;"", (IF('Inter O&amp;M Entry'!J15="Y", ((($B14*$D14)*((1+$B$5)^F$7))*(1/((1+$N$5)^F$7))), 0)), "")</f>
        <v/>
      </c>
      <c r="G14" s="35" t="str">
        <f>IF($A14&lt;&gt;"", (IF('Inter O&amp;M Entry'!K15="Y", ((($B14*$D14)*((1+$B$5)^G$7))*(1/((1+$N$5)^G$7))), 0)), "")</f>
        <v/>
      </c>
      <c r="H14" s="35" t="str">
        <f>IF($A14&lt;&gt;"", (IF('Inter O&amp;M Entry'!L15="Y", ((($B14*$D14)*((1+$B$5)^H$7))*(1/((1+$N$5)^H$7))), 0)), "")</f>
        <v/>
      </c>
      <c r="I14" s="35" t="str">
        <f>IF($A14&lt;&gt;"", (IF('Inter O&amp;M Entry'!M15="Y", ((($B14*$D14)*((1+$B$5)^I$7))*(1/((1+$N$5)^I$7))), 0)), "")</f>
        <v/>
      </c>
      <c r="J14" s="35" t="str">
        <f>IF($A14&lt;&gt;"", (IF('Inter O&amp;M Entry'!N15="Y", ((($B14*$D14)*((1+$B$5)^J$7))*(1/((1+$N$5)^J$7))), 0)), "")</f>
        <v/>
      </c>
      <c r="K14" s="35" t="str">
        <f>IF($A14&lt;&gt;"", (IF('Inter O&amp;M Entry'!O15="Y", ((($B14*$D14)*((1+$B$5)^K$7))*(1/((1+$N$5)^K$7))), 0)), "")</f>
        <v/>
      </c>
      <c r="L14" s="35" t="str">
        <f>IF($A14&lt;&gt;"", (IF('Inter O&amp;M Entry'!P15="Y", ((($B14*$D14)*((1+$B$5)^L$7))*(1/((1+$N$5)^L$7))), 0)), "")</f>
        <v/>
      </c>
      <c r="M14" s="35" t="str">
        <f>IF($A14&lt;&gt;"", (IF('Inter O&amp;M Entry'!Q15="Y", ((($B14*$D14)*((1+$B$5)^M$7))*(1/((1+$N$5)^M$7))), 0)), "")</f>
        <v/>
      </c>
      <c r="N14" s="35" t="str">
        <f>IF($A14&lt;&gt;"", (IF('Inter O&amp;M Entry'!R15="Y", ((($B14*$D14)*((1+$B$5)^N$7))*(1/((1+$N$5)^N$7))), 0)), "")</f>
        <v/>
      </c>
    </row>
    <row r="15" spans="1:14">
      <c r="A15" s="31" t="str">
        <f>IF('Inter O&amp;M Entry'!A16&lt;&gt;"", 'Inter O&amp;M Entry'!A16, "")</f>
        <v/>
      </c>
      <c r="B15" s="35" t="str">
        <f>IF('Inter O&amp;M Entry'!B16&lt;&gt;"", 'Inter O&amp;M Entry'!B16, "")</f>
        <v/>
      </c>
      <c r="C15" s="31" t="str">
        <f>IF('Inter O&amp;M Entry'!C16&lt;&gt;"", 'Inter O&amp;M Entry'!C16, "")</f>
        <v/>
      </c>
      <c r="D15" s="108" t="str">
        <f>IF('Inter O&amp;M Entry'!D16&lt;&gt;"", 'Inter O&amp;M Entry'!D16, "")</f>
        <v/>
      </c>
      <c r="E15" s="35" t="str">
        <f>IF($A15&lt;&gt;"", (IF('Inter O&amp;M Entry'!I16="Y", ((($B15*$D15)*((1+$B$5)^E$7))*(1/((1+$N$5)^E$7))), 0)), "")</f>
        <v/>
      </c>
      <c r="F15" s="35" t="str">
        <f>IF($A15&lt;&gt;"", (IF('Inter O&amp;M Entry'!J16="Y", ((($B15*$D15)*((1+$B$5)^F$7))*(1/((1+$N$5)^F$7))), 0)), "")</f>
        <v/>
      </c>
      <c r="G15" s="35" t="str">
        <f>IF($A15&lt;&gt;"", (IF('Inter O&amp;M Entry'!K16="Y", ((($B15*$D15)*((1+$B$5)^G$7))*(1/((1+$N$5)^G$7))), 0)), "")</f>
        <v/>
      </c>
      <c r="H15" s="35" t="str">
        <f>IF($A15&lt;&gt;"", (IF('Inter O&amp;M Entry'!L16="Y", ((($B15*$D15)*((1+$B$5)^H$7))*(1/((1+$N$5)^H$7))), 0)), "")</f>
        <v/>
      </c>
      <c r="I15" s="35" t="str">
        <f>IF($A15&lt;&gt;"", (IF('Inter O&amp;M Entry'!M16="Y", ((($B15*$D15)*((1+$B$5)^I$7))*(1/((1+$N$5)^I$7))), 0)), "")</f>
        <v/>
      </c>
      <c r="J15" s="35" t="str">
        <f>IF($A15&lt;&gt;"", (IF('Inter O&amp;M Entry'!N16="Y", ((($B15*$D15)*((1+$B$5)^J$7))*(1/((1+$N$5)^J$7))), 0)), "")</f>
        <v/>
      </c>
      <c r="K15" s="35" t="str">
        <f>IF($A15&lt;&gt;"", (IF('Inter O&amp;M Entry'!O16="Y", ((($B15*$D15)*((1+$B$5)^K$7))*(1/((1+$N$5)^K$7))), 0)), "")</f>
        <v/>
      </c>
      <c r="L15" s="35" t="str">
        <f>IF($A15&lt;&gt;"", (IF('Inter O&amp;M Entry'!P16="Y", ((($B15*$D15)*((1+$B$5)^L$7))*(1/((1+$N$5)^L$7))), 0)), "")</f>
        <v/>
      </c>
      <c r="M15" s="35" t="str">
        <f>IF($A15&lt;&gt;"", (IF('Inter O&amp;M Entry'!Q16="Y", ((($B15*$D15)*((1+$B$5)^M$7))*(1/((1+$N$5)^M$7))), 0)), "")</f>
        <v/>
      </c>
      <c r="N15" s="35" t="str">
        <f>IF($A15&lt;&gt;"", (IF('Inter O&amp;M Entry'!R16="Y", ((($B15*$D15)*((1+$B$5)^N$7))*(1/((1+$N$5)^N$7))), 0)), "")</f>
        <v/>
      </c>
    </row>
    <row r="16" spans="1:14">
      <c r="A16" s="31" t="str">
        <f>IF('Inter O&amp;M Entry'!A17&lt;&gt;"", 'Inter O&amp;M Entry'!A17, "")</f>
        <v/>
      </c>
      <c r="B16" s="35" t="str">
        <f>IF('Inter O&amp;M Entry'!B17&lt;&gt;"", 'Inter O&amp;M Entry'!B17, "")</f>
        <v/>
      </c>
      <c r="C16" s="31" t="str">
        <f>IF('Inter O&amp;M Entry'!C17&lt;&gt;"", 'Inter O&amp;M Entry'!C17, "")</f>
        <v/>
      </c>
      <c r="D16" s="108" t="str">
        <f>IF('Inter O&amp;M Entry'!D17&lt;&gt;"", 'Inter O&amp;M Entry'!D17, "")</f>
        <v/>
      </c>
      <c r="E16" s="35" t="str">
        <f>IF($A16&lt;&gt;"", (IF('Inter O&amp;M Entry'!I17="Y", ((($B16*$D16)*((1+$B$5)^E$7))*(1/((1+$N$5)^E$7))), 0)), "")</f>
        <v/>
      </c>
      <c r="F16" s="35" t="str">
        <f>IF($A16&lt;&gt;"", (IF('Inter O&amp;M Entry'!J17="Y", ((($B16*$D16)*((1+$B$5)^F$7))*(1/((1+$N$5)^F$7))), 0)), "")</f>
        <v/>
      </c>
      <c r="G16" s="35" t="str">
        <f>IF($A16&lt;&gt;"", (IF('Inter O&amp;M Entry'!K17="Y", ((($B16*$D16)*((1+$B$5)^G$7))*(1/((1+$N$5)^G$7))), 0)), "")</f>
        <v/>
      </c>
      <c r="H16" s="35" t="str">
        <f>IF($A16&lt;&gt;"", (IF('Inter O&amp;M Entry'!L17="Y", ((($B16*$D16)*((1+$B$5)^H$7))*(1/((1+$N$5)^H$7))), 0)), "")</f>
        <v/>
      </c>
      <c r="I16" s="35" t="str">
        <f>IF($A16&lt;&gt;"", (IF('Inter O&amp;M Entry'!M17="Y", ((($B16*$D16)*((1+$B$5)^I$7))*(1/((1+$N$5)^I$7))), 0)), "")</f>
        <v/>
      </c>
      <c r="J16" s="35" t="str">
        <f>IF($A16&lt;&gt;"", (IF('Inter O&amp;M Entry'!N17="Y", ((($B16*$D16)*((1+$B$5)^J$7))*(1/((1+$N$5)^J$7))), 0)), "")</f>
        <v/>
      </c>
      <c r="K16" s="35" t="str">
        <f>IF($A16&lt;&gt;"", (IF('Inter O&amp;M Entry'!O17="Y", ((($B16*$D16)*((1+$B$5)^K$7))*(1/((1+$N$5)^K$7))), 0)), "")</f>
        <v/>
      </c>
      <c r="L16" s="35" t="str">
        <f>IF($A16&lt;&gt;"", (IF('Inter O&amp;M Entry'!P17="Y", ((($B16*$D16)*((1+$B$5)^L$7))*(1/((1+$N$5)^L$7))), 0)), "")</f>
        <v/>
      </c>
      <c r="M16" s="35" t="str">
        <f>IF($A16&lt;&gt;"", (IF('Inter O&amp;M Entry'!Q17="Y", ((($B16*$D16)*((1+$B$5)^M$7))*(1/((1+$N$5)^M$7))), 0)), "")</f>
        <v/>
      </c>
      <c r="N16" s="35" t="str">
        <f>IF($A16&lt;&gt;"", (IF('Inter O&amp;M Entry'!R17="Y", ((($B16*$D16)*((1+$B$5)^N$7))*(1/((1+$N$5)^N$7))), 0)), "")</f>
        <v/>
      </c>
    </row>
    <row r="17" spans="1:14">
      <c r="A17" s="31" t="str">
        <f>IF('Inter O&amp;M Entry'!A18&lt;&gt;"", 'Inter O&amp;M Entry'!A18, "")</f>
        <v/>
      </c>
      <c r="B17" s="35" t="str">
        <f>IF('Inter O&amp;M Entry'!B18&lt;&gt;"", 'Inter O&amp;M Entry'!B18, "")</f>
        <v/>
      </c>
      <c r="C17" s="31" t="str">
        <f>IF('Inter O&amp;M Entry'!C18&lt;&gt;"", 'Inter O&amp;M Entry'!C18, "")</f>
        <v/>
      </c>
      <c r="D17" s="108" t="str">
        <f>IF('Inter O&amp;M Entry'!D18&lt;&gt;"", 'Inter O&amp;M Entry'!D18, "")</f>
        <v/>
      </c>
      <c r="E17" s="35" t="str">
        <f>IF($A17&lt;&gt;"", (IF('Inter O&amp;M Entry'!I18="Y", ((($B17*$D17)*((1+$B$5)^E$7))*(1/((1+$N$5)^E$7))), 0)), "")</f>
        <v/>
      </c>
      <c r="F17" s="35" t="str">
        <f>IF($A17&lt;&gt;"", (IF('Inter O&amp;M Entry'!J18="Y", ((($B17*$D17)*((1+$B$5)^F$7))*(1/((1+$N$5)^F$7))), 0)), "")</f>
        <v/>
      </c>
      <c r="G17" s="35" t="str">
        <f>IF($A17&lt;&gt;"", (IF('Inter O&amp;M Entry'!K18="Y", ((($B17*$D17)*((1+$B$5)^G$7))*(1/((1+$N$5)^G$7))), 0)), "")</f>
        <v/>
      </c>
      <c r="H17" s="35" t="str">
        <f>IF($A17&lt;&gt;"", (IF('Inter O&amp;M Entry'!L18="Y", ((($B17*$D17)*((1+$B$5)^H$7))*(1/((1+$N$5)^H$7))), 0)), "")</f>
        <v/>
      </c>
      <c r="I17" s="35" t="str">
        <f>IF($A17&lt;&gt;"", (IF('Inter O&amp;M Entry'!M18="Y", ((($B17*$D17)*((1+$B$5)^I$7))*(1/((1+$N$5)^I$7))), 0)), "")</f>
        <v/>
      </c>
      <c r="J17" s="35" t="str">
        <f>IF($A17&lt;&gt;"", (IF('Inter O&amp;M Entry'!N18="Y", ((($B17*$D17)*((1+$B$5)^J$7))*(1/((1+$N$5)^J$7))), 0)), "")</f>
        <v/>
      </c>
      <c r="K17" s="35" t="str">
        <f>IF($A17&lt;&gt;"", (IF('Inter O&amp;M Entry'!O18="Y", ((($B17*$D17)*((1+$B$5)^K$7))*(1/((1+$N$5)^K$7))), 0)), "")</f>
        <v/>
      </c>
      <c r="L17" s="35" t="str">
        <f>IF($A17&lt;&gt;"", (IF('Inter O&amp;M Entry'!P18="Y", ((($B17*$D17)*((1+$B$5)^L$7))*(1/((1+$N$5)^L$7))), 0)), "")</f>
        <v/>
      </c>
      <c r="M17" s="35" t="str">
        <f>IF($A17&lt;&gt;"", (IF('Inter O&amp;M Entry'!Q18="Y", ((($B17*$D17)*((1+$B$5)^M$7))*(1/((1+$N$5)^M$7))), 0)), "")</f>
        <v/>
      </c>
      <c r="N17" s="35" t="str">
        <f>IF($A17&lt;&gt;"", (IF('Inter O&amp;M Entry'!R18="Y", ((($B17*$D17)*((1+$B$5)^N$7))*(1/((1+$N$5)^N$7))), 0)), "")</f>
        <v/>
      </c>
    </row>
    <row r="18" spans="1:14">
      <c r="A18" s="31" t="str">
        <f>IF('Inter O&amp;M Entry'!A19&lt;&gt;"", 'Inter O&amp;M Entry'!A19, "")</f>
        <v/>
      </c>
      <c r="B18" s="35" t="str">
        <f>IF('Inter O&amp;M Entry'!B19&lt;&gt;"", 'Inter O&amp;M Entry'!B19, "")</f>
        <v/>
      </c>
      <c r="C18" s="31" t="str">
        <f>IF('Inter O&amp;M Entry'!C19&lt;&gt;"", 'Inter O&amp;M Entry'!C19, "")</f>
        <v/>
      </c>
      <c r="D18" s="108" t="str">
        <f>IF('Inter O&amp;M Entry'!D19&lt;&gt;"", 'Inter O&amp;M Entry'!D19, "")</f>
        <v/>
      </c>
      <c r="E18" s="35" t="str">
        <f>IF($A18&lt;&gt;"", (IF('Inter O&amp;M Entry'!I19="Y", ((($B18*$D18)*((1+$B$5)^E$7))*(1/((1+$N$5)^E$7))), 0)), "")</f>
        <v/>
      </c>
      <c r="F18" s="35" t="str">
        <f>IF($A18&lt;&gt;"", (IF('Inter O&amp;M Entry'!J19="Y", ((($B18*$D18)*((1+$B$5)^F$7))*(1/((1+$N$5)^F$7))), 0)), "")</f>
        <v/>
      </c>
      <c r="G18" s="35" t="str">
        <f>IF($A18&lt;&gt;"", (IF('Inter O&amp;M Entry'!K19="Y", ((($B18*$D18)*((1+$B$5)^G$7))*(1/((1+$N$5)^G$7))), 0)), "")</f>
        <v/>
      </c>
      <c r="H18" s="35" t="str">
        <f>IF($A18&lt;&gt;"", (IF('Inter O&amp;M Entry'!L19="Y", ((($B18*$D18)*((1+$B$5)^H$7))*(1/((1+$N$5)^H$7))), 0)), "")</f>
        <v/>
      </c>
      <c r="I18" s="35" t="str">
        <f>IF($A18&lt;&gt;"", (IF('Inter O&amp;M Entry'!M19="Y", ((($B18*$D18)*((1+$B$5)^I$7))*(1/((1+$N$5)^I$7))), 0)), "")</f>
        <v/>
      </c>
      <c r="J18" s="35" t="str">
        <f>IF($A18&lt;&gt;"", (IF('Inter O&amp;M Entry'!N19="Y", ((($B18*$D18)*((1+$B$5)^J$7))*(1/((1+$N$5)^J$7))), 0)), "")</f>
        <v/>
      </c>
      <c r="K18" s="35" t="str">
        <f>IF($A18&lt;&gt;"", (IF('Inter O&amp;M Entry'!O19="Y", ((($B18*$D18)*((1+$B$5)^K$7))*(1/((1+$N$5)^K$7))), 0)), "")</f>
        <v/>
      </c>
      <c r="L18" s="35" t="str">
        <f>IF($A18&lt;&gt;"", (IF('Inter O&amp;M Entry'!P19="Y", ((($B18*$D18)*((1+$B$5)^L$7))*(1/((1+$N$5)^L$7))), 0)), "")</f>
        <v/>
      </c>
      <c r="M18" s="35" t="str">
        <f>IF($A18&lt;&gt;"", (IF('Inter O&amp;M Entry'!Q19="Y", ((($B18*$D18)*((1+$B$5)^M$7))*(1/((1+$N$5)^M$7))), 0)), "")</f>
        <v/>
      </c>
      <c r="N18" s="35" t="str">
        <f>IF($A18&lt;&gt;"", (IF('Inter O&amp;M Entry'!R19="Y", ((($B18*$D18)*((1+$B$5)^N$7))*(1/((1+$N$5)^N$7))), 0)), "")</f>
        <v/>
      </c>
    </row>
    <row r="19" spans="1:14">
      <c r="A19" s="31" t="str">
        <f>IF('Inter O&amp;M Entry'!A20&lt;&gt;"", 'Inter O&amp;M Entry'!A20, "")</f>
        <v/>
      </c>
      <c r="B19" s="35" t="str">
        <f>IF('Inter O&amp;M Entry'!B20&lt;&gt;"", 'Inter O&amp;M Entry'!B20, "")</f>
        <v/>
      </c>
      <c r="C19" s="31" t="str">
        <f>IF('Inter O&amp;M Entry'!C20&lt;&gt;"", 'Inter O&amp;M Entry'!C20, "")</f>
        <v/>
      </c>
      <c r="D19" s="108" t="str">
        <f>IF('Inter O&amp;M Entry'!D20&lt;&gt;"", 'Inter O&amp;M Entry'!D20, "")</f>
        <v/>
      </c>
      <c r="E19" s="35" t="str">
        <f>IF($A19&lt;&gt;"", (IF('Inter O&amp;M Entry'!I20="Y", ((($B19*$D19)*((1+$B$5)^E$7))*(1/((1+$N$5)^E$7))), 0)), "")</f>
        <v/>
      </c>
      <c r="F19" s="35" t="str">
        <f>IF($A19&lt;&gt;"", (IF('Inter O&amp;M Entry'!J20="Y", ((($B19*$D19)*((1+$B$5)^F$7))*(1/((1+$N$5)^F$7))), 0)), "")</f>
        <v/>
      </c>
      <c r="G19" s="35" t="str">
        <f>IF($A19&lt;&gt;"", (IF('Inter O&amp;M Entry'!K20="Y", ((($B19*$D19)*((1+$B$5)^G$7))*(1/((1+$N$5)^G$7))), 0)), "")</f>
        <v/>
      </c>
      <c r="H19" s="35" t="str">
        <f>IF($A19&lt;&gt;"", (IF('Inter O&amp;M Entry'!L20="Y", ((($B19*$D19)*((1+$B$5)^H$7))*(1/((1+$N$5)^H$7))), 0)), "")</f>
        <v/>
      </c>
      <c r="I19" s="35" t="str">
        <f>IF($A19&lt;&gt;"", (IF('Inter O&amp;M Entry'!M20="Y", ((($B19*$D19)*((1+$B$5)^I$7))*(1/((1+$N$5)^I$7))), 0)), "")</f>
        <v/>
      </c>
      <c r="J19" s="35" t="str">
        <f>IF($A19&lt;&gt;"", (IF('Inter O&amp;M Entry'!N20="Y", ((($B19*$D19)*((1+$B$5)^J$7))*(1/((1+$N$5)^J$7))), 0)), "")</f>
        <v/>
      </c>
      <c r="K19" s="35" t="str">
        <f>IF($A19&lt;&gt;"", (IF('Inter O&amp;M Entry'!O20="Y", ((($B19*$D19)*((1+$B$5)^K$7))*(1/((1+$N$5)^K$7))), 0)), "")</f>
        <v/>
      </c>
      <c r="L19" s="35" t="str">
        <f>IF($A19&lt;&gt;"", (IF('Inter O&amp;M Entry'!P20="Y", ((($B19*$D19)*((1+$B$5)^L$7))*(1/((1+$N$5)^L$7))), 0)), "")</f>
        <v/>
      </c>
      <c r="M19" s="35" t="str">
        <f>IF($A19&lt;&gt;"", (IF('Inter O&amp;M Entry'!Q20="Y", ((($B19*$D19)*((1+$B$5)^M$7))*(1/((1+$N$5)^M$7))), 0)), "")</f>
        <v/>
      </c>
      <c r="N19" s="35" t="str">
        <f>IF($A19&lt;&gt;"", (IF('Inter O&amp;M Entry'!R20="Y", ((($B19*$D19)*((1+$B$5)^N$7))*(1/((1+$N$5)^N$7))), 0)), "")</f>
        <v/>
      </c>
    </row>
    <row r="20" spans="1:14">
      <c r="D20" s="2" t="s">
        <v>74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  <row r="21" spans="1:14">
      <c r="M21" s="2" t="s">
        <v>57</v>
      </c>
      <c r="N21" s="28">
        <f>'Inter O&amp;M 1-10'!E20+'Inter O&amp;M 1-10'!F20+'Inter O&amp;M 1-10'!G20+'Inter O&amp;M 1-10'!H20+'Inter O&amp;M 1-10'!I20+'Inter O&amp;M 1-10'!J20+'Inter O&amp;M 1-10'!K20+'Inter O&amp;M 1-10'!L20+'Inter O&amp;M 1-10'!M20+'Inter O&amp;M 1-10'!N20+'Inter O&amp;M 11-20'!E20+'Inter O&amp;M 11-20'!F20+'Inter O&amp;M 11-20'!G20+'Inter O&amp;M 11-20'!H20+'Inter O&amp;M 11-20'!I20+'Inter O&amp;M 11-20'!J20+'Inter O&amp;M 11-20'!K20+'Inter O&amp;M 11-20'!L20+'Inter O&amp;M 11-20'!M20+'Inter O&amp;M 11-20'!N20</f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2:E42"/>
  <sheetViews>
    <sheetView topLeftCell="A5" workbookViewId="0">
      <selection activeCell="B6" sqref="B6:E6"/>
    </sheetView>
  </sheetViews>
  <sheetFormatPr defaultRowHeight="15.75"/>
  <cols>
    <col min="1" max="1" width="54.7109375" style="1" customWidth="1"/>
    <col min="2" max="3" width="18.28515625" style="1" customWidth="1"/>
    <col min="4" max="4" width="14.7109375" style="1" customWidth="1"/>
    <col min="5" max="5" width="28.140625" style="1" customWidth="1"/>
    <col min="6" max="16384" width="9.140625" style="1"/>
  </cols>
  <sheetData>
    <row r="2" spans="1:5">
      <c r="A2" s="137" t="s">
        <v>148</v>
      </c>
      <c r="B2" s="138"/>
      <c r="C2" s="138"/>
      <c r="D2" s="138"/>
      <c r="E2" s="139"/>
    </row>
    <row r="3" spans="1:5">
      <c r="A3" s="140">
        <f>Input!B4</f>
        <v>0</v>
      </c>
      <c r="B3" s="141"/>
      <c r="C3" s="141"/>
      <c r="D3" s="141"/>
      <c r="E3" s="142"/>
    </row>
    <row r="4" spans="1:5">
      <c r="A4" s="140">
        <f>Input!B5</f>
        <v>0</v>
      </c>
      <c r="B4" s="141"/>
      <c r="C4" s="141"/>
      <c r="D4" s="141"/>
      <c r="E4" s="142"/>
    </row>
    <row r="5" spans="1:5">
      <c r="A5" s="144" t="s">
        <v>36</v>
      </c>
      <c r="B5" s="145"/>
      <c r="C5" s="145"/>
      <c r="D5" s="145"/>
      <c r="E5" s="146"/>
    </row>
    <row r="6" spans="1:5">
      <c r="A6" s="13" t="s">
        <v>3</v>
      </c>
      <c r="B6" s="143"/>
      <c r="C6" s="143"/>
      <c r="D6" s="143"/>
      <c r="E6" s="143"/>
    </row>
    <row r="7" spans="1:5">
      <c r="A7" s="11" t="s">
        <v>65</v>
      </c>
      <c r="B7" s="81"/>
      <c r="C7" s="9"/>
      <c r="D7" s="9"/>
      <c r="E7" s="10"/>
    </row>
    <row r="8" spans="1:5" ht="18.75">
      <c r="A8" s="12" t="s">
        <v>4</v>
      </c>
      <c r="B8" s="12" t="s">
        <v>34</v>
      </c>
      <c r="C8" s="12" t="s">
        <v>5</v>
      </c>
      <c r="D8" s="12" t="s">
        <v>1</v>
      </c>
      <c r="E8" s="12" t="s">
        <v>2</v>
      </c>
    </row>
    <row r="9" spans="1:5">
      <c r="A9" s="82"/>
      <c r="B9" s="81"/>
      <c r="C9" s="83"/>
      <c r="D9" s="84"/>
      <c r="E9" s="3">
        <f>B9*D9</f>
        <v>0</v>
      </c>
    </row>
    <row r="10" spans="1:5">
      <c r="A10" s="82"/>
      <c r="B10" s="81"/>
      <c r="C10" s="83"/>
      <c r="D10" s="84"/>
      <c r="E10" s="3">
        <f t="shared" ref="E10:E37" si="0">B10*D10</f>
        <v>0</v>
      </c>
    </row>
    <row r="11" spans="1:5">
      <c r="A11" s="82"/>
      <c r="B11" s="81"/>
      <c r="C11" s="83"/>
      <c r="D11" s="84"/>
      <c r="E11" s="3">
        <f t="shared" si="0"/>
        <v>0</v>
      </c>
    </row>
    <row r="12" spans="1:5">
      <c r="A12" s="82"/>
      <c r="B12" s="81"/>
      <c r="C12" s="83"/>
      <c r="D12" s="84"/>
      <c r="E12" s="3">
        <f t="shared" si="0"/>
        <v>0</v>
      </c>
    </row>
    <row r="13" spans="1:5">
      <c r="A13" s="85"/>
      <c r="B13" s="81"/>
      <c r="C13" s="83"/>
      <c r="D13" s="84"/>
      <c r="E13" s="3">
        <f t="shared" si="0"/>
        <v>0</v>
      </c>
    </row>
    <row r="14" spans="1:5">
      <c r="A14" s="82"/>
      <c r="B14" s="81"/>
      <c r="C14" s="83"/>
      <c r="D14" s="84"/>
      <c r="E14" s="3">
        <f t="shared" si="0"/>
        <v>0</v>
      </c>
    </row>
    <row r="15" spans="1:5">
      <c r="A15" s="82"/>
      <c r="B15" s="81"/>
      <c r="C15" s="83"/>
      <c r="D15" s="84"/>
      <c r="E15" s="3">
        <f t="shared" si="0"/>
        <v>0</v>
      </c>
    </row>
    <row r="16" spans="1:5">
      <c r="A16" s="82"/>
      <c r="B16" s="81"/>
      <c r="C16" s="83"/>
      <c r="D16" s="84"/>
      <c r="E16" s="3">
        <f t="shared" si="0"/>
        <v>0</v>
      </c>
    </row>
    <row r="17" spans="1:5">
      <c r="A17" s="82"/>
      <c r="B17" s="81"/>
      <c r="C17" s="83"/>
      <c r="D17" s="84"/>
      <c r="E17" s="3">
        <f t="shared" si="0"/>
        <v>0</v>
      </c>
    </row>
    <row r="18" spans="1:5">
      <c r="A18" s="82"/>
      <c r="B18" s="81"/>
      <c r="C18" s="83"/>
      <c r="D18" s="84"/>
      <c r="E18" s="3">
        <f t="shared" si="0"/>
        <v>0</v>
      </c>
    </row>
    <row r="19" spans="1:5">
      <c r="A19" s="82"/>
      <c r="B19" s="81"/>
      <c r="C19" s="83"/>
      <c r="D19" s="84"/>
      <c r="E19" s="3">
        <f t="shared" si="0"/>
        <v>0</v>
      </c>
    </row>
    <row r="20" spans="1:5">
      <c r="A20" s="82"/>
      <c r="B20" s="81"/>
      <c r="C20" s="83"/>
      <c r="D20" s="84"/>
      <c r="E20" s="3">
        <f t="shared" si="0"/>
        <v>0</v>
      </c>
    </row>
    <row r="21" spans="1:5">
      <c r="A21" s="82"/>
      <c r="B21" s="81"/>
      <c r="C21" s="83"/>
      <c r="D21" s="84"/>
      <c r="E21" s="3">
        <f t="shared" si="0"/>
        <v>0</v>
      </c>
    </row>
    <row r="22" spans="1:5">
      <c r="A22" s="82"/>
      <c r="B22" s="81"/>
      <c r="C22" s="83"/>
      <c r="D22" s="84"/>
      <c r="E22" s="3">
        <f t="shared" si="0"/>
        <v>0</v>
      </c>
    </row>
    <row r="23" spans="1:5">
      <c r="A23" s="82"/>
      <c r="B23" s="81"/>
      <c r="C23" s="83"/>
      <c r="D23" s="84"/>
      <c r="E23" s="3">
        <f t="shared" si="0"/>
        <v>0</v>
      </c>
    </row>
    <row r="24" spans="1:5">
      <c r="A24" s="82"/>
      <c r="B24" s="81"/>
      <c r="C24" s="83"/>
      <c r="D24" s="84"/>
      <c r="E24" s="3">
        <f t="shared" si="0"/>
        <v>0</v>
      </c>
    </row>
    <row r="25" spans="1:5">
      <c r="A25" s="82"/>
      <c r="B25" s="81"/>
      <c r="C25" s="83"/>
      <c r="D25" s="84"/>
      <c r="E25" s="3">
        <f t="shared" si="0"/>
        <v>0</v>
      </c>
    </row>
    <row r="26" spans="1:5">
      <c r="A26" s="82"/>
      <c r="B26" s="81"/>
      <c r="C26" s="83"/>
      <c r="D26" s="84"/>
      <c r="E26" s="3">
        <f t="shared" si="0"/>
        <v>0</v>
      </c>
    </row>
    <row r="27" spans="1:5">
      <c r="A27" s="82"/>
      <c r="B27" s="81"/>
      <c r="C27" s="83"/>
      <c r="D27" s="84"/>
      <c r="E27" s="3">
        <f t="shared" si="0"/>
        <v>0</v>
      </c>
    </row>
    <row r="28" spans="1:5">
      <c r="A28" s="82"/>
      <c r="B28" s="81"/>
      <c r="C28" s="83"/>
      <c r="D28" s="84"/>
      <c r="E28" s="3">
        <f t="shared" si="0"/>
        <v>0</v>
      </c>
    </row>
    <row r="29" spans="1:5">
      <c r="A29" s="82"/>
      <c r="B29" s="81"/>
      <c r="C29" s="83"/>
      <c r="D29" s="84"/>
      <c r="E29" s="3">
        <f t="shared" si="0"/>
        <v>0</v>
      </c>
    </row>
    <row r="30" spans="1:5">
      <c r="A30" s="82"/>
      <c r="B30" s="81"/>
      <c r="C30" s="83"/>
      <c r="D30" s="84"/>
      <c r="E30" s="3">
        <f t="shared" si="0"/>
        <v>0</v>
      </c>
    </row>
    <row r="31" spans="1:5">
      <c r="A31" s="82"/>
      <c r="B31" s="81"/>
      <c r="C31" s="83"/>
      <c r="D31" s="84"/>
      <c r="E31" s="3">
        <f t="shared" si="0"/>
        <v>0</v>
      </c>
    </row>
    <row r="32" spans="1:5">
      <c r="A32" s="82"/>
      <c r="B32" s="81"/>
      <c r="C32" s="83"/>
      <c r="D32" s="84"/>
      <c r="E32" s="3">
        <f t="shared" si="0"/>
        <v>0</v>
      </c>
    </row>
    <row r="33" spans="1:5">
      <c r="A33" s="82"/>
      <c r="B33" s="81"/>
      <c r="C33" s="83"/>
      <c r="D33" s="84"/>
      <c r="E33" s="3">
        <f t="shared" si="0"/>
        <v>0</v>
      </c>
    </row>
    <row r="34" spans="1:5">
      <c r="A34" s="82"/>
      <c r="B34" s="81"/>
      <c r="C34" s="83"/>
      <c r="D34" s="84"/>
      <c r="E34" s="3">
        <f t="shared" si="0"/>
        <v>0</v>
      </c>
    </row>
    <row r="35" spans="1:5">
      <c r="A35" s="82"/>
      <c r="B35" s="81"/>
      <c r="C35" s="83"/>
      <c r="D35" s="84"/>
      <c r="E35" s="3">
        <f t="shared" si="0"/>
        <v>0</v>
      </c>
    </row>
    <row r="36" spans="1:5">
      <c r="A36" s="82"/>
      <c r="B36" s="81"/>
      <c r="C36" s="83"/>
      <c r="D36" s="84"/>
      <c r="E36" s="3">
        <f t="shared" si="0"/>
        <v>0</v>
      </c>
    </row>
    <row r="37" spans="1:5" ht="16.5" thickBot="1">
      <c r="A37" s="82"/>
      <c r="B37" s="81"/>
      <c r="C37" s="86"/>
      <c r="D37" s="84"/>
      <c r="E37" s="3">
        <f t="shared" si="0"/>
        <v>0</v>
      </c>
    </row>
    <row r="38" spans="1:5" ht="17.25" thickBot="1">
      <c r="A38" s="52" t="s">
        <v>35</v>
      </c>
      <c r="D38" s="2" t="s">
        <v>8</v>
      </c>
      <c r="E38" s="4">
        <f>SUM(E9:E37)</f>
        <v>0</v>
      </c>
    </row>
    <row r="39" spans="1:5" ht="16.5" thickBot="1">
      <c r="D39" s="2" t="s">
        <v>29</v>
      </c>
      <c r="E39" s="5">
        <f>E38*$B$42</f>
        <v>0</v>
      </c>
    </row>
    <row r="40" spans="1:5" ht="16.5" thickBot="1">
      <c r="D40" s="2" t="s">
        <v>30</v>
      </c>
      <c r="E40" s="5">
        <f>B7</f>
        <v>0</v>
      </c>
    </row>
    <row r="41" spans="1:5" ht="16.5" thickBot="1">
      <c r="D41" s="2" t="s">
        <v>31</v>
      </c>
      <c r="E41" s="5">
        <f>SUM(E38:E40)</f>
        <v>0</v>
      </c>
    </row>
    <row r="42" spans="1:5" hidden="1">
      <c r="A42" s="1" t="s">
        <v>28</v>
      </c>
      <c r="B42" s="42">
        <v>0.1</v>
      </c>
    </row>
  </sheetData>
  <sheetProtection sheet="1" objects="1" scenarios="1"/>
  <mergeCells count="5">
    <mergeCell ref="A2:E2"/>
    <mergeCell ref="A3:E3"/>
    <mergeCell ref="A4:E4"/>
    <mergeCell ref="A5:E5"/>
    <mergeCell ref="B6:E6"/>
  </mergeCells>
  <dataValidations count="1">
    <dataValidation type="list" allowBlank="1" showInputMessage="1" showErrorMessage="1" sqref="B6:E6">
      <formula1>Input!B6:B11</formula1>
    </dataValidation>
  </dataValidations>
  <printOptions horizontalCentered="1"/>
  <pageMargins left="0.5" right="0.5" top="0.5" bottom="0.5" header="0.3" footer="0.3"/>
  <pageSetup scale="8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38"/>
  <sheetViews>
    <sheetView zoomScale="60" zoomScaleNormal="60" workbookViewId="0">
      <pane xSplit="4" ySplit="8" topLeftCell="J9" activePane="bottomRight" state="frozen"/>
      <selection pane="topRight" activeCell="E1" sqref="E1"/>
      <selection pane="bottomLeft" activeCell="A8" sqref="A8"/>
      <selection pane="bottomRight" activeCell="J9" sqref="J9:AC22"/>
    </sheetView>
  </sheetViews>
  <sheetFormatPr defaultRowHeight="15.75"/>
  <cols>
    <col min="1" max="1" width="38.42578125" style="1" customWidth="1"/>
    <col min="2" max="4" width="12.7109375" style="1" customWidth="1"/>
    <col min="5" max="8" width="14.7109375" style="1" hidden="1" customWidth="1"/>
    <col min="9" max="9" width="14.7109375" style="1" customWidth="1"/>
    <col min="10" max="29" width="8.7109375" style="1" customWidth="1"/>
    <col min="30" max="16384" width="9.140625" style="1"/>
  </cols>
  <sheetData>
    <row r="1" spans="1:29">
      <c r="A1" s="150" t="s">
        <v>22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</row>
    <row r="3" spans="1:29">
      <c r="A3" s="2" t="s">
        <v>3</v>
      </c>
      <c r="B3" s="149">
        <f>'2Capital Costs'!B6</f>
        <v>0</v>
      </c>
      <c r="C3" s="149"/>
      <c r="D3" s="149"/>
      <c r="E3" s="149"/>
      <c r="F3" s="149"/>
      <c r="G3" s="149"/>
      <c r="H3" s="149"/>
      <c r="I3" s="149"/>
      <c r="J3" s="149"/>
      <c r="K3" s="149"/>
    </row>
    <row r="5" spans="1:29">
      <c r="A5" s="7" t="s">
        <v>42</v>
      </c>
      <c r="B5" s="7"/>
      <c r="C5" s="7"/>
      <c r="D5" s="7"/>
      <c r="E5" s="7"/>
      <c r="F5" s="7"/>
      <c r="G5" s="7"/>
      <c r="H5" s="7"/>
      <c r="I5" s="7"/>
    </row>
    <row r="7" spans="1:29">
      <c r="A7" s="14"/>
      <c r="B7" s="15"/>
      <c r="C7" s="15"/>
      <c r="D7" s="15"/>
      <c r="E7" s="55"/>
      <c r="F7" s="55"/>
      <c r="G7" s="55"/>
      <c r="H7" s="55"/>
      <c r="I7" s="55"/>
      <c r="J7" s="147" t="s">
        <v>6</v>
      </c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8"/>
    </row>
    <row r="8" spans="1:29" ht="47.25">
      <c r="A8" s="24" t="s">
        <v>4</v>
      </c>
      <c r="B8" s="17" t="s">
        <v>0</v>
      </c>
      <c r="C8" s="17" t="s">
        <v>5</v>
      </c>
      <c r="D8" s="17" t="s">
        <v>1</v>
      </c>
      <c r="E8" s="56" t="s">
        <v>38</v>
      </c>
      <c r="F8" s="56" t="s">
        <v>39</v>
      </c>
      <c r="G8" s="56" t="s">
        <v>40</v>
      </c>
      <c r="H8" s="56" t="s">
        <v>41</v>
      </c>
      <c r="I8" s="56" t="s">
        <v>37</v>
      </c>
      <c r="J8" s="17">
        <v>1</v>
      </c>
      <c r="K8" s="17">
        <v>2</v>
      </c>
      <c r="L8" s="17">
        <v>3</v>
      </c>
      <c r="M8" s="17">
        <v>4</v>
      </c>
      <c r="N8" s="17">
        <v>5</v>
      </c>
      <c r="O8" s="17">
        <v>6</v>
      </c>
      <c r="P8" s="17">
        <v>7</v>
      </c>
      <c r="Q8" s="17">
        <v>8</v>
      </c>
      <c r="R8" s="17">
        <v>9</v>
      </c>
      <c r="S8" s="17">
        <v>10</v>
      </c>
      <c r="T8" s="17">
        <v>11</v>
      </c>
      <c r="U8" s="17">
        <v>12</v>
      </c>
      <c r="V8" s="17">
        <v>13</v>
      </c>
      <c r="W8" s="17">
        <v>14</v>
      </c>
      <c r="X8" s="17">
        <v>15</v>
      </c>
      <c r="Y8" s="17">
        <v>16</v>
      </c>
      <c r="Z8" s="17">
        <v>17</v>
      </c>
      <c r="AA8" s="17">
        <v>18</v>
      </c>
      <c r="AB8" s="17">
        <v>19</v>
      </c>
      <c r="AC8" s="18">
        <v>20</v>
      </c>
    </row>
    <row r="9" spans="1:29">
      <c r="A9" s="29">
        <f>'2Capital Costs'!A9</f>
        <v>0</v>
      </c>
      <c r="B9" s="19">
        <f>'2Capital Costs'!B9</f>
        <v>0</v>
      </c>
      <c r="C9" s="43">
        <f>'2Capital Costs'!C9</f>
        <v>0</v>
      </c>
      <c r="D9" s="20">
        <f>'2Capital Costs'!D9</f>
        <v>0</v>
      </c>
      <c r="E9" s="53" t="str">
        <f>IF(N9="Y", "Y", (IF(M9="Y", "Y", (IF(L9="Y", "Y", (IF(K9="Y", "Y", (IF(J9="Y", "Y", " ")))))))))</f>
        <v xml:space="preserve"> </v>
      </c>
      <c r="F9" s="53" t="str">
        <f>IF(S9="Y", "Y", (IF(R9="Y", "Y", (IF(Q9="Y", "Y", (IF(P9="Y", "Y", (IF(O9="Y", "Y", " ")))))))))</f>
        <v xml:space="preserve"> </v>
      </c>
      <c r="G9" s="53" t="str">
        <f>IF(X9="Y", "Y", (IF(W9="Y", "Y", (IF(V9="Y", "Y", (IF(U9="Y", "Y", (IF(T9="Y", "Y", " ")))))))))</f>
        <v xml:space="preserve"> </v>
      </c>
      <c r="H9" s="53" t="str">
        <f>IF(AC9="Y", "Y", (IF(AB9="Y", "Y", (IF(AA9="Y", "Y", (IF(Z9="Y", "Y", (IF(Y9="Y", "Y", " ")))))))))</f>
        <v xml:space="preserve"> </v>
      </c>
      <c r="I9" s="53" t="str">
        <f>IF(H9="Y", "Y", (IF(G9="Y", "Y", (IF(F9="Y", "Y", (IF(E9="Y", "Y", " ")))))))</f>
        <v xml:space="preserve"> </v>
      </c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8"/>
    </row>
    <row r="10" spans="1:29">
      <c r="A10" s="29">
        <f>'2Capital Costs'!A10</f>
        <v>0</v>
      </c>
      <c r="B10" s="19">
        <f>'2Capital Costs'!B10</f>
        <v>0</v>
      </c>
      <c r="C10" s="43">
        <f>'2Capital Costs'!C10</f>
        <v>0</v>
      </c>
      <c r="D10" s="20">
        <f>'2Capital Costs'!D10</f>
        <v>0</v>
      </c>
      <c r="E10" s="53" t="str">
        <f>IF(N10="Y", "Y", (IF(M10="Y", "Y", (IF(L10="Y", "Y", (IF(K10="Y", "Y", (IF(J10="Y", "Y", " ")))))))))</f>
        <v xml:space="preserve"> </v>
      </c>
      <c r="F10" s="53" t="str">
        <f>IF(S10="Y", "Y", (IF(R10="Y", "Y", (IF(Q10="Y", "Y", (IF(P10="Y", "Y", (IF(O10="Y", "Y", " ")))))))))</f>
        <v xml:space="preserve"> </v>
      </c>
      <c r="G10" s="53" t="str">
        <f>IF(X10="Y", "Y", (IF(W10="Y", "Y", (IF(V10="Y", "Y", (IF(U10="Y", "Y", (IF(T10="Y", "Y", " ")))))))))</f>
        <v xml:space="preserve"> </v>
      </c>
      <c r="H10" s="53" t="str">
        <f>IF(AC10="Y", "Y", (IF(AB10="Y", "Y", (IF(AA10="Y", "Y", (IF(Z10="Y", "Y", (IF(Y10="Y", "Y", " ")))))))))</f>
        <v xml:space="preserve"> </v>
      </c>
      <c r="I10" s="53" t="str">
        <f>IF(H10="Y", "Y", (IF(G10="Y", "Y", (IF(F10="Y", "Y", (IF(E10="Y", "Y", " ")))))))</f>
        <v xml:space="preserve"> </v>
      </c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8"/>
    </row>
    <row r="11" spans="1:29">
      <c r="A11" s="29">
        <f>'2Capital Costs'!A11</f>
        <v>0</v>
      </c>
      <c r="B11" s="19">
        <f>'2Capital Costs'!B11</f>
        <v>0</v>
      </c>
      <c r="C11" s="43">
        <f>'2Capital Costs'!C11</f>
        <v>0</v>
      </c>
      <c r="D11" s="20">
        <f>'2Capital Costs'!D11</f>
        <v>0</v>
      </c>
      <c r="E11" s="53" t="str">
        <f t="shared" ref="E11:E37" si="0">IF(N11="Y", "Y", (IF(M11="Y", "Y", (IF(L11="Y", "Y", (IF(K11="Y", "Y", (IF(J11="Y", "Y", " ")))))))))</f>
        <v xml:space="preserve"> </v>
      </c>
      <c r="F11" s="53" t="str">
        <f t="shared" ref="F11:F37" si="1">IF(S11="Y", "Y", (IF(R11="Y", "Y", (IF(Q11="Y", "Y", (IF(P11="Y", "Y", (IF(O11="Y", "Y", " ")))))))))</f>
        <v xml:space="preserve"> </v>
      </c>
      <c r="G11" s="53" t="str">
        <f t="shared" ref="G11:G37" si="2">IF(X11="Y", "Y", (IF(W11="Y", "Y", (IF(V11="Y", "Y", (IF(U11="Y", "Y", (IF(T11="Y", "Y", " ")))))))))</f>
        <v xml:space="preserve"> </v>
      </c>
      <c r="H11" s="53" t="str">
        <f t="shared" ref="H11:H37" si="3">IF(AC11="Y", "Y", (IF(AB11="Y", "Y", (IF(AA11="Y", "Y", (IF(Z11="Y", "Y", (IF(Y11="Y", "Y", " ")))))))))</f>
        <v xml:space="preserve"> </v>
      </c>
      <c r="I11" s="53" t="str">
        <f t="shared" ref="I11:I37" si="4">IF(H11="Y", "Y", (IF(G11="Y", "Y", (IF(F11="Y", "Y", (IF(E11="Y", "Y", " ")))))))</f>
        <v xml:space="preserve"> 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8"/>
    </row>
    <row r="12" spans="1:29">
      <c r="A12" s="29">
        <f>'2Capital Costs'!A12</f>
        <v>0</v>
      </c>
      <c r="B12" s="19">
        <f>'2Capital Costs'!B12</f>
        <v>0</v>
      </c>
      <c r="C12" s="43">
        <f>'2Capital Costs'!C12</f>
        <v>0</v>
      </c>
      <c r="D12" s="20">
        <f>'2Capital Costs'!D12</f>
        <v>0</v>
      </c>
      <c r="E12" s="53" t="str">
        <f t="shared" si="0"/>
        <v xml:space="preserve"> </v>
      </c>
      <c r="F12" s="53" t="str">
        <f t="shared" si="1"/>
        <v xml:space="preserve"> </v>
      </c>
      <c r="G12" s="53" t="str">
        <f t="shared" si="2"/>
        <v xml:space="preserve"> </v>
      </c>
      <c r="H12" s="53" t="str">
        <f t="shared" si="3"/>
        <v xml:space="preserve"> </v>
      </c>
      <c r="I12" s="53" t="str">
        <f t="shared" si="4"/>
        <v xml:space="preserve"> </v>
      </c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8"/>
    </row>
    <row r="13" spans="1:29">
      <c r="A13" s="29">
        <f>'2Capital Costs'!A13</f>
        <v>0</v>
      </c>
      <c r="B13" s="19">
        <f>'2Capital Costs'!B13</f>
        <v>0</v>
      </c>
      <c r="C13" s="43">
        <f>'2Capital Costs'!C13</f>
        <v>0</v>
      </c>
      <c r="D13" s="20">
        <f>'2Capital Costs'!D13</f>
        <v>0</v>
      </c>
      <c r="E13" s="53" t="str">
        <f t="shared" si="0"/>
        <v xml:space="preserve"> </v>
      </c>
      <c r="F13" s="53" t="str">
        <f t="shared" si="1"/>
        <v xml:space="preserve"> </v>
      </c>
      <c r="G13" s="53" t="str">
        <f t="shared" si="2"/>
        <v xml:space="preserve"> </v>
      </c>
      <c r="H13" s="53" t="str">
        <f t="shared" si="3"/>
        <v xml:space="preserve"> </v>
      </c>
      <c r="I13" s="53" t="str">
        <f t="shared" si="4"/>
        <v xml:space="preserve"> </v>
      </c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8"/>
    </row>
    <row r="14" spans="1:29">
      <c r="A14" s="29">
        <f>'2Capital Costs'!A14</f>
        <v>0</v>
      </c>
      <c r="B14" s="19">
        <f>'2Capital Costs'!B14</f>
        <v>0</v>
      </c>
      <c r="C14" s="43">
        <f>'2Capital Costs'!C14</f>
        <v>0</v>
      </c>
      <c r="D14" s="20">
        <f>'2Capital Costs'!D14</f>
        <v>0</v>
      </c>
      <c r="E14" s="53" t="str">
        <f t="shared" si="0"/>
        <v xml:space="preserve"> </v>
      </c>
      <c r="F14" s="53" t="str">
        <f t="shared" si="1"/>
        <v xml:space="preserve"> </v>
      </c>
      <c r="G14" s="53" t="str">
        <f t="shared" si="2"/>
        <v xml:space="preserve"> </v>
      </c>
      <c r="H14" s="53" t="str">
        <f t="shared" si="3"/>
        <v xml:space="preserve"> </v>
      </c>
      <c r="I14" s="53" t="str">
        <f t="shared" si="4"/>
        <v xml:space="preserve"> </v>
      </c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8"/>
    </row>
    <row r="15" spans="1:29">
      <c r="A15" s="29">
        <f>'2Capital Costs'!A15</f>
        <v>0</v>
      </c>
      <c r="B15" s="19">
        <f>'2Capital Costs'!B15</f>
        <v>0</v>
      </c>
      <c r="C15" s="43">
        <f>'2Capital Costs'!C15</f>
        <v>0</v>
      </c>
      <c r="D15" s="20">
        <f>'2Capital Costs'!D15</f>
        <v>0</v>
      </c>
      <c r="E15" s="53" t="str">
        <f t="shared" si="0"/>
        <v xml:space="preserve"> </v>
      </c>
      <c r="F15" s="53" t="str">
        <f t="shared" si="1"/>
        <v xml:space="preserve"> </v>
      </c>
      <c r="G15" s="53" t="str">
        <f t="shared" si="2"/>
        <v xml:space="preserve"> </v>
      </c>
      <c r="H15" s="53" t="str">
        <f t="shared" si="3"/>
        <v xml:space="preserve"> </v>
      </c>
      <c r="I15" s="53" t="str">
        <f t="shared" si="4"/>
        <v xml:space="preserve"> 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8"/>
    </row>
    <row r="16" spans="1:29">
      <c r="A16" s="29">
        <f>'2Capital Costs'!A16</f>
        <v>0</v>
      </c>
      <c r="B16" s="19">
        <f>'2Capital Costs'!B16</f>
        <v>0</v>
      </c>
      <c r="C16" s="43">
        <f>'2Capital Costs'!C16</f>
        <v>0</v>
      </c>
      <c r="D16" s="20">
        <f>'2Capital Costs'!D16</f>
        <v>0</v>
      </c>
      <c r="E16" s="53" t="str">
        <f t="shared" si="0"/>
        <v xml:space="preserve"> </v>
      </c>
      <c r="F16" s="53" t="str">
        <f t="shared" si="1"/>
        <v xml:space="preserve"> </v>
      </c>
      <c r="G16" s="53" t="str">
        <f t="shared" si="2"/>
        <v xml:space="preserve"> </v>
      </c>
      <c r="H16" s="53" t="str">
        <f t="shared" si="3"/>
        <v xml:space="preserve"> </v>
      </c>
      <c r="I16" s="53" t="str">
        <f t="shared" si="4"/>
        <v xml:space="preserve"> </v>
      </c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8"/>
    </row>
    <row r="17" spans="1:29">
      <c r="A17" s="29">
        <f>'2Capital Costs'!A17</f>
        <v>0</v>
      </c>
      <c r="B17" s="19">
        <f>'2Capital Costs'!B17</f>
        <v>0</v>
      </c>
      <c r="C17" s="43">
        <f>'2Capital Costs'!C17</f>
        <v>0</v>
      </c>
      <c r="D17" s="20">
        <f>'2Capital Costs'!D17</f>
        <v>0</v>
      </c>
      <c r="E17" s="53" t="str">
        <f t="shared" si="0"/>
        <v xml:space="preserve"> </v>
      </c>
      <c r="F17" s="53" t="str">
        <f t="shared" si="1"/>
        <v xml:space="preserve"> </v>
      </c>
      <c r="G17" s="53" t="str">
        <f t="shared" si="2"/>
        <v xml:space="preserve"> </v>
      </c>
      <c r="H17" s="53" t="str">
        <f t="shared" si="3"/>
        <v xml:space="preserve"> </v>
      </c>
      <c r="I17" s="53" t="str">
        <f t="shared" si="4"/>
        <v xml:space="preserve"> 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8"/>
    </row>
    <row r="18" spans="1:29">
      <c r="A18" s="29">
        <f>'2Capital Costs'!A18</f>
        <v>0</v>
      </c>
      <c r="B18" s="19">
        <f>'2Capital Costs'!B18</f>
        <v>0</v>
      </c>
      <c r="C18" s="43">
        <f>'2Capital Costs'!C18</f>
        <v>0</v>
      </c>
      <c r="D18" s="20">
        <f>'2Capital Costs'!D18</f>
        <v>0</v>
      </c>
      <c r="E18" s="53" t="str">
        <f t="shared" si="0"/>
        <v xml:space="preserve"> </v>
      </c>
      <c r="F18" s="53" t="str">
        <f t="shared" si="1"/>
        <v xml:space="preserve"> </v>
      </c>
      <c r="G18" s="53" t="str">
        <f t="shared" si="2"/>
        <v xml:space="preserve"> </v>
      </c>
      <c r="H18" s="53" t="str">
        <f t="shared" si="3"/>
        <v xml:space="preserve"> </v>
      </c>
      <c r="I18" s="53" t="str">
        <f t="shared" si="4"/>
        <v xml:space="preserve"> </v>
      </c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8"/>
    </row>
    <row r="19" spans="1:29">
      <c r="A19" s="29">
        <f>'2Capital Costs'!A19</f>
        <v>0</v>
      </c>
      <c r="B19" s="19">
        <f>'2Capital Costs'!B19</f>
        <v>0</v>
      </c>
      <c r="C19" s="43">
        <f>'2Capital Costs'!C19</f>
        <v>0</v>
      </c>
      <c r="D19" s="20">
        <f>'2Capital Costs'!D19</f>
        <v>0</v>
      </c>
      <c r="E19" s="53" t="str">
        <f t="shared" si="0"/>
        <v xml:space="preserve"> </v>
      </c>
      <c r="F19" s="53" t="str">
        <f t="shared" si="1"/>
        <v xml:space="preserve"> </v>
      </c>
      <c r="G19" s="53" t="str">
        <f t="shared" si="2"/>
        <v xml:space="preserve"> </v>
      </c>
      <c r="H19" s="53" t="str">
        <f t="shared" si="3"/>
        <v xml:space="preserve"> </v>
      </c>
      <c r="I19" s="53" t="str">
        <f t="shared" si="4"/>
        <v xml:space="preserve"> </v>
      </c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8"/>
    </row>
    <row r="20" spans="1:29">
      <c r="A20" s="29">
        <f>'2Capital Costs'!A20</f>
        <v>0</v>
      </c>
      <c r="B20" s="19">
        <f>'2Capital Costs'!B20</f>
        <v>0</v>
      </c>
      <c r="C20" s="43">
        <f>'2Capital Costs'!C20</f>
        <v>0</v>
      </c>
      <c r="D20" s="20">
        <f>'2Capital Costs'!D20</f>
        <v>0</v>
      </c>
      <c r="E20" s="53" t="str">
        <f t="shared" si="0"/>
        <v xml:space="preserve"> </v>
      </c>
      <c r="F20" s="53" t="str">
        <f t="shared" si="1"/>
        <v xml:space="preserve"> </v>
      </c>
      <c r="G20" s="53" t="str">
        <f t="shared" si="2"/>
        <v xml:space="preserve"> </v>
      </c>
      <c r="H20" s="53" t="str">
        <f t="shared" si="3"/>
        <v xml:space="preserve"> </v>
      </c>
      <c r="I20" s="53" t="str">
        <f t="shared" si="4"/>
        <v xml:space="preserve"> </v>
      </c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8"/>
    </row>
    <row r="21" spans="1:29">
      <c r="A21" s="29">
        <f>'2Capital Costs'!A21</f>
        <v>0</v>
      </c>
      <c r="B21" s="19">
        <f>'2Capital Costs'!B21</f>
        <v>0</v>
      </c>
      <c r="C21" s="43">
        <f>'2Capital Costs'!C21</f>
        <v>0</v>
      </c>
      <c r="D21" s="20">
        <f>'2Capital Costs'!D21</f>
        <v>0</v>
      </c>
      <c r="E21" s="53" t="str">
        <f t="shared" si="0"/>
        <v xml:space="preserve"> </v>
      </c>
      <c r="F21" s="53" t="str">
        <f t="shared" si="1"/>
        <v xml:space="preserve"> </v>
      </c>
      <c r="G21" s="53" t="str">
        <f t="shared" si="2"/>
        <v xml:space="preserve"> </v>
      </c>
      <c r="H21" s="53" t="str">
        <f t="shared" si="3"/>
        <v xml:space="preserve"> </v>
      </c>
      <c r="I21" s="53" t="str">
        <f t="shared" si="4"/>
        <v xml:space="preserve"> 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8"/>
    </row>
    <row r="22" spans="1:29">
      <c r="A22" s="29">
        <f>'2Capital Costs'!A22</f>
        <v>0</v>
      </c>
      <c r="B22" s="19">
        <f>'2Capital Costs'!B22</f>
        <v>0</v>
      </c>
      <c r="C22" s="43">
        <f>'2Capital Costs'!C22</f>
        <v>0</v>
      </c>
      <c r="D22" s="20">
        <f>'2Capital Costs'!D22</f>
        <v>0</v>
      </c>
      <c r="E22" s="53" t="str">
        <f t="shared" si="0"/>
        <v xml:space="preserve"> </v>
      </c>
      <c r="F22" s="53" t="str">
        <f t="shared" si="1"/>
        <v xml:space="preserve"> </v>
      </c>
      <c r="G22" s="53" t="str">
        <f t="shared" si="2"/>
        <v xml:space="preserve"> </v>
      </c>
      <c r="H22" s="53" t="str">
        <f t="shared" si="3"/>
        <v xml:space="preserve"> </v>
      </c>
      <c r="I22" s="53" t="str">
        <f t="shared" si="4"/>
        <v xml:space="preserve"> </v>
      </c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8"/>
    </row>
    <row r="23" spans="1:29">
      <c r="A23" s="29">
        <f>'2Capital Costs'!A23</f>
        <v>0</v>
      </c>
      <c r="B23" s="19">
        <f>'2Capital Costs'!B23</f>
        <v>0</v>
      </c>
      <c r="C23" s="43">
        <f>'2Capital Costs'!C23</f>
        <v>0</v>
      </c>
      <c r="D23" s="20">
        <f>'2Capital Costs'!D23</f>
        <v>0</v>
      </c>
      <c r="E23" s="53" t="str">
        <f t="shared" si="0"/>
        <v xml:space="preserve"> </v>
      </c>
      <c r="F23" s="53" t="str">
        <f t="shared" si="1"/>
        <v xml:space="preserve"> </v>
      </c>
      <c r="G23" s="53" t="str">
        <f t="shared" si="2"/>
        <v xml:space="preserve"> </v>
      </c>
      <c r="H23" s="53" t="str">
        <f t="shared" si="3"/>
        <v xml:space="preserve"> </v>
      </c>
      <c r="I23" s="53" t="str">
        <f t="shared" si="4"/>
        <v xml:space="preserve"> </v>
      </c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8"/>
    </row>
    <row r="24" spans="1:29">
      <c r="A24" s="29">
        <f>'2Capital Costs'!A24</f>
        <v>0</v>
      </c>
      <c r="B24" s="19">
        <f>'2Capital Costs'!B24</f>
        <v>0</v>
      </c>
      <c r="C24" s="43">
        <f>'2Capital Costs'!C24</f>
        <v>0</v>
      </c>
      <c r="D24" s="20">
        <f>'2Capital Costs'!D24</f>
        <v>0</v>
      </c>
      <c r="E24" s="53" t="str">
        <f t="shared" si="0"/>
        <v xml:space="preserve"> </v>
      </c>
      <c r="F24" s="53" t="str">
        <f t="shared" si="1"/>
        <v xml:space="preserve"> </v>
      </c>
      <c r="G24" s="53" t="str">
        <f t="shared" si="2"/>
        <v xml:space="preserve"> </v>
      </c>
      <c r="H24" s="53" t="str">
        <f t="shared" si="3"/>
        <v xml:space="preserve"> </v>
      </c>
      <c r="I24" s="53" t="str">
        <f t="shared" si="4"/>
        <v xml:space="preserve"> 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8"/>
    </row>
    <row r="25" spans="1:29">
      <c r="A25" s="29">
        <f>'2Capital Costs'!A25</f>
        <v>0</v>
      </c>
      <c r="B25" s="19">
        <f>'2Capital Costs'!B25</f>
        <v>0</v>
      </c>
      <c r="C25" s="43">
        <f>'2Capital Costs'!C25</f>
        <v>0</v>
      </c>
      <c r="D25" s="20">
        <f>'2Capital Costs'!D25</f>
        <v>0</v>
      </c>
      <c r="E25" s="53" t="str">
        <f t="shared" si="0"/>
        <v xml:space="preserve"> </v>
      </c>
      <c r="F25" s="53" t="str">
        <f t="shared" si="1"/>
        <v xml:space="preserve"> </v>
      </c>
      <c r="G25" s="53" t="str">
        <f t="shared" si="2"/>
        <v xml:space="preserve"> </v>
      </c>
      <c r="H25" s="53" t="str">
        <f t="shared" si="3"/>
        <v xml:space="preserve"> </v>
      </c>
      <c r="I25" s="53" t="str">
        <f t="shared" si="4"/>
        <v xml:space="preserve"> </v>
      </c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8"/>
    </row>
    <row r="26" spans="1:29">
      <c r="A26" s="29">
        <f>'2Capital Costs'!A26</f>
        <v>0</v>
      </c>
      <c r="B26" s="19">
        <f>'2Capital Costs'!B26</f>
        <v>0</v>
      </c>
      <c r="C26" s="43">
        <f>'2Capital Costs'!C26</f>
        <v>0</v>
      </c>
      <c r="D26" s="20">
        <f>'2Capital Costs'!D26</f>
        <v>0</v>
      </c>
      <c r="E26" s="53" t="str">
        <f t="shared" si="0"/>
        <v xml:space="preserve"> </v>
      </c>
      <c r="F26" s="53" t="str">
        <f t="shared" si="1"/>
        <v xml:space="preserve"> </v>
      </c>
      <c r="G26" s="53" t="str">
        <f t="shared" si="2"/>
        <v xml:space="preserve"> </v>
      </c>
      <c r="H26" s="53" t="str">
        <f t="shared" si="3"/>
        <v xml:space="preserve"> </v>
      </c>
      <c r="I26" s="53" t="str">
        <f t="shared" si="4"/>
        <v xml:space="preserve"> 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8"/>
    </row>
    <row r="27" spans="1:29">
      <c r="A27" s="29">
        <f>'2Capital Costs'!A27</f>
        <v>0</v>
      </c>
      <c r="B27" s="19">
        <f>'2Capital Costs'!B27</f>
        <v>0</v>
      </c>
      <c r="C27" s="43">
        <f>'2Capital Costs'!C27</f>
        <v>0</v>
      </c>
      <c r="D27" s="20">
        <f>'2Capital Costs'!D27</f>
        <v>0</v>
      </c>
      <c r="E27" s="53" t="str">
        <f t="shared" si="0"/>
        <v xml:space="preserve"> </v>
      </c>
      <c r="F27" s="53" t="str">
        <f t="shared" si="1"/>
        <v xml:space="preserve"> </v>
      </c>
      <c r="G27" s="53" t="str">
        <f t="shared" si="2"/>
        <v xml:space="preserve"> </v>
      </c>
      <c r="H27" s="53" t="str">
        <f t="shared" si="3"/>
        <v xml:space="preserve"> </v>
      </c>
      <c r="I27" s="53" t="str">
        <f t="shared" si="4"/>
        <v xml:space="preserve"> </v>
      </c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8"/>
    </row>
    <row r="28" spans="1:29">
      <c r="A28" s="29">
        <f>'2Capital Costs'!A28</f>
        <v>0</v>
      </c>
      <c r="B28" s="19">
        <f>'2Capital Costs'!B28</f>
        <v>0</v>
      </c>
      <c r="C28" s="43">
        <f>'2Capital Costs'!C28</f>
        <v>0</v>
      </c>
      <c r="D28" s="20">
        <f>'2Capital Costs'!D28</f>
        <v>0</v>
      </c>
      <c r="E28" s="53" t="str">
        <f t="shared" si="0"/>
        <v xml:space="preserve"> </v>
      </c>
      <c r="F28" s="53" t="str">
        <f t="shared" si="1"/>
        <v xml:space="preserve"> </v>
      </c>
      <c r="G28" s="53" t="str">
        <f t="shared" si="2"/>
        <v xml:space="preserve"> </v>
      </c>
      <c r="H28" s="53" t="str">
        <f t="shared" si="3"/>
        <v xml:space="preserve"> </v>
      </c>
      <c r="I28" s="53" t="str">
        <f t="shared" si="4"/>
        <v xml:space="preserve"> </v>
      </c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8"/>
    </row>
    <row r="29" spans="1:29">
      <c r="A29" s="29">
        <f>'2Capital Costs'!A29</f>
        <v>0</v>
      </c>
      <c r="B29" s="19">
        <f>'2Capital Costs'!B29</f>
        <v>0</v>
      </c>
      <c r="C29" s="43">
        <f>'2Capital Costs'!C29</f>
        <v>0</v>
      </c>
      <c r="D29" s="20">
        <f>'2Capital Costs'!D29</f>
        <v>0</v>
      </c>
      <c r="E29" s="53" t="str">
        <f t="shared" si="0"/>
        <v xml:space="preserve"> </v>
      </c>
      <c r="F29" s="53" t="str">
        <f t="shared" si="1"/>
        <v xml:space="preserve"> </v>
      </c>
      <c r="G29" s="53" t="str">
        <f t="shared" si="2"/>
        <v xml:space="preserve"> </v>
      </c>
      <c r="H29" s="53" t="str">
        <f t="shared" si="3"/>
        <v xml:space="preserve"> </v>
      </c>
      <c r="I29" s="53" t="str">
        <f t="shared" si="4"/>
        <v xml:space="preserve"> </v>
      </c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8"/>
    </row>
    <row r="30" spans="1:29">
      <c r="A30" s="29">
        <f>'2Capital Costs'!A30</f>
        <v>0</v>
      </c>
      <c r="B30" s="19">
        <f>'2Capital Costs'!B30</f>
        <v>0</v>
      </c>
      <c r="C30" s="43">
        <f>'2Capital Costs'!C30</f>
        <v>0</v>
      </c>
      <c r="D30" s="20">
        <f>'2Capital Costs'!D30</f>
        <v>0</v>
      </c>
      <c r="E30" s="53" t="str">
        <f t="shared" si="0"/>
        <v xml:space="preserve"> </v>
      </c>
      <c r="F30" s="53" t="str">
        <f t="shared" si="1"/>
        <v xml:space="preserve"> </v>
      </c>
      <c r="G30" s="53" t="str">
        <f t="shared" si="2"/>
        <v xml:space="preserve"> </v>
      </c>
      <c r="H30" s="53" t="str">
        <f t="shared" si="3"/>
        <v xml:space="preserve"> </v>
      </c>
      <c r="I30" s="53" t="str">
        <f t="shared" si="4"/>
        <v xml:space="preserve"> </v>
      </c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8"/>
    </row>
    <row r="31" spans="1:29">
      <c r="A31" s="29">
        <f>'2Capital Costs'!A31</f>
        <v>0</v>
      </c>
      <c r="B31" s="19">
        <f>'2Capital Costs'!B31</f>
        <v>0</v>
      </c>
      <c r="C31" s="43">
        <f>'2Capital Costs'!C31</f>
        <v>0</v>
      </c>
      <c r="D31" s="20">
        <f>'2Capital Costs'!D31</f>
        <v>0</v>
      </c>
      <c r="E31" s="53" t="str">
        <f t="shared" si="0"/>
        <v xml:space="preserve"> </v>
      </c>
      <c r="F31" s="53" t="str">
        <f t="shared" si="1"/>
        <v xml:space="preserve"> </v>
      </c>
      <c r="G31" s="53" t="str">
        <f t="shared" si="2"/>
        <v xml:space="preserve"> </v>
      </c>
      <c r="H31" s="53" t="str">
        <f t="shared" si="3"/>
        <v xml:space="preserve"> </v>
      </c>
      <c r="I31" s="53" t="str">
        <f t="shared" si="4"/>
        <v xml:space="preserve"> </v>
      </c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8"/>
    </row>
    <row r="32" spans="1:29">
      <c r="A32" s="29">
        <f>'2Capital Costs'!A32</f>
        <v>0</v>
      </c>
      <c r="B32" s="19">
        <f>'2Capital Costs'!B32</f>
        <v>0</v>
      </c>
      <c r="C32" s="43">
        <f>'2Capital Costs'!C32</f>
        <v>0</v>
      </c>
      <c r="D32" s="20">
        <f>'2Capital Costs'!D32</f>
        <v>0</v>
      </c>
      <c r="E32" s="53" t="str">
        <f t="shared" si="0"/>
        <v xml:space="preserve"> </v>
      </c>
      <c r="F32" s="53" t="str">
        <f t="shared" si="1"/>
        <v xml:space="preserve"> </v>
      </c>
      <c r="G32" s="53" t="str">
        <f t="shared" si="2"/>
        <v xml:space="preserve"> </v>
      </c>
      <c r="H32" s="53" t="str">
        <f t="shared" si="3"/>
        <v xml:space="preserve"> </v>
      </c>
      <c r="I32" s="53" t="str">
        <f t="shared" si="4"/>
        <v xml:space="preserve"> </v>
      </c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8"/>
    </row>
    <row r="33" spans="1:29">
      <c r="A33" s="29">
        <f>'2Capital Costs'!A33</f>
        <v>0</v>
      </c>
      <c r="B33" s="19">
        <f>'2Capital Costs'!B33</f>
        <v>0</v>
      </c>
      <c r="C33" s="43">
        <f>'2Capital Costs'!C33</f>
        <v>0</v>
      </c>
      <c r="D33" s="20">
        <f>'2Capital Costs'!D33</f>
        <v>0</v>
      </c>
      <c r="E33" s="53" t="str">
        <f t="shared" si="0"/>
        <v xml:space="preserve"> </v>
      </c>
      <c r="F33" s="53" t="str">
        <f t="shared" si="1"/>
        <v xml:space="preserve"> </v>
      </c>
      <c r="G33" s="53" t="str">
        <f t="shared" si="2"/>
        <v xml:space="preserve"> </v>
      </c>
      <c r="H33" s="53" t="str">
        <f t="shared" si="3"/>
        <v xml:space="preserve"> </v>
      </c>
      <c r="I33" s="53" t="str">
        <f t="shared" si="4"/>
        <v xml:space="preserve"> </v>
      </c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8"/>
    </row>
    <row r="34" spans="1:29">
      <c r="A34" s="29">
        <f>'2Capital Costs'!A34</f>
        <v>0</v>
      </c>
      <c r="B34" s="19">
        <f>'2Capital Costs'!B34</f>
        <v>0</v>
      </c>
      <c r="C34" s="43">
        <f>'2Capital Costs'!C34</f>
        <v>0</v>
      </c>
      <c r="D34" s="20">
        <f>'2Capital Costs'!D34</f>
        <v>0</v>
      </c>
      <c r="E34" s="53" t="str">
        <f t="shared" si="0"/>
        <v xml:space="preserve"> </v>
      </c>
      <c r="F34" s="53" t="str">
        <f t="shared" si="1"/>
        <v xml:space="preserve"> </v>
      </c>
      <c r="G34" s="53" t="str">
        <f t="shared" si="2"/>
        <v xml:space="preserve"> </v>
      </c>
      <c r="H34" s="53" t="str">
        <f t="shared" si="3"/>
        <v xml:space="preserve"> </v>
      </c>
      <c r="I34" s="53" t="str">
        <f t="shared" si="4"/>
        <v xml:space="preserve"> </v>
      </c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8"/>
    </row>
    <row r="35" spans="1:29">
      <c r="A35" s="29">
        <f>'2Capital Costs'!A35</f>
        <v>0</v>
      </c>
      <c r="B35" s="19">
        <f>'2Capital Costs'!B35</f>
        <v>0</v>
      </c>
      <c r="C35" s="43">
        <f>'2Capital Costs'!C35</f>
        <v>0</v>
      </c>
      <c r="D35" s="20">
        <f>'2Capital Costs'!D35</f>
        <v>0</v>
      </c>
      <c r="E35" s="53" t="str">
        <f t="shared" si="0"/>
        <v xml:space="preserve"> </v>
      </c>
      <c r="F35" s="53" t="str">
        <f t="shared" si="1"/>
        <v xml:space="preserve"> </v>
      </c>
      <c r="G35" s="53" t="str">
        <f t="shared" si="2"/>
        <v xml:space="preserve"> </v>
      </c>
      <c r="H35" s="53" t="str">
        <f t="shared" si="3"/>
        <v xml:space="preserve"> </v>
      </c>
      <c r="I35" s="53" t="str">
        <f t="shared" si="4"/>
        <v xml:space="preserve"> </v>
      </c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8"/>
    </row>
    <row r="36" spans="1:29">
      <c r="A36" s="29">
        <f>'2Capital Costs'!A36</f>
        <v>0</v>
      </c>
      <c r="B36" s="19">
        <f>'2Capital Costs'!B36</f>
        <v>0</v>
      </c>
      <c r="C36" s="43">
        <f>'2Capital Costs'!C36</f>
        <v>0</v>
      </c>
      <c r="D36" s="20">
        <f>'2Capital Costs'!D36</f>
        <v>0</v>
      </c>
      <c r="E36" s="53" t="str">
        <f t="shared" si="0"/>
        <v xml:space="preserve"> </v>
      </c>
      <c r="F36" s="53" t="str">
        <f t="shared" si="1"/>
        <v xml:space="preserve"> </v>
      </c>
      <c r="G36" s="53" t="str">
        <f t="shared" si="2"/>
        <v xml:space="preserve"> </v>
      </c>
      <c r="H36" s="53" t="str">
        <f t="shared" si="3"/>
        <v xml:space="preserve"> </v>
      </c>
      <c r="I36" s="53" t="str">
        <f t="shared" si="4"/>
        <v xml:space="preserve"> </v>
      </c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8"/>
    </row>
    <row r="37" spans="1:29">
      <c r="A37" s="29">
        <f>'2Capital Costs'!A37</f>
        <v>0</v>
      </c>
      <c r="B37" s="19">
        <f>'2Capital Costs'!B37</f>
        <v>0</v>
      </c>
      <c r="C37" s="43">
        <f>'2Capital Costs'!C37</f>
        <v>0</v>
      </c>
      <c r="D37" s="20">
        <f>'2Capital Costs'!D37</f>
        <v>0</v>
      </c>
      <c r="E37" s="53" t="str">
        <f t="shared" si="0"/>
        <v xml:space="preserve"> </v>
      </c>
      <c r="F37" s="53" t="str">
        <f t="shared" si="1"/>
        <v xml:space="preserve"> </v>
      </c>
      <c r="G37" s="53" t="str">
        <f t="shared" si="2"/>
        <v xml:space="preserve"> </v>
      </c>
      <c r="H37" s="53" t="str">
        <f t="shared" si="3"/>
        <v xml:space="preserve"> </v>
      </c>
      <c r="I37" s="53" t="str">
        <f t="shared" si="4"/>
        <v xml:space="preserve"> 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8"/>
    </row>
    <row r="38" spans="1:29">
      <c r="E38" s="57"/>
      <c r="F38" s="57"/>
      <c r="G38" s="57"/>
      <c r="H38" s="57"/>
      <c r="I38" s="57"/>
    </row>
  </sheetData>
  <sheetProtection sheet="1" objects="1" scenarios="1"/>
  <mergeCells count="3">
    <mergeCell ref="A1:AC1"/>
    <mergeCell ref="B3:K3"/>
    <mergeCell ref="J7:AC7"/>
  </mergeCells>
  <dataValidations disablePrompts="1" count="1">
    <dataValidation type="list" allowBlank="1" showInputMessage="1" showErrorMessage="1" sqref="B3:K3">
      <formula1>Input!B6:B11</formula1>
    </dataValidation>
  </dataValidations>
  <printOptions horizontalCentered="1"/>
  <pageMargins left="0.7" right="0.7" top="0.75" bottom="0.75" header="0.3" footer="0.3"/>
  <pageSetup scale="73" fitToWidth="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149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'2Capital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95" t="str">
        <f>'Replace Costs - Results 1-5'!A5</f>
        <v>Current Inflation Rate based on Construction Cost Index:</v>
      </c>
      <c r="B5" s="69">
        <f>'Replace Costs - Results 1-5'!B5</f>
        <v>2.0671834625323047E-2</v>
      </c>
      <c r="C5" s="67"/>
      <c r="D5" s="67"/>
      <c r="E5" s="70" t="s">
        <v>43</v>
      </c>
      <c r="F5" s="72">
        <f>'Replace Costs - Results 1-5'!F5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</v>
      </c>
      <c r="F7" s="26">
        <v>2</v>
      </c>
      <c r="G7" s="26">
        <v>3</v>
      </c>
      <c r="H7" s="26">
        <v>4</v>
      </c>
      <c r="I7" s="26">
        <v>5</v>
      </c>
    </row>
    <row r="8" spans="1:9">
      <c r="A8" s="29" t="str">
        <f>IF('2Capital Costs'!A9&lt;&gt;"", '2Capital Costs'!A9, "")</f>
        <v/>
      </c>
      <c r="B8" s="3" t="str">
        <f>IF('2Capital Costs'!B9&lt;&gt;"", '2Capital Costs'!B9, "")</f>
        <v/>
      </c>
      <c r="C8" s="46" t="str">
        <f>IF('2Capital Costs'!C9&lt;&gt;"", '2Capital Costs'!C9, "")</f>
        <v/>
      </c>
      <c r="D8" s="47" t="str">
        <f>IF('2Capital Costs'!D9&lt;&gt;"", '2Capital Costs'!D9, "")</f>
        <v/>
      </c>
      <c r="E8" s="27" t="str">
        <f>IF($A8&lt;&gt;"", (IF('2Replacement Costs - Entry'!J9="Y",((($B8*$D8)*((1+$B$5)^E$7))*(1/((1+$F$5)^E$7))),0)), "")</f>
        <v/>
      </c>
      <c r="F8" s="27" t="str">
        <f>IF($A8&lt;&gt;"", (IF('2Replacement Costs - Entry'!K9="Y",((($B8*$D8)*((1+$B$5)^F$7))*(1/((1+$F$5)^F$7))),0)), "")</f>
        <v/>
      </c>
      <c r="G8" s="27" t="str">
        <f>IF($A8&lt;&gt;"", (IF('2Replacement Costs - Entry'!L9="Y",((($B8*$D8)*((1+$B$5)^G$7))*(1/((1+$F$5)^G$7))),0)), "")</f>
        <v/>
      </c>
      <c r="H8" s="27" t="str">
        <f>IF($A8&lt;&gt;"", (IF('2Replacement Costs - Entry'!M9="Y",((($B8*$D8)*((1+$B$5)^H$7))*(1/((1+$F$5)^H$7))),0)), "")</f>
        <v/>
      </c>
      <c r="I8" s="27" t="str">
        <f>IF($A8&lt;&gt;"", (IF('2Replacement Costs - Entry'!N9="Y",((($B8*$D8)*((1+$B$5)^I$7))*(1/((1+$F$5)^I$7))),0)), "")</f>
        <v/>
      </c>
    </row>
    <row r="9" spans="1:9">
      <c r="A9" s="29" t="str">
        <f>IF('2Capital Costs'!A10&lt;&gt;"", '2Capital Costs'!A10, "")</f>
        <v/>
      </c>
      <c r="B9" s="3" t="str">
        <f>IF('2Capital Costs'!B10&lt;&gt;"", '2Capital Costs'!B10, "")</f>
        <v/>
      </c>
      <c r="C9" s="46" t="str">
        <f>IF('2Capital Costs'!C10&lt;&gt;"", '2Capital Costs'!C10, "")</f>
        <v/>
      </c>
      <c r="D9" s="47" t="str">
        <f>IF('2Capital Costs'!D10&lt;&gt;"", '2Capital Costs'!D10, "")</f>
        <v/>
      </c>
      <c r="E9" s="27" t="str">
        <f>IF($A9&lt;&gt;"", (IF('2Replacement Costs - Entry'!J10="Y",((($B9*$D9)*((1+$B$5)^E$7))*(1/((1+$F$5)^E$7))),0)), "")</f>
        <v/>
      </c>
      <c r="F9" s="27" t="str">
        <f>IF($A9&lt;&gt;"", (IF('2Replacement Costs - Entry'!K10="Y",((($B9*$D9)*((1+$B$5)^F$7))*(1/((1+$F$5)^F$7))),0)), "")</f>
        <v/>
      </c>
      <c r="G9" s="27" t="str">
        <f>IF($A9&lt;&gt;"", (IF('2Replacement Costs - Entry'!L10="Y",((($B9*$D9)*((1+$B$5)^G$7))*(1/((1+$F$5)^G$7))),0)), "")</f>
        <v/>
      </c>
      <c r="H9" s="27" t="str">
        <f>IF($A9&lt;&gt;"", (IF('2Replacement Costs - Entry'!M10="Y",((($B9*$D9)*((1+$B$5)^H$7))*(1/((1+$F$5)^H$7))),0)), "")</f>
        <v/>
      </c>
      <c r="I9" s="27" t="str">
        <f>IF($A9&lt;&gt;"", (IF('2Replacement Costs - Entry'!N10="Y",((($B9*$D9)*((1+$B$5)^I$7))*(1/((1+$F$5)^I$7))),0)), "")</f>
        <v/>
      </c>
    </row>
    <row r="10" spans="1:9">
      <c r="A10" s="29" t="str">
        <f>IF('2Capital Costs'!A11&lt;&gt;"", '2Capital Costs'!A11, "")</f>
        <v/>
      </c>
      <c r="B10" s="3" t="str">
        <f>IF('2Capital Costs'!B11&lt;&gt;"", '2Capital Costs'!B11, "")</f>
        <v/>
      </c>
      <c r="C10" s="46" t="str">
        <f>IF('2Capital Costs'!C11&lt;&gt;"", '2Capital Costs'!C11, "")</f>
        <v/>
      </c>
      <c r="D10" s="47" t="str">
        <f>IF('2Capital Costs'!D11&lt;&gt;"", '2Capital Costs'!D11, "")</f>
        <v/>
      </c>
      <c r="E10" s="27" t="str">
        <f>IF($A10&lt;&gt;"", (IF('2Replacement Costs - Entry'!J11="Y",((($B10*$D10)*((1+$B$5)^E$7))*(1/((1+$F$5)^E$7))),0)), "")</f>
        <v/>
      </c>
      <c r="F10" s="27" t="str">
        <f>IF($A10&lt;&gt;"", (IF('2Replacement Costs - Entry'!K11="Y",((($B10*$D10)*((1+$B$5)^F$7))*(1/((1+$F$5)^F$7))),0)), "")</f>
        <v/>
      </c>
      <c r="G10" s="27" t="str">
        <f>IF($A10&lt;&gt;"", (IF('2Replacement Costs - Entry'!L11="Y",((($B10*$D10)*((1+$B$5)^G$7))*(1/((1+$F$5)^G$7))),0)), "")</f>
        <v/>
      </c>
      <c r="H10" s="27" t="str">
        <f>IF($A10&lt;&gt;"", (IF('2Replacement Costs - Entry'!M11="Y",((($B10*$D10)*((1+$B$5)^H$7))*(1/((1+$F$5)^H$7))),0)), "")</f>
        <v/>
      </c>
      <c r="I10" s="27" t="str">
        <f>IF($A10&lt;&gt;"", (IF('2Replacement Costs - Entry'!N11="Y",((($B10*$D10)*((1+$B$5)^I$7))*(1/((1+$F$5)^I$7))),0)), "")</f>
        <v/>
      </c>
    </row>
    <row r="11" spans="1:9">
      <c r="A11" s="29" t="str">
        <f>IF('2Capital Costs'!A12&lt;&gt;"", '2Capital Costs'!A12, "")</f>
        <v/>
      </c>
      <c r="B11" s="3" t="str">
        <f>IF('2Capital Costs'!B12&lt;&gt;"", '2Capital Costs'!B12, "")</f>
        <v/>
      </c>
      <c r="C11" s="46" t="str">
        <f>IF('2Capital Costs'!C12&lt;&gt;"", '2Capital Costs'!C12, "")</f>
        <v/>
      </c>
      <c r="D11" s="47" t="str">
        <f>IF('2Capital Costs'!D12&lt;&gt;"", '2Capital Costs'!D12, "")</f>
        <v/>
      </c>
      <c r="E11" s="27" t="str">
        <f>IF($A11&lt;&gt;"", (IF('2Replacement Costs - Entry'!J12="Y",((($B11*$D11)*((1+$B$5)^E$7))*(1/((1+$F$5)^E$7))),0)), "")</f>
        <v/>
      </c>
      <c r="F11" s="27" t="str">
        <f>IF($A11&lt;&gt;"", (IF('2Replacement Costs - Entry'!K12="Y",((($B11*$D11)*((1+$B$5)^F$7))*(1/((1+$F$5)^F$7))),0)), "")</f>
        <v/>
      </c>
      <c r="G11" s="27" t="str">
        <f>IF($A11&lt;&gt;"", (IF('2Replacement Costs - Entry'!L12="Y",((($B11*$D11)*((1+$B$5)^G$7))*(1/((1+$F$5)^G$7))),0)), "")</f>
        <v/>
      </c>
      <c r="H11" s="27" t="str">
        <f>IF($A11&lt;&gt;"", (IF('2Replacement Costs - Entry'!M12="Y",((($B11*$D11)*((1+$B$5)^H$7))*(1/((1+$F$5)^H$7))),0)), "")</f>
        <v/>
      </c>
      <c r="I11" s="27" t="str">
        <f>IF($A11&lt;&gt;"", (IF('2Replacement Costs - Entry'!N12="Y",((($B11*$D11)*((1+$B$5)^I$7))*(1/((1+$F$5)^I$7))),0)), "")</f>
        <v/>
      </c>
    </row>
    <row r="12" spans="1:9">
      <c r="A12" s="29" t="str">
        <f>IF('2Capital Costs'!A13&lt;&gt;"", '2Capital Costs'!A13, "")</f>
        <v/>
      </c>
      <c r="B12" s="3" t="str">
        <f>IF('2Capital Costs'!B13&lt;&gt;"", '2Capital Costs'!B13, "")</f>
        <v/>
      </c>
      <c r="C12" s="46" t="str">
        <f>IF('2Capital Costs'!C13&lt;&gt;"", '2Capital Costs'!C13, "")</f>
        <v/>
      </c>
      <c r="D12" s="47" t="str">
        <f>IF('2Capital Costs'!D13&lt;&gt;"", '2Capital Costs'!D13, "")</f>
        <v/>
      </c>
      <c r="E12" s="27" t="str">
        <f>IF($A12&lt;&gt;"", (IF('2Replacement Costs - Entry'!J13="Y",((($B12*$D12)*((1+$B$5)^E$7))*(1/((1+$F$5)^E$7))),0)), "")</f>
        <v/>
      </c>
      <c r="F12" s="27" t="str">
        <f>IF($A12&lt;&gt;"", (IF('2Replacement Costs - Entry'!K13="Y",((($B12*$D12)*((1+$B$5)^F$7))*(1/((1+$F$5)^F$7))),0)), "")</f>
        <v/>
      </c>
      <c r="G12" s="27" t="str">
        <f>IF($A12&lt;&gt;"", (IF('2Replacement Costs - Entry'!L13="Y",((($B12*$D12)*((1+$B$5)^G$7))*(1/((1+$F$5)^G$7))),0)), "")</f>
        <v/>
      </c>
      <c r="H12" s="27" t="str">
        <f>IF($A12&lt;&gt;"", (IF('2Replacement Costs - Entry'!M13="Y",((($B12*$D12)*((1+$B$5)^H$7))*(1/((1+$F$5)^H$7))),0)), "")</f>
        <v/>
      </c>
      <c r="I12" s="27" t="str">
        <f>IF($A12&lt;&gt;"", (IF('2Replacement Costs - Entry'!N13="Y",((($B12*$D12)*((1+$B$5)^I$7))*(1/((1+$F$5)^I$7))),0)), "")</f>
        <v/>
      </c>
    </row>
    <row r="13" spans="1:9">
      <c r="A13" s="29" t="str">
        <f>IF('2Capital Costs'!A14&lt;&gt;"", '2Capital Costs'!A14, "")</f>
        <v/>
      </c>
      <c r="B13" s="3" t="str">
        <f>IF('2Capital Costs'!B14&lt;&gt;"", '2Capital Costs'!B14, "")</f>
        <v/>
      </c>
      <c r="C13" s="46" t="str">
        <f>IF('2Capital Costs'!C14&lt;&gt;"", '2Capital Costs'!C14, "")</f>
        <v/>
      </c>
      <c r="D13" s="47" t="str">
        <f>IF('2Capital Costs'!D14&lt;&gt;"", '2Capital Costs'!D14, "")</f>
        <v/>
      </c>
      <c r="E13" s="27" t="str">
        <f>IF($A13&lt;&gt;"", (IF('2Replacement Costs - Entry'!J14="Y",((($B13*$D13)*((1+$B$5)^E$7))*(1/((1+$F$5)^E$7))),0)), "")</f>
        <v/>
      </c>
      <c r="F13" s="27" t="str">
        <f>IF($A13&lt;&gt;"", (IF('2Replacement Costs - Entry'!K14="Y",((($B13*$D13)*((1+$B$5)^F$7))*(1/((1+$F$5)^F$7))),0)), "")</f>
        <v/>
      </c>
      <c r="G13" s="27" t="str">
        <f>IF($A13&lt;&gt;"", (IF('2Replacement Costs - Entry'!L14="Y",((($B13*$D13)*((1+$B$5)^G$7))*(1/((1+$F$5)^G$7))),0)), "")</f>
        <v/>
      </c>
      <c r="H13" s="27" t="str">
        <f>IF($A13&lt;&gt;"", (IF('2Replacement Costs - Entry'!M14="Y",((($B13*$D13)*((1+$B$5)^H$7))*(1/((1+$F$5)^H$7))),0)), "")</f>
        <v/>
      </c>
      <c r="I13" s="27" t="str">
        <f>IF($A13&lt;&gt;"", (IF('2Replacement Costs - Entry'!N14="Y",((($B13*$D13)*((1+$B$5)^I$7))*(1/((1+$F$5)^I$7))),0)), "")</f>
        <v/>
      </c>
    </row>
    <row r="14" spans="1:9">
      <c r="A14" s="29" t="str">
        <f>IF('2Capital Costs'!A15&lt;&gt;"", '2Capital Costs'!A15, "")</f>
        <v/>
      </c>
      <c r="B14" s="3" t="str">
        <f>IF('2Capital Costs'!B15&lt;&gt;"", '2Capital Costs'!B15, "")</f>
        <v/>
      </c>
      <c r="C14" s="46" t="str">
        <f>IF('2Capital Costs'!C15&lt;&gt;"", '2Capital Costs'!C15, "")</f>
        <v/>
      </c>
      <c r="D14" s="47" t="str">
        <f>IF('2Capital Costs'!D15&lt;&gt;"", '2Capital Costs'!D15, "")</f>
        <v/>
      </c>
      <c r="E14" s="27" t="str">
        <f>IF($A14&lt;&gt;"", (IF('2Replacement Costs - Entry'!J15="Y",((($B14*$D14)*((1+$B$5)^E$7))*(1/((1+$F$5)^E$7))),0)), "")</f>
        <v/>
      </c>
      <c r="F14" s="27" t="str">
        <f>IF($A14&lt;&gt;"", (IF('2Replacement Costs - Entry'!K15="Y",((($B14*$D14)*((1+$B$5)^F$7))*(1/((1+$F$5)^F$7))),0)), "")</f>
        <v/>
      </c>
      <c r="G14" s="27" t="str">
        <f>IF($A14&lt;&gt;"", (IF('2Replacement Costs - Entry'!L15="Y",((($B14*$D14)*((1+$B$5)^G$7))*(1/((1+$F$5)^G$7))),0)), "")</f>
        <v/>
      </c>
      <c r="H14" s="27" t="str">
        <f>IF($A14&lt;&gt;"", (IF('2Replacement Costs - Entry'!M15="Y",((($B14*$D14)*((1+$B$5)^H$7))*(1/((1+$F$5)^H$7))),0)), "")</f>
        <v/>
      </c>
      <c r="I14" s="27" t="str">
        <f>IF($A14&lt;&gt;"", (IF('2Replacement Costs - Entry'!N15="Y",((($B14*$D14)*((1+$B$5)^I$7))*(1/((1+$F$5)^I$7))),0)), "")</f>
        <v/>
      </c>
    </row>
    <row r="15" spans="1:9">
      <c r="A15" s="29" t="str">
        <f>IF('2Capital Costs'!A16&lt;&gt;"", '2Capital Costs'!A16, "")</f>
        <v/>
      </c>
      <c r="B15" s="3" t="str">
        <f>IF('2Capital Costs'!B16&lt;&gt;"", '2Capital Costs'!B16, "")</f>
        <v/>
      </c>
      <c r="C15" s="46" t="str">
        <f>IF('2Capital Costs'!C16&lt;&gt;"", '2Capital Costs'!C16, "")</f>
        <v/>
      </c>
      <c r="D15" s="47" t="str">
        <f>IF('2Capital Costs'!D16&lt;&gt;"", '2Capital Costs'!D16, "")</f>
        <v/>
      </c>
      <c r="E15" s="27" t="str">
        <f>IF($A15&lt;&gt;"", (IF('2Replacement Costs - Entry'!J16="Y",((($B15*$D15)*((1+$B$5)^E$7))*(1/((1+$F$5)^E$7))),0)), "")</f>
        <v/>
      </c>
      <c r="F15" s="27" t="str">
        <f>IF($A15&lt;&gt;"", (IF('2Replacement Costs - Entry'!K16="Y",((($B15*$D15)*((1+$B$5)^F$7))*(1/((1+$F$5)^F$7))),0)), "")</f>
        <v/>
      </c>
      <c r="G15" s="27" t="str">
        <f>IF($A15&lt;&gt;"", (IF('2Replacement Costs - Entry'!L16="Y",((($B15*$D15)*((1+$B$5)^G$7))*(1/((1+$F$5)^G$7))),0)), "")</f>
        <v/>
      </c>
      <c r="H15" s="27" t="str">
        <f>IF($A15&lt;&gt;"", (IF('2Replacement Costs - Entry'!M16="Y",((($B15*$D15)*((1+$B$5)^H$7))*(1/((1+$F$5)^H$7))),0)), "")</f>
        <v/>
      </c>
      <c r="I15" s="27" t="str">
        <f>IF($A15&lt;&gt;"", (IF('2Replacement Costs - Entry'!N16="Y",((($B15*$D15)*((1+$B$5)^I$7))*(1/((1+$F$5)^I$7))),0)), "")</f>
        <v/>
      </c>
    </row>
    <row r="16" spans="1:9">
      <c r="A16" s="29" t="str">
        <f>IF('2Capital Costs'!A17&lt;&gt;"", '2Capital Costs'!A17, "")</f>
        <v/>
      </c>
      <c r="B16" s="3" t="str">
        <f>IF('2Capital Costs'!B17&lt;&gt;"", '2Capital Costs'!B17, "")</f>
        <v/>
      </c>
      <c r="C16" s="46" t="str">
        <f>IF('2Capital Costs'!C17&lt;&gt;"", '2Capital Costs'!C17, "")</f>
        <v/>
      </c>
      <c r="D16" s="47" t="str">
        <f>IF('2Capital Costs'!D17&lt;&gt;"", '2Capital Costs'!D17, "")</f>
        <v/>
      </c>
      <c r="E16" s="27" t="str">
        <f>IF($A16&lt;&gt;"", (IF('2Replacement Costs - Entry'!J17="Y",((($B16*$D16)*((1+$B$5)^E$7))*(1/((1+$F$5)^E$7))),0)), "")</f>
        <v/>
      </c>
      <c r="F16" s="27" t="str">
        <f>IF($A16&lt;&gt;"", (IF('2Replacement Costs - Entry'!K17="Y",((($B16*$D16)*((1+$B$5)^F$7))*(1/((1+$F$5)^F$7))),0)), "")</f>
        <v/>
      </c>
      <c r="G16" s="27" t="str">
        <f>IF($A16&lt;&gt;"", (IF('2Replacement Costs - Entry'!L17="Y",((($B16*$D16)*((1+$B$5)^G$7))*(1/((1+$F$5)^G$7))),0)), "")</f>
        <v/>
      </c>
      <c r="H16" s="27" t="str">
        <f>IF($A16&lt;&gt;"", (IF('2Replacement Costs - Entry'!M17="Y",((($B16*$D16)*((1+$B$5)^H$7))*(1/((1+$F$5)^H$7))),0)), "")</f>
        <v/>
      </c>
      <c r="I16" s="27" t="str">
        <f>IF($A16&lt;&gt;"", (IF('2Replacement Costs - Entry'!N17="Y",((($B16*$D16)*((1+$B$5)^I$7))*(1/((1+$F$5)^I$7))),0)), "")</f>
        <v/>
      </c>
    </row>
    <row r="17" spans="1:9">
      <c r="A17" s="29" t="str">
        <f>IF('2Capital Costs'!A18&lt;&gt;"", '2Capital Costs'!A18, "")</f>
        <v/>
      </c>
      <c r="B17" s="3" t="str">
        <f>IF('2Capital Costs'!B18&lt;&gt;"", '2Capital Costs'!B18, "")</f>
        <v/>
      </c>
      <c r="C17" s="46" t="str">
        <f>IF('2Capital Costs'!C18&lt;&gt;"", '2Capital Costs'!C18, "")</f>
        <v/>
      </c>
      <c r="D17" s="47" t="str">
        <f>IF('2Capital Costs'!D18&lt;&gt;"", '2Capital Costs'!D18, "")</f>
        <v/>
      </c>
      <c r="E17" s="27" t="str">
        <f>IF($A17&lt;&gt;"", (IF('2Replacement Costs - Entry'!J18="Y",((($B17*$D17)*((1+$B$5)^E$7))*(1/((1+$F$5)^E$7))),0)), "")</f>
        <v/>
      </c>
      <c r="F17" s="27" t="str">
        <f>IF($A17&lt;&gt;"", (IF('2Replacement Costs - Entry'!K18="Y",((($B17*$D17)*((1+$B$5)^F$7))*(1/((1+$F$5)^F$7))),0)), "")</f>
        <v/>
      </c>
      <c r="G17" s="27" t="str">
        <f>IF($A17&lt;&gt;"", (IF('2Replacement Costs - Entry'!L18="Y",((($B17*$D17)*((1+$B$5)^G$7))*(1/((1+$F$5)^G$7))),0)), "")</f>
        <v/>
      </c>
      <c r="H17" s="27" t="str">
        <f>IF($A17&lt;&gt;"", (IF('2Replacement Costs - Entry'!M18="Y",((($B17*$D17)*((1+$B$5)^H$7))*(1/((1+$F$5)^H$7))),0)), "")</f>
        <v/>
      </c>
      <c r="I17" s="27" t="str">
        <f>IF($A17&lt;&gt;"", (IF('2Replacement Costs - Entry'!N18="Y",((($B17*$D17)*((1+$B$5)^I$7))*(1/((1+$F$5)^I$7))),0)), "")</f>
        <v/>
      </c>
    </row>
    <row r="18" spans="1:9">
      <c r="A18" s="29" t="str">
        <f>IF('2Capital Costs'!A19&lt;&gt;"", '2Capital Costs'!A19, "")</f>
        <v/>
      </c>
      <c r="B18" s="3" t="str">
        <f>IF('2Capital Costs'!B19&lt;&gt;"", '2Capital Costs'!B19, "")</f>
        <v/>
      </c>
      <c r="C18" s="46" t="str">
        <f>IF('2Capital Costs'!C19&lt;&gt;"", '2Capital Costs'!C19, "")</f>
        <v/>
      </c>
      <c r="D18" s="47" t="str">
        <f>IF('2Capital Costs'!D19&lt;&gt;"", '2Capital Costs'!D19, "")</f>
        <v/>
      </c>
      <c r="E18" s="27" t="str">
        <f>IF($A18&lt;&gt;"", (IF('2Replacement Costs - Entry'!J19="Y",((($B18*$D18)*((1+$B$5)^E$7))*(1/((1+$F$5)^E$7))),0)), "")</f>
        <v/>
      </c>
      <c r="F18" s="27" t="str">
        <f>IF($A18&lt;&gt;"", (IF('2Replacement Costs - Entry'!K19="Y",((($B18*$D18)*((1+$B$5)^F$7))*(1/((1+$F$5)^F$7))),0)), "")</f>
        <v/>
      </c>
      <c r="G18" s="27" t="str">
        <f>IF($A18&lt;&gt;"", (IF('2Replacement Costs - Entry'!L19="Y",((($B18*$D18)*((1+$B$5)^G$7))*(1/((1+$F$5)^G$7))),0)), "")</f>
        <v/>
      </c>
      <c r="H18" s="27" t="str">
        <f>IF($A18&lt;&gt;"", (IF('2Replacement Costs - Entry'!M19="Y",((($B18*$D18)*((1+$B$5)^H$7))*(1/((1+$F$5)^H$7))),0)), "")</f>
        <v/>
      </c>
      <c r="I18" s="27" t="str">
        <f>IF($A18&lt;&gt;"", (IF('2Replacement Costs - Entry'!N19="Y",((($B18*$D18)*((1+$B$5)^I$7))*(1/((1+$F$5)^I$7))),0)), "")</f>
        <v/>
      </c>
    </row>
    <row r="19" spans="1:9">
      <c r="A19" s="29" t="str">
        <f>IF('2Capital Costs'!A20&lt;&gt;"", '2Capital Costs'!A20, "")</f>
        <v/>
      </c>
      <c r="B19" s="3" t="str">
        <f>IF('2Capital Costs'!B20&lt;&gt;"", '2Capital Costs'!B20, "")</f>
        <v/>
      </c>
      <c r="C19" s="46" t="str">
        <f>IF('2Capital Costs'!C20&lt;&gt;"", '2Capital Costs'!C20, "")</f>
        <v/>
      </c>
      <c r="D19" s="47" t="str">
        <f>IF('2Capital Costs'!D20&lt;&gt;"", '2Capital Costs'!D20, "")</f>
        <v/>
      </c>
      <c r="E19" s="27" t="str">
        <f>IF($A19&lt;&gt;"", (IF('2Replacement Costs - Entry'!J20="Y",((($B19*$D19)*((1+$B$5)^E$7))*(1/((1+$F$5)^E$7))),0)), "")</f>
        <v/>
      </c>
      <c r="F19" s="27" t="str">
        <f>IF($A19&lt;&gt;"", (IF('2Replacement Costs - Entry'!K20="Y",((($B19*$D19)*((1+$B$5)^F$7))*(1/((1+$F$5)^F$7))),0)), "")</f>
        <v/>
      </c>
      <c r="G19" s="27" t="str">
        <f>IF($A19&lt;&gt;"", (IF('2Replacement Costs - Entry'!L20="Y",((($B19*$D19)*((1+$B$5)^G$7))*(1/((1+$F$5)^G$7))),0)), "")</f>
        <v/>
      </c>
      <c r="H19" s="27" t="str">
        <f>IF($A19&lt;&gt;"", (IF('2Replacement Costs - Entry'!M20="Y",((($B19*$D19)*((1+$B$5)^H$7))*(1/((1+$F$5)^H$7))),0)), "")</f>
        <v/>
      </c>
      <c r="I19" s="27" t="str">
        <f>IF($A19&lt;&gt;"", (IF('2Replacement Costs - Entry'!N20="Y",((($B19*$D19)*((1+$B$5)^I$7))*(1/((1+$F$5)^I$7))),0)), "")</f>
        <v/>
      </c>
    </row>
    <row r="20" spans="1:9">
      <c r="A20" s="29" t="str">
        <f>IF('2Capital Costs'!A21&lt;&gt;"", '2Capital Costs'!A21, "")</f>
        <v/>
      </c>
      <c r="B20" s="3" t="str">
        <f>IF('2Capital Costs'!B21&lt;&gt;"", '2Capital Costs'!B21, "")</f>
        <v/>
      </c>
      <c r="C20" s="46" t="str">
        <f>IF('2Capital Costs'!C21&lt;&gt;"", '2Capital Costs'!C21, "")</f>
        <v/>
      </c>
      <c r="D20" s="47" t="str">
        <f>IF('2Capital Costs'!D21&lt;&gt;"", '2Capital Costs'!D21, "")</f>
        <v/>
      </c>
      <c r="E20" s="27" t="str">
        <f>IF($A20&lt;&gt;"", (IF('2Replacement Costs - Entry'!J21="Y",((($B20*$D20)*((1+$B$5)^E$7))*(1/((1+$F$5)^E$7))),0)), "")</f>
        <v/>
      </c>
      <c r="F20" s="27" t="str">
        <f>IF($A20&lt;&gt;"", (IF('2Replacement Costs - Entry'!K21="Y",((($B20*$D20)*((1+$B$5)^F$7))*(1/((1+$F$5)^F$7))),0)), "")</f>
        <v/>
      </c>
      <c r="G20" s="27" t="str">
        <f>IF($A20&lt;&gt;"", (IF('2Replacement Costs - Entry'!L21="Y",((($B20*$D20)*((1+$B$5)^G$7))*(1/((1+$F$5)^G$7))),0)), "")</f>
        <v/>
      </c>
      <c r="H20" s="27" t="str">
        <f>IF($A20&lt;&gt;"", (IF('2Replacement Costs - Entry'!M21="Y",((($B20*$D20)*((1+$B$5)^H$7))*(1/((1+$F$5)^H$7))),0)), "")</f>
        <v/>
      </c>
      <c r="I20" s="27" t="str">
        <f>IF($A20&lt;&gt;"", (IF('2Replacement Costs - Entry'!N21="Y",((($B20*$D20)*((1+$B$5)^I$7))*(1/((1+$F$5)^I$7))),0)), "")</f>
        <v/>
      </c>
    </row>
    <row r="21" spans="1:9">
      <c r="A21" s="29" t="str">
        <f>IF('2Capital Costs'!A22&lt;&gt;"", '2Capital Costs'!A22, "")</f>
        <v/>
      </c>
      <c r="B21" s="3" t="str">
        <f>IF('2Capital Costs'!B22&lt;&gt;"", '2Capital Costs'!B22, "")</f>
        <v/>
      </c>
      <c r="C21" s="46" t="str">
        <f>IF('2Capital Costs'!C22&lt;&gt;"", '2Capital Costs'!C22, "")</f>
        <v/>
      </c>
      <c r="D21" s="47" t="str">
        <f>IF('2Capital Costs'!D22&lt;&gt;"", '2Capital Costs'!D22, "")</f>
        <v/>
      </c>
      <c r="E21" s="27" t="str">
        <f>IF($A21&lt;&gt;"", (IF('2Replacement Costs - Entry'!J22="Y",((($B21*$D21)*((1+$B$5)^E$7))*(1/((1+$F$5)^E$7))),0)), "")</f>
        <v/>
      </c>
      <c r="F21" s="27" t="str">
        <f>IF($A21&lt;&gt;"", (IF('2Replacement Costs - Entry'!K22="Y",((($B21*$D21)*((1+$B$5)^F$7))*(1/((1+$F$5)^F$7))),0)), "")</f>
        <v/>
      </c>
      <c r="G21" s="27" t="str">
        <f>IF($A21&lt;&gt;"", (IF('2Replacement Costs - Entry'!L22="Y",((($B21*$D21)*((1+$B$5)^G$7))*(1/((1+$F$5)^G$7))),0)), "")</f>
        <v/>
      </c>
      <c r="H21" s="27" t="str">
        <f>IF($A21&lt;&gt;"", (IF('2Replacement Costs - Entry'!M22="Y",((($B21*$D21)*((1+$B$5)^H$7))*(1/((1+$F$5)^H$7))),0)), "")</f>
        <v/>
      </c>
      <c r="I21" s="27" t="str">
        <f>IF($A21&lt;&gt;"", (IF('2Replacement Costs - Entry'!N22="Y",((($B21*$D21)*((1+$B$5)^I$7))*(1/((1+$F$5)^I$7))),0)), "")</f>
        <v/>
      </c>
    </row>
    <row r="22" spans="1:9">
      <c r="A22" s="29" t="str">
        <f>IF('2Capital Costs'!A23&lt;&gt;"", '2Capital Costs'!A23, "")</f>
        <v/>
      </c>
      <c r="B22" s="3" t="str">
        <f>IF('2Capital Costs'!B23&lt;&gt;"", '2Capital Costs'!B23, "")</f>
        <v/>
      </c>
      <c r="C22" s="46" t="str">
        <f>IF('2Capital Costs'!C23&lt;&gt;"", '2Capital Costs'!C23, "")</f>
        <v/>
      </c>
      <c r="D22" s="47" t="str">
        <f>IF('2Capital Costs'!D23&lt;&gt;"", '2Capital Costs'!D23, "")</f>
        <v/>
      </c>
      <c r="E22" s="27" t="str">
        <f>IF($A22&lt;&gt;"", (IF('2Replacement Costs - Entry'!J23="Y",((($B22*$D22)*((1+$B$5)^E$7))*(1/((1+$F$5)^E$7))),0)), "")</f>
        <v/>
      </c>
      <c r="F22" s="27" t="str">
        <f>IF($A22&lt;&gt;"", (IF('2Replacement Costs - Entry'!K23="Y",((($B22*$D22)*((1+$B$5)^F$7))*(1/((1+$F$5)^F$7))),0)), "")</f>
        <v/>
      </c>
      <c r="G22" s="27" t="str">
        <f>IF($A22&lt;&gt;"", (IF('2Replacement Costs - Entry'!L23="Y",((($B22*$D22)*((1+$B$5)^G$7))*(1/((1+$F$5)^G$7))),0)), "")</f>
        <v/>
      </c>
      <c r="H22" s="27" t="str">
        <f>IF($A22&lt;&gt;"", (IF('2Replacement Costs - Entry'!M23="Y",((($B22*$D22)*((1+$B$5)^H$7))*(1/((1+$F$5)^H$7))),0)), "")</f>
        <v/>
      </c>
      <c r="I22" s="27" t="str">
        <f>IF($A22&lt;&gt;"", (IF('2Replacement Costs - Entry'!N23="Y",((($B22*$D22)*((1+$B$5)^I$7))*(1/((1+$F$5)^I$7))),0)), "")</f>
        <v/>
      </c>
    </row>
    <row r="23" spans="1:9">
      <c r="A23" s="29" t="str">
        <f>IF('2Capital Costs'!A24&lt;&gt;"", '2Capital Costs'!A24, "")</f>
        <v/>
      </c>
      <c r="B23" s="3" t="str">
        <f>IF('2Capital Costs'!B24&lt;&gt;"", '2Capital Costs'!B24, "")</f>
        <v/>
      </c>
      <c r="C23" s="46" t="str">
        <f>IF('2Capital Costs'!C24&lt;&gt;"", '2Capital Costs'!C24, "")</f>
        <v/>
      </c>
      <c r="D23" s="47" t="str">
        <f>IF('2Capital Costs'!D24&lt;&gt;"", '2Capital Costs'!D24, "")</f>
        <v/>
      </c>
      <c r="E23" s="27" t="str">
        <f>IF($A23&lt;&gt;"", (IF('2Replacement Costs - Entry'!J24="Y",((($B23*$D23)*((1+$B$5)^E$7))*(1/((1+$F$5)^E$7))),0)), "")</f>
        <v/>
      </c>
      <c r="F23" s="27" t="str">
        <f>IF($A23&lt;&gt;"", (IF('2Replacement Costs - Entry'!K24="Y",((($B23*$D23)*((1+$B$5)^F$7))*(1/((1+$F$5)^F$7))),0)), "")</f>
        <v/>
      </c>
      <c r="G23" s="27" t="str">
        <f>IF($A23&lt;&gt;"", (IF('2Replacement Costs - Entry'!L24="Y",((($B23*$D23)*((1+$B$5)^G$7))*(1/((1+$F$5)^G$7))),0)), "")</f>
        <v/>
      </c>
      <c r="H23" s="27" t="str">
        <f>IF($A23&lt;&gt;"", (IF('2Replacement Costs - Entry'!M24="Y",((($B23*$D23)*((1+$B$5)^H$7))*(1/((1+$F$5)^H$7))),0)), "")</f>
        <v/>
      </c>
      <c r="I23" s="27" t="str">
        <f>IF($A23&lt;&gt;"", (IF('2Replacement Costs - Entry'!N24="Y",((($B23*$D23)*((1+$B$5)^I$7))*(1/((1+$F$5)^I$7))),0)), "")</f>
        <v/>
      </c>
    </row>
    <row r="24" spans="1:9">
      <c r="A24" s="29" t="str">
        <f>IF('2Capital Costs'!A25&lt;&gt;"", '2Capital Costs'!A25, "")</f>
        <v/>
      </c>
      <c r="B24" s="3" t="str">
        <f>IF('2Capital Costs'!B25&lt;&gt;"", '2Capital Costs'!B25, "")</f>
        <v/>
      </c>
      <c r="C24" s="46" t="str">
        <f>IF('2Capital Costs'!C25&lt;&gt;"", '2Capital Costs'!C25, "")</f>
        <v/>
      </c>
      <c r="D24" s="47" t="str">
        <f>IF('2Capital Costs'!D25&lt;&gt;"", '2Capital Costs'!D25, "")</f>
        <v/>
      </c>
      <c r="E24" s="27" t="str">
        <f>IF($A24&lt;&gt;"", (IF('2Replacement Costs - Entry'!J25="Y",((($B24*$D24)*((1+$B$5)^E$7))*(1/((1+$F$5)^E$7))),0)), "")</f>
        <v/>
      </c>
      <c r="F24" s="27" t="str">
        <f>IF($A24&lt;&gt;"", (IF('2Replacement Costs - Entry'!K25="Y",((($B24*$D24)*((1+$B$5)^F$7))*(1/((1+$F$5)^F$7))),0)), "")</f>
        <v/>
      </c>
      <c r="G24" s="27" t="str">
        <f>IF($A24&lt;&gt;"", (IF('2Replacement Costs - Entry'!L25="Y",((($B24*$D24)*((1+$B$5)^G$7))*(1/((1+$F$5)^G$7))),0)), "")</f>
        <v/>
      </c>
      <c r="H24" s="27" t="str">
        <f>IF($A24&lt;&gt;"", (IF('2Replacement Costs - Entry'!M25="Y",((($B24*$D24)*((1+$B$5)^H$7))*(1/((1+$F$5)^H$7))),0)), "")</f>
        <v/>
      </c>
      <c r="I24" s="27" t="str">
        <f>IF($A24&lt;&gt;"", (IF('2Replacement Costs - Entry'!N25="Y",((($B24*$D24)*((1+$B$5)^I$7))*(1/((1+$F$5)^I$7))),0)), "")</f>
        <v/>
      </c>
    </row>
    <row r="25" spans="1:9">
      <c r="A25" s="29" t="str">
        <f>IF('2Capital Costs'!A26&lt;&gt;"", '2Capital Costs'!A26, "")</f>
        <v/>
      </c>
      <c r="B25" s="3" t="str">
        <f>IF('2Capital Costs'!B26&lt;&gt;"", '2Capital Costs'!B26, "")</f>
        <v/>
      </c>
      <c r="C25" s="46" t="str">
        <f>IF('2Capital Costs'!C26&lt;&gt;"", '2Capital Costs'!C26, "")</f>
        <v/>
      </c>
      <c r="D25" s="47" t="str">
        <f>IF('2Capital Costs'!D26&lt;&gt;"", '2Capital Costs'!D26, "")</f>
        <v/>
      </c>
      <c r="E25" s="27" t="str">
        <f>IF($A25&lt;&gt;"", (IF('2Replacement Costs - Entry'!J26="Y",((($B25*$D25)*((1+$B$5)^E$7))*(1/((1+$F$5)^E$7))),0)), "")</f>
        <v/>
      </c>
      <c r="F25" s="27" t="str">
        <f>IF($A25&lt;&gt;"", (IF('2Replacement Costs - Entry'!K26="Y",((($B25*$D25)*((1+$B$5)^F$7))*(1/((1+$F$5)^F$7))),0)), "")</f>
        <v/>
      </c>
      <c r="G25" s="27" t="str">
        <f>IF($A25&lt;&gt;"", (IF('2Replacement Costs - Entry'!L26="Y",((($B25*$D25)*((1+$B$5)^G$7))*(1/((1+$F$5)^G$7))),0)), "")</f>
        <v/>
      </c>
      <c r="H25" s="27" t="str">
        <f>IF($A25&lt;&gt;"", (IF('2Replacement Costs - Entry'!M26="Y",((($B25*$D25)*((1+$B$5)^H$7))*(1/((1+$F$5)^H$7))),0)), "")</f>
        <v/>
      </c>
      <c r="I25" s="27" t="str">
        <f>IF($A25&lt;&gt;"", (IF('2Replacement Costs - Entry'!N26="Y",((($B25*$D25)*((1+$B$5)^I$7))*(1/((1+$F$5)^I$7))),0)), "")</f>
        <v/>
      </c>
    </row>
    <row r="26" spans="1:9">
      <c r="A26" s="29" t="str">
        <f>IF('2Capital Costs'!A27&lt;&gt;"", '2Capital Costs'!A27, "")</f>
        <v/>
      </c>
      <c r="B26" s="3" t="str">
        <f>IF('2Capital Costs'!B27&lt;&gt;"", '2Capital Costs'!B27, "")</f>
        <v/>
      </c>
      <c r="C26" s="46" t="str">
        <f>IF('2Capital Costs'!C27&lt;&gt;"", '2Capital Costs'!C27, "")</f>
        <v/>
      </c>
      <c r="D26" s="47" t="str">
        <f>IF('2Capital Costs'!D27&lt;&gt;"", '2Capital Costs'!D27, "")</f>
        <v/>
      </c>
      <c r="E26" s="27" t="str">
        <f>IF($A26&lt;&gt;"", (IF('2Replacement Costs - Entry'!J27="Y",((($B26*$D26)*((1+$B$5)^E$7))*(1/((1+$F$5)^E$7))),0)), "")</f>
        <v/>
      </c>
      <c r="F26" s="27" t="str">
        <f>IF($A26&lt;&gt;"", (IF('2Replacement Costs - Entry'!K27="Y",((($B26*$D26)*((1+$B$5)^F$7))*(1/((1+$F$5)^F$7))),0)), "")</f>
        <v/>
      </c>
      <c r="G26" s="27" t="str">
        <f>IF($A26&lt;&gt;"", (IF('2Replacement Costs - Entry'!L27="Y",((($B26*$D26)*((1+$B$5)^G$7))*(1/((1+$F$5)^G$7))),0)), "")</f>
        <v/>
      </c>
      <c r="H26" s="27" t="str">
        <f>IF($A26&lt;&gt;"", (IF('2Replacement Costs - Entry'!M27="Y",((($B26*$D26)*((1+$B$5)^H$7))*(1/((1+$F$5)^H$7))),0)), "")</f>
        <v/>
      </c>
      <c r="I26" s="27" t="str">
        <f>IF($A26&lt;&gt;"", (IF('2Replacement Costs - Entry'!N27="Y",((($B26*$D26)*((1+$B$5)^I$7))*(1/((1+$F$5)^I$7))),0)), "")</f>
        <v/>
      </c>
    </row>
    <row r="27" spans="1:9">
      <c r="A27" s="29" t="str">
        <f>IF('2Capital Costs'!A28&lt;&gt;"", '2Capital Costs'!A28, "")</f>
        <v/>
      </c>
      <c r="B27" s="3" t="str">
        <f>IF('2Capital Costs'!B28&lt;&gt;"", '2Capital Costs'!B28, "")</f>
        <v/>
      </c>
      <c r="C27" s="46" t="str">
        <f>IF('2Capital Costs'!C28&lt;&gt;"", '2Capital Costs'!C28, "")</f>
        <v/>
      </c>
      <c r="D27" s="47" t="str">
        <f>IF('2Capital Costs'!D28&lt;&gt;"", '2Capital Costs'!D28, "")</f>
        <v/>
      </c>
      <c r="E27" s="27" t="str">
        <f>IF($A27&lt;&gt;"", (IF('2Replacement Costs - Entry'!J28="Y",((($B27*$D27)*((1+$B$5)^E$7))*(1/((1+$F$5)^E$7))),0)), "")</f>
        <v/>
      </c>
      <c r="F27" s="27" t="str">
        <f>IF($A27&lt;&gt;"", (IF('2Replacement Costs - Entry'!K28="Y",((($B27*$D27)*((1+$B$5)^F$7))*(1/((1+$F$5)^F$7))),0)), "")</f>
        <v/>
      </c>
      <c r="G27" s="27" t="str">
        <f>IF($A27&lt;&gt;"", (IF('2Replacement Costs - Entry'!L28="Y",((($B27*$D27)*((1+$B$5)^G$7))*(1/((1+$F$5)^G$7))),0)), "")</f>
        <v/>
      </c>
      <c r="H27" s="27" t="str">
        <f>IF($A27&lt;&gt;"", (IF('2Replacement Costs - Entry'!M28="Y",((($B27*$D27)*((1+$B$5)^H$7))*(1/((1+$F$5)^H$7))),0)), "")</f>
        <v/>
      </c>
      <c r="I27" s="27" t="str">
        <f>IF($A27&lt;&gt;"", (IF('2Replacement Costs - Entry'!N28="Y",((($B27*$D27)*((1+$B$5)^I$7))*(1/((1+$F$5)^I$7))),0)), "")</f>
        <v/>
      </c>
    </row>
    <row r="28" spans="1:9">
      <c r="A28" s="29" t="str">
        <f>IF('2Capital Costs'!A29&lt;&gt;"", '2Capital Costs'!A29, "")</f>
        <v/>
      </c>
      <c r="B28" s="3" t="str">
        <f>IF('2Capital Costs'!B29&lt;&gt;"", '2Capital Costs'!B29, "")</f>
        <v/>
      </c>
      <c r="C28" s="46" t="str">
        <f>IF('2Capital Costs'!C29&lt;&gt;"", '2Capital Costs'!C29, "")</f>
        <v/>
      </c>
      <c r="D28" s="47" t="str">
        <f>IF('2Capital Costs'!D29&lt;&gt;"", '2Capital Costs'!D29, "")</f>
        <v/>
      </c>
      <c r="E28" s="27" t="str">
        <f>IF($A28&lt;&gt;"", (IF('2Replacement Costs - Entry'!J29="Y",((($B28*$D28)*((1+$B$5)^E$7))*(1/((1+$F$5)^E$7))),0)), "")</f>
        <v/>
      </c>
      <c r="F28" s="27" t="str">
        <f>IF($A28&lt;&gt;"", (IF('2Replacement Costs - Entry'!K29="Y",((($B28*$D28)*((1+$B$5)^F$7))*(1/((1+$F$5)^F$7))),0)), "")</f>
        <v/>
      </c>
      <c r="G28" s="27" t="str">
        <f>IF($A28&lt;&gt;"", (IF('2Replacement Costs - Entry'!L29="Y",((($B28*$D28)*((1+$B$5)^G$7))*(1/((1+$F$5)^G$7))),0)), "")</f>
        <v/>
      </c>
      <c r="H28" s="27" t="str">
        <f>IF($A28&lt;&gt;"", (IF('2Replacement Costs - Entry'!M29="Y",((($B28*$D28)*((1+$B$5)^H$7))*(1/((1+$F$5)^H$7))),0)), "")</f>
        <v/>
      </c>
      <c r="I28" s="27" t="str">
        <f>IF($A28&lt;&gt;"", (IF('2Replacement Costs - Entry'!N29="Y",((($B28*$D28)*((1+$B$5)^I$7))*(1/((1+$F$5)^I$7))),0)), "")</f>
        <v/>
      </c>
    </row>
    <row r="29" spans="1:9">
      <c r="A29" s="29" t="str">
        <f>IF('2Capital Costs'!A30&lt;&gt;"", '2Capital Costs'!A30, "")</f>
        <v/>
      </c>
      <c r="B29" s="3" t="str">
        <f>IF('2Capital Costs'!B30&lt;&gt;"", '2Capital Costs'!B30, "")</f>
        <v/>
      </c>
      <c r="C29" s="46" t="str">
        <f>IF('2Capital Costs'!C30&lt;&gt;"", '2Capital Costs'!C30, "")</f>
        <v/>
      </c>
      <c r="D29" s="47" t="str">
        <f>IF('2Capital Costs'!D30&lt;&gt;"", '2Capital Costs'!D30, "")</f>
        <v/>
      </c>
      <c r="E29" s="27" t="str">
        <f>IF($A29&lt;&gt;"", (IF('2Replacement Costs - Entry'!J30="Y",((($B29*$D29)*((1+$B$5)^E$7))*(1/((1+$F$5)^E$7))),0)), "")</f>
        <v/>
      </c>
      <c r="F29" s="27" t="str">
        <f>IF($A29&lt;&gt;"", (IF('2Replacement Costs - Entry'!K30="Y",((($B29*$D29)*((1+$B$5)^F$7))*(1/((1+$F$5)^F$7))),0)), "")</f>
        <v/>
      </c>
      <c r="G29" s="27" t="str">
        <f>IF($A29&lt;&gt;"", (IF('2Replacement Costs - Entry'!L30="Y",((($B29*$D29)*((1+$B$5)^G$7))*(1/((1+$F$5)^G$7))),0)), "")</f>
        <v/>
      </c>
      <c r="H29" s="27" t="str">
        <f>IF($A29&lt;&gt;"", (IF('2Replacement Costs - Entry'!M30="Y",((($B29*$D29)*((1+$B$5)^H$7))*(1/((1+$F$5)^H$7))),0)), "")</f>
        <v/>
      </c>
      <c r="I29" s="27" t="str">
        <f>IF($A29&lt;&gt;"", (IF('2Replacement Costs - Entry'!N30="Y",((($B29*$D29)*((1+$B$5)^I$7))*(1/((1+$F$5)^I$7))),0)), "")</f>
        <v/>
      </c>
    </row>
    <row r="30" spans="1:9">
      <c r="A30" s="29" t="str">
        <f>IF('2Capital Costs'!A31&lt;&gt;"", '2Capital Costs'!A31, "")</f>
        <v/>
      </c>
      <c r="B30" s="3" t="str">
        <f>IF('2Capital Costs'!B31&lt;&gt;"", '2Capital Costs'!B31, "")</f>
        <v/>
      </c>
      <c r="C30" s="46" t="str">
        <f>IF('2Capital Costs'!C31&lt;&gt;"", '2Capital Costs'!C31, "")</f>
        <v/>
      </c>
      <c r="D30" s="47" t="str">
        <f>IF('2Capital Costs'!D31&lt;&gt;"", '2Capital Costs'!D31, "")</f>
        <v/>
      </c>
      <c r="E30" s="27" t="str">
        <f>IF($A30&lt;&gt;"", (IF('2Replacement Costs - Entry'!J31="Y",((($B30*$D30)*((1+$B$5)^E$7))*(1/((1+$F$5)^E$7))),0)), "")</f>
        <v/>
      </c>
      <c r="F30" s="27" t="str">
        <f>IF($A30&lt;&gt;"", (IF('2Replacement Costs - Entry'!K31="Y",((($B30*$D30)*((1+$B$5)^F$7))*(1/((1+$F$5)^F$7))),0)), "")</f>
        <v/>
      </c>
      <c r="G30" s="27" t="str">
        <f>IF($A30&lt;&gt;"", (IF('2Replacement Costs - Entry'!L31="Y",((($B30*$D30)*((1+$B$5)^G$7))*(1/((1+$F$5)^G$7))),0)), "")</f>
        <v/>
      </c>
      <c r="H30" s="27" t="str">
        <f>IF($A30&lt;&gt;"", (IF('2Replacement Costs - Entry'!M31="Y",((($B30*$D30)*((1+$B$5)^H$7))*(1/((1+$F$5)^H$7))),0)), "")</f>
        <v/>
      </c>
      <c r="I30" s="27" t="str">
        <f>IF($A30&lt;&gt;"", (IF('2Replacement Costs - Entry'!N31="Y",((($B30*$D30)*((1+$B$5)^I$7))*(1/((1+$F$5)^I$7))),0)), "")</f>
        <v/>
      </c>
    </row>
    <row r="31" spans="1:9">
      <c r="A31" s="29" t="str">
        <f>IF('2Capital Costs'!A32&lt;&gt;"", '2Capital Costs'!A32, "")</f>
        <v/>
      </c>
      <c r="B31" s="3" t="str">
        <f>IF('2Capital Costs'!B32&lt;&gt;"", '2Capital Costs'!B32, "")</f>
        <v/>
      </c>
      <c r="C31" s="46" t="str">
        <f>IF('2Capital Costs'!C32&lt;&gt;"", '2Capital Costs'!C32, "")</f>
        <v/>
      </c>
      <c r="D31" s="47" t="str">
        <f>IF('2Capital Costs'!D32&lt;&gt;"", '2Capital Costs'!D32, "")</f>
        <v/>
      </c>
      <c r="E31" s="27" t="str">
        <f>IF($A31&lt;&gt;"", (IF('2Replacement Costs - Entry'!J32="Y",((($B31*$D31)*((1+$B$5)^E$7))*(1/((1+$F$5)^E$7))),0)), "")</f>
        <v/>
      </c>
      <c r="F31" s="27" t="str">
        <f>IF($A31&lt;&gt;"", (IF('2Replacement Costs - Entry'!K32="Y",((($B31*$D31)*((1+$B$5)^F$7))*(1/((1+$F$5)^F$7))),0)), "")</f>
        <v/>
      </c>
      <c r="G31" s="27" t="str">
        <f>IF($A31&lt;&gt;"", (IF('2Replacement Costs - Entry'!L32="Y",((($B31*$D31)*((1+$B$5)^G$7))*(1/((1+$F$5)^G$7))),0)), "")</f>
        <v/>
      </c>
      <c r="H31" s="27" t="str">
        <f>IF($A31&lt;&gt;"", (IF('2Replacement Costs - Entry'!M32="Y",((($B31*$D31)*((1+$B$5)^H$7))*(1/((1+$F$5)^H$7))),0)), "")</f>
        <v/>
      </c>
      <c r="I31" s="27" t="str">
        <f>IF($A31&lt;&gt;"", (IF('2Replacement Costs - Entry'!N32="Y",((($B31*$D31)*((1+$B$5)^I$7))*(1/((1+$F$5)^I$7))),0)), "")</f>
        <v/>
      </c>
    </row>
    <row r="32" spans="1:9">
      <c r="A32" s="29" t="str">
        <f>IF('2Capital Costs'!A33&lt;&gt;"", '2Capital Costs'!A33, "")</f>
        <v/>
      </c>
      <c r="B32" s="3" t="str">
        <f>IF('2Capital Costs'!B33&lt;&gt;"", '2Capital Costs'!B33, "")</f>
        <v/>
      </c>
      <c r="C32" s="46" t="str">
        <f>IF('2Capital Costs'!C33&lt;&gt;"", '2Capital Costs'!C33, "")</f>
        <v/>
      </c>
      <c r="D32" s="47" t="str">
        <f>IF('2Capital Costs'!D33&lt;&gt;"", '2Capital Costs'!D33, "")</f>
        <v/>
      </c>
      <c r="E32" s="27" t="str">
        <f>IF($A32&lt;&gt;"", (IF('2Replacement Costs - Entry'!J33="Y",((($B32*$D32)*((1+$B$5)^E$7))*(1/((1+$F$5)^E$7))),0)), "")</f>
        <v/>
      </c>
      <c r="F32" s="27" t="str">
        <f>IF($A32&lt;&gt;"", (IF('2Replacement Costs - Entry'!K33="Y",((($B32*$D32)*((1+$B$5)^F$7))*(1/((1+$F$5)^F$7))),0)), "")</f>
        <v/>
      </c>
      <c r="G32" s="27" t="str">
        <f>IF($A32&lt;&gt;"", (IF('2Replacement Costs - Entry'!L33="Y",((($B32*$D32)*((1+$B$5)^G$7))*(1/((1+$F$5)^G$7))),0)), "")</f>
        <v/>
      </c>
      <c r="H32" s="27" t="str">
        <f>IF($A32&lt;&gt;"", (IF('2Replacement Costs - Entry'!M33="Y",((($B32*$D32)*((1+$B$5)^H$7))*(1/((1+$F$5)^H$7))),0)), "")</f>
        <v/>
      </c>
      <c r="I32" s="27" t="str">
        <f>IF($A32&lt;&gt;"", (IF('2Replacement Costs - Entry'!N33="Y",((($B32*$D32)*((1+$B$5)^I$7))*(1/((1+$F$5)^I$7))),0)), "")</f>
        <v/>
      </c>
    </row>
    <row r="33" spans="1:9">
      <c r="A33" s="29" t="str">
        <f>IF('2Capital Costs'!A34&lt;&gt;"", '2Capital Costs'!A34, "")</f>
        <v/>
      </c>
      <c r="B33" s="3" t="str">
        <f>IF('2Capital Costs'!B34&lt;&gt;"", '2Capital Costs'!B34, "")</f>
        <v/>
      </c>
      <c r="C33" s="46" t="str">
        <f>IF('2Capital Costs'!C34&lt;&gt;"", '2Capital Costs'!C34, "")</f>
        <v/>
      </c>
      <c r="D33" s="47" t="str">
        <f>IF('2Capital Costs'!D34&lt;&gt;"", '2Capital Costs'!D34, "")</f>
        <v/>
      </c>
      <c r="E33" s="27" t="str">
        <f>IF($A33&lt;&gt;"", (IF('2Replacement Costs - Entry'!J34="Y",((($B33*$D33)*((1+$B$5)^E$7))*(1/((1+$F$5)^E$7))),0)), "")</f>
        <v/>
      </c>
      <c r="F33" s="27" t="str">
        <f>IF($A33&lt;&gt;"", (IF('2Replacement Costs - Entry'!K34="Y",((($B33*$D33)*((1+$B$5)^F$7))*(1/((1+$F$5)^F$7))),0)), "")</f>
        <v/>
      </c>
      <c r="G33" s="27" t="str">
        <f>IF($A33&lt;&gt;"", (IF('2Replacement Costs - Entry'!L34="Y",((($B33*$D33)*((1+$B$5)^G$7))*(1/((1+$F$5)^G$7))),0)), "")</f>
        <v/>
      </c>
      <c r="H33" s="27" t="str">
        <f>IF($A33&lt;&gt;"", (IF('2Replacement Costs - Entry'!M34="Y",((($B33*$D33)*((1+$B$5)^H$7))*(1/((1+$F$5)^H$7))),0)), "")</f>
        <v/>
      </c>
      <c r="I33" s="27" t="str">
        <f>IF($A33&lt;&gt;"", (IF('2Replacement Costs - Entry'!N34="Y",((($B33*$D33)*((1+$B$5)^I$7))*(1/((1+$F$5)^I$7))),0)), "")</f>
        <v/>
      </c>
    </row>
    <row r="34" spans="1:9">
      <c r="A34" s="29" t="str">
        <f>IF('2Capital Costs'!A35&lt;&gt;"", '2Capital Costs'!A35, "")</f>
        <v/>
      </c>
      <c r="B34" s="3" t="str">
        <f>IF('2Capital Costs'!B35&lt;&gt;"", '2Capital Costs'!B35, "")</f>
        <v/>
      </c>
      <c r="C34" s="46" t="str">
        <f>IF('2Capital Costs'!C35&lt;&gt;"", '2Capital Costs'!C35, "")</f>
        <v/>
      </c>
      <c r="D34" s="47" t="str">
        <f>IF('2Capital Costs'!D35&lt;&gt;"", '2Capital Costs'!D35, "")</f>
        <v/>
      </c>
      <c r="E34" s="27" t="str">
        <f>IF($A34&lt;&gt;"", (IF('2Replacement Costs - Entry'!J35="Y",((($B34*$D34)*((1+$B$5)^E$7))*(1/((1+$F$5)^E$7))),0)), "")</f>
        <v/>
      </c>
      <c r="F34" s="27" t="str">
        <f>IF($A34&lt;&gt;"", (IF('2Replacement Costs - Entry'!K35="Y",((($B34*$D34)*((1+$B$5)^F$7))*(1/((1+$F$5)^F$7))),0)), "")</f>
        <v/>
      </c>
      <c r="G34" s="27" t="str">
        <f>IF($A34&lt;&gt;"", (IF('2Replacement Costs - Entry'!L35="Y",((($B34*$D34)*((1+$B$5)^G$7))*(1/((1+$F$5)^G$7))),0)), "")</f>
        <v/>
      </c>
      <c r="H34" s="27" t="str">
        <f>IF($A34&lt;&gt;"", (IF('2Replacement Costs - Entry'!M35="Y",((($B34*$D34)*((1+$B$5)^H$7))*(1/((1+$F$5)^H$7))),0)), "")</f>
        <v/>
      </c>
      <c r="I34" s="27" t="str">
        <f>IF($A34&lt;&gt;"", (IF('2Replacement Costs - Entry'!N35="Y",((($B34*$D34)*((1+$B$5)^I$7))*(1/((1+$F$5)^I$7))),0)), "")</f>
        <v/>
      </c>
    </row>
    <row r="35" spans="1:9">
      <c r="A35" s="29" t="str">
        <f>IF('2Capital Costs'!A36&lt;&gt;"", '2Capital Costs'!A36, "")</f>
        <v/>
      </c>
      <c r="B35" s="3" t="str">
        <f>IF('2Capital Costs'!B36&lt;&gt;"", '2Capital Costs'!B36, "")</f>
        <v/>
      </c>
      <c r="C35" s="46" t="str">
        <f>IF('2Capital Costs'!C36&lt;&gt;"", '2Capital Costs'!C36, "")</f>
        <v/>
      </c>
      <c r="D35" s="47" t="str">
        <f>IF('2Capital Costs'!D36&lt;&gt;"", '2Capital Costs'!D36, "")</f>
        <v/>
      </c>
      <c r="E35" s="27" t="str">
        <f>IF($A35&lt;&gt;"", (IF('2Replacement Costs - Entry'!J36="Y",((($B35*$D35)*((1+$B$5)^E$7))*(1/((1+$F$5)^E$7))),0)), "")</f>
        <v/>
      </c>
      <c r="F35" s="27" t="str">
        <f>IF($A35&lt;&gt;"", (IF('2Replacement Costs - Entry'!K36="Y",((($B35*$D35)*((1+$B$5)^F$7))*(1/((1+$F$5)^F$7))),0)), "")</f>
        <v/>
      </c>
      <c r="G35" s="27" t="str">
        <f>IF($A35&lt;&gt;"", (IF('2Replacement Costs - Entry'!L36="Y",((($B35*$D35)*((1+$B$5)^G$7))*(1/((1+$F$5)^G$7))),0)), "")</f>
        <v/>
      </c>
      <c r="H35" s="27" t="str">
        <f>IF($A35&lt;&gt;"", (IF('2Replacement Costs - Entry'!M36="Y",((($B35*$D35)*((1+$B$5)^H$7))*(1/((1+$F$5)^H$7))),0)), "")</f>
        <v/>
      </c>
      <c r="I35" s="27" t="str">
        <f>IF($A35&lt;&gt;"", (IF('2Replacement Costs - Entry'!N36="Y",((($B35*$D35)*((1+$B$5)^I$7))*(1/((1+$F$5)^I$7))),0)), "")</f>
        <v/>
      </c>
    </row>
    <row r="36" spans="1:9">
      <c r="A36" s="29" t="str">
        <f>IF('2Capital Costs'!A37&lt;&gt;"", '2Capital Costs'!A37, "")</f>
        <v/>
      </c>
      <c r="B36" s="3" t="str">
        <f>IF('2Capital Costs'!B37&lt;&gt;"", '2Capital Costs'!B37, "")</f>
        <v/>
      </c>
      <c r="C36" s="46" t="str">
        <f>IF('2Capital Costs'!C37&lt;&gt;"", '2Capital Costs'!C37, "")</f>
        <v/>
      </c>
      <c r="D36" s="47" t="str">
        <f>IF('2Capital Costs'!D37&lt;&gt;"", '2Capital Costs'!D37, "")</f>
        <v/>
      </c>
      <c r="E36" s="27" t="str">
        <f>IF($A36&lt;&gt;"", (IF('2Replacement Costs - Entry'!J37="Y",((($B36*$D36)*((1+$B$5)^E$7))*(1/((1+$F$5)^E$7))),0)), "")</f>
        <v/>
      </c>
      <c r="F36" s="27" t="str">
        <f>IF($A36&lt;&gt;"", (IF('2Replacement Costs - Entry'!K37="Y",((($B36*$D36)*((1+$B$5)^F$7))*(1/((1+$F$5)^F$7))),0)), "")</f>
        <v/>
      </c>
      <c r="G36" s="27" t="str">
        <f>IF($A36&lt;&gt;"", (IF('2Replacement Costs - Entry'!L37="Y",((($B36*$D36)*((1+$B$5)^G$7))*(1/((1+$F$5)^G$7))),0)), "")</f>
        <v/>
      </c>
      <c r="H36" s="27" t="str">
        <f>IF($A36&lt;&gt;"", (IF('2Replacement Costs - Entry'!M37="Y",((($B36*$D36)*((1+$B$5)^H$7))*(1/((1+$F$5)^H$7))),0)), "")</f>
        <v/>
      </c>
      <c r="I36" s="27" t="str">
        <f>IF($A36&lt;&gt;"", (IF('2Replacement Costs - Entry'!N37="Y",((($B36*$D36)*((1+$B$5)^I$7))*(1/((1+$F$5)^I$7))),0)), "")</f>
        <v/>
      </c>
    </row>
    <row r="37" spans="1:9">
      <c r="A37" s="23"/>
      <c r="B37" s="23"/>
      <c r="C37" s="23"/>
      <c r="D37" s="36" t="s">
        <v>49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150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'2Capital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95" t="str">
        <f>'2Replace Costs - Results 1-5'!A5</f>
        <v>Current Inflation Rate based on Construction Cost Index:</v>
      </c>
      <c r="B5" s="69">
        <f>'2Replace Costs - Results 1-5'!B5</f>
        <v>2.0671834625323047E-2</v>
      </c>
      <c r="C5" s="67"/>
      <c r="D5" s="67"/>
      <c r="E5" s="70" t="s">
        <v>43</v>
      </c>
      <c r="F5" s="72">
        <f>'2Replace Costs - Results 1-5'!F5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6</v>
      </c>
      <c r="F7" s="26">
        <v>7</v>
      </c>
      <c r="G7" s="26">
        <v>8</v>
      </c>
      <c r="H7" s="26">
        <v>9</v>
      </c>
      <c r="I7" s="26">
        <v>10</v>
      </c>
    </row>
    <row r="8" spans="1:9">
      <c r="A8" s="29" t="str">
        <f>IF('2Capital Costs'!A9&lt;&gt;"", '2Capital Costs'!A9, "")</f>
        <v/>
      </c>
      <c r="B8" s="3" t="str">
        <f>IF('2Capital Costs'!B9&lt;&gt;"", '2Capital Costs'!B9, "")</f>
        <v/>
      </c>
      <c r="C8" s="46" t="str">
        <f>IF('2Capital Costs'!C9&lt;&gt;"", '2Capital Costs'!C9, "")</f>
        <v/>
      </c>
      <c r="D8" s="47" t="str">
        <f>IF('2Capital Costs'!D9&lt;&gt;"", '2Capital Costs'!D9, "")</f>
        <v/>
      </c>
      <c r="E8" s="27" t="str">
        <f>IF($A8&lt;&gt;"", (IF('2Replacement Costs - Entry'!O9="Y",((($B8*$D8)*((1+$B$5)^E$7))*(1/((1+$F$5)^E$7))), 0)), "")</f>
        <v/>
      </c>
      <c r="F8" s="27" t="str">
        <f>IF($A8&lt;&gt;"", (IF('2Replacement Costs - Entry'!P9="Y",((($B8*$D8)*((1+$B$5)^F$7))*(1/((1+$F$5)^F$7))), 0)), "")</f>
        <v/>
      </c>
      <c r="G8" s="27" t="str">
        <f>IF($A8&lt;&gt;"", (IF('2Replacement Costs - Entry'!Q9="Y",((($B8*$D8)*((1+$B$5)^G$7))*(1/((1+$F$5)^G$7))), 0)), "")</f>
        <v/>
      </c>
      <c r="H8" s="27" t="str">
        <f>IF($A8&lt;&gt;"", (IF('2Replacement Costs - Entry'!R9="Y",((($B8*$D8)*((1+$B$5)^H$7))*(1/((1+$F$5)^H$7))), 0)), "")</f>
        <v/>
      </c>
      <c r="I8" s="27" t="str">
        <f>IF($A8&lt;&gt;"", (IF('2Replacement Costs - Entry'!S9="Y",((($B8*$D8)*((1+$B$5)^I$7))*(1/((1+$F$5)^I$7))), 0)), "")</f>
        <v/>
      </c>
    </row>
    <row r="9" spans="1:9">
      <c r="A9" s="29" t="str">
        <f>IF('2Capital Costs'!A10&lt;&gt;"", '2Capital Costs'!A10, "")</f>
        <v/>
      </c>
      <c r="B9" s="3" t="str">
        <f>IF('2Capital Costs'!B10&lt;&gt;"", '2Capital Costs'!B10, "")</f>
        <v/>
      </c>
      <c r="C9" s="46" t="str">
        <f>IF('2Capital Costs'!C10&lt;&gt;"", '2Capital Costs'!C10, "")</f>
        <v/>
      </c>
      <c r="D9" s="47" t="str">
        <f>IF('2Capital Costs'!D10&lt;&gt;"", '2Capital Costs'!D10, "")</f>
        <v/>
      </c>
      <c r="E9" s="27" t="str">
        <f>IF($A9&lt;&gt;"", (IF('2Replacement Costs - Entry'!O10="Y",((($B9*$D9)*((1+$B$5)^E$7))*(1/((1+$F$5)^E$7))), 0)), "")</f>
        <v/>
      </c>
      <c r="F9" s="27" t="str">
        <f>IF($A9&lt;&gt;"", (IF('2Replacement Costs - Entry'!P10="Y",((($B9*$D9)*((1+$B$5)^F$7))*(1/((1+$F$5)^F$7))), 0)), "")</f>
        <v/>
      </c>
      <c r="G9" s="27" t="str">
        <f>IF($A9&lt;&gt;"", (IF('2Replacement Costs - Entry'!Q10="Y",((($B9*$D9)*((1+$B$5)^G$7))*(1/((1+$F$5)^G$7))), 0)), "")</f>
        <v/>
      </c>
      <c r="H9" s="27" t="str">
        <f>IF($A9&lt;&gt;"", (IF('2Replacement Costs - Entry'!R10="Y",((($B9*$D9)*((1+$B$5)^H$7))*(1/((1+$F$5)^H$7))), 0)), "")</f>
        <v/>
      </c>
      <c r="I9" s="27" t="str">
        <f>IF($A9&lt;&gt;"", (IF('2Replacement Costs - Entry'!S10="Y",((($B9*$D9)*((1+$B$5)^I$7))*(1/((1+$F$5)^I$7))), 0)), "")</f>
        <v/>
      </c>
    </row>
    <row r="10" spans="1:9">
      <c r="A10" s="29" t="str">
        <f>IF('2Capital Costs'!A11&lt;&gt;"", '2Capital Costs'!A11, "")</f>
        <v/>
      </c>
      <c r="B10" s="3" t="str">
        <f>IF('2Capital Costs'!B11&lt;&gt;"", '2Capital Costs'!B11, "")</f>
        <v/>
      </c>
      <c r="C10" s="46" t="str">
        <f>IF('2Capital Costs'!C11&lt;&gt;"", '2Capital Costs'!C11, "")</f>
        <v/>
      </c>
      <c r="D10" s="47" t="str">
        <f>IF('2Capital Costs'!D11&lt;&gt;"", '2Capital Costs'!D11, "")</f>
        <v/>
      </c>
      <c r="E10" s="27" t="str">
        <f>IF($A10&lt;&gt;"", (IF('2Replacement Costs - Entry'!O11="Y",((($B10*$D10)*((1+$B$5)^E$7))*(1/((1+$F$5)^E$7))), 0)), "")</f>
        <v/>
      </c>
      <c r="F10" s="27" t="str">
        <f>IF($A10&lt;&gt;"", (IF('2Replacement Costs - Entry'!P11="Y",((($B10*$D10)*((1+$B$5)^F$7))*(1/((1+$F$5)^F$7))), 0)), "")</f>
        <v/>
      </c>
      <c r="G10" s="27" t="str">
        <f>IF($A10&lt;&gt;"", (IF('2Replacement Costs - Entry'!Q11="Y",((($B10*$D10)*((1+$B$5)^G$7))*(1/((1+$F$5)^G$7))), 0)), "")</f>
        <v/>
      </c>
      <c r="H10" s="27" t="str">
        <f>IF($A10&lt;&gt;"", (IF('2Replacement Costs - Entry'!R11="Y",((($B10*$D10)*((1+$B$5)^H$7))*(1/((1+$F$5)^H$7))), 0)), "")</f>
        <v/>
      </c>
      <c r="I10" s="27" t="str">
        <f>IF($A10&lt;&gt;"", (IF('2Replacement Costs - Entry'!S11="Y",((($B10*$D10)*((1+$B$5)^I$7))*(1/((1+$F$5)^I$7))), 0)), "")</f>
        <v/>
      </c>
    </row>
    <row r="11" spans="1:9">
      <c r="A11" s="29" t="str">
        <f>IF('2Capital Costs'!A12&lt;&gt;"", '2Capital Costs'!A12, "")</f>
        <v/>
      </c>
      <c r="B11" s="3" t="str">
        <f>IF('2Capital Costs'!B12&lt;&gt;"", '2Capital Costs'!B12, "")</f>
        <v/>
      </c>
      <c r="C11" s="46" t="str">
        <f>IF('2Capital Costs'!C12&lt;&gt;"", '2Capital Costs'!C12, "")</f>
        <v/>
      </c>
      <c r="D11" s="47" t="str">
        <f>IF('2Capital Costs'!D12&lt;&gt;"", '2Capital Costs'!D12, "")</f>
        <v/>
      </c>
      <c r="E11" s="27" t="str">
        <f>IF($A11&lt;&gt;"", (IF('2Replacement Costs - Entry'!O12="Y",((($B11*$D11)*((1+$B$5)^E$7))*(1/((1+$F$5)^E$7))), 0)), "")</f>
        <v/>
      </c>
      <c r="F11" s="27" t="str">
        <f>IF($A11&lt;&gt;"", (IF('2Replacement Costs - Entry'!P12="Y",((($B11*$D11)*((1+$B$5)^F$7))*(1/((1+$F$5)^F$7))), 0)), "")</f>
        <v/>
      </c>
      <c r="G11" s="27" t="str">
        <f>IF($A11&lt;&gt;"", (IF('2Replacement Costs - Entry'!Q12="Y",((($B11*$D11)*((1+$B$5)^G$7))*(1/((1+$F$5)^G$7))), 0)), "")</f>
        <v/>
      </c>
      <c r="H11" s="27" t="str">
        <f>IF($A11&lt;&gt;"", (IF('2Replacement Costs - Entry'!R12="Y",((($B11*$D11)*((1+$B$5)^H$7))*(1/((1+$F$5)^H$7))), 0)), "")</f>
        <v/>
      </c>
      <c r="I11" s="27" t="str">
        <f>IF($A11&lt;&gt;"", (IF('2Replacement Costs - Entry'!S12="Y",((($B11*$D11)*((1+$B$5)^I$7))*(1/((1+$F$5)^I$7))), 0)), "")</f>
        <v/>
      </c>
    </row>
    <row r="12" spans="1:9">
      <c r="A12" s="29" t="str">
        <f>IF('2Capital Costs'!A13&lt;&gt;"", '2Capital Costs'!A13, "")</f>
        <v/>
      </c>
      <c r="B12" s="3" t="str">
        <f>IF('2Capital Costs'!B13&lt;&gt;"", '2Capital Costs'!B13, "")</f>
        <v/>
      </c>
      <c r="C12" s="46" t="str">
        <f>IF('2Capital Costs'!C13&lt;&gt;"", '2Capital Costs'!C13, "")</f>
        <v/>
      </c>
      <c r="D12" s="47" t="str">
        <f>IF('2Capital Costs'!D13&lt;&gt;"", '2Capital Costs'!D13, "")</f>
        <v/>
      </c>
      <c r="E12" s="27" t="str">
        <f>IF($A12&lt;&gt;"", (IF('2Replacement Costs - Entry'!O13="Y",((($B12*$D12)*((1+$B$5)^E$7))*(1/((1+$F$5)^E$7))), 0)), "")</f>
        <v/>
      </c>
      <c r="F12" s="27" t="str">
        <f>IF($A12&lt;&gt;"", (IF('2Replacement Costs - Entry'!P13="Y",((($B12*$D12)*((1+$B$5)^F$7))*(1/((1+$F$5)^F$7))), 0)), "")</f>
        <v/>
      </c>
      <c r="G12" s="27" t="str">
        <f>IF($A12&lt;&gt;"", (IF('2Replacement Costs - Entry'!Q13="Y",((($B12*$D12)*((1+$B$5)^G$7))*(1/((1+$F$5)^G$7))), 0)), "")</f>
        <v/>
      </c>
      <c r="H12" s="27" t="str">
        <f>IF($A12&lt;&gt;"", (IF('2Replacement Costs - Entry'!R13="Y",((($B12*$D12)*((1+$B$5)^H$7))*(1/((1+$F$5)^H$7))), 0)), "")</f>
        <v/>
      </c>
      <c r="I12" s="27" t="str">
        <f>IF($A12&lt;&gt;"", (IF('2Replacement Costs - Entry'!S13="Y",((($B12*$D12)*((1+$B$5)^I$7))*(1/((1+$F$5)^I$7))), 0)), "")</f>
        <v/>
      </c>
    </row>
    <row r="13" spans="1:9">
      <c r="A13" s="29" t="str">
        <f>IF('2Capital Costs'!A14&lt;&gt;"", '2Capital Costs'!A14, "")</f>
        <v/>
      </c>
      <c r="B13" s="3" t="str">
        <f>IF('2Capital Costs'!B14&lt;&gt;"", '2Capital Costs'!B14, "")</f>
        <v/>
      </c>
      <c r="C13" s="46" t="str">
        <f>IF('2Capital Costs'!C14&lt;&gt;"", '2Capital Costs'!C14, "")</f>
        <v/>
      </c>
      <c r="D13" s="47" t="str">
        <f>IF('2Capital Costs'!D14&lt;&gt;"", '2Capital Costs'!D14, "")</f>
        <v/>
      </c>
      <c r="E13" s="27" t="str">
        <f>IF($A13&lt;&gt;"", (IF('2Replacement Costs - Entry'!O14="Y",((($B13*$D13)*((1+$B$5)^E$7))*(1/((1+$F$5)^E$7))), 0)), "")</f>
        <v/>
      </c>
      <c r="F13" s="27" t="str">
        <f>IF($A13&lt;&gt;"", (IF('2Replacement Costs - Entry'!P14="Y",((($B13*$D13)*((1+$B$5)^F$7))*(1/((1+$F$5)^F$7))), 0)), "")</f>
        <v/>
      </c>
      <c r="G13" s="27" t="str">
        <f>IF($A13&lt;&gt;"", (IF('2Replacement Costs - Entry'!Q14="Y",((($B13*$D13)*((1+$B$5)^G$7))*(1/((1+$F$5)^G$7))), 0)), "")</f>
        <v/>
      </c>
      <c r="H13" s="27" t="str">
        <f>IF($A13&lt;&gt;"", (IF('2Replacement Costs - Entry'!R14="Y",((($B13*$D13)*((1+$B$5)^H$7))*(1/((1+$F$5)^H$7))), 0)), "")</f>
        <v/>
      </c>
      <c r="I13" s="27" t="str">
        <f>IF($A13&lt;&gt;"", (IF('2Replacement Costs - Entry'!S14="Y",((($B13*$D13)*((1+$B$5)^I$7))*(1/((1+$F$5)^I$7))), 0)), "")</f>
        <v/>
      </c>
    </row>
    <row r="14" spans="1:9">
      <c r="A14" s="29" t="str">
        <f>IF('2Capital Costs'!A15&lt;&gt;"", '2Capital Costs'!A15, "")</f>
        <v/>
      </c>
      <c r="B14" s="3" t="str">
        <f>IF('2Capital Costs'!B15&lt;&gt;"", '2Capital Costs'!B15, "")</f>
        <v/>
      </c>
      <c r="C14" s="46" t="str">
        <f>IF('2Capital Costs'!C15&lt;&gt;"", '2Capital Costs'!C15, "")</f>
        <v/>
      </c>
      <c r="D14" s="47" t="str">
        <f>IF('2Capital Costs'!D15&lt;&gt;"", '2Capital Costs'!D15, "")</f>
        <v/>
      </c>
      <c r="E14" s="27" t="str">
        <f>IF($A14&lt;&gt;"", (IF('2Replacement Costs - Entry'!O15="Y",((($B14*$D14)*((1+$B$5)^E$7))*(1/((1+$F$5)^E$7))), 0)), "")</f>
        <v/>
      </c>
      <c r="F14" s="27" t="str">
        <f>IF($A14&lt;&gt;"", (IF('2Replacement Costs - Entry'!P15="Y",((($B14*$D14)*((1+$B$5)^F$7))*(1/((1+$F$5)^F$7))), 0)), "")</f>
        <v/>
      </c>
      <c r="G14" s="27" t="str">
        <f>IF($A14&lt;&gt;"", (IF('2Replacement Costs - Entry'!Q15="Y",((($B14*$D14)*((1+$B$5)^G$7))*(1/((1+$F$5)^G$7))), 0)), "")</f>
        <v/>
      </c>
      <c r="H14" s="27" t="str">
        <f>IF($A14&lt;&gt;"", (IF('2Replacement Costs - Entry'!R15="Y",((($B14*$D14)*((1+$B$5)^H$7))*(1/((1+$F$5)^H$7))), 0)), "")</f>
        <v/>
      </c>
      <c r="I14" s="27" t="str">
        <f>IF($A14&lt;&gt;"", (IF('2Replacement Costs - Entry'!S15="Y",((($B14*$D14)*((1+$B$5)^I$7))*(1/((1+$F$5)^I$7))), 0)), "")</f>
        <v/>
      </c>
    </row>
    <row r="15" spans="1:9">
      <c r="A15" s="29" t="str">
        <f>IF('2Capital Costs'!A16&lt;&gt;"", '2Capital Costs'!A16, "")</f>
        <v/>
      </c>
      <c r="B15" s="3" t="str">
        <f>IF('2Capital Costs'!B16&lt;&gt;"", '2Capital Costs'!B16, "")</f>
        <v/>
      </c>
      <c r="C15" s="46" t="str">
        <f>IF('2Capital Costs'!C16&lt;&gt;"", '2Capital Costs'!C16, "")</f>
        <v/>
      </c>
      <c r="D15" s="47" t="str">
        <f>IF('2Capital Costs'!D16&lt;&gt;"", '2Capital Costs'!D16, "")</f>
        <v/>
      </c>
      <c r="E15" s="27" t="str">
        <f>IF($A15&lt;&gt;"", (IF('2Replacement Costs - Entry'!O16="Y",((($B15*$D15)*((1+$B$5)^E$7))*(1/((1+$F$5)^E$7))), 0)), "")</f>
        <v/>
      </c>
      <c r="F15" s="27" t="str">
        <f>IF($A15&lt;&gt;"", (IF('2Replacement Costs - Entry'!P16="Y",((($B15*$D15)*((1+$B$5)^F$7))*(1/((1+$F$5)^F$7))), 0)), "")</f>
        <v/>
      </c>
      <c r="G15" s="27" t="str">
        <f>IF($A15&lt;&gt;"", (IF('2Replacement Costs - Entry'!Q16="Y",((($B15*$D15)*((1+$B$5)^G$7))*(1/((1+$F$5)^G$7))), 0)), "")</f>
        <v/>
      </c>
      <c r="H15" s="27" t="str">
        <f>IF($A15&lt;&gt;"", (IF('2Replacement Costs - Entry'!R16="Y",((($B15*$D15)*((1+$B$5)^H$7))*(1/((1+$F$5)^H$7))), 0)), "")</f>
        <v/>
      </c>
      <c r="I15" s="27" t="str">
        <f>IF($A15&lt;&gt;"", (IF('2Replacement Costs - Entry'!S16="Y",((($B15*$D15)*((1+$B$5)^I$7))*(1/((1+$F$5)^I$7))), 0)), "")</f>
        <v/>
      </c>
    </row>
    <row r="16" spans="1:9">
      <c r="A16" s="29" t="str">
        <f>IF('2Capital Costs'!A17&lt;&gt;"", '2Capital Costs'!A17, "")</f>
        <v/>
      </c>
      <c r="B16" s="3" t="str">
        <f>IF('2Capital Costs'!B17&lt;&gt;"", '2Capital Costs'!B17, "")</f>
        <v/>
      </c>
      <c r="C16" s="46" t="str">
        <f>IF('2Capital Costs'!C17&lt;&gt;"", '2Capital Costs'!C17, "")</f>
        <v/>
      </c>
      <c r="D16" s="47" t="str">
        <f>IF('2Capital Costs'!D17&lt;&gt;"", '2Capital Costs'!D17, "")</f>
        <v/>
      </c>
      <c r="E16" s="27" t="str">
        <f>IF($A16&lt;&gt;"", (IF('2Replacement Costs - Entry'!O17="Y",((($B16*$D16)*((1+$B$5)^E$7))*(1/((1+$F$5)^E$7))), 0)), "")</f>
        <v/>
      </c>
      <c r="F16" s="27" t="str">
        <f>IF($A16&lt;&gt;"", (IF('2Replacement Costs - Entry'!P17="Y",((($B16*$D16)*((1+$B$5)^F$7))*(1/((1+$F$5)^F$7))), 0)), "")</f>
        <v/>
      </c>
      <c r="G16" s="27" t="str">
        <f>IF($A16&lt;&gt;"", (IF('2Replacement Costs - Entry'!Q17="Y",((($B16*$D16)*((1+$B$5)^G$7))*(1/((1+$F$5)^G$7))), 0)), "")</f>
        <v/>
      </c>
      <c r="H16" s="27" t="str">
        <f>IF($A16&lt;&gt;"", (IF('2Replacement Costs - Entry'!R17="Y",((($B16*$D16)*((1+$B$5)^H$7))*(1/((1+$F$5)^H$7))), 0)), "")</f>
        <v/>
      </c>
      <c r="I16" s="27" t="str">
        <f>IF($A16&lt;&gt;"", (IF('2Replacement Costs - Entry'!S17="Y",((($B16*$D16)*((1+$B$5)^I$7))*(1/((1+$F$5)^I$7))), 0)), "")</f>
        <v/>
      </c>
    </row>
    <row r="17" spans="1:9">
      <c r="A17" s="29" t="str">
        <f>IF('2Capital Costs'!A18&lt;&gt;"", '2Capital Costs'!A18, "")</f>
        <v/>
      </c>
      <c r="B17" s="3" t="str">
        <f>IF('2Capital Costs'!B18&lt;&gt;"", '2Capital Costs'!B18, "")</f>
        <v/>
      </c>
      <c r="C17" s="46" t="str">
        <f>IF('2Capital Costs'!C18&lt;&gt;"", '2Capital Costs'!C18, "")</f>
        <v/>
      </c>
      <c r="D17" s="47" t="str">
        <f>IF('2Capital Costs'!D18&lt;&gt;"", '2Capital Costs'!D18, "")</f>
        <v/>
      </c>
      <c r="E17" s="27" t="str">
        <f>IF($A17&lt;&gt;"", (IF('2Replacement Costs - Entry'!O18="Y",((($B17*$D17)*((1+$B$5)^E$7))*(1/((1+$F$5)^E$7))), 0)), "")</f>
        <v/>
      </c>
      <c r="F17" s="27" t="str">
        <f>IF($A17&lt;&gt;"", (IF('2Replacement Costs - Entry'!P18="Y",((($B17*$D17)*((1+$B$5)^F$7))*(1/((1+$F$5)^F$7))), 0)), "")</f>
        <v/>
      </c>
      <c r="G17" s="27" t="str">
        <f>IF($A17&lt;&gt;"", (IF('2Replacement Costs - Entry'!Q18="Y",((($B17*$D17)*((1+$B$5)^G$7))*(1/((1+$F$5)^G$7))), 0)), "")</f>
        <v/>
      </c>
      <c r="H17" s="27" t="str">
        <f>IF($A17&lt;&gt;"", (IF('2Replacement Costs - Entry'!R18="Y",((($B17*$D17)*((1+$B$5)^H$7))*(1/((1+$F$5)^H$7))), 0)), "")</f>
        <v/>
      </c>
      <c r="I17" s="27" t="str">
        <f>IF($A17&lt;&gt;"", (IF('2Replacement Costs - Entry'!S18="Y",((($B17*$D17)*((1+$B$5)^I$7))*(1/((1+$F$5)^I$7))), 0)), "")</f>
        <v/>
      </c>
    </row>
    <row r="18" spans="1:9">
      <c r="A18" s="29" t="str">
        <f>IF('2Capital Costs'!A19&lt;&gt;"", '2Capital Costs'!A19, "")</f>
        <v/>
      </c>
      <c r="B18" s="3" t="str">
        <f>IF('2Capital Costs'!B19&lt;&gt;"", '2Capital Costs'!B19, "")</f>
        <v/>
      </c>
      <c r="C18" s="46" t="str">
        <f>IF('2Capital Costs'!C19&lt;&gt;"", '2Capital Costs'!C19, "")</f>
        <v/>
      </c>
      <c r="D18" s="47" t="str">
        <f>IF('2Capital Costs'!D19&lt;&gt;"", '2Capital Costs'!D19, "")</f>
        <v/>
      </c>
      <c r="E18" s="27" t="str">
        <f>IF($A18&lt;&gt;"", (IF('2Replacement Costs - Entry'!O19="Y",((($B18*$D18)*((1+$B$5)^E$7))*(1/((1+$F$5)^E$7))), 0)), "")</f>
        <v/>
      </c>
      <c r="F18" s="27" t="str">
        <f>IF($A18&lt;&gt;"", (IF('2Replacement Costs - Entry'!P19="Y",((($B18*$D18)*((1+$B$5)^F$7))*(1/((1+$F$5)^F$7))), 0)), "")</f>
        <v/>
      </c>
      <c r="G18" s="27" t="str">
        <f>IF($A18&lt;&gt;"", (IF('2Replacement Costs - Entry'!Q19="Y",((($B18*$D18)*((1+$B$5)^G$7))*(1/((1+$F$5)^G$7))), 0)), "")</f>
        <v/>
      </c>
      <c r="H18" s="27" t="str">
        <f>IF($A18&lt;&gt;"", (IF('2Replacement Costs - Entry'!R19="Y",((($B18*$D18)*((1+$B$5)^H$7))*(1/((1+$F$5)^H$7))), 0)), "")</f>
        <v/>
      </c>
      <c r="I18" s="27" t="str">
        <f>IF($A18&lt;&gt;"", (IF('2Replacement Costs - Entry'!S19="Y",((($B18*$D18)*((1+$B$5)^I$7))*(1/((1+$F$5)^I$7))), 0)), "")</f>
        <v/>
      </c>
    </row>
    <row r="19" spans="1:9">
      <c r="A19" s="29" t="str">
        <f>IF('2Capital Costs'!A20&lt;&gt;"", '2Capital Costs'!A20, "")</f>
        <v/>
      </c>
      <c r="B19" s="3" t="str">
        <f>IF('2Capital Costs'!B20&lt;&gt;"", '2Capital Costs'!B20, "")</f>
        <v/>
      </c>
      <c r="C19" s="46" t="str">
        <f>IF('2Capital Costs'!C20&lt;&gt;"", '2Capital Costs'!C20, "")</f>
        <v/>
      </c>
      <c r="D19" s="47" t="str">
        <f>IF('2Capital Costs'!D20&lt;&gt;"", '2Capital Costs'!D20, "")</f>
        <v/>
      </c>
      <c r="E19" s="27" t="str">
        <f>IF($A19&lt;&gt;"", (IF('2Replacement Costs - Entry'!O20="Y",((($B19*$D19)*((1+$B$5)^E$7))*(1/((1+$F$5)^E$7))), 0)), "")</f>
        <v/>
      </c>
      <c r="F19" s="27" t="str">
        <f>IF($A19&lt;&gt;"", (IF('2Replacement Costs - Entry'!P20="Y",((($B19*$D19)*((1+$B$5)^F$7))*(1/((1+$F$5)^F$7))), 0)), "")</f>
        <v/>
      </c>
      <c r="G19" s="27" t="str">
        <f>IF($A19&lt;&gt;"", (IF('2Replacement Costs - Entry'!Q20="Y",((($B19*$D19)*((1+$B$5)^G$7))*(1/((1+$F$5)^G$7))), 0)), "")</f>
        <v/>
      </c>
      <c r="H19" s="27" t="str">
        <f>IF($A19&lt;&gt;"", (IF('2Replacement Costs - Entry'!R20="Y",((($B19*$D19)*((1+$B$5)^H$7))*(1/((1+$F$5)^H$7))), 0)), "")</f>
        <v/>
      </c>
      <c r="I19" s="27" t="str">
        <f>IF($A19&lt;&gt;"", (IF('2Replacement Costs - Entry'!S20="Y",((($B19*$D19)*((1+$B$5)^I$7))*(1/((1+$F$5)^I$7))), 0)), "")</f>
        <v/>
      </c>
    </row>
    <row r="20" spans="1:9">
      <c r="A20" s="29" t="str">
        <f>IF('2Capital Costs'!A21&lt;&gt;"", '2Capital Costs'!A21, "")</f>
        <v/>
      </c>
      <c r="B20" s="3" t="str">
        <f>IF('2Capital Costs'!B21&lt;&gt;"", '2Capital Costs'!B21, "")</f>
        <v/>
      </c>
      <c r="C20" s="46" t="str">
        <f>IF('2Capital Costs'!C21&lt;&gt;"", '2Capital Costs'!C21, "")</f>
        <v/>
      </c>
      <c r="D20" s="47" t="str">
        <f>IF('2Capital Costs'!D21&lt;&gt;"", '2Capital Costs'!D21, "")</f>
        <v/>
      </c>
      <c r="E20" s="27" t="str">
        <f>IF($A20&lt;&gt;"", (IF('2Replacement Costs - Entry'!O21="Y",((($B20*$D20)*((1+$B$5)^E$7))*(1/((1+$F$5)^E$7))), 0)), "")</f>
        <v/>
      </c>
      <c r="F20" s="27" t="str">
        <f>IF($A20&lt;&gt;"", (IF('2Replacement Costs - Entry'!P21="Y",((($B20*$D20)*((1+$B$5)^F$7))*(1/((1+$F$5)^F$7))), 0)), "")</f>
        <v/>
      </c>
      <c r="G20" s="27" t="str">
        <f>IF($A20&lt;&gt;"", (IF('2Replacement Costs - Entry'!Q21="Y",((($B20*$D20)*((1+$B$5)^G$7))*(1/((1+$F$5)^G$7))), 0)), "")</f>
        <v/>
      </c>
      <c r="H20" s="27" t="str">
        <f>IF($A20&lt;&gt;"", (IF('2Replacement Costs - Entry'!R21="Y",((($B20*$D20)*((1+$B$5)^H$7))*(1/((1+$F$5)^H$7))), 0)), "")</f>
        <v/>
      </c>
      <c r="I20" s="27" t="str">
        <f>IF($A20&lt;&gt;"", (IF('2Replacement Costs - Entry'!S21="Y",((($B20*$D20)*((1+$B$5)^I$7))*(1/((1+$F$5)^I$7))), 0)), "")</f>
        <v/>
      </c>
    </row>
    <row r="21" spans="1:9">
      <c r="A21" s="29" t="str">
        <f>IF('2Capital Costs'!A22&lt;&gt;"", '2Capital Costs'!A22, "")</f>
        <v/>
      </c>
      <c r="B21" s="3" t="str">
        <f>IF('2Capital Costs'!B22&lt;&gt;"", '2Capital Costs'!B22, "")</f>
        <v/>
      </c>
      <c r="C21" s="46" t="str">
        <f>IF('2Capital Costs'!C22&lt;&gt;"", '2Capital Costs'!C22, "")</f>
        <v/>
      </c>
      <c r="D21" s="47" t="str">
        <f>IF('2Capital Costs'!D22&lt;&gt;"", '2Capital Costs'!D22, "")</f>
        <v/>
      </c>
      <c r="E21" s="27" t="str">
        <f>IF($A21&lt;&gt;"", (IF('2Replacement Costs - Entry'!O22="Y",((($B21*$D21)*((1+$B$5)^E$7))*(1/((1+$F$5)^E$7))), 0)), "")</f>
        <v/>
      </c>
      <c r="F21" s="27" t="str">
        <f>IF($A21&lt;&gt;"", (IF('2Replacement Costs - Entry'!P22="Y",((($B21*$D21)*((1+$B$5)^F$7))*(1/((1+$F$5)^F$7))), 0)), "")</f>
        <v/>
      </c>
      <c r="G21" s="27" t="str">
        <f>IF($A21&lt;&gt;"", (IF('2Replacement Costs - Entry'!Q22="Y",((($B21*$D21)*((1+$B$5)^G$7))*(1/((1+$F$5)^G$7))), 0)), "")</f>
        <v/>
      </c>
      <c r="H21" s="27" t="str">
        <f>IF($A21&lt;&gt;"", (IF('2Replacement Costs - Entry'!R22="Y",((($B21*$D21)*((1+$B$5)^H$7))*(1/((1+$F$5)^H$7))), 0)), "")</f>
        <v/>
      </c>
      <c r="I21" s="27" t="str">
        <f>IF($A21&lt;&gt;"", (IF('2Replacement Costs - Entry'!S22="Y",((($B21*$D21)*((1+$B$5)^I$7))*(1/((1+$F$5)^I$7))), 0)), "")</f>
        <v/>
      </c>
    </row>
    <row r="22" spans="1:9">
      <c r="A22" s="29" t="str">
        <f>IF('2Capital Costs'!A23&lt;&gt;"", '2Capital Costs'!A23, "")</f>
        <v/>
      </c>
      <c r="B22" s="3" t="str">
        <f>IF('2Capital Costs'!B23&lt;&gt;"", '2Capital Costs'!B23, "")</f>
        <v/>
      </c>
      <c r="C22" s="46" t="str">
        <f>IF('2Capital Costs'!C23&lt;&gt;"", '2Capital Costs'!C23, "")</f>
        <v/>
      </c>
      <c r="D22" s="47" t="str">
        <f>IF('2Capital Costs'!D23&lt;&gt;"", '2Capital Costs'!D23, "")</f>
        <v/>
      </c>
      <c r="E22" s="27" t="str">
        <f>IF($A22&lt;&gt;"", (IF('2Replacement Costs - Entry'!O23="Y",((($B22*$D22)*((1+$B$5)^E$7))*(1/((1+$F$5)^E$7))), 0)), "")</f>
        <v/>
      </c>
      <c r="F22" s="27" t="str">
        <f>IF($A22&lt;&gt;"", (IF('2Replacement Costs - Entry'!P23="Y",((($B22*$D22)*((1+$B$5)^F$7))*(1/((1+$F$5)^F$7))), 0)), "")</f>
        <v/>
      </c>
      <c r="G22" s="27" t="str">
        <f>IF($A22&lt;&gt;"", (IF('2Replacement Costs - Entry'!Q23="Y",((($B22*$D22)*((1+$B$5)^G$7))*(1/((1+$F$5)^G$7))), 0)), "")</f>
        <v/>
      </c>
      <c r="H22" s="27" t="str">
        <f>IF($A22&lt;&gt;"", (IF('2Replacement Costs - Entry'!R23="Y",((($B22*$D22)*((1+$B$5)^H$7))*(1/((1+$F$5)^H$7))), 0)), "")</f>
        <v/>
      </c>
      <c r="I22" s="27" t="str">
        <f>IF($A22&lt;&gt;"", (IF('2Replacement Costs - Entry'!S23="Y",((($B22*$D22)*((1+$B$5)^I$7))*(1/((1+$F$5)^I$7))), 0)), "")</f>
        <v/>
      </c>
    </row>
    <row r="23" spans="1:9">
      <c r="A23" s="29" t="str">
        <f>IF('2Capital Costs'!A24&lt;&gt;"", '2Capital Costs'!A24, "")</f>
        <v/>
      </c>
      <c r="B23" s="3" t="str">
        <f>IF('2Capital Costs'!B24&lt;&gt;"", '2Capital Costs'!B24, "")</f>
        <v/>
      </c>
      <c r="C23" s="46" t="str">
        <f>IF('2Capital Costs'!C24&lt;&gt;"", '2Capital Costs'!C24, "")</f>
        <v/>
      </c>
      <c r="D23" s="47" t="str">
        <f>IF('2Capital Costs'!D24&lt;&gt;"", '2Capital Costs'!D24, "")</f>
        <v/>
      </c>
      <c r="E23" s="27" t="str">
        <f>IF($A23&lt;&gt;"", (IF('2Replacement Costs - Entry'!O24="Y",((($B23*$D23)*((1+$B$5)^E$7))*(1/((1+$F$5)^E$7))), 0)), "")</f>
        <v/>
      </c>
      <c r="F23" s="27" t="str">
        <f>IF($A23&lt;&gt;"", (IF('2Replacement Costs - Entry'!P24="Y",((($B23*$D23)*((1+$B$5)^F$7))*(1/((1+$F$5)^F$7))), 0)), "")</f>
        <v/>
      </c>
      <c r="G23" s="27" t="str">
        <f>IF($A23&lt;&gt;"", (IF('2Replacement Costs - Entry'!Q24="Y",((($B23*$D23)*((1+$B$5)^G$7))*(1/((1+$F$5)^G$7))), 0)), "")</f>
        <v/>
      </c>
      <c r="H23" s="27" t="str">
        <f>IF($A23&lt;&gt;"", (IF('2Replacement Costs - Entry'!R24="Y",((($B23*$D23)*((1+$B$5)^H$7))*(1/((1+$F$5)^H$7))), 0)), "")</f>
        <v/>
      </c>
      <c r="I23" s="27" t="str">
        <f>IF($A23&lt;&gt;"", (IF('2Replacement Costs - Entry'!S24="Y",((($B23*$D23)*((1+$B$5)^I$7))*(1/((1+$F$5)^I$7))), 0)), "")</f>
        <v/>
      </c>
    </row>
    <row r="24" spans="1:9">
      <c r="A24" s="29" t="str">
        <f>IF('2Capital Costs'!A25&lt;&gt;"", '2Capital Costs'!A25, "")</f>
        <v/>
      </c>
      <c r="B24" s="3" t="str">
        <f>IF('2Capital Costs'!B25&lt;&gt;"", '2Capital Costs'!B25, "")</f>
        <v/>
      </c>
      <c r="C24" s="46" t="str">
        <f>IF('2Capital Costs'!C25&lt;&gt;"", '2Capital Costs'!C25, "")</f>
        <v/>
      </c>
      <c r="D24" s="47" t="str">
        <f>IF('2Capital Costs'!D25&lt;&gt;"", '2Capital Costs'!D25, "")</f>
        <v/>
      </c>
      <c r="E24" s="27" t="str">
        <f>IF($A24&lt;&gt;"", (IF('2Replacement Costs - Entry'!O25="Y",((($B24*$D24)*((1+$B$5)^E$7))*(1/((1+$F$5)^E$7))), 0)), "")</f>
        <v/>
      </c>
      <c r="F24" s="27" t="str">
        <f>IF($A24&lt;&gt;"", (IF('2Replacement Costs - Entry'!P25="Y",((($B24*$D24)*((1+$B$5)^F$7))*(1/((1+$F$5)^F$7))), 0)), "")</f>
        <v/>
      </c>
      <c r="G24" s="27" t="str">
        <f>IF($A24&lt;&gt;"", (IF('2Replacement Costs - Entry'!Q25="Y",((($B24*$D24)*((1+$B$5)^G$7))*(1/((1+$F$5)^G$7))), 0)), "")</f>
        <v/>
      </c>
      <c r="H24" s="27" t="str">
        <f>IF($A24&lt;&gt;"", (IF('2Replacement Costs - Entry'!R25="Y",((($B24*$D24)*((1+$B$5)^H$7))*(1/((1+$F$5)^H$7))), 0)), "")</f>
        <v/>
      </c>
      <c r="I24" s="27" t="str">
        <f>IF($A24&lt;&gt;"", (IF('2Replacement Costs - Entry'!S25="Y",((($B24*$D24)*((1+$B$5)^I$7))*(1/((1+$F$5)^I$7))), 0)), "")</f>
        <v/>
      </c>
    </row>
    <row r="25" spans="1:9">
      <c r="A25" s="29" t="str">
        <f>IF('2Capital Costs'!A26&lt;&gt;"", '2Capital Costs'!A26, "")</f>
        <v/>
      </c>
      <c r="B25" s="3" t="str">
        <f>IF('2Capital Costs'!B26&lt;&gt;"", '2Capital Costs'!B26, "")</f>
        <v/>
      </c>
      <c r="C25" s="46" t="str">
        <f>IF('2Capital Costs'!C26&lt;&gt;"", '2Capital Costs'!C26, "")</f>
        <v/>
      </c>
      <c r="D25" s="47" t="str">
        <f>IF('2Capital Costs'!D26&lt;&gt;"", '2Capital Costs'!D26, "")</f>
        <v/>
      </c>
      <c r="E25" s="27" t="str">
        <f>IF($A25&lt;&gt;"", (IF('2Replacement Costs - Entry'!O26="Y",((($B25*$D25)*((1+$B$5)^E$7))*(1/((1+$F$5)^E$7))), 0)), "")</f>
        <v/>
      </c>
      <c r="F25" s="27" t="str">
        <f>IF($A25&lt;&gt;"", (IF('2Replacement Costs - Entry'!P26="Y",((($B25*$D25)*((1+$B$5)^F$7))*(1/((1+$F$5)^F$7))), 0)), "")</f>
        <v/>
      </c>
      <c r="G25" s="27" t="str">
        <f>IF($A25&lt;&gt;"", (IF('2Replacement Costs - Entry'!Q26="Y",((($B25*$D25)*((1+$B$5)^G$7))*(1/((1+$F$5)^G$7))), 0)), "")</f>
        <v/>
      </c>
      <c r="H25" s="27" t="str">
        <f>IF($A25&lt;&gt;"", (IF('2Replacement Costs - Entry'!R26="Y",((($B25*$D25)*((1+$B$5)^H$7))*(1/((1+$F$5)^H$7))), 0)), "")</f>
        <v/>
      </c>
      <c r="I25" s="27" t="str">
        <f>IF($A25&lt;&gt;"", (IF('2Replacement Costs - Entry'!S26="Y",((($B25*$D25)*((1+$B$5)^I$7))*(1/((1+$F$5)^I$7))), 0)), "")</f>
        <v/>
      </c>
    </row>
    <row r="26" spans="1:9">
      <c r="A26" s="29" t="str">
        <f>IF('2Capital Costs'!A27&lt;&gt;"", '2Capital Costs'!A27, "")</f>
        <v/>
      </c>
      <c r="B26" s="3" t="str">
        <f>IF('2Capital Costs'!B27&lt;&gt;"", '2Capital Costs'!B27, "")</f>
        <v/>
      </c>
      <c r="C26" s="46" t="str">
        <f>IF('2Capital Costs'!C27&lt;&gt;"", '2Capital Costs'!C27, "")</f>
        <v/>
      </c>
      <c r="D26" s="47" t="str">
        <f>IF('2Capital Costs'!D27&lt;&gt;"", '2Capital Costs'!D27, "")</f>
        <v/>
      </c>
      <c r="E26" s="27" t="str">
        <f>IF($A26&lt;&gt;"", (IF('2Replacement Costs - Entry'!O27="Y",((($B26*$D26)*((1+$B$5)^E$7))*(1/((1+$F$5)^E$7))), 0)), "")</f>
        <v/>
      </c>
      <c r="F26" s="27" t="str">
        <f>IF($A26&lt;&gt;"", (IF('2Replacement Costs - Entry'!P27="Y",((($B26*$D26)*((1+$B$5)^F$7))*(1/((1+$F$5)^F$7))), 0)), "")</f>
        <v/>
      </c>
      <c r="G26" s="27" t="str">
        <f>IF($A26&lt;&gt;"", (IF('2Replacement Costs - Entry'!Q27="Y",((($B26*$D26)*((1+$B$5)^G$7))*(1/((1+$F$5)^G$7))), 0)), "")</f>
        <v/>
      </c>
      <c r="H26" s="27" t="str">
        <f>IF($A26&lt;&gt;"", (IF('2Replacement Costs - Entry'!R27="Y",((($B26*$D26)*((1+$B$5)^H$7))*(1/((1+$F$5)^H$7))), 0)), "")</f>
        <v/>
      </c>
      <c r="I26" s="27" t="str">
        <f>IF($A26&lt;&gt;"", (IF('2Replacement Costs - Entry'!S27="Y",((($B26*$D26)*((1+$B$5)^I$7))*(1/((1+$F$5)^I$7))), 0)), "")</f>
        <v/>
      </c>
    </row>
    <row r="27" spans="1:9">
      <c r="A27" s="29" t="str">
        <f>IF('2Capital Costs'!A28&lt;&gt;"", '2Capital Costs'!A28, "")</f>
        <v/>
      </c>
      <c r="B27" s="3" t="str">
        <f>IF('2Capital Costs'!B28&lt;&gt;"", '2Capital Costs'!B28, "")</f>
        <v/>
      </c>
      <c r="C27" s="46" t="str">
        <f>IF('2Capital Costs'!C28&lt;&gt;"", '2Capital Costs'!C28, "")</f>
        <v/>
      </c>
      <c r="D27" s="47" t="str">
        <f>IF('2Capital Costs'!D28&lt;&gt;"", '2Capital Costs'!D28, "")</f>
        <v/>
      </c>
      <c r="E27" s="27" t="str">
        <f>IF($A27&lt;&gt;"", (IF('2Replacement Costs - Entry'!O28="Y",((($B27*$D27)*((1+$B$5)^E$7))*(1/((1+$F$5)^E$7))), 0)), "")</f>
        <v/>
      </c>
      <c r="F27" s="27" t="str">
        <f>IF($A27&lt;&gt;"", (IF('2Replacement Costs - Entry'!P28="Y",((($B27*$D27)*((1+$B$5)^F$7))*(1/((1+$F$5)^F$7))), 0)), "")</f>
        <v/>
      </c>
      <c r="G27" s="27" t="str">
        <f>IF($A27&lt;&gt;"", (IF('2Replacement Costs - Entry'!Q28="Y",((($B27*$D27)*((1+$B$5)^G$7))*(1/((1+$F$5)^G$7))), 0)), "")</f>
        <v/>
      </c>
      <c r="H27" s="27" t="str">
        <f>IF($A27&lt;&gt;"", (IF('2Replacement Costs - Entry'!R28="Y",((($B27*$D27)*((1+$B$5)^H$7))*(1/((1+$F$5)^H$7))), 0)), "")</f>
        <v/>
      </c>
      <c r="I27" s="27" t="str">
        <f>IF($A27&lt;&gt;"", (IF('2Replacement Costs - Entry'!S28="Y",((($B27*$D27)*((1+$B$5)^I$7))*(1/((1+$F$5)^I$7))), 0)), "")</f>
        <v/>
      </c>
    </row>
    <row r="28" spans="1:9">
      <c r="A28" s="29" t="str">
        <f>IF('2Capital Costs'!A29&lt;&gt;"", '2Capital Costs'!A29, "")</f>
        <v/>
      </c>
      <c r="B28" s="3" t="str">
        <f>IF('2Capital Costs'!B29&lt;&gt;"", '2Capital Costs'!B29, "")</f>
        <v/>
      </c>
      <c r="C28" s="46" t="str">
        <f>IF('2Capital Costs'!C29&lt;&gt;"", '2Capital Costs'!C29, "")</f>
        <v/>
      </c>
      <c r="D28" s="47" t="str">
        <f>IF('2Capital Costs'!D29&lt;&gt;"", '2Capital Costs'!D29, "")</f>
        <v/>
      </c>
      <c r="E28" s="27" t="str">
        <f>IF($A28&lt;&gt;"", (IF('2Replacement Costs - Entry'!O29="Y",((($B28*$D28)*((1+$B$5)^E$7))*(1/((1+$F$5)^E$7))), 0)), "")</f>
        <v/>
      </c>
      <c r="F28" s="27" t="str">
        <f>IF($A28&lt;&gt;"", (IF('2Replacement Costs - Entry'!P29="Y",((($B28*$D28)*((1+$B$5)^F$7))*(1/((1+$F$5)^F$7))), 0)), "")</f>
        <v/>
      </c>
      <c r="G28" s="27" t="str">
        <f>IF($A28&lt;&gt;"", (IF('2Replacement Costs - Entry'!Q29="Y",((($B28*$D28)*((1+$B$5)^G$7))*(1/((1+$F$5)^G$7))), 0)), "")</f>
        <v/>
      </c>
      <c r="H28" s="27" t="str">
        <f>IF($A28&lt;&gt;"", (IF('2Replacement Costs - Entry'!R29="Y",((($B28*$D28)*((1+$B$5)^H$7))*(1/((1+$F$5)^H$7))), 0)), "")</f>
        <v/>
      </c>
      <c r="I28" s="27" t="str">
        <f>IF($A28&lt;&gt;"", (IF('2Replacement Costs - Entry'!S29="Y",((($B28*$D28)*((1+$B$5)^I$7))*(1/((1+$F$5)^I$7))), 0)), "")</f>
        <v/>
      </c>
    </row>
    <row r="29" spans="1:9">
      <c r="A29" s="29" t="str">
        <f>IF('2Capital Costs'!A30&lt;&gt;"", '2Capital Costs'!A30, "")</f>
        <v/>
      </c>
      <c r="B29" s="3" t="str">
        <f>IF('2Capital Costs'!B30&lt;&gt;"", '2Capital Costs'!B30, "")</f>
        <v/>
      </c>
      <c r="C29" s="46" t="str">
        <f>IF('2Capital Costs'!C30&lt;&gt;"", '2Capital Costs'!C30, "")</f>
        <v/>
      </c>
      <c r="D29" s="47" t="str">
        <f>IF('2Capital Costs'!D30&lt;&gt;"", '2Capital Costs'!D30, "")</f>
        <v/>
      </c>
      <c r="E29" s="27" t="str">
        <f>IF($A29&lt;&gt;"", (IF('2Replacement Costs - Entry'!O30="Y",((($B29*$D29)*((1+$B$5)^E$7))*(1/((1+$F$5)^E$7))), 0)), "")</f>
        <v/>
      </c>
      <c r="F29" s="27" t="str">
        <f>IF($A29&lt;&gt;"", (IF('2Replacement Costs - Entry'!P30="Y",((($B29*$D29)*((1+$B$5)^F$7))*(1/((1+$F$5)^F$7))), 0)), "")</f>
        <v/>
      </c>
      <c r="G29" s="27" t="str">
        <f>IF($A29&lt;&gt;"", (IF('2Replacement Costs - Entry'!Q30="Y",((($B29*$D29)*((1+$B$5)^G$7))*(1/((1+$F$5)^G$7))), 0)), "")</f>
        <v/>
      </c>
      <c r="H29" s="27" t="str">
        <f>IF($A29&lt;&gt;"", (IF('2Replacement Costs - Entry'!R30="Y",((($B29*$D29)*((1+$B$5)^H$7))*(1/((1+$F$5)^H$7))), 0)), "")</f>
        <v/>
      </c>
      <c r="I29" s="27" t="str">
        <f>IF($A29&lt;&gt;"", (IF('2Replacement Costs - Entry'!S30="Y",((($B29*$D29)*((1+$B$5)^I$7))*(1/((1+$F$5)^I$7))), 0)), "")</f>
        <v/>
      </c>
    </row>
    <row r="30" spans="1:9">
      <c r="A30" s="29" t="str">
        <f>IF('2Capital Costs'!A31&lt;&gt;"", '2Capital Costs'!A31, "")</f>
        <v/>
      </c>
      <c r="B30" s="3" t="str">
        <f>IF('2Capital Costs'!B31&lt;&gt;"", '2Capital Costs'!B31, "")</f>
        <v/>
      </c>
      <c r="C30" s="46" t="str">
        <f>IF('2Capital Costs'!C31&lt;&gt;"", '2Capital Costs'!C31, "")</f>
        <v/>
      </c>
      <c r="D30" s="47" t="str">
        <f>IF('2Capital Costs'!D31&lt;&gt;"", '2Capital Costs'!D31, "")</f>
        <v/>
      </c>
      <c r="E30" s="27" t="str">
        <f>IF($A30&lt;&gt;"", (IF('2Replacement Costs - Entry'!O31="Y",((($B30*$D30)*((1+$B$5)^E$7))*(1/((1+$F$5)^E$7))), 0)), "")</f>
        <v/>
      </c>
      <c r="F30" s="27" t="str">
        <f>IF($A30&lt;&gt;"", (IF('2Replacement Costs - Entry'!P31="Y",((($B30*$D30)*((1+$B$5)^F$7))*(1/((1+$F$5)^F$7))), 0)), "")</f>
        <v/>
      </c>
      <c r="G30" s="27" t="str">
        <f>IF($A30&lt;&gt;"", (IF('2Replacement Costs - Entry'!Q31="Y",((($B30*$D30)*((1+$B$5)^G$7))*(1/((1+$F$5)^G$7))), 0)), "")</f>
        <v/>
      </c>
      <c r="H30" s="27" t="str">
        <f>IF($A30&lt;&gt;"", (IF('2Replacement Costs - Entry'!R31="Y",((($B30*$D30)*((1+$B$5)^H$7))*(1/((1+$F$5)^H$7))), 0)), "")</f>
        <v/>
      </c>
      <c r="I30" s="27" t="str">
        <f>IF($A30&lt;&gt;"", (IF('2Replacement Costs - Entry'!S31="Y",((($B30*$D30)*((1+$B$5)^I$7))*(1/((1+$F$5)^I$7))), 0)), "")</f>
        <v/>
      </c>
    </row>
    <row r="31" spans="1:9">
      <c r="A31" s="29" t="str">
        <f>IF('2Capital Costs'!A32&lt;&gt;"", '2Capital Costs'!A32, "")</f>
        <v/>
      </c>
      <c r="B31" s="3" t="str">
        <f>IF('2Capital Costs'!B32&lt;&gt;"", '2Capital Costs'!B32, "")</f>
        <v/>
      </c>
      <c r="C31" s="46" t="str">
        <f>IF('2Capital Costs'!C32&lt;&gt;"", '2Capital Costs'!C32, "")</f>
        <v/>
      </c>
      <c r="D31" s="47" t="str">
        <f>IF('2Capital Costs'!D32&lt;&gt;"", '2Capital Costs'!D32, "")</f>
        <v/>
      </c>
      <c r="E31" s="27" t="str">
        <f>IF($A31&lt;&gt;"", (IF('2Replacement Costs - Entry'!O32="Y",((($B31*$D31)*((1+$B$5)^E$7))*(1/((1+$F$5)^E$7))), 0)), "")</f>
        <v/>
      </c>
      <c r="F31" s="27" t="str">
        <f>IF($A31&lt;&gt;"", (IF('2Replacement Costs - Entry'!P32="Y",((($B31*$D31)*((1+$B$5)^F$7))*(1/((1+$F$5)^F$7))), 0)), "")</f>
        <v/>
      </c>
      <c r="G31" s="27" t="str">
        <f>IF($A31&lt;&gt;"", (IF('2Replacement Costs - Entry'!Q32="Y",((($B31*$D31)*((1+$B$5)^G$7))*(1/((1+$F$5)^G$7))), 0)), "")</f>
        <v/>
      </c>
      <c r="H31" s="27" t="str">
        <f>IF($A31&lt;&gt;"", (IF('2Replacement Costs - Entry'!R32="Y",((($B31*$D31)*((1+$B$5)^H$7))*(1/((1+$F$5)^H$7))), 0)), "")</f>
        <v/>
      </c>
      <c r="I31" s="27" t="str">
        <f>IF($A31&lt;&gt;"", (IF('2Replacement Costs - Entry'!S32="Y",((($B31*$D31)*((1+$B$5)^I$7))*(1/((1+$F$5)^I$7))), 0)), "")</f>
        <v/>
      </c>
    </row>
    <row r="32" spans="1:9">
      <c r="A32" s="29" t="str">
        <f>IF('2Capital Costs'!A33&lt;&gt;"", '2Capital Costs'!A33, "")</f>
        <v/>
      </c>
      <c r="B32" s="3" t="str">
        <f>IF('2Capital Costs'!B33&lt;&gt;"", '2Capital Costs'!B33, "")</f>
        <v/>
      </c>
      <c r="C32" s="46" t="str">
        <f>IF('2Capital Costs'!C33&lt;&gt;"", '2Capital Costs'!C33, "")</f>
        <v/>
      </c>
      <c r="D32" s="47" t="str">
        <f>IF('2Capital Costs'!D33&lt;&gt;"", '2Capital Costs'!D33, "")</f>
        <v/>
      </c>
      <c r="E32" s="27" t="str">
        <f>IF($A32&lt;&gt;"", (IF('2Replacement Costs - Entry'!O33="Y",((($B32*$D32)*((1+$B$5)^E$7))*(1/((1+$F$5)^E$7))), 0)), "")</f>
        <v/>
      </c>
      <c r="F32" s="27" t="str">
        <f>IF($A32&lt;&gt;"", (IF('2Replacement Costs - Entry'!P33="Y",((($B32*$D32)*((1+$B$5)^F$7))*(1/((1+$F$5)^F$7))), 0)), "")</f>
        <v/>
      </c>
      <c r="G32" s="27" t="str">
        <f>IF($A32&lt;&gt;"", (IF('2Replacement Costs - Entry'!Q33="Y",((($B32*$D32)*((1+$B$5)^G$7))*(1/((1+$F$5)^G$7))), 0)), "")</f>
        <v/>
      </c>
      <c r="H32" s="27" t="str">
        <f>IF($A32&lt;&gt;"", (IF('2Replacement Costs - Entry'!R33="Y",((($B32*$D32)*((1+$B$5)^H$7))*(1/((1+$F$5)^H$7))), 0)), "")</f>
        <v/>
      </c>
      <c r="I32" s="27" t="str">
        <f>IF($A32&lt;&gt;"", (IF('2Replacement Costs - Entry'!S33="Y",((($B32*$D32)*((1+$B$5)^I$7))*(1/((1+$F$5)^I$7))), 0)), "")</f>
        <v/>
      </c>
    </row>
    <row r="33" spans="1:9">
      <c r="A33" s="29" t="str">
        <f>IF('2Capital Costs'!A34&lt;&gt;"", '2Capital Costs'!A34, "")</f>
        <v/>
      </c>
      <c r="B33" s="3" t="str">
        <f>IF('2Capital Costs'!B34&lt;&gt;"", '2Capital Costs'!B34, "")</f>
        <v/>
      </c>
      <c r="C33" s="46" t="str">
        <f>IF('2Capital Costs'!C34&lt;&gt;"", '2Capital Costs'!C34, "")</f>
        <v/>
      </c>
      <c r="D33" s="47" t="str">
        <f>IF('2Capital Costs'!D34&lt;&gt;"", '2Capital Costs'!D34, "")</f>
        <v/>
      </c>
      <c r="E33" s="27" t="str">
        <f>IF($A33&lt;&gt;"", (IF('2Replacement Costs - Entry'!O34="Y",((($B33*$D33)*((1+$B$5)^E$7))*(1/((1+$F$5)^E$7))), 0)), "")</f>
        <v/>
      </c>
      <c r="F33" s="27" t="str">
        <f>IF($A33&lt;&gt;"", (IF('2Replacement Costs - Entry'!P34="Y",((($B33*$D33)*((1+$B$5)^F$7))*(1/((1+$F$5)^F$7))), 0)), "")</f>
        <v/>
      </c>
      <c r="G33" s="27" t="str">
        <f>IF($A33&lt;&gt;"", (IF('2Replacement Costs - Entry'!Q34="Y",((($B33*$D33)*((1+$B$5)^G$7))*(1/((1+$F$5)^G$7))), 0)), "")</f>
        <v/>
      </c>
      <c r="H33" s="27" t="str">
        <f>IF($A33&lt;&gt;"", (IF('2Replacement Costs - Entry'!R34="Y",((($B33*$D33)*((1+$B$5)^H$7))*(1/((1+$F$5)^H$7))), 0)), "")</f>
        <v/>
      </c>
      <c r="I33" s="27" t="str">
        <f>IF($A33&lt;&gt;"", (IF('2Replacement Costs - Entry'!S34="Y",((($B33*$D33)*((1+$B$5)^I$7))*(1/((1+$F$5)^I$7))), 0)), "")</f>
        <v/>
      </c>
    </row>
    <row r="34" spans="1:9">
      <c r="A34" s="29" t="str">
        <f>IF('2Capital Costs'!A35&lt;&gt;"", '2Capital Costs'!A35, "")</f>
        <v/>
      </c>
      <c r="B34" s="3" t="str">
        <f>IF('2Capital Costs'!B35&lt;&gt;"", '2Capital Costs'!B35, "")</f>
        <v/>
      </c>
      <c r="C34" s="46" t="str">
        <f>IF('2Capital Costs'!C35&lt;&gt;"", '2Capital Costs'!C35, "")</f>
        <v/>
      </c>
      <c r="D34" s="47" t="str">
        <f>IF('2Capital Costs'!D35&lt;&gt;"", '2Capital Costs'!D35, "")</f>
        <v/>
      </c>
      <c r="E34" s="27" t="str">
        <f>IF($A34&lt;&gt;"", (IF('2Replacement Costs - Entry'!O35="Y",((($B34*$D34)*((1+$B$5)^E$7))*(1/((1+$F$5)^E$7))), 0)), "")</f>
        <v/>
      </c>
      <c r="F34" s="27" t="str">
        <f>IF($A34&lt;&gt;"", (IF('2Replacement Costs - Entry'!P35="Y",((($B34*$D34)*((1+$B$5)^F$7))*(1/((1+$F$5)^F$7))), 0)), "")</f>
        <v/>
      </c>
      <c r="G34" s="27" t="str">
        <f>IF($A34&lt;&gt;"", (IF('2Replacement Costs - Entry'!Q35="Y",((($B34*$D34)*((1+$B$5)^G$7))*(1/((1+$F$5)^G$7))), 0)), "")</f>
        <v/>
      </c>
      <c r="H34" s="27" t="str">
        <f>IF($A34&lt;&gt;"", (IF('2Replacement Costs - Entry'!R35="Y",((($B34*$D34)*((1+$B$5)^H$7))*(1/((1+$F$5)^H$7))), 0)), "")</f>
        <v/>
      </c>
      <c r="I34" s="27" t="str">
        <f>IF($A34&lt;&gt;"", (IF('2Replacement Costs - Entry'!S35="Y",((($B34*$D34)*((1+$B$5)^I$7))*(1/((1+$F$5)^I$7))), 0)), "")</f>
        <v/>
      </c>
    </row>
    <row r="35" spans="1:9">
      <c r="A35" s="29" t="str">
        <f>IF('2Capital Costs'!A36&lt;&gt;"", '2Capital Costs'!A36, "")</f>
        <v/>
      </c>
      <c r="B35" s="3" t="str">
        <f>IF('2Capital Costs'!B36&lt;&gt;"", '2Capital Costs'!B36, "")</f>
        <v/>
      </c>
      <c r="C35" s="46" t="str">
        <f>IF('2Capital Costs'!C36&lt;&gt;"", '2Capital Costs'!C36, "")</f>
        <v/>
      </c>
      <c r="D35" s="47" t="str">
        <f>IF('2Capital Costs'!D36&lt;&gt;"", '2Capital Costs'!D36, "")</f>
        <v/>
      </c>
      <c r="E35" s="27" t="str">
        <f>IF($A35&lt;&gt;"", (IF('2Replacement Costs - Entry'!O36="Y",((($B35*$D35)*((1+$B$5)^E$7))*(1/((1+$F$5)^E$7))), 0)), "")</f>
        <v/>
      </c>
      <c r="F35" s="27" t="str">
        <f>IF($A35&lt;&gt;"", (IF('2Replacement Costs - Entry'!P36="Y",((($B35*$D35)*((1+$B$5)^F$7))*(1/((1+$F$5)^F$7))), 0)), "")</f>
        <v/>
      </c>
      <c r="G35" s="27" t="str">
        <f>IF($A35&lt;&gt;"", (IF('2Replacement Costs - Entry'!Q36="Y",((($B35*$D35)*((1+$B$5)^G$7))*(1/((1+$F$5)^G$7))), 0)), "")</f>
        <v/>
      </c>
      <c r="H35" s="27" t="str">
        <f>IF($A35&lt;&gt;"", (IF('2Replacement Costs - Entry'!R36="Y",((($B35*$D35)*((1+$B$5)^H$7))*(1/((1+$F$5)^H$7))), 0)), "")</f>
        <v/>
      </c>
      <c r="I35" s="27" t="str">
        <f>IF($A35&lt;&gt;"", (IF('2Replacement Costs - Entry'!S36="Y",((($B35*$D35)*((1+$B$5)^I$7))*(1/((1+$F$5)^I$7))), 0)), "")</f>
        <v/>
      </c>
    </row>
    <row r="36" spans="1:9">
      <c r="A36" s="29" t="str">
        <f>IF('2Capital Costs'!A37&lt;&gt;"", '2Capital Costs'!A37, "")</f>
        <v/>
      </c>
      <c r="B36" s="3" t="str">
        <f>IF('2Capital Costs'!B37&lt;&gt;"", '2Capital Costs'!B37, "")</f>
        <v/>
      </c>
      <c r="C36" s="46" t="str">
        <f>IF('2Capital Costs'!C37&lt;&gt;"", '2Capital Costs'!C37, "")</f>
        <v/>
      </c>
      <c r="D36" s="47" t="str">
        <f>IF('2Capital Costs'!D37&lt;&gt;"", '2Capital Costs'!D37, "")</f>
        <v/>
      </c>
      <c r="E36" s="27" t="str">
        <f>IF($A36&lt;&gt;"", (IF('2Replacement Costs - Entry'!O37="Y",((($B36*$D36)*((1+$B$5)^E$7))*(1/((1+$F$5)^E$7))), 0)), "")</f>
        <v/>
      </c>
      <c r="F36" s="27" t="str">
        <f>IF($A36&lt;&gt;"", (IF('2Replacement Costs - Entry'!P37="Y",((($B36*$D36)*((1+$B$5)^F$7))*(1/((1+$F$5)^F$7))), 0)), "")</f>
        <v/>
      </c>
      <c r="G36" s="27" t="str">
        <f>IF($A36&lt;&gt;"", (IF('2Replacement Costs - Entry'!Q37="Y",((($B36*$D36)*((1+$B$5)^G$7))*(1/((1+$F$5)^G$7))), 0)), "")</f>
        <v/>
      </c>
      <c r="H36" s="27" t="str">
        <f>IF($A36&lt;&gt;"", (IF('2Replacement Costs - Entry'!R37="Y",((($B36*$D36)*((1+$B$5)^H$7))*(1/((1+$F$5)^H$7))), 0)), "")</f>
        <v/>
      </c>
      <c r="I36" s="27" t="str">
        <f>IF($A36&lt;&gt;"", (IF('2Replacement Costs - Entry'!S37="Y",((($B36*$D36)*((1+$B$5)^I$7))*(1/((1+$F$5)^I$7))), 0)), "")</f>
        <v/>
      </c>
    </row>
    <row r="37" spans="1:9">
      <c r="A37" s="23"/>
      <c r="B37" s="23"/>
      <c r="C37" s="23"/>
      <c r="D37" s="36" t="s">
        <v>50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151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'2Capital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'2Replace Costs-Results 6-10'!A5</f>
        <v>Current Inflation Rate based on Construction Cost Index:</v>
      </c>
      <c r="B5" s="69">
        <f>'2Replace Costs-Results 6-10'!B5</f>
        <v>2.0671834625323047E-2</v>
      </c>
      <c r="C5" s="67"/>
      <c r="D5" s="67"/>
      <c r="E5" s="70" t="s">
        <v>43</v>
      </c>
      <c r="F5" s="72">
        <f>'2Replace Costs-Results 6-10'!F5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11</v>
      </c>
      <c r="F7" s="26">
        <v>12</v>
      </c>
      <c r="G7" s="26">
        <v>13</v>
      </c>
      <c r="H7" s="26">
        <v>14</v>
      </c>
      <c r="I7" s="26">
        <v>15</v>
      </c>
    </row>
    <row r="8" spans="1:9">
      <c r="A8" s="29" t="str">
        <f>IF('2Capital Costs'!A9&lt;&gt;"", '2Capital Costs'!A9, "")</f>
        <v/>
      </c>
      <c r="B8" s="3" t="str">
        <f>IF('2Capital Costs'!B9&lt;&gt;"", '2Capital Costs'!B9, "")</f>
        <v/>
      </c>
      <c r="C8" s="46" t="str">
        <f>IF('2Capital Costs'!C9&lt;&gt;"", '2Capital Costs'!C9, "")</f>
        <v/>
      </c>
      <c r="D8" s="47" t="str">
        <f>IF('2Capital Costs'!D9&lt;&gt;"", '2Capital Costs'!D9, "")</f>
        <v/>
      </c>
      <c r="E8" s="27" t="str">
        <f>IF($A8&lt;&gt;"", (IF('2Replacement Costs - Entry'!T9="Y",((($B8*$D8)*((1+$B$5)^E$7))*(1/((1+$F$5)^E$7))),0)), "")</f>
        <v/>
      </c>
      <c r="F8" s="27" t="str">
        <f>IF($A8&lt;&gt;"", (IF('2Replacement Costs - Entry'!U9="Y",((($B8*$D8)*((1+$B$5)^F$7))*(1/((1+$F$5)^F$7))),0)), "")</f>
        <v/>
      </c>
      <c r="G8" s="27" t="str">
        <f>IF($A8&lt;&gt;"", (IF('2Replacement Costs - Entry'!V9="Y",((($B8*$D8)*((1+$B$5)^G$7))*(1/((1+$F$5)^G$7))),0)), "")</f>
        <v/>
      </c>
      <c r="H8" s="27" t="str">
        <f>IF($A8&lt;&gt;"", (IF('2Replacement Costs - Entry'!W9="Y",((($B8*$D8)*((1+$B$5)^H$7))*(1/((1+$F$5)^H$7))),0)), "")</f>
        <v/>
      </c>
      <c r="I8" s="27" t="str">
        <f>IF($A8&lt;&gt;"", (IF('2Replacement Costs - Entry'!X9="Y",((($B8*$D8)*((1+$B$5)^I$7))*(1/((1+$F$5)^I$7))),0)), "")</f>
        <v/>
      </c>
    </row>
    <row r="9" spans="1:9">
      <c r="A9" s="29" t="str">
        <f>IF('2Capital Costs'!A10&lt;&gt;"", '2Capital Costs'!A10, "")</f>
        <v/>
      </c>
      <c r="B9" s="3" t="str">
        <f>IF('2Capital Costs'!B10&lt;&gt;"", '2Capital Costs'!B10, "")</f>
        <v/>
      </c>
      <c r="C9" s="46" t="str">
        <f>IF('2Capital Costs'!C10&lt;&gt;"", '2Capital Costs'!C10, "")</f>
        <v/>
      </c>
      <c r="D9" s="47" t="str">
        <f>IF('2Capital Costs'!D10&lt;&gt;"", '2Capital Costs'!D10, "")</f>
        <v/>
      </c>
      <c r="E9" s="27" t="str">
        <f>IF($A9&lt;&gt;"", (IF('2Replacement Costs - Entry'!T10="Y",((($B9*$D9)*((1+$B$5)^E$7))*(1/((1+$F$5)^E$7))),0)), "")</f>
        <v/>
      </c>
      <c r="F9" s="27" t="str">
        <f>IF($A9&lt;&gt;"", (IF('2Replacement Costs - Entry'!U10="Y",((($B9*$D9)*((1+$B$5)^F$7))*(1/((1+$F$5)^F$7))),0)), "")</f>
        <v/>
      </c>
      <c r="G9" s="27" t="str">
        <f>IF($A9&lt;&gt;"", (IF('2Replacement Costs - Entry'!V10="Y",((($B9*$D9)*((1+$B$5)^G$7))*(1/((1+$F$5)^G$7))),0)), "")</f>
        <v/>
      </c>
      <c r="H9" s="27" t="str">
        <f>IF($A9&lt;&gt;"", (IF('2Replacement Costs - Entry'!W10="Y",((($B9*$D9)*((1+$B$5)^H$7))*(1/((1+$F$5)^H$7))),0)), "")</f>
        <v/>
      </c>
      <c r="I9" s="27" t="str">
        <f>IF($A9&lt;&gt;"", (IF('2Replacement Costs - Entry'!X10="Y",((($B9*$D9)*((1+$B$5)^I$7))*(1/((1+$F$5)^I$7))),0)), "")</f>
        <v/>
      </c>
    </row>
    <row r="10" spans="1:9">
      <c r="A10" s="29" t="str">
        <f>IF('2Capital Costs'!A11&lt;&gt;"", '2Capital Costs'!A11, "")</f>
        <v/>
      </c>
      <c r="B10" s="3" t="str">
        <f>IF('2Capital Costs'!B11&lt;&gt;"", '2Capital Costs'!B11, "")</f>
        <v/>
      </c>
      <c r="C10" s="46" t="str">
        <f>IF('2Capital Costs'!C11&lt;&gt;"", '2Capital Costs'!C11, "")</f>
        <v/>
      </c>
      <c r="D10" s="47" t="str">
        <f>IF('2Capital Costs'!D11&lt;&gt;"", '2Capital Costs'!D11, "")</f>
        <v/>
      </c>
      <c r="E10" s="27" t="str">
        <f>IF($A10&lt;&gt;"", (IF('2Replacement Costs - Entry'!T11="Y",((($B10*$D10)*((1+$B$5)^E$7))*(1/((1+$F$5)^E$7))),0)), "")</f>
        <v/>
      </c>
      <c r="F10" s="27" t="str">
        <f>IF($A10&lt;&gt;"", (IF('2Replacement Costs - Entry'!U11="Y",((($B10*$D10)*((1+$B$5)^F$7))*(1/((1+$F$5)^F$7))),0)), "")</f>
        <v/>
      </c>
      <c r="G10" s="27" t="str">
        <f>IF($A10&lt;&gt;"", (IF('2Replacement Costs - Entry'!V11="Y",((($B10*$D10)*((1+$B$5)^G$7))*(1/((1+$F$5)^G$7))),0)), "")</f>
        <v/>
      </c>
      <c r="H10" s="27" t="str">
        <f>IF($A10&lt;&gt;"", (IF('2Replacement Costs - Entry'!W11="Y",((($B10*$D10)*((1+$B$5)^H$7))*(1/((1+$F$5)^H$7))),0)), "")</f>
        <v/>
      </c>
      <c r="I10" s="27" t="str">
        <f>IF($A10&lt;&gt;"", (IF('2Replacement Costs - Entry'!X11="Y",((($B10*$D10)*((1+$B$5)^I$7))*(1/((1+$F$5)^I$7))),0)), "")</f>
        <v/>
      </c>
    </row>
    <row r="11" spans="1:9">
      <c r="A11" s="29" t="str">
        <f>IF('2Capital Costs'!A12&lt;&gt;"", '2Capital Costs'!A12, "")</f>
        <v/>
      </c>
      <c r="B11" s="3" t="str">
        <f>IF('2Capital Costs'!B12&lt;&gt;"", '2Capital Costs'!B12, "")</f>
        <v/>
      </c>
      <c r="C11" s="46" t="str">
        <f>IF('2Capital Costs'!C12&lt;&gt;"", '2Capital Costs'!C12, "")</f>
        <v/>
      </c>
      <c r="D11" s="47" t="str">
        <f>IF('2Capital Costs'!D12&lt;&gt;"", '2Capital Costs'!D12, "")</f>
        <v/>
      </c>
      <c r="E11" s="27" t="str">
        <f>IF($A11&lt;&gt;"", (IF('2Replacement Costs - Entry'!T12="Y",((($B11*$D11)*((1+$B$5)^E$7))*(1/((1+$F$5)^E$7))),0)), "")</f>
        <v/>
      </c>
      <c r="F11" s="27" t="str">
        <f>IF($A11&lt;&gt;"", (IF('2Replacement Costs - Entry'!U12="Y",((($B11*$D11)*((1+$B$5)^F$7))*(1/((1+$F$5)^F$7))),0)), "")</f>
        <v/>
      </c>
      <c r="G11" s="27" t="str">
        <f>IF($A11&lt;&gt;"", (IF('2Replacement Costs - Entry'!V12="Y",((($B11*$D11)*((1+$B$5)^G$7))*(1/((1+$F$5)^G$7))),0)), "")</f>
        <v/>
      </c>
      <c r="H11" s="27" t="str">
        <f>IF($A11&lt;&gt;"", (IF('2Replacement Costs - Entry'!W12="Y",((($B11*$D11)*((1+$B$5)^H$7))*(1/((1+$F$5)^H$7))),0)), "")</f>
        <v/>
      </c>
      <c r="I11" s="27" t="str">
        <f>IF($A11&lt;&gt;"", (IF('2Replacement Costs - Entry'!X12="Y",((($B11*$D11)*((1+$B$5)^I$7))*(1/((1+$F$5)^I$7))),0)), "")</f>
        <v/>
      </c>
    </row>
    <row r="12" spans="1:9">
      <c r="A12" s="29" t="str">
        <f>IF('2Capital Costs'!A13&lt;&gt;"", '2Capital Costs'!A13, "")</f>
        <v/>
      </c>
      <c r="B12" s="3" t="str">
        <f>IF('2Capital Costs'!B13&lt;&gt;"", '2Capital Costs'!B13, "")</f>
        <v/>
      </c>
      <c r="C12" s="46" t="str">
        <f>IF('2Capital Costs'!C13&lt;&gt;"", '2Capital Costs'!C13, "")</f>
        <v/>
      </c>
      <c r="D12" s="47" t="str">
        <f>IF('2Capital Costs'!D13&lt;&gt;"", '2Capital Costs'!D13, "")</f>
        <v/>
      </c>
      <c r="E12" s="27" t="str">
        <f>IF($A12&lt;&gt;"", (IF('2Replacement Costs - Entry'!T13="Y",((($B12*$D12)*((1+$B$5)^E$7))*(1/((1+$F$5)^E$7))),0)), "")</f>
        <v/>
      </c>
      <c r="F12" s="27" t="str">
        <f>IF($A12&lt;&gt;"", (IF('2Replacement Costs - Entry'!U13="Y",((($B12*$D12)*((1+$B$5)^F$7))*(1/((1+$F$5)^F$7))),0)), "")</f>
        <v/>
      </c>
      <c r="G12" s="27" t="str">
        <f>IF($A12&lt;&gt;"", (IF('2Replacement Costs - Entry'!V13="Y",((($B12*$D12)*((1+$B$5)^G$7))*(1/((1+$F$5)^G$7))),0)), "")</f>
        <v/>
      </c>
      <c r="H12" s="27" t="str">
        <f>IF($A12&lt;&gt;"", (IF('2Replacement Costs - Entry'!W13="Y",((($B12*$D12)*((1+$B$5)^H$7))*(1/((1+$F$5)^H$7))),0)), "")</f>
        <v/>
      </c>
      <c r="I12" s="27" t="str">
        <f>IF($A12&lt;&gt;"", (IF('2Replacement Costs - Entry'!X13="Y",((($B12*$D12)*((1+$B$5)^I$7))*(1/((1+$F$5)^I$7))),0)), "")</f>
        <v/>
      </c>
    </row>
    <row r="13" spans="1:9">
      <c r="A13" s="29" t="str">
        <f>IF('2Capital Costs'!A14&lt;&gt;"", '2Capital Costs'!A14, "")</f>
        <v/>
      </c>
      <c r="B13" s="3" t="str">
        <f>IF('2Capital Costs'!B14&lt;&gt;"", '2Capital Costs'!B14, "")</f>
        <v/>
      </c>
      <c r="C13" s="46" t="str">
        <f>IF('2Capital Costs'!C14&lt;&gt;"", '2Capital Costs'!C14, "")</f>
        <v/>
      </c>
      <c r="D13" s="47" t="str">
        <f>IF('2Capital Costs'!D14&lt;&gt;"", '2Capital Costs'!D14, "")</f>
        <v/>
      </c>
      <c r="E13" s="27" t="str">
        <f>IF($A13&lt;&gt;"", (IF('2Replacement Costs - Entry'!T14="Y",((($B13*$D13)*((1+$B$5)^E$7))*(1/((1+$F$5)^E$7))),0)), "")</f>
        <v/>
      </c>
      <c r="F13" s="27" t="str">
        <f>IF($A13&lt;&gt;"", (IF('2Replacement Costs - Entry'!U14="Y",((($B13*$D13)*((1+$B$5)^F$7))*(1/((1+$F$5)^F$7))),0)), "")</f>
        <v/>
      </c>
      <c r="G13" s="27" t="str">
        <f>IF($A13&lt;&gt;"", (IF('2Replacement Costs - Entry'!V14="Y",((($B13*$D13)*((1+$B$5)^G$7))*(1/((1+$F$5)^G$7))),0)), "")</f>
        <v/>
      </c>
      <c r="H13" s="27" t="str">
        <f>IF($A13&lt;&gt;"", (IF('2Replacement Costs - Entry'!W14="Y",((($B13*$D13)*((1+$B$5)^H$7))*(1/((1+$F$5)^H$7))),0)), "")</f>
        <v/>
      </c>
      <c r="I13" s="27" t="str">
        <f>IF($A13&lt;&gt;"", (IF('2Replacement Costs - Entry'!X14="Y",((($B13*$D13)*((1+$B$5)^I$7))*(1/((1+$F$5)^I$7))),0)), "")</f>
        <v/>
      </c>
    </row>
    <row r="14" spans="1:9">
      <c r="A14" s="29" t="str">
        <f>IF('2Capital Costs'!A15&lt;&gt;"", '2Capital Costs'!A15, "")</f>
        <v/>
      </c>
      <c r="B14" s="3" t="str">
        <f>IF('2Capital Costs'!B15&lt;&gt;"", '2Capital Costs'!B15, "")</f>
        <v/>
      </c>
      <c r="C14" s="46" t="str">
        <f>IF('2Capital Costs'!C15&lt;&gt;"", '2Capital Costs'!C15, "")</f>
        <v/>
      </c>
      <c r="D14" s="47" t="str">
        <f>IF('2Capital Costs'!D15&lt;&gt;"", '2Capital Costs'!D15, "")</f>
        <v/>
      </c>
      <c r="E14" s="27" t="str">
        <f>IF($A14&lt;&gt;"", (IF('2Replacement Costs - Entry'!T15="Y",((($B14*$D14)*((1+$B$5)^E$7))*(1/((1+$F$5)^E$7))),0)), "")</f>
        <v/>
      </c>
      <c r="F14" s="27" t="str">
        <f>IF($A14&lt;&gt;"", (IF('2Replacement Costs - Entry'!U15="Y",((($B14*$D14)*((1+$B$5)^F$7))*(1/((1+$F$5)^F$7))),0)), "")</f>
        <v/>
      </c>
      <c r="G14" s="27" t="str">
        <f>IF($A14&lt;&gt;"", (IF('2Replacement Costs - Entry'!V15="Y",((($B14*$D14)*((1+$B$5)^G$7))*(1/((1+$F$5)^G$7))),0)), "")</f>
        <v/>
      </c>
      <c r="H14" s="27" t="str">
        <f>IF($A14&lt;&gt;"", (IF('2Replacement Costs - Entry'!W15="Y",((($B14*$D14)*((1+$B$5)^H$7))*(1/((1+$F$5)^H$7))),0)), "")</f>
        <v/>
      </c>
      <c r="I14" s="27" t="str">
        <f>IF($A14&lt;&gt;"", (IF('2Replacement Costs - Entry'!X15="Y",((($B14*$D14)*((1+$B$5)^I$7))*(1/((1+$F$5)^I$7))),0)), "")</f>
        <v/>
      </c>
    </row>
    <row r="15" spans="1:9">
      <c r="A15" s="29" t="str">
        <f>IF('2Capital Costs'!A16&lt;&gt;"", '2Capital Costs'!A16, "")</f>
        <v/>
      </c>
      <c r="B15" s="3" t="str">
        <f>IF('2Capital Costs'!B16&lt;&gt;"", '2Capital Costs'!B16, "")</f>
        <v/>
      </c>
      <c r="C15" s="46" t="str">
        <f>IF('2Capital Costs'!C16&lt;&gt;"", '2Capital Costs'!C16, "")</f>
        <v/>
      </c>
      <c r="D15" s="47" t="str">
        <f>IF('2Capital Costs'!D16&lt;&gt;"", '2Capital Costs'!D16, "")</f>
        <v/>
      </c>
      <c r="E15" s="27" t="str">
        <f>IF($A15&lt;&gt;"", (IF('2Replacement Costs - Entry'!T16="Y",((($B15*$D15)*((1+$B$5)^E$7))*(1/((1+$F$5)^E$7))),0)), "")</f>
        <v/>
      </c>
      <c r="F15" s="27" t="str">
        <f>IF($A15&lt;&gt;"", (IF('2Replacement Costs - Entry'!U16="Y",((($B15*$D15)*((1+$B$5)^F$7))*(1/((1+$F$5)^F$7))),0)), "")</f>
        <v/>
      </c>
      <c r="G15" s="27" t="str">
        <f>IF($A15&lt;&gt;"", (IF('2Replacement Costs - Entry'!V16="Y",((($B15*$D15)*((1+$B$5)^G$7))*(1/((1+$F$5)^G$7))),0)), "")</f>
        <v/>
      </c>
      <c r="H15" s="27" t="str">
        <f>IF($A15&lt;&gt;"", (IF('2Replacement Costs - Entry'!W16="Y",((($B15*$D15)*((1+$B$5)^H$7))*(1/((1+$F$5)^H$7))),0)), "")</f>
        <v/>
      </c>
      <c r="I15" s="27" t="str">
        <f>IF($A15&lt;&gt;"", (IF('2Replacement Costs - Entry'!X16="Y",((($B15*$D15)*((1+$B$5)^I$7))*(1/((1+$F$5)^I$7))),0)), "")</f>
        <v/>
      </c>
    </row>
    <row r="16" spans="1:9">
      <c r="A16" s="29" t="str">
        <f>IF('2Capital Costs'!A17&lt;&gt;"", '2Capital Costs'!A17, "")</f>
        <v/>
      </c>
      <c r="B16" s="3" t="str">
        <f>IF('2Capital Costs'!B17&lt;&gt;"", '2Capital Costs'!B17, "")</f>
        <v/>
      </c>
      <c r="C16" s="46" t="str">
        <f>IF('2Capital Costs'!C17&lt;&gt;"", '2Capital Costs'!C17, "")</f>
        <v/>
      </c>
      <c r="D16" s="47" t="str">
        <f>IF('2Capital Costs'!D17&lt;&gt;"", '2Capital Costs'!D17, "")</f>
        <v/>
      </c>
      <c r="E16" s="27" t="str">
        <f>IF($A16&lt;&gt;"", (IF('2Replacement Costs - Entry'!T17="Y",((($B16*$D16)*((1+$B$5)^E$7))*(1/((1+$F$5)^E$7))),0)), "")</f>
        <v/>
      </c>
      <c r="F16" s="27" t="str">
        <f>IF($A16&lt;&gt;"", (IF('2Replacement Costs - Entry'!U17="Y",((($B16*$D16)*((1+$B$5)^F$7))*(1/((1+$F$5)^F$7))),0)), "")</f>
        <v/>
      </c>
      <c r="G16" s="27" t="str">
        <f>IF($A16&lt;&gt;"", (IF('2Replacement Costs - Entry'!V17="Y",((($B16*$D16)*((1+$B$5)^G$7))*(1/((1+$F$5)^G$7))),0)), "")</f>
        <v/>
      </c>
      <c r="H16" s="27" t="str">
        <f>IF($A16&lt;&gt;"", (IF('2Replacement Costs - Entry'!W17="Y",((($B16*$D16)*((1+$B$5)^H$7))*(1/((1+$F$5)^H$7))),0)), "")</f>
        <v/>
      </c>
      <c r="I16" s="27" t="str">
        <f>IF($A16&lt;&gt;"", (IF('2Replacement Costs - Entry'!X17="Y",((($B16*$D16)*((1+$B$5)^I$7))*(1/((1+$F$5)^I$7))),0)), "")</f>
        <v/>
      </c>
    </row>
    <row r="17" spans="1:9">
      <c r="A17" s="29" t="str">
        <f>IF('2Capital Costs'!A18&lt;&gt;"", '2Capital Costs'!A18, "")</f>
        <v/>
      </c>
      <c r="B17" s="3" t="str">
        <f>IF('2Capital Costs'!B18&lt;&gt;"", '2Capital Costs'!B18, "")</f>
        <v/>
      </c>
      <c r="C17" s="46" t="str">
        <f>IF('2Capital Costs'!C18&lt;&gt;"", '2Capital Costs'!C18, "")</f>
        <v/>
      </c>
      <c r="D17" s="47" t="str">
        <f>IF('2Capital Costs'!D18&lt;&gt;"", '2Capital Costs'!D18, "")</f>
        <v/>
      </c>
      <c r="E17" s="27" t="str">
        <f>IF($A17&lt;&gt;"", (IF('2Replacement Costs - Entry'!T18="Y",((($B17*$D17)*((1+$B$5)^E$7))*(1/((1+$F$5)^E$7))),0)), "")</f>
        <v/>
      </c>
      <c r="F17" s="27" t="str">
        <f>IF($A17&lt;&gt;"", (IF('2Replacement Costs - Entry'!U18="Y",((($B17*$D17)*((1+$B$5)^F$7))*(1/((1+$F$5)^F$7))),0)), "")</f>
        <v/>
      </c>
      <c r="G17" s="27" t="str">
        <f>IF($A17&lt;&gt;"", (IF('2Replacement Costs - Entry'!V18="Y",((($B17*$D17)*((1+$B$5)^G$7))*(1/((1+$F$5)^G$7))),0)), "")</f>
        <v/>
      </c>
      <c r="H17" s="27" t="str">
        <f>IF($A17&lt;&gt;"", (IF('2Replacement Costs - Entry'!W18="Y",((($B17*$D17)*((1+$B$5)^H$7))*(1/((1+$F$5)^H$7))),0)), "")</f>
        <v/>
      </c>
      <c r="I17" s="27" t="str">
        <f>IF($A17&lt;&gt;"", (IF('2Replacement Costs - Entry'!X18="Y",((($B17*$D17)*((1+$B$5)^I$7))*(1/((1+$F$5)^I$7))),0)), "")</f>
        <v/>
      </c>
    </row>
    <row r="18" spans="1:9">
      <c r="A18" s="29" t="str">
        <f>IF('2Capital Costs'!A19&lt;&gt;"", '2Capital Costs'!A19, "")</f>
        <v/>
      </c>
      <c r="B18" s="3" t="str">
        <f>IF('2Capital Costs'!B19&lt;&gt;"", '2Capital Costs'!B19, "")</f>
        <v/>
      </c>
      <c r="C18" s="46" t="str">
        <f>IF('2Capital Costs'!C19&lt;&gt;"", '2Capital Costs'!C19, "")</f>
        <v/>
      </c>
      <c r="D18" s="47" t="str">
        <f>IF('2Capital Costs'!D19&lt;&gt;"", '2Capital Costs'!D19, "")</f>
        <v/>
      </c>
      <c r="E18" s="27" t="str">
        <f>IF($A18&lt;&gt;"", (IF('2Replacement Costs - Entry'!T19="Y",((($B18*$D18)*((1+$B$5)^E$7))*(1/((1+$F$5)^E$7))),0)), "")</f>
        <v/>
      </c>
      <c r="F18" s="27" t="str">
        <f>IF($A18&lt;&gt;"", (IF('2Replacement Costs - Entry'!U19="Y",((($B18*$D18)*((1+$B$5)^F$7))*(1/((1+$F$5)^F$7))),0)), "")</f>
        <v/>
      </c>
      <c r="G18" s="27" t="str">
        <f>IF($A18&lt;&gt;"", (IF('2Replacement Costs - Entry'!V19="Y",((($B18*$D18)*((1+$B$5)^G$7))*(1/((1+$F$5)^G$7))),0)), "")</f>
        <v/>
      </c>
      <c r="H18" s="27" t="str">
        <f>IF($A18&lt;&gt;"", (IF('2Replacement Costs - Entry'!W19="Y",((($B18*$D18)*((1+$B$5)^H$7))*(1/((1+$F$5)^H$7))),0)), "")</f>
        <v/>
      </c>
      <c r="I18" s="27" t="str">
        <f>IF($A18&lt;&gt;"", (IF('2Replacement Costs - Entry'!X19="Y",((($B18*$D18)*((1+$B$5)^I$7))*(1/((1+$F$5)^I$7))),0)), "")</f>
        <v/>
      </c>
    </row>
    <row r="19" spans="1:9">
      <c r="A19" s="29" t="str">
        <f>IF('2Capital Costs'!A20&lt;&gt;"", '2Capital Costs'!A20, "")</f>
        <v/>
      </c>
      <c r="B19" s="3" t="str">
        <f>IF('2Capital Costs'!B20&lt;&gt;"", '2Capital Costs'!B20, "")</f>
        <v/>
      </c>
      <c r="C19" s="46" t="str">
        <f>IF('2Capital Costs'!C20&lt;&gt;"", '2Capital Costs'!C20, "")</f>
        <v/>
      </c>
      <c r="D19" s="47" t="str">
        <f>IF('2Capital Costs'!D20&lt;&gt;"", '2Capital Costs'!D20, "")</f>
        <v/>
      </c>
      <c r="E19" s="27" t="str">
        <f>IF($A19&lt;&gt;"", (IF('2Replacement Costs - Entry'!T20="Y",((($B19*$D19)*((1+$B$5)^E$7))*(1/((1+$F$5)^E$7))),0)), "")</f>
        <v/>
      </c>
      <c r="F19" s="27" t="str">
        <f>IF($A19&lt;&gt;"", (IF('2Replacement Costs - Entry'!U20="Y",((($B19*$D19)*((1+$B$5)^F$7))*(1/((1+$F$5)^F$7))),0)), "")</f>
        <v/>
      </c>
      <c r="G19" s="27" t="str">
        <f>IF($A19&lt;&gt;"", (IF('2Replacement Costs - Entry'!V20="Y",((($B19*$D19)*((1+$B$5)^G$7))*(1/((1+$F$5)^G$7))),0)), "")</f>
        <v/>
      </c>
      <c r="H19" s="27" t="str">
        <f>IF($A19&lt;&gt;"", (IF('2Replacement Costs - Entry'!W20="Y",((($B19*$D19)*((1+$B$5)^H$7))*(1/((1+$F$5)^H$7))),0)), "")</f>
        <v/>
      </c>
      <c r="I19" s="27" t="str">
        <f>IF($A19&lt;&gt;"", (IF('2Replacement Costs - Entry'!X20="Y",((($B19*$D19)*((1+$B$5)^I$7))*(1/((1+$F$5)^I$7))),0)), "")</f>
        <v/>
      </c>
    </row>
    <row r="20" spans="1:9">
      <c r="A20" s="29" t="str">
        <f>IF('2Capital Costs'!A21&lt;&gt;"", '2Capital Costs'!A21, "")</f>
        <v/>
      </c>
      <c r="B20" s="3" t="str">
        <f>IF('2Capital Costs'!B21&lt;&gt;"", '2Capital Costs'!B21, "")</f>
        <v/>
      </c>
      <c r="C20" s="46" t="str">
        <f>IF('2Capital Costs'!C21&lt;&gt;"", '2Capital Costs'!C21, "")</f>
        <v/>
      </c>
      <c r="D20" s="47" t="str">
        <f>IF('2Capital Costs'!D21&lt;&gt;"", '2Capital Costs'!D21, "")</f>
        <v/>
      </c>
      <c r="E20" s="27" t="str">
        <f>IF($A20&lt;&gt;"", (IF('2Replacement Costs - Entry'!T21="Y",((($B20*$D20)*((1+$B$5)^E$7))*(1/((1+$F$5)^E$7))),0)), "")</f>
        <v/>
      </c>
      <c r="F20" s="27" t="str">
        <f>IF($A20&lt;&gt;"", (IF('2Replacement Costs - Entry'!U21="Y",((($B20*$D20)*((1+$B$5)^F$7))*(1/((1+$F$5)^F$7))),0)), "")</f>
        <v/>
      </c>
      <c r="G20" s="27" t="str">
        <f>IF($A20&lt;&gt;"", (IF('2Replacement Costs - Entry'!V21="Y",((($B20*$D20)*((1+$B$5)^G$7))*(1/((1+$F$5)^G$7))),0)), "")</f>
        <v/>
      </c>
      <c r="H20" s="27" t="str">
        <f>IF($A20&lt;&gt;"", (IF('2Replacement Costs - Entry'!W21="Y",((($B20*$D20)*((1+$B$5)^H$7))*(1/((1+$F$5)^H$7))),0)), "")</f>
        <v/>
      </c>
      <c r="I20" s="27" t="str">
        <f>IF($A20&lt;&gt;"", (IF('2Replacement Costs - Entry'!X21="Y",((($B20*$D20)*((1+$B$5)^I$7))*(1/((1+$F$5)^I$7))),0)), "")</f>
        <v/>
      </c>
    </row>
    <row r="21" spans="1:9">
      <c r="A21" s="29" t="str">
        <f>IF('2Capital Costs'!A22&lt;&gt;"", '2Capital Costs'!A22, "")</f>
        <v/>
      </c>
      <c r="B21" s="3" t="str">
        <f>IF('2Capital Costs'!B22&lt;&gt;"", '2Capital Costs'!B22, "")</f>
        <v/>
      </c>
      <c r="C21" s="46" t="str">
        <f>IF('2Capital Costs'!C22&lt;&gt;"", '2Capital Costs'!C22, "")</f>
        <v/>
      </c>
      <c r="D21" s="47" t="str">
        <f>IF('2Capital Costs'!D22&lt;&gt;"", '2Capital Costs'!D22, "")</f>
        <v/>
      </c>
      <c r="E21" s="27" t="str">
        <f>IF($A21&lt;&gt;"", (IF('2Replacement Costs - Entry'!T22="Y",((($B21*$D21)*((1+$B$5)^E$7))*(1/((1+$F$5)^E$7))),0)), "")</f>
        <v/>
      </c>
      <c r="F21" s="27" t="str">
        <f>IF($A21&lt;&gt;"", (IF('2Replacement Costs - Entry'!U22="Y",((($B21*$D21)*((1+$B$5)^F$7))*(1/((1+$F$5)^F$7))),0)), "")</f>
        <v/>
      </c>
      <c r="G21" s="27" t="str">
        <f>IF($A21&lt;&gt;"", (IF('2Replacement Costs - Entry'!V22="Y",((($B21*$D21)*((1+$B$5)^G$7))*(1/((1+$F$5)^G$7))),0)), "")</f>
        <v/>
      </c>
      <c r="H21" s="27" t="str">
        <f>IF($A21&lt;&gt;"", (IF('2Replacement Costs - Entry'!W22="Y",((($B21*$D21)*((1+$B$5)^H$7))*(1/((1+$F$5)^H$7))),0)), "")</f>
        <v/>
      </c>
      <c r="I21" s="27" t="str">
        <f>IF($A21&lt;&gt;"", (IF('2Replacement Costs - Entry'!X22="Y",((($B21*$D21)*((1+$B$5)^I$7))*(1/((1+$F$5)^I$7))),0)), "")</f>
        <v/>
      </c>
    </row>
    <row r="22" spans="1:9">
      <c r="A22" s="29" t="str">
        <f>IF('2Capital Costs'!A23&lt;&gt;"", '2Capital Costs'!A23, "")</f>
        <v/>
      </c>
      <c r="B22" s="3" t="str">
        <f>IF('2Capital Costs'!B23&lt;&gt;"", '2Capital Costs'!B23, "")</f>
        <v/>
      </c>
      <c r="C22" s="46" t="str">
        <f>IF('2Capital Costs'!C23&lt;&gt;"", '2Capital Costs'!C23, "")</f>
        <v/>
      </c>
      <c r="D22" s="47" t="str">
        <f>IF('2Capital Costs'!D23&lt;&gt;"", '2Capital Costs'!D23, "")</f>
        <v/>
      </c>
      <c r="E22" s="27" t="str">
        <f>IF($A22&lt;&gt;"", (IF('2Replacement Costs - Entry'!T23="Y",((($B22*$D22)*((1+$B$5)^E$7))*(1/((1+$F$5)^E$7))),0)), "")</f>
        <v/>
      </c>
      <c r="F22" s="27" t="str">
        <f>IF($A22&lt;&gt;"", (IF('2Replacement Costs - Entry'!U23="Y",((($B22*$D22)*((1+$B$5)^F$7))*(1/((1+$F$5)^F$7))),0)), "")</f>
        <v/>
      </c>
      <c r="G22" s="27" t="str">
        <f>IF($A22&lt;&gt;"", (IF('2Replacement Costs - Entry'!V23="Y",((($B22*$D22)*((1+$B$5)^G$7))*(1/((1+$F$5)^G$7))),0)), "")</f>
        <v/>
      </c>
      <c r="H22" s="27" t="str">
        <f>IF($A22&lt;&gt;"", (IF('2Replacement Costs - Entry'!W23="Y",((($B22*$D22)*((1+$B$5)^H$7))*(1/((1+$F$5)^H$7))),0)), "")</f>
        <v/>
      </c>
      <c r="I22" s="27" t="str">
        <f>IF($A22&lt;&gt;"", (IF('2Replacement Costs - Entry'!X23="Y",((($B22*$D22)*((1+$B$5)^I$7))*(1/((1+$F$5)^I$7))),0)), "")</f>
        <v/>
      </c>
    </row>
    <row r="23" spans="1:9">
      <c r="A23" s="29" t="str">
        <f>IF('2Capital Costs'!A24&lt;&gt;"", '2Capital Costs'!A24, "")</f>
        <v/>
      </c>
      <c r="B23" s="3" t="str">
        <f>IF('2Capital Costs'!B24&lt;&gt;"", '2Capital Costs'!B24, "")</f>
        <v/>
      </c>
      <c r="C23" s="46" t="str">
        <f>IF('2Capital Costs'!C24&lt;&gt;"", '2Capital Costs'!C24, "")</f>
        <v/>
      </c>
      <c r="D23" s="47" t="str">
        <f>IF('2Capital Costs'!D24&lt;&gt;"", '2Capital Costs'!D24, "")</f>
        <v/>
      </c>
      <c r="E23" s="27" t="str">
        <f>IF($A23&lt;&gt;"", (IF('2Replacement Costs - Entry'!T24="Y",((($B23*$D23)*((1+$B$5)^E$7))*(1/((1+$F$5)^E$7))),0)), "")</f>
        <v/>
      </c>
      <c r="F23" s="27" t="str">
        <f>IF($A23&lt;&gt;"", (IF('2Replacement Costs - Entry'!U24="Y",((($B23*$D23)*((1+$B$5)^F$7))*(1/((1+$F$5)^F$7))),0)), "")</f>
        <v/>
      </c>
      <c r="G23" s="27" t="str">
        <f>IF($A23&lt;&gt;"", (IF('2Replacement Costs - Entry'!V24="Y",((($B23*$D23)*((1+$B$5)^G$7))*(1/((1+$F$5)^G$7))),0)), "")</f>
        <v/>
      </c>
      <c r="H23" s="27" t="str">
        <f>IF($A23&lt;&gt;"", (IF('2Replacement Costs - Entry'!W24="Y",((($B23*$D23)*((1+$B$5)^H$7))*(1/((1+$F$5)^H$7))),0)), "")</f>
        <v/>
      </c>
      <c r="I23" s="27" t="str">
        <f>IF($A23&lt;&gt;"", (IF('2Replacement Costs - Entry'!X24="Y",((($B23*$D23)*((1+$B$5)^I$7))*(1/((1+$F$5)^I$7))),0)), "")</f>
        <v/>
      </c>
    </row>
    <row r="24" spans="1:9">
      <c r="A24" s="29" t="str">
        <f>IF('2Capital Costs'!A25&lt;&gt;"", '2Capital Costs'!A25, "")</f>
        <v/>
      </c>
      <c r="B24" s="3" t="str">
        <f>IF('2Capital Costs'!B25&lt;&gt;"", '2Capital Costs'!B25, "")</f>
        <v/>
      </c>
      <c r="C24" s="46" t="str">
        <f>IF('2Capital Costs'!C25&lt;&gt;"", '2Capital Costs'!C25, "")</f>
        <v/>
      </c>
      <c r="D24" s="47" t="str">
        <f>IF('2Capital Costs'!D25&lt;&gt;"", '2Capital Costs'!D25, "")</f>
        <v/>
      </c>
      <c r="E24" s="27" t="str">
        <f>IF($A24&lt;&gt;"", (IF('2Replacement Costs - Entry'!T25="Y",((($B24*$D24)*((1+$B$5)^E$7))*(1/((1+$F$5)^E$7))),0)), "")</f>
        <v/>
      </c>
      <c r="F24" s="27" t="str">
        <f>IF($A24&lt;&gt;"", (IF('2Replacement Costs - Entry'!U25="Y",((($B24*$D24)*((1+$B$5)^F$7))*(1/((1+$F$5)^F$7))),0)), "")</f>
        <v/>
      </c>
      <c r="G24" s="27" t="str">
        <f>IF($A24&lt;&gt;"", (IF('2Replacement Costs - Entry'!V25="Y",((($B24*$D24)*((1+$B$5)^G$7))*(1/((1+$F$5)^G$7))),0)), "")</f>
        <v/>
      </c>
      <c r="H24" s="27" t="str">
        <f>IF($A24&lt;&gt;"", (IF('2Replacement Costs - Entry'!W25="Y",((($B24*$D24)*((1+$B$5)^H$7))*(1/((1+$F$5)^H$7))),0)), "")</f>
        <v/>
      </c>
      <c r="I24" s="27" t="str">
        <f>IF($A24&lt;&gt;"", (IF('2Replacement Costs - Entry'!X25="Y",((($B24*$D24)*((1+$B$5)^I$7))*(1/((1+$F$5)^I$7))),0)), "")</f>
        <v/>
      </c>
    </row>
    <row r="25" spans="1:9">
      <c r="A25" s="29" t="str">
        <f>IF('2Capital Costs'!A26&lt;&gt;"", '2Capital Costs'!A26, "")</f>
        <v/>
      </c>
      <c r="B25" s="3" t="str">
        <f>IF('2Capital Costs'!B26&lt;&gt;"", '2Capital Costs'!B26, "")</f>
        <v/>
      </c>
      <c r="C25" s="46" t="str">
        <f>IF('2Capital Costs'!C26&lt;&gt;"", '2Capital Costs'!C26, "")</f>
        <v/>
      </c>
      <c r="D25" s="47" t="str">
        <f>IF('2Capital Costs'!D26&lt;&gt;"", '2Capital Costs'!D26, "")</f>
        <v/>
      </c>
      <c r="E25" s="27" t="str">
        <f>IF($A25&lt;&gt;"", (IF('2Replacement Costs - Entry'!T26="Y",((($B25*$D25)*((1+$B$5)^E$7))*(1/((1+$F$5)^E$7))),0)), "")</f>
        <v/>
      </c>
      <c r="F25" s="27" t="str">
        <f>IF($A25&lt;&gt;"", (IF('2Replacement Costs - Entry'!U26="Y",((($B25*$D25)*((1+$B$5)^F$7))*(1/((1+$F$5)^F$7))),0)), "")</f>
        <v/>
      </c>
      <c r="G25" s="27" t="str">
        <f>IF($A25&lt;&gt;"", (IF('2Replacement Costs - Entry'!V26="Y",((($B25*$D25)*((1+$B$5)^G$7))*(1/((1+$F$5)^G$7))),0)), "")</f>
        <v/>
      </c>
      <c r="H25" s="27" t="str">
        <f>IF($A25&lt;&gt;"", (IF('2Replacement Costs - Entry'!W26="Y",((($B25*$D25)*((1+$B$5)^H$7))*(1/((1+$F$5)^H$7))),0)), "")</f>
        <v/>
      </c>
      <c r="I25" s="27" t="str">
        <f>IF($A25&lt;&gt;"", (IF('2Replacement Costs - Entry'!X26="Y",((($B25*$D25)*((1+$B$5)^I$7))*(1/((1+$F$5)^I$7))),0)), "")</f>
        <v/>
      </c>
    </row>
    <row r="26" spans="1:9">
      <c r="A26" s="29" t="str">
        <f>IF('2Capital Costs'!A27&lt;&gt;"", '2Capital Costs'!A27, "")</f>
        <v/>
      </c>
      <c r="B26" s="3" t="str">
        <f>IF('2Capital Costs'!B27&lt;&gt;"", '2Capital Costs'!B27, "")</f>
        <v/>
      </c>
      <c r="C26" s="46" t="str">
        <f>IF('2Capital Costs'!C27&lt;&gt;"", '2Capital Costs'!C27, "")</f>
        <v/>
      </c>
      <c r="D26" s="47" t="str">
        <f>IF('2Capital Costs'!D27&lt;&gt;"", '2Capital Costs'!D27, "")</f>
        <v/>
      </c>
      <c r="E26" s="27" t="str">
        <f>IF($A26&lt;&gt;"", (IF('2Replacement Costs - Entry'!T27="Y",((($B26*$D26)*((1+$B$5)^E$7))*(1/((1+$F$5)^E$7))),0)), "")</f>
        <v/>
      </c>
      <c r="F26" s="27" t="str">
        <f>IF($A26&lt;&gt;"", (IF('2Replacement Costs - Entry'!U27="Y",((($B26*$D26)*((1+$B$5)^F$7))*(1/((1+$F$5)^F$7))),0)), "")</f>
        <v/>
      </c>
      <c r="G26" s="27" t="str">
        <f>IF($A26&lt;&gt;"", (IF('2Replacement Costs - Entry'!V27="Y",((($B26*$D26)*((1+$B$5)^G$7))*(1/((1+$F$5)^G$7))),0)), "")</f>
        <v/>
      </c>
      <c r="H26" s="27" t="str">
        <f>IF($A26&lt;&gt;"", (IF('2Replacement Costs - Entry'!W27="Y",((($B26*$D26)*((1+$B$5)^H$7))*(1/((1+$F$5)^H$7))),0)), "")</f>
        <v/>
      </c>
      <c r="I26" s="27" t="str">
        <f>IF($A26&lt;&gt;"", (IF('2Replacement Costs - Entry'!X27="Y",((($B26*$D26)*((1+$B$5)^I$7))*(1/((1+$F$5)^I$7))),0)), "")</f>
        <v/>
      </c>
    </row>
    <row r="27" spans="1:9">
      <c r="A27" s="29" t="str">
        <f>IF('2Capital Costs'!A28&lt;&gt;"", '2Capital Costs'!A28, "")</f>
        <v/>
      </c>
      <c r="B27" s="3" t="str">
        <f>IF('2Capital Costs'!B28&lt;&gt;"", '2Capital Costs'!B28, "")</f>
        <v/>
      </c>
      <c r="C27" s="46" t="str">
        <f>IF('2Capital Costs'!C28&lt;&gt;"", '2Capital Costs'!C28, "")</f>
        <v/>
      </c>
      <c r="D27" s="47" t="str">
        <f>IF('2Capital Costs'!D28&lt;&gt;"", '2Capital Costs'!D28, "")</f>
        <v/>
      </c>
      <c r="E27" s="27" t="str">
        <f>IF($A27&lt;&gt;"", (IF('2Replacement Costs - Entry'!T28="Y",((($B27*$D27)*((1+$B$5)^E$7))*(1/((1+$F$5)^E$7))),0)), "")</f>
        <v/>
      </c>
      <c r="F27" s="27" t="str">
        <f>IF($A27&lt;&gt;"", (IF('2Replacement Costs - Entry'!U28="Y",((($B27*$D27)*((1+$B$5)^F$7))*(1/((1+$F$5)^F$7))),0)), "")</f>
        <v/>
      </c>
      <c r="G27" s="27" t="str">
        <f>IF($A27&lt;&gt;"", (IF('2Replacement Costs - Entry'!V28="Y",((($B27*$D27)*((1+$B$5)^G$7))*(1/((1+$F$5)^G$7))),0)), "")</f>
        <v/>
      </c>
      <c r="H27" s="27" t="str">
        <f>IF($A27&lt;&gt;"", (IF('2Replacement Costs - Entry'!W28="Y",((($B27*$D27)*((1+$B$5)^H$7))*(1/((1+$F$5)^H$7))),0)), "")</f>
        <v/>
      </c>
      <c r="I27" s="27" t="str">
        <f>IF($A27&lt;&gt;"", (IF('2Replacement Costs - Entry'!X28="Y",((($B27*$D27)*((1+$B$5)^I$7))*(1/((1+$F$5)^I$7))),0)), "")</f>
        <v/>
      </c>
    </row>
    <row r="28" spans="1:9">
      <c r="A28" s="29" t="str">
        <f>IF('2Capital Costs'!A29&lt;&gt;"", '2Capital Costs'!A29, "")</f>
        <v/>
      </c>
      <c r="B28" s="3" t="str">
        <f>IF('2Capital Costs'!B29&lt;&gt;"", '2Capital Costs'!B29, "")</f>
        <v/>
      </c>
      <c r="C28" s="46" t="str">
        <f>IF('2Capital Costs'!C29&lt;&gt;"", '2Capital Costs'!C29, "")</f>
        <v/>
      </c>
      <c r="D28" s="47" t="str">
        <f>IF('2Capital Costs'!D29&lt;&gt;"", '2Capital Costs'!D29, "")</f>
        <v/>
      </c>
      <c r="E28" s="27" t="str">
        <f>IF($A28&lt;&gt;"", (IF('2Replacement Costs - Entry'!T29="Y",((($B28*$D28)*((1+$B$5)^E$7))*(1/((1+$F$5)^E$7))),0)), "")</f>
        <v/>
      </c>
      <c r="F28" s="27" t="str">
        <f>IF($A28&lt;&gt;"", (IF('2Replacement Costs - Entry'!U29="Y",((($B28*$D28)*((1+$B$5)^F$7))*(1/((1+$F$5)^F$7))),0)), "")</f>
        <v/>
      </c>
      <c r="G28" s="27" t="str">
        <f>IF($A28&lt;&gt;"", (IF('2Replacement Costs - Entry'!V29="Y",((($B28*$D28)*((1+$B$5)^G$7))*(1/((1+$F$5)^G$7))),0)), "")</f>
        <v/>
      </c>
      <c r="H28" s="27" t="str">
        <f>IF($A28&lt;&gt;"", (IF('2Replacement Costs - Entry'!W29="Y",((($B28*$D28)*((1+$B$5)^H$7))*(1/((1+$F$5)^H$7))),0)), "")</f>
        <v/>
      </c>
      <c r="I28" s="27" t="str">
        <f>IF($A28&lt;&gt;"", (IF('2Replacement Costs - Entry'!X29="Y",((($B28*$D28)*((1+$B$5)^I$7))*(1/((1+$F$5)^I$7))),0)), "")</f>
        <v/>
      </c>
    </row>
    <row r="29" spans="1:9">
      <c r="A29" s="29" t="str">
        <f>IF('2Capital Costs'!A30&lt;&gt;"", '2Capital Costs'!A30, "")</f>
        <v/>
      </c>
      <c r="B29" s="3" t="str">
        <f>IF('2Capital Costs'!B30&lt;&gt;"", '2Capital Costs'!B30, "")</f>
        <v/>
      </c>
      <c r="C29" s="46" t="str">
        <f>IF('2Capital Costs'!C30&lt;&gt;"", '2Capital Costs'!C30, "")</f>
        <v/>
      </c>
      <c r="D29" s="47" t="str">
        <f>IF('2Capital Costs'!D30&lt;&gt;"", '2Capital Costs'!D30, "")</f>
        <v/>
      </c>
      <c r="E29" s="27" t="str">
        <f>IF($A29&lt;&gt;"", (IF('2Replacement Costs - Entry'!T30="Y",((($B29*$D29)*((1+$B$5)^E$7))*(1/((1+$F$5)^E$7))),0)), "")</f>
        <v/>
      </c>
      <c r="F29" s="27" t="str">
        <f>IF($A29&lt;&gt;"", (IF('2Replacement Costs - Entry'!U30="Y",((($B29*$D29)*((1+$B$5)^F$7))*(1/((1+$F$5)^F$7))),0)), "")</f>
        <v/>
      </c>
      <c r="G29" s="27" t="str">
        <f>IF($A29&lt;&gt;"", (IF('2Replacement Costs - Entry'!V30="Y",((($B29*$D29)*((1+$B$5)^G$7))*(1/((1+$F$5)^G$7))),0)), "")</f>
        <v/>
      </c>
      <c r="H29" s="27" t="str">
        <f>IF($A29&lt;&gt;"", (IF('2Replacement Costs - Entry'!W30="Y",((($B29*$D29)*((1+$B$5)^H$7))*(1/((1+$F$5)^H$7))),0)), "")</f>
        <v/>
      </c>
      <c r="I29" s="27" t="str">
        <f>IF($A29&lt;&gt;"", (IF('2Replacement Costs - Entry'!X30="Y",((($B29*$D29)*((1+$B$5)^I$7))*(1/((1+$F$5)^I$7))),0)), "")</f>
        <v/>
      </c>
    </row>
    <row r="30" spans="1:9">
      <c r="A30" s="29" t="str">
        <f>IF('2Capital Costs'!A31&lt;&gt;"", '2Capital Costs'!A31, "")</f>
        <v/>
      </c>
      <c r="B30" s="3" t="str">
        <f>IF('2Capital Costs'!B31&lt;&gt;"", '2Capital Costs'!B31, "")</f>
        <v/>
      </c>
      <c r="C30" s="46" t="str">
        <f>IF('2Capital Costs'!C31&lt;&gt;"", '2Capital Costs'!C31, "")</f>
        <v/>
      </c>
      <c r="D30" s="47" t="str">
        <f>IF('2Capital Costs'!D31&lt;&gt;"", '2Capital Costs'!D31, "")</f>
        <v/>
      </c>
      <c r="E30" s="27" t="str">
        <f>IF($A30&lt;&gt;"", (IF('2Replacement Costs - Entry'!T31="Y",((($B30*$D30)*((1+$B$5)^E$7))*(1/((1+$F$5)^E$7))),0)), "")</f>
        <v/>
      </c>
      <c r="F30" s="27" t="str">
        <f>IF($A30&lt;&gt;"", (IF('2Replacement Costs - Entry'!U31="Y",((($B30*$D30)*((1+$B$5)^F$7))*(1/((1+$F$5)^F$7))),0)), "")</f>
        <v/>
      </c>
      <c r="G30" s="27" t="str">
        <f>IF($A30&lt;&gt;"", (IF('2Replacement Costs - Entry'!V31="Y",((($B30*$D30)*((1+$B$5)^G$7))*(1/((1+$F$5)^G$7))),0)), "")</f>
        <v/>
      </c>
      <c r="H30" s="27" t="str">
        <f>IF($A30&lt;&gt;"", (IF('2Replacement Costs - Entry'!W31="Y",((($B30*$D30)*((1+$B$5)^H$7))*(1/((1+$F$5)^H$7))),0)), "")</f>
        <v/>
      </c>
      <c r="I30" s="27" t="str">
        <f>IF($A30&lt;&gt;"", (IF('2Replacement Costs - Entry'!X31="Y",((($B30*$D30)*((1+$B$5)^I$7))*(1/((1+$F$5)^I$7))),0)), "")</f>
        <v/>
      </c>
    </row>
    <row r="31" spans="1:9">
      <c r="A31" s="29" t="str">
        <f>IF('2Capital Costs'!A32&lt;&gt;"", '2Capital Costs'!A32, "")</f>
        <v/>
      </c>
      <c r="B31" s="3" t="str">
        <f>IF('2Capital Costs'!B32&lt;&gt;"", '2Capital Costs'!B32, "")</f>
        <v/>
      </c>
      <c r="C31" s="46" t="str">
        <f>IF('2Capital Costs'!C32&lt;&gt;"", '2Capital Costs'!C32, "")</f>
        <v/>
      </c>
      <c r="D31" s="47" t="str">
        <f>IF('2Capital Costs'!D32&lt;&gt;"", '2Capital Costs'!D32, "")</f>
        <v/>
      </c>
      <c r="E31" s="27" t="str">
        <f>IF($A31&lt;&gt;"", (IF('2Replacement Costs - Entry'!T32="Y",((($B31*$D31)*((1+$B$5)^E$7))*(1/((1+$F$5)^E$7))),0)), "")</f>
        <v/>
      </c>
      <c r="F31" s="27" t="str">
        <f>IF($A31&lt;&gt;"", (IF('2Replacement Costs - Entry'!U32="Y",((($B31*$D31)*((1+$B$5)^F$7))*(1/((1+$F$5)^F$7))),0)), "")</f>
        <v/>
      </c>
      <c r="G31" s="27" t="str">
        <f>IF($A31&lt;&gt;"", (IF('2Replacement Costs - Entry'!V32="Y",((($B31*$D31)*((1+$B$5)^G$7))*(1/((1+$F$5)^G$7))),0)), "")</f>
        <v/>
      </c>
      <c r="H31" s="27" t="str">
        <f>IF($A31&lt;&gt;"", (IF('2Replacement Costs - Entry'!W32="Y",((($B31*$D31)*((1+$B$5)^H$7))*(1/((1+$F$5)^H$7))),0)), "")</f>
        <v/>
      </c>
      <c r="I31" s="27" t="str">
        <f>IF($A31&lt;&gt;"", (IF('2Replacement Costs - Entry'!X32="Y",((($B31*$D31)*((1+$B$5)^I$7))*(1/((1+$F$5)^I$7))),0)), "")</f>
        <v/>
      </c>
    </row>
    <row r="32" spans="1:9">
      <c r="A32" s="29" t="str">
        <f>IF('2Capital Costs'!A33&lt;&gt;"", '2Capital Costs'!A33, "")</f>
        <v/>
      </c>
      <c r="B32" s="3" t="str">
        <f>IF('2Capital Costs'!B33&lt;&gt;"", '2Capital Costs'!B33, "")</f>
        <v/>
      </c>
      <c r="C32" s="46" t="str">
        <f>IF('2Capital Costs'!C33&lt;&gt;"", '2Capital Costs'!C33, "")</f>
        <v/>
      </c>
      <c r="D32" s="47" t="str">
        <f>IF('2Capital Costs'!D33&lt;&gt;"", '2Capital Costs'!D33, "")</f>
        <v/>
      </c>
      <c r="E32" s="27" t="str">
        <f>IF($A32&lt;&gt;"", (IF('2Replacement Costs - Entry'!T33="Y",((($B32*$D32)*((1+$B$5)^E$7))*(1/((1+$F$5)^E$7))),0)), "")</f>
        <v/>
      </c>
      <c r="F32" s="27" t="str">
        <f>IF($A32&lt;&gt;"", (IF('2Replacement Costs - Entry'!U33="Y",((($B32*$D32)*((1+$B$5)^F$7))*(1/((1+$F$5)^F$7))),0)), "")</f>
        <v/>
      </c>
      <c r="G32" s="27" t="str">
        <f>IF($A32&lt;&gt;"", (IF('2Replacement Costs - Entry'!V33="Y",((($B32*$D32)*((1+$B$5)^G$7))*(1/((1+$F$5)^G$7))),0)), "")</f>
        <v/>
      </c>
      <c r="H32" s="27" t="str">
        <f>IF($A32&lt;&gt;"", (IF('2Replacement Costs - Entry'!W33="Y",((($B32*$D32)*((1+$B$5)^H$7))*(1/((1+$F$5)^H$7))),0)), "")</f>
        <v/>
      </c>
      <c r="I32" s="27" t="str">
        <f>IF($A32&lt;&gt;"", (IF('2Replacement Costs - Entry'!X33="Y",((($B32*$D32)*((1+$B$5)^I$7))*(1/((1+$F$5)^I$7))),0)), "")</f>
        <v/>
      </c>
    </row>
    <row r="33" spans="1:9">
      <c r="A33" s="29" t="str">
        <f>IF('2Capital Costs'!A34&lt;&gt;"", '2Capital Costs'!A34, "")</f>
        <v/>
      </c>
      <c r="B33" s="3" t="str">
        <f>IF('2Capital Costs'!B34&lt;&gt;"", '2Capital Costs'!B34, "")</f>
        <v/>
      </c>
      <c r="C33" s="46" t="str">
        <f>IF('2Capital Costs'!C34&lt;&gt;"", '2Capital Costs'!C34, "")</f>
        <v/>
      </c>
      <c r="D33" s="47" t="str">
        <f>IF('2Capital Costs'!D34&lt;&gt;"", '2Capital Costs'!D34, "")</f>
        <v/>
      </c>
      <c r="E33" s="27" t="str">
        <f>IF($A33&lt;&gt;"", (IF('2Replacement Costs - Entry'!T34="Y",((($B33*$D33)*((1+$B$5)^E$7))*(1/((1+$F$5)^E$7))),0)), "")</f>
        <v/>
      </c>
      <c r="F33" s="27" t="str">
        <f>IF($A33&lt;&gt;"", (IF('2Replacement Costs - Entry'!U34="Y",((($B33*$D33)*((1+$B$5)^F$7))*(1/((1+$F$5)^F$7))),0)), "")</f>
        <v/>
      </c>
      <c r="G33" s="27" t="str">
        <f>IF($A33&lt;&gt;"", (IF('2Replacement Costs - Entry'!V34="Y",((($B33*$D33)*((1+$B$5)^G$7))*(1/((1+$F$5)^G$7))),0)), "")</f>
        <v/>
      </c>
      <c r="H33" s="27" t="str">
        <f>IF($A33&lt;&gt;"", (IF('2Replacement Costs - Entry'!W34="Y",((($B33*$D33)*((1+$B$5)^H$7))*(1/((1+$F$5)^H$7))),0)), "")</f>
        <v/>
      </c>
      <c r="I33" s="27" t="str">
        <f>IF($A33&lt;&gt;"", (IF('2Replacement Costs - Entry'!X34="Y",((($B33*$D33)*((1+$B$5)^I$7))*(1/((1+$F$5)^I$7))),0)), "")</f>
        <v/>
      </c>
    </row>
    <row r="34" spans="1:9">
      <c r="A34" s="29" t="str">
        <f>IF('2Capital Costs'!A35&lt;&gt;"", '2Capital Costs'!A35, "")</f>
        <v/>
      </c>
      <c r="B34" s="3" t="str">
        <f>IF('2Capital Costs'!B35&lt;&gt;"", '2Capital Costs'!B35, "")</f>
        <v/>
      </c>
      <c r="C34" s="46" t="str">
        <f>IF('2Capital Costs'!C35&lt;&gt;"", '2Capital Costs'!C35, "")</f>
        <v/>
      </c>
      <c r="D34" s="47" t="str">
        <f>IF('2Capital Costs'!D35&lt;&gt;"", '2Capital Costs'!D35, "")</f>
        <v/>
      </c>
      <c r="E34" s="27" t="str">
        <f>IF($A34&lt;&gt;"", (IF('2Replacement Costs - Entry'!T35="Y",((($B34*$D34)*((1+$B$5)^E$7))*(1/((1+$F$5)^E$7))),0)), "")</f>
        <v/>
      </c>
      <c r="F34" s="27" t="str">
        <f>IF($A34&lt;&gt;"", (IF('2Replacement Costs - Entry'!U35="Y",((($B34*$D34)*((1+$B$5)^F$7))*(1/((1+$F$5)^F$7))),0)), "")</f>
        <v/>
      </c>
      <c r="G34" s="27" t="str">
        <f>IF($A34&lt;&gt;"", (IF('2Replacement Costs - Entry'!V35="Y",((($B34*$D34)*((1+$B$5)^G$7))*(1/((1+$F$5)^G$7))),0)), "")</f>
        <v/>
      </c>
      <c r="H34" s="27" t="str">
        <f>IF($A34&lt;&gt;"", (IF('2Replacement Costs - Entry'!W35="Y",((($B34*$D34)*((1+$B$5)^H$7))*(1/((1+$F$5)^H$7))),0)), "")</f>
        <v/>
      </c>
      <c r="I34" s="27" t="str">
        <f>IF($A34&lt;&gt;"", (IF('2Replacement Costs - Entry'!X35="Y",((($B34*$D34)*((1+$B$5)^I$7))*(1/((1+$F$5)^I$7))),0)), "")</f>
        <v/>
      </c>
    </row>
    <row r="35" spans="1:9">
      <c r="A35" s="29" t="str">
        <f>IF('2Capital Costs'!A36&lt;&gt;"", '2Capital Costs'!A36, "")</f>
        <v/>
      </c>
      <c r="B35" s="3" t="str">
        <f>IF('2Capital Costs'!B36&lt;&gt;"", '2Capital Costs'!B36, "")</f>
        <v/>
      </c>
      <c r="C35" s="46" t="str">
        <f>IF('2Capital Costs'!C36&lt;&gt;"", '2Capital Costs'!C36, "")</f>
        <v/>
      </c>
      <c r="D35" s="47" t="str">
        <f>IF('2Capital Costs'!D36&lt;&gt;"", '2Capital Costs'!D36, "")</f>
        <v/>
      </c>
      <c r="E35" s="27" t="str">
        <f>IF($A35&lt;&gt;"", (IF('2Replacement Costs - Entry'!T36="Y",((($B35*$D35)*((1+$B$5)^E$7))*(1/((1+$F$5)^E$7))),0)), "")</f>
        <v/>
      </c>
      <c r="F35" s="27" t="str">
        <f>IF($A35&lt;&gt;"", (IF('2Replacement Costs - Entry'!U36="Y",((($B35*$D35)*((1+$B$5)^F$7))*(1/((1+$F$5)^F$7))),0)), "")</f>
        <v/>
      </c>
      <c r="G35" s="27" t="str">
        <f>IF($A35&lt;&gt;"", (IF('2Replacement Costs - Entry'!V36="Y",((($B35*$D35)*((1+$B$5)^G$7))*(1/((1+$F$5)^G$7))),0)), "")</f>
        <v/>
      </c>
      <c r="H35" s="27" t="str">
        <f>IF($A35&lt;&gt;"", (IF('2Replacement Costs - Entry'!W36="Y",((($B35*$D35)*((1+$B$5)^H$7))*(1/((1+$F$5)^H$7))),0)), "")</f>
        <v/>
      </c>
      <c r="I35" s="27" t="str">
        <f>IF($A35&lt;&gt;"", (IF('2Replacement Costs - Entry'!X36="Y",((($B35*$D35)*((1+$B$5)^I$7))*(1/((1+$F$5)^I$7))),0)), "")</f>
        <v/>
      </c>
    </row>
    <row r="36" spans="1:9">
      <c r="A36" s="29" t="str">
        <f>IF('2Capital Costs'!A37&lt;&gt;"", '2Capital Costs'!A37, "")</f>
        <v/>
      </c>
      <c r="B36" s="3" t="str">
        <f>IF('2Capital Costs'!B37&lt;&gt;"", '2Capital Costs'!B37, "")</f>
        <v/>
      </c>
      <c r="C36" s="46" t="str">
        <f>IF('2Capital Costs'!C37&lt;&gt;"", '2Capital Costs'!C37, "")</f>
        <v/>
      </c>
      <c r="D36" s="47" t="str">
        <f>IF('2Capital Costs'!D37&lt;&gt;"", '2Capital Costs'!D37, "")</f>
        <v/>
      </c>
      <c r="E36" s="27" t="str">
        <f>IF($A36&lt;&gt;"", (IF('2Replacement Costs - Entry'!T37="Y",((($B36*$D36)*((1+$B$5)^E$7))*(1/((1+$F$5)^E$7))),0)), "")</f>
        <v/>
      </c>
      <c r="F36" s="27" t="str">
        <f>IF($A36&lt;&gt;"", (IF('2Replacement Costs - Entry'!U37="Y",((($B36*$D36)*((1+$B$5)^F$7))*(1/((1+$F$5)^F$7))),0)), "")</f>
        <v/>
      </c>
      <c r="G36" s="27" t="str">
        <f>IF($A36&lt;&gt;"", (IF('2Replacement Costs - Entry'!V37="Y",((($B36*$D36)*((1+$B$5)^G$7))*(1/((1+$F$5)^G$7))),0)), "")</f>
        <v/>
      </c>
      <c r="H36" s="27" t="str">
        <f>IF($A36&lt;&gt;"", (IF('2Replacement Costs - Entry'!W37="Y",((($B36*$D36)*((1+$B$5)^H$7))*(1/((1+$F$5)^H$7))),0)), "")</f>
        <v/>
      </c>
      <c r="I36" s="27" t="str">
        <f>IF($A36&lt;&gt;"", (IF('2Replacement Costs - Entry'!X37="Y",((($B36*$D36)*((1+$B$5)^I$7))*(1/((1+$F$5)^I$7))),0)), "")</f>
        <v/>
      </c>
    </row>
    <row r="37" spans="1:9">
      <c r="A37" s="23"/>
      <c r="B37" s="23"/>
      <c r="C37" s="23"/>
      <c r="D37" s="36" t="s">
        <v>47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5" fitToWidth="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152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'2Capital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'2Replace Costs-Results 11-15'!A5</f>
        <v>Current Inflation Rate based on Construction Cost Index:</v>
      </c>
      <c r="B5" s="69">
        <f>'2Replace Costs-Results 11-15'!B5</f>
        <v>2.0671834625323047E-2</v>
      </c>
      <c r="C5" s="67"/>
      <c r="D5" s="67"/>
      <c r="E5" s="70" t="s">
        <v>43</v>
      </c>
      <c r="F5" s="72">
        <f>'2Replace Costs-Results 11-15'!F5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16</v>
      </c>
      <c r="F7" s="26">
        <v>17</v>
      </c>
      <c r="G7" s="26">
        <v>18</v>
      </c>
      <c r="H7" s="26">
        <v>19</v>
      </c>
      <c r="I7" s="26">
        <v>20</v>
      </c>
    </row>
    <row r="8" spans="1:9">
      <c r="A8" s="29" t="str">
        <f>IF('2Capital Costs'!A9&lt;&gt;"", '2Capital Costs'!A9, "")</f>
        <v/>
      </c>
      <c r="B8" s="3" t="str">
        <f>IF('2Capital Costs'!B9&lt;&gt;"", '2Capital Costs'!B9, "")</f>
        <v/>
      </c>
      <c r="C8" s="46" t="str">
        <f>IF('2Capital Costs'!C9&lt;&gt;"", '2Capital Costs'!C9, "")</f>
        <v/>
      </c>
      <c r="D8" s="47" t="str">
        <f>IF('2Capital Costs'!D9&lt;&gt;"", '2Capital Costs'!D9, "")</f>
        <v/>
      </c>
      <c r="E8" s="27" t="str">
        <f>IF($A8&lt;&gt;"", (IF('2Replacement Costs - Entry'!Y9="Y",((($B8*$D8)*((1+$B$5)^E$7))*(1/((1+$F$5)^E$7))),0)), "")</f>
        <v/>
      </c>
      <c r="F8" s="27" t="str">
        <f>IF($A8&lt;&gt;"", (IF('2Replacement Costs - Entry'!Z9="Y",((($B8*$D8)*((1+$B$5)^F$7))*(1/((1+$F$5)^F$7))),0)), "")</f>
        <v/>
      </c>
      <c r="G8" s="27" t="str">
        <f>IF($A8&lt;&gt;"", (IF('2Replacement Costs - Entry'!AA9="Y",((($B8*$D8)*((1+$B$5)^G$7))*(1/((1+$F$5)^G$7))),0)), "")</f>
        <v/>
      </c>
      <c r="H8" s="27" t="str">
        <f>IF($A8&lt;&gt;"", (IF('2Replacement Costs - Entry'!AB9="Y",((($B8*$D8)*((1+$B$5)^H$7))*(1/((1+$F$5)^H$7))),0)), "")</f>
        <v/>
      </c>
      <c r="I8" s="27" t="str">
        <f>IF($A8&lt;&gt;"", (IF('2Replacement Costs - Entry'!AC9="Y",((($B8*$D8)*((1+$B$5)^I$7))*(1/((1+$F$5)^I$7))),0)), "")</f>
        <v/>
      </c>
    </row>
    <row r="9" spans="1:9">
      <c r="A9" s="29" t="str">
        <f>IF('2Capital Costs'!A10&lt;&gt;"", '2Capital Costs'!A10, "")</f>
        <v/>
      </c>
      <c r="B9" s="3" t="str">
        <f>IF('2Capital Costs'!B10&lt;&gt;"", '2Capital Costs'!B10, "")</f>
        <v/>
      </c>
      <c r="C9" s="46" t="str">
        <f>IF('2Capital Costs'!C10&lt;&gt;"", '2Capital Costs'!C10, "")</f>
        <v/>
      </c>
      <c r="D9" s="47" t="str">
        <f>IF('2Capital Costs'!D10&lt;&gt;"", '2Capital Costs'!D10, "")</f>
        <v/>
      </c>
      <c r="E9" s="27" t="str">
        <f>IF($A9&lt;&gt;"", (IF('2Replacement Costs - Entry'!Y10="Y",((($B9*$D9)*((1+$B$5)^E$7))*(1/((1+$F$5)^E$7))),0)), "")</f>
        <v/>
      </c>
      <c r="F9" s="27" t="str">
        <f>IF($A9&lt;&gt;"", (IF('2Replacement Costs - Entry'!Z10="Y",((($B9*$D9)*((1+$B$5)^F$7))*(1/((1+$F$5)^F$7))),0)), "")</f>
        <v/>
      </c>
      <c r="G9" s="27" t="str">
        <f>IF($A9&lt;&gt;"", (IF('2Replacement Costs - Entry'!AA10="Y",((($B9*$D9)*((1+$B$5)^G$7))*(1/((1+$F$5)^G$7))),0)), "")</f>
        <v/>
      </c>
      <c r="H9" s="27" t="str">
        <f>IF($A9&lt;&gt;"", (IF('2Replacement Costs - Entry'!AB10="Y",((($B9*$D9)*((1+$B$5)^H$7))*(1/((1+$F$5)^H$7))),0)), "")</f>
        <v/>
      </c>
      <c r="I9" s="27" t="str">
        <f>IF($A9&lt;&gt;"", (IF('2Replacement Costs - Entry'!AC10="Y",((($B9*$D9)*((1+$B$5)^I$7))*(1/((1+$F$5)^I$7))),0)), "")</f>
        <v/>
      </c>
    </row>
    <row r="10" spans="1:9">
      <c r="A10" s="29" t="str">
        <f>IF('2Capital Costs'!A11&lt;&gt;"", '2Capital Costs'!A11, "")</f>
        <v/>
      </c>
      <c r="B10" s="3" t="str">
        <f>IF('2Capital Costs'!B11&lt;&gt;"", '2Capital Costs'!B11, "")</f>
        <v/>
      </c>
      <c r="C10" s="46" t="str">
        <f>IF('2Capital Costs'!C11&lt;&gt;"", '2Capital Costs'!C11, "")</f>
        <v/>
      </c>
      <c r="D10" s="47" t="str">
        <f>IF('2Capital Costs'!D11&lt;&gt;"", '2Capital Costs'!D11, "")</f>
        <v/>
      </c>
      <c r="E10" s="27" t="str">
        <f>IF($A10&lt;&gt;"", (IF('2Replacement Costs - Entry'!Y11="Y",((($B10*$D10)*((1+$B$5)^E$7))*(1/((1+$F$5)^E$7))),0)), "")</f>
        <v/>
      </c>
      <c r="F10" s="27" t="str">
        <f>IF($A10&lt;&gt;"", (IF('2Replacement Costs - Entry'!Z11="Y",((($B10*$D10)*((1+$B$5)^F$7))*(1/((1+$F$5)^F$7))),0)), "")</f>
        <v/>
      </c>
      <c r="G10" s="27" t="str">
        <f>IF($A10&lt;&gt;"", (IF('2Replacement Costs - Entry'!AA11="Y",((($B10*$D10)*((1+$B$5)^G$7))*(1/((1+$F$5)^G$7))),0)), "")</f>
        <v/>
      </c>
      <c r="H10" s="27" t="str">
        <f>IF($A10&lt;&gt;"", (IF('2Replacement Costs - Entry'!AB11="Y",((($B10*$D10)*((1+$B$5)^H$7))*(1/((1+$F$5)^H$7))),0)), "")</f>
        <v/>
      </c>
      <c r="I10" s="27" t="str">
        <f>IF($A10&lt;&gt;"", (IF('2Replacement Costs - Entry'!AC11="Y",((($B10*$D10)*((1+$B$5)^I$7))*(1/((1+$F$5)^I$7))),0)), "")</f>
        <v/>
      </c>
    </row>
    <row r="11" spans="1:9">
      <c r="A11" s="29" t="str">
        <f>IF('2Capital Costs'!A12&lt;&gt;"", '2Capital Costs'!A12, "")</f>
        <v/>
      </c>
      <c r="B11" s="3" t="str">
        <f>IF('2Capital Costs'!B12&lt;&gt;"", '2Capital Costs'!B12, "")</f>
        <v/>
      </c>
      <c r="C11" s="46" t="str">
        <f>IF('2Capital Costs'!C12&lt;&gt;"", '2Capital Costs'!C12, "")</f>
        <v/>
      </c>
      <c r="D11" s="47" t="str">
        <f>IF('2Capital Costs'!D12&lt;&gt;"", '2Capital Costs'!D12, "")</f>
        <v/>
      </c>
      <c r="E11" s="27" t="str">
        <f>IF($A11&lt;&gt;"", (IF('2Replacement Costs - Entry'!Y12="Y",((($B11*$D11)*((1+$B$5)^E$7))*(1/((1+$F$5)^E$7))),0)), "")</f>
        <v/>
      </c>
      <c r="F11" s="27" t="str">
        <f>IF($A11&lt;&gt;"", (IF('2Replacement Costs - Entry'!Z12="Y",((($B11*$D11)*((1+$B$5)^F$7))*(1/((1+$F$5)^F$7))),0)), "")</f>
        <v/>
      </c>
      <c r="G11" s="27" t="str">
        <f>IF($A11&lt;&gt;"", (IF('2Replacement Costs - Entry'!AA12="Y",((($B11*$D11)*((1+$B$5)^G$7))*(1/((1+$F$5)^G$7))),0)), "")</f>
        <v/>
      </c>
      <c r="H11" s="27" t="str">
        <f>IF($A11&lt;&gt;"", (IF('2Replacement Costs - Entry'!AB12="Y",((($B11*$D11)*((1+$B$5)^H$7))*(1/((1+$F$5)^H$7))),0)), "")</f>
        <v/>
      </c>
      <c r="I11" s="27" t="str">
        <f>IF($A11&lt;&gt;"", (IF('2Replacement Costs - Entry'!AC12="Y",((($B11*$D11)*((1+$B$5)^I$7))*(1/((1+$F$5)^I$7))),0)), "")</f>
        <v/>
      </c>
    </row>
    <row r="12" spans="1:9">
      <c r="A12" s="29" t="str">
        <f>IF('2Capital Costs'!A13&lt;&gt;"", '2Capital Costs'!A13, "")</f>
        <v/>
      </c>
      <c r="B12" s="3" t="str">
        <f>IF('2Capital Costs'!B13&lt;&gt;"", '2Capital Costs'!B13, "")</f>
        <v/>
      </c>
      <c r="C12" s="46" t="str">
        <f>IF('2Capital Costs'!C13&lt;&gt;"", '2Capital Costs'!C13, "")</f>
        <v/>
      </c>
      <c r="D12" s="47" t="str">
        <f>IF('2Capital Costs'!D13&lt;&gt;"", '2Capital Costs'!D13, "")</f>
        <v/>
      </c>
      <c r="E12" s="27" t="str">
        <f>IF($A12&lt;&gt;"", (IF('2Replacement Costs - Entry'!Y13="Y",((($B12*$D12)*((1+$B$5)^E$7))*(1/((1+$F$5)^E$7))),0)), "")</f>
        <v/>
      </c>
      <c r="F12" s="27" t="str">
        <f>IF($A12&lt;&gt;"", (IF('2Replacement Costs - Entry'!Z13="Y",((($B12*$D12)*((1+$B$5)^F$7))*(1/((1+$F$5)^F$7))),0)), "")</f>
        <v/>
      </c>
      <c r="G12" s="27" t="str">
        <f>IF($A12&lt;&gt;"", (IF('2Replacement Costs - Entry'!AA13="Y",((($B12*$D12)*((1+$B$5)^G$7))*(1/((1+$F$5)^G$7))),0)), "")</f>
        <v/>
      </c>
      <c r="H12" s="27" t="str">
        <f>IF($A12&lt;&gt;"", (IF('2Replacement Costs - Entry'!AB13="Y",((($B12*$D12)*((1+$B$5)^H$7))*(1/((1+$F$5)^H$7))),0)), "")</f>
        <v/>
      </c>
      <c r="I12" s="27" t="str">
        <f>IF($A12&lt;&gt;"", (IF('2Replacement Costs - Entry'!AC13="Y",((($B12*$D12)*((1+$B$5)^I$7))*(1/((1+$F$5)^I$7))),0)), "")</f>
        <v/>
      </c>
    </row>
    <row r="13" spans="1:9">
      <c r="A13" s="29" t="str">
        <f>IF('2Capital Costs'!A14&lt;&gt;"", '2Capital Costs'!A14, "")</f>
        <v/>
      </c>
      <c r="B13" s="3" t="str">
        <f>IF('2Capital Costs'!B14&lt;&gt;"", '2Capital Costs'!B14, "")</f>
        <v/>
      </c>
      <c r="C13" s="46" t="str">
        <f>IF('2Capital Costs'!C14&lt;&gt;"", '2Capital Costs'!C14, "")</f>
        <v/>
      </c>
      <c r="D13" s="47" t="str">
        <f>IF('2Capital Costs'!D14&lt;&gt;"", '2Capital Costs'!D14, "")</f>
        <v/>
      </c>
      <c r="E13" s="27" t="str">
        <f>IF($A13&lt;&gt;"", (IF('2Replacement Costs - Entry'!Y14="Y",((($B13*$D13)*((1+$B$5)^E$7))*(1/((1+$F$5)^E$7))),0)), "")</f>
        <v/>
      </c>
      <c r="F13" s="27" t="str">
        <f>IF($A13&lt;&gt;"", (IF('2Replacement Costs - Entry'!Z14="Y",((($B13*$D13)*((1+$B$5)^F$7))*(1/((1+$F$5)^F$7))),0)), "")</f>
        <v/>
      </c>
      <c r="G13" s="27" t="str">
        <f>IF($A13&lt;&gt;"", (IF('2Replacement Costs - Entry'!AA14="Y",((($B13*$D13)*((1+$B$5)^G$7))*(1/((1+$F$5)^G$7))),0)), "")</f>
        <v/>
      </c>
      <c r="H13" s="27" t="str">
        <f>IF($A13&lt;&gt;"", (IF('2Replacement Costs - Entry'!AB14="Y",((($B13*$D13)*((1+$B$5)^H$7))*(1/((1+$F$5)^H$7))),0)), "")</f>
        <v/>
      </c>
      <c r="I13" s="27" t="str">
        <f>IF($A13&lt;&gt;"", (IF('2Replacement Costs - Entry'!AC14="Y",((($B13*$D13)*((1+$B$5)^I$7))*(1/((1+$F$5)^I$7))),0)), "")</f>
        <v/>
      </c>
    </row>
    <row r="14" spans="1:9">
      <c r="A14" s="29" t="str">
        <f>IF('2Capital Costs'!A15&lt;&gt;"", '2Capital Costs'!A15, "")</f>
        <v/>
      </c>
      <c r="B14" s="3" t="str">
        <f>IF('2Capital Costs'!B15&lt;&gt;"", '2Capital Costs'!B15, "")</f>
        <v/>
      </c>
      <c r="C14" s="46" t="str">
        <f>IF('2Capital Costs'!C15&lt;&gt;"", '2Capital Costs'!C15, "")</f>
        <v/>
      </c>
      <c r="D14" s="47" t="str">
        <f>IF('2Capital Costs'!D15&lt;&gt;"", '2Capital Costs'!D15, "")</f>
        <v/>
      </c>
      <c r="E14" s="27" t="str">
        <f>IF($A14&lt;&gt;"", (IF('2Replacement Costs - Entry'!Y15="Y",((($B14*$D14)*((1+$B$5)^E$7))*(1/((1+$F$5)^E$7))),0)), "")</f>
        <v/>
      </c>
      <c r="F14" s="27" t="str">
        <f>IF($A14&lt;&gt;"", (IF('2Replacement Costs - Entry'!Z15="Y",((($B14*$D14)*((1+$B$5)^F$7))*(1/((1+$F$5)^F$7))),0)), "")</f>
        <v/>
      </c>
      <c r="G14" s="27" t="str">
        <f>IF($A14&lt;&gt;"", (IF('2Replacement Costs - Entry'!AA15="Y",((($B14*$D14)*((1+$B$5)^G$7))*(1/((1+$F$5)^G$7))),0)), "")</f>
        <v/>
      </c>
      <c r="H14" s="27" t="str">
        <f>IF($A14&lt;&gt;"", (IF('2Replacement Costs - Entry'!AB15="Y",((($B14*$D14)*((1+$B$5)^H$7))*(1/((1+$F$5)^H$7))),0)), "")</f>
        <v/>
      </c>
      <c r="I14" s="27" t="str">
        <f>IF($A14&lt;&gt;"", (IF('2Replacement Costs - Entry'!AC15="Y",((($B14*$D14)*((1+$B$5)^I$7))*(1/((1+$F$5)^I$7))),0)), "")</f>
        <v/>
      </c>
    </row>
    <row r="15" spans="1:9">
      <c r="A15" s="29" t="str">
        <f>IF('2Capital Costs'!A16&lt;&gt;"", '2Capital Costs'!A16, "")</f>
        <v/>
      </c>
      <c r="B15" s="3" t="str">
        <f>IF('2Capital Costs'!B16&lt;&gt;"", '2Capital Costs'!B16, "")</f>
        <v/>
      </c>
      <c r="C15" s="46" t="str">
        <f>IF('2Capital Costs'!C16&lt;&gt;"", '2Capital Costs'!C16, "")</f>
        <v/>
      </c>
      <c r="D15" s="47" t="str">
        <f>IF('2Capital Costs'!D16&lt;&gt;"", '2Capital Costs'!D16, "")</f>
        <v/>
      </c>
      <c r="E15" s="27" t="str">
        <f>IF($A15&lt;&gt;"", (IF('2Replacement Costs - Entry'!Y16="Y",((($B15*$D15)*((1+$B$5)^E$7))*(1/((1+$F$5)^E$7))),0)), "")</f>
        <v/>
      </c>
      <c r="F15" s="27" t="str">
        <f>IF($A15&lt;&gt;"", (IF('2Replacement Costs - Entry'!Z16="Y",((($B15*$D15)*((1+$B$5)^F$7))*(1/((1+$F$5)^F$7))),0)), "")</f>
        <v/>
      </c>
      <c r="G15" s="27" t="str">
        <f>IF($A15&lt;&gt;"", (IF('2Replacement Costs - Entry'!AA16="Y",((($B15*$D15)*((1+$B$5)^G$7))*(1/((1+$F$5)^G$7))),0)), "")</f>
        <v/>
      </c>
      <c r="H15" s="27" t="str">
        <f>IF($A15&lt;&gt;"", (IF('2Replacement Costs - Entry'!AB16="Y",((($B15*$D15)*((1+$B$5)^H$7))*(1/((1+$F$5)^H$7))),0)), "")</f>
        <v/>
      </c>
      <c r="I15" s="27" t="str">
        <f>IF($A15&lt;&gt;"", (IF('2Replacement Costs - Entry'!AC16="Y",((($B15*$D15)*((1+$B$5)^I$7))*(1/((1+$F$5)^I$7))),0)), "")</f>
        <v/>
      </c>
    </row>
    <row r="16" spans="1:9">
      <c r="A16" s="29" t="str">
        <f>IF('2Capital Costs'!A17&lt;&gt;"", '2Capital Costs'!A17, "")</f>
        <v/>
      </c>
      <c r="B16" s="3" t="str">
        <f>IF('2Capital Costs'!B17&lt;&gt;"", '2Capital Costs'!B17, "")</f>
        <v/>
      </c>
      <c r="C16" s="46" t="str">
        <f>IF('2Capital Costs'!C17&lt;&gt;"", '2Capital Costs'!C17, "")</f>
        <v/>
      </c>
      <c r="D16" s="47" t="str">
        <f>IF('2Capital Costs'!D17&lt;&gt;"", '2Capital Costs'!D17, "")</f>
        <v/>
      </c>
      <c r="E16" s="27" t="str">
        <f>IF($A16&lt;&gt;"", (IF('2Replacement Costs - Entry'!Y17="Y",((($B16*$D16)*((1+$B$5)^E$7))*(1/((1+$F$5)^E$7))),0)), "")</f>
        <v/>
      </c>
      <c r="F16" s="27" t="str">
        <f>IF($A16&lt;&gt;"", (IF('2Replacement Costs - Entry'!Z17="Y",((($B16*$D16)*((1+$B$5)^F$7))*(1/((1+$F$5)^F$7))),0)), "")</f>
        <v/>
      </c>
      <c r="G16" s="27" t="str">
        <f>IF($A16&lt;&gt;"", (IF('2Replacement Costs - Entry'!AA17="Y",((($B16*$D16)*((1+$B$5)^G$7))*(1/((1+$F$5)^G$7))),0)), "")</f>
        <v/>
      </c>
      <c r="H16" s="27" t="str">
        <f>IF($A16&lt;&gt;"", (IF('2Replacement Costs - Entry'!AB17="Y",((($B16*$D16)*((1+$B$5)^H$7))*(1/((1+$F$5)^H$7))),0)), "")</f>
        <v/>
      </c>
      <c r="I16" s="27" t="str">
        <f>IF($A16&lt;&gt;"", (IF('2Replacement Costs - Entry'!AC17="Y",((($B16*$D16)*((1+$B$5)^I$7))*(1/((1+$F$5)^I$7))),0)), "")</f>
        <v/>
      </c>
    </row>
    <row r="17" spans="1:9">
      <c r="A17" s="29" t="str">
        <f>IF('2Capital Costs'!A18&lt;&gt;"", '2Capital Costs'!A18, "")</f>
        <v/>
      </c>
      <c r="B17" s="3" t="str">
        <f>IF('2Capital Costs'!B18&lt;&gt;"", '2Capital Costs'!B18, "")</f>
        <v/>
      </c>
      <c r="C17" s="46" t="str">
        <f>IF('2Capital Costs'!C18&lt;&gt;"", '2Capital Costs'!C18, "")</f>
        <v/>
      </c>
      <c r="D17" s="47" t="str">
        <f>IF('2Capital Costs'!D18&lt;&gt;"", '2Capital Costs'!D18, "")</f>
        <v/>
      </c>
      <c r="E17" s="27" t="str">
        <f>IF($A17&lt;&gt;"", (IF('2Replacement Costs - Entry'!Y18="Y",((($B17*$D17)*((1+$B$5)^E$7))*(1/((1+$F$5)^E$7))),0)), "")</f>
        <v/>
      </c>
      <c r="F17" s="27" t="str">
        <f>IF($A17&lt;&gt;"", (IF('2Replacement Costs - Entry'!Z18="Y",((($B17*$D17)*((1+$B$5)^F$7))*(1/((1+$F$5)^F$7))),0)), "")</f>
        <v/>
      </c>
      <c r="G17" s="27" t="str">
        <f>IF($A17&lt;&gt;"", (IF('2Replacement Costs - Entry'!AA18="Y",((($B17*$D17)*((1+$B$5)^G$7))*(1/((1+$F$5)^G$7))),0)), "")</f>
        <v/>
      </c>
      <c r="H17" s="27" t="str">
        <f>IF($A17&lt;&gt;"", (IF('2Replacement Costs - Entry'!AB18="Y",((($B17*$D17)*((1+$B$5)^H$7))*(1/((1+$F$5)^H$7))),0)), "")</f>
        <v/>
      </c>
      <c r="I17" s="27" t="str">
        <f>IF($A17&lt;&gt;"", (IF('2Replacement Costs - Entry'!AC18="Y",((($B17*$D17)*((1+$B$5)^I$7))*(1/((1+$F$5)^I$7))),0)), "")</f>
        <v/>
      </c>
    </row>
    <row r="18" spans="1:9">
      <c r="A18" s="29" t="str">
        <f>IF('2Capital Costs'!A19&lt;&gt;"", '2Capital Costs'!A19, "")</f>
        <v/>
      </c>
      <c r="B18" s="3" t="str">
        <f>IF('2Capital Costs'!B19&lt;&gt;"", '2Capital Costs'!B19, "")</f>
        <v/>
      </c>
      <c r="C18" s="46" t="str">
        <f>IF('2Capital Costs'!C19&lt;&gt;"", '2Capital Costs'!C19, "")</f>
        <v/>
      </c>
      <c r="D18" s="47" t="str">
        <f>IF('2Capital Costs'!D19&lt;&gt;"", '2Capital Costs'!D19, "")</f>
        <v/>
      </c>
      <c r="E18" s="27" t="str">
        <f>IF($A18&lt;&gt;"", (IF('2Replacement Costs - Entry'!Y19="Y",((($B18*$D18)*((1+$B$5)^E$7))*(1/((1+$F$5)^E$7))),0)), "")</f>
        <v/>
      </c>
      <c r="F18" s="27" t="str">
        <f>IF($A18&lt;&gt;"", (IF('2Replacement Costs - Entry'!Z19="Y",((($B18*$D18)*((1+$B$5)^F$7))*(1/((1+$F$5)^F$7))),0)), "")</f>
        <v/>
      </c>
      <c r="G18" s="27" t="str">
        <f>IF($A18&lt;&gt;"", (IF('2Replacement Costs - Entry'!AA19="Y",((($B18*$D18)*((1+$B$5)^G$7))*(1/((1+$F$5)^G$7))),0)), "")</f>
        <v/>
      </c>
      <c r="H18" s="27" t="str">
        <f>IF($A18&lt;&gt;"", (IF('2Replacement Costs - Entry'!AB19="Y",((($B18*$D18)*((1+$B$5)^H$7))*(1/((1+$F$5)^H$7))),0)), "")</f>
        <v/>
      </c>
      <c r="I18" s="27" t="str">
        <f>IF($A18&lt;&gt;"", (IF('2Replacement Costs - Entry'!AC19="Y",((($B18*$D18)*((1+$B$5)^I$7))*(1/((1+$F$5)^I$7))),0)), "")</f>
        <v/>
      </c>
    </row>
    <row r="19" spans="1:9">
      <c r="A19" s="29" t="str">
        <f>IF('2Capital Costs'!A20&lt;&gt;"", '2Capital Costs'!A20, "")</f>
        <v/>
      </c>
      <c r="B19" s="3" t="str">
        <f>IF('2Capital Costs'!B20&lt;&gt;"", '2Capital Costs'!B20, "")</f>
        <v/>
      </c>
      <c r="C19" s="46" t="str">
        <f>IF('2Capital Costs'!C20&lt;&gt;"", '2Capital Costs'!C20, "")</f>
        <v/>
      </c>
      <c r="D19" s="47" t="str">
        <f>IF('2Capital Costs'!D20&lt;&gt;"", '2Capital Costs'!D20, "")</f>
        <v/>
      </c>
      <c r="E19" s="27" t="str">
        <f>IF($A19&lt;&gt;"", (IF('2Replacement Costs - Entry'!Y20="Y",((($B19*$D19)*((1+$B$5)^E$7))*(1/((1+$F$5)^E$7))),0)), "")</f>
        <v/>
      </c>
      <c r="F19" s="27" t="str">
        <f>IF($A19&lt;&gt;"", (IF('2Replacement Costs - Entry'!Z20="Y",((($B19*$D19)*((1+$B$5)^F$7))*(1/((1+$F$5)^F$7))),0)), "")</f>
        <v/>
      </c>
      <c r="G19" s="27" t="str">
        <f>IF($A19&lt;&gt;"", (IF('2Replacement Costs - Entry'!AA20="Y",((($B19*$D19)*((1+$B$5)^G$7))*(1/((1+$F$5)^G$7))),0)), "")</f>
        <v/>
      </c>
      <c r="H19" s="27" t="str">
        <f>IF($A19&lt;&gt;"", (IF('2Replacement Costs - Entry'!AB20="Y",((($B19*$D19)*((1+$B$5)^H$7))*(1/((1+$F$5)^H$7))),0)), "")</f>
        <v/>
      </c>
      <c r="I19" s="27" t="str">
        <f>IF($A19&lt;&gt;"", (IF('2Replacement Costs - Entry'!AC20="Y",((($B19*$D19)*((1+$B$5)^I$7))*(1/((1+$F$5)^I$7))),0)), "")</f>
        <v/>
      </c>
    </row>
    <row r="20" spans="1:9">
      <c r="A20" s="29" t="str">
        <f>IF('2Capital Costs'!A21&lt;&gt;"", '2Capital Costs'!A21, "")</f>
        <v/>
      </c>
      <c r="B20" s="3" t="str">
        <f>IF('2Capital Costs'!B21&lt;&gt;"", '2Capital Costs'!B21, "")</f>
        <v/>
      </c>
      <c r="C20" s="46" t="str">
        <f>IF('2Capital Costs'!C21&lt;&gt;"", '2Capital Costs'!C21, "")</f>
        <v/>
      </c>
      <c r="D20" s="47" t="str">
        <f>IF('2Capital Costs'!D21&lt;&gt;"", '2Capital Costs'!D21, "")</f>
        <v/>
      </c>
      <c r="E20" s="27" t="str">
        <f>IF($A20&lt;&gt;"", (IF('2Replacement Costs - Entry'!Y21="Y",((($B20*$D20)*((1+$B$5)^E$7))*(1/((1+$F$5)^E$7))),0)), "")</f>
        <v/>
      </c>
      <c r="F20" s="27" t="str">
        <f>IF($A20&lt;&gt;"", (IF('2Replacement Costs - Entry'!Z21="Y",((($B20*$D20)*((1+$B$5)^F$7))*(1/((1+$F$5)^F$7))),0)), "")</f>
        <v/>
      </c>
      <c r="G20" s="27" t="str">
        <f>IF($A20&lt;&gt;"", (IF('2Replacement Costs - Entry'!AA21="Y",((($B20*$D20)*((1+$B$5)^G$7))*(1/((1+$F$5)^G$7))),0)), "")</f>
        <v/>
      </c>
      <c r="H20" s="27" t="str">
        <f>IF($A20&lt;&gt;"", (IF('2Replacement Costs - Entry'!AB21="Y",((($B20*$D20)*((1+$B$5)^H$7))*(1/((1+$F$5)^H$7))),0)), "")</f>
        <v/>
      </c>
      <c r="I20" s="27" t="str">
        <f>IF($A20&lt;&gt;"", (IF('2Replacement Costs - Entry'!AC21="Y",((($B20*$D20)*((1+$B$5)^I$7))*(1/((1+$F$5)^I$7))),0)), "")</f>
        <v/>
      </c>
    </row>
    <row r="21" spans="1:9">
      <c r="A21" s="29" t="str">
        <f>IF('2Capital Costs'!A22&lt;&gt;"", '2Capital Costs'!A22, "")</f>
        <v/>
      </c>
      <c r="B21" s="3" t="str">
        <f>IF('2Capital Costs'!B22&lt;&gt;"", '2Capital Costs'!B22, "")</f>
        <v/>
      </c>
      <c r="C21" s="46" t="str">
        <f>IF('2Capital Costs'!C22&lt;&gt;"", '2Capital Costs'!C22, "")</f>
        <v/>
      </c>
      <c r="D21" s="47" t="str">
        <f>IF('2Capital Costs'!D22&lt;&gt;"", '2Capital Costs'!D22, "")</f>
        <v/>
      </c>
      <c r="E21" s="27" t="str">
        <f>IF($A21&lt;&gt;"", (IF('2Replacement Costs - Entry'!Y22="Y",((($B21*$D21)*((1+$B$5)^E$7))*(1/((1+$F$5)^E$7))),0)), "")</f>
        <v/>
      </c>
      <c r="F21" s="27" t="str">
        <f>IF($A21&lt;&gt;"", (IF('2Replacement Costs - Entry'!Z22="Y",((($B21*$D21)*((1+$B$5)^F$7))*(1/((1+$F$5)^F$7))),0)), "")</f>
        <v/>
      </c>
      <c r="G21" s="27" t="str">
        <f>IF($A21&lt;&gt;"", (IF('2Replacement Costs - Entry'!AA22="Y",((($B21*$D21)*((1+$B$5)^G$7))*(1/((1+$F$5)^G$7))),0)), "")</f>
        <v/>
      </c>
      <c r="H21" s="27" t="str">
        <f>IF($A21&lt;&gt;"", (IF('2Replacement Costs - Entry'!AB22="Y",((($B21*$D21)*((1+$B$5)^H$7))*(1/((1+$F$5)^H$7))),0)), "")</f>
        <v/>
      </c>
      <c r="I21" s="27" t="str">
        <f>IF($A21&lt;&gt;"", (IF('2Replacement Costs - Entry'!AC22="Y",((($B21*$D21)*((1+$B$5)^I$7))*(1/((1+$F$5)^I$7))),0)), "")</f>
        <v/>
      </c>
    </row>
    <row r="22" spans="1:9">
      <c r="A22" s="29" t="str">
        <f>IF('2Capital Costs'!A23&lt;&gt;"", '2Capital Costs'!A23, "")</f>
        <v/>
      </c>
      <c r="B22" s="3" t="str">
        <f>IF('2Capital Costs'!B23&lt;&gt;"", '2Capital Costs'!B23, "")</f>
        <v/>
      </c>
      <c r="C22" s="46" t="str">
        <f>IF('2Capital Costs'!C23&lt;&gt;"", '2Capital Costs'!C23, "")</f>
        <v/>
      </c>
      <c r="D22" s="47" t="str">
        <f>IF('2Capital Costs'!D23&lt;&gt;"", '2Capital Costs'!D23, "")</f>
        <v/>
      </c>
      <c r="E22" s="27" t="str">
        <f>IF($A22&lt;&gt;"", (IF('2Replacement Costs - Entry'!Y23="Y",((($B22*$D22)*((1+$B$5)^E$7))*(1/((1+$F$5)^E$7))),0)), "")</f>
        <v/>
      </c>
      <c r="F22" s="27" t="str">
        <f>IF($A22&lt;&gt;"", (IF('2Replacement Costs - Entry'!Z23="Y",((($B22*$D22)*((1+$B$5)^F$7))*(1/((1+$F$5)^F$7))),0)), "")</f>
        <v/>
      </c>
      <c r="G22" s="27" t="str">
        <f>IF($A22&lt;&gt;"", (IF('2Replacement Costs - Entry'!AA23="Y",((($B22*$D22)*((1+$B$5)^G$7))*(1/((1+$F$5)^G$7))),0)), "")</f>
        <v/>
      </c>
      <c r="H22" s="27" t="str">
        <f>IF($A22&lt;&gt;"", (IF('2Replacement Costs - Entry'!AB23="Y",((($B22*$D22)*((1+$B$5)^H$7))*(1/((1+$F$5)^H$7))),0)), "")</f>
        <v/>
      </c>
      <c r="I22" s="27" t="str">
        <f>IF($A22&lt;&gt;"", (IF('2Replacement Costs - Entry'!AC23="Y",((($B22*$D22)*((1+$B$5)^I$7))*(1/((1+$F$5)^I$7))),0)), "")</f>
        <v/>
      </c>
    </row>
    <row r="23" spans="1:9">
      <c r="A23" s="29" t="str">
        <f>IF('2Capital Costs'!A24&lt;&gt;"", '2Capital Costs'!A24, "")</f>
        <v/>
      </c>
      <c r="B23" s="3" t="str">
        <f>IF('2Capital Costs'!B24&lt;&gt;"", '2Capital Costs'!B24, "")</f>
        <v/>
      </c>
      <c r="C23" s="46" t="str">
        <f>IF('2Capital Costs'!C24&lt;&gt;"", '2Capital Costs'!C24, "")</f>
        <v/>
      </c>
      <c r="D23" s="47" t="str">
        <f>IF('2Capital Costs'!D24&lt;&gt;"", '2Capital Costs'!D24, "")</f>
        <v/>
      </c>
      <c r="E23" s="27" t="str">
        <f>IF($A23&lt;&gt;"", (IF('2Replacement Costs - Entry'!Y24="Y",((($B23*$D23)*((1+$B$5)^E$7))*(1/((1+$F$5)^E$7))),0)), "")</f>
        <v/>
      </c>
      <c r="F23" s="27" t="str">
        <f>IF($A23&lt;&gt;"", (IF('2Replacement Costs - Entry'!Z24="Y",((($B23*$D23)*((1+$B$5)^F$7))*(1/((1+$F$5)^F$7))),0)), "")</f>
        <v/>
      </c>
      <c r="G23" s="27" t="str">
        <f>IF($A23&lt;&gt;"", (IF('2Replacement Costs - Entry'!AA24="Y",((($B23*$D23)*((1+$B$5)^G$7))*(1/((1+$F$5)^G$7))),0)), "")</f>
        <v/>
      </c>
      <c r="H23" s="27" t="str">
        <f>IF($A23&lt;&gt;"", (IF('2Replacement Costs - Entry'!AB24="Y",((($B23*$D23)*((1+$B$5)^H$7))*(1/((1+$F$5)^H$7))),0)), "")</f>
        <v/>
      </c>
      <c r="I23" s="27" t="str">
        <f>IF($A23&lt;&gt;"", (IF('2Replacement Costs - Entry'!AC24="Y",((($B23*$D23)*((1+$B$5)^I$7))*(1/((1+$F$5)^I$7))),0)), "")</f>
        <v/>
      </c>
    </row>
    <row r="24" spans="1:9">
      <c r="A24" s="29" t="str">
        <f>IF('2Capital Costs'!A25&lt;&gt;"", '2Capital Costs'!A25, "")</f>
        <v/>
      </c>
      <c r="B24" s="3" t="str">
        <f>IF('2Capital Costs'!B25&lt;&gt;"", '2Capital Costs'!B25, "")</f>
        <v/>
      </c>
      <c r="C24" s="46" t="str">
        <f>IF('2Capital Costs'!C25&lt;&gt;"", '2Capital Costs'!C25, "")</f>
        <v/>
      </c>
      <c r="D24" s="47" t="str">
        <f>IF('2Capital Costs'!D25&lt;&gt;"", '2Capital Costs'!D25, "")</f>
        <v/>
      </c>
      <c r="E24" s="27" t="str">
        <f>IF($A24&lt;&gt;"", (IF('2Replacement Costs - Entry'!Y25="Y",((($B24*$D24)*((1+$B$5)^E$7))*(1/((1+$F$5)^E$7))),0)), "")</f>
        <v/>
      </c>
      <c r="F24" s="27" t="str">
        <f>IF($A24&lt;&gt;"", (IF('2Replacement Costs - Entry'!Z25="Y",((($B24*$D24)*((1+$B$5)^F$7))*(1/((1+$F$5)^F$7))),0)), "")</f>
        <v/>
      </c>
      <c r="G24" s="27" t="str">
        <f>IF($A24&lt;&gt;"", (IF('2Replacement Costs - Entry'!AA25="Y",((($B24*$D24)*((1+$B$5)^G$7))*(1/((1+$F$5)^G$7))),0)), "")</f>
        <v/>
      </c>
      <c r="H24" s="27" t="str">
        <f>IF($A24&lt;&gt;"", (IF('2Replacement Costs - Entry'!AB25="Y",((($B24*$D24)*((1+$B$5)^H$7))*(1/((1+$F$5)^H$7))),0)), "")</f>
        <v/>
      </c>
      <c r="I24" s="27" t="str">
        <f>IF($A24&lt;&gt;"", (IF('2Replacement Costs - Entry'!AC25="Y",((($B24*$D24)*((1+$B$5)^I$7))*(1/((1+$F$5)^I$7))),0)), "")</f>
        <v/>
      </c>
    </row>
    <row r="25" spans="1:9">
      <c r="A25" s="29" t="str">
        <f>IF('2Capital Costs'!A26&lt;&gt;"", '2Capital Costs'!A26, "")</f>
        <v/>
      </c>
      <c r="B25" s="3" t="str">
        <f>IF('2Capital Costs'!B26&lt;&gt;"", '2Capital Costs'!B26, "")</f>
        <v/>
      </c>
      <c r="C25" s="46" t="str">
        <f>IF('2Capital Costs'!C26&lt;&gt;"", '2Capital Costs'!C26, "")</f>
        <v/>
      </c>
      <c r="D25" s="47" t="str">
        <f>IF('2Capital Costs'!D26&lt;&gt;"", '2Capital Costs'!D26, "")</f>
        <v/>
      </c>
      <c r="E25" s="27" t="str">
        <f>IF($A25&lt;&gt;"", (IF('2Replacement Costs - Entry'!Y26="Y",((($B25*$D25)*((1+$B$5)^E$7))*(1/((1+$F$5)^E$7))),0)), "")</f>
        <v/>
      </c>
      <c r="F25" s="27" t="str">
        <f>IF($A25&lt;&gt;"", (IF('2Replacement Costs - Entry'!Z26="Y",((($B25*$D25)*((1+$B$5)^F$7))*(1/((1+$F$5)^F$7))),0)), "")</f>
        <v/>
      </c>
      <c r="G25" s="27" t="str">
        <f>IF($A25&lt;&gt;"", (IF('2Replacement Costs - Entry'!AA26="Y",((($B25*$D25)*((1+$B$5)^G$7))*(1/((1+$F$5)^G$7))),0)), "")</f>
        <v/>
      </c>
      <c r="H25" s="27" t="str">
        <f>IF($A25&lt;&gt;"", (IF('2Replacement Costs - Entry'!AB26="Y",((($B25*$D25)*((1+$B$5)^H$7))*(1/((1+$F$5)^H$7))),0)), "")</f>
        <v/>
      </c>
      <c r="I25" s="27" t="str">
        <f>IF($A25&lt;&gt;"", (IF('2Replacement Costs - Entry'!AC26="Y",((($B25*$D25)*((1+$B$5)^I$7))*(1/((1+$F$5)^I$7))),0)), "")</f>
        <v/>
      </c>
    </row>
    <row r="26" spans="1:9">
      <c r="A26" s="29" t="str">
        <f>IF('2Capital Costs'!A27&lt;&gt;"", '2Capital Costs'!A27, "")</f>
        <v/>
      </c>
      <c r="B26" s="3" t="str">
        <f>IF('2Capital Costs'!B27&lt;&gt;"", '2Capital Costs'!B27, "")</f>
        <v/>
      </c>
      <c r="C26" s="46" t="str">
        <f>IF('2Capital Costs'!C27&lt;&gt;"", '2Capital Costs'!C27, "")</f>
        <v/>
      </c>
      <c r="D26" s="47" t="str">
        <f>IF('2Capital Costs'!D27&lt;&gt;"", '2Capital Costs'!D27, "")</f>
        <v/>
      </c>
      <c r="E26" s="27" t="str">
        <f>IF($A26&lt;&gt;"", (IF('2Replacement Costs - Entry'!Y27="Y",((($B26*$D26)*((1+$B$5)^E$7))*(1/((1+$F$5)^E$7))),0)), "")</f>
        <v/>
      </c>
      <c r="F26" s="27" t="str">
        <f>IF($A26&lt;&gt;"", (IF('2Replacement Costs - Entry'!Z27="Y",((($B26*$D26)*((1+$B$5)^F$7))*(1/((1+$F$5)^F$7))),0)), "")</f>
        <v/>
      </c>
      <c r="G26" s="27" t="str">
        <f>IF($A26&lt;&gt;"", (IF('2Replacement Costs - Entry'!AA27="Y",((($B26*$D26)*((1+$B$5)^G$7))*(1/((1+$F$5)^G$7))),0)), "")</f>
        <v/>
      </c>
      <c r="H26" s="27" t="str">
        <f>IF($A26&lt;&gt;"", (IF('2Replacement Costs - Entry'!AB27="Y",((($B26*$D26)*((1+$B$5)^H$7))*(1/((1+$F$5)^H$7))),0)), "")</f>
        <v/>
      </c>
      <c r="I26" s="27" t="str">
        <f>IF($A26&lt;&gt;"", (IF('2Replacement Costs - Entry'!AC27="Y",((($B26*$D26)*((1+$B$5)^I$7))*(1/((1+$F$5)^I$7))),0)), "")</f>
        <v/>
      </c>
    </row>
    <row r="27" spans="1:9">
      <c r="A27" s="29" t="str">
        <f>IF('2Capital Costs'!A28&lt;&gt;"", '2Capital Costs'!A28, "")</f>
        <v/>
      </c>
      <c r="B27" s="3" t="str">
        <f>IF('2Capital Costs'!B28&lt;&gt;"", '2Capital Costs'!B28, "")</f>
        <v/>
      </c>
      <c r="C27" s="46" t="str">
        <f>IF('2Capital Costs'!C28&lt;&gt;"", '2Capital Costs'!C28, "")</f>
        <v/>
      </c>
      <c r="D27" s="47" t="str">
        <f>IF('2Capital Costs'!D28&lt;&gt;"", '2Capital Costs'!D28, "")</f>
        <v/>
      </c>
      <c r="E27" s="27" t="str">
        <f>IF($A27&lt;&gt;"", (IF('2Replacement Costs - Entry'!Y28="Y",((($B27*$D27)*((1+$B$5)^E$7))*(1/((1+$F$5)^E$7))),0)), "")</f>
        <v/>
      </c>
      <c r="F27" s="27" t="str">
        <f>IF($A27&lt;&gt;"", (IF('2Replacement Costs - Entry'!Z28="Y",((($B27*$D27)*((1+$B$5)^F$7))*(1/((1+$F$5)^F$7))),0)), "")</f>
        <v/>
      </c>
      <c r="G27" s="27" t="str">
        <f>IF($A27&lt;&gt;"", (IF('2Replacement Costs - Entry'!AA28="Y",((($B27*$D27)*((1+$B$5)^G$7))*(1/((1+$F$5)^G$7))),0)), "")</f>
        <v/>
      </c>
      <c r="H27" s="27" t="str">
        <f>IF($A27&lt;&gt;"", (IF('2Replacement Costs - Entry'!AB28="Y",((($B27*$D27)*((1+$B$5)^H$7))*(1/((1+$F$5)^H$7))),0)), "")</f>
        <v/>
      </c>
      <c r="I27" s="27" t="str">
        <f>IF($A27&lt;&gt;"", (IF('2Replacement Costs - Entry'!AC28="Y",((($B27*$D27)*((1+$B$5)^I$7))*(1/((1+$F$5)^I$7))),0)), "")</f>
        <v/>
      </c>
    </row>
    <row r="28" spans="1:9">
      <c r="A28" s="29" t="str">
        <f>IF('2Capital Costs'!A29&lt;&gt;"", '2Capital Costs'!A29, "")</f>
        <v/>
      </c>
      <c r="B28" s="3" t="str">
        <f>IF('2Capital Costs'!B29&lt;&gt;"", '2Capital Costs'!B29, "")</f>
        <v/>
      </c>
      <c r="C28" s="46" t="str">
        <f>IF('2Capital Costs'!C29&lt;&gt;"", '2Capital Costs'!C29, "")</f>
        <v/>
      </c>
      <c r="D28" s="47" t="str">
        <f>IF('2Capital Costs'!D29&lt;&gt;"", '2Capital Costs'!D29, "")</f>
        <v/>
      </c>
      <c r="E28" s="27" t="str">
        <f>IF($A28&lt;&gt;"", (IF('2Replacement Costs - Entry'!Y29="Y",((($B28*$D28)*((1+$B$5)^E$7))*(1/((1+$F$5)^E$7))),0)), "")</f>
        <v/>
      </c>
      <c r="F28" s="27" t="str">
        <f>IF($A28&lt;&gt;"", (IF('2Replacement Costs - Entry'!Z29="Y",((($B28*$D28)*((1+$B$5)^F$7))*(1/((1+$F$5)^F$7))),0)), "")</f>
        <v/>
      </c>
      <c r="G28" s="27" t="str">
        <f>IF($A28&lt;&gt;"", (IF('2Replacement Costs - Entry'!AA29="Y",((($B28*$D28)*((1+$B$5)^G$7))*(1/((1+$F$5)^G$7))),0)), "")</f>
        <v/>
      </c>
      <c r="H28" s="27" t="str">
        <f>IF($A28&lt;&gt;"", (IF('2Replacement Costs - Entry'!AB29="Y",((($B28*$D28)*((1+$B$5)^H$7))*(1/((1+$F$5)^H$7))),0)), "")</f>
        <v/>
      </c>
      <c r="I28" s="27" t="str">
        <f>IF($A28&lt;&gt;"", (IF('2Replacement Costs - Entry'!AC29="Y",((($B28*$D28)*((1+$B$5)^I$7))*(1/((1+$F$5)^I$7))),0)), "")</f>
        <v/>
      </c>
    </row>
    <row r="29" spans="1:9">
      <c r="A29" s="29" t="str">
        <f>IF('2Capital Costs'!A30&lt;&gt;"", '2Capital Costs'!A30, "")</f>
        <v/>
      </c>
      <c r="B29" s="3" t="str">
        <f>IF('2Capital Costs'!B30&lt;&gt;"", '2Capital Costs'!B30, "")</f>
        <v/>
      </c>
      <c r="C29" s="46" t="str">
        <f>IF('2Capital Costs'!C30&lt;&gt;"", '2Capital Costs'!C30, "")</f>
        <v/>
      </c>
      <c r="D29" s="47" t="str">
        <f>IF('2Capital Costs'!D30&lt;&gt;"", '2Capital Costs'!D30, "")</f>
        <v/>
      </c>
      <c r="E29" s="27" t="str">
        <f>IF($A29&lt;&gt;"", (IF('2Replacement Costs - Entry'!Y30="Y",((($B29*$D29)*((1+$B$5)^E$7))*(1/((1+$F$5)^E$7))),0)), "")</f>
        <v/>
      </c>
      <c r="F29" s="27" t="str">
        <f>IF($A29&lt;&gt;"", (IF('2Replacement Costs - Entry'!Z30="Y",((($B29*$D29)*((1+$B$5)^F$7))*(1/((1+$F$5)^F$7))),0)), "")</f>
        <v/>
      </c>
      <c r="G29" s="27" t="str">
        <f>IF($A29&lt;&gt;"", (IF('2Replacement Costs - Entry'!AA30="Y",((($B29*$D29)*((1+$B$5)^G$7))*(1/((1+$F$5)^G$7))),0)), "")</f>
        <v/>
      </c>
      <c r="H29" s="27" t="str">
        <f>IF($A29&lt;&gt;"", (IF('2Replacement Costs - Entry'!AB30="Y",((($B29*$D29)*((1+$B$5)^H$7))*(1/((1+$F$5)^H$7))),0)), "")</f>
        <v/>
      </c>
      <c r="I29" s="27" t="str">
        <f>IF($A29&lt;&gt;"", (IF('2Replacement Costs - Entry'!AC30="Y",((($B29*$D29)*((1+$B$5)^I$7))*(1/((1+$F$5)^I$7))),0)), "")</f>
        <v/>
      </c>
    </row>
    <row r="30" spans="1:9">
      <c r="A30" s="29" t="str">
        <f>IF('2Capital Costs'!A31&lt;&gt;"", '2Capital Costs'!A31, "")</f>
        <v/>
      </c>
      <c r="B30" s="3" t="str">
        <f>IF('2Capital Costs'!B31&lt;&gt;"", '2Capital Costs'!B31, "")</f>
        <v/>
      </c>
      <c r="C30" s="46" t="str">
        <f>IF('2Capital Costs'!C31&lt;&gt;"", '2Capital Costs'!C31, "")</f>
        <v/>
      </c>
      <c r="D30" s="47" t="str">
        <f>IF('2Capital Costs'!D31&lt;&gt;"", '2Capital Costs'!D31, "")</f>
        <v/>
      </c>
      <c r="E30" s="27" t="str">
        <f>IF($A30&lt;&gt;"", (IF('2Replacement Costs - Entry'!Y31="Y",((($B30*$D30)*((1+$B$5)^E$7))*(1/((1+$F$5)^E$7))),0)), "")</f>
        <v/>
      </c>
      <c r="F30" s="27" t="str">
        <f>IF($A30&lt;&gt;"", (IF('2Replacement Costs - Entry'!Z31="Y",((($B30*$D30)*((1+$B$5)^F$7))*(1/((1+$F$5)^F$7))),0)), "")</f>
        <v/>
      </c>
      <c r="G30" s="27" t="str">
        <f>IF($A30&lt;&gt;"", (IF('2Replacement Costs - Entry'!AA31="Y",((($B30*$D30)*((1+$B$5)^G$7))*(1/((1+$F$5)^G$7))),0)), "")</f>
        <v/>
      </c>
      <c r="H30" s="27" t="str">
        <f>IF($A30&lt;&gt;"", (IF('2Replacement Costs - Entry'!AB31="Y",((($B30*$D30)*((1+$B$5)^H$7))*(1/((1+$F$5)^H$7))),0)), "")</f>
        <v/>
      </c>
      <c r="I30" s="27" t="str">
        <f>IF($A30&lt;&gt;"", (IF('2Replacement Costs - Entry'!AC31="Y",((($B30*$D30)*((1+$B$5)^I$7))*(1/((1+$F$5)^I$7))),0)), "")</f>
        <v/>
      </c>
    </row>
    <row r="31" spans="1:9">
      <c r="A31" s="29" t="str">
        <f>IF('2Capital Costs'!A32&lt;&gt;"", '2Capital Costs'!A32, "")</f>
        <v/>
      </c>
      <c r="B31" s="3" t="str">
        <f>IF('2Capital Costs'!B32&lt;&gt;"", '2Capital Costs'!B32, "")</f>
        <v/>
      </c>
      <c r="C31" s="46" t="str">
        <f>IF('2Capital Costs'!C32&lt;&gt;"", '2Capital Costs'!C32, "")</f>
        <v/>
      </c>
      <c r="D31" s="47" t="str">
        <f>IF('2Capital Costs'!D32&lt;&gt;"", '2Capital Costs'!D32, "")</f>
        <v/>
      </c>
      <c r="E31" s="27" t="str">
        <f>IF($A31&lt;&gt;"", (IF('2Replacement Costs - Entry'!Y32="Y",((($B31*$D31)*((1+$B$5)^E$7))*(1/((1+$F$5)^E$7))),0)), "")</f>
        <v/>
      </c>
      <c r="F31" s="27" t="str">
        <f>IF($A31&lt;&gt;"", (IF('2Replacement Costs - Entry'!Z32="Y",((($B31*$D31)*((1+$B$5)^F$7))*(1/((1+$F$5)^F$7))),0)), "")</f>
        <v/>
      </c>
      <c r="G31" s="27" t="str">
        <f>IF($A31&lt;&gt;"", (IF('2Replacement Costs - Entry'!AA32="Y",((($B31*$D31)*((1+$B$5)^G$7))*(1/((1+$F$5)^G$7))),0)), "")</f>
        <v/>
      </c>
      <c r="H31" s="27" t="str">
        <f>IF($A31&lt;&gt;"", (IF('2Replacement Costs - Entry'!AB32="Y",((($B31*$D31)*((1+$B$5)^H$7))*(1/((1+$F$5)^H$7))),0)), "")</f>
        <v/>
      </c>
      <c r="I31" s="27" t="str">
        <f>IF($A31&lt;&gt;"", (IF('2Replacement Costs - Entry'!AC32="Y",((($B31*$D31)*((1+$B$5)^I$7))*(1/((1+$F$5)^I$7))),0)), "")</f>
        <v/>
      </c>
    </row>
    <row r="32" spans="1:9">
      <c r="A32" s="29" t="str">
        <f>IF('2Capital Costs'!A33&lt;&gt;"", '2Capital Costs'!A33, "")</f>
        <v/>
      </c>
      <c r="B32" s="3" t="str">
        <f>IF('2Capital Costs'!B33&lt;&gt;"", '2Capital Costs'!B33, "")</f>
        <v/>
      </c>
      <c r="C32" s="46" t="str">
        <f>IF('2Capital Costs'!C33&lt;&gt;"", '2Capital Costs'!C33, "")</f>
        <v/>
      </c>
      <c r="D32" s="47" t="str">
        <f>IF('2Capital Costs'!D33&lt;&gt;"", '2Capital Costs'!D33, "")</f>
        <v/>
      </c>
      <c r="E32" s="27" t="str">
        <f>IF($A32&lt;&gt;"", (IF('2Replacement Costs - Entry'!Y33="Y",((($B32*$D32)*((1+$B$5)^E$7))*(1/((1+$F$5)^E$7))),0)), "")</f>
        <v/>
      </c>
      <c r="F32" s="27" t="str">
        <f>IF($A32&lt;&gt;"", (IF('2Replacement Costs - Entry'!Z33="Y",((($B32*$D32)*((1+$B$5)^F$7))*(1/((1+$F$5)^F$7))),0)), "")</f>
        <v/>
      </c>
      <c r="G32" s="27" t="str">
        <f>IF($A32&lt;&gt;"", (IF('2Replacement Costs - Entry'!AA33="Y",((($B32*$D32)*((1+$B$5)^G$7))*(1/((1+$F$5)^G$7))),0)), "")</f>
        <v/>
      </c>
      <c r="H32" s="27" t="str">
        <f>IF($A32&lt;&gt;"", (IF('2Replacement Costs - Entry'!AB33="Y",((($B32*$D32)*((1+$B$5)^H$7))*(1/((1+$F$5)^H$7))),0)), "")</f>
        <v/>
      </c>
      <c r="I32" s="27" t="str">
        <f>IF($A32&lt;&gt;"", (IF('2Replacement Costs - Entry'!AC33="Y",((($B32*$D32)*((1+$B$5)^I$7))*(1/((1+$F$5)^I$7))),0)), "")</f>
        <v/>
      </c>
    </row>
    <row r="33" spans="1:9">
      <c r="A33" s="29" t="str">
        <f>IF('2Capital Costs'!A34&lt;&gt;"", '2Capital Costs'!A34, "")</f>
        <v/>
      </c>
      <c r="B33" s="3" t="str">
        <f>IF('2Capital Costs'!B34&lt;&gt;"", '2Capital Costs'!B34, "")</f>
        <v/>
      </c>
      <c r="C33" s="46" t="str">
        <f>IF('2Capital Costs'!C34&lt;&gt;"", '2Capital Costs'!C34, "")</f>
        <v/>
      </c>
      <c r="D33" s="47" t="str">
        <f>IF('2Capital Costs'!D34&lt;&gt;"", '2Capital Costs'!D34, "")</f>
        <v/>
      </c>
      <c r="E33" s="27" t="str">
        <f>IF($A33&lt;&gt;"", (IF('2Replacement Costs - Entry'!Y34="Y",((($B33*$D33)*((1+$B$5)^E$7))*(1/((1+$F$5)^E$7))),0)), "")</f>
        <v/>
      </c>
      <c r="F33" s="27" t="str">
        <f>IF($A33&lt;&gt;"", (IF('2Replacement Costs - Entry'!Z34="Y",((($B33*$D33)*((1+$B$5)^F$7))*(1/((1+$F$5)^F$7))),0)), "")</f>
        <v/>
      </c>
      <c r="G33" s="27" t="str">
        <f>IF($A33&lt;&gt;"", (IF('2Replacement Costs - Entry'!AA34="Y",((($B33*$D33)*((1+$B$5)^G$7))*(1/((1+$F$5)^G$7))),0)), "")</f>
        <v/>
      </c>
      <c r="H33" s="27" t="str">
        <f>IF($A33&lt;&gt;"", (IF('2Replacement Costs - Entry'!AB34="Y",((($B33*$D33)*((1+$B$5)^H$7))*(1/((1+$F$5)^H$7))),0)), "")</f>
        <v/>
      </c>
      <c r="I33" s="27" t="str">
        <f>IF($A33&lt;&gt;"", (IF('2Replacement Costs - Entry'!AC34="Y",((($B33*$D33)*((1+$B$5)^I$7))*(1/((1+$F$5)^I$7))),0)), "")</f>
        <v/>
      </c>
    </row>
    <row r="34" spans="1:9">
      <c r="A34" s="29" t="str">
        <f>IF('2Capital Costs'!A35&lt;&gt;"", '2Capital Costs'!A35, "")</f>
        <v/>
      </c>
      <c r="B34" s="3" t="str">
        <f>IF('2Capital Costs'!B35&lt;&gt;"", '2Capital Costs'!B35, "")</f>
        <v/>
      </c>
      <c r="C34" s="46" t="str">
        <f>IF('2Capital Costs'!C35&lt;&gt;"", '2Capital Costs'!C35, "")</f>
        <v/>
      </c>
      <c r="D34" s="47" t="str">
        <f>IF('2Capital Costs'!D35&lt;&gt;"", '2Capital Costs'!D35, "")</f>
        <v/>
      </c>
      <c r="E34" s="27" t="str">
        <f>IF($A34&lt;&gt;"", (IF('2Replacement Costs - Entry'!Y35="Y",((($B34*$D34)*((1+$B$5)^E$7))*(1/((1+$F$5)^E$7))),0)), "")</f>
        <v/>
      </c>
      <c r="F34" s="27" t="str">
        <f>IF($A34&lt;&gt;"", (IF('2Replacement Costs - Entry'!Z35="Y",((($B34*$D34)*((1+$B$5)^F$7))*(1/((1+$F$5)^F$7))),0)), "")</f>
        <v/>
      </c>
      <c r="G34" s="27" t="str">
        <f>IF($A34&lt;&gt;"", (IF('2Replacement Costs - Entry'!AA35="Y",((($B34*$D34)*((1+$B$5)^G$7))*(1/((1+$F$5)^G$7))),0)), "")</f>
        <v/>
      </c>
      <c r="H34" s="27" t="str">
        <f>IF($A34&lt;&gt;"", (IF('2Replacement Costs - Entry'!AB35="Y",((($B34*$D34)*((1+$B$5)^H$7))*(1/((1+$F$5)^H$7))),0)), "")</f>
        <v/>
      </c>
      <c r="I34" s="27" t="str">
        <f>IF($A34&lt;&gt;"", (IF('2Replacement Costs - Entry'!AC35="Y",((($B34*$D34)*((1+$B$5)^I$7))*(1/((1+$F$5)^I$7))),0)), "")</f>
        <v/>
      </c>
    </row>
    <row r="35" spans="1:9">
      <c r="A35" s="29" t="str">
        <f>IF('2Capital Costs'!A36&lt;&gt;"", '2Capital Costs'!A36, "")</f>
        <v/>
      </c>
      <c r="B35" s="3" t="str">
        <f>IF('2Capital Costs'!B36&lt;&gt;"", '2Capital Costs'!B36, "")</f>
        <v/>
      </c>
      <c r="C35" s="46" t="str">
        <f>IF('2Capital Costs'!C36&lt;&gt;"", '2Capital Costs'!C36, "")</f>
        <v/>
      </c>
      <c r="D35" s="47" t="str">
        <f>IF('2Capital Costs'!D36&lt;&gt;"", '2Capital Costs'!D36, "")</f>
        <v/>
      </c>
      <c r="E35" s="27" t="str">
        <f>IF($A35&lt;&gt;"", (IF('2Replacement Costs - Entry'!Y36="Y",((($B35*$D35)*((1+$B$5)^E$7))*(1/((1+$F$5)^E$7))),0)), "")</f>
        <v/>
      </c>
      <c r="F35" s="27" t="str">
        <f>IF($A35&lt;&gt;"", (IF('2Replacement Costs - Entry'!Z36="Y",((($B35*$D35)*((1+$B$5)^F$7))*(1/((1+$F$5)^F$7))),0)), "")</f>
        <v/>
      </c>
      <c r="G35" s="27" t="str">
        <f>IF($A35&lt;&gt;"", (IF('2Replacement Costs - Entry'!AA36="Y",((($B35*$D35)*((1+$B$5)^G$7))*(1/((1+$F$5)^G$7))),0)), "")</f>
        <v/>
      </c>
      <c r="H35" s="27" t="str">
        <f>IF($A35&lt;&gt;"", (IF('2Replacement Costs - Entry'!AB36="Y",((($B35*$D35)*((1+$B$5)^H$7))*(1/((1+$F$5)^H$7))),0)), "")</f>
        <v/>
      </c>
      <c r="I35" s="27" t="str">
        <f>IF($A35&lt;&gt;"", (IF('2Replacement Costs - Entry'!AC36="Y",((($B35*$D35)*((1+$B$5)^I$7))*(1/((1+$F$5)^I$7))),0)), "")</f>
        <v/>
      </c>
    </row>
    <row r="36" spans="1:9">
      <c r="A36" s="29" t="str">
        <f>IF('2Capital Costs'!A37&lt;&gt;"", '2Capital Costs'!A37, "")</f>
        <v/>
      </c>
      <c r="B36" s="3" t="str">
        <f>IF('2Capital Costs'!B37&lt;&gt;"", '2Capital Costs'!B37, "")</f>
        <v/>
      </c>
      <c r="C36" s="46" t="str">
        <f>IF('2Capital Costs'!C37&lt;&gt;"", '2Capital Costs'!C37, "")</f>
        <v/>
      </c>
      <c r="D36" s="47" t="str">
        <f>IF('2Capital Costs'!D37&lt;&gt;"", '2Capital Costs'!D37, "")</f>
        <v/>
      </c>
      <c r="E36" s="27" t="str">
        <f>IF($A36&lt;&gt;"", (IF('2Replacement Costs - Entry'!Y37="Y",((($B36*$D36)*((1+$B$5)^E$7))*(1/((1+$F$5)^E$7))),0)), "")</f>
        <v/>
      </c>
      <c r="F36" s="27" t="str">
        <f>IF($A36&lt;&gt;"", (IF('2Replacement Costs - Entry'!Z37="Y",((($B36*$D36)*((1+$B$5)^F$7))*(1/((1+$F$5)^F$7))),0)), "")</f>
        <v/>
      </c>
      <c r="G36" s="27" t="str">
        <f>IF($A36&lt;&gt;"", (IF('2Replacement Costs - Entry'!AA37="Y",((($B36*$D36)*((1+$B$5)^G$7))*(1/((1+$F$5)^G$7))),0)), "")</f>
        <v/>
      </c>
      <c r="H36" s="27" t="str">
        <f>IF($A36&lt;&gt;"", (IF('2Replacement Costs - Entry'!AB37="Y",((($B36*$D36)*((1+$B$5)^H$7))*(1/((1+$F$5)^H$7))),0)), "")</f>
        <v/>
      </c>
      <c r="I36" s="27" t="str">
        <f>IF($A36&lt;&gt;"", (IF('2Replacement Costs - Entry'!AC37="Y",((($B36*$D36)*((1+$B$5)^I$7))*(1/((1+$F$5)^I$7))),0)), "")</f>
        <v/>
      </c>
    </row>
    <row r="37" spans="1:9">
      <c r="A37" s="23"/>
      <c r="B37" s="23"/>
      <c r="C37" s="23"/>
      <c r="D37" s="36" t="s">
        <v>51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38" spans="1:9">
      <c r="H38" s="2" t="s">
        <v>45</v>
      </c>
      <c r="I38" s="28">
        <f>'2Replace Costs - Results 1-5'!E37+'2Replace Costs - Results 1-5'!F37+'2Replace Costs - Results 1-5'!G37+'2Replace Costs - Results 1-5'!H37+'2Replace Costs - Results 1-5'!I37+'2Replace Costs-Results 6-10'!E37+'2Replace Costs-Results 6-10'!F37+'2Replace Costs-Results 6-10'!G37+'2Replace Costs-Results 6-10'!H37+'2Replace Costs-Results 6-10'!I37+'2Replace Costs-Results 11-15'!E37+'2Replace Costs-Results 11-15'!F37+'2Replace Costs-Results 11-15'!G37+'2Replace Costs-Results 11-15'!H37+'2Replace Costs-Results 11-15'!I37+'2Replace Costs-Results 16-20'!E37+'2Replace Costs-Results 16-20'!F37+'2Replace Costs-Results 16-20'!G37+'2Replace Costs-Results 16-20'!H37+'2Replace Costs-Results 16-20'!I37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6" fitToWidth="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selection activeCell="D9" sqref="A9:D12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4" width="9.7109375" style="1" customWidth="1"/>
    <col min="15" max="16384" width="9.140625" style="1"/>
  </cols>
  <sheetData>
    <row r="1" spans="1:14">
      <c r="A1" s="137" t="s">
        <v>153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'2Capital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144" t="s">
        <v>61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6"/>
    </row>
    <row r="6" spans="1:14">
      <c r="A6" s="74" t="str">
        <f>'Yearly O&amp;M Costs 11-20'!A5</f>
        <v>Current Inflation Rate Based on Municipal Cost Index:</v>
      </c>
      <c r="B6" s="75">
        <f>'Yearly O&amp;M Costs 1-10'!B6</f>
        <v>2.7598896044158234E-2</v>
      </c>
      <c r="C6" s="91"/>
      <c r="D6" s="91"/>
      <c r="E6" s="96"/>
      <c r="G6" s="96"/>
      <c r="H6" s="96"/>
      <c r="I6" s="96"/>
      <c r="J6" s="96"/>
      <c r="K6" s="96"/>
      <c r="L6" s="96"/>
      <c r="M6" s="96" t="s">
        <v>43</v>
      </c>
      <c r="N6" s="101">
        <f>'Replace Costs-Results 16-20'!F5</f>
        <v>4.8750000000000002E-2</v>
      </c>
    </row>
    <row r="7" spans="1:14">
      <c r="A7" s="74"/>
      <c r="B7" s="75"/>
      <c r="C7" s="91"/>
      <c r="D7" s="91"/>
      <c r="E7" s="151" t="s">
        <v>53</v>
      </c>
      <c r="F7" s="147"/>
      <c r="G7" s="147"/>
      <c r="H7" s="147"/>
      <c r="I7" s="147"/>
      <c r="J7" s="147"/>
      <c r="K7" s="147"/>
      <c r="L7" s="147"/>
      <c r="M7" s="147"/>
      <c r="N7" s="148"/>
    </row>
    <row r="8" spans="1:14">
      <c r="A8" s="12" t="s">
        <v>4</v>
      </c>
      <c r="B8" s="12" t="s">
        <v>0</v>
      </c>
      <c r="C8" s="12" t="s">
        <v>5</v>
      </c>
      <c r="D8" s="12" t="s">
        <v>1</v>
      </c>
      <c r="E8" s="39">
        <v>1</v>
      </c>
      <c r="F8" s="39">
        <v>2</v>
      </c>
      <c r="G8" s="39">
        <v>3</v>
      </c>
      <c r="H8" s="39">
        <v>4</v>
      </c>
      <c r="I8" s="39">
        <v>5</v>
      </c>
      <c r="J8" s="39">
        <v>6</v>
      </c>
      <c r="K8" s="39">
        <v>7</v>
      </c>
      <c r="L8" s="39">
        <v>8</v>
      </c>
      <c r="M8" s="39">
        <v>9</v>
      </c>
      <c r="N8" s="39">
        <v>10</v>
      </c>
    </row>
    <row r="9" spans="1:14">
      <c r="A9" s="97"/>
      <c r="B9" s="81"/>
      <c r="C9" s="86"/>
      <c r="D9" s="89"/>
      <c r="E9" s="34" t="str">
        <f t="shared" ref="E9:N24" si="0">IF($A9&lt;&gt;"", (($B9*$D9)*((1+$B$6)^E$8)*(1/((1+$N$6)^E$8))), "")</f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7"/>
      <c r="B10" s="81"/>
      <c r="C10" s="86"/>
      <c r="D10" s="89"/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7"/>
      <c r="B11" s="81"/>
      <c r="C11" s="86"/>
      <c r="D11" s="89"/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7"/>
      <c r="B12" s="81"/>
      <c r="C12" s="84"/>
      <c r="D12" s="89"/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7"/>
      <c r="B13" s="83"/>
      <c r="C13" s="86"/>
      <c r="D13" s="89"/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7"/>
      <c r="B14" s="83"/>
      <c r="C14" s="86"/>
      <c r="D14" s="89"/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7"/>
      <c r="B15" s="81"/>
      <c r="C15" s="86"/>
      <c r="D15" s="89"/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7"/>
      <c r="B16" s="81"/>
      <c r="C16" s="86"/>
      <c r="D16" s="90"/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7"/>
      <c r="B17" s="81"/>
      <c r="C17" s="86"/>
      <c r="D17" s="90"/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7"/>
      <c r="B18" s="81"/>
      <c r="C18" s="86"/>
      <c r="D18" s="90"/>
      <c r="E18" s="34" t="str">
        <f t="shared" si="0"/>
        <v/>
      </c>
      <c r="F18" s="34" t="str">
        <f t="shared" si="0"/>
        <v/>
      </c>
      <c r="G18" s="34" t="str">
        <f t="shared" si="0"/>
        <v/>
      </c>
      <c r="H18" s="34" t="str">
        <f t="shared" si="0"/>
        <v/>
      </c>
      <c r="I18" s="34" t="str">
        <f t="shared" si="0"/>
        <v/>
      </c>
      <c r="J18" s="34" t="str">
        <f t="shared" si="0"/>
        <v/>
      </c>
      <c r="K18" s="34" t="str">
        <f t="shared" si="0"/>
        <v/>
      </c>
      <c r="L18" s="34" t="str">
        <f t="shared" si="0"/>
        <v/>
      </c>
      <c r="M18" s="34" t="str">
        <f t="shared" si="0"/>
        <v/>
      </c>
      <c r="N18" s="35" t="str">
        <f t="shared" si="0"/>
        <v/>
      </c>
    </row>
    <row r="19" spans="1:14">
      <c r="A19" s="97"/>
      <c r="B19" s="81"/>
      <c r="C19" s="86"/>
      <c r="D19" s="90"/>
      <c r="E19" s="34" t="str">
        <f t="shared" si="0"/>
        <v/>
      </c>
      <c r="F19" s="34" t="str">
        <f t="shared" si="0"/>
        <v/>
      </c>
      <c r="G19" s="34" t="str">
        <f t="shared" si="0"/>
        <v/>
      </c>
      <c r="H19" s="34" t="str">
        <f t="shared" si="0"/>
        <v/>
      </c>
      <c r="I19" s="34" t="str">
        <f t="shared" si="0"/>
        <v/>
      </c>
      <c r="J19" s="34" t="str">
        <f t="shared" si="0"/>
        <v/>
      </c>
      <c r="K19" s="34" t="str">
        <f t="shared" si="0"/>
        <v/>
      </c>
      <c r="L19" s="34" t="str">
        <f t="shared" si="0"/>
        <v/>
      </c>
      <c r="M19" s="34" t="str">
        <f t="shared" si="0"/>
        <v/>
      </c>
      <c r="N19" s="35" t="str">
        <f t="shared" si="0"/>
        <v/>
      </c>
    </row>
    <row r="20" spans="1:14">
      <c r="A20" s="97"/>
      <c r="B20" s="81"/>
      <c r="C20" s="86"/>
      <c r="D20" s="90"/>
      <c r="E20" s="34" t="str">
        <f t="shared" si="0"/>
        <v/>
      </c>
      <c r="F20" s="34" t="str">
        <f t="shared" si="0"/>
        <v/>
      </c>
      <c r="G20" s="34" t="str">
        <f t="shared" si="0"/>
        <v/>
      </c>
      <c r="H20" s="34" t="str">
        <f t="shared" si="0"/>
        <v/>
      </c>
      <c r="I20" s="34" t="str">
        <f t="shared" si="0"/>
        <v/>
      </c>
      <c r="J20" s="34" t="str">
        <f t="shared" si="0"/>
        <v/>
      </c>
      <c r="K20" s="34" t="str">
        <f t="shared" si="0"/>
        <v/>
      </c>
      <c r="L20" s="34" t="str">
        <f t="shared" si="0"/>
        <v/>
      </c>
      <c r="M20" s="34" t="str">
        <f t="shared" si="0"/>
        <v/>
      </c>
      <c r="N20" s="35" t="str">
        <f t="shared" si="0"/>
        <v/>
      </c>
    </row>
    <row r="21" spans="1:14">
      <c r="A21" s="97"/>
      <c r="B21" s="81"/>
      <c r="C21" s="86"/>
      <c r="D21" s="90"/>
      <c r="E21" s="34" t="str">
        <f t="shared" si="0"/>
        <v/>
      </c>
      <c r="F21" s="34" t="str">
        <f t="shared" si="0"/>
        <v/>
      </c>
      <c r="G21" s="34" t="str">
        <f t="shared" si="0"/>
        <v/>
      </c>
      <c r="H21" s="34" t="str">
        <f t="shared" si="0"/>
        <v/>
      </c>
      <c r="I21" s="34" t="str">
        <f t="shared" si="0"/>
        <v/>
      </c>
      <c r="J21" s="34" t="str">
        <f t="shared" si="0"/>
        <v/>
      </c>
      <c r="K21" s="34" t="str">
        <f t="shared" si="0"/>
        <v/>
      </c>
      <c r="L21" s="34" t="str">
        <f t="shared" si="0"/>
        <v/>
      </c>
      <c r="M21" s="34" t="str">
        <f t="shared" si="0"/>
        <v/>
      </c>
      <c r="N21" s="35" t="str">
        <f t="shared" si="0"/>
        <v/>
      </c>
    </row>
    <row r="22" spans="1:14">
      <c r="A22" s="97"/>
      <c r="B22" s="81"/>
      <c r="C22" s="86"/>
      <c r="D22" s="90"/>
      <c r="E22" s="34" t="str">
        <f t="shared" si="0"/>
        <v/>
      </c>
      <c r="F22" s="34" t="str">
        <f t="shared" si="0"/>
        <v/>
      </c>
      <c r="G22" s="34" t="str">
        <f t="shared" si="0"/>
        <v/>
      </c>
      <c r="H22" s="34" t="str">
        <f t="shared" si="0"/>
        <v/>
      </c>
      <c r="I22" s="34" t="str">
        <f t="shared" si="0"/>
        <v/>
      </c>
      <c r="J22" s="34" t="str">
        <f t="shared" si="0"/>
        <v/>
      </c>
      <c r="K22" s="34" t="str">
        <f t="shared" si="0"/>
        <v/>
      </c>
      <c r="L22" s="34" t="str">
        <f t="shared" si="0"/>
        <v/>
      </c>
      <c r="M22" s="34" t="str">
        <f t="shared" si="0"/>
        <v/>
      </c>
      <c r="N22" s="35" t="str">
        <f t="shared" si="0"/>
        <v/>
      </c>
    </row>
    <row r="23" spans="1:14">
      <c r="A23" s="97"/>
      <c r="B23" s="81"/>
      <c r="C23" s="86"/>
      <c r="D23" s="90"/>
      <c r="E23" s="34" t="str">
        <f t="shared" si="0"/>
        <v/>
      </c>
      <c r="F23" s="34" t="str">
        <f t="shared" si="0"/>
        <v/>
      </c>
      <c r="G23" s="34" t="str">
        <f t="shared" si="0"/>
        <v/>
      </c>
      <c r="H23" s="34" t="str">
        <f t="shared" si="0"/>
        <v/>
      </c>
      <c r="I23" s="34" t="str">
        <f t="shared" si="0"/>
        <v/>
      </c>
      <c r="J23" s="34" t="str">
        <f t="shared" si="0"/>
        <v/>
      </c>
      <c r="K23" s="34" t="str">
        <f t="shared" si="0"/>
        <v/>
      </c>
      <c r="L23" s="34" t="str">
        <f t="shared" si="0"/>
        <v/>
      </c>
      <c r="M23" s="34" t="str">
        <f t="shared" si="0"/>
        <v/>
      </c>
      <c r="N23" s="35" t="str">
        <f t="shared" si="0"/>
        <v/>
      </c>
    </row>
    <row r="24" spans="1:14">
      <c r="A24" s="97"/>
      <c r="B24" s="81"/>
      <c r="C24" s="86"/>
      <c r="D24" s="90"/>
      <c r="E24" s="34" t="str">
        <f t="shared" si="0"/>
        <v/>
      </c>
      <c r="F24" s="34" t="str">
        <f t="shared" si="0"/>
        <v/>
      </c>
      <c r="G24" s="34" t="str">
        <f t="shared" si="0"/>
        <v/>
      </c>
      <c r="H24" s="34" t="str">
        <f t="shared" si="0"/>
        <v/>
      </c>
      <c r="I24" s="34" t="str">
        <f t="shared" si="0"/>
        <v/>
      </c>
      <c r="J24" s="34" t="str">
        <f t="shared" si="0"/>
        <v/>
      </c>
      <c r="K24" s="34" t="str">
        <f t="shared" si="0"/>
        <v/>
      </c>
      <c r="L24" s="34" t="str">
        <f t="shared" si="0"/>
        <v/>
      </c>
      <c r="M24" s="34" t="str">
        <f t="shared" si="0"/>
        <v/>
      </c>
      <c r="N24" s="35" t="str">
        <f t="shared" si="0"/>
        <v/>
      </c>
    </row>
    <row r="25" spans="1:14">
      <c r="A25" s="97"/>
      <c r="B25" s="81"/>
      <c r="C25" s="86"/>
      <c r="D25" s="90"/>
      <c r="E25" s="34" t="str">
        <f t="shared" ref="E25:N31" si="1">IF($A25&lt;&gt;"", (($B25*$D25)*((1+$B$6)^E$8)*(1/((1+$N$6)^E$8))), "")</f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7"/>
      <c r="B26" s="81"/>
      <c r="C26" s="86"/>
      <c r="D26" s="90"/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7"/>
      <c r="B27" s="81"/>
      <c r="C27" s="86"/>
      <c r="D27" s="90"/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7"/>
      <c r="B28" s="81"/>
      <c r="C28" s="86"/>
      <c r="D28" s="90"/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7"/>
      <c r="B29" s="81"/>
      <c r="C29" s="86"/>
      <c r="D29" s="90"/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7"/>
      <c r="B30" s="81"/>
      <c r="C30" s="86"/>
      <c r="D30" s="90"/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7"/>
      <c r="B31" s="81"/>
      <c r="C31" s="86"/>
      <c r="D31" s="90"/>
      <c r="E31" s="34" t="str">
        <f t="shared" si="1"/>
        <v/>
      </c>
      <c r="F31" s="34" t="str">
        <f t="shared" si="1"/>
        <v/>
      </c>
      <c r="G31" s="34" t="str">
        <f t="shared" si="1"/>
        <v/>
      </c>
      <c r="H31" s="34" t="str">
        <f t="shared" si="1"/>
        <v/>
      </c>
      <c r="I31" s="34" t="str">
        <f t="shared" si="1"/>
        <v/>
      </c>
      <c r="J31" s="34" t="str">
        <f t="shared" si="1"/>
        <v/>
      </c>
      <c r="K31" s="34" t="str">
        <f t="shared" si="1"/>
        <v/>
      </c>
      <c r="L31" s="34" t="str">
        <f t="shared" si="1"/>
        <v/>
      </c>
      <c r="M31" s="34" t="str">
        <f t="shared" si="1"/>
        <v/>
      </c>
      <c r="N31" s="35" t="str">
        <f t="shared" si="1"/>
        <v/>
      </c>
    </row>
    <row r="32" spans="1:14">
      <c r="A32" s="9"/>
      <c r="B32" s="23"/>
      <c r="C32" s="23"/>
      <c r="D32" s="37" t="s">
        <v>54</v>
      </c>
      <c r="E32" s="28">
        <f>SUM(E9:E31)</f>
        <v>0</v>
      </c>
      <c r="F32" s="28">
        <f t="shared" ref="F32:N32" si="2">SUM(F9:F31)</f>
        <v>0</v>
      </c>
      <c r="G32" s="28">
        <f t="shared" si="2"/>
        <v>0</v>
      </c>
      <c r="H32" s="28">
        <f t="shared" si="2"/>
        <v>0</v>
      </c>
      <c r="I32" s="28">
        <f t="shared" si="2"/>
        <v>0</v>
      </c>
      <c r="J32" s="28">
        <f t="shared" si="2"/>
        <v>0</v>
      </c>
      <c r="K32" s="28">
        <f t="shared" si="2"/>
        <v>0</v>
      </c>
      <c r="L32" s="28">
        <f t="shared" si="2"/>
        <v>0</v>
      </c>
      <c r="M32" s="28">
        <f t="shared" si="2"/>
        <v>0</v>
      </c>
      <c r="N32" s="28">
        <f t="shared" si="2"/>
        <v>0</v>
      </c>
    </row>
    <row r="35" spans="1:2" hidden="1">
      <c r="A35" s="6" t="s">
        <v>7</v>
      </c>
      <c r="B35" s="33">
        <v>4.8750000000000002E-2</v>
      </c>
    </row>
  </sheetData>
  <sheetProtection sheet="1" objects="1" scenarios="1"/>
  <mergeCells count="6">
    <mergeCell ref="E7:N7"/>
    <mergeCell ref="A1:N1"/>
    <mergeCell ref="A2:N2"/>
    <mergeCell ref="A3:N3"/>
    <mergeCell ref="A4:N4"/>
    <mergeCell ref="A5:N5"/>
  </mergeCells>
  <printOptions horizontalCentered="1"/>
  <pageMargins left="0.5" right="0.5" top="0.5" bottom="0.5" header="0.3" footer="0.3"/>
  <pageSetup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34"/>
  <sheetViews>
    <sheetView workbookViewId="0">
      <selection activeCell="A8" sqref="A8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3" width="9.7109375" style="1" customWidth="1"/>
    <col min="14" max="14" width="12.7109375" style="1" customWidth="1"/>
    <col min="15" max="16384" width="9.140625" style="1"/>
  </cols>
  <sheetData>
    <row r="1" spans="1:14">
      <c r="A1" s="137" t="s">
        <v>154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'2Capital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'Yearly O&amp;M Costs 1-10'!A6</f>
        <v>Current Inflation Rate Based on Municipal Cost Index:</v>
      </c>
      <c r="B5" s="75">
        <f>'Yearly O&amp;M Costs 1-10'!B6</f>
        <v>2.7598896044158234E-2</v>
      </c>
      <c r="C5" s="91"/>
      <c r="D5" s="91"/>
      <c r="E5" s="96"/>
      <c r="G5" s="96"/>
      <c r="H5" s="96"/>
      <c r="I5" s="96"/>
      <c r="J5" s="96"/>
      <c r="K5" s="96"/>
      <c r="L5" s="96"/>
      <c r="M5" s="96" t="s">
        <v>43</v>
      </c>
      <c r="N5" s="101">
        <f>'Replace Costs-Results 16-20'!F5</f>
        <v>4.8750000000000002E-2</v>
      </c>
    </row>
    <row r="6" spans="1:14">
      <c r="A6" s="74"/>
      <c r="B6" s="75"/>
      <c r="C6" s="91"/>
      <c r="D6" s="91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2" t="s">
        <v>4</v>
      </c>
      <c r="B7" s="12" t="s">
        <v>0</v>
      </c>
      <c r="C7" s="12" t="s">
        <v>5</v>
      </c>
      <c r="D7" s="12" t="s">
        <v>1</v>
      </c>
      <c r="E7" s="39">
        <v>11</v>
      </c>
      <c r="F7" s="39">
        <v>12</v>
      </c>
      <c r="G7" s="39">
        <v>13</v>
      </c>
      <c r="H7" s="39">
        <v>14</v>
      </c>
      <c r="I7" s="39">
        <v>15</v>
      </c>
      <c r="J7" s="39">
        <v>16</v>
      </c>
      <c r="K7" s="39">
        <v>17</v>
      </c>
      <c r="L7" s="39">
        <v>18</v>
      </c>
      <c r="M7" s="39">
        <v>19</v>
      </c>
      <c r="N7" s="39">
        <v>20</v>
      </c>
    </row>
    <row r="8" spans="1:14">
      <c r="A8" s="98" t="str">
        <f>IF('2Yearly O&amp;M Costs 1-10'!A9&lt;&gt;"", '2Yearly O&amp;M Costs 1-10'!A9, "")</f>
        <v/>
      </c>
      <c r="B8" s="98" t="str">
        <f>IF('2Yearly O&amp;M Costs 1-10'!B9&lt;&gt;"", '2Yearly O&amp;M Costs 1-10'!B9, "")</f>
        <v/>
      </c>
      <c r="C8" s="98" t="str">
        <f>IF('2Yearly O&amp;M Costs 1-10'!C9&lt;&gt;"", '2Yearly O&amp;M Costs 1-10'!C9, "")</f>
        <v/>
      </c>
      <c r="D8" s="109" t="str">
        <f>IF('2Yearly O&amp;M Costs 1-10'!D9&lt;&gt;"", '2Yearly O&amp;M Costs 1-10'!D9, "")</f>
        <v/>
      </c>
      <c r="E8" s="34" t="str">
        <f t="shared" ref="E8:N23" si="0">IF($A8&lt;&gt;"", (($B8*$D8)*((1+$B$5)^E$7)*(1/((1+$N$5)^E$7))), "")</f>
        <v/>
      </c>
      <c r="F8" s="34" t="str">
        <f t="shared" si="0"/>
        <v/>
      </c>
      <c r="G8" s="34" t="str">
        <f t="shared" si="0"/>
        <v/>
      </c>
      <c r="H8" s="34" t="str">
        <f t="shared" si="0"/>
        <v/>
      </c>
      <c r="I8" s="34" t="str">
        <f t="shared" si="0"/>
        <v/>
      </c>
      <c r="J8" s="34" t="str">
        <f t="shared" si="0"/>
        <v/>
      </c>
      <c r="K8" s="34" t="str">
        <f t="shared" si="0"/>
        <v/>
      </c>
      <c r="L8" s="34" t="str">
        <f t="shared" si="0"/>
        <v/>
      </c>
      <c r="M8" s="34" t="str">
        <f t="shared" si="0"/>
        <v/>
      </c>
      <c r="N8" s="35" t="str">
        <f t="shared" si="0"/>
        <v/>
      </c>
    </row>
    <row r="9" spans="1:14">
      <c r="A9" s="98" t="str">
        <f>IF('2Yearly O&amp;M Costs 1-10'!A10&lt;&gt;"", '2Yearly O&amp;M Costs 1-10'!A10, "")</f>
        <v/>
      </c>
      <c r="B9" s="98" t="str">
        <f>IF('2Yearly O&amp;M Costs 1-10'!B10&lt;&gt;"", '2Yearly O&amp;M Costs 1-10'!B10, "")</f>
        <v/>
      </c>
      <c r="C9" s="98" t="str">
        <f>IF('2Yearly O&amp;M Costs 1-10'!C10&lt;&gt;"", '2Yearly O&amp;M Costs 1-10'!C10, "")</f>
        <v/>
      </c>
      <c r="D9" s="109" t="str">
        <f>IF('2Yearly O&amp;M Costs 1-10'!D10&lt;&gt;"", '2Yearly O&amp;M Costs 1-10'!D10, "")</f>
        <v/>
      </c>
      <c r="E9" s="34" t="str">
        <f t="shared" si="0"/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8" t="str">
        <f>IF('2Yearly O&amp;M Costs 1-10'!A11&lt;&gt;"", '2Yearly O&amp;M Costs 1-10'!A11, "")</f>
        <v/>
      </c>
      <c r="B10" s="98" t="str">
        <f>IF('2Yearly O&amp;M Costs 1-10'!B11&lt;&gt;"", '2Yearly O&amp;M Costs 1-10'!B11, "")</f>
        <v/>
      </c>
      <c r="C10" s="98" t="str">
        <f>IF('2Yearly O&amp;M Costs 1-10'!C11&lt;&gt;"", '2Yearly O&amp;M Costs 1-10'!C11, "")</f>
        <v/>
      </c>
      <c r="D10" s="109" t="str">
        <f>IF('2Yearly O&amp;M Costs 1-10'!D11&lt;&gt;"", '2Yearly O&amp;M Costs 1-10'!D11, "")</f>
        <v/>
      </c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8" t="str">
        <f>IF('2Yearly O&amp;M Costs 1-10'!A12&lt;&gt;"", '2Yearly O&amp;M Costs 1-10'!A12, "")</f>
        <v/>
      </c>
      <c r="B11" s="98" t="str">
        <f>IF('2Yearly O&amp;M Costs 1-10'!B12&lt;&gt;"", '2Yearly O&amp;M Costs 1-10'!B12, "")</f>
        <v/>
      </c>
      <c r="C11" s="98" t="str">
        <f>IF('2Yearly O&amp;M Costs 1-10'!C12&lt;&gt;"", '2Yearly O&amp;M Costs 1-10'!C12, "")</f>
        <v/>
      </c>
      <c r="D11" s="109" t="str">
        <f>IF('2Yearly O&amp;M Costs 1-10'!D12&lt;&gt;"", '2Yearly O&amp;M Costs 1-10'!D12, "")</f>
        <v/>
      </c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8" t="str">
        <f>IF('2Yearly O&amp;M Costs 1-10'!A13&lt;&gt;"", '2Yearly O&amp;M Costs 1-10'!A13, "")</f>
        <v/>
      </c>
      <c r="B12" s="98" t="str">
        <f>IF('2Yearly O&amp;M Costs 1-10'!B13&lt;&gt;"", '2Yearly O&amp;M Costs 1-10'!B13, "")</f>
        <v/>
      </c>
      <c r="C12" s="98" t="str">
        <f>IF('2Yearly O&amp;M Costs 1-10'!C13&lt;&gt;"", '2Yearly O&amp;M Costs 1-10'!C13, "")</f>
        <v/>
      </c>
      <c r="D12" s="109" t="str">
        <f>IF('2Yearly O&amp;M Costs 1-10'!D13&lt;&gt;"", '2Yearly O&amp;M Costs 1-10'!D13, "")</f>
        <v/>
      </c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8" t="str">
        <f>IF('2Yearly O&amp;M Costs 1-10'!A14&lt;&gt;"", '2Yearly O&amp;M Costs 1-10'!A14, "")</f>
        <v/>
      </c>
      <c r="B13" s="98" t="str">
        <f>IF('2Yearly O&amp;M Costs 1-10'!B14&lt;&gt;"", '2Yearly O&amp;M Costs 1-10'!B14, "")</f>
        <v/>
      </c>
      <c r="C13" s="98" t="str">
        <f>IF('2Yearly O&amp;M Costs 1-10'!C14&lt;&gt;"", '2Yearly O&amp;M Costs 1-10'!C14, "")</f>
        <v/>
      </c>
      <c r="D13" s="109" t="str">
        <f>IF('2Yearly O&amp;M Costs 1-10'!D14&lt;&gt;"", '2Yearly O&amp;M Costs 1-10'!D14, "")</f>
        <v/>
      </c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8" t="str">
        <f>IF('2Yearly O&amp;M Costs 1-10'!A15&lt;&gt;"", '2Yearly O&amp;M Costs 1-10'!A15, "")</f>
        <v/>
      </c>
      <c r="B14" s="98" t="str">
        <f>IF('2Yearly O&amp;M Costs 1-10'!B15&lt;&gt;"", '2Yearly O&amp;M Costs 1-10'!B15, "")</f>
        <v/>
      </c>
      <c r="C14" s="98" t="str">
        <f>IF('2Yearly O&amp;M Costs 1-10'!C15&lt;&gt;"", '2Yearly O&amp;M Costs 1-10'!C15, "")</f>
        <v/>
      </c>
      <c r="D14" s="109" t="str">
        <f>IF('2Yearly O&amp;M Costs 1-10'!D15&lt;&gt;"", '2Yearly O&amp;M Costs 1-10'!D15, "")</f>
        <v/>
      </c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8" t="str">
        <f>IF('2Yearly O&amp;M Costs 1-10'!A16&lt;&gt;"", '2Yearly O&amp;M Costs 1-10'!A16, "")</f>
        <v/>
      </c>
      <c r="B15" s="98" t="str">
        <f>IF('2Yearly O&amp;M Costs 1-10'!B16&lt;&gt;"", '2Yearly O&amp;M Costs 1-10'!B16, "")</f>
        <v/>
      </c>
      <c r="C15" s="98" t="str">
        <f>IF('2Yearly O&amp;M Costs 1-10'!C16&lt;&gt;"", '2Yearly O&amp;M Costs 1-10'!C16, "")</f>
        <v/>
      </c>
      <c r="D15" s="109" t="str">
        <f>IF('2Yearly O&amp;M Costs 1-10'!D16&lt;&gt;"", '2Yearly O&amp;M Costs 1-10'!D16, "")</f>
        <v/>
      </c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8" t="str">
        <f>IF('2Yearly O&amp;M Costs 1-10'!A17&lt;&gt;"", '2Yearly O&amp;M Costs 1-10'!A17, "")</f>
        <v/>
      </c>
      <c r="B16" s="98" t="str">
        <f>IF('2Yearly O&amp;M Costs 1-10'!B17&lt;&gt;"", '2Yearly O&amp;M Costs 1-10'!B17, "")</f>
        <v/>
      </c>
      <c r="C16" s="98" t="str">
        <f>IF('2Yearly O&amp;M Costs 1-10'!C17&lt;&gt;"", '2Yearly O&amp;M Costs 1-10'!C17, "")</f>
        <v/>
      </c>
      <c r="D16" s="109" t="str">
        <f>IF('2Yearly O&amp;M Costs 1-10'!D17&lt;&gt;"", '2Yearly O&amp;M Costs 1-10'!D17, "")</f>
        <v/>
      </c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8" t="str">
        <f>IF('2Yearly O&amp;M Costs 1-10'!A18&lt;&gt;"", '2Yearly O&amp;M Costs 1-10'!A18, "")</f>
        <v/>
      </c>
      <c r="B17" s="98" t="str">
        <f>IF('2Yearly O&amp;M Costs 1-10'!B18&lt;&gt;"", '2Yearly O&amp;M Costs 1-10'!B18, "")</f>
        <v/>
      </c>
      <c r="C17" s="98" t="str">
        <f>IF('2Yearly O&amp;M Costs 1-10'!C18&lt;&gt;"", '2Yearly O&amp;M Costs 1-10'!C18, "")</f>
        <v/>
      </c>
      <c r="D17" s="109" t="str">
        <f>IF('2Yearly O&amp;M Costs 1-10'!D18&lt;&gt;"", '2Yearly O&amp;M Costs 1-10'!D18, "")</f>
        <v/>
      </c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8" t="str">
        <f>IF('2Yearly O&amp;M Costs 1-10'!A19&lt;&gt;"", '2Yearly O&amp;M Costs 1-10'!A19, "")</f>
        <v/>
      </c>
      <c r="B18" s="98" t="str">
        <f>IF('2Yearly O&amp;M Costs 1-10'!B19&lt;&gt;"", '2Yearly O&amp;M Costs 1-10'!B19, "")</f>
        <v/>
      </c>
      <c r="C18" s="98" t="str">
        <f>IF('2Yearly O&amp;M Costs 1-10'!C19&lt;&gt;"", '2Yearly O&amp;M Costs 1-10'!C19, "")</f>
        <v/>
      </c>
      <c r="D18" s="109" t="str">
        <f>IF('2Yearly O&amp;M Costs 1-10'!D19&lt;&gt;"", '2Yearly O&amp;M Costs 1-10'!D19, "")</f>
        <v/>
      </c>
      <c r="E18" s="34" t="str">
        <f t="shared" si="0"/>
        <v/>
      </c>
      <c r="F18" s="34" t="str">
        <f t="shared" si="0"/>
        <v/>
      </c>
      <c r="G18" s="34" t="str">
        <f t="shared" si="0"/>
        <v/>
      </c>
      <c r="H18" s="34" t="str">
        <f t="shared" si="0"/>
        <v/>
      </c>
      <c r="I18" s="34" t="str">
        <f t="shared" si="0"/>
        <v/>
      </c>
      <c r="J18" s="34" t="str">
        <f t="shared" si="0"/>
        <v/>
      </c>
      <c r="K18" s="34" t="str">
        <f t="shared" si="0"/>
        <v/>
      </c>
      <c r="L18" s="34" t="str">
        <f t="shared" si="0"/>
        <v/>
      </c>
      <c r="M18" s="34" t="str">
        <f t="shared" si="0"/>
        <v/>
      </c>
      <c r="N18" s="35" t="str">
        <f t="shared" si="0"/>
        <v/>
      </c>
    </row>
    <row r="19" spans="1:14">
      <c r="A19" s="98" t="str">
        <f>IF('2Yearly O&amp;M Costs 1-10'!A20&lt;&gt;"", '2Yearly O&amp;M Costs 1-10'!A20, "")</f>
        <v/>
      </c>
      <c r="B19" s="98" t="str">
        <f>IF('2Yearly O&amp;M Costs 1-10'!B20&lt;&gt;"", '2Yearly O&amp;M Costs 1-10'!B20, "")</f>
        <v/>
      </c>
      <c r="C19" s="98" t="str">
        <f>IF('2Yearly O&amp;M Costs 1-10'!C20&lt;&gt;"", '2Yearly O&amp;M Costs 1-10'!C20, "")</f>
        <v/>
      </c>
      <c r="D19" s="109" t="str">
        <f>IF('2Yearly O&amp;M Costs 1-10'!D20&lt;&gt;"", '2Yearly O&amp;M Costs 1-10'!D20, "")</f>
        <v/>
      </c>
      <c r="E19" s="34" t="str">
        <f t="shared" si="0"/>
        <v/>
      </c>
      <c r="F19" s="34" t="str">
        <f t="shared" si="0"/>
        <v/>
      </c>
      <c r="G19" s="34" t="str">
        <f t="shared" si="0"/>
        <v/>
      </c>
      <c r="H19" s="34" t="str">
        <f t="shared" si="0"/>
        <v/>
      </c>
      <c r="I19" s="34" t="str">
        <f t="shared" si="0"/>
        <v/>
      </c>
      <c r="J19" s="34" t="str">
        <f t="shared" si="0"/>
        <v/>
      </c>
      <c r="K19" s="34" t="str">
        <f t="shared" si="0"/>
        <v/>
      </c>
      <c r="L19" s="34" t="str">
        <f t="shared" si="0"/>
        <v/>
      </c>
      <c r="M19" s="34" t="str">
        <f t="shared" si="0"/>
        <v/>
      </c>
      <c r="N19" s="35" t="str">
        <f t="shared" si="0"/>
        <v/>
      </c>
    </row>
    <row r="20" spans="1:14">
      <c r="A20" s="98" t="str">
        <f>IF('2Yearly O&amp;M Costs 1-10'!A21&lt;&gt;"", '2Yearly O&amp;M Costs 1-10'!A21, "")</f>
        <v/>
      </c>
      <c r="B20" s="98" t="str">
        <f>IF('2Yearly O&amp;M Costs 1-10'!B21&lt;&gt;"", '2Yearly O&amp;M Costs 1-10'!B21, "")</f>
        <v/>
      </c>
      <c r="C20" s="98" t="str">
        <f>IF('2Yearly O&amp;M Costs 1-10'!C21&lt;&gt;"", '2Yearly O&amp;M Costs 1-10'!C21, "")</f>
        <v/>
      </c>
      <c r="D20" s="109" t="str">
        <f>IF('2Yearly O&amp;M Costs 1-10'!D21&lt;&gt;"", '2Yearly O&amp;M Costs 1-10'!D21, "")</f>
        <v/>
      </c>
      <c r="E20" s="34" t="str">
        <f t="shared" si="0"/>
        <v/>
      </c>
      <c r="F20" s="34" t="str">
        <f t="shared" si="0"/>
        <v/>
      </c>
      <c r="G20" s="34" t="str">
        <f t="shared" si="0"/>
        <v/>
      </c>
      <c r="H20" s="34" t="str">
        <f t="shared" si="0"/>
        <v/>
      </c>
      <c r="I20" s="34" t="str">
        <f t="shared" si="0"/>
        <v/>
      </c>
      <c r="J20" s="34" t="str">
        <f t="shared" si="0"/>
        <v/>
      </c>
      <c r="K20" s="34" t="str">
        <f t="shared" si="0"/>
        <v/>
      </c>
      <c r="L20" s="34" t="str">
        <f t="shared" si="0"/>
        <v/>
      </c>
      <c r="M20" s="34" t="str">
        <f t="shared" si="0"/>
        <v/>
      </c>
      <c r="N20" s="35" t="str">
        <f t="shared" si="0"/>
        <v/>
      </c>
    </row>
    <row r="21" spans="1:14">
      <c r="A21" s="98" t="str">
        <f>IF('2Yearly O&amp;M Costs 1-10'!A22&lt;&gt;"", '2Yearly O&amp;M Costs 1-10'!A22, "")</f>
        <v/>
      </c>
      <c r="B21" s="98" t="str">
        <f>IF('2Yearly O&amp;M Costs 1-10'!B22&lt;&gt;"", '2Yearly O&amp;M Costs 1-10'!B22, "")</f>
        <v/>
      </c>
      <c r="C21" s="98" t="str">
        <f>IF('2Yearly O&amp;M Costs 1-10'!C22&lt;&gt;"", '2Yearly O&amp;M Costs 1-10'!C22, "")</f>
        <v/>
      </c>
      <c r="D21" s="109" t="str">
        <f>IF('2Yearly O&amp;M Costs 1-10'!D22&lt;&gt;"", '2Yearly O&amp;M Costs 1-10'!D22, "")</f>
        <v/>
      </c>
      <c r="E21" s="34" t="str">
        <f t="shared" si="0"/>
        <v/>
      </c>
      <c r="F21" s="34" t="str">
        <f t="shared" si="0"/>
        <v/>
      </c>
      <c r="G21" s="34" t="str">
        <f t="shared" si="0"/>
        <v/>
      </c>
      <c r="H21" s="34" t="str">
        <f t="shared" si="0"/>
        <v/>
      </c>
      <c r="I21" s="34" t="str">
        <f t="shared" si="0"/>
        <v/>
      </c>
      <c r="J21" s="34" t="str">
        <f t="shared" si="0"/>
        <v/>
      </c>
      <c r="K21" s="34" t="str">
        <f t="shared" si="0"/>
        <v/>
      </c>
      <c r="L21" s="34" t="str">
        <f t="shared" si="0"/>
        <v/>
      </c>
      <c r="M21" s="34" t="str">
        <f t="shared" si="0"/>
        <v/>
      </c>
      <c r="N21" s="35" t="str">
        <f t="shared" si="0"/>
        <v/>
      </c>
    </row>
    <row r="22" spans="1:14">
      <c r="A22" s="98" t="str">
        <f>IF('2Yearly O&amp;M Costs 1-10'!A23&lt;&gt;"", '2Yearly O&amp;M Costs 1-10'!A23, "")</f>
        <v/>
      </c>
      <c r="B22" s="98" t="str">
        <f>IF('2Yearly O&amp;M Costs 1-10'!B23&lt;&gt;"", '2Yearly O&amp;M Costs 1-10'!B23, "")</f>
        <v/>
      </c>
      <c r="C22" s="98" t="str">
        <f>IF('2Yearly O&amp;M Costs 1-10'!C23&lt;&gt;"", '2Yearly O&amp;M Costs 1-10'!C23, "")</f>
        <v/>
      </c>
      <c r="D22" s="109" t="str">
        <f>IF('2Yearly O&amp;M Costs 1-10'!D23&lt;&gt;"", '2Yearly O&amp;M Costs 1-10'!D23, "")</f>
        <v/>
      </c>
      <c r="E22" s="34" t="str">
        <f t="shared" si="0"/>
        <v/>
      </c>
      <c r="F22" s="34" t="str">
        <f t="shared" si="0"/>
        <v/>
      </c>
      <c r="G22" s="34" t="str">
        <f t="shared" si="0"/>
        <v/>
      </c>
      <c r="H22" s="34" t="str">
        <f t="shared" si="0"/>
        <v/>
      </c>
      <c r="I22" s="34" t="str">
        <f t="shared" si="0"/>
        <v/>
      </c>
      <c r="J22" s="34" t="str">
        <f t="shared" si="0"/>
        <v/>
      </c>
      <c r="K22" s="34" t="str">
        <f t="shared" si="0"/>
        <v/>
      </c>
      <c r="L22" s="34" t="str">
        <f t="shared" si="0"/>
        <v/>
      </c>
      <c r="M22" s="34" t="str">
        <f t="shared" si="0"/>
        <v/>
      </c>
      <c r="N22" s="35" t="str">
        <f t="shared" si="0"/>
        <v/>
      </c>
    </row>
    <row r="23" spans="1:14">
      <c r="A23" s="98" t="str">
        <f>IF('2Yearly O&amp;M Costs 1-10'!A24&lt;&gt;"", '2Yearly O&amp;M Costs 1-10'!A24, "")</f>
        <v/>
      </c>
      <c r="B23" s="98" t="str">
        <f>IF('2Yearly O&amp;M Costs 1-10'!B24&lt;&gt;"", '2Yearly O&amp;M Costs 1-10'!B24, "")</f>
        <v/>
      </c>
      <c r="C23" s="98" t="str">
        <f>IF('2Yearly O&amp;M Costs 1-10'!C24&lt;&gt;"", '2Yearly O&amp;M Costs 1-10'!C24, "")</f>
        <v/>
      </c>
      <c r="D23" s="109" t="str">
        <f>IF('2Yearly O&amp;M Costs 1-10'!D24&lt;&gt;"", '2Yearly O&amp;M Costs 1-10'!D24, "")</f>
        <v/>
      </c>
      <c r="E23" s="34" t="str">
        <f t="shared" si="0"/>
        <v/>
      </c>
      <c r="F23" s="34" t="str">
        <f t="shared" si="0"/>
        <v/>
      </c>
      <c r="G23" s="34" t="str">
        <f t="shared" si="0"/>
        <v/>
      </c>
      <c r="H23" s="34" t="str">
        <f t="shared" si="0"/>
        <v/>
      </c>
      <c r="I23" s="34" t="str">
        <f t="shared" si="0"/>
        <v/>
      </c>
      <c r="J23" s="34" t="str">
        <f t="shared" si="0"/>
        <v/>
      </c>
      <c r="K23" s="34" t="str">
        <f t="shared" si="0"/>
        <v/>
      </c>
      <c r="L23" s="34" t="str">
        <f t="shared" si="0"/>
        <v/>
      </c>
      <c r="M23" s="34" t="str">
        <f t="shared" si="0"/>
        <v/>
      </c>
      <c r="N23" s="35" t="str">
        <f t="shared" si="0"/>
        <v/>
      </c>
    </row>
    <row r="24" spans="1:14">
      <c r="A24" s="98" t="str">
        <f>IF('2Yearly O&amp;M Costs 1-10'!A25&lt;&gt;"", '2Yearly O&amp;M Costs 1-10'!A25, "")</f>
        <v/>
      </c>
      <c r="B24" s="98" t="str">
        <f>IF('2Yearly O&amp;M Costs 1-10'!B25&lt;&gt;"", '2Yearly O&amp;M Costs 1-10'!B25, "")</f>
        <v/>
      </c>
      <c r="C24" s="98" t="str">
        <f>IF('2Yearly O&amp;M Costs 1-10'!C25&lt;&gt;"", '2Yearly O&amp;M Costs 1-10'!C25, "")</f>
        <v/>
      </c>
      <c r="D24" s="109" t="str">
        <f>IF('2Yearly O&amp;M Costs 1-10'!D25&lt;&gt;"", '2Yearly O&amp;M Costs 1-10'!D25, "")</f>
        <v/>
      </c>
      <c r="E24" s="34" t="str">
        <f t="shared" ref="E24:N30" si="1">IF($A24&lt;&gt;"", (($B24*$D24)*((1+$B$5)^E$7)*(1/((1+$N$5)^E$7))), "")</f>
        <v/>
      </c>
      <c r="F24" s="34" t="str">
        <f t="shared" si="1"/>
        <v/>
      </c>
      <c r="G24" s="34" t="str">
        <f t="shared" si="1"/>
        <v/>
      </c>
      <c r="H24" s="34" t="str">
        <f t="shared" si="1"/>
        <v/>
      </c>
      <c r="I24" s="34" t="str">
        <f t="shared" si="1"/>
        <v/>
      </c>
      <c r="J24" s="34" t="str">
        <f t="shared" si="1"/>
        <v/>
      </c>
      <c r="K24" s="34" t="str">
        <f t="shared" si="1"/>
        <v/>
      </c>
      <c r="L24" s="34" t="str">
        <f t="shared" si="1"/>
        <v/>
      </c>
      <c r="M24" s="34" t="str">
        <f t="shared" si="1"/>
        <v/>
      </c>
      <c r="N24" s="35" t="str">
        <f t="shared" si="1"/>
        <v/>
      </c>
    </row>
    <row r="25" spans="1:14">
      <c r="A25" s="98" t="str">
        <f>IF('2Yearly O&amp;M Costs 1-10'!A26&lt;&gt;"", '2Yearly O&amp;M Costs 1-10'!A26, "")</f>
        <v/>
      </c>
      <c r="B25" s="98" t="str">
        <f>IF('2Yearly O&amp;M Costs 1-10'!B26&lt;&gt;"", '2Yearly O&amp;M Costs 1-10'!B26, "")</f>
        <v/>
      </c>
      <c r="C25" s="98" t="str">
        <f>IF('2Yearly O&amp;M Costs 1-10'!C26&lt;&gt;"", '2Yearly O&amp;M Costs 1-10'!C26, "")</f>
        <v/>
      </c>
      <c r="D25" s="109" t="str">
        <f>IF('2Yearly O&amp;M Costs 1-10'!D26&lt;&gt;"", '2Yearly O&amp;M Costs 1-10'!D26, "")</f>
        <v/>
      </c>
      <c r="E25" s="34" t="str">
        <f t="shared" si="1"/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8" t="str">
        <f>IF('2Yearly O&amp;M Costs 1-10'!A27&lt;&gt;"", '2Yearly O&amp;M Costs 1-10'!A27, "")</f>
        <v/>
      </c>
      <c r="B26" s="98" t="str">
        <f>IF('2Yearly O&amp;M Costs 1-10'!B27&lt;&gt;"", '2Yearly O&amp;M Costs 1-10'!B27, "")</f>
        <v/>
      </c>
      <c r="C26" s="98" t="str">
        <f>IF('2Yearly O&amp;M Costs 1-10'!C27&lt;&gt;"", '2Yearly O&amp;M Costs 1-10'!C27, "")</f>
        <v/>
      </c>
      <c r="D26" s="109" t="str">
        <f>IF('2Yearly O&amp;M Costs 1-10'!D27&lt;&gt;"", '2Yearly O&amp;M Costs 1-10'!D27, "")</f>
        <v/>
      </c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8" t="str">
        <f>IF('2Yearly O&amp;M Costs 1-10'!A28&lt;&gt;"", '2Yearly O&amp;M Costs 1-10'!A28, "")</f>
        <v/>
      </c>
      <c r="B27" s="98" t="str">
        <f>IF('2Yearly O&amp;M Costs 1-10'!B28&lt;&gt;"", '2Yearly O&amp;M Costs 1-10'!B28, "")</f>
        <v/>
      </c>
      <c r="C27" s="98" t="str">
        <f>IF('2Yearly O&amp;M Costs 1-10'!C28&lt;&gt;"", '2Yearly O&amp;M Costs 1-10'!C28, "")</f>
        <v/>
      </c>
      <c r="D27" s="109" t="str">
        <f>IF('2Yearly O&amp;M Costs 1-10'!D28&lt;&gt;"", '2Yearly O&amp;M Costs 1-10'!D28, "")</f>
        <v/>
      </c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8" t="str">
        <f>IF('2Yearly O&amp;M Costs 1-10'!A29&lt;&gt;"", '2Yearly O&amp;M Costs 1-10'!A29, "")</f>
        <v/>
      </c>
      <c r="B28" s="98" t="str">
        <f>IF('2Yearly O&amp;M Costs 1-10'!B29&lt;&gt;"", '2Yearly O&amp;M Costs 1-10'!B29, "")</f>
        <v/>
      </c>
      <c r="C28" s="98" t="str">
        <f>IF('2Yearly O&amp;M Costs 1-10'!C29&lt;&gt;"", '2Yearly O&amp;M Costs 1-10'!C29, "")</f>
        <v/>
      </c>
      <c r="D28" s="109" t="str">
        <f>IF('2Yearly O&amp;M Costs 1-10'!D29&lt;&gt;"", '2Yearly O&amp;M Costs 1-10'!D29, "")</f>
        <v/>
      </c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8" t="str">
        <f>IF('2Yearly O&amp;M Costs 1-10'!A30&lt;&gt;"", '2Yearly O&amp;M Costs 1-10'!A30, "")</f>
        <v/>
      </c>
      <c r="B29" s="98" t="str">
        <f>IF('2Yearly O&amp;M Costs 1-10'!B30&lt;&gt;"", '2Yearly O&amp;M Costs 1-10'!B30, "")</f>
        <v/>
      </c>
      <c r="C29" s="98" t="str">
        <f>IF('2Yearly O&amp;M Costs 1-10'!C30&lt;&gt;"", '2Yearly O&amp;M Costs 1-10'!C30, "")</f>
        <v/>
      </c>
      <c r="D29" s="109" t="str">
        <f>IF('2Yearly O&amp;M Costs 1-10'!D30&lt;&gt;"", '2Yearly O&amp;M Costs 1-10'!D30, "")</f>
        <v/>
      </c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8" t="str">
        <f>IF('2Yearly O&amp;M Costs 1-10'!A31&lt;&gt;"", '2Yearly O&amp;M Costs 1-10'!A31, "")</f>
        <v/>
      </c>
      <c r="B30" s="98" t="str">
        <f>IF('2Yearly O&amp;M Costs 1-10'!B31&lt;&gt;"", '2Yearly O&amp;M Costs 1-10'!B31, "")</f>
        <v/>
      </c>
      <c r="C30" s="98" t="str">
        <f>IF('2Yearly O&amp;M Costs 1-10'!C31&lt;&gt;"", '2Yearly O&amp;M Costs 1-10'!C31, "")</f>
        <v/>
      </c>
      <c r="D30" s="109" t="str">
        <f>IF('2Yearly O&amp;M Costs 1-10'!D31&lt;&gt;"", '2Yearly O&amp;M Costs 1-10'!D31, "")</f>
        <v/>
      </c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"/>
      <c r="B31" s="23"/>
      <c r="C31" s="23"/>
      <c r="D31" s="37" t="s">
        <v>55</v>
      </c>
      <c r="E31" s="28">
        <f>SUM(E8:E30)</f>
        <v>0</v>
      </c>
      <c r="F31" s="28">
        <f t="shared" ref="F31:N31" si="2">SUM(F8:F30)</f>
        <v>0</v>
      </c>
      <c r="G31" s="28">
        <f t="shared" si="2"/>
        <v>0</v>
      </c>
      <c r="H31" s="28">
        <f t="shared" si="2"/>
        <v>0</v>
      </c>
      <c r="I31" s="28">
        <f t="shared" si="2"/>
        <v>0</v>
      </c>
      <c r="J31" s="28">
        <f t="shared" si="2"/>
        <v>0</v>
      </c>
      <c r="K31" s="28">
        <f t="shared" si="2"/>
        <v>0</v>
      </c>
      <c r="L31" s="28">
        <f t="shared" si="2"/>
        <v>0</v>
      </c>
      <c r="M31" s="28">
        <f t="shared" si="2"/>
        <v>0</v>
      </c>
      <c r="N31" s="28">
        <f t="shared" si="2"/>
        <v>0</v>
      </c>
    </row>
    <row r="32" spans="1:14">
      <c r="M32" s="2" t="s">
        <v>56</v>
      </c>
      <c r="N32" s="28">
        <f>'2Yearly O&amp;M Costs 1-10'!E32+'2Yearly O&amp;M Costs 1-10'!F32+'2Yearly O&amp;M Costs 1-10'!G32+'2Yearly O&amp;M Costs 1-10'!H32+'2Yearly O&amp;M Costs 1-10'!I32+'2Yearly O&amp;M Costs 1-10'!J32+'2Yearly O&amp;M Costs 1-10'!K32+'2Yearly O&amp;M Costs 1-10'!L32+'2Yearly O&amp;M Costs 1-10'!M32+'2Yearly O&amp;M Costs 1-10'!N32+'2Yearly O&amp;M Costs 11-20'!E31+'2Yearly O&amp;M Costs 11-20'!F31+'2Yearly O&amp;M Costs 11-20'!G31+'2Yearly O&amp;M Costs 11-20'!H31+'2Yearly O&amp;M Costs 11-20'!I31+'2Yearly O&amp;M Costs 11-20'!J31+'2Yearly O&amp;M Costs 11-20'!K31+'2Yearly O&amp;M Costs 11-20'!L31+'2Yearly O&amp;M Costs 11-20'!M31+'2Yearly O&amp;M Costs 11-20'!N31</f>
        <v>0</v>
      </c>
    </row>
    <row r="34" spans="1:2" hidden="1">
      <c r="A34" s="6" t="s">
        <v>7</v>
      </c>
      <c r="B34" s="33">
        <v>4.8750000000000002E-2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5" bottom="0.5" header="0.3" footer="0.3"/>
  <pageSetup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20"/>
  <sheetViews>
    <sheetView zoomScaleNormal="100" workbookViewId="0">
      <pane xSplit="4" ySplit="8" topLeftCell="I9" activePane="bottomRight" state="frozen"/>
      <selection pane="topRight" activeCell="E1" sqref="E1"/>
      <selection pane="bottomLeft" activeCell="A8" sqref="A8"/>
      <selection pane="bottomRight" activeCell="A9" sqref="A9:AB12"/>
    </sheetView>
  </sheetViews>
  <sheetFormatPr defaultRowHeight="15.75"/>
  <cols>
    <col min="1" max="1" width="38.42578125" style="1" customWidth="1"/>
    <col min="2" max="4" width="12.7109375" style="1" customWidth="1"/>
    <col min="5" max="5" width="13.28515625" style="1" hidden="1" customWidth="1"/>
    <col min="6" max="6" width="13.5703125" style="1" hidden="1" customWidth="1"/>
    <col min="7" max="7" width="13.85546875" style="1" hidden="1" customWidth="1"/>
    <col min="8" max="8" width="13.7109375" style="1" hidden="1" customWidth="1"/>
    <col min="9" max="28" width="8.7109375" style="1" customWidth="1"/>
    <col min="29" max="16384" width="9.140625" style="1"/>
  </cols>
  <sheetData>
    <row r="1" spans="1:28">
      <c r="A1" s="150" t="s">
        <v>67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3" spans="1:28">
      <c r="A3" s="2" t="s">
        <v>3</v>
      </c>
      <c r="B3" s="149">
        <f>'2Capital Costs'!B6</f>
        <v>0</v>
      </c>
      <c r="C3" s="149"/>
      <c r="D3" s="149"/>
      <c r="E3" s="149"/>
      <c r="F3" s="149"/>
      <c r="G3" s="149"/>
      <c r="H3" s="149"/>
      <c r="I3" s="149"/>
      <c r="J3" s="149"/>
    </row>
    <row r="5" spans="1:28">
      <c r="A5" s="7" t="s">
        <v>42</v>
      </c>
      <c r="B5" s="7"/>
      <c r="C5" s="7"/>
      <c r="D5" s="7"/>
      <c r="E5" s="7"/>
      <c r="F5" s="7"/>
      <c r="G5" s="7"/>
      <c r="H5" s="7"/>
    </row>
    <row r="7" spans="1:28">
      <c r="A7" s="14"/>
      <c r="B7" s="15"/>
      <c r="C7" s="15"/>
      <c r="D7" s="15"/>
      <c r="E7" s="32"/>
      <c r="F7" s="32"/>
      <c r="G7" s="32"/>
      <c r="H7" s="32"/>
      <c r="I7" s="147" t="s">
        <v>68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8"/>
    </row>
    <row r="8" spans="1:28" ht="62.25" customHeight="1">
      <c r="A8" s="94" t="s">
        <v>4</v>
      </c>
      <c r="B8" s="92" t="s">
        <v>0</v>
      </c>
      <c r="C8" s="92" t="s">
        <v>5</v>
      </c>
      <c r="D8" s="92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92">
        <v>1</v>
      </c>
      <c r="J8" s="92">
        <v>2</v>
      </c>
      <c r="K8" s="92">
        <v>3</v>
      </c>
      <c r="L8" s="92">
        <v>4</v>
      </c>
      <c r="M8" s="92">
        <v>5</v>
      </c>
      <c r="N8" s="92">
        <v>6</v>
      </c>
      <c r="O8" s="92">
        <v>7</v>
      </c>
      <c r="P8" s="92">
        <v>8</v>
      </c>
      <c r="Q8" s="92">
        <v>9</v>
      </c>
      <c r="R8" s="92">
        <v>10</v>
      </c>
      <c r="S8" s="92">
        <v>11</v>
      </c>
      <c r="T8" s="92">
        <v>12</v>
      </c>
      <c r="U8" s="92">
        <v>13</v>
      </c>
      <c r="V8" s="92">
        <v>14</v>
      </c>
      <c r="W8" s="92">
        <v>15</v>
      </c>
      <c r="X8" s="92">
        <v>16</v>
      </c>
      <c r="Y8" s="92">
        <v>17</v>
      </c>
      <c r="Z8" s="92">
        <v>18</v>
      </c>
      <c r="AA8" s="92">
        <v>19</v>
      </c>
      <c r="AB8" s="93">
        <v>20</v>
      </c>
    </row>
    <row r="9" spans="1:28">
      <c r="A9" s="103"/>
      <c r="B9" s="104"/>
      <c r="C9" s="103"/>
      <c r="D9" s="111"/>
      <c r="E9" s="102"/>
      <c r="F9" s="102"/>
      <c r="G9" s="102"/>
      <c r="H9" s="102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8"/>
    </row>
    <row r="10" spans="1:28">
      <c r="A10" s="103"/>
      <c r="B10" s="104"/>
      <c r="C10" s="103"/>
      <c r="D10" s="111"/>
      <c r="E10" s="102"/>
      <c r="F10" s="102"/>
      <c r="G10" s="102"/>
      <c r="H10" s="102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8"/>
    </row>
    <row r="11" spans="1:28">
      <c r="A11" s="103"/>
      <c r="B11" s="104"/>
      <c r="C11" s="103"/>
      <c r="D11" s="111"/>
      <c r="E11" s="102"/>
      <c r="F11" s="102"/>
      <c r="G11" s="102"/>
      <c r="H11" s="102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8"/>
    </row>
    <row r="12" spans="1:28">
      <c r="A12" s="103"/>
      <c r="B12" s="110"/>
      <c r="C12" s="103"/>
      <c r="D12" s="111"/>
      <c r="E12" s="102"/>
      <c r="F12" s="102"/>
      <c r="G12" s="102"/>
      <c r="H12" s="102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8"/>
    </row>
    <row r="13" spans="1:28">
      <c r="A13" s="103"/>
      <c r="B13" s="104"/>
      <c r="C13" s="103"/>
      <c r="D13" s="111"/>
      <c r="E13" s="102"/>
      <c r="F13" s="102"/>
      <c r="G13" s="102"/>
      <c r="H13" s="102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8"/>
    </row>
    <row r="14" spans="1:28">
      <c r="A14" s="103"/>
      <c r="B14" s="104"/>
      <c r="C14" s="103"/>
      <c r="D14" s="111"/>
      <c r="E14" s="102"/>
      <c r="F14" s="102"/>
      <c r="G14" s="102"/>
      <c r="H14" s="102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8"/>
    </row>
    <row r="15" spans="1:28">
      <c r="A15" s="103"/>
      <c r="B15" s="104"/>
      <c r="C15" s="103"/>
      <c r="D15" s="111"/>
      <c r="E15" s="102"/>
      <c r="F15" s="102"/>
      <c r="G15" s="102"/>
      <c r="H15" s="102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8"/>
    </row>
    <row r="16" spans="1:28">
      <c r="A16" s="103"/>
      <c r="B16" s="104"/>
      <c r="C16" s="103"/>
      <c r="D16" s="111"/>
      <c r="E16" s="102"/>
      <c r="F16" s="102"/>
      <c r="G16" s="102"/>
      <c r="H16" s="102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8"/>
    </row>
    <row r="17" spans="1:28">
      <c r="A17" s="103"/>
      <c r="B17" s="104"/>
      <c r="C17" s="103"/>
      <c r="D17" s="111"/>
      <c r="E17" s="102"/>
      <c r="F17" s="102"/>
      <c r="G17" s="102"/>
      <c r="H17" s="102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8"/>
    </row>
    <row r="18" spans="1:28">
      <c r="A18" s="103"/>
      <c r="B18" s="104"/>
      <c r="C18" s="103"/>
      <c r="D18" s="111"/>
      <c r="E18" s="102"/>
      <c r="F18" s="102"/>
      <c r="G18" s="102"/>
      <c r="H18" s="102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8"/>
    </row>
    <row r="19" spans="1:28">
      <c r="A19" s="103"/>
      <c r="B19" s="104"/>
      <c r="C19" s="103"/>
      <c r="D19" s="111"/>
      <c r="E19" s="102"/>
      <c r="F19" s="102"/>
      <c r="G19" s="102"/>
      <c r="H19" s="102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8"/>
    </row>
    <row r="20" spans="1:28">
      <c r="A20" s="103"/>
      <c r="B20" s="104"/>
      <c r="C20" s="103"/>
      <c r="D20" s="111"/>
      <c r="E20" s="102"/>
      <c r="F20" s="102"/>
      <c r="G20" s="102"/>
      <c r="H20" s="102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8"/>
    </row>
  </sheetData>
  <sheetProtection sheet="1" objects="1" scenarios="1"/>
  <mergeCells count="3">
    <mergeCell ref="A1:AB1"/>
    <mergeCell ref="B3:J3"/>
    <mergeCell ref="I7:AB7"/>
  </mergeCells>
  <dataValidations count="1">
    <dataValidation type="list" allowBlank="1" showInputMessage="1" showErrorMessage="1" sqref="B3:J3">
      <formula1>Input!B6:B11</formula1>
    </dataValidation>
  </dataValidations>
  <pageMargins left="0.7" right="0.7" top="0.75" bottom="0.75" header="0.3" footer="0.3"/>
  <pageSetup scale="76" fitToWidth="4" orientation="landscape" r:id="rId1"/>
  <headerFooter>
    <oddHeader>&amp;C&amp;D
&amp;F</oddHeader>
    <oddFooter>&amp;L&amp;A&amp;RPage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dimension ref="A1:N20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155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'2Capital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'2Yearly O&amp;M Costs 11-20'!A5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</v>
      </c>
      <c r="F7" s="12">
        <v>2</v>
      </c>
      <c r="G7" s="12">
        <v>3</v>
      </c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12">
        <v>9</v>
      </c>
      <c r="N7" s="12">
        <v>10</v>
      </c>
    </row>
    <row r="8" spans="1:14">
      <c r="A8" s="31" t="str">
        <f>IF('2Inter O&amp;M Entry'!A9&lt;&gt;"", '2Inter O&amp;M Entry'!A9, "")</f>
        <v/>
      </c>
      <c r="B8" s="35" t="str">
        <f>IF('2Inter O&amp;M Entry'!B9&lt;&gt;"", '2Inter O&amp;M Entry'!B9, "")</f>
        <v/>
      </c>
      <c r="C8" s="31" t="str">
        <f>IF('2Inter O&amp;M Entry'!C9&lt;&gt;"", '2Inter O&amp;M Entry'!C9, "")</f>
        <v/>
      </c>
      <c r="D8" s="108" t="str">
        <f>IF('2Inter O&amp;M Entry'!D9&lt;&gt;"", '2Inter O&amp;M Entry'!D9, "")</f>
        <v/>
      </c>
      <c r="E8" s="35" t="str">
        <f>IF(A8&lt;&gt;"", (IF('2Inter O&amp;M Entry'!I9="Y", ((($B8*$D8)*((1+$B$5)^E$7))*(1/((1+$N$5)^E$7))), 0)), "")</f>
        <v/>
      </c>
      <c r="F8" s="35" t="str">
        <f>IF(B8&lt;&gt;"", (IF('2Inter O&amp;M Entry'!J9="Y", ((($B8*$D8)*((1+$B$5)^F$7))*(1/((1+$N$5)^F$7))), 0)), "")</f>
        <v/>
      </c>
      <c r="G8" s="35" t="str">
        <f>IF(C8&lt;&gt;"", (IF('2Inter O&amp;M Entry'!K9="Y", ((($B8*$D8)*((1+$B$5)^G$7))*(1/((1+$N$5)^G$7))), 0)), "")</f>
        <v/>
      </c>
      <c r="H8" s="35" t="str">
        <f>IF(D8&lt;&gt;"", (IF('2Inter O&amp;M Entry'!L9="Y", ((($B8*$D8)*((1+$B$5)^H$7))*(1/((1+$N$5)^H$7))), 0)), "")</f>
        <v/>
      </c>
      <c r="I8" s="35" t="str">
        <f>IF(E8&lt;&gt;"", (IF('2Inter O&amp;M Entry'!M9="Y", ((($B8*$D8)*((1+$B$5)^I$7))*(1/((1+$N$5)^I$7))), 0)), "")</f>
        <v/>
      </c>
      <c r="J8" s="35" t="str">
        <f>IF(F8&lt;&gt;"", (IF('2Inter O&amp;M Entry'!N9="Y", ((($B8*$D8)*((1+$B$5)^J$7))*(1/((1+$N$5)^J$7))), 0)), "")</f>
        <v/>
      </c>
      <c r="K8" s="35" t="str">
        <f>IF(G8&lt;&gt;"", (IF('2Inter O&amp;M Entry'!O9="Y", ((($B8*$D8)*((1+$B$5)^K$7))*(1/((1+$N$5)^K$7))), 0)), "")</f>
        <v/>
      </c>
      <c r="L8" s="35" t="str">
        <f>IF(H8&lt;&gt;"", (IF('2Inter O&amp;M Entry'!P9="Y", ((($B8*$D8)*((1+$B$5)^L$7))*(1/((1+$N$5)^L$7))), 0)), "")</f>
        <v/>
      </c>
      <c r="M8" s="35" t="str">
        <f>IF(I8&lt;&gt;"", (IF('2Inter O&amp;M Entry'!Q9="Y", ((($B8*$D8)*((1+$B$5)^M$7))*(1/((1+$N$5)^M$7))), 0)), "")</f>
        <v/>
      </c>
      <c r="N8" s="35" t="str">
        <f>IF(J8&lt;&gt;"", (IF('2Inter O&amp;M Entry'!R9="Y", ((($B8*$D8)*((1+$B$5)^N$7))*(1/((1+$N$5)^N$7))), 0)), "")</f>
        <v/>
      </c>
    </row>
    <row r="9" spans="1:14">
      <c r="A9" s="31" t="str">
        <f>IF('2Inter O&amp;M Entry'!A10&lt;&gt;"", '2Inter O&amp;M Entry'!A10, "")</f>
        <v/>
      </c>
      <c r="B9" s="35" t="str">
        <f>IF('2Inter O&amp;M Entry'!B10&lt;&gt;"", '2Inter O&amp;M Entry'!B10, "")</f>
        <v/>
      </c>
      <c r="C9" s="31" t="str">
        <f>IF('2Inter O&amp;M Entry'!C10&lt;&gt;"", '2Inter O&amp;M Entry'!C10, "")</f>
        <v/>
      </c>
      <c r="D9" s="108" t="str">
        <f>IF('2Inter O&amp;M Entry'!D10&lt;&gt;"", '2Inter O&amp;M Entry'!D10, "")</f>
        <v/>
      </c>
      <c r="E9" s="35" t="str">
        <f>IF(A9&lt;&gt;"", (IF('2Inter O&amp;M Entry'!I10="Y", ((($B9*$D9)*((1+$B$5)^E$7))*(1/((1+$N$5)^E$7))), 0)), "")</f>
        <v/>
      </c>
      <c r="F9" s="35" t="str">
        <f>IF(B9&lt;&gt;"", (IF('2Inter O&amp;M Entry'!J10="Y", ((($B9*$D9)*((1+$B$5)^F$7))*(1/((1+$N$5)^F$7))), 0)), "")</f>
        <v/>
      </c>
      <c r="G9" s="35" t="str">
        <f>IF(C9&lt;&gt;"", (IF('2Inter O&amp;M Entry'!K10="Y", ((($B9*$D9)*((1+$B$5)^G$7))*(1/((1+$N$5)^G$7))), 0)), "")</f>
        <v/>
      </c>
      <c r="H9" s="35" t="str">
        <f>IF(D9&lt;&gt;"", (IF('2Inter O&amp;M Entry'!L10="Y", ((($B9*$D9)*((1+$B$5)^H$7))*(1/((1+$N$5)^H$7))), 0)), "")</f>
        <v/>
      </c>
      <c r="I9" s="35" t="str">
        <f>IF(E9&lt;&gt;"", (IF('2Inter O&amp;M Entry'!M10="Y", ((($B9*$D9)*((1+$B$5)^I$7))*(1/((1+$N$5)^I$7))), 0)), "")</f>
        <v/>
      </c>
      <c r="J9" s="35" t="str">
        <f>IF(F9&lt;&gt;"", (IF('2Inter O&amp;M Entry'!N10="Y", ((($B9*$D9)*((1+$B$5)^J$7))*(1/((1+$N$5)^J$7))), 0)), "")</f>
        <v/>
      </c>
      <c r="K9" s="35" t="str">
        <f>IF(G9&lt;&gt;"", (IF('2Inter O&amp;M Entry'!O10="Y", ((($B9*$D9)*((1+$B$5)^K$7))*(1/((1+$N$5)^K$7))), 0)), "")</f>
        <v/>
      </c>
      <c r="L9" s="35" t="str">
        <f>IF(H9&lt;&gt;"", (IF('2Inter O&amp;M Entry'!P10="Y", ((($B9*$D9)*((1+$B$5)^L$7))*(1/((1+$N$5)^L$7))), 0)), "")</f>
        <v/>
      </c>
      <c r="M9" s="35" t="str">
        <f>IF(I9&lt;&gt;"", (IF('2Inter O&amp;M Entry'!Q10="Y", ((($B9*$D9)*((1+$B$5)^M$7))*(1/((1+$N$5)^M$7))), 0)), "")</f>
        <v/>
      </c>
      <c r="N9" s="35" t="str">
        <f>IF(J9&lt;&gt;"", (IF('2Inter O&amp;M Entry'!R10="Y", ((($B9*$D9)*((1+$B$5)^N$7))*(1/((1+$N$5)^N$7))), 0)), "")</f>
        <v/>
      </c>
    </row>
    <row r="10" spans="1:14">
      <c r="A10" s="31" t="str">
        <f>IF('2Inter O&amp;M Entry'!A11&lt;&gt;"", '2Inter O&amp;M Entry'!A11, "")</f>
        <v/>
      </c>
      <c r="B10" s="35" t="str">
        <f>IF('2Inter O&amp;M Entry'!B11&lt;&gt;"", '2Inter O&amp;M Entry'!B11, "")</f>
        <v/>
      </c>
      <c r="C10" s="31" t="str">
        <f>IF('2Inter O&amp;M Entry'!C11&lt;&gt;"", '2Inter O&amp;M Entry'!C11, "")</f>
        <v/>
      </c>
      <c r="D10" s="108" t="str">
        <f>IF('2Inter O&amp;M Entry'!D11&lt;&gt;"", '2Inter O&amp;M Entry'!D11, "")</f>
        <v/>
      </c>
      <c r="E10" s="35" t="str">
        <f>IF(A10&lt;&gt;"", (IF('2Inter O&amp;M Entry'!I11="Y", ((($B10*$D10)*((1+$B$5)^E$7))*(1/((1+$N$5)^E$7))), 0)), "")</f>
        <v/>
      </c>
      <c r="F10" s="35" t="str">
        <f>IF(B10&lt;&gt;"", (IF('2Inter O&amp;M Entry'!J11="Y", ((($B10*$D10)*((1+$B$5)^F$7))*(1/((1+$N$5)^F$7))), 0)), "")</f>
        <v/>
      </c>
      <c r="G10" s="35" t="str">
        <f>IF(C10&lt;&gt;"", (IF('2Inter O&amp;M Entry'!K11="Y", ((($B10*$D10)*((1+$B$5)^G$7))*(1/((1+$N$5)^G$7))), 0)), "")</f>
        <v/>
      </c>
      <c r="H10" s="35" t="str">
        <f>IF(D10&lt;&gt;"", (IF('2Inter O&amp;M Entry'!L11="Y", ((($B10*$D10)*((1+$B$5)^H$7))*(1/((1+$N$5)^H$7))), 0)), "")</f>
        <v/>
      </c>
      <c r="I10" s="35" t="str">
        <f>IF(E10&lt;&gt;"", (IF('2Inter O&amp;M Entry'!M11="Y", ((($B10*$D10)*((1+$B$5)^I$7))*(1/((1+$N$5)^I$7))), 0)), "")</f>
        <v/>
      </c>
      <c r="J10" s="35" t="str">
        <f>IF(F10&lt;&gt;"", (IF('2Inter O&amp;M Entry'!N11="Y", ((($B10*$D10)*((1+$B$5)^J$7))*(1/((1+$N$5)^J$7))), 0)), "")</f>
        <v/>
      </c>
      <c r="K10" s="35" t="str">
        <f>IF(G10&lt;&gt;"", (IF('2Inter O&amp;M Entry'!O11="Y", ((($B10*$D10)*((1+$B$5)^K$7))*(1/((1+$N$5)^K$7))), 0)), "")</f>
        <v/>
      </c>
      <c r="L10" s="35" t="str">
        <f>IF(H10&lt;&gt;"", (IF('2Inter O&amp;M Entry'!P11="Y", ((($B10*$D10)*((1+$B$5)^L$7))*(1/((1+$N$5)^L$7))), 0)), "")</f>
        <v/>
      </c>
      <c r="M10" s="35" t="str">
        <f>IF(I10&lt;&gt;"", (IF('2Inter O&amp;M Entry'!Q11="Y", ((($B10*$D10)*((1+$B$5)^M$7))*(1/((1+$N$5)^M$7))), 0)), "")</f>
        <v/>
      </c>
      <c r="N10" s="35" t="str">
        <f>IF(J10&lt;&gt;"", (IF('2Inter O&amp;M Entry'!R11="Y", ((($B10*$D10)*((1+$B$5)^N$7))*(1/((1+$N$5)^N$7))), 0)), "")</f>
        <v/>
      </c>
    </row>
    <row r="11" spans="1:14">
      <c r="A11" s="31" t="str">
        <f>IF('2Inter O&amp;M Entry'!A12&lt;&gt;"", '2Inter O&amp;M Entry'!A12, "")</f>
        <v/>
      </c>
      <c r="B11" s="112" t="str">
        <f>IF('2Inter O&amp;M Entry'!B12&lt;&gt;"", '2Inter O&amp;M Entry'!B12, "")</f>
        <v/>
      </c>
      <c r="C11" s="31" t="str">
        <f>IF('2Inter O&amp;M Entry'!C12&lt;&gt;"", '2Inter O&amp;M Entry'!C12, "")</f>
        <v/>
      </c>
      <c r="D11" s="108" t="str">
        <f>IF('2Inter O&amp;M Entry'!D12&lt;&gt;"", '2Inter O&amp;M Entry'!D12, "")</f>
        <v/>
      </c>
      <c r="E11" s="35" t="str">
        <f>IF(A11&lt;&gt;"", (IF('2Inter O&amp;M Entry'!I12="Y", ((($B11*$D11)*((1+$B$5)^E$7))*(1/((1+$N$5)^E$7))), 0)), "")</f>
        <v/>
      </c>
      <c r="F11" s="35" t="str">
        <f>IF(B11&lt;&gt;"", (IF('2Inter O&amp;M Entry'!J12="Y", ((($B11*$D11)*((1+$B$5)^F$7))*(1/((1+$N$5)^F$7))), 0)), "")</f>
        <v/>
      </c>
      <c r="G11" s="35" t="str">
        <f>IF(C11&lt;&gt;"", (IF('2Inter O&amp;M Entry'!K12="Y", ((($B11*$D11)*((1+$B$5)^G$7))*(1/((1+$N$5)^G$7))), 0)), "")</f>
        <v/>
      </c>
      <c r="H11" s="35" t="str">
        <f>IF(D11&lt;&gt;"", (IF('2Inter O&amp;M Entry'!L12="Y", ((($B11*$D11)*((1+$B$5)^H$7))*(1/((1+$N$5)^H$7))), 0)), "")</f>
        <v/>
      </c>
      <c r="I11" s="35" t="str">
        <f>IF(E11&lt;&gt;"", (IF('2Inter O&amp;M Entry'!M12="Y", ((($B11*$D11)*((1+$B$5)^I$7))*(1/((1+$N$5)^I$7))), 0)), "")</f>
        <v/>
      </c>
      <c r="J11" s="35" t="str">
        <f>IF(F11&lt;&gt;"", (IF('2Inter O&amp;M Entry'!N12="Y", ((($B11*$D11)*((1+$B$5)^J$7))*(1/((1+$N$5)^J$7))), 0)), "")</f>
        <v/>
      </c>
      <c r="K11" s="35" t="str">
        <f>IF(G11&lt;&gt;"", (IF('2Inter O&amp;M Entry'!O12="Y", ((($B11*$D11)*((1+$B$5)^K$7))*(1/((1+$N$5)^K$7))), 0)), "")</f>
        <v/>
      </c>
      <c r="L11" s="35" t="str">
        <f>IF(H11&lt;&gt;"", (IF('2Inter O&amp;M Entry'!P12="Y", ((($B11*$D11)*((1+$B$5)^L$7))*(1/((1+$N$5)^L$7))), 0)), "")</f>
        <v/>
      </c>
      <c r="M11" s="35" t="str">
        <f>IF(I11&lt;&gt;"", (IF('2Inter O&amp;M Entry'!Q12="Y", ((($B11*$D11)*((1+$B$5)^M$7))*(1/((1+$N$5)^M$7))), 0)), "")</f>
        <v/>
      </c>
      <c r="N11" s="35" t="str">
        <f>IF(J11&lt;&gt;"", (IF('2Inter O&amp;M Entry'!R12="Y", ((($B11*$D11)*((1+$B$5)^N$7))*(1/((1+$N$5)^N$7))), 0)), "")</f>
        <v/>
      </c>
    </row>
    <row r="12" spans="1:14">
      <c r="A12" s="31" t="str">
        <f>IF('2Inter O&amp;M Entry'!A13&lt;&gt;"", '2Inter O&amp;M Entry'!A13, "")</f>
        <v/>
      </c>
      <c r="B12" s="35" t="str">
        <f>IF('2Inter O&amp;M Entry'!B13&lt;&gt;"", '2Inter O&amp;M Entry'!B13, "")</f>
        <v/>
      </c>
      <c r="C12" s="31" t="str">
        <f>IF('2Inter O&amp;M Entry'!C13&lt;&gt;"", '2Inter O&amp;M Entry'!C13, "")</f>
        <v/>
      </c>
      <c r="D12" s="108" t="str">
        <f>IF('2Inter O&amp;M Entry'!D13&lt;&gt;"", '2Inter O&amp;M Entry'!D13, "")</f>
        <v/>
      </c>
      <c r="E12" s="35" t="str">
        <f>IF(A12&lt;&gt;"", (IF('2Inter O&amp;M Entry'!I13="Y", ((($B12*$D12)*((1+$B$5)^E$7))*(1/((1+$N$5)^E$7))), 0)), "")</f>
        <v/>
      </c>
      <c r="F12" s="35" t="str">
        <f>IF(B12&lt;&gt;"", (IF('2Inter O&amp;M Entry'!J13="Y", ((($B12*$D12)*((1+$B$5)^F$7))*(1/((1+$N$5)^F$7))), 0)), "")</f>
        <v/>
      </c>
      <c r="G12" s="35" t="str">
        <f>IF(C12&lt;&gt;"", (IF('2Inter O&amp;M Entry'!K13="Y", ((($B12*$D12)*((1+$B$5)^G$7))*(1/((1+$N$5)^G$7))), 0)), "")</f>
        <v/>
      </c>
      <c r="H12" s="35" t="str">
        <f>IF(D12&lt;&gt;"", (IF('2Inter O&amp;M Entry'!L13="Y", ((($B12*$D12)*((1+$B$5)^H$7))*(1/((1+$N$5)^H$7))), 0)), "")</f>
        <v/>
      </c>
      <c r="I12" s="35" t="str">
        <f>IF(E12&lt;&gt;"", (IF('2Inter O&amp;M Entry'!M13="Y", ((($B12*$D12)*((1+$B$5)^I$7))*(1/((1+$N$5)^I$7))), 0)), "")</f>
        <v/>
      </c>
      <c r="J12" s="35" t="str">
        <f>IF(F12&lt;&gt;"", (IF('2Inter O&amp;M Entry'!N13="Y", ((($B12*$D12)*((1+$B$5)^J$7))*(1/((1+$N$5)^J$7))), 0)), "")</f>
        <v/>
      </c>
      <c r="K12" s="35" t="str">
        <f>IF(G12&lt;&gt;"", (IF('2Inter O&amp;M Entry'!O13="Y", ((($B12*$D12)*((1+$B$5)^K$7))*(1/((1+$N$5)^K$7))), 0)), "")</f>
        <v/>
      </c>
      <c r="L12" s="35" t="str">
        <f>IF(H12&lt;&gt;"", (IF('2Inter O&amp;M Entry'!P13="Y", ((($B12*$D12)*((1+$B$5)^L$7))*(1/((1+$N$5)^L$7))), 0)), "")</f>
        <v/>
      </c>
      <c r="M12" s="35" t="str">
        <f>IF(I12&lt;&gt;"", (IF('2Inter O&amp;M Entry'!Q13="Y", ((($B12*$D12)*((1+$B$5)^M$7))*(1/((1+$N$5)^M$7))), 0)), "")</f>
        <v/>
      </c>
      <c r="N12" s="35" t="str">
        <f>IF(J12&lt;&gt;"", (IF('2Inter O&amp;M Entry'!R13="Y", ((($B12*$D12)*((1+$B$5)^N$7))*(1/((1+$N$5)^N$7))), 0)), "")</f>
        <v/>
      </c>
    </row>
    <row r="13" spans="1:14">
      <c r="A13" s="31" t="str">
        <f>IF('2Inter O&amp;M Entry'!A14&lt;&gt;"", '2Inter O&amp;M Entry'!A14, "")</f>
        <v/>
      </c>
      <c r="B13" s="35" t="str">
        <f>IF('2Inter O&amp;M Entry'!B14&lt;&gt;"", '2Inter O&amp;M Entry'!B14, "")</f>
        <v/>
      </c>
      <c r="C13" s="31" t="str">
        <f>IF('2Inter O&amp;M Entry'!C14&lt;&gt;"", '2Inter O&amp;M Entry'!C14, "")</f>
        <v/>
      </c>
      <c r="D13" s="108" t="str">
        <f>IF('2Inter O&amp;M Entry'!D14&lt;&gt;"", '2Inter O&amp;M Entry'!D14, "")</f>
        <v/>
      </c>
      <c r="E13" s="35" t="str">
        <f>IF(A13&lt;&gt;"", (IF('2Inter O&amp;M Entry'!I14="Y", ((($B13*$D13)*((1+$B$5)^E$7))*(1/((1+$N$5)^E$7))), 0)), "")</f>
        <v/>
      </c>
      <c r="F13" s="35" t="str">
        <f>IF(B13&lt;&gt;"", (IF('2Inter O&amp;M Entry'!J14="Y", ((($B13*$D13)*((1+$B$5)^F$7))*(1/((1+$N$5)^F$7))), 0)), "")</f>
        <v/>
      </c>
      <c r="G13" s="35" t="str">
        <f>IF(C13&lt;&gt;"", (IF('2Inter O&amp;M Entry'!K14="Y", ((($B13*$D13)*((1+$B$5)^G$7))*(1/((1+$N$5)^G$7))), 0)), "")</f>
        <v/>
      </c>
      <c r="H13" s="35" t="str">
        <f>IF(D13&lt;&gt;"", (IF('2Inter O&amp;M Entry'!L14="Y", ((($B13*$D13)*((1+$B$5)^H$7))*(1/((1+$N$5)^H$7))), 0)), "")</f>
        <v/>
      </c>
      <c r="I13" s="35" t="str">
        <f>IF(E13&lt;&gt;"", (IF('2Inter O&amp;M Entry'!M14="Y", ((($B13*$D13)*((1+$B$5)^I$7))*(1/((1+$N$5)^I$7))), 0)), "")</f>
        <v/>
      </c>
      <c r="J13" s="35" t="str">
        <f>IF(F13&lt;&gt;"", (IF('2Inter O&amp;M Entry'!N14="Y", ((($B13*$D13)*((1+$B$5)^J$7))*(1/((1+$N$5)^J$7))), 0)), "")</f>
        <v/>
      </c>
      <c r="K13" s="35" t="str">
        <f>IF(G13&lt;&gt;"", (IF('2Inter O&amp;M Entry'!O14="Y", ((($B13*$D13)*((1+$B$5)^K$7))*(1/((1+$N$5)^K$7))), 0)), "")</f>
        <v/>
      </c>
      <c r="L13" s="35" t="str">
        <f>IF(H13&lt;&gt;"", (IF('2Inter O&amp;M Entry'!P14="Y", ((($B13*$D13)*((1+$B$5)^L$7))*(1/((1+$N$5)^L$7))), 0)), "")</f>
        <v/>
      </c>
      <c r="M13" s="35" t="str">
        <f>IF(I13&lt;&gt;"", (IF('2Inter O&amp;M Entry'!Q14="Y", ((($B13*$D13)*((1+$B$5)^M$7))*(1/((1+$N$5)^M$7))), 0)), "")</f>
        <v/>
      </c>
      <c r="N13" s="35" t="str">
        <f>IF(J13&lt;&gt;"", (IF('2Inter O&amp;M Entry'!R14="Y", ((($B13*$D13)*((1+$B$5)^N$7))*(1/((1+$N$5)^N$7))), 0)), "")</f>
        <v/>
      </c>
    </row>
    <row r="14" spans="1:14">
      <c r="A14" s="31" t="str">
        <f>IF('2Inter O&amp;M Entry'!A15&lt;&gt;"", '2Inter O&amp;M Entry'!A15, "")</f>
        <v/>
      </c>
      <c r="B14" s="35" t="str">
        <f>IF('2Inter O&amp;M Entry'!B15&lt;&gt;"", '2Inter O&amp;M Entry'!B15, "")</f>
        <v/>
      </c>
      <c r="C14" s="31" t="str">
        <f>IF('2Inter O&amp;M Entry'!C15&lt;&gt;"", '2Inter O&amp;M Entry'!C15, "")</f>
        <v/>
      </c>
      <c r="D14" s="108" t="str">
        <f>IF('2Inter O&amp;M Entry'!D15&lt;&gt;"", '2Inter O&amp;M Entry'!D15, "")</f>
        <v/>
      </c>
      <c r="E14" s="35" t="str">
        <f>IF(A14&lt;&gt;"", (IF('2Inter O&amp;M Entry'!I15="Y", ((($B14*$D14)*((1+$B$5)^E$7))*(1/((1+$N$5)^E$7))), 0)), "")</f>
        <v/>
      </c>
      <c r="F14" s="35" t="str">
        <f>IF(B14&lt;&gt;"", (IF('2Inter O&amp;M Entry'!J15="Y", ((($B14*$D14)*((1+$B$5)^F$7))*(1/((1+$N$5)^F$7))), 0)), "")</f>
        <v/>
      </c>
      <c r="G14" s="35" t="str">
        <f>IF(C14&lt;&gt;"", (IF('2Inter O&amp;M Entry'!K15="Y", ((($B14*$D14)*((1+$B$5)^G$7))*(1/((1+$N$5)^G$7))), 0)), "")</f>
        <v/>
      </c>
      <c r="H14" s="35" t="str">
        <f>IF(D14&lt;&gt;"", (IF('2Inter O&amp;M Entry'!L15="Y", ((($B14*$D14)*((1+$B$5)^H$7))*(1/((1+$N$5)^H$7))), 0)), "")</f>
        <v/>
      </c>
      <c r="I14" s="35" t="str">
        <f>IF(E14&lt;&gt;"", (IF('2Inter O&amp;M Entry'!M15="Y", ((($B14*$D14)*((1+$B$5)^I$7))*(1/((1+$N$5)^I$7))), 0)), "")</f>
        <v/>
      </c>
      <c r="J14" s="35" t="str">
        <f>IF(F14&lt;&gt;"", (IF('2Inter O&amp;M Entry'!N15="Y", ((($B14*$D14)*((1+$B$5)^J$7))*(1/((1+$N$5)^J$7))), 0)), "")</f>
        <v/>
      </c>
      <c r="K14" s="35" t="str">
        <f>IF(G14&lt;&gt;"", (IF('2Inter O&amp;M Entry'!O15="Y", ((($B14*$D14)*((1+$B$5)^K$7))*(1/((1+$N$5)^K$7))), 0)), "")</f>
        <v/>
      </c>
      <c r="L14" s="35" t="str">
        <f>IF(H14&lt;&gt;"", (IF('2Inter O&amp;M Entry'!P15="Y", ((($B14*$D14)*((1+$B$5)^L$7))*(1/((1+$N$5)^L$7))), 0)), "")</f>
        <v/>
      </c>
      <c r="M14" s="35" t="str">
        <f>IF(I14&lt;&gt;"", (IF('2Inter O&amp;M Entry'!Q15="Y", ((($B14*$D14)*((1+$B$5)^M$7))*(1/((1+$N$5)^M$7))), 0)), "")</f>
        <v/>
      </c>
      <c r="N14" s="35" t="str">
        <f>IF(J14&lt;&gt;"", (IF('2Inter O&amp;M Entry'!R15="Y", ((($B14*$D14)*((1+$B$5)^N$7))*(1/((1+$N$5)^N$7))), 0)), "")</f>
        <v/>
      </c>
    </row>
    <row r="15" spans="1:14">
      <c r="A15" s="31" t="str">
        <f>IF('2Inter O&amp;M Entry'!A16&lt;&gt;"", '2Inter O&amp;M Entry'!A16, "")</f>
        <v/>
      </c>
      <c r="B15" s="35" t="str">
        <f>IF('2Inter O&amp;M Entry'!B16&lt;&gt;"", '2Inter O&amp;M Entry'!B16, "")</f>
        <v/>
      </c>
      <c r="C15" s="31" t="str">
        <f>IF('2Inter O&amp;M Entry'!C16&lt;&gt;"", '2Inter O&amp;M Entry'!C16, "")</f>
        <v/>
      </c>
      <c r="D15" s="108" t="str">
        <f>IF('2Inter O&amp;M Entry'!D16&lt;&gt;"", '2Inter O&amp;M Entry'!D16, "")</f>
        <v/>
      </c>
      <c r="E15" s="35" t="str">
        <f>IF(A15&lt;&gt;"", (IF('2Inter O&amp;M Entry'!I16="Y", ((($B15*$D15)*((1+$B$5)^E$7))*(1/((1+$N$5)^E$7))), 0)), "")</f>
        <v/>
      </c>
      <c r="F15" s="35" t="str">
        <f>IF(B15&lt;&gt;"", (IF('2Inter O&amp;M Entry'!J16="Y", ((($B15*$D15)*((1+$B$5)^F$7))*(1/((1+$N$5)^F$7))), 0)), "")</f>
        <v/>
      </c>
      <c r="G15" s="35" t="str">
        <f>IF(C15&lt;&gt;"", (IF('2Inter O&amp;M Entry'!K16="Y", ((($B15*$D15)*((1+$B$5)^G$7))*(1/((1+$N$5)^G$7))), 0)), "")</f>
        <v/>
      </c>
      <c r="H15" s="35" t="str">
        <f>IF(D15&lt;&gt;"", (IF('2Inter O&amp;M Entry'!L16="Y", ((($B15*$D15)*((1+$B$5)^H$7))*(1/((1+$N$5)^H$7))), 0)), "")</f>
        <v/>
      </c>
      <c r="I15" s="35" t="str">
        <f>IF(E15&lt;&gt;"", (IF('2Inter O&amp;M Entry'!M16="Y", ((($B15*$D15)*((1+$B$5)^I$7))*(1/((1+$N$5)^I$7))), 0)), "")</f>
        <v/>
      </c>
      <c r="J15" s="35" t="str">
        <f>IF(F15&lt;&gt;"", (IF('2Inter O&amp;M Entry'!N16="Y", ((($B15*$D15)*((1+$B$5)^J$7))*(1/((1+$N$5)^J$7))), 0)), "")</f>
        <v/>
      </c>
      <c r="K15" s="35" t="str">
        <f>IF(G15&lt;&gt;"", (IF('2Inter O&amp;M Entry'!O16="Y", ((($B15*$D15)*((1+$B$5)^K$7))*(1/((1+$N$5)^K$7))), 0)), "")</f>
        <v/>
      </c>
      <c r="L15" s="35" t="str">
        <f>IF(H15&lt;&gt;"", (IF('2Inter O&amp;M Entry'!P16="Y", ((($B15*$D15)*((1+$B$5)^L$7))*(1/((1+$N$5)^L$7))), 0)), "")</f>
        <v/>
      </c>
      <c r="M15" s="35" t="str">
        <f>IF(I15&lt;&gt;"", (IF('2Inter O&amp;M Entry'!Q16="Y", ((($B15*$D15)*((1+$B$5)^M$7))*(1/((1+$N$5)^M$7))), 0)), "")</f>
        <v/>
      </c>
      <c r="N15" s="35" t="str">
        <f>IF(J15&lt;&gt;"", (IF('2Inter O&amp;M Entry'!R16="Y", ((($B15*$D15)*((1+$B$5)^N$7))*(1/((1+$N$5)^N$7))), 0)), "")</f>
        <v/>
      </c>
    </row>
    <row r="16" spans="1:14">
      <c r="A16" s="31" t="str">
        <f>IF('2Inter O&amp;M Entry'!A17&lt;&gt;"", '2Inter O&amp;M Entry'!A17, "")</f>
        <v/>
      </c>
      <c r="B16" s="35" t="str">
        <f>IF('2Inter O&amp;M Entry'!B17&lt;&gt;"", '2Inter O&amp;M Entry'!B17, "")</f>
        <v/>
      </c>
      <c r="C16" s="31" t="str">
        <f>IF('2Inter O&amp;M Entry'!C17&lt;&gt;"", '2Inter O&amp;M Entry'!C17, "")</f>
        <v/>
      </c>
      <c r="D16" s="108" t="str">
        <f>IF('2Inter O&amp;M Entry'!D17&lt;&gt;"", '2Inter O&amp;M Entry'!D17, "")</f>
        <v/>
      </c>
      <c r="E16" s="35" t="str">
        <f>IF(A16&lt;&gt;"", (IF('2Inter O&amp;M Entry'!I17="Y", ((($B16*$D16)*((1+$B$5)^E$7))*(1/((1+$N$5)^E$7))), 0)), "")</f>
        <v/>
      </c>
      <c r="F16" s="35" t="str">
        <f>IF(B16&lt;&gt;"", (IF('2Inter O&amp;M Entry'!J17="Y", ((($B16*$D16)*((1+$B$5)^F$7))*(1/((1+$N$5)^F$7))), 0)), "")</f>
        <v/>
      </c>
      <c r="G16" s="35" t="str">
        <f>IF(C16&lt;&gt;"", (IF('2Inter O&amp;M Entry'!K17="Y", ((($B16*$D16)*((1+$B$5)^G$7))*(1/((1+$N$5)^G$7))), 0)), "")</f>
        <v/>
      </c>
      <c r="H16" s="35" t="str">
        <f>IF(D16&lt;&gt;"", (IF('2Inter O&amp;M Entry'!L17="Y", ((($B16*$D16)*((1+$B$5)^H$7))*(1/((1+$N$5)^H$7))), 0)), "")</f>
        <v/>
      </c>
      <c r="I16" s="35" t="str">
        <f>IF(E16&lt;&gt;"", (IF('2Inter O&amp;M Entry'!M17="Y", ((($B16*$D16)*((1+$B$5)^I$7))*(1/((1+$N$5)^I$7))), 0)), "")</f>
        <v/>
      </c>
      <c r="J16" s="35" t="str">
        <f>IF(F16&lt;&gt;"", (IF('2Inter O&amp;M Entry'!N17="Y", ((($B16*$D16)*((1+$B$5)^J$7))*(1/((1+$N$5)^J$7))), 0)), "")</f>
        <v/>
      </c>
      <c r="K16" s="35" t="str">
        <f>IF(G16&lt;&gt;"", (IF('2Inter O&amp;M Entry'!O17="Y", ((($B16*$D16)*((1+$B$5)^K$7))*(1/((1+$N$5)^K$7))), 0)), "")</f>
        <v/>
      </c>
      <c r="L16" s="35" t="str">
        <f>IF(H16&lt;&gt;"", (IF('2Inter O&amp;M Entry'!P17="Y", ((($B16*$D16)*((1+$B$5)^L$7))*(1/((1+$N$5)^L$7))), 0)), "")</f>
        <v/>
      </c>
      <c r="M16" s="35" t="str">
        <f>IF(I16&lt;&gt;"", (IF('2Inter O&amp;M Entry'!Q17="Y", ((($B16*$D16)*((1+$B$5)^M$7))*(1/((1+$N$5)^M$7))), 0)), "")</f>
        <v/>
      </c>
      <c r="N16" s="35" t="str">
        <f>IF(J16&lt;&gt;"", (IF('2Inter O&amp;M Entry'!R17="Y", ((($B16*$D16)*((1+$B$5)^N$7))*(1/((1+$N$5)^N$7))), 0)), "")</f>
        <v/>
      </c>
    </row>
    <row r="17" spans="1:14">
      <c r="A17" s="31" t="str">
        <f>IF('2Inter O&amp;M Entry'!A18&lt;&gt;"", '2Inter O&amp;M Entry'!A18, "")</f>
        <v/>
      </c>
      <c r="B17" s="35" t="str">
        <f>IF('2Inter O&amp;M Entry'!B18&lt;&gt;"", '2Inter O&amp;M Entry'!B18, "")</f>
        <v/>
      </c>
      <c r="C17" s="31" t="str">
        <f>IF('2Inter O&amp;M Entry'!C18&lt;&gt;"", '2Inter O&amp;M Entry'!C18, "")</f>
        <v/>
      </c>
      <c r="D17" s="108" t="str">
        <f>IF('2Inter O&amp;M Entry'!D18&lt;&gt;"", '2Inter O&amp;M Entry'!D18, "")</f>
        <v/>
      </c>
      <c r="E17" s="35" t="str">
        <f>IF(A17&lt;&gt;"", (IF('2Inter O&amp;M Entry'!I18="Y", ((($B17*$D17)*((1+$B$5)^E$7))*(1/((1+$N$5)^E$7))), 0)), "")</f>
        <v/>
      </c>
      <c r="F17" s="35" t="str">
        <f>IF(B17&lt;&gt;"", (IF('2Inter O&amp;M Entry'!J18="Y", ((($B17*$D17)*((1+$B$5)^F$7))*(1/((1+$N$5)^F$7))), 0)), "")</f>
        <v/>
      </c>
      <c r="G17" s="35" t="str">
        <f>IF(C17&lt;&gt;"", (IF('2Inter O&amp;M Entry'!K18="Y", ((($B17*$D17)*((1+$B$5)^G$7))*(1/((1+$N$5)^G$7))), 0)), "")</f>
        <v/>
      </c>
      <c r="H17" s="35" t="str">
        <f>IF(D17&lt;&gt;"", (IF('2Inter O&amp;M Entry'!L18="Y", ((($B17*$D17)*((1+$B$5)^H$7))*(1/((1+$N$5)^H$7))), 0)), "")</f>
        <v/>
      </c>
      <c r="I17" s="35" t="str">
        <f>IF(E17&lt;&gt;"", (IF('2Inter O&amp;M Entry'!M18="Y", ((($B17*$D17)*((1+$B$5)^I$7))*(1/((1+$N$5)^I$7))), 0)), "")</f>
        <v/>
      </c>
      <c r="J17" s="35" t="str">
        <f>IF(F17&lt;&gt;"", (IF('2Inter O&amp;M Entry'!N18="Y", ((($B17*$D17)*((1+$B$5)^J$7))*(1/((1+$N$5)^J$7))), 0)), "")</f>
        <v/>
      </c>
      <c r="K17" s="35" t="str">
        <f>IF(G17&lt;&gt;"", (IF('2Inter O&amp;M Entry'!O18="Y", ((($B17*$D17)*((1+$B$5)^K$7))*(1/((1+$N$5)^K$7))), 0)), "")</f>
        <v/>
      </c>
      <c r="L17" s="35" t="str">
        <f>IF(H17&lt;&gt;"", (IF('2Inter O&amp;M Entry'!P18="Y", ((($B17*$D17)*((1+$B$5)^L$7))*(1/((1+$N$5)^L$7))), 0)), "")</f>
        <v/>
      </c>
      <c r="M17" s="35" t="str">
        <f>IF(I17&lt;&gt;"", (IF('2Inter O&amp;M Entry'!Q18="Y", ((($B17*$D17)*((1+$B$5)^M$7))*(1/((1+$N$5)^M$7))), 0)), "")</f>
        <v/>
      </c>
      <c r="N17" s="35" t="str">
        <f>IF(J17&lt;&gt;"", (IF('2Inter O&amp;M Entry'!R18="Y", ((($B17*$D17)*((1+$B$5)^N$7))*(1/((1+$N$5)^N$7))), 0)), "")</f>
        <v/>
      </c>
    </row>
    <row r="18" spans="1:14">
      <c r="A18" s="31" t="str">
        <f>IF('2Inter O&amp;M Entry'!A19&lt;&gt;"", '2Inter O&amp;M Entry'!A19, "")</f>
        <v/>
      </c>
      <c r="B18" s="35" t="str">
        <f>IF('2Inter O&amp;M Entry'!B19&lt;&gt;"", '2Inter O&amp;M Entry'!B19, "")</f>
        <v/>
      </c>
      <c r="C18" s="31" t="str">
        <f>IF('2Inter O&amp;M Entry'!C19&lt;&gt;"", '2Inter O&amp;M Entry'!C19, "")</f>
        <v/>
      </c>
      <c r="D18" s="108" t="str">
        <f>IF('2Inter O&amp;M Entry'!D19&lt;&gt;"", '2Inter O&amp;M Entry'!D19, "")</f>
        <v/>
      </c>
      <c r="E18" s="35" t="str">
        <f>IF(A18&lt;&gt;"", (IF('2Inter O&amp;M Entry'!I19="Y", ((($B18*$D18)*((1+$B$5)^E$7))*(1/((1+$N$5)^E$7))), 0)), "")</f>
        <v/>
      </c>
      <c r="F18" s="35" t="str">
        <f>IF(B18&lt;&gt;"", (IF('2Inter O&amp;M Entry'!J19="Y", ((($B18*$D18)*((1+$B$5)^F$7))*(1/((1+$N$5)^F$7))), 0)), "")</f>
        <v/>
      </c>
      <c r="G18" s="35" t="str">
        <f>IF(C18&lt;&gt;"", (IF('2Inter O&amp;M Entry'!K19="Y", ((($B18*$D18)*((1+$B$5)^G$7))*(1/((1+$N$5)^G$7))), 0)), "")</f>
        <v/>
      </c>
      <c r="H18" s="35" t="str">
        <f>IF(D18&lt;&gt;"", (IF('2Inter O&amp;M Entry'!L19="Y", ((($B18*$D18)*((1+$B$5)^H$7))*(1/((1+$N$5)^H$7))), 0)), "")</f>
        <v/>
      </c>
      <c r="I18" s="35" t="str">
        <f>IF(E18&lt;&gt;"", (IF('2Inter O&amp;M Entry'!M19="Y", ((($B18*$D18)*((1+$B$5)^I$7))*(1/((1+$N$5)^I$7))), 0)), "")</f>
        <v/>
      </c>
      <c r="J18" s="35" t="str">
        <f>IF(F18&lt;&gt;"", (IF('2Inter O&amp;M Entry'!N19="Y", ((($B18*$D18)*((1+$B$5)^J$7))*(1/((1+$N$5)^J$7))), 0)), "")</f>
        <v/>
      </c>
      <c r="K18" s="35" t="str">
        <f>IF(G18&lt;&gt;"", (IF('2Inter O&amp;M Entry'!O19="Y", ((($B18*$D18)*((1+$B$5)^K$7))*(1/((1+$N$5)^K$7))), 0)), "")</f>
        <v/>
      </c>
      <c r="L18" s="35" t="str">
        <f>IF(H18&lt;&gt;"", (IF('2Inter O&amp;M Entry'!P19="Y", ((($B18*$D18)*((1+$B$5)^L$7))*(1/((1+$N$5)^L$7))), 0)), "")</f>
        <v/>
      </c>
      <c r="M18" s="35" t="str">
        <f>IF(I18&lt;&gt;"", (IF('2Inter O&amp;M Entry'!Q19="Y", ((($B18*$D18)*((1+$B$5)^M$7))*(1/((1+$N$5)^M$7))), 0)), "")</f>
        <v/>
      </c>
      <c r="N18" s="35" t="str">
        <f>IF(J18&lt;&gt;"", (IF('2Inter O&amp;M Entry'!R19="Y", ((($B18*$D18)*((1+$B$5)^N$7))*(1/((1+$N$5)^N$7))), 0)), "")</f>
        <v/>
      </c>
    </row>
    <row r="19" spans="1:14">
      <c r="A19" s="31" t="str">
        <f>IF('2Inter O&amp;M Entry'!A20&lt;&gt;"", '2Inter O&amp;M Entry'!A20, "")</f>
        <v/>
      </c>
      <c r="B19" s="35" t="str">
        <f>IF('2Inter O&amp;M Entry'!B20&lt;&gt;"", '2Inter O&amp;M Entry'!B20, "")</f>
        <v/>
      </c>
      <c r="C19" s="31" t="str">
        <f>IF('2Inter O&amp;M Entry'!C20&lt;&gt;"", '2Inter O&amp;M Entry'!C20, "")</f>
        <v/>
      </c>
      <c r="D19" s="108" t="str">
        <f>IF('2Inter O&amp;M Entry'!D20&lt;&gt;"", '2Inter O&amp;M Entry'!D20, "")</f>
        <v/>
      </c>
      <c r="E19" s="35" t="str">
        <f>IF(A19&lt;&gt;"", (IF('2Inter O&amp;M Entry'!I20="Y", ((($B19*$D19)*((1+$B$5)^E$7))*(1/((1+$N$5)^E$7))), 0)), "")</f>
        <v/>
      </c>
      <c r="F19" s="35" t="str">
        <f>IF(B19&lt;&gt;"", (IF('2Inter O&amp;M Entry'!J20="Y", ((($B19*$D19)*((1+$B$5)^F$7))*(1/((1+$N$5)^F$7))), 0)), "")</f>
        <v/>
      </c>
      <c r="G19" s="35" t="str">
        <f>IF(C19&lt;&gt;"", (IF('2Inter O&amp;M Entry'!K20="Y", ((($B19*$D19)*((1+$B$5)^G$7))*(1/((1+$N$5)^G$7))), 0)), "")</f>
        <v/>
      </c>
      <c r="H19" s="35" t="str">
        <f>IF(D19&lt;&gt;"", (IF('2Inter O&amp;M Entry'!L20="Y", ((($B19*$D19)*((1+$B$5)^H$7))*(1/((1+$N$5)^H$7))), 0)), "")</f>
        <v/>
      </c>
      <c r="I19" s="35" t="str">
        <f>IF(E19&lt;&gt;"", (IF('2Inter O&amp;M Entry'!M20="Y", ((($B19*$D19)*((1+$B$5)^I$7))*(1/((1+$N$5)^I$7))), 0)), "")</f>
        <v/>
      </c>
      <c r="J19" s="35" t="str">
        <f>IF(F19&lt;&gt;"", (IF('2Inter O&amp;M Entry'!N20="Y", ((($B19*$D19)*((1+$B$5)^J$7))*(1/((1+$N$5)^J$7))), 0)), "")</f>
        <v/>
      </c>
      <c r="K19" s="35" t="str">
        <f>IF(G19&lt;&gt;"", (IF('2Inter O&amp;M Entry'!O20="Y", ((($B19*$D19)*((1+$B$5)^K$7))*(1/((1+$N$5)^K$7))), 0)), "")</f>
        <v/>
      </c>
      <c r="L19" s="35" t="str">
        <f>IF(H19&lt;&gt;"", (IF('2Inter O&amp;M Entry'!P20="Y", ((($B19*$D19)*((1+$B$5)^L$7))*(1/((1+$N$5)^L$7))), 0)), "")</f>
        <v/>
      </c>
      <c r="M19" s="35" t="str">
        <f>IF(I19&lt;&gt;"", (IF('2Inter O&amp;M Entry'!Q20="Y", ((($B19*$D19)*((1+$B$5)^M$7))*(1/((1+$N$5)^M$7))), 0)), "")</f>
        <v/>
      </c>
      <c r="N19" s="35" t="str">
        <f>IF(J19&lt;&gt;"", (IF('2Inter O&amp;M Entry'!R20="Y", ((($B19*$D19)*((1+$B$5)^N$7))*(1/((1+$N$5)^N$7))), 0)), "")</f>
        <v/>
      </c>
    </row>
    <row r="20" spans="1:14">
      <c r="D20" s="2" t="s">
        <v>73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156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'2Capital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'2Inter O&amp;M 1-10'!A5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11</v>
      </c>
      <c r="F7" s="12">
        <v>12</v>
      </c>
      <c r="G7" s="12">
        <v>13</v>
      </c>
      <c r="H7" s="12">
        <v>14</v>
      </c>
      <c r="I7" s="12">
        <v>15</v>
      </c>
      <c r="J7" s="12">
        <v>16</v>
      </c>
      <c r="K7" s="12">
        <v>17</v>
      </c>
      <c r="L7" s="12">
        <v>18</v>
      </c>
      <c r="M7" s="12">
        <v>19</v>
      </c>
      <c r="N7" s="12">
        <v>20</v>
      </c>
    </row>
    <row r="8" spans="1:14">
      <c r="A8" s="31" t="str">
        <f>IF('2Inter O&amp;M Entry'!A9&lt;&gt;"", '2Inter O&amp;M Entry'!A9, "")</f>
        <v/>
      </c>
      <c r="B8" s="35" t="str">
        <f>IF('2Inter O&amp;M Entry'!B9&lt;&gt;"", '2Inter O&amp;M Entry'!B9, "")</f>
        <v/>
      </c>
      <c r="C8" s="31" t="str">
        <f>IF('2Inter O&amp;M Entry'!C9&lt;&gt;"", '2Inter O&amp;M Entry'!C9, "")</f>
        <v/>
      </c>
      <c r="D8" s="108" t="str">
        <f>IF('2Inter O&amp;M Entry'!D9&lt;&gt;"", '2Inter O&amp;M Entry'!D9, "")</f>
        <v/>
      </c>
      <c r="E8" s="35" t="str">
        <f>IF($A8&lt;&gt;"", (IF('2Inter O&amp;M Entry'!I9="Y", ((($B8*$D8)*((1+$B$5)^E$7))*(1/((1+$N$5)^E$7))), 0)), "")</f>
        <v/>
      </c>
      <c r="F8" s="35" t="str">
        <f>IF($A8&lt;&gt;"", (IF('2Inter O&amp;M Entry'!J9="Y", ((($B8*$D8)*((1+$B$5)^F$7))*(1/((1+$N$5)^F$7))), 0)), "")</f>
        <v/>
      </c>
      <c r="G8" s="35" t="str">
        <f>IF($A8&lt;&gt;"", (IF('2Inter O&amp;M Entry'!K9="Y", ((($B8*$D8)*((1+$B$5)^G$7))*(1/((1+$N$5)^G$7))), 0)), "")</f>
        <v/>
      </c>
      <c r="H8" s="35" t="str">
        <f>IF($A8&lt;&gt;"", (IF('2Inter O&amp;M Entry'!L9="Y", ((($B8*$D8)*((1+$B$5)^H$7))*(1/((1+$N$5)^H$7))), 0)), "")</f>
        <v/>
      </c>
      <c r="I8" s="35" t="str">
        <f>IF($A8&lt;&gt;"", (IF('2Inter O&amp;M Entry'!M9="Y", ((($B8*$D8)*((1+$B$5)^I$7))*(1/((1+$N$5)^I$7))), 0)), "")</f>
        <v/>
      </c>
      <c r="J8" s="35" t="str">
        <f>IF($A8&lt;&gt;"", (IF('2Inter O&amp;M Entry'!N9="Y", ((($B8*$D8)*((1+$B$5)^J$7))*(1/((1+$N$5)^J$7))), 0)), "")</f>
        <v/>
      </c>
      <c r="K8" s="35" t="str">
        <f>IF($A8&lt;&gt;"", (IF('2Inter O&amp;M Entry'!O9="Y", ((($B8*$D8)*((1+$B$5)^K$7))*(1/((1+$N$5)^K$7))), 0)), "")</f>
        <v/>
      </c>
      <c r="L8" s="35" t="str">
        <f>IF($A8&lt;&gt;"", (IF('2Inter O&amp;M Entry'!P9="Y", ((($B8*$D8)*((1+$B$5)^L$7))*(1/((1+$N$5)^L$7))), 0)), "")</f>
        <v/>
      </c>
      <c r="M8" s="35" t="str">
        <f>IF($A8&lt;&gt;"", (IF('2Inter O&amp;M Entry'!Q9="Y", ((($B8*$D8)*((1+$B$5)^M$7))*(1/((1+$N$5)^M$7))), 0)), "")</f>
        <v/>
      </c>
      <c r="N8" s="35" t="str">
        <f>IF($A8&lt;&gt;"", (IF('2Inter O&amp;M Entry'!R9="Y", ((($B8*$D8)*((1+$B$5)^N$7))*(1/((1+$N$5)^N$7))), 0)), "")</f>
        <v/>
      </c>
    </row>
    <row r="9" spans="1:14">
      <c r="A9" s="31" t="str">
        <f>IF('2Inter O&amp;M Entry'!A10&lt;&gt;"", '2Inter O&amp;M Entry'!A10, "")</f>
        <v/>
      </c>
      <c r="B9" s="35" t="str">
        <f>IF('2Inter O&amp;M Entry'!B10&lt;&gt;"", '2Inter O&amp;M Entry'!B10, "")</f>
        <v/>
      </c>
      <c r="C9" s="31" t="str">
        <f>IF('2Inter O&amp;M Entry'!C10&lt;&gt;"", '2Inter O&amp;M Entry'!C10, "")</f>
        <v/>
      </c>
      <c r="D9" s="108" t="str">
        <f>IF('2Inter O&amp;M Entry'!D10&lt;&gt;"", '2Inter O&amp;M Entry'!D10, "")</f>
        <v/>
      </c>
      <c r="E9" s="35" t="str">
        <f>IF($A9&lt;&gt;"", (IF('2Inter O&amp;M Entry'!I10="Y", ((($B9*$D9)*((1+$B$5)^E$7))*(1/((1+$N$5)^E$7))), 0)), "")</f>
        <v/>
      </c>
      <c r="F9" s="35" t="str">
        <f>IF($A9&lt;&gt;"", (IF('2Inter O&amp;M Entry'!J10="Y", ((($B9*$D9)*((1+$B$5)^F$7))*(1/((1+$N$5)^F$7))), 0)), "")</f>
        <v/>
      </c>
      <c r="G9" s="35" t="str">
        <f>IF($A9&lt;&gt;"", (IF('2Inter O&amp;M Entry'!K10="Y", ((($B9*$D9)*((1+$B$5)^G$7))*(1/((1+$N$5)^G$7))), 0)), "")</f>
        <v/>
      </c>
      <c r="H9" s="35" t="str">
        <f>IF($A9&lt;&gt;"", (IF('2Inter O&amp;M Entry'!L10="Y", ((($B9*$D9)*((1+$B$5)^H$7))*(1/((1+$N$5)^H$7))), 0)), "")</f>
        <v/>
      </c>
      <c r="I9" s="35" t="str">
        <f>IF($A9&lt;&gt;"", (IF('2Inter O&amp;M Entry'!M10="Y", ((($B9*$D9)*((1+$B$5)^I$7))*(1/((1+$N$5)^I$7))), 0)), "")</f>
        <v/>
      </c>
      <c r="J9" s="35" t="str">
        <f>IF($A9&lt;&gt;"", (IF('2Inter O&amp;M Entry'!N10="Y", ((($B9*$D9)*((1+$B$5)^J$7))*(1/((1+$N$5)^J$7))), 0)), "")</f>
        <v/>
      </c>
      <c r="K9" s="35" t="str">
        <f>IF($A9&lt;&gt;"", (IF('2Inter O&amp;M Entry'!O10="Y", ((($B9*$D9)*((1+$B$5)^K$7))*(1/((1+$N$5)^K$7))), 0)), "")</f>
        <v/>
      </c>
      <c r="L9" s="35" t="str">
        <f>IF($A9&lt;&gt;"", (IF('2Inter O&amp;M Entry'!P10="Y", ((($B9*$D9)*((1+$B$5)^L$7))*(1/((1+$N$5)^L$7))), 0)), "")</f>
        <v/>
      </c>
      <c r="M9" s="35" t="str">
        <f>IF($A9&lt;&gt;"", (IF('2Inter O&amp;M Entry'!Q10="Y", ((($B9*$D9)*((1+$B$5)^M$7))*(1/((1+$N$5)^M$7))), 0)), "")</f>
        <v/>
      </c>
      <c r="N9" s="35" t="str">
        <f>IF($A9&lt;&gt;"", (IF('2Inter O&amp;M Entry'!R10="Y", ((($B9*$D9)*((1+$B$5)^N$7))*(1/((1+$N$5)^N$7))), 0)), "")</f>
        <v/>
      </c>
    </row>
    <row r="10" spans="1:14">
      <c r="A10" s="31" t="str">
        <f>IF('2Inter O&amp;M Entry'!A11&lt;&gt;"", '2Inter O&amp;M Entry'!A11, "")</f>
        <v/>
      </c>
      <c r="B10" s="35" t="str">
        <f>IF('2Inter O&amp;M Entry'!B11&lt;&gt;"", '2Inter O&amp;M Entry'!B11, "")</f>
        <v/>
      </c>
      <c r="C10" s="31" t="str">
        <f>IF('2Inter O&amp;M Entry'!C11&lt;&gt;"", '2Inter O&amp;M Entry'!C11, "")</f>
        <v/>
      </c>
      <c r="D10" s="108" t="str">
        <f>IF('2Inter O&amp;M Entry'!D11&lt;&gt;"", '2Inter O&amp;M Entry'!D11, "")</f>
        <v/>
      </c>
      <c r="E10" s="35" t="str">
        <f>IF($A10&lt;&gt;"", (IF('2Inter O&amp;M Entry'!I11="Y", ((($B10*$D10)*((1+$B$5)^E$7))*(1/((1+$N$5)^E$7))), 0)), "")</f>
        <v/>
      </c>
      <c r="F10" s="35" t="str">
        <f>IF($A10&lt;&gt;"", (IF('2Inter O&amp;M Entry'!J11="Y", ((($B10*$D10)*((1+$B$5)^F$7))*(1/((1+$N$5)^F$7))), 0)), "")</f>
        <v/>
      </c>
      <c r="G10" s="35" t="str">
        <f>IF($A10&lt;&gt;"", (IF('2Inter O&amp;M Entry'!K11="Y", ((($B10*$D10)*((1+$B$5)^G$7))*(1/((1+$N$5)^G$7))), 0)), "")</f>
        <v/>
      </c>
      <c r="H10" s="35" t="str">
        <f>IF($A10&lt;&gt;"", (IF('2Inter O&amp;M Entry'!L11="Y", ((($B10*$D10)*((1+$B$5)^H$7))*(1/((1+$N$5)^H$7))), 0)), "")</f>
        <v/>
      </c>
      <c r="I10" s="35" t="str">
        <f>IF($A10&lt;&gt;"", (IF('2Inter O&amp;M Entry'!M11="Y", ((($B10*$D10)*((1+$B$5)^I$7))*(1/((1+$N$5)^I$7))), 0)), "")</f>
        <v/>
      </c>
      <c r="J10" s="35" t="str">
        <f>IF($A10&lt;&gt;"", (IF('2Inter O&amp;M Entry'!N11="Y", ((($B10*$D10)*((1+$B$5)^J$7))*(1/((1+$N$5)^J$7))), 0)), "")</f>
        <v/>
      </c>
      <c r="K10" s="35" t="str">
        <f>IF($A10&lt;&gt;"", (IF('2Inter O&amp;M Entry'!O11="Y", ((($B10*$D10)*((1+$B$5)^K$7))*(1/((1+$N$5)^K$7))), 0)), "")</f>
        <v/>
      </c>
      <c r="L10" s="35" t="str">
        <f>IF($A10&lt;&gt;"", (IF('2Inter O&amp;M Entry'!P11="Y", ((($B10*$D10)*((1+$B$5)^L$7))*(1/((1+$N$5)^L$7))), 0)), "")</f>
        <v/>
      </c>
      <c r="M10" s="35" t="str">
        <f>IF($A10&lt;&gt;"", (IF('2Inter O&amp;M Entry'!Q11="Y", ((($B10*$D10)*((1+$B$5)^M$7))*(1/((1+$N$5)^M$7))), 0)), "")</f>
        <v/>
      </c>
      <c r="N10" s="35" t="str">
        <f>IF($A10&lt;&gt;"", (IF('2Inter O&amp;M Entry'!R11="Y", ((($B10*$D10)*((1+$B$5)^N$7))*(1/((1+$N$5)^N$7))), 0)), "")</f>
        <v/>
      </c>
    </row>
    <row r="11" spans="1:14">
      <c r="A11" s="31" t="str">
        <f>IF('2Inter O&amp;M Entry'!A12&lt;&gt;"", '2Inter O&amp;M Entry'!A12, "")</f>
        <v/>
      </c>
      <c r="B11" s="112" t="str">
        <f>IF('2Inter O&amp;M Entry'!B12&lt;&gt;"", '2Inter O&amp;M Entry'!B12, "")</f>
        <v/>
      </c>
      <c r="C11" s="31" t="str">
        <f>IF('2Inter O&amp;M Entry'!C12&lt;&gt;"", '2Inter O&amp;M Entry'!C12, "")</f>
        <v/>
      </c>
      <c r="D11" s="108" t="str">
        <f>IF('2Inter O&amp;M Entry'!D12&lt;&gt;"", '2Inter O&amp;M Entry'!D12, "")</f>
        <v/>
      </c>
      <c r="E11" s="35" t="str">
        <f>IF($A11&lt;&gt;"", (IF('2Inter O&amp;M Entry'!I12="Y", ((($B11*$D11)*((1+$B$5)^E$7))*(1/((1+$N$5)^E$7))), 0)), "")</f>
        <v/>
      </c>
      <c r="F11" s="35" t="str">
        <f>IF($A11&lt;&gt;"", (IF('2Inter O&amp;M Entry'!J12="Y", ((($B11*$D11)*((1+$B$5)^F$7))*(1/((1+$N$5)^F$7))), 0)), "")</f>
        <v/>
      </c>
      <c r="G11" s="35" t="str">
        <f>IF($A11&lt;&gt;"", (IF('2Inter O&amp;M Entry'!K12="Y", ((($B11*$D11)*((1+$B$5)^G$7))*(1/((1+$N$5)^G$7))), 0)), "")</f>
        <v/>
      </c>
      <c r="H11" s="35" t="str">
        <f>IF($A11&lt;&gt;"", (IF('2Inter O&amp;M Entry'!L12="Y", ((($B11*$D11)*((1+$B$5)^H$7))*(1/((1+$N$5)^H$7))), 0)), "")</f>
        <v/>
      </c>
      <c r="I11" s="35" t="str">
        <f>IF($A11&lt;&gt;"", (IF('2Inter O&amp;M Entry'!M12="Y", ((($B11*$D11)*((1+$B$5)^I$7))*(1/((1+$N$5)^I$7))), 0)), "")</f>
        <v/>
      </c>
      <c r="J11" s="35" t="str">
        <f>IF($A11&lt;&gt;"", (IF('2Inter O&amp;M Entry'!N12="Y", ((($B11*$D11)*((1+$B$5)^J$7))*(1/((1+$N$5)^J$7))), 0)), "")</f>
        <v/>
      </c>
      <c r="K11" s="35" t="str">
        <f>IF($A11&lt;&gt;"", (IF('2Inter O&amp;M Entry'!O12="Y", ((($B11*$D11)*((1+$B$5)^K$7))*(1/((1+$N$5)^K$7))), 0)), "")</f>
        <v/>
      </c>
      <c r="L11" s="35" t="str">
        <f>IF($A11&lt;&gt;"", (IF('2Inter O&amp;M Entry'!P12="Y", ((($B11*$D11)*((1+$B$5)^L$7))*(1/((1+$N$5)^L$7))), 0)), "")</f>
        <v/>
      </c>
      <c r="M11" s="35" t="str">
        <f>IF($A11&lt;&gt;"", (IF('2Inter O&amp;M Entry'!Q12="Y", ((($B11*$D11)*((1+$B$5)^M$7))*(1/((1+$N$5)^M$7))), 0)), "")</f>
        <v/>
      </c>
      <c r="N11" s="35" t="str">
        <f>IF($A11&lt;&gt;"", (IF('2Inter O&amp;M Entry'!R12="Y", ((($B11*$D11)*((1+$B$5)^N$7))*(1/((1+$N$5)^N$7))), 0)), "")</f>
        <v/>
      </c>
    </row>
    <row r="12" spans="1:14">
      <c r="A12" s="31" t="str">
        <f>IF('2Inter O&amp;M Entry'!A13&lt;&gt;"", '2Inter O&amp;M Entry'!A13, "")</f>
        <v/>
      </c>
      <c r="B12" s="35" t="str">
        <f>IF('2Inter O&amp;M Entry'!B13&lt;&gt;"", '2Inter O&amp;M Entry'!B13, "")</f>
        <v/>
      </c>
      <c r="C12" s="31" t="str">
        <f>IF('2Inter O&amp;M Entry'!C13&lt;&gt;"", '2Inter O&amp;M Entry'!C13, "")</f>
        <v/>
      </c>
      <c r="D12" s="108" t="str">
        <f>IF('2Inter O&amp;M Entry'!D13&lt;&gt;"", '2Inter O&amp;M Entry'!D13, "")</f>
        <v/>
      </c>
      <c r="E12" s="35" t="str">
        <f>IF($A12&lt;&gt;"", (IF('2Inter O&amp;M Entry'!I13="Y", ((($B12*$D12)*((1+$B$5)^E$7))*(1/((1+$N$5)^E$7))), 0)), "")</f>
        <v/>
      </c>
      <c r="F12" s="35" t="str">
        <f>IF($A12&lt;&gt;"", (IF('2Inter O&amp;M Entry'!J13="Y", ((($B12*$D12)*((1+$B$5)^F$7))*(1/((1+$N$5)^F$7))), 0)), "")</f>
        <v/>
      </c>
      <c r="G12" s="35" t="str">
        <f>IF($A12&lt;&gt;"", (IF('2Inter O&amp;M Entry'!K13="Y", ((($B12*$D12)*((1+$B$5)^G$7))*(1/((1+$N$5)^G$7))), 0)), "")</f>
        <v/>
      </c>
      <c r="H12" s="35" t="str">
        <f>IF($A12&lt;&gt;"", (IF('2Inter O&amp;M Entry'!L13="Y", ((($B12*$D12)*((1+$B$5)^H$7))*(1/((1+$N$5)^H$7))), 0)), "")</f>
        <v/>
      </c>
      <c r="I12" s="35" t="str">
        <f>IF($A12&lt;&gt;"", (IF('2Inter O&amp;M Entry'!M13="Y", ((($B12*$D12)*((1+$B$5)^I$7))*(1/((1+$N$5)^I$7))), 0)), "")</f>
        <v/>
      </c>
      <c r="J12" s="35" t="str">
        <f>IF($A12&lt;&gt;"", (IF('2Inter O&amp;M Entry'!N13="Y", ((($B12*$D12)*((1+$B$5)^J$7))*(1/((1+$N$5)^J$7))), 0)), "")</f>
        <v/>
      </c>
      <c r="K12" s="35" t="str">
        <f>IF($A12&lt;&gt;"", (IF('2Inter O&amp;M Entry'!O13="Y", ((($B12*$D12)*((1+$B$5)^K$7))*(1/((1+$N$5)^K$7))), 0)), "")</f>
        <v/>
      </c>
      <c r="L12" s="35" t="str">
        <f>IF($A12&lt;&gt;"", (IF('2Inter O&amp;M Entry'!P13="Y", ((($B12*$D12)*((1+$B$5)^L$7))*(1/((1+$N$5)^L$7))), 0)), "")</f>
        <v/>
      </c>
      <c r="M12" s="35" t="str">
        <f>IF($A12&lt;&gt;"", (IF('2Inter O&amp;M Entry'!Q13="Y", ((($B12*$D12)*((1+$B$5)^M$7))*(1/((1+$N$5)^M$7))), 0)), "")</f>
        <v/>
      </c>
      <c r="N12" s="35" t="str">
        <f>IF($A12&lt;&gt;"", (IF('2Inter O&amp;M Entry'!R13="Y", ((($B12*$D12)*((1+$B$5)^N$7))*(1/((1+$N$5)^N$7))), 0)), "")</f>
        <v/>
      </c>
    </row>
    <row r="13" spans="1:14">
      <c r="A13" s="31" t="str">
        <f>IF('2Inter O&amp;M Entry'!A14&lt;&gt;"", '2Inter O&amp;M Entry'!A14, "")</f>
        <v/>
      </c>
      <c r="B13" s="35" t="str">
        <f>IF('2Inter O&amp;M Entry'!B14&lt;&gt;"", '2Inter O&amp;M Entry'!B14, "")</f>
        <v/>
      </c>
      <c r="C13" s="31" t="str">
        <f>IF('2Inter O&amp;M Entry'!C14&lt;&gt;"", '2Inter O&amp;M Entry'!C14, "")</f>
        <v/>
      </c>
      <c r="D13" s="108" t="str">
        <f>IF('2Inter O&amp;M Entry'!D14&lt;&gt;"", '2Inter O&amp;M Entry'!D14, "")</f>
        <v/>
      </c>
      <c r="E13" s="35" t="str">
        <f>IF($A13&lt;&gt;"", (IF('2Inter O&amp;M Entry'!I14="Y", ((($B13*$D13)*((1+$B$5)^E$7))*(1/((1+$N$5)^E$7))), 0)), "")</f>
        <v/>
      </c>
      <c r="F13" s="35" t="str">
        <f>IF($A13&lt;&gt;"", (IF('2Inter O&amp;M Entry'!J14="Y", ((($B13*$D13)*((1+$B$5)^F$7))*(1/((1+$N$5)^F$7))), 0)), "")</f>
        <v/>
      </c>
      <c r="G13" s="35" t="str">
        <f>IF($A13&lt;&gt;"", (IF('2Inter O&amp;M Entry'!K14="Y", ((($B13*$D13)*((1+$B$5)^G$7))*(1/((1+$N$5)^G$7))), 0)), "")</f>
        <v/>
      </c>
      <c r="H13" s="35" t="str">
        <f>IF($A13&lt;&gt;"", (IF('2Inter O&amp;M Entry'!L14="Y", ((($B13*$D13)*((1+$B$5)^H$7))*(1/((1+$N$5)^H$7))), 0)), "")</f>
        <v/>
      </c>
      <c r="I13" s="35" t="str">
        <f>IF($A13&lt;&gt;"", (IF('2Inter O&amp;M Entry'!M14="Y", ((($B13*$D13)*((1+$B$5)^I$7))*(1/((1+$N$5)^I$7))), 0)), "")</f>
        <v/>
      </c>
      <c r="J13" s="35" t="str">
        <f>IF($A13&lt;&gt;"", (IF('2Inter O&amp;M Entry'!N14="Y", ((($B13*$D13)*((1+$B$5)^J$7))*(1/((1+$N$5)^J$7))), 0)), "")</f>
        <v/>
      </c>
      <c r="K13" s="35" t="str">
        <f>IF($A13&lt;&gt;"", (IF('2Inter O&amp;M Entry'!O14="Y", ((($B13*$D13)*((1+$B$5)^K$7))*(1/((1+$N$5)^K$7))), 0)), "")</f>
        <v/>
      </c>
      <c r="L13" s="35" t="str">
        <f>IF($A13&lt;&gt;"", (IF('2Inter O&amp;M Entry'!P14="Y", ((($B13*$D13)*((1+$B$5)^L$7))*(1/((1+$N$5)^L$7))), 0)), "")</f>
        <v/>
      </c>
      <c r="M13" s="35" t="str">
        <f>IF($A13&lt;&gt;"", (IF('2Inter O&amp;M Entry'!Q14="Y", ((($B13*$D13)*((1+$B$5)^M$7))*(1/((1+$N$5)^M$7))), 0)), "")</f>
        <v/>
      </c>
      <c r="N13" s="35" t="str">
        <f>IF($A13&lt;&gt;"", (IF('2Inter O&amp;M Entry'!R14="Y", ((($B13*$D13)*((1+$B$5)^N$7))*(1/((1+$N$5)^N$7))), 0)), "")</f>
        <v/>
      </c>
    </row>
    <row r="14" spans="1:14">
      <c r="A14" s="31" t="str">
        <f>IF('2Inter O&amp;M Entry'!A15&lt;&gt;"", '2Inter O&amp;M Entry'!A15, "")</f>
        <v/>
      </c>
      <c r="B14" s="35" t="str">
        <f>IF('2Inter O&amp;M Entry'!B15&lt;&gt;"", '2Inter O&amp;M Entry'!B15, "")</f>
        <v/>
      </c>
      <c r="C14" s="31" t="str">
        <f>IF('2Inter O&amp;M Entry'!C15&lt;&gt;"", '2Inter O&amp;M Entry'!C15, "")</f>
        <v/>
      </c>
      <c r="D14" s="108" t="str">
        <f>IF('2Inter O&amp;M Entry'!D15&lt;&gt;"", '2Inter O&amp;M Entry'!D15, "")</f>
        <v/>
      </c>
      <c r="E14" s="35" t="str">
        <f>IF($A14&lt;&gt;"", (IF('2Inter O&amp;M Entry'!I15="Y", ((($B14*$D14)*((1+$B$5)^E$7))*(1/((1+$N$5)^E$7))), 0)), "")</f>
        <v/>
      </c>
      <c r="F14" s="35" t="str">
        <f>IF($A14&lt;&gt;"", (IF('2Inter O&amp;M Entry'!J15="Y", ((($B14*$D14)*((1+$B$5)^F$7))*(1/((1+$N$5)^F$7))), 0)), "")</f>
        <v/>
      </c>
      <c r="G14" s="35" t="str">
        <f>IF($A14&lt;&gt;"", (IF('2Inter O&amp;M Entry'!K15="Y", ((($B14*$D14)*((1+$B$5)^G$7))*(1/((1+$N$5)^G$7))), 0)), "")</f>
        <v/>
      </c>
      <c r="H14" s="35" t="str">
        <f>IF($A14&lt;&gt;"", (IF('2Inter O&amp;M Entry'!L15="Y", ((($B14*$D14)*((1+$B$5)^H$7))*(1/((1+$N$5)^H$7))), 0)), "")</f>
        <v/>
      </c>
      <c r="I14" s="35" t="str">
        <f>IF($A14&lt;&gt;"", (IF('2Inter O&amp;M Entry'!M15="Y", ((($B14*$D14)*((1+$B$5)^I$7))*(1/((1+$N$5)^I$7))), 0)), "")</f>
        <v/>
      </c>
      <c r="J14" s="35" t="str">
        <f>IF($A14&lt;&gt;"", (IF('2Inter O&amp;M Entry'!N15="Y", ((($B14*$D14)*((1+$B$5)^J$7))*(1/((1+$N$5)^J$7))), 0)), "")</f>
        <v/>
      </c>
      <c r="K14" s="35" t="str">
        <f>IF($A14&lt;&gt;"", (IF('2Inter O&amp;M Entry'!O15="Y", ((($B14*$D14)*((1+$B$5)^K$7))*(1/((1+$N$5)^K$7))), 0)), "")</f>
        <v/>
      </c>
      <c r="L14" s="35" t="str">
        <f>IF($A14&lt;&gt;"", (IF('2Inter O&amp;M Entry'!P15="Y", ((($B14*$D14)*((1+$B$5)^L$7))*(1/((1+$N$5)^L$7))), 0)), "")</f>
        <v/>
      </c>
      <c r="M14" s="35" t="str">
        <f>IF($A14&lt;&gt;"", (IF('2Inter O&amp;M Entry'!Q15="Y", ((($B14*$D14)*((1+$B$5)^M$7))*(1/((1+$N$5)^M$7))), 0)), "")</f>
        <v/>
      </c>
      <c r="N14" s="35" t="str">
        <f>IF($A14&lt;&gt;"", (IF('2Inter O&amp;M Entry'!R15="Y", ((($B14*$D14)*((1+$B$5)^N$7))*(1/((1+$N$5)^N$7))), 0)), "")</f>
        <v/>
      </c>
    </row>
    <row r="15" spans="1:14">
      <c r="A15" s="31" t="str">
        <f>IF('2Inter O&amp;M Entry'!A16&lt;&gt;"", '2Inter O&amp;M Entry'!A16, "")</f>
        <v/>
      </c>
      <c r="B15" s="35" t="str">
        <f>IF('2Inter O&amp;M Entry'!B16&lt;&gt;"", '2Inter O&amp;M Entry'!B16, "")</f>
        <v/>
      </c>
      <c r="C15" s="31" t="str">
        <f>IF('2Inter O&amp;M Entry'!C16&lt;&gt;"", '2Inter O&amp;M Entry'!C16, "")</f>
        <v/>
      </c>
      <c r="D15" s="108" t="str">
        <f>IF('2Inter O&amp;M Entry'!D16&lt;&gt;"", '2Inter O&amp;M Entry'!D16, "")</f>
        <v/>
      </c>
      <c r="E15" s="35" t="str">
        <f>IF($A15&lt;&gt;"", (IF('2Inter O&amp;M Entry'!I16="Y", ((($B15*$D15)*((1+$B$5)^E$7))*(1/((1+$N$5)^E$7))), 0)), "")</f>
        <v/>
      </c>
      <c r="F15" s="35" t="str">
        <f>IF($A15&lt;&gt;"", (IF('2Inter O&amp;M Entry'!J16="Y", ((($B15*$D15)*((1+$B$5)^F$7))*(1/((1+$N$5)^F$7))), 0)), "")</f>
        <v/>
      </c>
      <c r="G15" s="35" t="str">
        <f>IF($A15&lt;&gt;"", (IF('2Inter O&amp;M Entry'!K16="Y", ((($B15*$D15)*((1+$B$5)^G$7))*(1/((1+$N$5)^G$7))), 0)), "")</f>
        <v/>
      </c>
      <c r="H15" s="35" t="str">
        <f>IF($A15&lt;&gt;"", (IF('2Inter O&amp;M Entry'!L16="Y", ((($B15*$D15)*((1+$B$5)^H$7))*(1/((1+$N$5)^H$7))), 0)), "")</f>
        <v/>
      </c>
      <c r="I15" s="35" t="str">
        <f>IF($A15&lt;&gt;"", (IF('2Inter O&amp;M Entry'!M16="Y", ((($B15*$D15)*((1+$B$5)^I$7))*(1/((1+$N$5)^I$7))), 0)), "")</f>
        <v/>
      </c>
      <c r="J15" s="35" t="str">
        <f>IF($A15&lt;&gt;"", (IF('2Inter O&amp;M Entry'!N16="Y", ((($B15*$D15)*((1+$B$5)^J$7))*(1/((1+$N$5)^J$7))), 0)), "")</f>
        <v/>
      </c>
      <c r="K15" s="35" t="str">
        <f>IF($A15&lt;&gt;"", (IF('2Inter O&amp;M Entry'!O16="Y", ((($B15*$D15)*((1+$B$5)^K$7))*(1/((1+$N$5)^K$7))), 0)), "")</f>
        <v/>
      </c>
      <c r="L15" s="35" t="str">
        <f>IF($A15&lt;&gt;"", (IF('2Inter O&amp;M Entry'!P16="Y", ((($B15*$D15)*((1+$B$5)^L$7))*(1/((1+$N$5)^L$7))), 0)), "")</f>
        <v/>
      </c>
      <c r="M15" s="35" t="str">
        <f>IF($A15&lt;&gt;"", (IF('2Inter O&amp;M Entry'!Q16="Y", ((($B15*$D15)*((1+$B$5)^M$7))*(1/((1+$N$5)^M$7))), 0)), "")</f>
        <v/>
      </c>
      <c r="N15" s="35" t="str">
        <f>IF($A15&lt;&gt;"", (IF('2Inter O&amp;M Entry'!R16="Y", ((($B15*$D15)*((1+$B$5)^N$7))*(1/((1+$N$5)^N$7))), 0)), "")</f>
        <v/>
      </c>
    </row>
    <row r="16" spans="1:14">
      <c r="A16" s="31" t="str">
        <f>IF('2Inter O&amp;M Entry'!A17&lt;&gt;"", '2Inter O&amp;M Entry'!A17, "")</f>
        <v/>
      </c>
      <c r="B16" s="35" t="str">
        <f>IF('2Inter O&amp;M Entry'!B17&lt;&gt;"", '2Inter O&amp;M Entry'!B17, "")</f>
        <v/>
      </c>
      <c r="C16" s="31" t="str">
        <f>IF('2Inter O&amp;M Entry'!C17&lt;&gt;"", '2Inter O&amp;M Entry'!C17, "")</f>
        <v/>
      </c>
      <c r="D16" s="108" t="str">
        <f>IF('2Inter O&amp;M Entry'!D17&lt;&gt;"", '2Inter O&amp;M Entry'!D17, "")</f>
        <v/>
      </c>
      <c r="E16" s="35" t="str">
        <f>IF($A16&lt;&gt;"", (IF('2Inter O&amp;M Entry'!I17="Y", ((($B16*$D16)*((1+$B$5)^E$7))*(1/((1+$N$5)^E$7))), 0)), "")</f>
        <v/>
      </c>
      <c r="F16" s="35" t="str">
        <f>IF($A16&lt;&gt;"", (IF('2Inter O&amp;M Entry'!J17="Y", ((($B16*$D16)*((1+$B$5)^F$7))*(1/((1+$N$5)^F$7))), 0)), "")</f>
        <v/>
      </c>
      <c r="G16" s="35" t="str">
        <f>IF($A16&lt;&gt;"", (IF('2Inter O&amp;M Entry'!K17="Y", ((($B16*$D16)*((1+$B$5)^G$7))*(1/((1+$N$5)^G$7))), 0)), "")</f>
        <v/>
      </c>
      <c r="H16" s="35" t="str">
        <f>IF($A16&lt;&gt;"", (IF('2Inter O&amp;M Entry'!L17="Y", ((($B16*$D16)*((1+$B$5)^H$7))*(1/((1+$N$5)^H$7))), 0)), "")</f>
        <v/>
      </c>
      <c r="I16" s="35" t="str">
        <f>IF($A16&lt;&gt;"", (IF('2Inter O&amp;M Entry'!M17="Y", ((($B16*$D16)*((1+$B$5)^I$7))*(1/((1+$N$5)^I$7))), 0)), "")</f>
        <v/>
      </c>
      <c r="J16" s="35" t="str">
        <f>IF($A16&lt;&gt;"", (IF('2Inter O&amp;M Entry'!N17="Y", ((($B16*$D16)*((1+$B$5)^J$7))*(1/((1+$N$5)^J$7))), 0)), "")</f>
        <v/>
      </c>
      <c r="K16" s="35" t="str">
        <f>IF($A16&lt;&gt;"", (IF('2Inter O&amp;M Entry'!O17="Y", ((($B16*$D16)*((1+$B$5)^K$7))*(1/((1+$N$5)^K$7))), 0)), "")</f>
        <v/>
      </c>
      <c r="L16" s="35" t="str">
        <f>IF($A16&lt;&gt;"", (IF('2Inter O&amp;M Entry'!P17="Y", ((($B16*$D16)*((1+$B$5)^L$7))*(1/((1+$N$5)^L$7))), 0)), "")</f>
        <v/>
      </c>
      <c r="M16" s="35" t="str">
        <f>IF($A16&lt;&gt;"", (IF('2Inter O&amp;M Entry'!Q17="Y", ((($B16*$D16)*((1+$B$5)^M$7))*(1/((1+$N$5)^M$7))), 0)), "")</f>
        <v/>
      </c>
      <c r="N16" s="35" t="str">
        <f>IF($A16&lt;&gt;"", (IF('2Inter O&amp;M Entry'!R17="Y", ((($B16*$D16)*((1+$B$5)^N$7))*(1/((1+$N$5)^N$7))), 0)), "")</f>
        <v/>
      </c>
    </row>
    <row r="17" spans="1:14">
      <c r="A17" s="31" t="str">
        <f>IF('2Inter O&amp;M Entry'!A18&lt;&gt;"", '2Inter O&amp;M Entry'!A18, "")</f>
        <v/>
      </c>
      <c r="B17" s="35" t="str">
        <f>IF('2Inter O&amp;M Entry'!B18&lt;&gt;"", '2Inter O&amp;M Entry'!B18, "")</f>
        <v/>
      </c>
      <c r="C17" s="31" t="str">
        <f>IF('2Inter O&amp;M Entry'!C18&lt;&gt;"", '2Inter O&amp;M Entry'!C18, "")</f>
        <v/>
      </c>
      <c r="D17" s="108" t="str">
        <f>IF('2Inter O&amp;M Entry'!D18&lt;&gt;"", '2Inter O&amp;M Entry'!D18, "")</f>
        <v/>
      </c>
      <c r="E17" s="35" t="str">
        <f>IF($A17&lt;&gt;"", (IF('2Inter O&amp;M Entry'!I18="Y", ((($B17*$D17)*((1+$B$5)^E$7))*(1/((1+$N$5)^E$7))), 0)), "")</f>
        <v/>
      </c>
      <c r="F17" s="35" t="str">
        <f>IF($A17&lt;&gt;"", (IF('2Inter O&amp;M Entry'!J18="Y", ((($B17*$D17)*((1+$B$5)^F$7))*(1/((1+$N$5)^F$7))), 0)), "")</f>
        <v/>
      </c>
      <c r="G17" s="35" t="str">
        <f>IF($A17&lt;&gt;"", (IF('2Inter O&amp;M Entry'!K18="Y", ((($B17*$D17)*((1+$B$5)^G$7))*(1/((1+$N$5)^G$7))), 0)), "")</f>
        <v/>
      </c>
      <c r="H17" s="35" t="str">
        <f>IF($A17&lt;&gt;"", (IF('2Inter O&amp;M Entry'!L18="Y", ((($B17*$D17)*((1+$B$5)^H$7))*(1/((1+$N$5)^H$7))), 0)), "")</f>
        <v/>
      </c>
      <c r="I17" s="35" t="str">
        <f>IF($A17&lt;&gt;"", (IF('2Inter O&amp;M Entry'!M18="Y", ((($B17*$D17)*((1+$B$5)^I$7))*(1/((1+$N$5)^I$7))), 0)), "")</f>
        <v/>
      </c>
      <c r="J17" s="35" t="str">
        <f>IF($A17&lt;&gt;"", (IF('2Inter O&amp;M Entry'!N18="Y", ((($B17*$D17)*((1+$B$5)^J$7))*(1/((1+$N$5)^J$7))), 0)), "")</f>
        <v/>
      </c>
      <c r="K17" s="35" t="str">
        <f>IF($A17&lt;&gt;"", (IF('2Inter O&amp;M Entry'!O18="Y", ((($B17*$D17)*((1+$B$5)^K$7))*(1/((1+$N$5)^K$7))), 0)), "")</f>
        <v/>
      </c>
      <c r="L17" s="35" t="str">
        <f>IF($A17&lt;&gt;"", (IF('2Inter O&amp;M Entry'!P18="Y", ((($B17*$D17)*((1+$B$5)^L$7))*(1/((1+$N$5)^L$7))), 0)), "")</f>
        <v/>
      </c>
      <c r="M17" s="35" t="str">
        <f>IF($A17&lt;&gt;"", (IF('2Inter O&amp;M Entry'!Q18="Y", ((($B17*$D17)*((1+$B$5)^M$7))*(1/((1+$N$5)^M$7))), 0)), "")</f>
        <v/>
      </c>
      <c r="N17" s="35" t="str">
        <f>IF($A17&lt;&gt;"", (IF('2Inter O&amp;M Entry'!R18="Y", ((($B17*$D17)*((1+$B$5)^N$7))*(1/((1+$N$5)^N$7))), 0)), "")</f>
        <v/>
      </c>
    </row>
    <row r="18" spans="1:14">
      <c r="A18" s="31" t="str">
        <f>IF('2Inter O&amp;M Entry'!A19&lt;&gt;"", '2Inter O&amp;M Entry'!A19, "")</f>
        <v/>
      </c>
      <c r="B18" s="35" t="str">
        <f>IF('2Inter O&amp;M Entry'!B19&lt;&gt;"", '2Inter O&amp;M Entry'!B19, "")</f>
        <v/>
      </c>
      <c r="C18" s="31" t="str">
        <f>IF('2Inter O&amp;M Entry'!C19&lt;&gt;"", '2Inter O&amp;M Entry'!C19, "")</f>
        <v/>
      </c>
      <c r="D18" s="108" t="str">
        <f>IF('2Inter O&amp;M Entry'!D19&lt;&gt;"", '2Inter O&amp;M Entry'!D19, "")</f>
        <v/>
      </c>
      <c r="E18" s="35" t="str">
        <f>IF($A18&lt;&gt;"", (IF('2Inter O&amp;M Entry'!I19="Y", ((($B18*$D18)*((1+$B$5)^E$7))*(1/((1+$N$5)^E$7))), 0)), "")</f>
        <v/>
      </c>
      <c r="F18" s="35" t="str">
        <f>IF($A18&lt;&gt;"", (IF('2Inter O&amp;M Entry'!J19="Y", ((($B18*$D18)*((1+$B$5)^F$7))*(1/((1+$N$5)^F$7))), 0)), "")</f>
        <v/>
      </c>
      <c r="G18" s="35" t="str">
        <f>IF($A18&lt;&gt;"", (IF('2Inter O&amp;M Entry'!K19="Y", ((($B18*$D18)*((1+$B$5)^G$7))*(1/((1+$N$5)^G$7))), 0)), "")</f>
        <v/>
      </c>
      <c r="H18" s="35" t="str">
        <f>IF($A18&lt;&gt;"", (IF('2Inter O&amp;M Entry'!L19="Y", ((($B18*$D18)*((1+$B$5)^H$7))*(1/((1+$N$5)^H$7))), 0)), "")</f>
        <v/>
      </c>
      <c r="I18" s="35" t="str">
        <f>IF($A18&lt;&gt;"", (IF('2Inter O&amp;M Entry'!M19="Y", ((($B18*$D18)*((1+$B$5)^I$7))*(1/((1+$N$5)^I$7))), 0)), "")</f>
        <v/>
      </c>
      <c r="J18" s="35" t="str">
        <f>IF($A18&lt;&gt;"", (IF('2Inter O&amp;M Entry'!N19="Y", ((($B18*$D18)*((1+$B$5)^J$7))*(1/((1+$N$5)^J$7))), 0)), "")</f>
        <v/>
      </c>
      <c r="K18" s="35" t="str">
        <f>IF($A18&lt;&gt;"", (IF('2Inter O&amp;M Entry'!O19="Y", ((($B18*$D18)*((1+$B$5)^K$7))*(1/((1+$N$5)^K$7))), 0)), "")</f>
        <v/>
      </c>
      <c r="L18" s="35" t="str">
        <f>IF($A18&lt;&gt;"", (IF('2Inter O&amp;M Entry'!P19="Y", ((($B18*$D18)*((1+$B$5)^L$7))*(1/((1+$N$5)^L$7))), 0)), "")</f>
        <v/>
      </c>
      <c r="M18" s="35" t="str">
        <f>IF($A18&lt;&gt;"", (IF('2Inter O&amp;M Entry'!Q19="Y", ((($B18*$D18)*((1+$B$5)^M$7))*(1/((1+$N$5)^M$7))), 0)), "")</f>
        <v/>
      </c>
      <c r="N18" s="35" t="str">
        <f>IF($A18&lt;&gt;"", (IF('2Inter O&amp;M Entry'!R19="Y", ((($B18*$D18)*((1+$B$5)^N$7))*(1/((1+$N$5)^N$7))), 0)), "")</f>
        <v/>
      </c>
    </row>
    <row r="19" spans="1:14">
      <c r="A19" s="31" t="str">
        <f>IF('2Inter O&amp;M Entry'!A20&lt;&gt;"", '2Inter O&amp;M Entry'!A20, "")</f>
        <v/>
      </c>
      <c r="B19" s="35" t="str">
        <f>IF('2Inter O&amp;M Entry'!B20&lt;&gt;"", '2Inter O&amp;M Entry'!B20, "")</f>
        <v/>
      </c>
      <c r="C19" s="31" t="str">
        <f>IF('2Inter O&amp;M Entry'!C20&lt;&gt;"", '2Inter O&amp;M Entry'!C20, "")</f>
        <v/>
      </c>
      <c r="D19" s="108" t="str">
        <f>IF('2Inter O&amp;M Entry'!D20&lt;&gt;"", '2Inter O&amp;M Entry'!D20, "")</f>
        <v/>
      </c>
      <c r="E19" s="35" t="str">
        <f>IF($A19&lt;&gt;"", (IF('2Inter O&amp;M Entry'!I20="Y", ((($B19*$D19)*((1+$B$5)^E$7))*(1/((1+$N$5)^E$7))), 0)), "")</f>
        <v/>
      </c>
      <c r="F19" s="35" t="str">
        <f>IF($A19&lt;&gt;"", (IF('2Inter O&amp;M Entry'!J20="Y", ((($B19*$D19)*((1+$B$5)^F$7))*(1/((1+$N$5)^F$7))), 0)), "")</f>
        <v/>
      </c>
      <c r="G19" s="35" t="str">
        <f>IF($A19&lt;&gt;"", (IF('2Inter O&amp;M Entry'!K20="Y", ((($B19*$D19)*((1+$B$5)^G$7))*(1/((1+$N$5)^G$7))), 0)), "")</f>
        <v/>
      </c>
      <c r="H19" s="35" t="str">
        <f>IF($A19&lt;&gt;"", (IF('2Inter O&amp;M Entry'!L20="Y", ((($B19*$D19)*((1+$B$5)^H$7))*(1/((1+$N$5)^H$7))), 0)), "")</f>
        <v/>
      </c>
      <c r="I19" s="35" t="str">
        <f>IF($A19&lt;&gt;"", (IF('2Inter O&amp;M Entry'!M20="Y", ((($B19*$D19)*((1+$B$5)^I$7))*(1/((1+$N$5)^I$7))), 0)), "")</f>
        <v/>
      </c>
      <c r="J19" s="35" t="str">
        <f>IF($A19&lt;&gt;"", (IF('2Inter O&amp;M Entry'!N20="Y", ((($B19*$D19)*((1+$B$5)^J$7))*(1/((1+$N$5)^J$7))), 0)), "")</f>
        <v/>
      </c>
      <c r="K19" s="35" t="str">
        <f>IF($A19&lt;&gt;"", (IF('2Inter O&amp;M Entry'!O20="Y", ((($B19*$D19)*((1+$B$5)^K$7))*(1/((1+$N$5)^K$7))), 0)), "")</f>
        <v/>
      </c>
      <c r="L19" s="35" t="str">
        <f>IF($A19&lt;&gt;"", (IF('2Inter O&amp;M Entry'!P20="Y", ((($B19*$D19)*((1+$B$5)^L$7))*(1/((1+$N$5)^L$7))), 0)), "")</f>
        <v/>
      </c>
      <c r="M19" s="35" t="str">
        <f>IF($A19&lt;&gt;"", (IF('2Inter O&amp;M Entry'!Q20="Y", ((($B19*$D19)*((1+$B$5)^M$7))*(1/((1+$N$5)^M$7))), 0)), "")</f>
        <v/>
      </c>
      <c r="N19" s="35" t="str">
        <f>IF($A19&lt;&gt;"", (IF('2Inter O&amp;M Entry'!R20="Y", ((($B19*$D19)*((1+$B$5)^N$7))*(1/((1+$N$5)^N$7))), 0)), "")</f>
        <v/>
      </c>
    </row>
    <row r="20" spans="1:14">
      <c r="D20" s="2" t="s">
        <v>74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  <row r="21" spans="1:14">
      <c r="M21" s="2" t="s">
        <v>57</v>
      </c>
      <c r="N21" s="28">
        <f>'2Inter O&amp;M 1-10'!E20+'2Inter O&amp;M 1-10'!F20+'2Inter O&amp;M 1-10'!G20+'2Inter O&amp;M 1-10'!H20+'2Inter O&amp;M 1-10'!I20+'2Inter O&amp;M 1-10'!J20+'2Inter O&amp;M 1-10'!K20+'2Inter O&amp;M 1-10'!L20+'2Inter O&amp;M 1-10'!M20+'2Inter O&amp;M 1-10'!N20+'2Inter O&amp;M 11-20'!E20+'2Inter O&amp;M 11-20'!F20+'2Inter O&amp;M 11-20'!G20+'2Inter O&amp;M 11-20'!H20+'2Inter O&amp;M 11-20'!I20+'2Inter O&amp;M 11-20'!J20+'2Inter O&amp;M 11-20'!K20+'2Inter O&amp;M 11-20'!L20+'2Inter O&amp;M 11-20'!M20+'2Inter O&amp;M 11-20'!N20</f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2:E42"/>
  <sheetViews>
    <sheetView topLeftCell="A7" workbookViewId="0">
      <selection activeCell="A9" sqref="A9:D22"/>
    </sheetView>
  </sheetViews>
  <sheetFormatPr defaultRowHeight="15.75"/>
  <cols>
    <col min="1" max="1" width="54.7109375" style="1" customWidth="1"/>
    <col min="2" max="3" width="18.28515625" style="1" customWidth="1"/>
    <col min="4" max="4" width="14.7109375" style="1" customWidth="1"/>
    <col min="5" max="5" width="28.140625" style="1" customWidth="1"/>
    <col min="6" max="16384" width="9.140625" style="1"/>
  </cols>
  <sheetData>
    <row r="2" spans="1:5">
      <c r="A2" s="137" t="s">
        <v>157</v>
      </c>
      <c r="B2" s="138"/>
      <c r="C2" s="138"/>
      <c r="D2" s="138"/>
      <c r="E2" s="139"/>
    </row>
    <row r="3" spans="1:5">
      <c r="A3" s="140">
        <f>Input!B4</f>
        <v>0</v>
      </c>
      <c r="B3" s="141"/>
      <c r="C3" s="141"/>
      <c r="D3" s="141"/>
      <c r="E3" s="142"/>
    </row>
    <row r="4" spans="1:5">
      <c r="A4" s="140">
        <f>Input!B5</f>
        <v>0</v>
      </c>
      <c r="B4" s="141"/>
      <c r="C4" s="141"/>
      <c r="D4" s="141"/>
      <c r="E4" s="142"/>
    </row>
    <row r="5" spans="1:5">
      <c r="A5" s="144" t="s">
        <v>36</v>
      </c>
      <c r="B5" s="145"/>
      <c r="C5" s="145"/>
      <c r="D5" s="145"/>
      <c r="E5" s="146"/>
    </row>
    <row r="6" spans="1:5">
      <c r="A6" s="13" t="s">
        <v>3</v>
      </c>
      <c r="B6" s="143"/>
      <c r="C6" s="143"/>
      <c r="D6" s="143"/>
      <c r="E6" s="143"/>
    </row>
    <row r="7" spans="1:5">
      <c r="A7" s="11" t="s">
        <v>65</v>
      </c>
      <c r="B7" s="81"/>
      <c r="C7" s="9"/>
      <c r="D7" s="9"/>
      <c r="E7" s="10"/>
    </row>
    <row r="8" spans="1:5" ht="18.75">
      <c r="A8" s="12" t="s">
        <v>4</v>
      </c>
      <c r="B8" s="12" t="s">
        <v>34</v>
      </c>
      <c r="C8" s="12" t="s">
        <v>5</v>
      </c>
      <c r="D8" s="12" t="s">
        <v>1</v>
      </c>
      <c r="E8" s="12" t="s">
        <v>2</v>
      </c>
    </row>
    <row r="9" spans="1:5">
      <c r="A9" s="82"/>
      <c r="B9" s="81"/>
      <c r="C9" s="83"/>
      <c r="D9" s="84"/>
      <c r="E9" s="3">
        <f>B9*D9</f>
        <v>0</v>
      </c>
    </row>
    <row r="10" spans="1:5">
      <c r="A10" s="82"/>
      <c r="B10" s="81"/>
      <c r="C10" s="83"/>
      <c r="D10" s="84"/>
      <c r="E10" s="3">
        <f t="shared" ref="E10:E37" si="0">B10*D10</f>
        <v>0</v>
      </c>
    </row>
    <row r="11" spans="1:5">
      <c r="A11" s="82"/>
      <c r="B11" s="81"/>
      <c r="C11" s="83"/>
      <c r="D11" s="84"/>
      <c r="E11" s="3">
        <f t="shared" si="0"/>
        <v>0</v>
      </c>
    </row>
    <row r="12" spans="1:5">
      <c r="A12" s="82"/>
      <c r="B12" s="81"/>
      <c r="C12" s="83"/>
      <c r="D12" s="84"/>
      <c r="E12" s="3">
        <f t="shared" si="0"/>
        <v>0</v>
      </c>
    </row>
    <row r="13" spans="1:5">
      <c r="A13" s="85"/>
      <c r="B13" s="81"/>
      <c r="C13" s="83"/>
      <c r="D13" s="84"/>
      <c r="E13" s="3">
        <f t="shared" si="0"/>
        <v>0</v>
      </c>
    </row>
    <row r="14" spans="1:5">
      <c r="A14" s="82"/>
      <c r="B14" s="81"/>
      <c r="C14" s="83"/>
      <c r="D14" s="84"/>
      <c r="E14" s="3">
        <f t="shared" si="0"/>
        <v>0</v>
      </c>
    </row>
    <row r="15" spans="1:5">
      <c r="A15" s="82"/>
      <c r="B15" s="81"/>
      <c r="C15" s="83"/>
      <c r="D15" s="84"/>
      <c r="E15" s="3">
        <f t="shared" si="0"/>
        <v>0</v>
      </c>
    </row>
    <row r="16" spans="1:5">
      <c r="A16" s="82"/>
      <c r="B16" s="81"/>
      <c r="C16" s="83"/>
      <c r="D16" s="84"/>
      <c r="E16" s="3">
        <f t="shared" si="0"/>
        <v>0</v>
      </c>
    </row>
    <row r="17" spans="1:5">
      <c r="A17" s="82"/>
      <c r="B17" s="81"/>
      <c r="C17" s="83"/>
      <c r="D17" s="84"/>
      <c r="E17" s="3">
        <f t="shared" si="0"/>
        <v>0</v>
      </c>
    </row>
    <row r="18" spans="1:5">
      <c r="A18" s="82"/>
      <c r="B18" s="81"/>
      <c r="C18" s="83"/>
      <c r="D18" s="84"/>
      <c r="E18" s="3">
        <f t="shared" si="0"/>
        <v>0</v>
      </c>
    </row>
    <row r="19" spans="1:5">
      <c r="A19" s="82"/>
      <c r="B19" s="81"/>
      <c r="C19" s="83"/>
      <c r="D19" s="84"/>
      <c r="E19" s="3">
        <f t="shared" si="0"/>
        <v>0</v>
      </c>
    </row>
    <row r="20" spans="1:5">
      <c r="A20" s="82"/>
      <c r="B20" s="81"/>
      <c r="C20" s="83"/>
      <c r="D20" s="84"/>
      <c r="E20" s="3">
        <f t="shared" si="0"/>
        <v>0</v>
      </c>
    </row>
    <row r="21" spans="1:5">
      <c r="A21" s="82"/>
      <c r="B21" s="81"/>
      <c r="C21" s="83"/>
      <c r="D21" s="84"/>
      <c r="E21" s="3">
        <f t="shared" si="0"/>
        <v>0</v>
      </c>
    </row>
    <row r="22" spans="1:5">
      <c r="A22" s="82"/>
      <c r="B22" s="81"/>
      <c r="C22" s="83"/>
      <c r="D22" s="84"/>
      <c r="E22" s="3">
        <f t="shared" si="0"/>
        <v>0</v>
      </c>
    </row>
    <row r="23" spans="1:5">
      <c r="A23" s="82"/>
      <c r="B23" s="81"/>
      <c r="C23" s="83"/>
      <c r="D23" s="84"/>
      <c r="E23" s="3">
        <f t="shared" si="0"/>
        <v>0</v>
      </c>
    </row>
    <row r="24" spans="1:5">
      <c r="A24" s="82"/>
      <c r="B24" s="81"/>
      <c r="C24" s="83"/>
      <c r="D24" s="84"/>
      <c r="E24" s="3">
        <f t="shared" si="0"/>
        <v>0</v>
      </c>
    </row>
    <row r="25" spans="1:5">
      <c r="A25" s="82"/>
      <c r="B25" s="81"/>
      <c r="C25" s="83"/>
      <c r="D25" s="84"/>
      <c r="E25" s="3">
        <f t="shared" si="0"/>
        <v>0</v>
      </c>
    </row>
    <row r="26" spans="1:5">
      <c r="A26" s="82"/>
      <c r="B26" s="81"/>
      <c r="C26" s="83"/>
      <c r="D26" s="84"/>
      <c r="E26" s="3">
        <f t="shared" si="0"/>
        <v>0</v>
      </c>
    </row>
    <row r="27" spans="1:5">
      <c r="A27" s="82"/>
      <c r="B27" s="81"/>
      <c r="C27" s="83"/>
      <c r="D27" s="84"/>
      <c r="E27" s="3">
        <f t="shared" si="0"/>
        <v>0</v>
      </c>
    </row>
    <row r="28" spans="1:5">
      <c r="A28" s="82"/>
      <c r="B28" s="81"/>
      <c r="C28" s="83"/>
      <c r="D28" s="84"/>
      <c r="E28" s="3">
        <f t="shared" si="0"/>
        <v>0</v>
      </c>
    </row>
    <row r="29" spans="1:5">
      <c r="A29" s="82"/>
      <c r="B29" s="81"/>
      <c r="C29" s="83"/>
      <c r="D29" s="84"/>
      <c r="E29" s="3">
        <f t="shared" si="0"/>
        <v>0</v>
      </c>
    </row>
    <row r="30" spans="1:5">
      <c r="A30" s="82"/>
      <c r="B30" s="81"/>
      <c r="C30" s="83"/>
      <c r="D30" s="84"/>
      <c r="E30" s="3">
        <f t="shared" si="0"/>
        <v>0</v>
      </c>
    </row>
    <row r="31" spans="1:5">
      <c r="A31" s="82"/>
      <c r="B31" s="81"/>
      <c r="C31" s="83"/>
      <c r="D31" s="84"/>
      <c r="E31" s="3">
        <f t="shared" si="0"/>
        <v>0</v>
      </c>
    </row>
    <row r="32" spans="1:5">
      <c r="A32" s="82"/>
      <c r="B32" s="81"/>
      <c r="C32" s="83"/>
      <c r="D32" s="84"/>
      <c r="E32" s="3">
        <f t="shared" si="0"/>
        <v>0</v>
      </c>
    </row>
    <row r="33" spans="1:5">
      <c r="A33" s="82"/>
      <c r="B33" s="81"/>
      <c r="C33" s="83"/>
      <c r="D33" s="84"/>
      <c r="E33" s="3">
        <f t="shared" si="0"/>
        <v>0</v>
      </c>
    </row>
    <row r="34" spans="1:5">
      <c r="A34" s="82"/>
      <c r="B34" s="81"/>
      <c r="C34" s="83"/>
      <c r="D34" s="84"/>
      <c r="E34" s="3">
        <f t="shared" si="0"/>
        <v>0</v>
      </c>
    </row>
    <row r="35" spans="1:5">
      <c r="A35" s="82"/>
      <c r="B35" s="81"/>
      <c r="C35" s="83"/>
      <c r="D35" s="84"/>
      <c r="E35" s="3">
        <f t="shared" si="0"/>
        <v>0</v>
      </c>
    </row>
    <row r="36" spans="1:5">
      <c r="A36" s="82"/>
      <c r="B36" s="81"/>
      <c r="C36" s="83"/>
      <c r="D36" s="84"/>
      <c r="E36" s="3">
        <f t="shared" si="0"/>
        <v>0</v>
      </c>
    </row>
    <row r="37" spans="1:5" ht="16.5" thickBot="1">
      <c r="A37" s="82"/>
      <c r="B37" s="81"/>
      <c r="C37" s="86"/>
      <c r="D37" s="84"/>
      <c r="E37" s="3">
        <f t="shared" si="0"/>
        <v>0</v>
      </c>
    </row>
    <row r="38" spans="1:5" ht="17.25" thickBot="1">
      <c r="A38" s="52" t="s">
        <v>35</v>
      </c>
      <c r="D38" s="2" t="s">
        <v>8</v>
      </c>
      <c r="E38" s="4">
        <f>SUM(E9:E37)</f>
        <v>0</v>
      </c>
    </row>
    <row r="39" spans="1:5" ht="16.5" thickBot="1">
      <c r="D39" s="2" t="s">
        <v>32</v>
      </c>
      <c r="E39" s="5">
        <f>E38*$B$42</f>
        <v>0</v>
      </c>
    </row>
    <row r="40" spans="1:5" ht="16.5" thickBot="1">
      <c r="D40" s="2" t="s">
        <v>30</v>
      </c>
      <c r="E40" s="5">
        <f>B7</f>
        <v>0</v>
      </c>
    </row>
    <row r="41" spans="1:5" ht="16.5" thickBot="1">
      <c r="D41" s="2" t="s">
        <v>31</v>
      </c>
      <c r="E41" s="5">
        <f>SUM(E38:E40)</f>
        <v>0</v>
      </c>
    </row>
    <row r="42" spans="1:5" hidden="1">
      <c r="A42" s="1" t="s">
        <v>28</v>
      </c>
      <c r="B42" s="42">
        <v>0.1</v>
      </c>
    </row>
  </sheetData>
  <sheetProtection sheet="1" objects="1" scenarios="1"/>
  <mergeCells count="5">
    <mergeCell ref="A2:E2"/>
    <mergeCell ref="A3:E3"/>
    <mergeCell ref="A4:E4"/>
    <mergeCell ref="A5:E5"/>
    <mergeCell ref="B6:E6"/>
  </mergeCells>
  <dataValidations count="1">
    <dataValidation type="list" allowBlank="1" showInputMessage="1" showErrorMessage="1" sqref="B6:E6">
      <formula1>Input!B6:B11</formula1>
    </dataValidation>
  </dataValidations>
  <printOptions horizontalCentered="1"/>
  <pageMargins left="0.5" right="0.5" top="0.5" bottom="0.5" header="0.3" footer="0.3"/>
  <pageSetup scale="8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37"/>
  <sheetViews>
    <sheetView zoomScale="50" zoomScaleNormal="50" workbookViewId="0">
      <pane xSplit="4" ySplit="8" topLeftCell="J9" activePane="bottomRight" state="frozen"/>
      <selection activeCell="A11" sqref="A11"/>
      <selection pane="topRight" activeCell="A11" sqref="A11"/>
      <selection pane="bottomLeft" activeCell="A11" sqref="A11"/>
      <selection pane="bottomRight" activeCell="J9" sqref="J9:AC22"/>
    </sheetView>
  </sheetViews>
  <sheetFormatPr defaultRowHeight="15.75"/>
  <cols>
    <col min="1" max="1" width="38.42578125" style="1" customWidth="1"/>
    <col min="2" max="4" width="12.7109375" style="1" customWidth="1"/>
    <col min="5" max="8" width="14.7109375" style="1" hidden="1" customWidth="1"/>
    <col min="9" max="9" width="14.7109375" style="1" customWidth="1"/>
    <col min="10" max="29" width="8.7109375" style="1" customWidth="1"/>
    <col min="30" max="16384" width="9.140625" style="1"/>
  </cols>
  <sheetData>
    <row r="1" spans="1:29">
      <c r="A1" s="150" t="s">
        <v>22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</row>
    <row r="3" spans="1:29">
      <c r="A3" s="2" t="s">
        <v>3</v>
      </c>
      <c r="B3" s="149">
        <f>'3Capital Costs'!B6</f>
        <v>0</v>
      </c>
      <c r="C3" s="149"/>
      <c r="D3" s="149"/>
      <c r="E3" s="149"/>
      <c r="F3" s="149"/>
      <c r="G3" s="149"/>
      <c r="H3" s="149"/>
      <c r="I3" s="149"/>
      <c r="J3" s="149"/>
      <c r="K3" s="149"/>
    </row>
    <row r="5" spans="1:29">
      <c r="A5" s="7" t="s">
        <v>42</v>
      </c>
      <c r="B5" s="7"/>
      <c r="C5" s="7"/>
      <c r="D5" s="7"/>
      <c r="E5" s="7"/>
      <c r="F5" s="7"/>
      <c r="G5" s="7"/>
      <c r="H5" s="7"/>
      <c r="I5" s="7"/>
    </row>
    <row r="7" spans="1:29">
      <c r="A7" s="14"/>
      <c r="B7" s="15"/>
      <c r="C7" s="15"/>
      <c r="D7" s="15"/>
      <c r="E7" s="32"/>
      <c r="F7" s="32"/>
      <c r="G7" s="32"/>
      <c r="H7" s="32"/>
      <c r="I7" s="32"/>
      <c r="J7" s="147" t="s">
        <v>6</v>
      </c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8"/>
    </row>
    <row r="8" spans="1:29" ht="47.25">
      <c r="A8" s="24" t="s">
        <v>4</v>
      </c>
      <c r="B8" s="17" t="s">
        <v>0</v>
      </c>
      <c r="C8" s="17" t="s">
        <v>5</v>
      </c>
      <c r="D8" s="17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54" t="s">
        <v>37</v>
      </c>
      <c r="J8" s="17">
        <v>1</v>
      </c>
      <c r="K8" s="17">
        <v>2</v>
      </c>
      <c r="L8" s="17">
        <v>3</v>
      </c>
      <c r="M8" s="17">
        <v>4</v>
      </c>
      <c r="N8" s="17">
        <v>5</v>
      </c>
      <c r="O8" s="17">
        <v>6</v>
      </c>
      <c r="P8" s="17">
        <v>7</v>
      </c>
      <c r="Q8" s="17">
        <v>8</v>
      </c>
      <c r="R8" s="17">
        <v>9</v>
      </c>
      <c r="S8" s="17">
        <v>10</v>
      </c>
      <c r="T8" s="17">
        <v>11</v>
      </c>
      <c r="U8" s="17">
        <v>12</v>
      </c>
      <c r="V8" s="17">
        <v>13</v>
      </c>
      <c r="W8" s="17">
        <v>14</v>
      </c>
      <c r="X8" s="17">
        <v>15</v>
      </c>
      <c r="Y8" s="17">
        <v>16</v>
      </c>
      <c r="Z8" s="17">
        <v>17</v>
      </c>
      <c r="AA8" s="17">
        <v>18</v>
      </c>
      <c r="AB8" s="17">
        <v>19</v>
      </c>
      <c r="AC8" s="18">
        <v>20</v>
      </c>
    </row>
    <row r="9" spans="1:29">
      <c r="A9" s="29">
        <f>'3Capital Costs'!A9</f>
        <v>0</v>
      </c>
      <c r="B9" s="44">
        <f>'3Capital Costs'!B9</f>
        <v>0</v>
      </c>
      <c r="C9" s="43">
        <f>'3Capital Costs'!C9</f>
        <v>0</v>
      </c>
      <c r="D9" s="45">
        <f>'3Capital Costs'!D9</f>
        <v>0</v>
      </c>
      <c r="E9" s="53" t="str">
        <f>IF(N9="Y", "Y", (IF(M9="Y", "Y", (IF(L9="Y", "Y", (IF(K9="Y", "Y", (IF(J9="Y", "Y", " ")))))))))</f>
        <v xml:space="preserve"> </v>
      </c>
      <c r="F9" s="53" t="str">
        <f>IF(S9="Y", "Y", (IF(R9="Y", "Y", (IF(Q9="Y", "Y", (IF(P9="Y", "Y", (IF(O9="Y", "Y", " ")))))))))</f>
        <v xml:space="preserve"> </v>
      </c>
      <c r="G9" s="53" t="str">
        <f>IF(X9="Y", "Y", (IF(W9="Y", "Y", (IF(V9="Y", "Y", (IF(U9="Y", "Y", (IF(T9="Y", "Y", " ")))))))))</f>
        <v xml:space="preserve"> </v>
      </c>
      <c r="H9" s="53" t="str">
        <f>IF(AC9="Y", "Y", (IF(AB9="Y", "Y", (IF(AA9="Y", "Y", (IF(Z9="Y", "Y", (IF(Y9="Y", "Y", " ")))))))))</f>
        <v xml:space="preserve"> </v>
      </c>
      <c r="I9" s="53" t="str">
        <f>IF(H9="Y", "Y", (IF(G9="Y", "Y", (IF(F9="Y", "Y", (IF(E9="Y", "Y", " ")))))))</f>
        <v xml:space="preserve"> </v>
      </c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8"/>
    </row>
    <row r="10" spans="1:29">
      <c r="A10" s="29">
        <f>'3Capital Costs'!A10</f>
        <v>0</v>
      </c>
      <c r="B10" s="44">
        <f>'3Capital Costs'!B10</f>
        <v>0</v>
      </c>
      <c r="C10" s="43">
        <f>'3Capital Costs'!C10</f>
        <v>0</v>
      </c>
      <c r="D10" s="45">
        <f>'3Capital Costs'!D10</f>
        <v>0</v>
      </c>
      <c r="E10" s="53" t="str">
        <f t="shared" ref="E10:E37" si="0">IF(N10="Y", "Y", (IF(M10="Y", "Y", (IF(L10="Y", "Y", (IF(K10="Y", "Y", (IF(J10="Y", "Y", " ")))))))))</f>
        <v xml:space="preserve"> </v>
      </c>
      <c r="F10" s="53" t="str">
        <f t="shared" ref="F10:F37" si="1">IF(S10="Y", "Y", (IF(R10="Y", "Y", (IF(Q10="Y", "Y", (IF(P10="Y", "Y", (IF(O10="Y", "Y", " ")))))))))</f>
        <v xml:space="preserve"> </v>
      </c>
      <c r="G10" s="53" t="str">
        <f t="shared" ref="G10:G37" si="2">IF(X10="Y", "Y", (IF(W10="Y", "Y", (IF(V10="Y", "Y", (IF(U10="Y", "Y", (IF(T10="Y", "Y", " ")))))))))</f>
        <v xml:space="preserve"> </v>
      </c>
      <c r="H10" s="53" t="str">
        <f t="shared" ref="H10:H37" si="3">IF(AC10="Y", "Y", (IF(AB10="Y", "Y", (IF(AA10="Y", "Y", (IF(Z10="Y", "Y", (IF(Y10="Y", "Y", " ")))))))))</f>
        <v xml:space="preserve"> </v>
      </c>
      <c r="I10" s="53" t="str">
        <f t="shared" ref="I10:I37" si="4">IF(H10="Y", "Y", (IF(G10="Y", "Y", (IF(F10="Y", "Y", (IF(E10="Y", "Y", " ")))))))</f>
        <v xml:space="preserve"> </v>
      </c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8"/>
    </row>
    <row r="11" spans="1:29">
      <c r="A11" s="29">
        <f>'3Capital Costs'!A11</f>
        <v>0</v>
      </c>
      <c r="B11" s="44">
        <f>'3Capital Costs'!B11</f>
        <v>0</v>
      </c>
      <c r="C11" s="43">
        <f>'3Capital Costs'!C11</f>
        <v>0</v>
      </c>
      <c r="D11" s="45">
        <f>'3Capital Costs'!D11</f>
        <v>0</v>
      </c>
      <c r="E11" s="53" t="str">
        <f t="shared" si="0"/>
        <v xml:space="preserve"> </v>
      </c>
      <c r="F11" s="53" t="str">
        <f t="shared" si="1"/>
        <v xml:space="preserve"> </v>
      </c>
      <c r="G11" s="53" t="str">
        <f t="shared" si="2"/>
        <v xml:space="preserve"> </v>
      </c>
      <c r="H11" s="53" t="str">
        <f t="shared" si="3"/>
        <v xml:space="preserve"> </v>
      </c>
      <c r="I11" s="53" t="str">
        <f t="shared" si="4"/>
        <v xml:space="preserve"> 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8"/>
    </row>
    <row r="12" spans="1:29">
      <c r="A12" s="29">
        <f>'3Capital Costs'!A12</f>
        <v>0</v>
      </c>
      <c r="B12" s="44">
        <f>'3Capital Costs'!B12</f>
        <v>0</v>
      </c>
      <c r="C12" s="43">
        <f>'3Capital Costs'!C12</f>
        <v>0</v>
      </c>
      <c r="D12" s="45">
        <f>'3Capital Costs'!D12</f>
        <v>0</v>
      </c>
      <c r="E12" s="53" t="str">
        <f t="shared" si="0"/>
        <v xml:space="preserve"> </v>
      </c>
      <c r="F12" s="53" t="str">
        <f t="shared" si="1"/>
        <v xml:space="preserve"> </v>
      </c>
      <c r="G12" s="53" t="str">
        <f t="shared" si="2"/>
        <v xml:space="preserve"> </v>
      </c>
      <c r="H12" s="53" t="str">
        <f t="shared" si="3"/>
        <v xml:space="preserve"> </v>
      </c>
      <c r="I12" s="53" t="str">
        <f t="shared" si="4"/>
        <v xml:space="preserve"> </v>
      </c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8"/>
    </row>
    <row r="13" spans="1:29">
      <c r="A13" s="29">
        <f>'3Capital Costs'!A13</f>
        <v>0</v>
      </c>
      <c r="B13" s="44">
        <f>'3Capital Costs'!B13</f>
        <v>0</v>
      </c>
      <c r="C13" s="43">
        <f>'3Capital Costs'!C13</f>
        <v>0</v>
      </c>
      <c r="D13" s="45">
        <f>'3Capital Costs'!D13</f>
        <v>0</v>
      </c>
      <c r="E13" s="53" t="str">
        <f t="shared" si="0"/>
        <v xml:space="preserve"> </v>
      </c>
      <c r="F13" s="53" t="str">
        <f t="shared" si="1"/>
        <v xml:space="preserve"> </v>
      </c>
      <c r="G13" s="53" t="str">
        <f t="shared" si="2"/>
        <v xml:space="preserve"> </v>
      </c>
      <c r="H13" s="53" t="str">
        <f t="shared" si="3"/>
        <v xml:space="preserve"> </v>
      </c>
      <c r="I13" s="53" t="str">
        <f t="shared" si="4"/>
        <v xml:space="preserve"> </v>
      </c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8"/>
    </row>
    <row r="14" spans="1:29">
      <c r="A14" s="29">
        <f>'3Capital Costs'!A14</f>
        <v>0</v>
      </c>
      <c r="B14" s="44">
        <f>'3Capital Costs'!B14</f>
        <v>0</v>
      </c>
      <c r="C14" s="43">
        <f>'3Capital Costs'!C14</f>
        <v>0</v>
      </c>
      <c r="D14" s="45">
        <f>'3Capital Costs'!D14</f>
        <v>0</v>
      </c>
      <c r="E14" s="53" t="str">
        <f t="shared" si="0"/>
        <v xml:space="preserve"> </v>
      </c>
      <c r="F14" s="53" t="str">
        <f t="shared" si="1"/>
        <v xml:space="preserve"> </v>
      </c>
      <c r="G14" s="53" t="str">
        <f t="shared" si="2"/>
        <v xml:space="preserve"> </v>
      </c>
      <c r="H14" s="53" t="str">
        <f t="shared" si="3"/>
        <v xml:space="preserve"> </v>
      </c>
      <c r="I14" s="53" t="str">
        <f t="shared" si="4"/>
        <v xml:space="preserve"> </v>
      </c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8"/>
    </row>
    <row r="15" spans="1:29">
      <c r="A15" s="29">
        <f>'3Capital Costs'!A15</f>
        <v>0</v>
      </c>
      <c r="B15" s="44">
        <f>'3Capital Costs'!B15</f>
        <v>0</v>
      </c>
      <c r="C15" s="43">
        <f>'3Capital Costs'!C15</f>
        <v>0</v>
      </c>
      <c r="D15" s="45">
        <f>'3Capital Costs'!D15</f>
        <v>0</v>
      </c>
      <c r="E15" s="53" t="str">
        <f t="shared" si="0"/>
        <v xml:space="preserve"> </v>
      </c>
      <c r="F15" s="53" t="str">
        <f t="shared" si="1"/>
        <v xml:space="preserve"> </v>
      </c>
      <c r="G15" s="53" t="str">
        <f t="shared" si="2"/>
        <v xml:space="preserve"> </v>
      </c>
      <c r="H15" s="53" t="str">
        <f t="shared" si="3"/>
        <v xml:space="preserve"> </v>
      </c>
      <c r="I15" s="53" t="str">
        <f t="shared" si="4"/>
        <v xml:space="preserve"> 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8"/>
    </row>
    <row r="16" spans="1:29">
      <c r="A16" s="29">
        <f>'3Capital Costs'!A16</f>
        <v>0</v>
      </c>
      <c r="B16" s="44">
        <f>'3Capital Costs'!B16</f>
        <v>0</v>
      </c>
      <c r="C16" s="43">
        <f>'3Capital Costs'!C16</f>
        <v>0</v>
      </c>
      <c r="D16" s="45">
        <f>'3Capital Costs'!D16</f>
        <v>0</v>
      </c>
      <c r="E16" s="53" t="str">
        <f t="shared" si="0"/>
        <v xml:space="preserve"> </v>
      </c>
      <c r="F16" s="53" t="str">
        <f t="shared" si="1"/>
        <v xml:space="preserve"> </v>
      </c>
      <c r="G16" s="53" t="str">
        <f t="shared" si="2"/>
        <v xml:space="preserve"> </v>
      </c>
      <c r="H16" s="53" t="str">
        <f t="shared" si="3"/>
        <v xml:space="preserve"> </v>
      </c>
      <c r="I16" s="53" t="str">
        <f t="shared" si="4"/>
        <v xml:space="preserve"> </v>
      </c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8"/>
    </row>
    <row r="17" spans="1:29">
      <c r="A17" s="29">
        <f>'3Capital Costs'!A17</f>
        <v>0</v>
      </c>
      <c r="B17" s="44">
        <f>'3Capital Costs'!B17</f>
        <v>0</v>
      </c>
      <c r="C17" s="43">
        <f>'3Capital Costs'!C17</f>
        <v>0</v>
      </c>
      <c r="D17" s="45">
        <f>'3Capital Costs'!D17</f>
        <v>0</v>
      </c>
      <c r="E17" s="53" t="str">
        <f t="shared" si="0"/>
        <v xml:space="preserve"> </v>
      </c>
      <c r="F17" s="53" t="str">
        <f t="shared" si="1"/>
        <v xml:space="preserve"> </v>
      </c>
      <c r="G17" s="53" t="str">
        <f t="shared" si="2"/>
        <v xml:space="preserve"> </v>
      </c>
      <c r="H17" s="53" t="str">
        <f t="shared" si="3"/>
        <v xml:space="preserve"> </v>
      </c>
      <c r="I17" s="53" t="str">
        <f t="shared" si="4"/>
        <v xml:space="preserve"> 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8"/>
    </row>
    <row r="18" spans="1:29">
      <c r="A18" s="29">
        <f>'3Capital Costs'!A18</f>
        <v>0</v>
      </c>
      <c r="B18" s="44">
        <f>'3Capital Costs'!B18</f>
        <v>0</v>
      </c>
      <c r="C18" s="43">
        <f>'3Capital Costs'!C18</f>
        <v>0</v>
      </c>
      <c r="D18" s="45">
        <f>'3Capital Costs'!D18</f>
        <v>0</v>
      </c>
      <c r="E18" s="53" t="str">
        <f t="shared" si="0"/>
        <v xml:space="preserve"> </v>
      </c>
      <c r="F18" s="53" t="str">
        <f t="shared" si="1"/>
        <v xml:space="preserve"> </v>
      </c>
      <c r="G18" s="53" t="str">
        <f t="shared" si="2"/>
        <v xml:space="preserve"> </v>
      </c>
      <c r="H18" s="53" t="str">
        <f t="shared" si="3"/>
        <v xml:space="preserve"> </v>
      </c>
      <c r="I18" s="53" t="str">
        <f t="shared" si="4"/>
        <v xml:space="preserve"> </v>
      </c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8"/>
    </row>
    <row r="19" spans="1:29">
      <c r="A19" s="29">
        <f>'3Capital Costs'!A19</f>
        <v>0</v>
      </c>
      <c r="B19" s="44">
        <f>'3Capital Costs'!B19</f>
        <v>0</v>
      </c>
      <c r="C19" s="43">
        <f>'3Capital Costs'!C19</f>
        <v>0</v>
      </c>
      <c r="D19" s="45">
        <f>'3Capital Costs'!D19</f>
        <v>0</v>
      </c>
      <c r="E19" s="53" t="str">
        <f t="shared" si="0"/>
        <v xml:space="preserve"> </v>
      </c>
      <c r="F19" s="53" t="str">
        <f t="shared" si="1"/>
        <v xml:space="preserve"> </v>
      </c>
      <c r="G19" s="53" t="str">
        <f t="shared" si="2"/>
        <v xml:space="preserve"> </v>
      </c>
      <c r="H19" s="53" t="str">
        <f t="shared" si="3"/>
        <v xml:space="preserve"> </v>
      </c>
      <c r="I19" s="53" t="str">
        <f t="shared" si="4"/>
        <v xml:space="preserve"> </v>
      </c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8"/>
    </row>
    <row r="20" spans="1:29">
      <c r="A20" s="29">
        <f>'3Capital Costs'!A20</f>
        <v>0</v>
      </c>
      <c r="B20" s="44">
        <f>'3Capital Costs'!B20</f>
        <v>0</v>
      </c>
      <c r="C20" s="43">
        <f>'3Capital Costs'!C20</f>
        <v>0</v>
      </c>
      <c r="D20" s="45">
        <f>'3Capital Costs'!D20</f>
        <v>0</v>
      </c>
      <c r="E20" s="53" t="str">
        <f t="shared" si="0"/>
        <v xml:space="preserve"> </v>
      </c>
      <c r="F20" s="53" t="str">
        <f t="shared" si="1"/>
        <v xml:space="preserve"> </v>
      </c>
      <c r="G20" s="53" t="str">
        <f t="shared" si="2"/>
        <v xml:space="preserve"> </v>
      </c>
      <c r="H20" s="53" t="str">
        <f t="shared" si="3"/>
        <v xml:space="preserve"> </v>
      </c>
      <c r="I20" s="53" t="str">
        <f t="shared" si="4"/>
        <v xml:space="preserve"> </v>
      </c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8"/>
    </row>
    <row r="21" spans="1:29">
      <c r="A21" s="29">
        <f>'3Capital Costs'!A21</f>
        <v>0</v>
      </c>
      <c r="B21" s="44">
        <f>'3Capital Costs'!B21</f>
        <v>0</v>
      </c>
      <c r="C21" s="43">
        <f>'3Capital Costs'!C21</f>
        <v>0</v>
      </c>
      <c r="D21" s="45">
        <f>'3Capital Costs'!D21</f>
        <v>0</v>
      </c>
      <c r="E21" s="53" t="str">
        <f t="shared" si="0"/>
        <v xml:space="preserve"> </v>
      </c>
      <c r="F21" s="53" t="str">
        <f t="shared" si="1"/>
        <v xml:space="preserve"> </v>
      </c>
      <c r="G21" s="53" t="str">
        <f t="shared" si="2"/>
        <v xml:space="preserve"> </v>
      </c>
      <c r="H21" s="53" t="str">
        <f t="shared" si="3"/>
        <v xml:space="preserve"> </v>
      </c>
      <c r="I21" s="53" t="str">
        <f t="shared" si="4"/>
        <v xml:space="preserve"> 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8"/>
    </row>
    <row r="22" spans="1:29">
      <c r="A22" s="29">
        <f>'3Capital Costs'!A22</f>
        <v>0</v>
      </c>
      <c r="B22" s="44">
        <f>'3Capital Costs'!B22</f>
        <v>0</v>
      </c>
      <c r="C22" s="43">
        <f>'3Capital Costs'!C22</f>
        <v>0</v>
      </c>
      <c r="D22" s="45">
        <f>'3Capital Costs'!D22</f>
        <v>0</v>
      </c>
      <c r="E22" s="53" t="str">
        <f t="shared" si="0"/>
        <v xml:space="preserve"> </v>
      </c>
      <c r="F22" s="53" t="str">
        <f t="shared" si="1"/>
        <v xml:space="preserve"> </v>
      </c>
      <c r="G22" s="53" t="str">
        <f t="shared" si="2"/>
        <v xml:space="preserve"> </v>
      </c>
      <c r="H22" s="53" t="str">
        <f t="shared" si="3"/>
        <v xml:space="preserve"> </v>
      </c>
      <c r="I22" s="53" t="str">
        <f t="shared" si="4"/>
        <v xml:space="preserve"> </v>
      </c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8"/>
    </row>
    <row r="23" spans="1:29">
      <c r="A23" s="29">
        <f>'3Capital Costs'!A23</f>
        <v>0</v>
      </c>
      <c r="B23" s="44">
        <f>'3Capital Costs'!B23</f>
        <v>0</v>
      </c>
      <c r="C23" s="43">
        <f>'3Capital Costs'!C23</f>
        <v>0</v>
      </c>
      <c r="D23" s="45">
        <f>'3Capital Costs'!D23</f>
        <v>0</v>
      </c>
      <c r="E23" s="53" t="str">
        <f t="shared" si="0"/>
        <v xml:space="preserve"> </v>
      </c>
      <c r="F23" s="53" t="str">
        <f t="shared" si="1"/>
        <v xml:space="preserve"> </v>
      </c>
      <c r="G23" s="53" t="str">
        <f t="shared" si="2"/>
        <v xml:space="preserve"> </v>
      </c>
      <c r="H23" s="53" t="str">
        <f t="shared" si="3"/>
        <v xml:space="preserve"> </v>
      </c>
      <c r="I23" s="53" t="str">
        <f t="shared" si="4"/>
        <v xml:space="preserve"> </v>
      </c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8"/>
    </row>
    <row r="24" spans="1:29">
      <c r="A24" s="29">
        <f>'3Capital Costs'!A24</f>
        <v>0</v>
      </c>
      <c r="B24" s="44">
        <f>'3Capital Costs'!B24</f>
        <v>0</v>
      </c>
      <c r="C24" s="43">
        <f>'3Capital Costs'!C24</f>
        <v>0</v>
      </c>
      <c r="D24" s="45">
        <f>'3Capital Costs'!D24</f>
        <v>0</v>
      </c>
      <c r="E24" s="53" t="str">
        <f t="shared" si="0"/>
        <v xml:space="preserve"> </v>
      </c>
      <c r="F24" s="53" t="str">
        <f t="shared" si="1"/>
        <v xml:space="preserve"> </v>
      </c>
      <c r="G24" s="53" t="str">
        <f t="shared" si="2"/>
        <v xml:space="preserve"> </v>
      </c>
      <c r="H24" s="53" t="str">
        <f t="shared" si="3"/>
        <v xml:space="preserve"> </v>
      </c>
      <c r="I24" s="53" t="str">
        <f t="shared" si="4"/>
        <v xml:space="preserve"> 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8"/>
    </row>
    <row r="25" spans="1:29">
      <c r="A25" s="29">
        <f>'3Capital Costs'!A25</f>
        <v>0</v>
      </c>
      <c r="B25" s="44">
        <f>'3Capital Costs'!B25</f>
        <v>0</v>
      </c>
      <c r="C25" s="43">
        <f>'3Capital Costs'!C25</f>
        <v>0</v>
      </c>
      <c r="D25" s="45">
        <f>'3Capital Costs'!D25</f>
        <v>0</v>
      </c>
      <c r="E25" s="53" t="str">
        <f t="shared" si="0"/>
        <v xml:space="preserve"> </v>
      </c>
      <c r="F25" s="53" t="str">
        <f t="shared" si="1"/>
        <v xml:space="preserve"> </v>
      </c>
      <c r="G25" s="53" t="str">
        <f t="shared" si="2"/>
        <v xml:space="preserve"> </v>
      </c>
      <c r="H25" s="53" t="str">
        <f t="shared" si="3"/>
        <v xml:space="preserve"> </v>
      </c>
      <c r="I25" s="53" t="str">
        <f t="shared" si="4"/>
        <v xml:space="preserve"> </v>
      </c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8"/>
    </row>
    <row r="26" spans="1:29">
      <c r="A26" s="29">
        <f>'3Capital Costs'!A26</f>
        <v>0</v>
      </c>
      <c r="B26" s="44">
        <f>'3Capital Costs'!B26</f>
        <v>0</v>
      </c>
      <c r="C26" s="43">
        <f>'3Capital Costs'!C26</f>
        <v>0</v>
      </c>
      <c r="D26" s="45">
        <f>'3Capital Costs'!D26</f>
        <v>0</v>
      </c>
      <c r="E26" s="53" t="str">
        <f t="shared" si="0"/>
        <v xml:space="preserve"> </v>
      </c>
      <c r="F26" s="53" t="str">
        <f t="shared" si="1"/>
        <v xml:space="preserve"> </v>
      </c>
      <c r="G26" s="53" t="str">
        <f t="shared" si="2"/>
        <v xml:space="preserve"> </v>
      </c>
      <c r="H26" s="53" t="str">
        <f t="shared" si="3"/>
        <v xml:space="preserve"> </v>
      </c>
      <c r="I26" s="53" t="str">
        <f t="shared" si="4"/>
        <v xml:space="preserve"> 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8"/>
    </row>
    <row r="27" spans="1:29">
      <c r="A27" s="29">
        <f>'3Capital Costs'!A27</f>
        <v>0</v>
      </c>
      <c r="B27" s="44">
        <f>'3Capital Costs'!B27</f>
        <v>0</v>
      </c>
      <c r="C27" s="43">
        <f>'3Capital Costs'!C27</f>
        <v>0</v>
      </c>
      <c r="D27" s="45">
        <f>'3Capital Costs'!D27</f>
        <v>0</v>
      </c>
      <c r="E27" s="53" t="str">
        <f t="shared" si="0"/>
        <v xml:space="preserve"> </v>
      </c>
      <c r="F27" s="53" t="str">
        <f t="shared" si="1"/>
        <v xml:space="preserve"> </v>
      </c>
      <c r="G27" s="53" t="str">
        <f t="shared" si="2"/>
        <v xml:space="preserve"> </v>
      </c>
      <c r="H27" s="53" t="str">
        <f t="shared" si="3"/>
        <v xml:space="preserve"> </v>
      </c>
      <c r="I27" s="53" t="str">
        <f t="shared" si="4"/>
        <v xml:space="preserve"> </v>
      </c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8"/>
    </row>
    <row r="28" spans="1:29">
      <c r="A28" s="29">
        <f>'3Capital Costs'!A28</f>
        <v>0</v>
      </c>
      <c r="B28" s="44">
        <f>'3Capital Costs'!B28</f>
        <v>0</v>
      </c>
      <c r="C28" s="43">
        <f>'3Capital Costs'!C28</f>
        <v>0</v>
      </c>
      <c r="D28" s="45">
        <f>'3Capital Costs'!D28</f>
        <v>0</v>
      </c>
      <c r="E28" s="53" t="str">
        <f t="shared" si="0"/>
        <v xml:space="preserve"> </v>
      </c>
      <c r="F28" s="53" t="str">
        <f t="shared" si="1"/>
        <v xml:space="preserve"> </v>
      </c>
      <c r="G28" s="53" t="str">
        <f t="shared" si="2"/>
        <v xml:space="preserve"> </v>
      </c>
      <c r="H28" s="53" t="str">
        <f t="shared" si="3"/>
        <v xml:space="preserve"> </v>
      </c>
      <c r="I28" s="53" t="str">
        <f t="shared" si="4"/>
        <v xml:space="preserve"> </v>
      </c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8"/>
    </row>
    <row r="29" spans="1:29">
      <c r="A29" s="29">
        <f>'3Capital Costs'!A29</f>
        <v>0</v>
      </c>
      <c r="B29" s="44">
        <f>'3Capital Costs'!B29</f>
        <v>0</v>
      </c>
      <c r="C29" s="43">
        <f>'3Capital Costs'!C29</f>
        <v>0</v>
      </c>
      <c r="D29" s="45">
        <f>'3Capital Costs'!D29</f>
        <v>0</v>
      </c>
      <c r="E29" s="53" t="str">
        <f t="shared" si="0"/>
        <v xml:space="preserve"> </v>
      </c>
      <c r="F29" s="53" t="str">
        <f t="shared" si="1"/>
        <v xml:space="preserve"> </v>
      </c>
      <c r="G29" s="53" t="str">
        <f t="shared" si="2"/>
        <v xml:space="preserve"> </v>
      </c>
      <c r="H29" s="53" t="str">
        <f t="shared" si="3"/>
        <v xml:space="preserve"> </v>
      </c>
      <c r="I29" s="53" t="str">
        <f t="shared" si="4"/>
        <v xml:space="preserve"> </v>
      </c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8"/>
    </row>
    <row r="30" spans="1:29">
      <c r="A30" s="29">
        <f>'3Capital Costs'!A30</f>
        <v>0</v>
      </c>
      <c r="B30" s="44">
        <f>'3Capital Costs'!B30</f>
        <v>0</v>
      </c>
      <c r="C30" s="43">
        <f>'3Capital Costs'!C30</f>
        <v>0</v>
      </c>
      <c r="D30" s="45">
        <f>'3Capital Costs'!D30</f>
        <v>0</v>
      </c>
      <c r="E30" s="53" t="str">
        <f t="shared" si="0"/>
        <v xml:space="preserve"> </v>
      </c>
      <c r="F30" s="53" t="str">
        <f t="shared" si="1"/>
        <v xml:space="preserve"> </v>
      </c>
      <c r="G30" s="53" t="str">
        <f t="shared" si="2"/>
        <v xml:space="preserve"> </v>
      </c>
      <c r="H30" s="53" t="str">
        <f t="shared" si="3"/>
        <v xml:space="preserve"> </v>
      </c>
      <c r="I30" s="53" t="str">
        <f t="shared" si="4"/>
        <v xml:space="preserve"> </v>
      </c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8"/>
    </row>
    <row r="31" spans="1:29">
      <c r="A31" s="29">
        <f>'3Capital Costs'!A31</f>
        <v>0</v>
      </c>
      <c r="B31" s="44">
        <f>'3Capital Costs'!B31</f>
        <v>0</v>
      </c>
      <c r="C31" s="43">
        <f>'3Capital Costs'!C31</f>
        <v>0</v>
      </c>
      <c r="D31" s="45">
        <f>'3Capital Costs'!D31</f>
        <v>0</v>
      </c>
      <c r="E31" s="53" t="str">
        <f t="shared" si="0"/>
        <v xml:space="preserve"> </v>
      </c>
      <c r="F31" s="53" t="str">
        <f t="shared" si="1"/>
        <v xml:space="preserve"> </v>
      </c>
      <c r="G31" s="53" t="str">
        <f t="shared" si="2"/>
        <v xml:space="preserve"> </v>
      </c>
      <c r="H31" s="53" t="str">
        <f t="shared" si="3"/>
        <v xml:space="preserve"> </v>
      </c>
      <c r="I31" s="53" t="str">
        <f t="shared" si="4"/>
        <v xml:space="preserve"> </v>
      </c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8"/>
    </row>
    <row r="32" spans="1:29">
      <c r="A32" s="29">
        <f>'3Capital Costs'!A32</f>
        <v>0</v>
      </c>
      <c r="B32" s="44">
        <f>'3Capital Costs'!B32</f>
        <v>0</v>
      </c>
      <c r="C32" s="43">
        <f>'3Capital Costs'!C32</f>
        <v>0</v>
      </c>
      <c r="D32" s="45">
        <f>'3Capital Costs'!D32</f>
        <v>0</v>
      </c>
      <c r="E32" s="53" t="str">
        <f t="shared" si="0"/>
        <v xml:space="preserve"> </v>
      </c>
      <c r="F32" s="53" t="str">
        <f t="shared" si="1"/>
        <v xml:space="preserve"> </v>
      </c>
      <c r="G32" s="53" t="str">
        <f t="shared" si="2"/>
        <v xml:space="preserve"> </v>
      </c>
      <c r="H32" s="53" t="str">
        <f t="shared" si="3"/>
        <v xml:space="preserve"> </v>
      </c>
      <c r="I32" s="53" t="str">
        <f t="shared" si="4"/>
        <v xml:space="preserve"> </v>
      </c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8"/>
    </row>
    <row r="33" spans="1:29">
      <c r="A33" s="29">
        <f>'3Capital Costs'!A33</f>
        <v>0</v>
      </c>
      <c r="B33" s="44">
        <f>'3Capital Costs'!B33</f>
        <v>0</v>
      </c>
      <c r="C33" s="43">
        <f>'3Capital Costs'!C33</f>
        <v>0</v>
      </c>
      <c r="D33" s="45">
        <f>'3Capital Costs'!D33</f>
        <v>0</v>
      </c>
      <c r="E33" s="53" t="str">
        <f t="shared" si="0"/>
        <v xml:space="preserve"> </v>
      </c>
      <c r="F33" s="53" t="str">
        <f t="shared" si="1"/>
        <v xml:space="preserve"> </v>
      </c>
      <c r="G33" s="53" t="str">
        <f t="shared" si="2"/>
        <v xml:space="preserve"> </v>
      </c>
      <c r="H33" s="53" t="str">
        <f t="shared" si="3"/>
        <v xml:space="preserve"> </v>
      </c>
      <c r="I33" s="53" t="str">
        <f t="shared" si="4"/>
        <v xml:space="preserve"> </v>
      </c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8"/>
    </row>
    <row r="34" spans="1:29">
      <c r="A34" s="29">
        <f>'3Capital Costs'!A34</f>
        <v>0</v>
      </c>
      <c r="B34" s="44">
        <f>'3Capital Costs'!B34</f>
        <v>0</v>
      </c>
      <c r="C34" s="43">
        <f>'3Capital Costs'!C34</f>
        <v>0</v>
      </c>
      <c r="D34" s="45">
        <f>'3Capital Costs'!D34</f>
        <v>0</v>
      </c>
      <c r="E34" s="53" t="str">
        <f t="shared" si="0"/>
        <v xml:space="preserve"> </v>
      </c>
      <c r="F34" s="53" t="str">
        <f t="shared" si="1"/>
        <v xml:space="preserve"> </v>
      </c>
      <c r="G34" s="53" t="str">
        <f t="shared" si="2"/>
        <v xml:space="preserve"> </v>
      </c>
      <c r="H34" s="53" t="str">
        <f t="shared" si="3"/>
        <v xml:space="preserve"> </v>
      </c>
      <c r="I34" s="53" t="str">
        <f t="shared" si="4"/>
        <v xml:space="preserve"> </v>
      </c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8"/>
    </row>
    <row r="35" spans="1:29">
      <c r="A35" s="29">
        <f>'3Capital Costs'!A35</f>
        <v>0</v>
      </c>
      <c r="B35" s="44">
        <f>'3Capital Costs'!B35</f>
        <v>0</v>
      </c>
      <c r="C35" s="43">
        <f>'3Capital Costs'!C35</f>
        <v>0</v>
      </c>
      <c r="D35" s="45">
        <f>'3Capital Costs'!D35</f>
        <v>0</v>
      </c>
      <c r="E35" s="53" t="str">
        <f t="shared" si="0"/>
        <v xml:space="preserve"> </v>
      </c>
      <c r="F35" s="53" t="str">
        <f t="shared" si="1"/>
        <v xml:space="preserve"> </v>
      </c>
      <c r="G35" s="53" t="str">
        <f t="shared" si="2"/>
        <v xml:space="preserve"> </v>
      </c>
      <c r="H35" s="53" t="str">
        <f t="shared" si="3"/>
        <v xml:space="preserve"> </v>
      </c>
      <c r="I35" s="53" t="str">
        <f t="shared" si="4"/>
        <v xml:space="preserve"> </v>
      </c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8"/>
    </row>
    <row r="36" spans="1:29">
      <c r="A36" s="29">
        <f>'3Capital Costs'!A36</f>
        <v>0</v>
      </c>
      <c r="B36" s="44">
        <f>'3Capital Costs'!B36</f>
        <v>0</v>
      </c>
      <c r="C36" s="43">
        <f>'3Capital Costs'!C36</f>
        <v>0</v>
      </c>
      <c r="D36" s="45">
        <f>'3Capital Costs'!D36</f>
        <v>0</v>
      </c>
      <c r="E36" s="53" t="str">
        <f t="shared" si="0"/>
        <v xml:space="preserve"> </v>
      </c>
      <c r="F36" s="53" t="str">
        <f t="shared" si="1"/>
        <v xml:space="preserve"> </v>
      </c>
      <c r="G36" s="53" t="str">
        <f t="shared" si="2"/>
        <v xml:space="preserve"> </v>
      </c>
      <c r="H36" s="53" t="str">
        <f t="shared" si="3"/>
        <v xml:space="preserve"> </v>
      </c>
      <c r="I36" s="53" t="str">
        <f t="shared" si="4"/>
        <v xml:space="preserve"> </v>
      </c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8"/>
    </row>
    <row r="37" spans="1:29">
      <c r="A37" s="29">
        <f>'3Capital Costs'!A37</f>
        <v>0</v>
      </c>
      <c r="B37" s="44">
        <f>'3Capital Costs'!B37</f>
        <v>0</v>
      </c>
      <c r="C37" s="43">
        <f>'3Capital Costs'!C37</f>
        <v>0</v>
      </c>
      <c r="D37" s="45">
        <f>'3Capital Costs'!D37</f>
        <v>0</v>
      </c>
      <c r="E37" s="53" t="str">
        <f t="shared" si="0"/>
        <v xml:space="preserve"> </v>
      </c>
      <c r="F37" s="53" t="str">
        <f t="shared" si="1"/>
        <v xml:space="preserve"> </v>
      </c>
      <c r="G37" s="53" t="str">
        <f t="shared" si="2"/>
        <v xml:space="preserve"> </v>
      </c>
      <c r="H37" s="53" t="str">
        <f t="shared" si="3"/>
        <v xml:space="preserve"> </v>
      </c>
      <c r="I37" s="53" t="str">
        <f t="shared" si="4"/>
        <v xml:space="preserve"> 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8"/>
    </row>
  </sheetData>
  <sheetProtection sheet="1" objects="1" scenarios="1"/>
  <mergeCells count="3">
    <mergeCell ref="A1:AC1"/>
    <mergeCell ref="B3:K3"/>
    <mergeCell ref="J7:AC7"/>
  </mergeCells>
  <dataValidations count="1">
    <dataValidation type="list" allowBlank="1" showInputMessage="1" showErrorMessage="1" sqref="B3:K3">
      <formula1>Input!B6:B11</formula1>
    </dataValidation>
  </dataValidations>
  <printOptions horizontalCentered="1"/>
  <pageMargins left="0.7" right="0.7" top="0.75" bottom="0.75" header="0.3" footer="0.3"/>
  <pageSetup scale="73" fitToWidth="4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158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'3Capital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'Replace Costs - Results 1-5'!A5</f>
        <v>Current Inflation Rate based on Construction Cost Index:</v>
      </c>
      <c r="B5" s="69">
        <f>'Replace Costs - Results 1-5'!B5</f>
        <v>2.0671834625323047E-2</v>
      </c>
      <c r="C5" s="67"/>
      <c r="D5" s="67"/>
      <c r="E5" s="70" t="s">
        <v>43</v>
      </c>
      <c r="F5" s="72">
        <f>'Replace Costs - Results 1-5'!F5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</v>
      </c>
      <c r="F7" s="26">
        <v>2</v>
      </c>
      <c r="G7" s="26">
        <v>3</v>
      </c>
      <c r="H7" s="26">
        <v>4</v>
      </c>
      <c r="I7" s="26">
        <v>5</v>
      </c>
    </row>
    <row r="8" spans="1:9">
      <c r="A8" s="29" t="str">
        <f>IF('3Capital Costs'!A9&lt;&gt;"", '3Capital Costs'!A9, "")</f>
        <v/>
      </c>
      <c r="B8" s="3" t="str">
        <f>IF('3Capital Costs'!B9&lt;&gt;"", '3Capital Costs'!B9, "")</f>
        <v/>
      </c>
      <c r="C8" s="46" t="str">
        <f>IF('3Capital Costs'!C9&lt;&gt;"", '3Capital Costs'!C9, "")</f>
        <v/>
      </c>
      <c r="D8" s="47" t="str">
        <f>IF('3Capital Costs'!D9&lt;&gt;"", '3Capital Costs'!D9, "")</f>
        <v/>
      </c>
      <c r="E8" s="27" t="str">
        <f>IF($A8&lt;&gt;"", (IF('3Replacement Costs - Entry'!J9="Y",((($B8*$D8)*((1+$B$5)^E$7))*(1/((1+$F$5)^E$7))),0)), "")</f>
        <v/>
      </c>
      <c r="F8" s="27" t="str">
        <f>IF($A8&lt;&gt;"", (IF('3Replacement Costs - Entry'!K9="Y",((($B8*$D8)*((1+$B$5)^F$7))*(1/((1+$F$5)^F$7))),0)), "")</f>
        <v/>
      </c>
      <c r="G8" s="27" t="str">
        <f>IF($A8&lt;&gt;"", (IF('3Replacement Costs - Entry'!L9="Y",((($B8*$D8)*((1+$B$5)^G$7))*(1/((1+$F$5)^G$7))),0)), "")</f>
        <v/>
      </c>
      <c r="H8" s="27" t="str">
        <f>IF($A8&lt;&gt;"", (IF('3Replacement Costs - Entry'!M9="Y",((($B8*$D8)*((1+$B$5)^H$7))*(1/((1+$F$5)^H$7))),0)), "")</f>
        <v/>
      </c>
      <c r="I8" s="27" t="str">
        <f>IF($A8&lt;&gt;"", (IF('3Replacement Costs - Entry'!N9="Y",((($B8*$D8)*((1+$B$5)^I$7))*(1/((1+$F$5)^I$7))),0)), "")</f>
        <v/>
      </c>
    </row>
    <row r="9" spans="1:9">
      <c r="A9" s="29" t="str">
        <f>IF('3Capital Costs'!A10&lt;&gt;"", '3Capital Costs'!A10, "")</f>
        <v/>
      </c>
      <c r="B9" s="3" t="str">
        <f>IF('3Capital Costs'!B10&lt;&gt;"", '3Capital Costs'!B10, "")</f>
        <v/>
      </c>
      <c r="C9" s="46" t="str">
        <f>IF('3Capital Costs'!C10&lt;&gt;"", '3Capital Costs'!C10, "")</f>
        <v/>
      </c>
      <c r="D9" s="47" t="str">
        <f>IF('3Capital Costs'!D10&lt;&gt;"", '3Capital Costs'!D10, "")</f>
        <v/>
      </c>
      <c r="E9" s="27" t="str">
        <f>IF($A9&lt;&gt;"", (IF('3Replacement Costs - Entry'!J10="Y",((($B9*$D9)*((1+$B$5)^E$7))*(1/((1+$F$5)^E$7))),0)), "")</f>
        <v/>
      </c>
      <c r="F9" s="27" t="str">
        <f>IF($A9&lt;&gt;"", (IF('3Replacement Costs - Entry'!K10="Y",((($B9*$D9)*((1+$B$5)^F$7))*(1/((1+$F$5)^F$7))),0)), "")</f>
        <v/>
      </c>
      <c r="G9" s="27" t="str">
        <f>IF($A9&lt;&gt;"", (IF('3Replacement Costs - Entry'!L10="Y",((($B9*$D9)*((1+$B$5)^G$7))*(1/((1+$F$5)^G$7))),0)), "")</f>
        <v/>
      </c>
      <c r="H9" s="27" t="str">
        <f>IF($A9&lt;&gt;"", (IF('3Replacement Costs - Entry'!M10="Y",((($B9*$D9)*((1+$B$5)^H$7))*(1/((1+$F$5)^H$7))),0)), "")</f>
        <v/>
      </c>
      <c r="I9" s="27" t="str">
        <f>IF($A9&lt;&gt;"", (IF('3Replacement Costs - Entry'!N10="Y",((($B9*$D9)*((1+$B$5)^I$7))*(1/((1+$F$5)^I$7))),0)), "")</f>
        <v/>
      </c>
    </row>
    <row r="10" spans="1:9">
      <c r="A10" s="29" t="str">
        <f>IF('3Capital Costs'!A11&lt;&gt;"", '3Capital Costs'!A11, "")</f>
        <v/>
      </c>
      <c r="B10" s="3" t="str">
        <f>IF('3Capital Costs'!B11&lt;&gt;"", '3Capital Costs'!B11, "")</f>
        <v/>
      </c>
      <c r="C10" s="46" t="str">
        <f>IF('3Capital Costs'!C11&lt;&gt;"", '3Capital Costs'!C11, "")</f>
        <v/>
      </c>
      <c r="D10" s="47" t="str">
        <f>IF('3Capital Costs'!D11&lt;&gt;"", '3Capital Costs'!D11, "")</f>
        <v/>
      </c>
      <c r="E10" s="27" t="str">
        <f>IF($A10&lt;&gt;"", (IF('3Replacement Costs - Entry'!J11="Y",((($B10*$D10)*((1+$B$5)^E$7))*(1/((1+$F$5)^E$7))),0)), "")</f>
        <v/>
      </c>
      <c r="F10" s="27" t="str">
        <f>IF($A10&lt;&gt;"", (IF('3Replacement Costs - Entry'!K11="Y",((($B10*$D10)*((1+$B$5)^F$7))*(1/((1+$F$5)^F$7))),0)), "")</f>
        <v/>
      </c>
      <c r="G10" s="27" t="str">
        <f>IF($A10&lt;&gt;"", (IF('3Replacement Costs - Entry'!L11="Y",((($B10*$D10)*((1+$B$5)^G$7))*(1/((1+$F$5)^G$7))),0)), "")</f>
        <v/>
      </c>
      <c r="H10" s="27" t="str">
        <f>IF($A10&lt;&gt;"", (IF('3Replacement Costs - Entry'!M11="Y",((($B10*$D10)*((1+$B$5)^H$7))*(1/((1+$F$5)^H$7))),0)), "")</f>
        <v/>
      </c>
      <c r="I10" s="27" t="str">
        <f>IF($A10&lt;&gt;"", (IF('3Replacement Costs - Entry'!N11="Y",((($B10*$D10)*((1+$B$5)^I$7))*(1/((1+$F$5)^I$7))),0)), "")</f>
        <v/>
      </c>
    </row>
    <row r="11" spans="1:9">
      <c r="A11" s="29" t="str">
        <f>IF('3Capital Costs'!A12&lt;&gt;"", '3Capital Costs'!A12, "")</f>
        <v/>
      </c>
      <c r="B11" s="3" t="str">
        <f>IF('3Capital Costs'!B12&lt;&gt;"", '3Capital Costs'!B12, "")</f>
        <v/>
      </c>
      <c r="C11" s="46" t="str">
        <f>IF('3Capital Costs'!C12&lt;&gt;"", '3Capital Costs'!C12, "")</f>
        <v/>
      </c>
      <c r="D11" s="47" t="str">
        <f>IF('3Capital Costs'!D12&lt;&gt;"", '3Capital Costs'!D12, "")</f>
        <v/>
      </c>
      <c r="E11" s="27" t="str">
        <f>IF($A11&lt;&gt;"", (IF('3Replacement Costs - Entry'!J12="Y",((($B11*$D11)*((1+$B$5)^E$7))*(1/((1+$F$5)^E$7))),0)), "")</f>
        <v/>
      </c>
      <c r="F11" s="27" t="str">
        <f>IF($A11&lt;&gt;"", (IF('3Replacement Costs - Entry'!K12="Y",((($B11*$D11)*((1+$B$5)^F$7))*(1/((1+$F$5)^F$7))),0)), "")</f>
        <v/>
      </c>
      <c r="G11" s="27" t="str">
        <f>IF($A11&lt;&gt;"", (IF('3Replacement Costs - Entry'!L12="Y",((($B11*$D11)*((1+$B$5)^G$7))*(1/((1+$F$5)^G$7))),0)), "")</f>
        <v/>
      </c>
      <c r="H11" s="27" t="str">
        <f>IF($A11&lt;&gt;"", (IF('3Replacement Costs - Entry'!M12="Y",((($B11*$D11)*((1+$B$5)^H$7))*(1/((1+$F$5)^H$7))),0)), "")</f>
        <v/>
      </c>
      <c r="I11" s="27" t="str">
        <f>IF($A11&lt;&gt;"", (IF('3Replacement Costs - Entry'!N12="Y",((($B11*$D11)*((1+$B$5)^I$7))*(1/((1+$F$5)^I$7))),0)), "")</f>
        <v/>
      </c>
    </row>
    <row r="12" spans="1:9">
      <c r="A12" s="29" t="str">
        <f>IF('3Capital Costs'!A13&lt;&gt;"", '3Capital Costs'!A13, "")</f>
        <v/>
      </c>
      <c r="B12" s="3" t="str">
        <f>IF('3Capital Costs'!B13&lt;&gt;"", '3Capital Costs'!B13, "")</f>
        <v/>
      </c>
      <c r="C12" s="46" t="str">
        <f>IF('3Capital Costs'!C13&lt;&gt;"", '3Capital Costs'!C13, "")</f>
        <v/>
      </c>
      <c r="D12" s="47" t="str">
        <f>IF('3Capital Costs'!D13&lt;&gt;"", '3Capital Costs'!D13, "")</f>
        <v/>
      </c>
      <c r="E12" s="27" t="str">
        <f>IF($A12&lt;&gt;"", (IF('3Replacement Costs - Entry'!J13="Y",((($B12*$D12)*((1+$B$5)^E$7))*(1/((1+$F$5)^E$7))),0)), "")</f>
        <v/>
      </c>
      <c r="F12" s="27" t="str">
        <f>IF($A12&lt;&gt;"", (IF('3Replacement Costs - Entry'!K13="Y",((($B12*$D12)*((1+$B$5)^F$7))*(1/((1+$F$5)^F$7))),0)), "")</f>
        <v/>
      </c>
      <c r="G12" s="27" t="str">
        <f>IF($A12&lt;&gt;"", (IF('3Replacement Costs - Entry'!L13="Y",((($B12*$D12)*((1+$B$5)^G$7))*(1/((1+$F$5)^G$7))),0)), "")</f>
        <v/>
      </c>
      <c r="H12" s="27" t="str">
        <f>IF($A12&lt;&gt;"", (IF('3Replacement Costs - Entry'!M13="Y",((($B12*$D12)*((1+$B$5)^H$7))*(1/((1+$F$5)^H$7))),0)), "")</f>
        <v/>
      </c>
      <c r="I12" s="27" t="str">
        <f>IF($A12&lt;&gt;"", (IF('3Replacement Costs - Entry'!N13="Y",((($B12*$D12)*((1+$B$5)^I$7))*(1/((1+$F$5)^I$7))),0)), "")</f>
        <v/>
      </c>
    </row>
    <row r="13" spans="1:9">
      <c r="A13" s="29" t="str">
        <f>IF('3Capital Costs'!A14&lt;&gt;"", '3Capital Costs'!A14, "")</f>
        <v/>
      </c>
      <c r="B13" s="3" t="str">
        <f>IF('3Capital Costs'!B14&lt;&gt;"", '3Capital Costs'!B14, "")</f>
        <v/>
      </c>
      <c r="C13" s="46" t="str">
        <f>IF('3Capital Costs'!C14&lt;&gt;"", '3Capital Costs'!C14, "")</f>
        <v/>
      </c>
      <c r="D13" s="47" t="str">
        <f>IF('3Capital Costs'!D14&lt;&gt;"", '3Capital Costs'!D14, "")</f>
        <v/>
      </c>
      <c r="E13" s="27" t="str">
        <f>IF($A13&lt;&gt;"", (IF('3Replacement Costs - Entry'!J14="Y",((($B13*$D13)*((1+$B$5)^E$7))*(1/((1+$F$5)^E$7))),0)), "")</f>
        <v/>
      </c>
      <c r="F13" s="27" t="str">
        <f>IF($A13&lt;&gt;"", (IF('3Replacement Costs - Entry'!K14="Y",((($B13*$D13)*((1+$B$5)^F$7))*(1/((1+$F$5)^F$7))),0)), "")</f>
        <v/>
      </c>
      <c r="G13" s="27" t="str">
        <f>IF($A13&lt;&gt;"", (IF('3Replacement Costs - Entry'!L14="Y",((($B13*$D13)*((1+$B$5)^G$7))*(1/((1+$F$5)^G$7))),0)), "")</f>
        <v/>
      </c>
      <c r="H13" s="27" t="str">
        <f>IF($A13&lt;&gt;"", (IF('3Replacement Costs - Entry'!M14="Y",((($B13*$D13)*((1+$B$5)^H$7))*(1/((1+$F$5)^H$7))),0)), "")</f>
        <v/>
      </c>
      <c r="I13" s="27" t="str">
        <f>IF($A13&lt;&gt;"", (IF('3Replacement Costs - Entry'!N14="Y",((($B13*$D13)*((1+$B$5)^I$7))*(1/((1+$F$5)^I$7))),0)), "")</f>
        <v/>
      </c>
    </row>
    <row r="14" spans="1:9">
      <c r="A14" s="29" t="str">
        <f>IF('3Capital Costs'!A15&lt;&gt;"", '3Capital Costs'!A15, "")</f>
        <v/>
      </c>
      <c r="B14" s="3" t="str">
        <f>IF('3Capital Costs'!B15&lt;&gt;"", '3Capital Costs'!B15, "")</f>
        <v/>
      </c>
      <c r="C14" s="46" t="str">
        <f>IF('3Capital Costs'!C15&lt;&gt;"", '3Capital Costs'!C15, "")</f>
        <v/>
      </c>
      <c r="D14" s="47" t="str">
        <f>IF('3Capital Costs'!D15&lt;&gt;"", '3Capital Costs'!D15, "")</f>
        <v/>
      </c>
      <c r="E14" s="27" t="str">
        <f>IF($A14&lt;&gt;"", (IF('3Replacement Costs - Entry'!J15="Y",((($B14*$D14)*((1+$B$5)^E$7))*(1/((1+$F$5)^E$7))),0)), "")</f>
        <v/>
      </c>
      <c r="F14" s="27" t="str">
        <f>IF($A14&lt;&gt;"", (IF('3Replacement Costs - Entry'!K15="Y",((($B14*$D14)*((1+$B$5)^F$7))*(1/((1+$F$5)^F$7))),0)), "")</f>
        <v/>
      </c>
      <c r="G14" s="27" t="str">
        <f>IF($A14&lt;&gt;"", (IF('3Replacement Costs - Entry'!L15="Y",((($B14*$D14)*((1+$B$5)^G$7))*(1/((1+$F$5)^G$7))),0)), "")</f>
        <v/>
      </c>
      <c r="H14" s="27" t="str">
        <f>IF($A14&lt;&gt;"", (IF('3Replacement Costs - Entry'!M15="Y",((($B14*$D14)*((1+$B$5)^H$7))*(1/((1+$F$5)^H$7))),0)), "")</f>
        <v/>
      </c>
      <c r="I14" s="27" t="str">
        <f>IF($A14&lt;&gt;"", (IF('3Replacement Costs - Entry'!N15="Y",((($B14*$D14)*((1+$B$5)^I$7))*(1/((1+$F$5)^I$7))),0)), "")</f>
        <v/>
      </c>
    </row>
    <row r="15" spans="1:9">
      <c r="A15" s="29" t="str">
        <f>IF('3Capital Costs'!A16&lt;&gt;"", '3Capital Costs'!A16, "")</f>
        <v/>
      </c>
      <c r="B15" s="3" t="str">
        <f>IF('3Capital Costs'!B16&lt;&gt;"", '3Capital Costs'!B16, "")</f>
        <v/>
      </c>
      <c r="C15" s="46" t="str">
        <f>IF('3Capital Costs'!C16&lt;&gt;"", '3Capital Costs'!C16, "")</f>
        <v/>
      </c>
      <c r="D15" s="47" t="str">
        <f>IF('3Capital Costs'!D16&lt;&gt;"", '3Capital Costs'!D16, "")</f>
        <v/>
      </c>
      <c r="E15" s="27" t="str">
        <f>IF($A15&lt;&gt;"", (IF('3Replacement Costs - Entry'!J16="Y",((($B15*$D15)*((1+$B$5)^E$7))*(1/((1+$F$5)^E$7))),0)), "")</f>
        <v/>
      </c>
      <c r="F15" s="27" t="str">
        <f>IF($A15&lt;&gt;"", (IF('3Replacement Costs - Entry'!K16="Y",((($B15*$D15)*((1+$B$5)^F$7))*(1/((1+$F$5)^F$7))),0)), "")</f>
        <v/>
      </c>
      <c r="G15" s="27" t="str">
        <f>IF($A15&lt;&gt;"", (IF('3Replacement Costs - Entry'!L16="Y",((($B15*$D15)*((1+$B$5)^G$7))*(1/((1+$F$5)^G$7))),0)), "")</f>
        <v/>
      </c>
      <c r="H15" s="27" t="str">
        <f>IF($A15&lt;&gt;"", (IF('3Replacement Costs - Entry'!M16="Y",((($B15*$D15)*((1+$B$5)^H$7))*(1/((1+$F$5)^H$7))),0)), "")</f>
        <v/>
      </c>
      <c r="I15" s="27" t="str">
        <f>IF($A15&lt;&gt;"", (IF('3Replacement Costs - Entry'!N16="Y",((($B15*$D15)*((1+$B$5)^I$7))*(1/((1+$F$5)^I$7))),0)), "")</f>
        <v/>
      </c>
    </row>
    <row r="16" spans="1:9">
      <c r="A16" s="29" t="str">
        <f>IF('3Capital Costs'!A17&lt;&gt;"", '3Capital Costs'!A17, "")</f>
        <v/>
      </c>
      <c r="B16" s="3" t="str">
        <f>IF('3Capital Costs'!B17&lt;&gt;"", '3Capital Costs'!B17, "")</f>
        <v/>
      </c>
      <c r="C16" s="46" t="str">
        <f>IF('3Capital Costs'!C17&lt;&gt;"", '3Capital Costs'!C17, "")</f>
        <v/>
      </c>
      <c r="D16" s="47" t="str">
        <f>IF('3Capital Costs'!D17&lt;&gt;"", '3Capital Costs'!D17, "")</f>
        <v/>
      </c>
      <c r="E16" s="27" t="str">
        <f>IF($A16&lt;&gt;"", (IF('3Replacement Costs - Entry'!J17="Y",((($B16*$D16)*((1+$B$5)^E$7))*(1/((1+$F$5)^E$7))),0)), "")</f>
        <v/>
      </c>
      <c r="F16" s="27" t="str">
        <f>IF($A16&lt;&gt;"", (IF('3Replacement Costs - Entry'!K17="Y",((($B16*$D16)*((1+$B$5)^F$7))*(1/((1+$F$5)^F$7))),0)), "")</f>
        <v/>
      </c>
      <c r="G16" s="27" t="str">
        <f>IF($A16&lt;&gt;"", (IF('3Replacement Costs - Entry'!L17="Y",((($B16*$D16)*((1+$B$5)^G$7))*(1/((1+$F$5)^G$7))),0)), "")</f>
        <v/>
      </c>
      <c r="H16" s="27" t="str">
        <f>IF($A16&lt;&gt;"", (IF('3Replacement Costs - Entry'!M17="Y",((($B16*$D16)*((1+$B$5)^H$7))*(1/((1+$F$5)^H$7))),0)), "")</f>
        <v/>
      </c>
      <c r="I16" s="27" t="str">
        <f>IF($A16&lt;&gt;"", (IF('3Replacement Costs - Entry'!N17="Y",((($B16*$D16)*((1+$B$5)^I$7))*(1/((1+$F$5)^I$7))),0)), "")</f>
        <v/>
      </c>
    </row>
    <row r="17" spans="1:9">
      <c r="A17" s="29" t="str">
        <f>IF('3Capital Costs'!A18&lt;&gt;"", '3Capital Costs'!A18, "")</f>
        <v/>
      </c>
      <c r="B17" s="3" t="str">
        <f>IF('3Capital Costs'!B18&lt;&gt;"", '3Capital Costs'!B18, "")</f>
        <v/>
      </c>
      <c r="C17" s="46" t="str">
        <f>IF('3Capital Costs'!C18&lt;&gt;"", '3Capital Costs'!C18, "")</f>
        <v/>
      </c>
      <c r="D17" s="47" t="str">
        <f>IF('3Capital Costs'!D18&lt;&gt;"", '3Capital Costs'!D18, "")</f>
        <v/>
      </c>
      <c r="E17" s="27" t="str">
        <f>IF($A17&lt;&gt;"", (IF('3Replacement Costs - Entry'!J18="Y",((($B17*$D17)*((1+$B$5)^E$7))*(1/((1+$F$5)^E$7))),0)), "")</f>
        <v/>
      </c>
      <c r="F17" s="27" t="str">
        <f>IF($A17&lt;&gt;"", (IF('3Replacement Costs - Entry'!K18="Y",((($B17*$D17)*((1+$B$5)^F$7))*(1/((1+$F$5)^F$7))),0)), "")</f>
        <v/>
      </c>
      <c r="G17" s="27" t="str">
        <f>IF($A17&lt;&gt;"", (IF('3Replacement Costs - Entry'!L18="Y",((($B17*$D17)*((1+$B$5)^G$7))*(1/((1+$F$5)^G$7))),0)), "")</f>
        <v/>
      </c>
      <c r="H17" s="27" t="str">
        <f>IF($A17&lt;&gt;"", (IF('3Replacement Costs - Entry'!M18="Y",((($B17*$D17)*((1+$B$5)^H$7))*(1/((1+$F$5)^H$7))),0)), "")</f>
        <v/>
      </c>
      <c r="I17" s="27" t="str">
        <f>IF($A17&lt;&gt;"", (IF('3Replacement Costs - Entry'!N18="Y",((($B17*$D17)*((1+$B$5)^I$7))*(1/((1+$F$5)^I$7))),0)), "")</f>
        <v/>
      </c>
    </row>
    <row r="18" spans="1:9">
      <c r="A18" s="29" t="str">
        <f>IF('3Capital Costs'!A19&lt;&gt;"", '3Capital Costs'!A19, "")</f>
        <v/>
      </c>
      <c r="B18" s="3" t="str">
        <f>IF('3Capital Costs'!B19&lt;&gt;"", '3Capital Costs'!B19, "")</f>
        <v/>
      </c>
      <c r="C18" s="46" t="str">
        <f>IF('3Capital Costs'!C19&lt;&gt;"", '3Capital Costs'!C19, "")</f>
        <v/>
      </c>
      <c r="D18" s="47" t="str">
        <f>IF('3Capital Costs'!D19&lt;&gt;"", '3Capital Costs'!D19, "")</f>
        <v/>
      </c>
      <c r="E18" s="27" t="str">
        <f>IF($A18&lt;&gt;"", (IF('3Replacement Costs - Entry'!J19="Y",((($B18*$D18)*((1+$B$5)^E$7))*(1/((1+$F$5)^E$7))),0)), "")</f>
        <v/>
      </c>
      <c r="F18" s="27" t="str">
        <f>IF($A18&lt;&gt;"", (IF('3Replacement Costs - Entry'!K19="Y",((($B18*$D18)*((1+$B$5)^F$7))*(1/((1+$F$5)^F$7))),0)), "")</f>
        <v/>
      </c>
      <c r="G18" s="27" t="str">
        <f>IF($A18&lt;&gt;"", (IF('3Replacement Costs - Entry'!L19="Y",((($B18*$D18)*((1+$B$5)^G$7))*(1/((1+$F$5)^G$7))),0)), "")</f>
        <v/>
      </c>
      <c r="H18" s="27" t="str">
        <f>IF($A18&lt;&gt;"", (IF('3Replacement Costs - Entry'!M19="Y",((($B18*$D18)*((1+$B$5)^H$7))*(1/((1+$F$5)^H$7))),0)), "")</f>
        <v/>
      </c>
      <c r="I18" s="27" t="str">
        <f>IF($A18&lt;&gt;"", (IF('3Replacement Costs - Entry'!N19="Y",((($B18*$D18)*((1+$B$5)^I$7))*(1/((1+$F$5)^I$7))),0)), "")</f>
        <v/>
      </c>
    </row>
    <row r="19" spans="1:9">
      <c r="A19" s="29" t="str">
        <f>IF('3Capital Costs'!A20&lt;&gt;"", '3Capital Costs'!A20, "")</f>
        <v/>
      </c>
      <c r="B19" s="3" t="str">
        <f>IF('3Capital Costs'!B20&lt;&gt;"", '3Capital Costs'!B20, "")</f>
        <v/>
      </c>
      <c r="C19" s="46" t="str">
        <f>IF('3Capital Costs'!C20&lt;&gt;"", '3Capital Costs'!C20, "")</f>
        <v/>
      </c>
      <c r="D19" s="47" t="str">
        <f>IF('3Capital Costs'!D20&lt;&gt;"", '3Capital Costs'!D20, "")</f>
        <v/>
      </c>
      <c r="E19" s="27" t="str">
        <f>IF($A19&lt;&gt;"", (IF('3Replacement Costs - Entry'!J20="Y",((($B19*$D19)*((1+$B$5)^E$7))*(1/((1+$F$5)^E$7))),0)), "")</f>
        <v/>
      </c>
      <c r="F19" s="27" t="str">
        <f>IF($A19&lt;&gt;"", (IF('3Replacement Costs - Entry'!K20="Y",((($B19*$D19)*((1+$B$5)^F$7))*(1/((1+$F$5)^F$7))),0)), "")</f>
        <v/>
      </c>
      <c r="G19" s="27" t="str">
        <f>IF($A19&lt;&gt;"", (IF('3Replacement Costs - Entry'!L20="Y",((($B19*$D19)*((1+$B$5)^G$7))*(1/((1+$F$5)^G$7))),0)), "")</f>
        <v/>
      </c>
      <c r="H19" s="27" t="str">
        <f>IF($A19&lt;&gt;"", (IF('3Replacement Costs - Entry'!M20="Y",((($B19*$D19)*((1+$B$5)^H$7))*(1/((1+$F$5)^H$7))),0)), "")</f>
        <v/>
      </c>
      <c r="I19" s="27" t="str">
        <f>IF($A19&lt;&gt;"", (IF('3Replacement Costs - Entry'!N20="Y",((($B19*$D19)*((1+$B$5)^I$7))*(1/((1+$F$5)^I$7))),0)), "")</f>
        <v/>
      </c>
    </row>
    <row r="20" spans="1:9">
      <c r="A20" s="29" t="str">
        <f>IF('3Capital Costs'!A21&lt;&gt;"", '3Capital Costs'!A21, "")</f>
        <v/>
      </c>
      <c r="B20" s="3" t="str">
        <f>IF('3Capital Costs'!B21&lt;&gt;"", '3Capital Costs'!B21, "")</f>
        <v/>
      </c>
      <c r="C20" s="46" t="str">
        <f>IF('3Capital Costs'!C21&lt;&gt;"", '3Capital Costs'!C21, "")</f>
        <v/>
      </c>
      <c r="D20" s="47" t="str">
        <f>IF('3Capital Costs'!D21&lt;&gt;"", '3Capital Costs'!D21, "")</f>
        <v/>
      </c>
      <c r="E20" s="27" t="str">
        <f>IF($A20&lt;&gt;"", (IF('3Replacement Costs - Entry'!J21="Y",((($B20*$D20)*((1+$B$5)^E$7))*(1/((1+$F$5)^E$7))),0)), "")</f>
        <v/>
      </c>
      <c r="F20" s="27" t="str">
        <f>IF($A20&lt;&gt;"", (IF('3Replacement Costs - Entry'!K21="Y",((($B20*$D20)*((1+$B$5)^F$7))*(1/((1+$F$5)^F$7))),0)), "")</f>
        <v/>
      </c>
      <c r="G20" s="27" t="str">
        <f>IF($A20&lt;&gt;"", (IF('3Replacement Costs - Entry'!L21="Y",((($B20*$D20)*((1+$B$5)^G$7))*(1/((1+$F$5)^G$7))),0)), "")</f>
        <v/>
      </c>
      <c r="H20" s="27" t="str">
        <f>IF($A20&lt;&gt;"", (IF('3Replacement Costs - Entry'!M21="Y",((($B20*$D20)*((1+$B$5)^H$7))*(1/((1+$F$5)^H$7))),0)), "")</f>
        <v/>
      </c>
      <c r="I20" s="27" t="str">
        <f>IF($A20&lt;&gt;"", (IF('3Replacement Costs - Entry'!N21="Y",((($B20*$D20)*((1+$B$5)^I$7))*(1/((1+$F$5)^I$7))),0)), "")</f>
        <v/>
      </c>
    </row>
    <row r="21" spans="1:9">
      <c r="A21" s="29" t="str">
        <f>IF('3Capital Costs'!A22&lt;&gt;"", '3Capital Costs'!A22, "")</f>
        <v/>
      </c>
      <c r="B21" s="3" t="str">
        <f>IF('3Capital Costs'!B22&lt;&gt;"", '3Capital Costs'!B22, "")</f>
        <v/>
      </c>
      <c r="C21" s="46" t="str">
        <f>IF('3Capital Costs'!C22&lt;&gt;"", '3Capital Costs'!C22, "")</f>
        <v/>
      </c>
      <c r="D21" s="47" t="str">
        <f>IF('3Capital Costs'!D22&lt;&gt;"", '3Capital Costs'!D22, "")</f>
        <v/>
      </c>
      <c r="E21" s="27" t="str">
        <f>IF($A21&lt;&gt;"", (IF('3Replacement Costs - Entry'!J22="Y",((($B21*$D21)*((1+$B$5)^E$7))*(1/((1+$F$5)^E$7))),0)), "")</f>
        <v/>
      </c>
      <c r="F21" s="27" t="str">
        <f>IF($A21&lt;&gt;"", (IF('3Replacement Costs - Entry'!K22="Y",((($B21*$D21)*((1+$B$5)^F$7))*(1/((1+$F$5)^F$7))),0)), "")</f>
        <v/>
      </c>
      <c r="G21" s="27" t="str">
        <f>IF($A21&lt;&gt;"", (IF('3Replacement Costs - Entry'!L22="Y",((($B21*$D21)*((1+$B$5)^G$7))*(1/((1+$F$5)^G$7))),0)), "")</f>
        <v/>
      </c>
      <c r="H21" s="27" t="str">
        <f>IF($A21&lt;&gt;"", (IF('3Replacement Costs - Entry'!M22="Y",((($B21*$D21)*((1+$B$5)^H$7))*(1/((1+$F$5)^H$7))),0)), "")</f>
        <v/>
      </c>
      <c r="I21" s="27" t="str">
        <f>IF($A21&lt;&gt;"", (IF('3Replacement Costs - Entry'!N22="Y",((($B21*$D21)*((1+$B$5)^I$7))*(1/((1+$F$5)^I$7))),0)), "")</f>
        <v/>
      </c>
    </row>
    <row r="22" spans="1:9">
      <c r="A22" s="29" t="str">
        <f>IF('3Capital Costs'!A23&lt;&gt;"", '3Capital Costs'!A23, "")</f>
        <v/>
      </c>
      <c r="B22" s="3" t="str">
        <f>IF('3Capital Costs'!B23&lt;&gt;"", '3Capital Costs'!B23, "")</f>
        <v/>
      </c>
      <c r="C22" s="46" t="str">
        <f>IF('3Capital Costs'!C23&lt;&gt;"", '3Capital Costs'!C23, "")</f>
        <v/>
      </c>
      <c r="D22" s="47" t="str">
        <f>IF('3Capital Costs'!D23&lt;&gt;"", '3Capital Costs'!D23, "")</f>
        <v/>
      </c>
      <c r="E22" s="27" t="str">
        <f>IF($A22&lt;&gt;"", (IF('3Replacement Costs - Entry'!J23="Y",((($B22*$D22)*((1+$B$5)^E$7))*(1/((1+$F$5)^E$7))),0)), "")</f>
        <v/>
      </c>
      <c r="F22" s="27" t="str">
        <f>IF($A22&lt;&gt;"", (IF('3Replacement Costs - Entry'!K23="Y",((($B22*$D22)*((1+$B$5)^F$7))*(1/((1+$F$5)^F$7))),0)), "")</f>
        <v/>
      </c>
      <c r="G22" s="27" t="str">
        <f>IF($A22&lt;&gt;"", (IF('3Replacement Costs - Entry'!L23="Y",((($B22*$D22)*((1+$B$5)^G$7))*(1/((1+$F$5)^G$7))),0)), "")</f>
        <v/>
      </c>
      <c r="H22" s="27" t="str">
        <f>IF($A22&lt;&gt;"", (IF('3Replacement Costs - Entry'!M23="Y",((($B22*$D22)*((1+$B$5)^H$7))*(1/((1+$F$5)^H$7))),0)), "")</f>
        <v/>
      </c>
      <c r="I22" s="27" t="str">
        <f>IF($A22&lt;&gt;"", (IF('3Replacement Costs - Entry'!N23="Y",((($B22*$D22)*((1+$B$5)^I$7))*(1/((1+$F$5)^I$7))),0)), "")</f>
        <v/>
      </c>
    </row>
    <row r="23" spans="1:9">
      <c r="A23" s="29" t="str">
        <f>IF('3Capital Costs'!A24&lt;&gt;"", '3Capital Costs'!A24, "")</f>
        <v/>
      </c>
      <c r="B23" s="3" t="str">
        <f>IF('3Capital Costs'!B24&lt;&gt;"", '3Capital Costs'!B24, "")</f>
        <v/>
      </c>
      <c r="C23" s="46" t="str">
        <f>IF('3Capital Costs'!C24&lt;&gt;"", '3Capital Costs'!C24, "")</f>
        <v/>
      </c>
      <c r="D23" s="47" t="str">
        <f>IF('3Capital Costs'!D24&lt;&gt;"", '3Capital Costs'!D24, "")</f>
        <v/>
      </c>
      <c r="E23" s="27" t="str">
        <f>IF($A23&lt;&gt;"", (IF('3Replacement Costs - Entry'!J24="Y",((($B23*$D23)*((1+$B$5)^E$7))*(1/((1+$F$5)^E$7))),0)), "")</f>
        <v/>
      </c>
      <c r="F23" s="27" t="str">
        <f>IF($A23&lt;&gt;"", (IF('3Replacement Costs - Entry'!K24="Y",((($B23*$D23)*((1+$B$5)^F$7))*(1/((1+$F$5)^F$7))),0)), "")</f>
        <v/>
      </c>
      <c r="G23" s="27" t="str">
        <f>IF($A23&lt;&gt;"", (IF('3Replacement Costs - Entry'!L24="Y",((($B23*$D23)*((1+$B$5)^G$7))*(1/((1+$F$5)^G$7))),0)), "")</f>
        <v/>
      </c>
      <c r="H23" s="27" t="str">
        <f>IF($A23&lt;&gt;"", (IF('3Replacement Costs - Entry'!M24="Y",((($B23*$D23)*((1+$B$5)^H$7))*(1/((1+$F$5)^H$7))),0)), "")</f>
        <v/>
      </c>
      <c r="I23" s="27" t="str">
        <f>IF($A23&lt;&gt;"", (IF('3Replacement Costs - Entry'!N24="Y",((($B23*$D23)*((1+$B$5)^I$7))*(1/((1+$F$5)^I$7))),0)), "")</f>
        <v/>
      </c>
    </row>
    <row r="24" spans="1:9">
      <c r="A24" s="29" t="str">
        <f>IF('3Capital Costs'!A25&lt;&gt;"", '3Capital Costs'!A25, "")</f>
        <v/>
      </c>
      <c r="B24" s="3" t="str">
        <f>IF('3Capital Costs'!B25&lt;&gt;"", '3Capital Costs'!B25, "")</f>
        <v/>
      </c>
      <c r="C24" s="46" t="str">
        <f>IF('3Capital Costs'!C25&lt;&gt;"", '3Capital Costs'!C25, "")</f>
        <v/>
      </c>
      <c r="D24" s="47" t="str">
        <f>IF('3Capital Costs'!D25&lt;&gt;"", '3Capital Costs'!D25, "")</f>
        <v/>
      </c>
      <c r="E24" s="27" t="str">
        <f>IF($A24&lt;&gt;"", (IF('3Replacement Costs - Entry'!J25="Y",((($B24*$D24)*((1+$B$5)^E$7))*(1/((1+$F$5)^E$7))),0)), "")</f>
        <v/>
      </c>
      <c r="F24" s="27" t="str">
        <f>IF($A24&lt;&gt;"", (IF('3Replacement Costs - Entry'!K25="Y",((($B24*$D24)*((1+$B$5)^F$7))*(1/((1+$F$5)^F$7))),0)), "")</f>
        <v/>
      </c>
      <c r="G24" s="27" t="str">
        <f>IF($A24&lt;&gt;"", (IF('3Replacement Costs - Entry'!L25="Y",((($B24*$D24)*((1+$B$5)^G$7))*(1/((1+$F$5)^G$7))),0)), "")</f>
        <v/>
      </c>
      <c r="H24" s="27" t="str">
        <f>IF($A24&lt;&gt;"", (IF('3Replacement Costs - Entry'!M25="Y",((($B24*$D24)*((1+$B$5)^H$7))*(1/((1+$F$5)^H$7))),0)), "")</f>
        <v/>
      </c>
      <c r="I24" s="27" t="str">
        <f>IF($A24&lt;&gt;"", (IF('3Replacement Costs - Entry'!N25="Y",((($B24*$D24)*((1+$B$5)^I$7))*(1/((1+$F$5)^I$7))),0)), "")</f>
        <v/>
      </c>
    </row>
    <row r="25" spans="1:9">
      <c r="A25" s="29" t="str">
        <f>IF('3Capital Costs'!A26&lt;&gt;"", '3Capital Costs'!A26, "")</f>
        <v/>
      </c>
      <c r="B25" s="3" t="str">
        <f>IF('3Capital Costs'!B26&lt;&gt;"", '3Capital Costs'!B26, "")</f>
        <v/>
      </c>
      <c r="C25" s="46" t="str">
        <f>IF('3Capital Costs'!C26&lt;&gt;"", '3Capital Costs'!C26, "")</f>
        <v/>
      </c>
      <c r="D25" s="47" t="str">
        <f>IF('3Capital Costs'!D26&lt;&gt;"", '3Capital Costs'!D26, "")</f>
        <v/>
      </c>
      <c r="E25" s="27" t="str">
        <f>IF($A25&lt;&gt;"", (IF('3Replacement Costs - Entry'!J26="Y",((($B25*$D25)*((1+$B$5)^E$7))*(1/((1+$F$5)^E$7))),0)), "")</f>
        <v/>
      </c>
      <c r="F25" s="27" t="str">
        <f>IF($A25&lt;&gt;"", (IF('3Replacement Costs - Entry'!K26="Y",((($B25*$D25)*((1+$B$5)^F$7))*(1/((1+$F$5)^F$7))),0)), "")</f>
        <v/>
      </c>
      <c r="G25" s="27" t="str">
        <f>IF($A25&lt;&gt;"", (IF('3Replacement Costs - Entry'!L26="Y",((($B25*$D25)*((1+$B$5)^G$7))*(1/((1+$F$5)^G$7))),0)), "")</f>
        <v/>
      </c>
      <c r="H25" s="27" t="str">
        <f>IF($A25&lt;&gt;"", (IF('3Replacement Costs - Entry'!M26="Y",((($B25*$D25)*((1+$B$5)^H$7))*(1/((1+$F$5)^H$7))),0)), "")</f>
        <v/>
      </c>
      <c r="I25" s="27" t="str">
        <f>IF($A25&lt;&gt;"", (IF('3Replacement Costs - Entry'!N26="Y",((($B25*$D25)*((1+$B$5)^I$7))*(1/((1+$F$5)^I$7))),0)), "")</f>
        <v/>
      </c>
    </row>
    <row r="26" spans="1:9">
      <c r="A26" s="29" t="str">
        <f>IF('3Capital Costs'!A27&lt;&gt;"", '3Capital Costs'!A27, "")</f>
        <v/>
      </c>
      <c r="B26" s="3" t="str">
        <f>IF('3Capital Costs'!B27&lt;&gt;"", '3Capital Costs'!B27, "")</f>
        <v/>
      </c>
      <c r="C26" s="46" t="str">
        <f>IF('3Capital Costs'!C27&lt;&gt;"", '3Capital Costs'!C27, "")</f>
        <v/>
      </c>
      <c r="D26" s="47" t="str">
        <f>IF('3Capital Costs'!D27&lt;&gt;"", '3Capital Costs'!D27, "")</f>
        <v/>
      </c>
      <c r="E26" s="27" t="str">
        <f>IF($A26&lt;&gt;"", (IF('3Replacement Costs - Entry'!J27="Y",((($B26*$D26)*((1+$B$5)^E$7))*(1/((1+$F$5)^E$7))),0)), "")</f>
        <v/>
      </c>
      <c r="F26" s="27" t="str">
        <f>IF($A26&lt;&gt;"", (IF('3Replacement Costs - Entry'!K27="Y",((($B26*$D26)*((1+$B$5)^F$7))*(1/((1+$F$5)^F$7))),0)), "")</f>
        <v/>
      </c>
      <c r="G26" s="27" t="str">
        <f>IF($A26&lt;&gt;"", (IF('3Replacement Costs - Entry'!L27="Y",((($B26*$D26)*((1+$B$5)^G$7))*(1/((1+$F$5)^G$7))),0)), "")</f>
        <v/>
      </c>
      <c r="H26" s="27" t="str">
        <f>IF($A26&lt;&gt;"", (IF('3Replacement Costs - Entry'!M27="Y",((($B26*$D26)*((1+$B$5)^H$7))*(1/((1+$F$5)^H$7))),0)), "")</f>
        <v/>
      </c>
      <c r="I26" s="27" t="str">
        <f>IF($A26&lt;&gt;"", (IF('3Replacement Costs - Entry'!N27="Y",((($B26*$D26)*((1+$B$5)^I$7))*(1/((1+$F$5)^I$7))),0)), "")</f>
        <v/>
      </c>
    </row>
    <row r="27" spans="1:9">
      <c r="A27" s="29" t="str">
        <f>IF('3Capital Costs'!A28&lt;&gt;"", '3Capital Costs'!A28, "")</f>
        <v/>
      </c>
      <c r="B27" s="3" t="str">
        <f>IF('3Capital Costs'!B28&lt;&gt;"", '3Capital Costs'!B28, "")</f>
        <v/>
      </c>
      <c r="C27" s="46" t="str">
        <f>IF('3Capital Costs'!C28&lt;&gt;"", '3Capital Costs'!C28, "")</f>
        <v/>
      </c>
      <c r="D27" s="47" t="str">
        <f>IF('3Capital Costs'!D28&lt;&gt;"", '3Capital Costs'!D28, "")</f>
        <v/>
      </c>
      <c r="E27" s="27" t="str">
        <f>IF($A27&lt;&gt;"", (IF('3Replacement Costs - Entry'!J28="Y",((($B27*$D27)*((1+$B$5)^E$7))*(1/((1+$F$5)^E$7))),0)), "")</f>
        <v/>
      </c>
      <c r="F27" s="27" t="str">
        <f>IF($A27&lt;&gt;"", (IF('3Replacement Costs - Entry'!K28="Y",((($B27*$D27)*((1+$B$5)^F$7))*(1/((1+$F$5)^F$7))),0)), "")</f>
        <v/>
      </c>
      <c r="G27" s="27" t="str">
        <f>IF($A27&lt;&gt;"", (IF('3Replacement Costs - Entry'!L28="Y",((($B27*$D27)*((1+$B$5)^G$7))*(1/((1+$F$5)^G$7))),0)), "")</f>
        <v/>
      </c>
      <c r="H27" s="27" t="str">
        <f>IF($A27&lt;&gt;"", (IF('3Replacement Costs - Entry'!M28="Y",((($B27*$D27)*((1+$B$5)^H$7))*(1/((1+$F$5)^H$7))),0)), "")</f>
        <v/>
      </c>
      <c r="I27" s="27" t="str">
        <f>IF($A27&lt;&gt;"", (IF('3Replacement Costs - Entry'!N28="Y",((($B27*$D27)*((1+$B$5)^I$7))*(1/((1+$F$5)^I$7))),0)), "")</f>
        <v/>
      </c>
    </row>
    <row r="28" spans="1:9">
      <c r="A28" s="29" t="str">
        <f>IF('3Capital Costs'!A29&lt;&gt;"", '3Capital Costs'!A29, "")</f>
        <v/>
      </c>
      <c r="B28" s="3" t="str">
        <f>IF('3Capital Costs'!B29&lt;&gt;"", '3Capital Costs'!B29, "")</f>
        <v/>
      </c>
      <c r="C28" s="46" t="str">
        <f>IF('3Capital Costs'!C29&lt;&gt;"", '3Capital Costs'!C29, "")</f>
        <v/>
      </c>
      <c r="D28" s="47" t="str">
        <f>IF('3Capital Costs'!D29&lt;&gt;"", '3Capital Costs'!D29, "")</f>
        <v/>
      </c>
      <c r="E28" s="27" t="str">
        <f>IF($A28&lt;&gt;"", (IF('3Replacement Costs - Entry'!J29="Y",((($B28*$D28)*((1+$B$5)^E$7))*(1/((1+$F$5)^E$7))),0)), "")</f>
        <v/>
      </c>
      <c r="F28" s="27" t="str">
        <f>IF($A28&lt;&gt;"", (IF('3Replacement Costs - Entry'!K29="Y",((($B28*$D28)*((1+$B$5)^F$7))*(1/((1+$F$5)^F$7))),0)), "")</f>
        <v/>
      </c>
      <c r="G28" s="27" t="str">
        <f>IF($A28&lt;&gt;"", (IF('3Replacement Costs - Entry'!L29="Y",((($B28*$D28)*((1+$B$5)^G$7))*(1/((1+$F$5)^G$7))),0)), "")</f>
        <v/>
      </c>
      <c r="H28" s="27" t="str">
        <f>IF($A28&lt;&gt;"", (IF('3Replacement Costs - Entry'!M29="Y",((($B28*$D28)*((1+$B$5)^H$7))*(1/((1+$F$5)^H$7))),0)), "")</f>
        <v/>
      </c>
      <c r="I28" s="27" t="str">
        <f>IF($A28&lt;&gt;"", (IF('3Replacement Costs - Entry'!N29="Y",((($B28*$D28)*((1+$B$5)^I$7))*(1/((1+$F$5)^I$7))),0)), "")</f>
        <v/>
      </c>
    </row>
    <row r="29" spans="1:9">
      <c r="A29" s="29" t="str">
        <f>IF('3Capital Costs'!A30&lt;&gt;"", '3Capital Costs'!A30, "")</f>
        <v/>
      </c>
      <c r="B29" s="3" t="str">
        <f>IF('3Capital Costs'!B30&lt;&gt;"", '3Capital Costs'!B30, "")</f>
        <v/>
      </c>
      <c r="C29" s="46" t="str">
        <f>IF('3Capital Costs'!C30&lt;&gt;"", '3Capital Costs'!C30, "")</f>
        <v/>
      </c>
      <c r="D29" s="47" t="str">
        <f>IF('3Capital Costs'!D30&lt;&gt;"", '3Capital Costs'!D30, "")</f>
        <v/>
      </c>
      <c r="E29" s="27" t="str">
        <f>IF($A29&lt;&gt;"", (IF('3Replacement Costs - Entry'!J30="Y",((($B29*$D29)*((1+$B$5)^E$7))*(1/((1+$F$5)^E$7))),0)), "")</f>
        <v/>
      </c>
      <c r="F29" s="27" t="str">
        <f>IF($A29&lt;&gt;"", (IF('3Replacement Costs - Entry'!K30="Y",((($B29*$D29)*((1+$B$5)^F$7))*(1/((1+$F$5)^F$7))),0)), "")</f>
        <v/>
      </c>
      <c r="G29" s="27" t="str">
        <f>IF($A29&lt;&gt;"", (IF('3Replacement Costs - Entry'!L30="Y",((($B29*$D29)*((1+$B$5)^G$7))*(1/((1+$F$5)^G$7))),0)), "")</f>
        <v/>
      </c>
      <c r="H29" s="27" t="str">
        <f>IF($A29&lt;&gt;"", (IF('3Replacement Costs - Entry'!M30="Y",((($B29*$D29)*((1+$B$5)^H$7))*(1/((1+$F$5)^H$7))),0)), "")</f>
        <v/>
      </c>
      <c r="I29" s="27" t="str">
        <f>IF($A29&lt;&gt;"", (IF('3Replacement Costs - Entry'!N30="Y",((($B29*$D29)*((1+$B$5)^I$7))*(1/((1+$F$5)^I$7))),0)), "")</f>
        <v/>
      </c>
    </row>
    <row r="30" spans="1:9">
      <c r="A30" s="29" t="str">
        <f>IF('3Capital Costs'!A31&lt;&gt;"", '3Capital Costs'!A31, "")</f>
        <v/>
      </c>
      <c r="B30" s="3" t="str">
        <f>IF('3Capital Costs'!B31&lt;&gt;"", '3Capital Costs'!B31, "")</f>
        <v/>
      </c>
      <c r="C30" s="46" t="str">
        <f>IF('3Capital Costs'!C31&lt;&gt;"", '3Capital Costs'!C31, "")</f>
        <v/>
      </c>
      <c r="D30" s="47" t="str">
        <f>IF('3Capital Costs'!D31&lt;&gt;"", '3Capital Costs'!D31, "")</f>
        <v/>
      </c>
      <c r="E30" s="27" t="str">
        <f>IF($A30&lt;&gt;"", (IF('3Replacement Costs - Entry'!J31="Y",((($B30*$D30)*((1+$B$5)^E$7))*(1/((1+$F$5)^E$7))),0)), "")</f>
        <v/>
      </c>
      <c r="F30" s="27" t="str">
        <f>IF($A30&lt;&gt;"", (IF('3Replacement Costs - Entry'!K31="Y",((($B30*$D30)*((1+$B$5)^F$7))*(1/((1+$F$5)^F$7))),0)), "")</f>
        <v/>
      </c>
      <c r="G30" s="27" t="str">
        <f>IF($A30&lt;&gt;"", (IF('3Replacement Costs - Entry'!L31="Y",((($B30*$D30)*((1+$B$5)^G$7))*(1/((1+$F$5)^G$7))),0)), "")</f>
        <v/>
      </c>
      <c r="H30" s="27" t="str">
        <f>IF($A30&lt;&gt;"", (IF('3Replacement Costs - Entry'!M31="Y",((($B30*$D30)*((1+$B$5)^H$7))*(1/((1+$F$5)^H$7))),0)), "")</f>
        <v/>
      </c>
      <c r="I30" s="27" t="str">
        <f>IF($A30&lt;&gt;"", (IF('3Replacement Costs - Entry'!N31="Y",((($B30*$D30)*((1+$B$5)^I$7))*(1/((1+$F$5)^I$7))),0)), "")</f>
        <v/>
      </c>
    </row>
    <row r="31" spans="1:9">
      <c r="A31" s="29" t="str">
        <f>IF('3Capital Costs'!A32&lt;&gt;"", '3Capital Costs'!A32, "")</f>
        <v/>
      </c>
      <c r="B31" s="3" t="str">
        <f>IF('3Capital Costs'!B32&lt;&gt;"", '3Capital Costs'!B32, "")</f>
        <v/>
      </c>
      <c r="C31" s="46" t="str">
        <f>IF('3Capital Costs'!C32&lt;&gt;"", '3Capital Costs'!C32, "")</f>
        <v/>
      </c>
      <c r="D31" s="47" t="str">
        <f>IF('3Capital Costs'!D32&lt;&gt;"", '3Capital Costs'!D32, "")</f>
        <v/>
      </c>
      <c r="E31" s="27" t="str">
        <f>IF($A31&lt;&gt;"", (IF('3Replacement Costs - Entry'!J32="Y",((($B31*$D31)*((1+$B$5)^E$7))*(1/((1+$F$5)^E$7))),0)), "")</f>
        <v/>
      </c>
      <c r="F31" s="27" t="str">
        <f>IF($A31&lt;&gt;"", (IF('3Replacement Costs - Entry'!K32="Y",((($B31*$D31)*((1+$B$5)^F$7))*(1/((1+$F$5)^F$7))),0)), "")</f>
        <v/>
      </c>
      <c r="G31" s="27" t="str">
        <f>IF($A31&lt;&gt;"", (IF('3Replacement Costs - Entry'!L32="Y",((($B31*$D31)*((1+$B$5)^G$7))*(1/((1+$F$5)^G$7))),0)), "")</f>
        <v/>
      </c>
      <c r="H31" s="27" t="str">
        <f>IF($A31&lt;&gt;"", (IF('3Replacement Costs - Entry'!M32="Y",((($B31*$D31)*((1+$B$5)^H$7))*(1/((1+$F$5)^H$7))),0)), "")</f>
        <v/>
      </c>
      <c r="I31" s="27" t="str">
        <f>IF($A31&lt;&gt;"", (IF('3Replacement Costs - Entry'!N32="Y",((($B31*$D31)*((1+$B$5)^I$7))*(1/((1+$F$5)^I$7))),0)), "")</f>
        <v/>
      </c>
    </row>
    <row r="32" spans="1:9">
      <c r="A32" s="29" t="str">
        <f>IF('3Capital Costs'!A33&lt;&gt;"", '3Capital Costs'!A33, "")</f>
        <v/>
      </c>
      <c r="B32" s="3" t="str">
        <f>IF('3Capital Costs'!B33&lt;&gt;"", '3Capital Costs'!B33, "")</f>
        <v/>
      </c>
      <c r="C32" s="46" t="str">
        <f>IF('3Capital Costs'!C33&lt;&gt;"", '3Capital Costs'!C33, "")</f>
        <v/>
      </c>
      <c r="D32" s="47" t="str">
        <f>IF('3Capital Costs'!D33&lt;&gt;"", '3Capital Costs'!D33, "")</f>
        <v/>
      </c>
      <c r="E32" s="27" t="str">
        <f>IF($A32&lt;&gt;"", (IF('3Replacement Costs - Entry'!J33="Y",((($B32*$D32)*((1+$B$5)^E$7))*(1/((1+$F$5)^E$7))),0)), "")</f>
        <v/>
      </c>
      <c r="F32" s="27" t="str">
        <f>IF($A32&lt;&gt;"", (IF('3Replacement Costs - Entry'!K33="Y",((($B32*$D32)*((1+$B$5)^F$7))*(1/((1+$F$5)^F$7))),0)), "")</f>
        <v/>
      </c>
      <c r="G32" s="27" t="str">
        <f>IF($A32&lt;&gt;"", (IF('3Replacement Costs - Entry'!L33="Y",((($B32*$D32)*((1+$B$5)^G$7))*(1/((1+$F$5)^G$7))),0)), "")</f>
        <v/>
      </c>
      <c r="H32" s="27" t="str">
        <f>IF($A32&lt;&gt;"", (IF('3Replacement Costs - Entry'!M33="Y",((($B32*$D32)*((1+$B$5)^H$7))*(1/((1+$F$5)^H$7))),0)), "")</f>
        <v/>
      </c>
      <c r="I32" s="27" t="str">
        <f>IF($A32&lt;&gt;"", (IF('3Replacement Costs - Entry'!N33="Y",((($B32*$D32)*((1+$B$5)^I$7))*(1/((1+$F$5)^I$7))),0)), "")</f>
        <v/>
      </c>
    </row>
    <row r="33" spans="1:9">
      <c r="A33" s="29" t="str">
        <f>IF('3Capital Costs'!A34&lt;&gt;"", '3Capital Costs'!A34, "")</f>
        <v/>
      </c>
      <c r="B33" s="3" t="str">
        <f>IF('3Capital Costs'!B34&lt;&gt;"", '3Capital Costs'!B34, "")</f>
        <v/>
      </c>
      <c r="C33" s="46" t="str">
        <f>IF('3Capital Costs'!C34&lt;&gt;"", '3Capital Costs'!C34, "")</f>
        <v/>
      </c>
      <c r="D33" s="47" t="str">
        <f>IF('3Capital Costs'!D34&lt;&gt;"", '3Capital Costs'!D34, "")</f>
        <v/>
      </c>
      <c r="E33" s="27" t="str">
        <f>IF($A33&lt;&gt;"", (IF('3Replacement Costs - Entry'!J34="Y",((($B33*$D33)*((1+$B$5)^E$7))*(1/((1+$F$5)^E$7))),0)), "")</f>
        <v/>
      </c>
      <c r="F33" s="27" t="str">
        <f>IF($A33&lt;&gt;"", (IF('3Replacement Costs - Entry'!K34="Y",((($B33*$D33)*((1+$B$5)^F$7))*(1/((1+$F$5)^F$7))),0)), "")</f>
        <v/>
      </c>
      <c r="G33" s="27" t="str">
        <f>IF($A33&lt;&gt;"", (IF('3Replacement Costs - Entry'!L34="Y",((($B33*$D33)*((1+$B$5)^G$7))*(1/((1+$F$5)^G$7))),0)), "")</f>
        <v/>
      </c>
      <c r="H33" s="27" t="str">
        <f>IF($A33&lt;&gt;"", (IF('3Replacement Costs - Entry'!M34="Y",((($B33*$D33)*((1+$B$5)^H$7))*(1/((1+$F$5)^H$7))),0)), "")</f>
        <v/>
      </c>
      <c r="I33" s="27" t="str">
        <f>IF($A33&lt;&gt;"", (IF('3Replacement Costs - Entry'!N34="Y",((($B33*$D33)*((1+$B$5)^I$7))*(1/((1+$F$5)^I$7))),0)), "")</f>
        <v/>
      </c>
    </row>
    <row r="34" spans="1:9">
      <c r="A34" s="29" t="str">
        <f>IF('3Capital Costs'!A35&lt;&gt;"", '3Capital Costs'!A35, "")</f>
        <v/>
      </c>
      <c r="B34" s="3" t="str">
        <f>IF('3Capital Costs'!B35&lt;&gt;"", '3Capital Costs'!B35, "")</f>
        <v/>
      </c>
      <c r="C34" s="46" t="str">
        <f>IF('3Capital Costs'!C35&lt;&gt;"", '3Capital Costs'!C35, "")</f>
        <v/>
      </c>
      <c r="D34" s="47" t="str">
        <f>IF('3Capital Costs'!D35&lt;&gt;"", '3Capital Costs'!D35, "")</f>
        <v/>
      </c>
      <c r="E34" s="27" t="str">
        <f>IF($A34&lt;&gt;"", (IF('3Replacement Costs - Entry'!J35="Y",((($B34*$D34)*((1+$B$5)^E$7))*(1/((1+$F$5)^E$7))),0)), "")</f>
        <v/>
      </c>
      <c r="F34" s="27" t="str">
        <f>IF($A34&lt;&gt;"", (IF('3Replacement Costs - Entry'!K35="Y",((($B34*$D34)*((1+$B$5)^F$7))*(1/((1+$F$5)^F$7))),0)), "")</f>
        <v/>
      </c>
      <c r="G34" s="27" t="str">
        <f>IF($A34&lt;&gt;"", (IF('3Replacement Costs - Entry'!L35="Y",((($B34*$D34)*((1+$B$5)^G$7))*(1/((1+$F$5)^G$7))),0)), "")</f>
        <v/>
      </c>
      <c r="H34" s="27" t="str">
        <f>IF($A34&lt;&gt;"", (IF('3Replacement Costs - Entry'!M35="Y",((($B34*$D34)*((1+$B$5)^H$7))*(1/((1+$F$5)^H$7))),0)), "")</f>
        <v/>
      </c>
      <c r="I34" s="27" t="str">
        <f>IF($A34&lt;&gt;"", (IF('3Replacement Costs - Entry'!N35="Y",((($B34*$D34)*((1+$B$5)^I$7))*(1/((1+$F$5)^I$7))),0)), "")</f>
        <v/>
      </c>
    </row>
    <row r="35" spans="1:9">
      <c r="A35" s="29" t="str">
        <f>IF('3Capital Costs'!A36&lt;&gt;"", '3Capital Costs'!A36, "")</f>
        <v/>
      </c>
      <c r="B35" s="3" t="str">
        <f>IF('3Capital Costs'!B36&lt;&gt;"", '3Capital Costs'!B36, "")</f>
        <v/>
      </c>
      <c r="C35" s="46" t="str">
        <f>IF('3Capital Costs'!C36&lt;&gt;"", '3Capital Costs'!C36, "")</f>
        <v/>
      </c>
      <c r="D35" s="47" t="str">
        <f>IF('3Capital Costs'!D36&lt;&gt;"", '3Capital Costs'!D36, "")</f>
        <v/>
      </c>
      <c r="E35" s="27" t="str">
        <f>IF($A35&lt;&gt;"", (IF('3Replacement Costs - Entry'!J36="Y",((($B35*$D35)*((1+$B$5)^E$7))*(1/((1+$F$5)^E$7))),0)), "")</f>
        <v/>
      </c>
      <c r="F35" s="27" t="str">
        <f>IF($A35&lt;&gt;"", (IF('3Replacement Costs - Entry'!K36="Y",((($B35*$D35)*((1+$B$5)^F$7))*(1/((1+$F$5)^F$7))),0)), "")</f>
        <v/>
      </c>
      <c r="G35" s="27" t="str">
        <f>IF($A35&lt;&gt;"", (IF('3Replacement Costs - Entry'!L36="Y",((($B35*$D35)*((1+$B$5)^G$7))*(1/((1+$F$5)^G$7))),0)), "")</f>
        <v/>
      </c>
      <c r="H35" s="27" t="str">
        <f>IF($A35&lt;&gt;"", (IF('3Replacement Costs - Entry'!M36="Y",((($B35*$D35)*((1+$B$5)^H$7))*(1/((1+$F$5)^H$7))),0)), "")</f>
        <v/>
      </c>
      <c r="I35" s="27" t="str">
        <f>IF($A35&lt;&gt;"", (IF('3Replacement Costs - Entry'!N36="Y",((($B35*$D35)*((1+$B$5)^I$7))*(1/((1+$F$5)^I$7))),0)), "")</f>
        <v/>
      </c>
    </row>
    <row r="36" spans="1:9">
      <c r="A36" s="29" t="str">
        <f>IF('3Capital Costs'!A37&lt;&gt;"", '3Capital Costs'!A37, "")</f>
        <v/>
      </c>
      <c r="B36" s="3" t="str">
        <f>IF('3Capital Costs'!B37&lt;&gt;"", '3Capital Costs'!B37, "")</f>
        <v/>
      </c>
      <c r="C36" s="46" t="str">
        <f>IF('3Capital Costs'!C37&lt;&gt;"", '3Capital Costs'!C37, "")</f>
        <v/>
      </c>
      <c r="D36" s="47" t="str">
        <f>IF('3Capital Costs'!D37&lt;&gt;"", '3Capital Costs'!D37, "")</f>
        <v/>
      </c>
      <c r="E36" s="27" t="str">
        <f>IF($A36&lt;&gt;"", (IF('3Replacement Costs - Entry'!J37="Y",((($B36*$D36)*((1+$B$5)^E$7))*(1/((1+$F$5)^E$7))),0)), "")</f>
        <v/>
      </c>
      <c r="F36" s="27" t="str">
        <f>IF($A36&lt;&gt;"", (IF('3Replacement Costs - Entry'!K37="Y",((($B36*$D36)*((1+$B$5)^F$7))*(1/((1+$F$5)^F$7))),0)), "")</f>
        <v/>
      </c>
      <c r="G36" s="27" t="str">
        <f>IF($A36&lt;&gt;"", (IF('3Replacement Costs - Entry'!L37="Y",((($B36*$D36)*((1+$B$5)^G$7))*(1/((1+$F$5)^G$7))),0)), "")</f>
        <v/>
      </c>
      <c r="H36" s="27" t="str">
        <f>IF($A36&lt;&gt;"", (IF('3Replacement Costs - Entry'!M37="Y",((($B36*$D36)*((1+$B$5)^H$7))*(1/((1+$F$5)^H$7))),0)), "")</f>
        <v/>
      </c>
      <c r="I36" s="27" t="str">
        <f>IF($A36&lt;&gt;"", (IF('3Replacement Costs - Entry'!N37="Y",((($B36*$D36)*((1+$B$5)^I$7))*(1/((1+$F$5)^I$7))),0)), "")</f>
        <v/>
      </c>
    </row>
    <row r="37" spans="1:9">
      <c r="A37" s="23"/>
      <c r="B37" s="23"/>
      <c r="C37" s="23"/>
      <c r="D37" s="36" t="s">
        <v>49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159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'3Capital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'3Replace Costs - Results 1-5'!A5</f>
        <v>Current Inflation Rate based on Construction Cost Index:</v>
      </c>
      <c r="B5" s="69">
        <f>'3Replace Costs - Results 1-5'!B5</f>
        <v>2.0671834625323047E-2</v>
      </c>
      <c r="C5" s="67"/>
      <c r="D5" s="67"/>
      <c r="E5" s="70" t="s">
        <v>43</v>
      </c>
      <c r="F5" s="72">
        <f>'3Replace Costs - Results 1-5'!F5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6</v>
      </c>
      <c r="F7" s="26">
        <v>7</v>
      </c>
      <c r="G7" s="26">
        <v>8</v>
      </c>
      <c r="H7" s="26">
        <v>9</v>
      </c>
      <c r="I7" s="26">
        <v>10</v>
      </c>
    </row>
    <row r="8" spans="1:9">
      <c r="A8" s="29" t="str">
        <f>IF('3Capital Costs'!A9&lt;&gt;"", '3Capital Costs'!A9, "")</f>
        <v/>
      </c>
      <c r="B8" s="3" t="str">
        <f>IF('3Capital Costs'!B9&lt;&gt;"", '3Capital Costs'!B9, "")</f>
        <v/>
      </c>
      <c r="C8" s="46" t="str">
        <f>IF('3Capital Costs'!C9&lt;&gt;"", '3Capital Costs'!C9, "")</f>
        <v/>
      </c>
      <c r="D8" s="47" t="str">
        <f>IF('3Capital Costs'!D9&lt;&gt;"", '3Capital Costs'!D9, "")</f>
        <v/>
      </c>
      <c r="E8" s="27" t="str">
        <f>IF($A8&lt;&gt;"", (IF('3Replacement Costs - Entry'!O9="Y",((($B8*$D8)*((1+$B$5)^E$7))*(1/((1+$F$5)^E$7))),0)), "")</f>
        <v/>
      </c>
      <c r="F8" s="27" t="str">
        <f>IF($A8&lt;&gt;"", (IF('3Replacement Costs - Entry'!P9="Y",((($B8*$D8)*((1+$B$5)^F$7))*(1/((1+$F$5)^F$7))),0)), "")</f>
        <v/>
      </c>
      <c r="G8" s="27" t="str">
        <f>IF($A8&lt;&gt;"", (IF('3Replacement Costs - Entry'!Q9="Y",((($B8*$D8)*((1+$B$5)^G$7))*(1/((1+$F$5)^G$7))),0)), "")</f>
        <v/>
      </c>
      <c r="H8" s="27" t="str">
        <f>IF($A8&lt;&gt;"", (IF('3Replacement Costs - Entry'!R9="Y",((($B8*$D8)*((1+$B$5)^H$7))*(1/((1+$F$5)^H$7))),0)), "")</f>
        <v/>
      </c>
      <c r="I8" s="27" t="str">
        <f>IF($A8&lt;&gt;"", (IF('3Replacement Costs - Entry'!S9="Y",((($B8*$D8)*((1+$B$5)^I$7))*(1/((1+$F$5)^I$7))),0)), "")</f>
        <v/>
      </c>
    </row>
    <row r="9" spans="1:9">
      <c r="A9" s="29" t="str">
        <f>IF('3Capital Costs'!A10&lt;&gt;"", '3Capital Costs'!A10, "")</f>
        <v/>
      </c>
      <c r="B9" s="3" t="str">
        <f>IF('3Capital Costs'!B10&lt;&gt;"", '3Capital Costs'!B10, "")</f>
        <v/>
      </c>
      <c r="C9" s="46" t="str">
        <f>IF('3Capital Costs'!C10&lt;&gt;"", '3Capital Costs'!C10, "")</f>
        <v/>
      </c>
      <c r="D9" s="47" t="str">
        <f>IF('3Capital Costs'!D10&lt;&gt;"", '3Capital Costs'!D10, "")</f>
        <v/>
      </c>
      <c r="E9" s="27" t="str">
        <f>IF($A9&lt;&gt;"", (IF('3Replacement Costs - Entry'!O10="Y",((($B9*$D9)*((1+$B$5)^E$7))*(1/((1+$F$5)^E$7))),0)), "")</f>
        <v/>
      </c>
      <c r="F9" s="27" t="str">
        <f>IF($A9&lt;&gt;"", (IF('3Replacement Costs - Entry'!P10="Y",((($B9*$D9)*((1+$B$5)^F$7))*(1/((1+$F$5)^F$7))),0)), "")</f>
        <v/>
      </c>
      <c r="G9" s="27" t="str">
        <f>IF($A9&lt;&gt;"", (IF('3Replacement Costs - Entry'!Q10="Y",((($B9*$D9)*((1+$B$5)^G$7))*(1/((1+$F$5)^G$7))),0)), "")</f>
        <v/>
      </c>
      <c r="H9" s="27" t="str">
        <f>IF($A9&lt;&gt;"", (IF('3Replacement Costs - Entry'!R10="Y",((($B9*$D9)*((1+$B$5)^H$7))*(1/((1+$F$5)^H$7))),0)), "")</f>
        <v/>
      </c>
      <c r="I9" s="27" t="str">
        <f>IF($A9&lt;&gt;"", (IF('3Replacement Costs - Entry'!S10="Y",((($B9*$D9)*((1+$B$5)^I$7))*(1/((1+$F$5)^I$7))),0)), "")</f>
        <v/>
      </c>
    </row>
    <row r="10" spans="1:9">
      <c r="A10" s="29" t="str">
        <f>IF('3Capital Costs'!A11&lt;&gt;"", '3Capital Costs'!A11, "")</f>
        <v/>
      </c>
      <c r="B10" s="3" t="str">
        <f>IF('3Capital Costs'!B11&lt;&gt;"", '3Capital Costs'!B11, "")</f>
        <v/>
      </c>
      <c r="C10" s="46" t="str">
        <f>IF('3Capital Costs'!C11&lt;&gt;"", '3Capital Costs'!C11, "")</f>
        <v/>
      </c>
      <c r="D10" s="47" t="str">
        <f>IF('3Capital Costs'!D11&lt;&gt;"", '3Capital Costs'!D11, "")</f>
        <v/>
      </c>
      <c r="E10" s="27" t="str">
        <f>IF($A10&lt;&gt;"", (IF('3Replacement Costs - Entry'!O11="Y",((($B10*$D10)*((1+$B$5)^E$7))*(1/((1+$F$5)^E$7))),0)), "")</f>
        <v/>
      </c>
      <c r="F10" s="27" t="str">
        <f>IF($A10&lt;&gt;"", (IF('3Replacement Costs - Entry'!P11="Y",((($B10*$D10)*((1+$B$5)^F$7))*(1/((1+$F$5)^F$7))),0)), "")</f>
        <v/>
      </c>
      <c r="G10" s="27" t="str">
        <f>IF($A10&lt;&gt;"", (IF('3Replacement Costs - Entry'!Q11="Y",((($B10*$D10)*((1+$B$5)^G$7))*(1/((1+$F$5)^G$7))),0)), "")</f>
        <v/>
      </c>
      <c r="H10" s="27" t="str">
        <f>IF($A10&lt;&gt;"", (IF('3Replacement Costs - Entry'!R11="Y",((($B10*$D10)*((1+$B$5)^H$7))*(1/((1+$F$5)^H$7))),0)), "")</f>
        <v/>
      </c>
      <c r="I10" s="27" t="str">
        <f>IF($A10&lt;&gt;"", (IF('3Replacement Costs - Entry'!S11="Y",((($B10*$D10)*((1+$B$5)^I$7))*(1/((1+$F$5)^I$7))),0)), "")</f>
        <v/>
      </c>
    </row>
    <row r="11" spans="1:9">
      <c r="A11" s="29" t="str">
        <f>IF('3Capital Costs'!A12&lt;&gt;"", '3Capital Costs'!A12, "")</f>
        <v/>
      </c>
      <c r="B11" s="3" t="str">
        <f>IF('3Capital Costs'!B12&lt;&gt;"", '3Capital Costs'!B12, "")</f>
        <v/>
      </c>
      <c r="C11" s="46" t="str">
        <f>IF('3Capital Costs'!C12&lt;&gt;"", '3Capital Costs'!C12, "")</f>
        <v/>
      </c>
      <c r="D11" s="47" t="str">
        <f>IF('3Capital Costs'!D12&lt;&gt;"", '3Capital Costs'!D12, "")</f>
        <v/>
      </c>
      <c r="E11" s="27" t="str">
        <f>IF($A11&lt;&gt;"", (IF('3Replacement Costs - Entry'!O12="Y",((($B11*$D11)*((1+$B$5)^E$7))*(1/((1+$F$5)^E$7))),0)), "")</f>
        <v/>
      </c>
      <c r="F11" s="27" t="str">
        <f>IF($A11&lt;&gt;"", (IF('3Replacement Costs - Entry'!P12="Y",((($B11*$D11)*((1+$B$5)^F$7))*(1/((1+$F$5)^F$7))),0)), "")</f>
        <v/>
      </c>
      <c r="G11" s="27" t="str">
        <f>IF($A11&lt;&gt;"", (IF('3Replacement Costs - Entry'!Q12="Y",((($B11*$D11)*((1+$B$5)^G$7))*(1/((1+$F$5)^G$7))),0)), "")</f>
        <v/>
      </c>
      <c r="H11" s="27" t="str">
        <f>IF($A11&lt;&gt;"", (IF('3Replacement Costs - Entry'!R12="Y",((($B11*$D11)*((1+$B$5)^H$7))*(1/((1+$F$5)^H$7))),0)), "")</f>
        <v/>
      </c>
      <c r="I11" s="27" t="str">
        <f>IF($A11&lt;&gt;"", (IF('3Replacement Costs - Entry'!S12="Y",((($B11*$D11)*((1+$B$5)^I$7))*(1/((1+$F$5)^I$7))),0)), "")</f>
        <v/>
      </c>
    </row>
    <row r="12" spans="1:9">
      <c r="A12" s="29" t="str">
        <f>IF('3Capital Costs'!A13&lt;&gt;"", '3Capital Costs'!A13, "")</f>
        <v/>
      </c>
      <c r="B12" s="3" t="str">
        <f>IF('3Capital Costs'!B13&lt;&gt;"", '3Capital Costs'!B13, "")</f>
        <v/>
      </c>
      <c r="C12" s="46" t="str">
        <f>IF('3Capital Costs'!C13&lt;&gt;"", '3Capital Costs'!C13, "")</f>
        <v/>
      </c>
      <c r="D12" s="47" t="str">
        <f>IF('3Capital Costs'!D13&lt;&gt;"", '3Capital Costs'!D13, "")</f>
        <v/>
      </c>
      <c r="E12" s="27" t="str">
        <f>IF($A12&lt;&gt;"", (IF('3Replacement Costs - Entry'!O13="Y",((($B12*$D12)*((1+$B$5)^E$7))*(1/((1+$F$5)^E$7))),0)), "")</f>
        <v/>
      </c>
      <c r="F12" s="27" t="str">
        <f>IF($A12&lt;&gt;"", (IF('3Replacement Costs - Entry'!P13="Y",((($B12*$D12)*((1+$B$5)^F$7))*(1/((1+$F$5)^F$7))),0)), "")</f>
        <v/>
      </c>
      <c r="G12" s="27" t="str">
        <f>IF($A12&lt;&gt;"", (IF('3Replacement Costs - Entry'!Q13="Y",((($B12*$D12)*((1+$B$5)^G$7))*(1/((1+$F$5)^G$7))),0)), "")</f>
        <v/>
      </c>
      <c r="H12" s="27" t="str">
        <f>IF($A12&lt;&gt;"", (IF('3Replacement Costs - Entry'!R13="Y",((($B12*$D12)*((1+$B$5)^H$7))*(1/((1+$F$5)^H$7))),0)), "")</f>
        <v/>
      </c>
      <c r="I12" s="27" t="str">
        <f>IF($A12&lt;&gt;"", (IF('3Replacement Costs - Entry'!S13="Y",((($B12*$D12)*((1+$B$5)^I$7))*(1/((1+$F$5)^I$7))),0)), "")</f>
        <v/>
      </c>
    </row>
    <row r="13" spans="1:9">
      <c r="A13" s="29" t="str">
        <f>IF('3Capital Costs'!A14&lt;&gt;"", '3Capital Costs'!A14, "")</f>
        <v/>
      </c>
      <c r="B13" s="3" t="str">
        <f>IF('3Capital Costs'!B14&lt;&gt;"", '3Capital Costs'!B14, "")</f>
        <v/>
      </c>
      <c r="C13" s="46" t="str">
        <f>IF('3Capital Costs'!C14&lt;&gt;"", '3Capital Costs'!C14, "")</f>
        <v/>
      </c>
      <c r="D13" s="47" t="str">
        <f>IF('3Capital Costs'!D14&lt;&gt;"", '3Capital Costs'!D14, "")</f>
        <v/>
      </c>
      <c r="E13" s="27" t="str">
        <f>IF($A13&lt;&gt;"", (IF('3Replacement Costs - Entry'!O14="Y",((($B13*$D13)*((1+$B$5)^E$7))*(1/((1+$F$5)^E$7))),0)), "")</f>
        <v/>
      </c>
      <c r="F13" s="27" t="str">
        <f>IF($A13&lt;&gt;"", (IF('3Replacement Costs - Entry'!P14="Y",((($B13*$D13)*((1+$B$5)^F$7))*(1/((1+$F$5)^F$7))),0)), "")</f>
        <v/>
      </c>
      <c r="G13" s="27" t="str">
        <f>IF($A13&lt;&gt;"", (IF('3Replacement Costs - Entry'!Q14="Y",((($B13*$D13)*((1+$B$5)^G$7))*(1/((1+$F$5)^G$7))),0)), "")</f>
        <v/>
      </c>
      <c r="H13" s="27" t="str">
        <f>IF($A13&lt;&gt;"", (IF('3Replacement Costs - Entry'!R14="Y",((($B13*$D13)*((1+$B$5)^H$7))*(1/((1+$F$5)^H$7))),0)), "")</f>
        <v/>
      </c>
      <c r="I13" s="27" t="str">
        <f>IF($A13&lt;&gt;"", (IF('3Replacement Costs - Entry'!S14="Y",((($B13*$D13)*((1+$B$5)^I$7))*(1/((1+$F$5)^I$7))),0)), "")</f>
        <v/>
      </c>
    </row>
    <row r="14" spans="1:9">
      <c r="A14" s="29" t="str">
        <f>IF('3Capital Costs'!A15&lt;&gt;"", '3Capital Costs'!A15, "")</f>
        <v/>
      </c>
      <c r="B14" s="3" t="str">
        <f>IF('3Capital Costs'!B15&lt;&gt;"", '3Capital Costs'!B15, "")</f>
        <v/>
      </c>
      <c r="C14" s="46" t="str">
        <f>IF('3Capital Costs'!C15&lt;&gt;"", '3Capital Costs'!C15, "")</f>
        <v/>
      </c>
      <c r="D14" s="47" t="str">
        <f>IF('3Capital Costs'!D15&lt;&gt;"", '3Capital Costs'!D15, "")</f>
        <v/>
      </c>
      <c r="E14" s="27" t="str">
        <f>IF($A14&lt;&gt;"", (IF('3Replacement Costs - Entry'!O15="Y",((($B14*$D14)*((1+$B$5)^E$7))*(1/((1+$F$5)^E$7))),0)), "")</f>
        <v/>
      </c>
      <c r="F14" s="27" t="str">
        <f>IF($A14&lt;&gt;"", (IF('3Replacement Costs - Entry'!P15="Y",((($B14*$D14)*((1+$B$5)^F$7))*(1/((1+$F$5)^F$7))),0)), "")</f>
        <v/>
      </c>
      <c r="G14" s="27" t="str">
        <f>IF($A14&lt;&gt;"", (IF('3Replacement Costs - Entry'!Q15="Y",((($B14*$D14)*((1+$B$5)^G$7))*(1/((1+$F$5)^G$7))),0)), "")</f>
        <v/>
      </c>
      <c r="H14" s="27" t="str">
        <f>IF($A14&lt;&gt;"", (IF('3Replacement Costs - Entry'!R15="Y",((($B14*$D14)*((1+$B$5)^H$7))*(1/((1+$F$5)^H$7))),0)), "")</f>
        <v/>
      </c>
      <c r="I14" s="27" t="str">
        <f>IF($A14&lt;&gt;"", (IF('3Replacement Costs - Entry'!S15="Y",((($B14*$D14)*((1+$B$5)^I$7))*(1/((1+$F$5)^I$7))),0)), "")</f>
        <v/>
      </c>
    </row>
    <row r="15" spans="1:9">
      <c r="A15" s="29" t="str">
        <f>IF('3Capital Costs'!A16&lt;&gt;"", '3Capital Costs'!A16, "")</f>
        <v/>
      </c>
      <c r="B15" s="3" t="str">
        <f>IF('3Capital Costs'!B16&lt;&gt;"", '3Capital Costs'!B16, "")</f>
        <v/>
      </c>
      <c r="C15" s="46" t="str">
        <f>IF('3Capital Costs'!C16&lt;&gt;"", '3Capital Costs'!C16, "")</f>
        <v/>
      </c>
      <c r="D15" s="47" t="str">
        <f>IF('3Capital Costs'!D16&lt;&gt;"", '3Capital Costs'!D16, "")</f>
        <v/>
      </c>
      <c r="E15" s="27" t="str">
        <f>IF($A15&lt;&gt;"", (IF('3Replacement Costs - Entry'!O16="Y",((($B15*$D15)*((1+$B$5)^E$7))*(1/((1+$F$5)^E$7))),0)), "")</f>
        <v/>
      </c>
      <c r="F15" s="27" t="str">
        <f>IF($A15&lt;&gt;"", (IF('3Replacement Costs - Entry'!P16="Y",((($B15*$D15)*((1+$B$5)^F$7))*(1/((1+$F$5)^F$7))),0)), "")</f>
        <v/>
      </c>
      <c r="G15" s="27" t="str">
        <f>IF($A15&lt;&gt;"", (IF('3Replacement Costs - Entry'!Q16="Y",((($B15*$D15)*((1+$B$5)^G$7))*(1/((1+$F$5)^G$7))),0)), "")</f>
        <v/>
      </c>
      <c r="H15" s="27" t="str">
        <f>IF($A15&lt;&gt;"", (IF('3Replacement Costs - Entry'!R16="Y",((($B15*$D15)*((1+$B$5)^H$7))*(1/((1+$F$5)^H$7))),0)), "")</f>
        <v/>
      </c>
      <c r="I15" s="27" t="str">
        <f>IF($A15&lt;&gt;"", (IF('3Replacement Costs - Entry'!S16="Y",((($B15*$D15)*((1+$B$5)^I$7))*(1/((1+$F$5)^I$7))),0)), "")</f>
        <v/>
      </c>
    </row>
    <row r="16" spans="1:9">
      <c r="A16" s="29" t="str">
        <f>IF('3Capital Costs'!A17&lt;&gt;"", '3Capital Costs'!A17, "")</f>
        <v/>
      </c>
      <c r="B16" s="3" t="str">
        <f>IF('3Capital Costs'!B17&lt;&gt;"", '3Capital Costs'!B17, "")</f>
        <v/>
      </c>
      <c r="C16" s="46" t="str">
        <f>IF('3Capital Costs'!C17&lt;&gt;"", '3Capital Costs'!C17, "")</f>
        <v/>
      </c>
      <c r="D16" s="47" t="str">
        <f>IF('3Capital Costs'!D17&lt;&gt;"", '3Capital Costs'!D17, "")</f>
        <v/>
      </c>
      <c r="E16" s="27" t="str">
        <f>IF($A16&lt;&gt;"", (IF('3Replacement Costs - Entry'!O17="Y",((($B16*$D16)*((1+$B$5)^E$7))*(1/((1+$F$5)^E$7))),0)), "")</f>
        <v/>
      </c>
      <c r="F16" s="27" t="str">
        <f>IF($A16&lt;&gt;"", (IF('3Replacement Costs - Entry'!P17="Y",((($B16*$D16)*((1+$B$5)^F$7))*(1/((1+$F$5)^F$7))),0)), "")</f>
        <v/>
      </c>
      <c r="G16" s="27" t="str">
        <f>IF($A16&lt;&gt;"", (IF('3Replacement Costs - Entry'!Q17="Y",((($B16*$D16)*((1+$B$5)^G$7))*(1/((1+$F$5)^G$7))),0)), "")</f>
        <v/>
      </c>
      <c r="H16" s="27" t="str">
        <f>IF($A16&lt;&gt;"", (IF('3Replacement Costs - Entry'!R17="Y",((($B16*$D16)*((1+$B$5)^H$7))*(1/((1+$F$5)^H$7))),0)), "")</f>
        <v/>
      </c>
      <c r="I16" s="27" t="str">
        <f>IF($A16&lt;&gt;"", (IF('3Replacement Costs - Entry'!S17="Y",((($B16*$D16)*((1+$B$5)^I$7))*(1/((1+$F$5)^I$7))),0)), "")</f>
        <v/>
      </c>
    </row>
    <row r="17" spans="1:9">
      <c r="A17" s="29" t="str">
        <f>IF('3Capital Costs'!A18&lt;&gt;"", '3Capital Costs'!A18, "")</f>
        <v/>
      </c>
      <c r="B17" s="3" t="str">
        <f>IF('3Capital Costs'!B18&lt;&gt;"", '3Capital Costs'!B18, "")</f>
        <v/>
      </c>
      <c r="C17" s="46" t="str">
        <f>IF('3Capital Costs'!C18&lt;&gt;"", '3Capital Costs'!C18, "")</f>
        <v/>
      </c>
      <c r="D17" s="47" t="str">
        <f>IF('3Capital Costs'!D18&lt;&gt;"", '3Capital Costs'!D18, "")</f>
        <v/>
      </c>
      <c r="E17" s="27" t="str">
        <f>IF($A17&lt;&gt;"", (IF('3Replacement Costs - Entry'!O18="Y",((($B17*$D17)*((1+$B$5)^E$7))*(1/((1+$F$5)^E$7))),0)), "")</f>
        <v/>
      </c>
      <c r="F17" s="27" t="str">
        <f>IF($A17&lt;&gt;"", (IF('3Replacement Costs - Entry'!P18="Y",((($B17*$D17)*((1+$B$5)^F$7))*(1/((1+$F$5)^F$7))),0)), "")</f>
        <v/>
      </c>
      <c r="G17" s="27" t="str">
        <f>IF($A17&lt;&gt;"", (IF('3Replacement Costs - Entry'!Q18="Y",((($B17*$D17)*((1+$B$5)^G$7))*(1/((1+$F$5)^G$7))),0)), "")</f>
        <v/>
      </c>
      <c r="H17" s="27" t="str">
        <f>IF($A17&lt;&gt;"", (IF('3Replacement Costs - Entry'!R18="Y",((($B17*$D17)*((1+$B$5)^H$7))*(1/((1+$F$5)^H$7))),0)), "")</f>
        <v/>
      </c>
      <c r="I17" s="27" t="str">
        <f>IF($A17&lt;&gt;"", (IF('3Replacement Costs - Entry'!S18="Y",((($B17*$D17)*((1+$B$5)^I$7))*(1/((1+$F$5)^I$7))),0)), "")</f>
        <v/>
      </c>
    </row>
    <row r="18" spans="1:9">
      <c r="A18" s="29" t="str">
        <f>IF('3Capital Costs'!A19&lt;&gt;"", '3Capital Costs'!A19, "")</f>
        <v/>
      </c>
      <c r="B18" s="3" t="str">
        <f>IF('3Capital Costs'!B19&lt;&gt;"", '3Capital Costs'!B19, "")</f>
        <v/>
      </c>
      <c r="C18" s="46" t="str">
        <f>IF('3Capital Costs'!C19&lt;&gt;"", '3Capital Costs'!C19, "")</f>
        <v/>
      </c>
      <c r="D18" s="47" t="str">
        <f>IF('3Capital Costs'!D19&lt;&gt;"", '3Capital Costs'!D19, "")</f>
        <v/>
      </c>
      <c r="E18" s="27" t="str">
        <f>IF($A18&lt;&gt;"", (IF('3Replacement Costs - Entry'!O19="Y",((($B18*$D18)*((1+$B$5)^E$7))*(1/((1+$F$5)^E$7))),0)), "")</f>
        <v/>
      </c>
      <c r="F18" s="27" t="str">
        <f>IF($A18&lt;&gt;"", (IF('3Replacement Costs - Entry'!P19="Y",((($B18*$D18)*((1+$B$5)^F$7))*(1/((1+$F$5)^F$7))),0)), "")</f>
        <v/>
      </c>
      <c r="G18" s="27" t="str">
        <f>IF($A18&lt;&gt;"", (IF('3Replacement Costs - Entry'!Q19="Y",((($B18*$D18)*((1+$B$5)^G$7))*(1/((1+$F$5)^G$7))),0)), "")</f>
        <v/>
      </c>
      <c r="H18" s="27" t="str">
        <f>IF($A18&lt;&gt;"", (IF('3Replacement Costs - Entry'!R19="Y",((($B18*$D18)*((1+$B$5)^H$7))*(1/((1+$F$5)^H$7))),0)), "")</f>
        <v/>
      </c>
      <c r="I18" s="27" t="str">
        <f>IF($A18&lt;&gt;"", (IF('3Replacement Costs - Entry'!S19="Y",((($B18*$D18)*((1+$B$5)^I$7))*(1/((1+$F$5)^I$7))),0)), "")</f>
        <v/>
      </c>
    </row>
    <row r="19" spans="1:9">
      <c r="A19" s="29" t="str">
        <f>IF('3Capital Costs'!A20&lt;&gt;"", '3Capital Costs'!A20, "")</f>
        <v/>
      </c>
      <c r="B19" s="3" t="str">
        <f>IF('3Capital Costs'!B20&lt;&gt;"", '3Capital Costs'!B20, "")</f>
        <v/>
      </c>
      <c r="C19" s="46" t="str">
        <f>IF('3Capital Costs'!C20&lt;&gt;"", '3Capital Costs'!C20, "")</f>
        <v/>
      </c>
      <c r="D19" s="47" t="str">
        <f>IF('3Capital Costs'!D20&lt;&gt;"", '3Capital Costs'!D20, "")</f>
        <v/>
      </c>
      <c r="E19" s="27" t="str">
        <f>IF($A19&lt;&gt;"", (IF('3Replacement Costs - Entry'!O20="Y",((($B19*$D19)*((1+$B$5)^E$7))*(1/((1+$F$5)^E$7))),0)), "")</f>
        <v/>
      </c>
      <c r="F19" s="27" t="str">
        <f>IF($A19&lt;&gt;"", (IF('3Replacement Costs - Entry'!P20="Y",((($B19*$D19)*((1+$B$5)^F$7))*(1/((1+$F$5)^F$7))),0)), "")</f>
        <v/>
      </c>
      <c r="G19" s="27" t="str">
        <f>IF($A19&lt;&gt;"", (IF('3Replacement Costs - Entry'!Q20="Y",((($B19*$D19)*((1+$B$5)^G$7))*(1/((1+$F$5)^G$7))),0)), "")</f>
        <v/>
      </c>
      <c r="H19" s="27" t="str">
        <f>IF($A19&lt;&gt;"", (IF('3Replacement Costs - Entry'!R20="Y",((($B19*$D19)*((1+$B$5)^H$7))*(1/((1+$F$5)^H$7))),0)), "")</f>
        <v/>
      </c>
      <c r="I19" s="27" t="str">
        <f>IF($A19&lt;&gt;"", (IF('3Replacement Costs - Entry'!S20="Y",((($B19*$D19)*((1+$B$5)^I$7))*(1/((1+$F$5)^I$7))),0)), "")</f>
        <v/>
      </c>
    </row>
    <row r="20" spans="1:9">
      <c r="A20" s="29" t="str">
        <f>IF('3Capital Costs'!A21&lt;&gt;"", '3Capital Costs'!A21, "")</f>
        <v/>
      </c>
      <c r="B20" s="3" t="str">
        <f>IF('3Capital Costs'!B21&lt;&gt;"", '3Capital Costs'!B21, "")</f>
        <v/>
      </c>
      <c r="C20" s="46" t="str">
        <f>IF('3Capital Costs'!C21&lt;&gt;"", '3Capital Costs'!C21, "")</f>
        <v/>
      </c>
      <c r="D20" s="47" t="str">
        <f>IF('3Capital Costs'!D21&lt;&gt;"", '3Capital Costs'!D21, "")</f>
        <v/>
      </c>
      <c r="E20" s="27" t="str">
        <f>IF($A20&lt;&gt;"", (IF('3Replacement Costs - Entry'!O21="Y",((($B20*$D20)*((1+$B$5)^E$7))*(1/((1+$F$5)^E$7))),0)), "")</f>
        <v/>
      </c>
      <c r="F20" s="27" t="str">
        <f>IF($A20&lt;&gt;"", (IF('3Replacement Costs - Entry'!P21="Y",((($B20*$D20)*((1+$B$5)^F$7))*(1/((1+$F$5)^F$7))),0)), "")</f>
        <v/>
      </c>
      <c r="G20" s="27" t="str">
        <f>IF($A20&lt;&gt;"", (IF('3Replacement Costs - Entry'!Q21="Y",((($B20*$D20)*((1+$B$5)^G$7))*(1/((1+$F$5)^G$7))),0)), "")</f>
        <v/>
      </c>
      <c r="H20" s="27" t="str">
        <f>IF($A20&lt;&gt;"", (IF('3Replacement Costs - Entry'!R21="Y",((($B20*$D20)*((1+$B$5)^H$7))*(1/((1+$F$5)^H$7))),0)), "")</f>
        <v/>
      </c>
      <c r="I20" s="27" t="str">
        <f>IF($A20&lt;&gt;"", (IF('3Replacement Costs - Entry'!S21="Y",((($B20*$D20)*((1+$B$5)^I$7))*(1/((1+$F$5)^I$7))),0)), "")</f>
        <v/>
      </c>
    </row>
    <row r="21" spans="1:9">
      <c r="A21" s="29" t="str">
        <f>IF('3Capital Costs'!A22&lt;&gt;"", '3Capital Costs'!A22, "")</f>
        <v/>
      </c>
      <c r="B21" s="3" t="str">
        <f>IF('3Capital Costs'!B22&lt;&gt;"", '3Capital Costs'!B22, "")</f>
        <v/>
      </c>
      <c r="C21" s="46" t="str">
        <f>IF('3Capital Costs'!C22&lt;&gt;"", '3Capital Costs'!C22, "")</f>
        <v/>
      </c>
      <c r="D21" s="47" t="str">
        <f>IF('3Capital Costs'!D22&lt;&gt;"", '3Capital Costs'!D22, "")</f>
        <v/>
      </c>
      <c r="E21" s="27" t="str">
        <f>IF($A21&lt;&gt;"", (IF('3Replacement Costs - Entry'!O22="Y",((($B21*$D21)*((1+$B$5)^E$7))*(1/((1+$F$5)^E$7))),0)), "")</f>
        <v/>
      </c>
      <c r="F21" s="27" t="str">
        <f>IF($A21&lt;&gt;"", (IF('3Replacement Costs - Entry'!P22="Y",((($B21*$D21)*((1+$B$5)^F$7))*(1/((1+$F$5)^F$7))),0)), "")</f>
        <v/>
      </c>
      <c r="G21" s="27" t="str">
        <f>IF($A21&lt;&gt;"", (IF('3Replacement Costs - Entry'!Q22="Y",((($B21*$D21)*((1+$B$5)^G$7))*(1/((1+$F$5)^G$7))),0)), "")</f>
        <v/>
      </c>
      <c r="H21" s="27" t="str">
        <f>IF($A21&lt;&gt;"", (IF('3Replacement Costs - Entry'!R22="Y",((($B21*$D21)*((1+$B$5)^H$7))*(1/((1+$F$5)^H$7))),0)), "")</f>
        <v/>
      </c>
      <c r="I21" s="27" t="str">
        <f>IF($A21&lt;&gt;"", (IF('3Replacement Costs - Entry'!S22="Y",((($B21*$D21)*((1+$B$5)^I$7))*(1/((1+$F$5)^I$7))),0)), "")</f>
        <v/>
      </c>
    </row>
    <row r="22" spans="1:9">
      <c r="A22" s="29" t="str">
        <f>IF('3Capital Costs'!A23&lt;&gt;"", '3Capital Costs'!A23, "")</f>
        <v/>
      </c>
      <c r="B22" s="3" t="str">
        <f>IF('3Capital Costs'!B23&lt;&gt;"", '3Capital Costs'!B23, "")</f>
        <v/>
      </c>
      <c r="C22" s="46" t="str">
        <f>IF('3Capital Costs'!C23&lt;&gt;"", '3Capital Costs'!C23, "")</f>
        <v/>
      </c>
      <c r="D22" s="47" t="str">
        <f>IF('3Capital Costs'!D23&lt;&gt;"", '3Capital Costs'!D23, "")</f>
        <v/>
      </c>
      <c r="E22" s="27" t="str">
        <f>IF($A22&lt;&gt;"", (IF('3Replacement Costs - Entry'!O23="Y",((($B22*$D22)*((1+$B$5)^E$7))*(1/((1+$F$5)^E$7))),0)), "")</f>
        <v/>
      </c>
      <c r="F22" s="27" t="str">
        <f>IF($A22&lt;&gt;"", (IF('3Replacement Costs - Entry'!P23="Y",((($B22*$D22)*((1+$B$5)^F$7))*(1/((1+$F$5)^F$7))),0)), "")</f>
        <v/>
      </c>
      <c r="G22" s="27" t="str">
        <f>IF($A22&lt;&gt;"", (IF('3Replacement Costs - Entry'!Q23="Y",((($B22*$D22)*((1+$B$5)^G$7))*(1/((1+$F$5)^G$7))),0)), "")</f>
        <v/>
      </c>
      <c r="H22" s="27" t="str">
        <f>IF($A22&lt;&gt;"", (IF('3Replacement Costs - Entry'!R23="Y",((($B22*$D22)*((1+$B$5)^H$7))*(1/((1+$F$5)^H$7))),0)), "")</f>
        <v/>
      </c>
      <c r="I22" s="27" t="str">
        <f>IF($A22&lt;&gt;"", (IF('3Replacement Costs - Entry'!S23="Y",((($B22*$D22)*((1+$B$5)^I$7))*(1/((1+$F$5)^I$7))),0)), "")</f>
        <v/>
      </c>
    </row>
    <row r="23" spans="1:9">
      <c r="A23" s="29" t="str">
        <f>IF('3Capital Costs'!A24&lt;&gt;"", '3Capital Costs'!A24, "")</f>
        <v/>
      </c>
      <c r="B23" s="3" t="str">
        <f>IF('3Capital Costs'!B24&lt;&gt;"", '3Capital Costs'!B24, "")</f>
        <v/>
      </c>
      <c r="C23" s="46" t="str">
        <f>IF('3Capital Costs'!C24&lt;&gt;"", '3Capital Costs'!C24, "")</f>
        <v/>
      </c>
      <c r="D23" s="47" t="str">
        <f>IF('3Capital Costs'!D24&lt;&gt;"", '3Capital Costs'!D24, "")</f>
        <v/>
      </c>
      <c r="E23" s="27" t="str">
        <f>IF($A23&lt;&gt;"", (IF('3Replacement Costs - Entry'!O24="Y",((($B23*$D23)*((1+$B$5)^E$7))*(1/((1+$F$5)^E$7))),0)), "")</f>
        <v/>
      </c>
      <c r="F23" s="27" t="str">
        <f>IF($A23&lt;&gt;"", (IF('3Replacement Costs - Entry'!P24="Y",((($B23*$D23)*((1+$B$5)^F$7))*(1/((1+$F$5)^F$7))),0)), "")</f>
        <v/>
      </c>
      <c r="G23" s="27" t="str">
        <f>IF($A23&lt;&gt;"", (IF('3Replacement Costs - Entry'!Q24="Y",((($B23*$D23)*((1+$B$5)^G$7))*(1/((1+$F$5)^G$7))),0)), "")</f>
        <v/>
      </c>
      <c r="H23" s="27" t="str">
        <f>IF($A23&lt;&gt;"", (IF('3Replacement Costs - Entry'!R24="Y",((($B23*$D23)*((1+$B$5)^H$7))*(1/((1+$F$5)^H$7))),0)), "")</f>
        <v/>
      </c>
      <c r="I23" s="27" t="str">
        <f>IF($A23&lt;&gt;"", (IF('3Replacement Costs - Entry'!S24="Y",((($B23*$D23)*((1+$B$5)^I$7))*(1/((1+$F$5)^I$7))),0)), "")</f>
        <v/>
      </c>
    </row>
    <row r="24" spans="1:9">
      <c r="A24" s="29" t="str">
        <f>IF('3Capital Costs'!A25&lt;&gt;"", '3Capital Costs'!A25, "")</f>
        <v/>
      </c>
      <c r="B24" s="3" t="str">
        <f>IF('3Capital Costs'!B25&lt;&gt;"", '3Capital Costs'!B25, "")</f>
        <v/>
      </c>
      <c r="C24" s="46" t="str">
        <f>IF('3Capital Costs'!C25&lt;&gt;"", '3Capital Costs'!C25, "")</f>
        <v/>
      </c>
      <c r="D24" s="47" t="str">
        <f>IF('3Capital Costs'!D25&lt;&gt;"", '3Capital Costs'!D25, "")</f>
        <v/>
      </c>
      <c r="E24" s="27" t="str">
        <f>IF($A24&lt;&gt;"", (IF('3Replacement Costs - Entry'!O25="Y",((($B24*$D24)*((1+$B$5)^E$7))*(1/((1+$F$5)^E$7))),0)), "")</f>
        <v/>
      </c>
      <c r="F24" s="27" t="str">
        <f>IF($A24&lt;&gt;"", (IF('3Replacement Costs - Entry'!P25="Y",((($B24*$D24)*((1+$B$5)^F$7))*(1/((1+$F$5)^F$7))),0)), "")</f>
        <v/>
      </c>
      <c r="G24" s="27" t="str">
        <f>IF($A24&lt;&gt;"", (IF('3Replacement Costs - Entry'!Q25="Y",((($B24*$D24)*((1+$B$5)^G$7))*(1/((1+$F$5)^G$7))),0)), "")</f>
        <v/>
      </c>
      <c r="H24" s="27" t="str">
        <f>IF($A24&lt;&gt;"", (IF('3Replacement Costs - Entry'!R25="Y",((($B24*$D24)*((1+$B$5)^H$7))*(1/((1+$F$5)^H$7))),0)), "")</f>
        <v/>
      </c>
      <c r="I24" s="27" t="str">
        <f>IF($A24&lt;&gt;"", (IF('3Replacement Costs - Entry'!S25="Y",((($B24*$D24)*((1+$B$5)^I$7))*(1/((1+$F$5)^I$7))),0)), "")</f>
        <v/>
      </c>
    </row>
    <row r="25" spans="1:9">
      <c r="A25" s="29" t="str">
        <f>IF('3Capital Costs'!A26&lt;&gt;"", '3Capital Costs'!A26, "")</f>
        <v/>
      </c>
      <c r="B25" s="3" t="str">
        <f>IF('3Capital Costs'!B26&lt;&gt;"", '3Capital Costs'!B26, "")</f>
        <v/>
      </c>
      <c r="C25" s="46" t="str">
        <f>IF('3Capital Costs'!C26&lt;&gt;"", '3Capital Costs'!C26, "")</f>
        <v/>
      </c>
      <c r="D25" s="47" t="str">
        <f>IF('3Capital Costs'!D26&lt;&gt;"", '3Capital Costs'!D26, "")</f>
        <v/>
      </c>
      <c r="E25" s="27" t="str">
        <f>IF($A25&lt;&gt;"", (IF('3Replacement Costs - Entry'!O26="Y",((($B25*$D25)*((1+$B$5)^E$7))*(1/((1+$F$5)^E$7))),0)), "")</f>
        <v/>
      </c>
      <c r="F25" s="27" t="str">
        <f>IF($A25&lt;&gt;"", (IF('3Replacement Costs - Entry'!P26="Y",((($B25*$D25)*((1+$B$5)^F$7))*(1/((1+$F$5)^F$7))),0)), "")</f>
        <v/>
      </c>
      <c r="G25" s="27" t="str">
        <f>IF($A25&lt;&gt;"", (IF('3Replacement Costs - Entry'!Q26="Y",((($B25*$D25)*((1+$B$5)^G$7))*(1/((1+$F$5)^G$7))),0)), "")</f>
        <v/>
      </c>
      <c r="H25" s="27" t="str">
        <f>IF($A25&lt;&gt;"", (IF('3Replacement Costs - Entry'!R26="Y",((($B25*$D25)*((1+$B$5)^H$7))*(1/((1+$F$5)^H$7))),0)), "")</f>
        <v/>
      </c>
      <c r="I25" s="27" t="str">
        <f>IF($A25&lt;&gt;"", (IF('3Replacement Costs - Entry'!S26="Y",((($B25*$D25)*((1+$B$5)^I$7))*(1/((1+$F$5)^I$7))),0)), "")</f>
        <v/>
      </c>
    </row>
    <row r="26" spans="1:9">
      <c r="A26" s="29" t="str">
        <f>IF('3Capital Costs'!A27&lt;&gt;"", '3Capital Costs'!A27, "")</f>
        <v/>
      </c>
      <c r="B26" s="3" t="str">
        <f>IF('3Capital Costs'!B27&lt;&gt;"", '3Capital Costs'!B27, "")</f>
        <v/>
      </c>
      <c r="C26" s="46" t="str">
        <f>IF('3Capital Costs'!C27&lt;&gt;"", '3Capital Costs'!C27, "")</f>
        <v/>
      </c>
      <c r="D26" s="47" t="str">
        <f>IF('3Capital Costs'!D27&lt;&gt;"", '3Capital Costs'!D27, "")</f>
        <v/>
      </c>
      <c r="E26" s="27" t="str">
        <f>IF($A26&lt;&gt;"", (IF('3Replacement Costs - Entry'!O27="Y",((($B26*$D26)*((1+$B$5)^E$7))*(1/((1+$F$5)^E$7))),0)), "")</f>
        <v/>
      </c>
      <c r="F26" s="27" t="str">
        <f>IF($A26&lt;&gt;"", (IF('3Replacement Costs - Entry'!P27="Y",((($B26*$D26)*((1+$B$5)^F$7))*(1/((1+$F$5)^F$7))),0)), "")</f>
        <v/>
      </c>
      <c r="G26" s="27" t="str">
        <f>IF($A26&lt;&gt;"", (IF('3Replacement Costs - Entry'!Q27="Y",((($B26*$D26)*((1+$B$5)^G$7))*(1/((1+$F$5)^G$7))),0)), "")</f>
        <v/>
      </c>
      <c r="H26" s="27" t="str">
        <f>IF($A26&lt;&gt;"", (IF('3Replacement Costs - Entry'!R27="Y",((($B26*$D26)*((1+$B$5)^H$7))*(1/((1+$F$5)^H$7))),0)), "")</f>
        <v/>
      </c>
      <c r="I26" s="27" t="str">
        <f>IF($A26&lt;&gt;"", (IF('3Replacement Costs - Entry'!S27="Y",((($B26*$D26)*((1+$B$5)^I$7))*(1/((1+$F$5)^I$7))),0)), "")</f>
        <v/>
      </c>
    </row>
    <row r="27" spans="1:9">
      <c r="A27" s="29" t="str">
        <f>IF('3Capital Costs'!A28&lt;&gt;"", '3Capital Costs'!A28, "")</f>
        <v/>
      </c>
      <c r="B27" s="3" t="str">
        <f>IF('3Capital Costs'!B28&lt;&gt;"", '3Capital Costs'!B28, "")</f>
        <v/>
      </c>
      <c r="C27" s="46" t="str">
        <f>IF('3Capital Costs'!C28&lt;&gt;"", '3Capital Costs'!C28, "")</f>
        <v/>
      </c>
      <c r="D27" s="47" t="str">
        <f>IF('3Capital Costs'!D28&lt;&gt;"", '3Capital Costs'!D28, "")</f>
        <v/>
      </c>
      <c r="E27" s="27" t="str">
        <f>IF($A27&lt;&gt;"", (IF('3Replacement Costs - Entry'!O28="Y",((($B27*$D27)*((1+$B$5)^E$7))*(1/((1+$F$5)^E$7))),0)), "")</f>
        <v/>
      </c>
      <c r="F27" s="27" t="str">
        <f>IF($A27&lt;&gt;"", (IF('3Replacement Costs - Entry'!P28="Y",((($B27*$D27)*((1+$B$5)^F$7))*(1/((1+$F$5)^F$7))),0)), "")</f>
        <v/>
      </c>
      <c r="G27" s="27" t="str">
        <f>IF($A27&lt;&gt;"", (IF('3Replacement Costs - Entry'!Q28="Y",((($B27*$D27)*((1+$B$5)^G$7))*(1/((1+$F$5)^G$7))),0)), "")</f>
        <v/>
      </c>
      <c r="H27" s="27" t="str">
        <f>IF($A27&lt;&gt;"", (IF('3Replacement Costs - Entry'!R28="Y",((($B27*$D27)*((1+$B$5)^H$7))*(1/((1+$F$5)^H$7))),0)), "")</f>
        <v/>
      </c>
      <c r="I27" s="27" t="str">
        <f>IF($A27&lt;&gt;"", (IF('3Replacement Costs - Entry'!S28="Y",((($B27*$D27)*((1+$B$5)^I$7))*(1/((1+$F$5)^I$7))),0)), "")</f>
        <v/>
      </c>
    </row>
    <row r="28" spans="1:9">
      <c r="A28" s="29" t="str">
        <f>IF('3Capital Costs'!A29&lt;&gt;"", '3Capital Costs'!A29, "")</f>
        <v/>
      </c>
      <c r="B28" s="3" t="str">
        <f>IF('3Capital Costs'!B29&lt;&gt;"", '3Capital Costs'!B29, "")</f>
        <v/>
      </c>
      <c r="C28" s="46" t="str">
        <f>IF('3Capital Costs'!C29&lt;&gt;"", '3Capital Costs'!C29, "")</f>
        <v/>
      </c>
      <c r="D28" s="47" t="str">
        <f>IF('3Capital Costs'!D29&lt;&gt;"", '3Capital Costs'!D29, "")</f>
        <v/>
      </c>
      <c r="E28" s="27" t="str">
        <f>IF($A28&lt;&gt;"", (IF('3Replacement Costs - Entry'!O29="Y",((($B28*$D28)*((1+$B$5)^E$7))*(1/((1+$F$5)^E$7))),0)), "")</f>
        <v/>
      </c>
      <c r="F28" s="27" t="str">
        <f>IF($A28&lt;&gt;"", (IF('3Replacement Costs - Entry'!P29="Y",((($B28*$D28)*((1+$B$5)^F$7))*(1/((1+$F$5)^F$7))),0)), "")</f>
        <v/>
      </c>
      <c r="G28" s="27" t="str">
        <f>IF($A28&lt;&gt;"", (IF('3Replacement Costs - Entry'!Q29="Y",((($B28*$D28)*((1+$B$5)^G$7))*(1/((1+$F$5)^G$7))),0)), "")</f>
        <v/>
      </c>
      <c r="H28" s="27" t="str">
        <f>IF($A28&lt;&gt;"", (IF('3Replacement Costs - Entry'!R29="Y",((($B28*$D28)*((1+$B$5)^H$7))*(1/((1+$F$5)^H$7))),0)), "")</f>
        <v/>
      </c>
      <c r="I28" s="27" t="str">
        <f>IF($A28&lt;&gt;"", (IF('3Replacement Costs - Entry'!S29="Y",((($B28*$D28)*((1+$B$5)^I$7))*(1/((1+$F$5)^I$7))),0)), "")</f>
        <v/>
      </c>
    </row>
    <row r="29" spans="1:9">
      <c r="A29" s="29" t="str">
        <f>IF('3Capital Costs'!A30&lt;&gt;"", '3Capital Costs'!A30, "")</f>
        <v/>
      </c>
      <c r="B29" s="3" t="str">
        <f>IF('3Capital Costs'!B30&lt;&gt;"", '3Capital Costs'!B30, "")</f>
        <v/>
      </c>
      <c r="C29" s="46" t="str">
        <f>IF('3Capital Costs'!C30&lt;&gt;"", '3Capital Costs'!C30, "")</f>
        <v/>
      </c>
      <c r="D29" s="47" t="str">
        <f>IF('3Capital Costs'!D30&lt;&gt;"", '3Capital Costs'!D30, "")</f>
        <v/>
      </c>
      <c r="E29" s="27" t="str">
        <f>IF($A29&lt;&gt;"", (IF('3Replacement Costs - Entry'!O30="Y",((($B29*$D29)*((1+$B$5)^E$7))*(1/((1+$F$5)^E$7))),0)), "")</f>
        <v/>
      </c>
      <c r="F29" s="27" t="str">
        <f>IF($A29&lt;&gt;"", (IF('3Replacement Costs - Entry'!P30="Y",((($B29*$D29)*((1+$B$5)^F$7))*(1/((1+$F$5)^F$7))),0)), "")</f>
        <v/>
      </c>
      <c r="G29" s="27" t="str">
        <f>IF($A29&lt;&gt;"", (IF('3Replacement Costs - Entry'!Q30="Y",((($B29*$D29)*((1+$B$5)^G$7))*(1/((1+$F$5)^G$7))),0)), "")</f>
        <v/>
      </c>
      <c r="H29" s="27" t="str">
        <f>IF($A29&lt;&gt;"", (IF('3Replacement Costs - Entry'!R30="Y",((($B29*$D29)*((1+$B$5)^H$7))*(1/((1+$F$5)^H$7))),0)), "")</f>
        <v/>
      </c>
      <c r="I29" s="27" t="str">
        <f>IF($A29&lt;&gt;"", (IF('3Replacement Costs - Entry'!S30="Y",((($B29*$D29)*((1+$B$5)^I$7))*(1/((1+$F$5)^I$7))),0)), "")</f>
        <v/>
      </c>
    </row>
    <row r="30" spans="1:9">
      <c r="A30" s="29" t="str">
        <f>IF('3Capital Costs'!A31&lt;&gt;"", '3Capital Costs'!A31, "")</f>
        <v/>
      </c>
      <c r="B30" s="3" t="str">
        <f>IF('3Capital Costs'!B31&lt;&gt;"", '3Capital Costs'!B31, "")</f>
        <v/>
      </c>
      <c r="C30" s="46" t="str">
        <f>IF('3Capital Costs'!C31&lt;&gt;"", '3Capital Costs'!C31, "")</f>
        <v/>
      </c>
      <c r="D30" s="47" t="str">
        <f>IF('3Capital Costs'!D31&lt;&gt;"", '3Capital Costs'!D31, "")</f>
        <v/>
      </c>
      <c r="E30" s="27" t="str">
        <f>IF($A30&lt;&gt;"", (IF('3Replacement Costs - Entry'!O31="Y",((($B30*$D30)*((1+$B$5)^E$7))*(1/((1+$F$5)^E$7))),0)), "")</f>
        <v/>
      </c>
      <c r="F30" s="27" t="str">
        <f>IF($A30&lt;&gt;"", (IF('3Replacement Costs - Entry'!P31="Y",((($B30*$D30)*((1+$B$5)^F$7))*(1/((1+$F$5)^F$7))),0)), "")</f>
        <v/>
      </c>
      <c r="G30" s="27" t="str">
        <f>IF($A30&lt;&gt;"", (IF('3Replacement Costs - Entry'!Q31="Y",((($B30*$D30)*((1+$B$5)^G$7))*(1/((1+$F$5)^G$7))),0)), "")</f>
        <v/>
      </c>
      <c r="H30" s="27" t="str">
        <f>IF($A30&lt;&gt;"", (IF('3Replacement Costs - Entry'!R31="Y",((($B30*$D30)*((1+$B$5)^H$7))*(1/((1+$F$5)^H$7))),0)), "")</f>
        <v/>
      </c>
      <c r="I30" s="27" t="str">
        <f>IF($A30&lt;&gt;"", (IF('3Replacement Costs - Entry'!S31="Y",((($B30*$D30)*((1+$B$5)^I$7))*(1/((1+$F$5)^I$7))),0)), "")</f>
        <v/>
      </c>
    </row>
    <row r="31" spans="1:9">
      <c r="A31" s="29" t="str">
        <f>IF('3Capital Costs'!A32&lt;&gt;"", '3Capital Costs'!A32, "")</f>
        <v/>
      </c>
      <c r="B31" s="3" t="str">
        <f>IF('3Capital Costs'!B32&lt;&gt;"", '3Capital Costs'!B32, "")</f>
        <v/>
      </c>
      <c r="C31" s="46" t="str">
        <f>IF('3Capital Costs'!C32&lt;&gt;"", '3Capital Costs'!C32, "")</f>
        <v/>
      </c>
      <c r="D31" s="47" t="str">
        <f>IF('3Capital Costs'!D32&lt;&gt;"", '3Capital Costs'!D32, "")</f>
        <v/>
      </c>
      <c r="E31" s="27" t="str">
        <f>IF($A31&lt;&gt;"", (IF('3Replacement Costs - Entry'!O32="Y",((($B31*$D31)*((1+$B$5)^E$7))*(1/((1+$F$5)^E$7))),0)), "")</f>
        <v/>
      </c>
      <c r="F31" s="27" t="str">
        <f>IF($A31&lt;&gt;"", (IF('3Replacement Costs - Entry'!P32="Y",((($B31*$D31)*((1+$B$5)^F$7))*(1/((1+$F$5)^F$7))),0)), "")</f>
        <v/>
      </c>
      <c r="G31" s="27" t="str">
        <f>IF($A31&lt;&gt;"", (IF('3Replacement Costs - Entry'!Q32="Y",((($B31*$D31)*((1+$B$5)^G$7))*(1/((1+$F$5)^G$7))),0)), "")</f>
        <v/>
      </c>
      <c r="H31" s="27" t="str">
        <f>IF($A31&lt;&gt;"", (IF('3Replacement Costs - Entry'!R32="Y",((($B31*$D31)*((1+$B$5)^H$7))*(1/((1+$F$5)^H$7))),0)), "")</f>
        <v/>
      </c>
      <c r="I31" s="27" t="str">
        <f>IF($A31&lt;&gt;"", (IF('3Replacement Costs - Entry'!S32="Y",((($B31*$D31)*((1+$B$5)^I$7))*(1/((1+$F$5)^I$7))),0)), "")</f>
        <v/>
      </c>
    </row>
    <row r="32" spans="1:9">
      <c r="A32" s="29" t="str">
        <f>IF('3Capital Costs'!A33&lt;&gt;"", '3Capital Costs'!A33, "")</f>
        <v/>
      </c>
      <c r="B32" s="3" t="str">
        <f>IF('3Capital Costs'!B33&lt;&gt;"", '3Capital Costs'!B33, "")</f>
        <v/>
      </c>
      <c r="C32" s="46" t="str">
        <f>IF('3Capital Costs'!C33&lt;&gt;"", '3Capital Costs'!C33, "")</f>
        <v/>
      </c>
      <c r="D32" s="47" t="str">
        <f>IF('3Capital Costs'!D33&lt;&gt;"", '3Capital Costs'!D33, "")</f>
        <v/>
      </c>
      <c r="E32" s="27" t="str">
        <f>IF($A32&lt;&gt;"", (IF('3Replacement Costs - Entry'!O33="Y",((($B32*$D32)*((1+$B$5)^E$7))*(1/((1+$F$5)^E$7))),0)), "")</f>
        <v/>
      </c>
      <c r="F32" s="27" t="str">
        <f>IF($A32&lt;&gt;"", (IF('3Replacement Costs - Entry'!P33="Y",((($B32*$D32)*((1+$B$5)^F$7))*(1/((1+$F$5)^F$7))),0)), "")</f>
        <v/>
      </c>
      <c r="G32" s="27" t="str">
        <f>IF($A32&lt;&gt;"", (IF('3Replacement Costs - Entry'!Q33="Y",((($B32*$D32)*((1+$B$5)^G$7))*(1/((1+$F$5)^G$7))),0)), "")</f>
        <v/>
      </c>
      <c r="H32" s="27" t="str">
        <f>IF($A32&lt;&gt;"", (IF('3Replacement Costs - Entry'!R33="Y",((($B32*$D32)*((1+$B$5)^H$7))*(1/((1+$F$5)^H$7))),0)), "")</f>
        <v/>
      </c>
      <c r="I32" s="27" t="str">
        <f>IF($A32&lt;&gt;"", (IF('3Replacement Costs - Entry'!S33="Y",((($B32*$D32)*((1+$B$5)^I$7))*(1/((1+$F$5)^I$7))),0)), "")</f>
        <v/>
      </c>
    </row>
    <row r="33" spans="1:9">
      <c r="A33" s="29" t="str">
        <f>IF('3Capital Costs'!A34&lt;&gt;"", '3Capital Costs'!A34, "")</f>
        <v/>
      </c>
      <c r="B33" s="3" t="str">
        <f>IF('3Capital Costs'!B34&lt;&gt;"", '3Capital Costs'!B34, "")</f>
        <v/>
      </c>
      <c r="C33" s="46" t="str">
        <f>IF('3Capital Costs'!C34&lt;&gt;"", '3Capital Costs'!C34, "")</f>
        <v/>
      </c>
      <c r="D33" s="47" t="str">
        <f>IF('3Capital Costs'!D34&lt;&gt;"", '3Capital Costs'!D34, "")</f>
        <v/>
      </c>
      <c r="E33" s="27" t="str">
        <f>IF($A33&lt;&gt;"", (IF('3Replacement Costs - Entry'!O34="Y",((($B33*$D33)*((1+$B$5)^E$7))*(1/((1+$F$5)^E$7))),0)), "")</f>
        <v/>
      </c>
      <c r="F33" s="27" t="str">
        <f>IF($A33&lt;&gt;"", (IF('3Replacement Costs - Entry'!P34="Y",((($B33*$D33)*((1+$B$5)^F$7))*(1/((1+$F$5)^F$7))),0)), "")</f>
        <v/>
      </c>
      <c r="G33" s="27" t="str">
        <f>IF($A33&lt;&gt;"", (IF('3Replacement Costs - Entry'!Q34="Y",((($B33*$D33)*((1+$B$5)^G$7))*(1/((1+$F$5)^G$7))),0)), "")</f>
        <v/>
      </c>
      <c r="H33" s="27" t="str">
        <f>IF($A33&lt;&gt;"", (IF('3Replacement Costs - Entry'!R34="Y",((($B33*$D33)*((1+$B$5)^H$7))*(1/((1+$F$5)^H$7))),0)), "")</f>
        <v/>
      </c>
      <c r="I33" s="27" t="str">
        <f>IF($A33&lt;&gt;"", (IF('3Replacement Costs - Entry'!S34="Y",((($B33*$D33)*((1+$B$5)^I$7))*(1/((1+$F$5)^I$7))),0)), "")</f>
        <v/>
      </c>
    </row>
    <row r="34" spans="1:9">
      <c r="A34" s="29" t="str">
        <f>IF('3Capital Costs'!A35&lt;&gt;"", '3Capital Costs'!A35, "")</f>
        <v/>
      </c>
      <c r="B34" s="3" t="str">
        <f>IF('3Capital Costs'!B35&lt;&gt;"", '3Capital Costs'!B35, "")</f>
        <v/>
      </c>
      <c r="C34" s="46" t="str">
        <f>IF('3Capital Costs'!C35&lt;&gt;"", '3Capital Costs'!C35, "")</f>
        <v/>
      </c>
      <c r="D34" s="47" t="str">
        <f>IF('3Capital Costs'!D35&lt;&gt;"", '3Capital Costs'!D35, "")</f>
        <v/>
      </c>
      <c r="E34" s="27" t="str">
        <f>IF($A34&lt;&gt;"", (IF('3Replacement Costs - Entry'!O35="Y",((($B34*$D34)*((1+$B$5)^E$7))*(1/((1+$F$5)^E$7))),0)), "")</f>
        <v/>
      </c>
      <c r="F34" s="27" t="str">
        <f>IF($A34&lt;&gt;"", (IF('3Replacement Costs - Entry'!P35="Y",((($B34*$D34)*((1+$B$5)^F$7))*(1/((1+$F$5)^F$7))),0)), "")</f>
        <v/>
      </c>
      <c r="G34" s="27" t="str">
        <f>IF($A34&lt;&gt;"", (IF('3Replacement Costs - Entry'!Q35="Y",((($B34*$D34)*((1+$B$5)^G$7))*(1/((1+$F$5)^G$7))),0)), "")</f>
        <v/>
      </c>
      <c r="H34" s="27" t="str">
        <f>IF($A34&lt;&gt;"", (IF('3Replacement Costs - Entry'!R35="Y",((($B34*$D34)*((1+$B$5)^H$7))*(1/((1+$F$5)^H$7))),0)), "")</f>
        <v/>
      </c>
      <c r="I34" s="27" t="str">
        <f>IF($A34&lt;&gt;"", (IF('3Replacement Costs - Entry'!S35="Y",((($B34*$D34)*((1+$B$5)^I$7))*(1/((1+$F$5)^I$7))),0)), "")</f>
        <v/>
      </c>
    </row>
    <row r="35" spans="1:9">
      <c r="A35" s="29" t="str">
        <f>IF('3Capital Costs'!A36&lt;&gt;"", '3Capital Costs'!A36, "")</f>
        <v/>
      </c>
      <c r="B35" s="3" t="str">
        <f>IF('3Capital Costs'!B36&lt;&gt;"", '3Capital Costs'!B36, "")</f>
        <v/>
      </c>
      <c r="C35" s="46" t="str">
        <f>IF('3Capital Costs'!C36&lt;&gt;"", '3Capital Costs'!C36, "")</f>
        <v/>
      </c>
      <c r="D35" s="47" t="str">
        <f>IF('3Capital Costs'!D36&lt;&gt;"", '3Capital Costs'!D36, "")</f>
        <v/>
      </c>
      <c r="E35" s="27" t="str">
        <f>IF($A35&lt;&gt;"", (IF('3Replacement Costs - Entry'!O36="Y",((($B35*$D35)*((1+$B$5)^E$7))*(1/((1+$F$5)^E$7))),0)), "")</f>
        <v/>
      </c>
      <c r="F35" s="27" t="str">
        <f>IF($A35&lt;&gt;"", (IF('3Replacement Costs - Entry'!P36="Y",((($B35*$D35)*((1+$B$5)^F$7))*(1/((1+$F$5)^F$7))),0)), "")</f>
        <v/>
      </c>
      <c r="G35" s="27" t="str">
        <f>IF($A35&lt;&gt;"", (IF('3Replacement Costs - Entry'!Q36="Y",((($B35*$D35)*((1+$B$5)^G$7))*(1/((1+$F$5)^G$7))),0)), "")</f>
        <v/>
      </c>
      <c r="H35" s="27" t="str">
        <f>IF($A35&lt;&gt;"", (IF('3Replacement Costs - Entry'!R36="Y",((($B35*$D35)*((1+$B$5)^H$7))*(1/((1+$F$5)^H$7))),0)), "")</f>
        <v/>
      </c>
      <c r="I35" s="27" t="str">
        <f>IF($A35&lt;&gt;"", (IF('3Replacement Costs - Entry'!S36="Y",((($B35*$D35)*((1+$B$5)^I$7))*(1/((1+$F$5)^I$7))),0)), "")</f>
        <v/>
      </c>
    </row>
    <row r="36" spans="1:9">
      <c r="A36" s="29" t="str">
        <f>IF('3Capital Costs'!A37&lt;&gt;"", '3Capital Costs'!A37, "")</f>
        <v/>
      </c>
      <c r="B36" s="3" t="str">
        <f>IF('3Capital Costs'!B37&lt;&gt;"", '3Capital Costs'!B37, "")</f>
        <v/>
      </c>
      <c r="C36" s="46" t="str">
        <f>IF('3Capital Costs'!C37&lt;&gt;"", '3Capital Costs'!C37, "")</f>
        <v/>
      </c>
      <c r="D36" s="47" t="str">
        <f>IF('3Capital Costs'!D37&lt;&gt;"", '3Capital Costs'!D37, "")</f>
        <v/>
      </c>
      <c r="E36" s="27" t="str">
        <f>IF($A36&lt;&gt;"", (IF('3Replacement Costs - Entry'!O37="Y",((($B36*$D36)*((1+$B$5)^E$7))*(1/((1+$F$5)^E$7))),0)), "")</f>
        <v/>
      </c>
      <c r="F36" s="27" t="str">
        <f>IF($A36&lt;&gt;"", (IF('3Replacement Costs - Entry'!P37="Y",((($B36*$D36)*((1+$B$5)^F$7))*(1/((1+$F$5)^F$7))),0)), "")</f>
        <v/>
      </c>
      <c r="G36" s="27" t="str">
        <f>IF($A36&lt;&gt;"", (IF('3Replacement Costs - Entry'!Q37="Y",((($B36*$D36)*((1+$B$5)^G$7))*(1/((1+$F$5)^G$7))),0)), "")</f>
        <v/>
      </c>
      <c r="H36" s="27" t="str">
        <f>IF($A36&lt;&gt;"", (IF('3Replacement Costs - Entry'!R37="Y",((($B36*$D36)*((1+$B$5)^H$7))*(1/((1+$F$5)^H$7))),0)), "")</f>
        <v/>
      </c>
      <c r="I36" s="27" t="str">
        <f>IF($A36&lt;&gt;"", (IF('3Replacement Costs - Entry'!S37="Y",((($B36*$D36)*((1+$B$5)^I$7))*(1/((1+$F$5)^I$7))),0)), "")</f>
        <v/>
      </c>
    </row>
    <row r="37" spans="1:9">
      <c r="A37" s="23"/>
      <c r="B37" s="23"/>
      <c r="C37" s="23"/>
      <c r="D37" s="36" t="s">
        <v>50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160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'3Capital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'3Replace Costs-Results 6-10'!A5</f>
        <v>Current Inflation Rate based on Construction Cost Index:</v>
      </c>
      <c r="B5" s="69">
        <f>'3Replace Costs-Results 6-10'!B5</f>
        <v>2.0671834625323047E-2</v>
      </c>
      <c r="C5" s="67"/>
      <c r="D5" s="67"/>
      <c r="E5" s="70" t="s">
        <v>43</v>
      </c>
      <c r="F5" s="72">
        <f>'3Replace Costs-Results 6-10'!F5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11</v>
      </c>
      <c r="F7" s="26">
        <v>12</v>
      </c>
      <c r="G7" s="26">
        <v>13</v>
      </c>
      <c r="H7" s="26">
        <v>14</v>
      </c>
      <c r="I7" s="26">
        <v>15</v>
      </c>
    </row>
    <row r="8" spans="1:9">
      <c r="A8" s="29" t="str">
        <f>IF('3Capital Costs'!A9&lt;&gt;"", '3Capital Costs'!A9, "")</f>
        <v/>
      </c>
      <c r="B8" s="3" t="str">
        <f>IF('3Capital Costs'!B9&lt;&gt;"", '3Capital Costs'!B9, "")</f>
        <v/>
      </c>
      <c r="C8" s="46" t="str">
        <f>IF('3Capital Costs'!C9&lt;&gt;"", '3Capital Costs'!C9, "")</f>
        <v/>
      </c>
      <c r="D8" s="47" t="str">
        <f>IF('3Capital Costs'!D9&lt;&gt;"", '3Capital Costs'!D9, "")</f>
        <v/>
      </c>
      <c r="E8" s="27" t="str">
        <f>IF($A8&lt;&gt;"", (IF('3Replacement Costs - Entry'!T9="Y",((($B8*$D8)*((1+$B$5)^E$7))*(1/((1+$F$5)^E$7))),0)), "")</f>
        <v/>
      </c>
      <c r="F8" s="27" t="str">
        <f>IF($A8&lt;&gt;"", (IF('3Replacement Costs - Entry'!U9="Y",((($B8*$D8)*((1+$B$5)^F$7))*(1/((1+$F$5)^F$7))),0)), "")</f>
        <v/>
      </c>
      <c r="G8" s="27" t="str">
        <f>IF($A8&lt;&gt;"", (IF('3Replacement Costs - Entry'!V9="Y",((($B8*$D8)*((1+$B$5)^G$7))*(1/((1+$F$5)^G$7))),0)), "")</f>
        <v/>
      </c>
      <c r="H8" s="27" t="str">
        <f>IF($A8&lt;&gt;"", (IF('3Replacement Costs - Entry'!W9="Y",((($B8*$D8)*((1+$B$5)^H$7))*(1/((1+$F$5)^H$7))),0)), "")</f>
        <v/>
      </c>
      <c r="I8" s="27" t="str">
        <f>IF($A8&lt;&gt;"", (IF('3Replacement Costs - Entry'!X9="Y",((($B8*$D8)*((1+$B$5)^I$7))*(1/((1+$F$5)^I$7))),0)), "")</f>
        <v/>
      </c>
    </row>
    <row r="9" spans="1:9">
      <c r="A9" s="29" t="str">
        <f>IF('3Capital Costs'!A10&lt;&gt;"", '3Capital Costs'!A10, "")</f>
        <v/>
      </c>
      <c r="B9" s="3" t="str">
        <f>IF('3Capital Costs'!B10&lt;&gt;"", '3Capital Costs'!B10, "")</f>
        <v/>
      </c>
      <c r="C9" s="46" t="str">
        <f>IF('3Capital Costs'!C10&lt;&gt;"", '3Capital Costs'!C10, "")</f>
        <v/>
      </c>
      <c r="D9" s="47" t="str">
        <f>IF('3Capital Costs'!D10&lt;&gt;"", '3Capital Costs'!D10, "")</f>
        <v/>
      </c>
      <c r="E9" s="27" t="str">
        <f>IF($A9&lt;&gt;"", (IF('3Replacement Costs - Entry'!T10="Y",((($B9*$D9)*((1+$B$5)^E$7))*(1/((1+$F$5)^E$7))),0)), "")</f>
        <v/>
      </c>
      <c r="F9" s="27" t="str">
        <f>IF($A9&lt;&gt;"", (IF('3Replacement Costs - Entry'!U10="Y",((($B9*$D9)*((1+$B$5)^F$7))*(1/((1+$F$5)^F$7))),0)), "")</f>
        <v/>
      </c>
      <c r="G9" s="27" t="str">
        <f>IF($A9&lt;&gt;"", (IF('3Replacement Costs - Entry'!V10="Y",((($B9*$D9)*((1+$B$5)^G$7))*(1/((1+$F$5)^G$7))),0)), "")</f>
        <v/>
      </c>
      <c r="H9" s="27" t="str">
        <f>IF($A9&lt;&gt;"", (IF('3Replacement Costs - Entry'!W10="Y",((($B9*$D9)*((1+$B$5)^H$7))*(1/((1+$F$5)^H$7))),0)), "")</f>
        <v/>
      </c>
      <c r="I9" s="27" t="str">
        <f>IF($A9&lt;&gt;"", (IF('3Replacement Costs - Entry'!X10="Y",((($B9*$D9)*((1+$B$5)^I$7))*(1/((1+$F$5)^I$7))),0)), "")</f>
        <v/>
      </c>
    </row>
    <row r="10" spans="1:9">
      <c r="A10" s="29" t="str">
        <f>IF('3Capital Costs'!A11&lt;&gt;"", '3Capital Costs'!A11, "")</f>
        <v/>
      </c>
      <c r="B10" s="3" t="str">
        <f>IF('3Capital Costs'!B11&lt;&gt;"", '3Capital Costs'!B11, "")</f>
        <v/>
      </c>
      <c r="C10" s="46" t="str">
        <f>IF('3Capital Costs'!C11&lt;&gt;"", '3Capital Costs'!C11, "")</f>
        <v/>
      </c>
      <c r="D10" s="47" t="str">
        <f>IF('3Capital Costs'!D11&lt;&gt;"", '3Capital Costs'!D11, "")</f>
        <v/>
      </c>
      <c r="E10" s="27" t="str">
        <f>IF($A10&lt;&gt;"", (IF('3Replacement Costs - Entry'!T11="Y",((($B10*$D10)*((1+$B$5)^E$7))*(1/((1+$F$5)^E$7))),0)), "")</f>
        <v/>
      </c>
      <c r="F10" s="27" t="str">
        <f>IF($A10&lt;&gt;"", (IF('3Replacement Costs - Entry'!U11="Y",((($B10*$D10)*((1+$B$5)^F$7))*(1/((1+$F$5)^F$7))),0)), "")</f>
        <v/>
      </c>
      <c r="G10" s="27" t="str">
        <f>IF($A10&lt;&gt;"", (IF('3Replacement Costs - Entry'!V11="Y",((($B10*$D10)*((1+$B$5)^G$7))*(1/((1+$F$5)^G$7))),0)), "")</f>
        <v/>
      </c>
      <c r="H10" s="27" t="str">
        <f>IF($A10&lt;&gt;"", (IF('3Replacement Costs - Entry'!W11="Y",((($B10*$D10)*((1+$B$5)^H$7))*(1/((1+$F$5)^H$7))),0)), "")</f>
        <v/>
      </c>
      <c r="I10" s="27" t="str">
        <f>IF($A10&lt;&gt;"", (IF('3Replacement Costs - Entry'!X11="Y",((($B10*$D10)*((1+$B$5)^I$7))*(1/((1+$F$5)^I$7))),0)), "")</f>
        <v/>
      </c>
    </row>
    <row r="11" spans="1:9">
      <c r="A11" s="29" t="str">
        <f>IF('3Capital Costs'!A12&lt;&gt;"", '3Capital Costs'!A12, "")</f>
        <v/>
      </c>
      <c r="B11" s="3" t="str">
        <f>IF('3Capital Costs'!B12&lt;&gt;"", '3Capital Costs'!B12, "")</f>
        <v/>
      </c>
      <c r="C11" s="46" t="str">
        <f>IF('3Capital Costs'!C12&lt;&gt;"", '3Capital Costs'!C12, "")</f>
        <v/>
      </c>
      <c r="D11" s="47" t="str">
        <f>IF('3Capital Costs'!D12&lt;&gt;"", '3Capital Costs'!D12, "")</f>
        <v/>
      </c>
      <c r="E11" s="27" t="str">
        <f>IF($A11&lt;&gt;"", (IF('3Replacement Costs - Entry'!T12="Y",((($B11*$D11)*((1+$B$5)^E$7))*(1/((1+$F$5)^E$7))),0)), "")</f>
        <v/>
      </c>
      <c r="F11" s="27" t="str">
        <f>IF($A11&lt;&gt;"", (IF('3Replacement Costs - Entry'!U12="Y",((($B11*$D11)*((1+$B$5)^F$7))*(1/((1+$F$5)^F$7))),0)), "")</f>
        <v/>
      </c>
      <c r="G11" s="27" t="str">
        <f>IF($A11&lt;&gt;"", (IF('3Replacement Costs - Entry'!V12="Y",((($B11*$D11)*((1+$B$5)^G$7))*(1/((1+$F$5)^G$7))),0)), "")</f>
        <v/>
      </c>
      <c r="H11" s="27" t="str">
        <f>IF($A11&lt;&gt;"", (IF('3Replacement Costs - Entry'!W12="Y",((($B11*$D11)*((1+$B$5)^H$7))*(1/((1+$F$5)^H$7))),0)), "")</f>
        <v/>
      </c>
      <c r="I11" s="27" t="str">
        <f>IF($A11&lt;&gt;"", (IF('3Replacement Costs - Entry'!X12="Y",((($B11*$D11)*((1+$B$5)^I$7))*(1/((1+$F$5)^I$7))),0)), "")</f>
        <v/>
      </c>
    </row>
    <row r="12" spans="1:9">
      <c r="A12" s="29" t="str">
        <f>IF('3Capital Costs'!A13&lt;&gt;"", '3Capital Costs'!A13, "")</f>
        <v/>
      </c>
      <c r="B12" s="3" t="str">
        <f>IF('3Capital Costs'!B13&lt;&gt;"", '3Capital Costs'!B13, "")</f>
        <v/>
      </c>
      <c r="C12" s="46" t="str">
        <f>IF('3Capital Costs'!C13&lt;&gt;"", '3Capital Costs'!C13, "")</f>
        <v/>
      </c>
      <c r="D12" s="47" t="str">
        <f>IF('3Capital Costs'!D13&lt;&gt;"", '3Capital Costs'!D13, "")</f>
        <v/>
      </c>
      <c r="E12" s="27" t="str">
        <f>IF($A12&lt;&gt;"", (IF('3Replacement Costs - Entry'!T13="Y",((($B12*$D12)*((1+$B$5)^E$7))*(1/((1+$F$5)^E$7))),0)), "")</f>
        <v/>
      </c>
      <c r="F12" s="27" t="str">
        <f>IF($A12&lt;&gt;"", (IF('3Replacement Costs - Entry'!U13="Y",((($B12*$D12)*((1+$B$5)^F$7))*(1/((1+$F$5)^F$7))),0)), "")</f>
        <v/>
      </c>
      <c r="G12" s="27" t="str">
        <f>IF($A12&lt;&gt;"", (IF('3Replacement Costs - Entry'!V13="Y",((($B12*$D12)*((1+$B$5)^G$7))*(1/((1+$F$5)^G$7))),0)), "")</f>
        <v/>
      </c>
      <c r="H12" s="27" t="str">
        <f>IF($A12&lt;&gt;"", (IF('3Replacement Costs - Entry'!W13="Y",((($B12*$D12)*((1+$B$5)^H$7))*(1/((1+$F$5)^H$7))),0)), "")</f>
        <v/>
      </c>
      <c r="I12" s="27" t="str">
        <f>IF($A12&lt;&gt;"", (IF('3Replacement Costs - Entry'!X13="Y",((($B12*$D12)*((1+$B$5)^I$7))*(1/((1+$F$5)^I$7))),0)), "")</f>
        <v/>
      </c>
    </row>
    <row r="13" spans="1:9">
      <c r="A13" s="29" t="str">
        <f>IF('3Capital Costs'!A14&lt;&gt;"", '3Capital Costs'!A14, "")</f>
        <v/>
      </c>
      <c r="B13" s="3" t="str">
        <f>IF('3Capital Costs'!B14&lt;&gt;"", '3Capital Costs'!B14, "")</f>
        <v/>
      </c>
      <c r="C13" s="46" t="str">
        <f>IF('3Capital Costs'!C14&lt;&gt;"", '3Capital Costs'!C14, "")</f>
        <v/>
      </c>
      <c r="D13" s="47" t="str">
        <f>IF('3Capital Costs'!D14&lt;&gt;"", '3Capital Costs'!D14, "")</f>
        <v/>
      </c>
      <c r="E13" s="27" t="str">
        <f>IF($A13&lt;&gt;"", (IF('3Replacement Costs - Entry'!T14="Y",((($B13*$D13)*((1+$B$5)^E$7))*(1/((1+$F$5)^E$7))),0)), "")</f>
        <v/>
      </c>
      <c r="F13" s="27" t="str">
        <f>IF($A13&lt;&gt;"", (IF('3Replacement Costs - Entry'!U14="Y",((($B13*$D13)*((1+$B$5)^F$7))*(1/((1+$F$5)^F$7))),0)), "")</f>
        <v/>
      </c>
      <c r="G13" s="27" t="str">
        <f>IF($A13&lt;&gt;"", (IF('3Replacement Costs - Entry'!V14="Y",((($B13*$D13)*((1+$B$5)^G$7))*(1/((1+$F$5)^G$7))),0)), "")</f>
        <v/>
      </c>
      <c r="H13" s="27" t="str">
        <f>IF($A13&lt;&gt;"", (IF('3Replacement Costs - Entry'!W14="Y",((($B13*$D13)*((1+$B$5)^H$7))*(1/((1+$F$5)^H$7))),0)), "")</f>
        <v/>
      </c>
      <c r="I13" s="27" t="str">
        <f>IF($A13&lt;&gt;"", (IF('3Replacement Costs - Entry'!X14="Y",((($B13*$D13)*((1+$B$5)^I$7))*(1/((1+$F$5)^I$7))),0)), "")</f>
        <v/>
      </c>
    </row>
    <row r="14" spans="1:9">
      <c r="A14" s="29" t="str">
        <f>IF('3Capital Costs'!A15&lt;&gt;"", '3Capital Costs'!A15, "")</f>
        <v/>
      </c>
      <c r="B14" s="3" t="str">
        <f>IF('3Capital Costs'!B15&lt;&gt;"", '3Capital Costs'!B15, "")</f>
        <v/>
      </c>
      <c r="C14" s="46" t="str">
        <f>IF('3Capital Costs'!C15&lt;&gt;"", '3Capital Costs'!C15, "")</f>
        <v/>
      </c>
      <c r="D14" s="47" t="str">
        <f>IF('3Capital Costs'!D15&lt;&gt;"", '3Capital Costs'!D15, "")</f>
        <v/>
      </c>
      <c r="E14" s="27" t="str">
        <f>IF($A14&lt;&gt;"", (IF('3Replacement Costs - Entry'!T15="Y",((($B14*$D14)*((1+$B$5)^E$7))*(1/((1+$F$5)^E$7))),0)), "")</f>
        <v/>
      </c>
      <c r="F14" s="27" t="str">
        <f>IF($A14&lt;&gt;"", (IF('3Replacement Costs - Entry'!U15="Y",((($B14*$D14)*((1+$B$5)^F$7))*(1/((1+$F$5)^F$7))),0)), "")</f>
        <v/>
      </c>
      <c r="G14" s="27" t="str">
        <f>IF($A14&lt;&gt;"", (IF('3Replacement Costs - Entry'!V15="Y",((($B14*$D14)*((1+$B$5)^G$7))*(1/((1+$F$5)^G$7))),0)), "")</f>
        <v/>
      </c>
      <c r="H14" s="27" t="str">
        <f>IF($A14&lt;&gt;"", (IF('3Replacement Costs - Entry'!W15="Y",((($B14*$D14)*((1+$B$5)^H$7))*(1/((1+$F$5)^H$7))),0)), "")</f>
        <v/>
      </c>
      <c r="I14" s="27" t="str">
        <f>IF($A14&lt;&gt;"", (IF('3Replacement Costs - Entry'!X15="Y",((($B14*$D14)*((1+$B$5)^I$7))*(1/((1+$F$5)^I$7))),0)), "")</f>
        <v/>
      </c>
    </row>
    <row r="15" spans="1:9">
      <c r="A15" s="29" t="str">
        <f>IF('3Capital Costs'!A16&lt;&gt;"", '3Capital Costs'!A16, "")</f>
        <v/>
      </c>
      <c r="B15" s="3" t="str">
        <f>IF('3Capital Costs'!B16&lt;&gt;"", '3Capital Costs'!B16, "")</f>
        <v/>
      </c>
      <c r="C15" s="46" t="str">
        <f>IF('3Capital Costs'!C16&lt;&gt;"", '3Capital Costs'!C16, "")</f>
        <v/>
      </c>
      <c r="D15" s="47" t="str">
        <f>IF('3Capital Costs'!D16&lt;&gt;"", '3Capital Costs'!D16, "")</f>
        <v/>
      </c>
      <c r="E15" s="27" t="str">
        <f>IF($A15&lt;&gt;"", (IF('3Replacement Costs - Entry'!T16="Y",((($B15*$D15)*((1+$B$5)^E$7))*(1/((1+$F$5)^E$7))),0)), "")</f>
        <v/>
      </c>
      <c r="F15" s="27" t="str">
        <f>IF($A15&lt;&gt;"", (IF('3Replacement Costs - Entry'!U16="Y",((($B15*$D15)*((1+$B$5)^F$7))*(1/((1+$F$5)^F$7))),0)), "")</f>
        <v/>
      </c>
      <c r="G15" s="27" t="str">
        <f>IF($A15&lt;&gt;"", (IF('3Replacement Costs - Entry'!V16="Y",((($B15*$D15)*((1+$B$5)^G$7))*(1/((1+$F$5)^G$7))),0)), "")</f>
        <v/>
      </c>
      <c r="H15" s="27" t="str">
        <f>IF($A15&lt;&gt;"", (IF('3Replacement Costs - Entry'!W16="Y",((($B15*$D15)*((1+$B$5)^H$7))*(1/((1+$F$5)^H$7))),0)), "")</f>
        <v/>
      </c>
      <c r="I15" s="27" t="str">
        <f>IF($A15&lt;&gt;"", (IF('3Replacement Costs - Entry'!X16="Y",((($B15*$D15)*((1+$B$5)^I$7))*(1/((1+$F$5)^I$7))),0)), "")</f>
        <v/>
      </c>
    </row>
    <row r="16" spans="1:9">
      <c r="A16" s="29" t="str">
        <f>IF('3Capital Costs'!A17&lt;&gt;"", '3Capital Costs'!A17, "")</f>
        <v/>
      </c>
      <c r="B16" s="3" t="str">
        <f>IF('3Capital Costs'!B17&lt;&gt;"", '3Capital Costs'!B17, "")</f>
        <v/>
      </c>
      <c r="C16" s="46" t="str">
        <f>IF('3Capital Costs'!C17&lt;&gt;"", '3Capital Costs'!C17, "")</f>
        <v/>
      </c>
      <c r="D16" s="47" t="str">
        <f>IF('3Capital Costs'!D17&lt;&gt;"", '3Capital Costs'!D17, "")</f>
        <v/>
      </c>
      <c r="E16" s="27" t="str">
        <f>IF($A16&lt;&gt;"", (IF('3Replacement Costs - Entry'!T17="Y",((($B16*$D16)*((1+$B$5)^E$7))*(1/((1+$F$5)^E$7))),0)), "")</f>
        <v/>
      </c>
      <c r="F16" s="27" t="str">
        <f>IF($A16&lt;&gt;"", (IF('3Replacement Costs - Entry'!U17="Y",((($B16*$D16)*((1+$B$5)^F$7))*(1/((1+$F$5)^F$7))),0)), "")</f>
        <v/>
      </c>
      <c r="G16" s="27" t="str">
        <f>IF($A16&lt;&gt;"", (IF('3Replacement Costs - Entry'!V17="Y",((($B16*$D16)*((1+$B$5)^G$7))*(1/((1+$F$5)^G$7))),0)), "")</f>
        <v/>
      </c>
      <c r="H16" s="27" t="str">
        <f>IF($A16&lt;&gt;"", (IF('3Replacement Costs - Entry'!W17="Y",((($B16*$D16)*((1+$B$5)^H$7))*(1/((1+$F$5)^H$7))),0)), "")</f>
        <v/>
      </c>
      <c r="I16" s="27" t="str">
        <f>IF($A16&lt;&gt;"", (IF('3Replacement Costs - Entry'!X17="Y",((($B16*$D16)*((1+$B$5)^I$7))*(1/((1+$F$5)^I$7))),0)), "")</f>
        <v/>
      </c>
    </row>
    <row r="17" spans="1:9">
      <c r="A17" s="29" t="str">
        <f>IF('3Capital Costs'!A18&lt;&gt;"", '3Capital Costs'!A18, "")</f>
        <v/>
      </c>
      <c r="B17" s="3" t="str">
        <f>IF('3Capital Costs'!B18&lt;&gt;"", '3Capital Costs'!B18, "")</f>
        <v/>
      </c>
      <c r="C17" s="46" t="str">
        <f>IF('3Capital Costs'!C18&lt;&gt;"", '3Capital Costs'!C18, "")</f>
        <v/>
      </c>
      <c r="D17" s="47" t="str">
        <f>IF('3Capital Costs'!D18&lt;&gt;"", '3Capital Costs'!D18, "")</f>
        <v/>
      </c>
      <c r="E17" s="27" t="str">
        <f>IF($A17&lt;&gt;"", (IF('3Replacement Costs - Entry'!T18="Y",((($B17*$D17)*((1+$B$5)^E$7))*(1/((1+$F$5)^E$7))),0)), "")</f>
        <v/>
      </c>
      <c r="F17" s="27" t="str">
        <f>IF($A17&lt;&gt;"", (IF('3Replacement Costs - Entry'!U18="Y",((($B17*$D17)*((1+$B$5)^F$7))*(1/((1+$F$5)^F$7))),0)), "")</f>
        <v/>
      </c>
      <c r="G17" s="27" t="str">
        <f>IF($A17&lt;&gt;"", (IF('3Replacement Costs - Entry'!V18="Y",((($B17*$D17)*((1+$B$5)^G$7))*(1/((1+$F$5)^G$7))),0)), "")</f>
        <v/>
      </c>
      <c r="H17" s="27" t="str">
        <f>IF($A17&lt;&gt;"", (IF('3Replacement Costs - Entry'!W18="Y",((($B17*$D17)*((1+$B$5)^H$7))*(1/((1+$F$5)^H$7))),0)), "")</f>
        <v/>
      </c>
      <c r="I17" s="27" t="str">
        <f>IF($A17&lt;&gt;"", (IF('3Replacement Costs - Entry'!X18="Y",((($B17*$D17)*((1+$B$5)^I$7))*(1/((1+$F$5)^I$7))),0)), "")</f>
        <v/>
      </c>
    </row>
    <row r="18" spans="1:9">
      <c r="A18" s="29" t="str">
        <f>IF('3Capital Costs'!A19&lt;&gt;"", '3Capital Costs'!A19, "")</f>
        <v/>
      </c>
      <c r="B18" s="3" t="str">
        <f>IF('3Capital Costs'!B19&lt;&gt;"", '3Capital Costs'!B19, "")</f>
        <v/>
      </c>
      <c r="C18" s="46" t="str">
        <f>IF('3Capital Costs'!C19&lt;&gt;"", '3Capital Costs'!C19, "")</f>
        <v/>
      </c>
      <c r="D18" s="47" t="str">
        <f>IF('3Capital Costs'!D19&lt;&gt;"", '3Capital Costs'!D19, "")</f>
        <v/>
      </c>
      <c r="E18" s="27" t="str">
        <f>IF($A18&lt;&gt;"", (IF('3Replacement Costs - Entry'!T19="Y",((($B18*$D18)*((1+$B$5)^E$7))*(1/((1+$F$5)^E$7))),0)), "")</f>
        <v/>
      </c>
      <c r="F18" s="27" t="str">
        <f>IF($A18&lt;&gt;"", (IF('3Replacement Costs - Entry'!U19="Y",((($B18*$D18)*((1+$B$5)^F$7))*(1/((1+$F$5)^F$7))),0)), "")</f>
        <v/>
      </c>
      <c r="G18" s="27" t="str">
        <f>IF($A18&lt;&gt;"", (IF('3Replacement Costs - Entry'!V19="Y",((($B18*$D18)*((1+$B$5)^G$7))*(1/((1+$F$5)^G$7))),0)), "")</f>
        <v/>
      </c>
      <c r="H18" s="27" t="str">
        <f>IF($A18&lt;&gt;"", (IF('3Replacement Costs - Entry'!W19="Y",((($B18*$D18)*((1+$B$5)^H$7))*(1/((1+$F$5)^H$7))),0)), "")</f>
        <v/>
      </c>
      <c r="I18" s="27" t="str">
        <f>IF($A18&lt;&gt;"", (IF('3Replacement Costs - Entry'!X19="Y",((($B18*$D18)*((1+$B$5)^I$7))*(1/((1+$F$5)^I$7))),0)), "")</f>
        <v/>
      </c>
    </row>
    <row r="19" spans="1:9">
      <c r="A19" s="29" t="str">
        <f>IF('3Capital Costs'!A20&lt;&gt;"", '3Capital Costs'!A20, "")</f>
        <v/>
      </c>
      <c r="B19" s="3" t="str">
        <f>IF('3Capital Costs'!B20&lt;&gt;"", '3Capital Costs'!B20, "")</f>
        <v/>
      </c>
      <c r="C19" s="46" t="str">
        <f>IF('3Capital Costs'!C20&lt;&gt;"", '3Capital Costs'!C20, "")</f>
        <v/>
      </c>
      <c r="D19" s="47" t="str">
        <f>IF('3Capital Costs'!D20&lt;&gt;"", '3Capital Costs'!D20, "")</f>
        <v/>
      </c>
      <c r="E19" s="27" t="str">
        <f>IF($A19&lt;&gt;"", (IF('3Replacement Costs - Entry'!T20="Y",((($B19*$D19)*((1+$B$5)^E$7))*(1/((1+$F$5)^E$7))),0)), "")</f>
        <v/>
      </c>
      <c r="F19" s="27" t="str">
        <f>IF($A19&lt;&gt;"", (IF('3Replacement Costs - Entry'!U20="Y",((($B19*$D19)*((1+$B$5)^F$7))*(1/((1+$F$5)^F$7))),0)), "")</f>
        <v/>
      </c>
      <c r="G19" s="27" t="str">
        <f>IF($A19&lt;&gt;"", (IF('3Replacement Costs - Entry'!V20="Y",((($B19*$D19)*((1+$B$5)^G$7))*(1/((1+$F$5)^G$7))),0)), "")</f>
        <v/>
      </c>
      <c r="H19" s="27" t="str">
        <f>IF($A19&lt;&gt;"", (IF('3Replacement Costs - Entry'!W20="Y",((($B19*$D19)*((1+$B$5)^H$7))*(1/((1+$F$5)^H$7))),0)), "")</f>
        <v/>
      </c>
      <c r="I19" s="27" t="str">
        <f>IF($A19&lt;&gt;"", (IF('3Replacement Costs - Entry'!X20="Y",((($B19*$D19)*((1+$B$5)^I$7))*(1/((1+$F$5)^I$7))),0)), "")</f>
        <v/>
      </c>
    </row>
    <row r="20" spans="1:9">
      <c r="A20" s="29" t="str">
        <f>IF('3Capital Costs'!A21&lt;&gt;"", '3Capital Costs'!A21, "")</f>
        <v/>
      </c>
      <c r="B20" s="3" t="str">
        <f>IF('3Capital Costs'!B21&lt;&gt;"", '3Capital Costs'!B21, "")</f>
        <v/>
      </c>
      <c r="C20" s="46" t="str">
        <f>IF('3Capital Costs'!C21&lt;&gt;"", '3Capital Costs'!C21, "")</f>
        <v/>
      </c>
      <c r="D20" s="47" t="str">
        <f>IF('3Capital Costs'!D21&lt;&gt;"", '3Capital Costs'!D21, "")</f>
        <v/>
      </c>
      <c r="E20" s="27" t="str">
        <f>IF($A20&lt;&gt;"", (IF('3Replacement Costs - Entry'!T21="Y",((($B20*$D20)*((1+$B$5)^E$7))*(1/((1+$F$5)^E$7))),0)), "")</f>
        <v/>
      </c>
      <c r="F20" s="27" t="str">
        <f>IF($A20&lt;&gt;"", (IF('3Replacement Costs - Entry'!U21="Y",((($B20*$D20)*((1+$B$5)^F$7))*(1/((1+$F$5)^F$7))),0)), "")</f>
        <v/>
      </c>
      <c r="G20" s="27" t="str">
        <f>IF($A20&lt;&gt;"", (IF('3Replacement Costs - Entry'!V21="Y",((($B20*$D20)*((1+$B$5)^G$7))*(1/((1+$F$5)^G$7))),0)), "")</f>
        <v/>
      </c>
      <c r="H20" s="27" t="str">
        <f>IF($A20&lt;&gt;"", (IF('3Replacement Costs - Entry'!W21="Y",((($B20*$D20)*((1+$B$5)^H$7))*(1/((1+$F$5)^H$7))),0)), "")</f>
        <v/>
      </c>
      <c r="I20" s="27" t="str">
        <f>IF($A20&lt;&gt;"", (IF('3Replacement Costs - Entry'!X21="Y",((($B20*$D20)*((1+$B$5)^I$7))*(1/((1+$F$5)^I$7))),0)), "")</f>
        <v/>
      </c>
    </row>
    <row r="21" spans="1:9">
      <c r="A21" s="29" t="str">
        <f>IF('3Capital Costs'!A22&lt;&gt;"", '3Capital Costs'!A22, "")</f>
        <v/>
      </c>
      <c r="B21" s="3" t="str">
        <f>IF('3Capital Costs'!B22&lt;&gt;"", '3Capital Costs'!B22, "")</f>
        <v/>
      </c>
      <c r="C21" s="46" t="str">
        <f>IF('3Capital Costs'!C22&lt;&gt;"", '3Capital Costs'!C22, "")</f>
        <v/>
      </c>
      <c r="D21" s="47" t="str">
        <f>IF('3Capital Costs'!D22&lt;&gt;"", '3Capital Costs'!D22, "")</f>
        <v/>
      </c>
      <c r="E21" s="27" t="str">
        <f>IF($A21&lt;&gt;"", (IF('3Replacement Costs - Entry'!T22="Y",((($B21*$D21)*((1+$B$5)^E$7))*(1/((1+$F$5)^E$7))),0)), "")</f>
        <v/>
      </c>
      <c r="F21" s="27" t="str">
        <f>IF($A21&lt;&gt;"", (IF('3Replacement Costs - Entry'!U22="Y",((($B21*$D21)*((1+$B$5)^F$7))*(1/((1+$F$5)^F$7))),0)), "")</f>
        <v/>
      </c>
      <c r="G21" s="27" t="str">
        <f>IF($A21&lt;&gt;"", (IF('3Replacement Costs - Entry'!V22="Y",((($B21*$D21)*((1+$B$5)^G$7))*(1/((1+$F$5)^G$7))),0)), "")</f>
        <v/>
      </c>
      <c r="H21" s="27" t="str">
        <f>IF($A21&lt;&gt;"", (IF('3Replacement Costs - Entry'!W22="Y",((($B21*$D21)*((1+$B$5)^H$7))*(1/((1+$F$5)^H$7))),0)), "")</f>
        <v/>
      </c>
      <c r="I21" s="27" t="str">
        <f>IF($A21&lt;&gt;"", (IF('3Replacement Costs - Entry'!X22="Y",((($B21*$D21)*((1+$B$5)^I$7))*(1/((1+$F$5)^I$7))),0)), "")</f>
        <v/>
      </c>
    </row>
    <row r="22" spans="1:9">
      <c r="A22" s="29" t="str">
        <f>IF('3Capital Costs'!A23&lt;&gt;"", '3Capital Costs'!A23, "")</f>
        <v/>
      </c>
      <c r="B22" s="3" t="str">
        <f>IF('3Capital Costs'!B23&lt;&gt;"", '3Capital Costs'!B23, "")</f>
        <v/>
      </c>
      <c r="C22" s="46" t="str">
        <f>IF('3Capital Costs'!C23&lt;&gt;"", '3Capital Costs'!C23, "")</f>
        <v/>
      </c>
      <c r="D22" s="47" t="str">
        <f>IF('3Capital Costs'!D23&lt;&gt;"", '3Capital Costs'!D23, "")</f>
        <v/>
      </c>
      <c r="E22" s="27" t="str">
        <f>IF($A22&lt;&gt;"", (IF('3Replacement Costs - Entry'!T23="Y",((($B22*$D22)*((1+$B$5)^E$7))*(1/((1+$F$5)^E$7))),0)), "")</f>
        <v/>
      </c>
      <c r="F22" s="27" t="str">
        <f>IF($A22&lt;&gt;"", (IF('3Replacement Costs - Entry'!U23="Y",((($B22*$D22)*((1+$B$5)^F$7))*(1/((1+$F$5)^F$7))),0)), "")</f>
        <v/>
      </c>
      <c r="G22" s="27" t="str">
        <f>IF($A22&lt;&gt;"", (IF('3Replacement Costs - Entry'!V23="Y",((($B22*$D22)*((1+$B$5)^G$7))*(1/((1+$F$5)^G$7))),0)), "")</f>
        <v/>
      </c>
      <c r="H22" s="27" t="str">
        <f>IF($A22&lt;&gt;"", (IF('3Replacement Costs - Entry'!W23="Y",((($B22*$D22)*((1+$B$5)^H$7))*(1/((1+$F$5)^H$7))),0)), "")</f>
        <v/>
      </c>
      <c r="I22" s="27" t="str">
        <f>IF($A22&lt;&gt;"", (IF('3Replacement Costs - Entry'!X23="Y",((($B22*$D22)*((1+$B$5)^I$7))*(1/((1+$F$5)^I$7))),0)), "")</f>
        <v/>
      </c>
    </row>
    <row r="23" spans="1:9">
      <c r="A23" s="29" t="str">
        <f>IF('3Capital Costs'!A24&lt;&gt;"", '3Capital Costs'!A24, "")</f>
        <v/>
      </c>
      <c r="B23" s="3" t="str">
        <f>IF('3Capital Costs'!B24&lt;&gt;"", '3Capital Costs'!B24, "")</f>
        <v/>
      </c>
      <c r="C23" s="46" t="str">
        <f>IF('3Capital Costs'!C24&lt;&gt;"", '3Capital Costs'!C24, "")</f>
        <v/>
      </c>
      <c r="D23" s="47" t="str">
        <f>IF('3Capital Costs'!D24&lt;&gt;"", '3Capital Costs'!D24, "")</f>
        <v/>
      </c>
      <c r="E23" s="27" t="str">
        <f>IF($A23&lt;&gt;"", (IF('3Replacement Costs - Entry'!T24="Y",((($B23*$D23)*((1+$B$5)^E$7))*(1/((1+$F$5)^E$7))),0)), "")</f>
        <v/>
      </c>
      <c r="F23" s="27" t="str">
        <f>IF($A23&lt;&gt;"", (IF('3Replacement Costs - Entry'!U24="Y",((($B23*$D23)*((1+$B$5)^F$7))*(1/((1+$F$5)^F$7))),0)), "")</f>
        <v/>
      </c>
      <c r="G23" s="27" t="str">
        <f>IF($A23&lt;&gt;"", (IF('3Replacement Costs - Entry'!V24="Y",((($B23*$D23)*((1+$B$5)^G$7))*(1/((1+$F$5)^G$7))),0)), "")</f>
        <v/>
      </c>
      <c r="H23" s="27" t="str">
        <f>IF($A23&lt;&gt;"", (IF('3Replacement Costs - Entry'!W24="Y",((($B23*$D23)*((1+$B$5)^H$7))*(1/((1+$F$5)^H$7))),0)), "")</f>
        <v/>
      </c>
      <c r="I23" s="27" t="str">
        <f>IF($A23&lt;&gt;"", (IF('3Replacement Costs - Entry'!X24="Y",((($B23*$D23)*((1+$B$5)^I$7))*(1/((1+$F$5)^I$7))),0)), "")</f>
        <v/>
      </c>
    </row>
    <row r="24" spans="1:9">
      <c r="A24" s="29" t="str">
        <f>IF('3Capital Costs'!A25&lt;&gt;"", '3Capital Costs'!A25, "")</f>
        <v/>
      </c>
      <c r="B24" s="3" t="str">
        <f>IF('3Capital Costs'!B25&lt;&gt;"", '3Capital Costs'!B25, "")</f>
        <v/>
      </c>
      <c r="C24" s="46" t="str">
        <f>IF('3Capital Costs'!C25&lt;&gt;"", '3Capital Costs'!C25, "")</f>
        <v/>
      </c>
      <c r="D24" s="47" t="str">
        <f>IF('3Capital Costs'!D25&lt;&gt;"", '3Capital Costs'!D25, "")</f>
        <v/>
      </c>
      <c r="E24" s="27" t="str">
        <f>IF($A24&lt;&gt;"", (IF('3Replacement Costs - Entry'!T25="Y",((($B24*$D24)*((1+$B$5)^E$7))*(1/((1+$F$5)^E$7))),0)), "")</f>
        <v/>
      </c>
      <c r="F24" s="27" t="str">
        <f>IF($A24&lt;&gt;"", (IF('3Replacement Costs - Entry'!U25="Y",((($B24*$D24)*((1+$B$5)^F$7))*(1/((1+$F$5)^F$7))),0)), "")</f>
        <v/>
      </c>
      <c r="G24" s="27" t="str">
        <f>IF($A24&lt;&gt;"", (IF('3Replacement Costs - Entry'!V25="Y",((($B24*$D24)*((1+$B$5)^G$7))*(1/((1+$F$5)^G$7))),0)), "")</f>
        <v/>
      </c>
      <c r="H24" s="27" t="str">
        <f>IF($A24&lt;&gt;"", (IF('3Replacement Costs - Entry'!W25="Y",((($B24*$D24)*((1+$B$5)^H$7))*(1/((1+$F$5)^H$7))),0)), "")</f>
        <v/>
      </c>
      <c r="I24" s="27" t="str">
        <f>IF($A24&lt;&gt;"", (IF('3Replacement Costs - Entry'!X25="Y",((($B24*$D24)*((1+$B$5)^I$7))*(1/((1+$F$5)^I$7))),0)), "")</f>
        <v/>
      </c>
    </row>
    <row r="25" spans="1:9">
      <c r="A25" s="29" t="str">
        <f>IF('3Capital Costs'!A26&lt;&gt;"", '3Capital Costs'!A26, "")</f>
        <v/>
      </c>
      <c r="B25" s="3" t="str">
        <f>IF('3Capital Costs'!B26&lt;&gt;"", '3Capital Costs'!B26, "")</f>
        <v/>
      </c>
      <c r="C25" s="46" t="str">
        <f>IF('3Capital Costs'!C26&lt;&gt;"", '3Capital Costs'!C26, "")</f>
        <v/>
      </c>
      <c r="D25" s="47" t="str">
        <f>IF('3Capital Costs'!D26&lt;&gt;"", '3Capital Costs'!D26, "")</f>
        <v/>
      </c>
      <c r="E25" s="27" t="str">
        <f>IF($A25&lt;&gt;"", (IF('3Replacement Costs - Entry'!T26="Y",((($B25*$D25)*((1+$B$5)^E$7))*(1/((1+$F$5)^E$7))),0)), "")</f>
        <v/>
      </c>
      <c r="F25" s="27" t="str">
        <f>IF($A25&lt;&gt;"", (IF('3Replacement Costs - Entry'!U26="Y",((($B25*$D25)*((1+$B$5)^F$7))*(1/((1+$F$5)^F$7))),0)), "")</f>
        <v/>
      </c>
      <c r="G25" s="27" t="str">
        <f>IF($A25&lt;&gt;"", (IF('3Replacement Costs - Entry'!V26="Y",((($B25*$D25)*((1+$B$5)^G$7))*(1/((1+$F$5)^G$7))),0)), "")</f>
        <v/>
      </c>
      <c r="H25" s="27" t="str">
        <f>IF($A25&lt;&gt;"", (IF('3Replacement Costs - Entry'!W26="Y",((($B25*$D25)*((1+$B$5)^H$7))*(1/((1+$F$5)^H$7))),0)), "")</f>
        <v/>
      </c>
      <c r="I25" s="27" t="str">
        <f>IF($A25&lt;&gt;"", (IF('3Replacement Costs - Entry'!X26="Y",((($B25*$D25)*((1+$B$5)^I$7))*(1/((1+$F$5)^I$7))),0)), "")</f>
        <v/>
      </c>
    </row>
    <row r="26" spans="1:9">
      <c r="A26" s="29" t="str">
        <f>IF('3Capital Costs'!A27&lt;&gt;"", '3Capital Costs'!A27, "")</f>
        <v/>
      </c>
      <c r="B26" s="3" t="str">
        <f>IF('3Capital Costs'!B27&lt;&gt;"", '3Capital Costs'!B27, "")</f>
        <v/>
      </c>
      <c r="C26" s="46" t="str">
        <f>IF('3Capital Costs'!C27&lt;&gt;"", '3Capital Costs'!C27, "")</f>
        <v/>
      </c>
      <c r="D26" s="47" t="str">
        <f>IF('3Capital Costs'!D27&lt;&gt;"", '3Capital Costs'!D27, "")</f>
        <v/>
      </c>
      <c r="E26" s="27" t="str">
        <f>IF($A26&lt;&gt;"", (IF('3Replacement Costs - Entry'!T27="Y",((($B26*$D26)*((1+$B$5)^E$7))*(1/((1+$F$5)^E$7))),0)), "")</f>
        <v/>
      </c>
      <c r="F26" s="27" t="str">
        <f>IF($A26&lt;&gt;"", (IF('3Replacement Costs - Entry'!U27="Y",((($B26*$D26)*((1+$B$5)^F$7))*(1/((1+$F$5)^F$7))),0)), "")</f>
        <v/>
      </c>
      <c r="G26" s="27" t="str">
        <f>IF($A26&lt;&gt;"", (IF('3Replacement Costs - Entry'!V27="Y",((($B26*$D26)*((1+$B$5)^G$7))*(1/((1+$F$5)^G$7))),0)), "")</f>
        <v/>
      </c>
      <c r="H26" s="27" t="str">
        <f>IF($A26&lt;&gt;"", (IF('3Replacement Costs - Entry'!W27="Y",((($B26*$D26)*((1+$B$5)^H$7))*(1/((1+$F$5)^H$7))),0)), "")</f>
        <v/>
      </c>
      <c r="I26" s="27" t="str">
        <f>IF($A26&lt;&gt;"", (IF('3Replacement Costs - Entry'!X27="Y",((($B26*$D26)*((1+$B$5)^I$7))*(1/((1+$F$5)^I$7))),0)), "")</f>
        <v/>
      </c>
    </row>
    <row r="27" spans="1:9">
      <c r="A27" s="29" t="str">
        <f>IF('3Capital Costs'!A28&lt;&gt;"", '3Capital Costs'!A28, "")</f>
        <v/>
      </c>
      <c r="B27" s="3" t="str">
        <f>IF('3Capital Costs'!B28&lt;&gt;"", '3Capital Costs'!B28, "")</f>
        <v/>
      </c>
      <c r="C27" s="46" t="str">
        <f>IF('3Capital Costs'!C28&lt;&gt;"", '3Capital Costs'!C28, "")</f>
        <v/>
      </c>
      <c r="D27" s="47" t="str">
        <f>IF('3Capital Costs'!D28&lt;&gt;"", '3Capital Costs'!D28, "")</f>
        <v/>
      </c>
      <c r="E27" s="27" t="str">
        <f>IF($A27&lt;&gt;"", (IF('3Replacement Costs - Entry'!T28="Y",((($B27*$D27)*((1+$B$5)^E$7))*(1/((1+$F$5)^E$7))),0)), "")</f>
        <v/>
      </c>
      <c r="F27" s="27" t="str">
        <f>IF($A27&lt;&gt;"", (IF('3Replacement Costs - Entry'!U28="Y",((($B27*$D27)*((1+$B$5)^F$7))*(1/((1+$F$5)^F$7))),0)), "")</f>
        <v/>
      </c>
      <c r="G27" s="27" t="str">
        <f>IF($A27&lt;&gt;"", (IF('3Replacement Costs - Entry'!V28="Y",((($B27*$D27)*((1+$B$5)^G$7))*(1/((1+$F$5)^G$7))),0)), "")</f>
        <v/>
      </c>
      <c r="H27" s="27" t="str">
        <f>IF($A27&lt;&gt;"", (IF('3Replacement Costs - Entry'!W28="Y",((($B27*$D27)*((1+$B$5)^H$7))*(1/((1+$F$5)^H$7))),0)), "")</f>
        <v/>
      </c>
      <c r="I27" s="27" t="str">
        <f>IF($A27&lt;&gt;"", (IF('3Replacement Costs - Entry'!X28="Y",((($B27*$D27)*((1+$B$5)^I$7))*(1/((1+$F$5)^I$7))),0)), "")</f>
        <v/>
      </c>
    </row>
    <row r="28" spans="1:9">
      <c r="A28" s="29" t="str">
        <f>IF('3Capital Costs'!A29&lt;&gt;"", '3Capital Costs'!A29, "")</f>
        <v/>
      </c>
      <c r="B28" s="3" t="str">
        <f>IF('3Capital Costs'!B29&lt;&gt;"", '3Capital Costs'!B29, "")</f>
        <v/>
      </c>
      <c r="C28" s="46" t="str">
        <f>IF('3Capital Costs'!C29&lt;&gt;"", '3Capital Costs'!C29, "")</f>
        <v/>
      </c>
      <c r="D28" s="47" t="str">
        <f>IF('3Capital Costs'!D29&lt;&gt;"", '3Capital Costs'!D29, "")</f>
        <v/>
      </c>
      <c r="E28" s="27" t="str">
        <f>IF($A28&lt;&gt;"", (IF('3Replacement Costs - Entry'!T29="Y",((($B28*$D28)*((1+$B$5)^E$7))*(1/((1+$F$5)^E$7))),0)), "")</f>
        <v/>
      </c>
      <c r="F28" s="27" t="str">
        <f>IF($A28&lt;&gt;"", (IF('3Replacement Costs - Entry'!U29="Y",((($B28*$D28)*((1+$B$5)^F$7))*(1/((1+$F$5)^F$7))),0)), "")</f>
        <v/>
      </c>
      <c r="G28" s="27" t="str">
        <f>IF($A28&lt;&gt;"", (IF('3Replacement Costs - Entry'!V29="Y",((($B28*$D28)*((1+$B$5)^G$7))*(1/((1+$F$5)^G$7))),0)), "")</f>
        <v/>
      </c>
      <c r="H28" s="27" t="str">
        <f>IF($A28&lt;&gt;"", (IF('3Replacement Costs - Entry'!W29="Y",((($B28*$D28)*((1+$B$5)^H$7))*(1/((1+$F$5)^H$7))),0)), "")</f>
        <v/>
      </c>
      <c r="I28" s="27" t="str">
        <f>IF($A28&lt;&gt;"", (IF('3Replacement Costs - Entry'!X29="Y",((($B28*$D28)*((1+$B$5)^I$7))*(1/((1+$F$5)^I$7))),0)), "")</f>
        <v/>
      </c>
    </row>
    <row r="29" spans="1:9">
      <c r="A29" s="29" t="str">
        <f>IF('3Capital Costs'!A30&lt;&gt;"", '3Capital Costs'!A30, "")</f>
        <v/>
      </c>
      <c r="B29" s="3" t="str">
        <f>IF('3Capital Costs'!B30&lt;&gt;"", '3Capital Costs'!B30, "")</f>
        <v/>
      </c>
      <c r="C29" s="46" t="str">
        <f>IF('3Capital Costs'!C30&lt;&gt;"", '3Capital Costs'!C30, "")</f>
        <v/>
      </c>
      <c r="D29" s="47" t="str">
        <f>IF('3Capital Costs'!D30&lt;&gt;"", '3Capital Costs'!D30, "")</f>
        <v/>
      </c>
      <c r="E29" s="27" t="str">
        <f>IF($A29&lt;&gt;"", (IF('3Replacement Costs - Entry'!T30="Y",((($B29*$D29)*((1+$B$5)^E$7))*(1/((1+$F$5)^E$7))),0)), "")</f>
        <v/>
      </c>
      <c r="F29" s="27" t="str">
        <f>IF($A29&lt;&gt;"", (IF('3Replacement Costs - Entry'!U30="Y",((($B29*$D29)*((1+$B$5)^F$7))*(1/((1+$F$5)^F$7))),0)), "")</f>
        <v/>
      </c>
      <c r="G29" s="27" t="str">
        <f>IF($A29&lt;&gt;"", (IF('3Replacement Costs - Entry'!V30="Y",((($B29*$D29)*((1+$B$5)^G$7))*(1/((1+$F$5)^G$7))),0)), "")</f>
        <v/>
      </c>
      <c r="H29" s="27" t="str">
        <f>IF($A29&lt;&gt;"", (IF('3Replacement Costs - Entry'!W30="Y",((($B29*$D29)*((1+$B$5)^H$7))*(1/((1+$F$5)^H$7))),0)), "")</f>
        <v/>
      </c>
      <c r="I29" s="27" t="str">
        <f>IF($A29&lt;&gt;"", (IF('3Replacement Costs - Entry'!X30="Y",((($B29*$D29)*((1+$B$5)^I$7))*(1/((1+$F$5)^I$7))),0)), "")</f>
        <v/>
      </c>
    </row>
    <row r="30" spans="1:9">
      <c r="A30" s="29" t="str">
        <f>IF('3Capital Costs'!A31&lt;&gt;"", '3Capital Costs'!A31, "")</f>
        <v/>
      </c>
      <c r="B30" s="3" t="str">
        <f>IF('3Capital Costs'!B31&lt;&gt;"", '3Capital Costs'!B31, "")</f>
        <v/>
      </c>
      <c r="C30" s="46" t="str">
        <f>IF('3Capital Costs'!C31&lt;&gt;"", '3Capital Costs'!C31, "")</f>
        <v/>
      </c>
      <c r="D30" s="47" t="str">
        <f>IF('3Capital Costs'!D31&lt;&gt;"", '3Capital Costs'!D31, "")</f>
        <v/>
      </c>
      <c r="E30" s="27" t="str">
        <f>IF($A30&lt;&gt;"", (IF('3Replacement Costs - Entry'!T31="Y",((($B30*$D30)*((1+$B$5)^E$7))*(1/((1+$F$5)^E$7))),0)), "")</f>
        <v/>
      </c>
      <c r="F30" s="27" t="str">
        <f>IF($A30&lt;&gt;"", (IF('3Replacement Costs - Entry'!U31="Y",((($B30*$D30)*((1+$B$5)^F$7))*(1/((1+$F$5)^F$7))),0)), "")</f>
        <v/>
      </c>
      <c r="G30" s="27" t="str">
        <f>IF($A30&lt;&gt;"", (IF('3Replacement Costs - Entry'!V31="Y",((($B30*$D30)*((1+$B$5)^G$7))*(1/((1+$F$5)^G$7))),0)), "")</f>
        <v/>
      </c>
      <c r="H30" s="27" t="str">
        <f>IF($A30&lt;&gt;"", (IF('3Replacement Costs - Entry'!W31="Y",((($B30*$D30)*((1+$B$5)^H$7))*(1/((1+$F$5)^H$7))),0)), "")</f>
        <v/>
      </c>
      <c r="I30" s="27" t="str">
        <f>IF($A30&lt;&gt;"", (IF('3Replacement Costs - Entry'!X31="Y",((($B30*$D30)*((1+$B$5)^I$7))*(1/((1+$F$5)^I$7))),0)), "")</f>
        <v/>
      </c>
    </row>
    <row r="31" spans="1:9">
      <c r="A31" s="29" t="str">
        <f>IF('3Capital Costs'!A32&lt;&gt;"", '3Capital Costs'!A32, "")</f>
        <v/>
      </c>
      <c r="B31" s="3" t="str">
        <f>IF('3Capital Costs'!B32&lt;&gt;"", '3Capital Costs'!B32, "")</f>
        <v/>
      </c>
      <c r="C31" s="46" t="str">
        <f>IF('3Capital Costs'!C32&lt;&gt;"", '3Capital Costs'!C32, "")</f>
        <v/>
      </c>
      <c r="D31" s="47" t="str">
        <f>IF('3Capital Costs'!D32&lt;&gt;"", '3Capital Costs'!D32, "")</f>
        <v/>
      </c>
      <c r="E31" s="27" t="str">
        <f>IF($A31&lt;&gt;"", (IF('3Replacement Costs - Entry'!T32="Y",((($B31*$D31)*((1+$B$5)^E$7))*(1/((1+$F$5)^E$7))),0)), "")</f>
        <v/>
      </c>
      <c r="F31" s="27" t="str">
        <f>IF($A31&lt;&gt;"", (IF('3Replacement Costs - Entry'!U32="Y",((($B31*$D31)*((1+$B$5)^F$7))*(1/((1+$F$5)^F$7))),0)), "")</f>
        <v/>
      </c>
      <c r="G31" s="27" t="str">
        <f>IF($A31&lt;&gt;"", (IF('3Replacement Costs - Entry'!V32="Y",((($B31*$D31)*((1+$B$5)^G$7))*(1/((1+$F$5)^G$7))),0)), "")</f>
        <v/>
      </c>
      <c r="H31" s="27" t="str">
        <f>IF($A31&lt;&gt;"", (IF('3Replacement Costs - Entry'!W32="Y",((($B31*$D31)*((1+$B$5)^H$7))*(1/((1+$F$5)^H$7))),0)), "")</f>
        <v/>
      </c>
      <c r="I31" s="27" t="str">
        <f>IF($A31&lt;&gt;"", (IF('3Replacement Costs - Entry'!X32="Y",((($B31*$D31)*((1+$B$5)^I$7))*(1/((1+$F$5)^I$7))),0)), "")</f>
        <v/>
      </c>
    </row>
    <row r="32" spans="1:9">
      <c r="A32" s="29" t="str">
        <f>IF('3Capital Costs'!A33&lt;&gt;"", '3Capital Costs'!A33, "")</f>
        <v/>
      </c>
      <c r="B32" s="3" t="str">
        <f>IF('3Capital Costs'!B33&lt;&gt;"", '3Capital Costs'!B33, "")</f>
        <v/>
      </c>
      <c r="C32" s="46" t="str">
        <f>IF('3Capital Costs'!C33&lt;&gt;"", '3Capital Costs'!C33, "")</f>
        <v/>
      </c>
      <c r="D32" s="47" t="str">
        <f>IF('3Capital Costs'!D33&lt;&gt;"", '3Capital Costs'!D33, "")</f>
        <v/>
      </c>
      <c r="E32" s="27" t="str">
        <f>IF($A32&lt;&gt;"", (IF('3Replacement Costs - Entry'!T33="Y",((($B32*$D32)*((1+$B$5)^E$7))*(1/((1+$F$5)^E$7))),0)), "")</f>
        <v/>
      </c>
      <c r="F32" s="27" t="str">
        <f>IF($A32&lt;&gt;"", (IF('3Replacement Costs - Entry'!U33="Y",((($B32*$D32)*((1+$B$5)^F$7))*(1/((1+$F$5)^F$7))),0)), "")</f>
        <v/>
      </c>
      <c r="G32" s="27" t="str">
        <f>IF($A32&lt;&gt;"", (IF('3Replacement Costs - Entry'!V33="Y",((($B32*$D32)*((1+$B$5)^G$7))*(1/((1+$F$5)^G$7))),0)), "")</f>
        <v/>
      </c>
      <c r="H32" s="27" t="str">
        <f>IF($A32&lt;&gt;"", (IF('3Replacement Costs - Entry'!W33="Y",((($B32*$D32)*((1+$B$5)^H$7))*(1/((1+$F$5)^H$7))),0)), "")</f>
        <v/>
      </c>
      <c r="I32" s="27" t="str">
        <f>IF($A32&lt;&gt;"", (IF('3Replacement Costs - Entry'!X33="Y",((($B32*$D32)*((1+$B$5)^I$7))*(1/((1+$F$5)^I$7))),0)), "")</f>
        <v/>
      </c>
    </row>
    <row r="33" spans="1:9">
      <c r="A33" s="29" t="str">
        <f>IF('3Capital Costs'!A34&lt;&gt;"", '3Capital Costs'!A34, "")</f>
        <v/>
      </c>
      <c r="B33" s="3" t="str">
        <f>IF('3Capital Costs'!B34&lt;&gt;"", '3Capital Costs'!B34, "")</f>
        <v/>
      </c>
      <c r="C33" s="46" t="str">
        <f>IF('3Capital Costs'!C34&lt;&gt;"", '3Capital Costs'!C34, "")</f>
        <v/>
      </c>
      <c r="D33" s="47" t="str">
        <f>IF('3Capital Costs'!D34&lt;&gt;"", '3Capital Costs'!D34, "")</f>
        <v/>
      </c>
      <c r="E33" s="27" t="str">
        <f>IF($A33&lt;&gt;"", (IF('3Replacement Costs - Entry'!T34="Y",((($B33*$D33)*((1+$B$5)^E$7))*(1/((1+$F$5)^E$7))),0)), "")</f>
        <v/>
      </c>
      <c r="F33" s="27" t="str">
        <f>IF($A33&lt;&gt;"", (IF('3Replacement Costs - Entry'!U34="Y",((($B33*$D33)*((1+$B$5)^F$7))*(1/((1+$F$5)^F$7))),0)), "")</f>
        <v/>
      </c>
      <c r="G33" s="27" t="str">
        <f>IF($A33&lt;&gt;"", (IF('3Replacement Costs - Entry'!V34="Y",((($B33*$D33)*((1+$B$5)^G$7))*(1/((1+$F$5)^G$7))),0)), "")</f>
        <v/>
      </c>
      <c r="H33" s="27" t="str">
        <f>IF($A33&lt;&gt;"", (IF('3Replacement Costs - Entry'!W34="Y",((($B33*$D33)*((1+$B$5)^H$7))*(1/((1+$F$5)^H$7))),0)), "")</f>
        <v/>
      </c>
      <c r="I33" s="27" t="str">
        <f>IF($A33&lt;&gt;"", (IF('3Replacement Costs - Entry'!X34="Y",((($B33*$D33)*((1+$B$5)^I$7))*(1/((1+$F$5)^I$7))),0)), "")</f>
        <v/>
      </c>
    </row>
    <row r="34" spans="1:9">
      <c r="A34" s="29" t="str">
        <f>IF('3Capital Costs'!A35&lt;&gt;"", '3Capital Costs'!A35, "")</f>
        <v/>
      </c>
      <c r="B34" s="3" t="str">
        <f>IF('3Capital Costs'!B35&lt;&gt;"", '3Capital Costs'!B35, "")</f>
        <v/>
      </c>
      <c r="C34" s="46" t="str">
        <f>IF('3Capital Costs'!C35&lt;&gt;"", '3Capital Costs'!C35, "")</f>
        <v/>
      </c>
      <c r="D34" s="47" t="str">
        <f>IF('3Capital Costs'!D35&lt;&gt;"", '3Capital Costs'!D35, "")</f>
        <v/>
      </c>
      <c r="E34" s="27" t="str">
        <f>IF($A34&lt;&gt;"", (IF('3Replacement Costs - Entry'!T35="Y",((($B34*$D34)*((1+$B$5)^E$7))*(1/((1+$F$5)^E$7))),0)), "")</f>
        <v/>
      </c>
      <c r="F34" s="27" t="str">
        <f>IF($A34&lt;&gt;"", (IF('3Replacement Costs - Entry'!U35="Y",((($B34*$D34)*((1+$B$5)^F$7))*(1/((1+$F$5)^F$7))),0)), "")</f>
        <v/>
      </c>
      <c r="G34" s="27" t="str">
        <f>IF($A34&lt;&gt;"", (IF('3Replacement Costs - Entry'!V35="Y",((($B34*$D34)*((1+$B$5)^G$7))*(1/((1+$F$5)^G$7))),0)), "")</f>
        <v/>
      </c>
      <c r="H34" s="27" t="str">
        <f>IF($A34&lt;&gt;"", (IF('3Replacement Costs - Entry'!W35="Y",((($B34*$D34)*((1+$B$5)^H$7))*(1/((1+$F$5)^H$7))),0)), "")</f>
        <v/>
      </c>
      <c r="I34" s="27" t="str">
        <f>IF($A34&lt;&gt;"", (IF('3Replacement Costs - Entry'!X35="Y",((($B34*$D34)*((1+$B$5)^I$7))*(1/((1+$F$5)^I$7))),0)), "")</f>
        <v/>
      </c>
    </row>
    <row r="35" spans="1:9">
      <c r="A35" s="29" t="str">
        <f>IF('3Capital Costs'!A36&lt;&gt;"", '3Capital Costs'!A36, "")</f>
        <v/>
      </c>
      <c r="B35" s="3" t="str">
        <f>IF('3Capital Costs'!B36&lt;&gt;"", '3Capital Costs'!B36, "")</f>
        <v/>
      </c>
      <c r="C35" s="46" t="str">
        <f>IF('3Capital Costs'!C36&lt;&gt;"", '3Capital Costs'!C36, "")</f>
        <v/>
      </c>
      <c r="D35" s="47" t="str">
        <f>IF('3Capital Costs'!D36&lt;&gt;"", '3Capital Costs'!D36, "")</f>
        <v/>
      </c>
      <c r="E35" s="27" t="str">
        <f>IF($A35&lt;&gt;"", (IF('3Replacement Costs - Entry'!T36="Y",((($B35*$D35)*((1+$B$5)^E$7))*(1/((1+$F$5)^E$7))),0)), "")</f>
        <v/>
      </c>
      <c r="F35" s="27" t="str">
        <f>IF($A35&lt;&gt;"", (IF('3Replacement Costs - Entry'!U36="Y",((($B35*$D35)*((1+$B$5)^F$7))*(1/((1+$F$5)^F$7))),0)), "")</f>
        <v/>
      </c>
      <c r="G35" s="27" t="str">
        <f>IF($A35&lt;&gt;"", (IF('3Replacement Costs - Entry'!V36="Y",((($B35*$D35)*((1+$B$5)^G$7))*(1/((1+$F$5)^G$7))),0)), "")</f>
        <v/>
      </c>
      <c r="H35" s="27" t="str">
        <f>IF($A35&lt;&gt;"", (IF('3Replacement Costs - Entry'!W36="Y",((($B35*$D35)*((1+$B$5)^H$7))*(1/((1+$F$5)^H$7))),0)), "")</f>
        <v/>
      </c>
      <c r="I35" s="27" t="str">
        <f>IF($A35&lt;&gt;"", (IF('3Replacement Costs - Entry'!X36="Y",((($B35*$D35)*((1+$B$5)^I$7))*(1/((1+$F$5)^I$7))),0)), "")</f>
        <v/>
      </c>
    </row>
    <row r="36" spans="1:9">
      <c r="A36" s="29" t="str">
        <f>IF('3Capital Costs'!A37&lt;&gt;"", '3Capital Costs'!A37, "")</f>
        <v/>
      </c>
      <c r="B36" s="3" t="str">
        <f>IF('3Capital Costs'!B37&lt;&gt;"", '3Capital Costs'!B37, "")</f>
        <v/>
      </c>
      <c r="C36" s="46" t="str">
        <f>IF('3Capital Costs'!C37&lt;&gt;"", '3Capital Costs'!C37, "")</f>
        <v/>
      </c>
      <c r="D36" s="47" t="str">
        <f>IF('3Capital Costs'!D37&lt;&gt;"", '3Capital Costs'!D37, "")</f>
        <v/>
      </c>
      <c r="E36" s="27" t="str">
        <f>IF($A36&lt;&gt;"", (IF('3Replacement Costs - Entry'!T37="Y",((($B36*$D36)*((1+$B$5)^E$7))*(1/((1+$F$5)^E$7))),0)), "")</f>
        <v/>
      </c>
      <c r="F36" s="27" t="str">
        <f>IF($A36&lt;&gt;"", (IF('3Replacement Costs - Entry'!U37="Y",((($B36*$D36)*((1+$B$5)^F$7))*(1/((1+$F$5)^F$7))),0)), "")</f>
        <v/>
      </c>
      <c r="G36" s="27" t="str">
        <f>IF($A36&lt;&gt;"", (IF('3Replacement Costs - Entry'!V37="Y",((($B36*$D36)*((1+$B$5)^G$7))*(1/((1+$F$5)^G$7))),0)), "")</f>
        <v/>
      </c>
      <c r="H36" s="27" t="str">
        <f>IF($A36&lt;&gt;"", (IF('3Replacement Costs - Entry'!W37="Y",((($B36*$D36)*((1+$B$5)^H$7))*(1/((1+$F$5)^H$7))),0)), "")</f>
        <v/>
      </c>
      <c r="I36" s="27" t="str">
        <f>IF($A36&lt;&gt;"", (IF('3Replacement Costs - Entry'!X37="Y",((($B36*$D36)*((1+$B$5)^I$7))*(1/((1+$F$5)^I$7))),0)), "")</f>
        <v/>
      </c>
    </row>
    <row r="37" spans="1:9">
      <c r="A37" s="23"/>
      <c r="B37" s="23"/>
      <c r="C37" s="23"/>
      <c r="D37" s="36" t="s">
        <v>47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161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'3Capital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'3Replace Costs-Results 11-15'!A5</f>
        <v>Current Inflation Rate based on Construction Cost Index:</v>
      </c>
      <c r="B5" s="69">
        <f>'3Replace Costs-Results 11-15'!B5</f>
        <v>2.0671834625323047E-2</v>
      </c>
      <c r="C5" s="67"/>
      <c r="D5" s="67"/>
      <c r="E5" s="70" t="s">
        <v>43</v>
      </c>
      <c r="F5" s="72">
        <f>'3Replace Costs-Results 11-15'!F5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16</v>
      </c>
      <c r="F7" s="26">
        <v>17</v>
      </c>
      <c r="G7" s="26">
        <v>18</v>
      </c>
      <c r="H7" s="26">
        <v>19</v>
      </c>
      <c r="I7" s="26">
        <v>20</v>
      </c>
    </row>
    <row r="8" spans="1:9">
      <c r="A8" s="29" t="str">
        <f>IF('3Capital Costs'!A9&lt;&gt;"", '3Capital Costs'!A9, "")</f>
        <v/>
      </c>
      <c r="B8" s="3" t="str">
        <f>IF('3Capital Costs'!B9&lt;&gt;"", '3Capital Costs'!B9, "")</f>
        <v/>
      </c>
      <c r="C8" s="46" t="str">
        <f>IF('3Capital Costs'!C9&lt;&gt;"", '3Capital Costs'!C9, "")</f>
        <v/>
      </c>
      <c r="D8" s="47" t="str">
        <f>IF('3Capital Costs'!D9&lt;&gt;"", '3Capital Costs'!D9, "")</f>
        <v/>
      </c>
      <c r="E8" s="27" t="str">
        <f>IF($A8&lt;&gt;"", (IF('3Replacement Costs - Entry'!Y9="Y",((($B8*$D8)*((1+$B$5)^E$7))*(1/((1+$F$5)^E$7))),0)), "")</f>
        <v/>
      </c>
      <c r="F8" s="27" t="str">
        <f>IF($A8&lt;&gt;"", (IF('3Replacement Costs - Entry'!Z9="Y",((($B8*$D8)*((1+$B$5)^F$7))*(1/((1+$F$5)^F$7))),0)), "")</f>
        <v/>
      </c>
      <c r="G8" s="27" t="str">
        <f>IF($A8&lt;&gt;"", (IF('3Replacement Costs - Entry'!AA9="Y",((($B8*$D8)*((1+$B$5)^G$7))*(1/((1+$F$5)^G$7))),0)), "")</f>
        <v/>
      </c>
      <c r="H8" s="27" t="str">
        <f>IF($A8&lt;&gt;"", (IF('3Replacement Costs - Entry'!AB9="Y",((($B8*$D8)*((1+$B$5)^H$7))*(1/((1+$F$5)^H$7))),0)), "")</f>
        <v/>
      </c>
      <c r="I8" s="27" t="str">
        <f>IF($A8&lt;&gt;"", (IF('3Replacement Costs - Entry'!AC9="Y",((($B8*$D8)*((1+$B$5)^I$7))*(1/((1+$F$5)^I$7))),0)), "")</f>
        <v/>
      </c>
    </row>
    <row r="9" spans="1:9">
      <c r="A9" s="29" t="str">
        <f>IF('3Capital Costs'!A10&lt;&gt;"", '3Capital Costs'!A10, "")</f>
        <v/>
      </c>
      <c r="B9" s="3" t="str">
        <f>IF('3Capital Costs'!B10&lt;&gt;"", '3Capital Costs'!B10, "")</f>
        <v/>
      </c>
      <c r="C9" s="46" t="str">
        <f>IF('3Capital Costs'!C10&lt;&gt;"", '3Capital Costs'!C10, "")</f>
        <v/>
      </c>
      <c r="D9" s="47" t="str">
        <f>IF('3Capital Costs'!D10&lt;&gt;"", '3Capital Costs'!D10, "")</f>
        <v/>
      </c>
      <c r="E9" s="27" t="str">
        <f>IF($A9&lt;&gt;"", (IF('3Replacement Costs - Entry'!Y10="Y",((($B9*$D9)*((1+$B$5)^E$7))*(1/((1+$F$5)^E$7))),0)), "")</f>
        <v/>
      </c>
      <c r="F9" s="27" t="str">
        <f>IF($A9&lt;&gt;"", (IF('3Replacement Costs - Entry'!Z10="Y",((($B9*$D9)*((1+$B$5)^F$7))*(1/((1+$F$5)^F$7))),0)), "")</f>
        <v/>
      </c>
      <c r="G9" s="27" t="str">
        <f>IF($A9&lt;&gt;"", (IF('3Replacement Costs - Entry'!AA10="Y",((($B9*$D9)*((1+$B$5)^G$7))*(1/((1+$F$5)^G$7))),0)), "")</f>
        <v/>
      </c>
      <c r="H9" s="27" t="str">
        <f>IF($A9&lt;&gt;"", (IF('3Replacement Costs - Entry'!AB10="Y",((($B9*$D9)*((1+$B$5)^H$7))*(1/((1+$F$5)^H$7))),0)), "")</f>
        <v/>
      </c>
      <c r="I9" s="27" t="str">
        <f>IF($A9&lt;&gt;"", (IF('3Replacement Costs - Entry'!AC10="Y",((($B9*$D9)*((1+$B$5)^I$7))*(1/((1+$F$5)^I$7))),0)), "")</f>
        <v/>
      </c>
    </row>
    <row r="10" spans="1:9">
      <c r="A10" s="29" t="str">
        <f>IF('3Capital Costs'!A11&lt;&gt;"", '3Capital Costs'!A11, "")</f>
        <v/>
      </c>
      <c r="B10" s="3" t="str">
        <f>IF('3Capital Costs'!B11&lt;&gt;"", '3Capital Costs'!B11, "")</f>
        <v/>
      </c>
      <c r="C10" s="46" t="str">
        <f>IF('3Capital Costs'!C11&lt;&gt;"", '3Capital Costs'!C11, "")</f>
        <v/>
      </c>
      <c r="D10" s="47" t="str">
        <f>IF('3Capital Costs'!D11&lt;&gt;"", '3Capital Costs'!D11, "")</f>
        <v/>
      </c>
      <c r="E10" s="27" t="str">
        <f>IF($A10&lt;&gt;"", (IF('3Replacement Costs - Entry'!Y11="Y",((($B10*$D10)*((1+$B$5)^E$7))*(1/((1+$F$5)^E$7))),0)), "")</f>
        <v/>
      </c>
      <c r="F10" s="27" t="str">
        <f>IF($A10&lt;&gt;"", (IF('3Replacement Costs - Entry'!Z11="Y",((($B10*$D10)*((1+$B$5)^F$7))*(1/((1+$F$5)^F$7))),0)), "")</f>
        <v/>
      </c>
      <c r="G10" s="27" t="str">
        <f>IF($A10&lt;&gt;"", (IF('3Replacement Costs - Entry'!AA11="Y",((($B10*$D10)*((1+$B$5)^G$7))*(1/((1+$F$5)^G$7))),0)), "")</f>
        <v/>
      </c>
      <c r="H10" s="27" t="str">
        <f>IF($A10&lt;&gt;"", (IF('3Replacement Costs - Entry'!AB11="Y",((($B10*$D10)*((1+$B$5)^H$7))*(1/((1+$F$5)^H$7))),0)), "")</f>
        <v/>
      </c>
      <c r="I10" s="27" t="str">
        <f>IF($A10&lt;&gt;"", (IF('3Replacement Costs - Entry'!AC11="Y",((($B10*$D10)*((1+$B$5)^I$7))*(1/((1+$F$5)^I$7))),0)), "")</f>
        <v/>
      </c>
    </row>
    <row r="11" spans="1:9">
      <c r="A11" s="29" t="str">
        <f>IF('3Capital Costs'!A12&lt;&gt;"", '3Capital Costs'!A12, "")</f>
        <v/>
      </c>
      <c r="B11" s="3" t="str">
        <f>IF('3Capital Costs'!B12&lt;&gt;"", '3Capital Costs'!B12, "")</f>
        <v/>
      </c>
      <c r="C11" s="46" t="str">
        <f>IF('3Capital Costs'!C12&lt;&gt;"", '3Capital Costs'!C12, "")</f>
        <v/>
      </c>
      <c r="D11" s="47" t="str">
        <f>IF('3Capital Costs'!D12&lt;&gt;"", '3Capital Costs'!D12, "")</f>
        <v/>
      </c>
      <c r="E11" s="27" t="str">
        <f>IF($A11&lt;&gt;"", (IF('3Replacement Costs - Entry'!Y12="Y",((($B11*$D11)*((1+$B$5)^E$7))*(1/((1+$F$5)^E$7))),0)), "")</f>
        <v/>
      </c>
      <c r="F11" s="27" t="str">
        <f>IF($A11&lt;&gt;"", (IF('3Replacement Costs - Entry'!Z12="Y",((($B11*$D11)*((1+$B$5)^F$7))*(1/((1+$F$5)^F$7))),0)), "")</f>
        <v/>
      </c>
      <c r="G11" s="27" t="str">
        <f>IF($A11&lt;&gt;"", (IF('3Replacement Costs - Entry'!AA12="Y",((($B11*$D11)*((1+$B$5)^G$7))*(1/((1+$F$5)^G$7))),0)), "")</f>
        <v/>
      </c>
      <c r="H11" s="27" t="str">
        <f>IF($A11&lt;&gt;"", (IF('3Replacement Costs - Entry'!AB12="Y",((($B11*$D11)*((1+$B$5)^H$7))*(1/((1+$F$5)^H$7))),0)), "")</f>
        <v/>
      </c>
      <c r="I11" s="27" t="str">
        <f>IF($A11&lt;&gt;"", (IF('3Replacement Costs - Entry'!AC12="Y",((($B11*$D11)*((1+$B$5)^I$7))*(1/((1+$F$5)^I$7))),0)), "")</f>
        <v/>
      </c>
    </row>
    <row r="12" spans="1:9">
      <c r="A12" s="29" t="str">
        <f>IF('3Capital Costs'!A13&lt;&gt;"", '3Capital Costs'!A13, "")</f>
        <v/>
      </c>
      <c r="B12" s="3" t="str">
        <f>IF('3Capital Costs'!B13&lt;&gt;"", '3Capital Costs'!B13, "")</f>
        <v/>
      </c>
      <c r="C12" s="46" t="str">
        <f>IF('3Capital Costs'!C13&lt;&gt;"", '3Capital Costs'!C13, "")</f>
        <v/>
      </c>
      <c r="D12" s="47" t="str">
        <f>IF('3Capital Costs'!D13&lt;&gt;"", '3Capital Costs'!D13, "")</f>
        <v/>
      </c>
      <c r="E12" s="27" t="str">
        <f>IF($A12&lt;&gt;"", (IF('3Replacement Costs - Entry'!Y13="Y",((($B12*$D12)*((1+$B$5)^E$7))*(1/((1+$F$5)^E$7))),0)), "")</f>
        <v/>
      </c>
      <c r="F12" s="27" t="str">
        <f>IF($A12&lt;&gt;"", (IF('3Replacement Costs - Entry'!Z13="Y",((($B12*$D12)*((1+$B$5)^F$7))*(1/((1+$F$5)^F$7))),0)), "")</f>
        <v/>
      </c>
      <c r="G12" s="27" t="str">
        <f>IF($A12&lt;&gt;"", (IF('3Replacement Costs - Entry'!AA13="Y",((($B12*$D12)*((1+$B$5)^G$7))*(1/((1+$F$5)^G$7))),0)), "")</f>
        <v/>
      </c>
      <c r="H12" s="27" t="str">
        <f>IF($A12&lt;&gt;"", (IF('3Replacement Costs - Entry'!AB13="Y",((($B12*$D12)*((1+$B$5)^H$7))*(1/((1+$F$5)^H$7))),0)), "")</f>
        <v/>
      </c>
      <c r="I12" s="27" t="str">
        <f>IF($A12&lt;&gt;"", (IF('3Replacement Costs - Entry'!AC13="Y",((($B12*$D12)*((1+$B$5)^I$7))*(1/((1+$F$5)^I$7))),0)), "")</f>
        <v/>
      </c>
    </row>
    <row r="13" spans="1:9">
      <c r="A13" s="29" t="str">
        <f>IF('3Capital Costs'!A14&lt;&gt;"", '3Capital Costs'!A14, "")</f>
        <v/>
      </c>
      <c r="B13" s="3" t="str">
        <f>IF('3Capital Costs'!B14&lt;&gt;"", '3Capital Costs'!B14, "")</f>
        <v/>
      </c>
      <c r="C13" s="46" t="str">
        <f>IF('3Capital Costs'!C14&lt;&gt;"", '3Capital Costs'!C14, "")</f>
        <v/>
      </c>
      <c r="D13" s="47" t="str">
        <f>IF('3Capital Costs'!D14&lt;&gt;"", '3Capital Costs'!D14, "")</f>
        <v/>
      </c>
      <c r="E13" s="27" t="str">
        <f>IF($A13&lt;&gt;"", (IF('3Replacement Costs - Entry'!Y14="Y",((($B13*$D13)*((1+$B$5)^E$7))*(1/((1+$F$5)^E$7))),0)), "")</f>
        <v/>
      </c>
      <c r="F13" s="27" t="str">
        <f>IF($A13&lt;&gt;"", (IF('3Replacement Costs - Entry'!Z14="Y",((($B13*$D13)*((1+$B$5)^F$7))*(1/((1+$F$5)^F$7))),0)), "")</f>
        <v/>
      </c>
      <c r="G13" s="27" t="str">
        <f>IF($A13&lt;&gt;"", (IF('3Replacement Costs - Entry'!AA14="Y",((($B13*$D13)*((1+$B$5)^G$7))*(1/((1+$F$5)^G$7))),0)), "")</f>
        <v/>
      </c>
      <c r="H13" s="27" t="str">
        <f>IF($A13&lt;&gt;"", (IF('3Replacement Costs - Entry'!AB14="Y",((($B13*$D13)*((1+$B$5)^H$7))*(1/((1+$F$5)^H$7))),0)), "")</f>
        <v/>
      </c>
      <c r="I13" s="27" t="str">
        <f>IF($A13&lt;&gt;"", (IF('3Replacement Costs - Entry'!AC14="Y",((($B13*$D13)*((1+$B$5)^I$7))*(1/((1+$F$5)^I$7))),0)), "")</f>
        <v/>
      </c>
    </row>
    <row r="14" spans="1:9">
      <c r="A14" s="29" t="str">
        <f>IF('3Capital Costs'!A15&lt;&gt;"", '3Capital Costs'!A15, "")</f>
        <v/>
      </c>
      <c r="B14" s="3" t="str">
        <f>IF('3Capital Costs'!B15&lt;&gt;"", '3Capital Costs'!B15, "")</f>
        <v/>
      </c>
      <c r="C14" s="46" t="str">
        <f>IF('3Capital Costs'!C15&lt;&gt;"", '3Capital Costs'!C15, "")</f>
        <v/>
      </c>
      <c r="D14" s="47" t="str">
        <f>IF('3Capital Costs'!D15&lt;&gt;"", '3Capital Costs'!D15, "")</f>
        <v/>
      </c>
      <c r="E14" s="27" t="str">
        <f>IF($A14&lt;&gt;"", (IF('3Replacement Costs - Entry'!Y15="Y",((($B14*$D14)*((1+$B$5)^E$7))*(1/((1+$F$5)^E$7))),0)), "")</f>
        <v/>
      </c>
      <c r="F14" s="27" t="str">
        <f>IF($A14&lt;&gt;"", (IF('3Replacement Costs - Entry'!Z15="Y",((($B14*$D14)*((1+$B$5)^F$7))*(1/((1+$F$5)^F$7))),0)), "")</f>
        <v/>
      </c>
      <c r="G14" s="27" t="str">
        <f>IF($A14&lt;&gt;"", (IF('3Replacement Costs - Entry'!AA15="Y",((($B14*$D14)*((1+$B$5)^G$7))*(1/((1+$F$5)^G$7))),0)), "")</f>
        <v/>
      </c>
      <c r="H14" s="27" t="str">
        <f>IF($A14&lt;&gt;"", (IF('3Replacement Costs - Entry'!AB15="Y",((($B14*$D14)*((1+$B$5)^H$7))*(1/((1+$F$5)^H$7))),0)), "")</f>
        <v/>
      </c>
      <c r="I14" s="27" t="str">
        <f>IF($A14&lt;&gt;"", (IF('3Replacement Costs - Entry'!AC15="Y",((($B14*$D14)*((1+$B$5)^I$7))*(1/((1+$F$5)^I$7))),0)), "")</f>
        <v/>
      </c>
    </row>
    <row r="15" spans="1:9">
      <c r="A15" s="29" t="str">
        <f>IF('3Capital Costs'!A16&lt;&gt;"", '3Capital Costs'!A16, "")</f>
        <v/>
      </c>
      <c r="B15" s="3" t="str">
        <f>IF('3Capital Costs'!B16&lt;&gt;"", '3Capital Costs'!B16, "")</f>
        <v/>
      </c>
      <c r="C15" s="46" t="str">
        <f>IF('3Capital Costs'!C16&lt;&gt;"", '3Capital Costs'!C16, "")</f>
        <v/>
      </c>
      <c r="D15" s="47" t="str">
        <f>IF('3Capital Costs'!D16&lt;&gt;"", '3Capital Costs'!D16, "")</f>
        <v/>
      </c>
      <c r="E15" s="27" t="str">
        <f>IF($A15&lt;&gt;"", (IF('3Replacement Costs - Entry'!Y16="Y",((($B15*$D15)*((1+$B$5)^E$7))*(1/((1+$F$5)^E$7))),0)), "")</f>
        <v/>
      </c>
      <c r="F15" s="27" t="str">
        <f>IF($A15&lt;&gt;"", (IF('3Replacement Costs - Entry'!Z16="Y",((($B15*$D15)*((1+$B$5)^F$7))*(1/((1+$F$5)^F$7))),0)), "")</f>
        <v/>
      </c>
      <c r="G15" s="27" t="str">
        <f>IF($A15&lt;&gt;"", (IF('3Replacement Costs - Entry'!AA16="Y",((($B15*$D15)*((1+$B$5)^G$7))*(1/((1+$F$5)^G$7))),0)), "")</f>
        <v/>
      </c>
      <c r="H15" s="27" t="str">
        <f>IF($A15&lt;&gt;"", (IF('3Replacement Costs - Entry'!AB16="Y",((($B15*$D15)*((1+$B$5)^H$7))*(1/((1+$F$5)^H$7))),0)), "")</f>
        <v/>
      </c>
      <c r="I15" s="27" t="str">
        <f>IF($A15&lt;&gt;"", (IF('3Replacement Costs - Entry'!AC16="Y",((($B15*$D15)*((1+$B$5)^I$7))*(1/((1+$F$5)^I$7))),0)), "")</f>
        <v/>
      </c>
    </row>
    <row r="16" spans="1:9">
      <c r="A16" s="29" t="str">
        <f>IF('3Capital Costs'!A17&lt;&gt;"", '3Capital Costs'!A17, "")</f>
        <v/>
      </c>
      <c r="B16" s="3" t="str">
        <f>IF('3Capital Costs'!B17&lt;&gt;"", '3Capital Costs'!B17, "")</f>
        <v/>
      </c>
      <c r="C16" s="46" t="str">
        <f>IF('3Capital Costs'!C17&lt;&gt;"", '3Capital Costs'!C17, "")</f>
        <v/>
      </c>
      <c r="D16" s="47" t="str">
        <f>IF('3Capital Costs'!D17&lt;&gt;"", '3Capital Costs'!D17, "")</f>
        <v/>
      </c>
      <c r="E16" s="27" t="str">
        <f>IF($A16&lt;&gt;"", (IF('3Replacement Costs - Entry'!Y17="Y",((($B16*$D16)*((1+$B$5)^E$7))*(1/((1+$F$5)^E$7))),0)), "")</f>
        <v/>
      </c>
      <c r="F16" s="27" t="str">
        <f>IF($A16&lt;&gt;"", (IF('3Replacement Costs - Entry'!Z17="Y",((($B16*$D16)*((1+$B$5)^F$7))*(1/((1+$F$5)^F$7))),0)), "")</f>
        <v/>
      </c>
      <c r="G16" s="27" t="str">
        <f>IF($A16&lt;&gt;"", (IF('3Replacement Costs - Entry'!AA17="Y",((($B16*$D16)*((1+$B$5)^G$7))*(1/((1+$F$5)^G$7))),0)), "")</f>
        <v/>
      </c>
      <c r="H16" s="27" t="str">
        <f>IF($A16&lt;&gt;"", (IF('3Replacement Costs - Entry'!AB17="Y",((($B16*$D16)*((1+$B$5)^H$7))*(1/((1+$F$5)^H$7))),0)), "")</f>
        <v/>
      </c>
      <c r="I16" s="27" t="str">
        <f>IF($A16&lt;&gt;"", (IF('3Replacement Costs - Entry'!AC17="Y",((($B16*$D16)*((1+$B$5)^I$7))*(1/((1+$F$5)^I$7))),0)), "")</f>
        <v/>
      </c>
    </row>
    <row r="17" spans="1:9">
      <c r="A17" s="29" t="str">
        <f>IF('3Capital Costs'!A18&lt;&gt;"", '3Capital Costs'!A18, "")</f>
        <v/>
      </c>
      <c r="B17" s="3" t="str">
        <f>IF('3Capital Costs'!B18&lt;&gt;"", '3Capital Costs'!B18, "")</f>
        <v/>
      </c>
      <c r="C17" s="46" t="str">
        <f>IF('3Capital Costs'!C18&lt;&gt;"", '3Capital Costs'!C18, "")</f>
        <v/>
      </c>
      <c r="D17" s="47" t="str">
        <f>IF('3Capital Costs'!D18&lt;&gt;"", '3Capital Costs'!D18, "")</f>
        <v/>
      </c>
      <c r="E17" s="27" t="str">
        <f>IF($A17&lt;&gt;"", (IF('3Replacement Costs - Entry'!Y18="Y",((($B17*$D17)*((1+$B$5)^E$7))*(1/((1+$F$5)^E$7))),0)), "")</f>
        <v/>
      </c>
      <c r="F17" s="27" t="str">
        <f>IF($A17&lt;&gt;"", (IF('3Replacement Costs - Entry'!Z18="Y",((($B17*$D17)*((1+$B$5)^F$7))*(1/((1+$F$5)^F$7))),0)), "")</f>
        <v/>
      </c>
      <c r="G17" s="27" t="str">
        <f>IF($A17&lt;&gt;"", (IF('3Replacement Costs - Entry'!AA18="Y",((($B17*$D17)*((1+$B$5)^G$7))*(1/((1+$F$5)^G$7))),0)), "")</f>
        <v/>
      </c>
      <c r="H17" s="27" t="str">
        <f>IF($A17&lt;&gt;"", (IF('3Replacement Costs - Entry'!AB18="Y",((($B17*$D17)*((1+$B$5)^H$7))*(1/((1+$F$5)^H$7))),0)), "")</f>
        <v/>
      </c>
      <c r="I17" s="27" t="str">
        <f>IF($A17&lt;&gt;"", (IF('3Replacement Costs - Entry'!AC18="Y",((($B17*$D17)*((1+$B$5)^I$7))*(1/((1+$F$5)^I$7))),0)), "")</f>
        <v/>
      </c>
    </row>
    <row r="18" spans="1:9">
      <c r="A18" s="29" t="str">
        <f>IF('3Capital Costs'!A19&lt;&gt;"", '3Capital Costs'!A19, "")</f>
        <v/>
      </c>
      <c r="B18" s="3" t="str">
        <f>IF('3Capital Costs'!B19&lt;&gt;"", '3Capital Costs'!B19, "")</f>
        <v/>
      </c>
      <c r="C18" s="46" t="str">
        <f>IF('3Capital Costs'!C19&lt;&gt;"", '3Capital Costs'!C19, "")</f>
        <v/>
      </c>
      <c r="D18" s="47" t="str">
        <f>IF('3Capital Costs'!D19&lt;&gt;"", '3Capital Costs'!D19, "")</f>
        <v/>
      </c>
      <c r="E18" s="27" t="str">
        <f>IF($A18&lt;&gt;"", (IF('3Replacement Costs - Entry'!Y19="Y",((($B18*$D18)*((1+$B$5)^E$7))*(1/((1+$F$5)^E$7))),0)), "")</f>
        <v/>
      </c>
      <c r="F18" s="27" t="str">
        <f>IF($A18&lt;&gt;"", (IF('3Replacement Costs - Entry'!Z19="Y",((($B18*$D18)*((1+$B$5)^F$7))*(1/((1+$F$5)^F$7))),0)), "")</f>
        <v/>
      </c>
      <c r="G18" s="27" t="str">
        <f>IF($A18&lt;&gt;"", (IF('3Replacement Costs - Entry'!AA19="Y",((($B18*$D18)*((1+$B$5)^G$7))*(1/((1+$F$5)^G$7))),0)), "")</f>
        <v/>
      </c>
      <c r="H18" s="27" t="str">
        <f>IF($A18&lt;&gt;"", (IF('3Replacement Costs - Entry'!AB19="Y",((($B18*$D18)*((1+$B$5)^H$7))*(1/((1+$F$5)^H$7))),0)), "")</f>
        <v/>
      </c>
      <c r="I18" s="27" t="str">
        <f>IF($A18&lt;&gt;"", (IF('3Replacement Costs - Entry'!AC19="Y",((($B18*$D18)*((1+$B$5)^I$7))*(1/((1+$F$5)^I$7))),0)), "")</f>
        <v/>
      </c>
    </row>
    <row r="19" spans="1:9">
      <c r="A19" s="29" t="str">
        <f>IF('3Capital Costs'!A20&lt;&gt;"", '3Capital Costs'!A20, "")</f>
        <v/>
      </c>
      <c r="B19" s="3" t="str">
        <f>IF('3Capital Costs'!B20&lt;&gt;"", '3Capital Costs'!B20, "")</f>
        <v/>
      </c>
      <c r="C19" s="46" t="str">
        <f>IF('3Capital Costs'!C20&lt;&gt;"", '3Capital Costs'!C20, "")</f>
        <v/>
      </c>
      <c r="D19" s="47" t="str">
        <f>IF('3Capital Costs'!D20&lt;&gt;"", '3Capital Costs'!D20, "")</f>
        <v/>
      </c>
      <c r="E19" s="27" t="str">
        <f>IF($A19&lt;&gt;"", (IF('3Replacement Costs - Entry'!Y20="Y",((($B19*$D19)*((1+$B$5)^E$7))*(1/((1+$F$5)^E$7))),0)), "")</f>
        <v/>
      </c>
      <c r="F19" s="27" t="str">
        <f>IF($A19&lt;&gt;"", (IF('3Replacement Costs - Entry'!Z20="Y",((($B19*$D19)*((1+$B$5)^F$7))*(1/((1+$F$5)^F$7))),0)), "")</f>
        <v/>
      </c>
      <c r="G19" s="27" t="str">
        <f>IF($A19&lt;&gt;"", (IF('3Replacement Costs - Entry'!AA20="Y",((($B19*$D19)*((1+$B$5)^G$7))*(1/((1+$F$5)^G$7))),0)), "")</f>
        <v/>
      </c>
      <c r="H19" s="27" t="str">
        <f>IF($A19&lt;&gt;"", (IF('3Replacement Costs - Entry'!AB20="Y",((($B19*$D19)*((1+$B$5)^H$7))*(1/((1+$F$5)^H$7))),0)), "")</f>
        <v/>
      </c>
      <c r="I19" s="27" t="str">
        <f>IF($A19&lt;&gt;"", (IF('3Replacement Costs - Entry'!AC20="Y",((($B19*$D19)*((1+$B$5)^I$7))*(1/((1+$F$5)^I$7))),0)), "")</f>
        <v/>
      </c>
    </row>
    <row r="20" spans="1:9">
      <c r="A20" s="29" t="str">
        <f>IF('3Capital Costs'!A21&lt;&gt;"", '3Capital Costs'!A21, "")</f>
        <v/>
      </c>
      <c r="B20" s="3" t="str">
        <f>IF('3Capital Costs'!B21&lt;&gt;"", '3Capital Costs'!B21, "")</f>
        <v/>
      </c>
      <c r="C20" s="46" t="str">
        <f>IF('3Capital Costs'!C21&lt;&gt;"", '3Capital Costs'!C21, "")</f>
        <v/>
      </c>
      <c r="D20" s="47" t="str">
        <f>IF('3Capital Costs'!D21&lt;&gt;"", '3Capital Costs'!D21, "")</f>
        <v/>
      </c>
      <c r="E20" s="27" t="str">
        <f>IF($A20&lt;&gt;"", (IF('3Replacement Costs - Entry'!Y21="Y",((($B20*$D20)*((1+$B$5)^E$7))*(1/((1+$F$5)^E$7))),0)), "")</f>
        <v/>
      </c>
      <c r="F20" s="27" t="str">
        <f>IF($A20&lt;&gt;"", (IF('3Replacement Costs - Entry'!Z21="Y",((($B20*$D20)*((1+$B$5)^F$7))*(1/((1+$F$5)^F$7))),0)), "")</f>
        <v/>
      </c>
      <c r="G20" s="27" t="str">
        <f>IF($A20&lt;&gt;"", (IF('3Replacement Costs - Entry'!AA21="Y",((($B20*$D20)*((1+$B$5)^G$7))*(1/((1+$F$5)^G$7))),0)), "")</f>
        <v/>
      </c>
      <c r="H20" s="27" t="str">
        <f>IF($A20&lt;&gt;"", (IF('3Replacement Costs - Entry'!AB21="Y",((($B20*$D20)*((1+$B$5)^H$7))*(1/((1+$F$5)^H$7))),0)), "")</f>
        <v/>
      </c>
      <c r="I20" s="27" t="str">
        <f>IF($A20&lt;&gt;"", (IF('3Replacement Costs - Entry'!AC21="Y",((($B20*$D20)*((1+$B$5)^I$7))*(1/((1+$F$5)^I$7))),0)), "")</f>
        <v/>
      </c>
    </row>
    <row r="21" spans="1:9">
      <c r="A21" s="29" t="str">
        <f>IF('3Capital Costs'!A22&lt;&gt;"", '3Capital Costs'!A22, "")</f>
        <v/>
      </c>
      <c r="B21" s="3" t="str">
        <f>IF('3Capital Costs'!B22&lt;&gt;"", '3Capital Costs'!B22, "")</f>
        <v/>
      </c>
      <c r="C21" s="46" t="str">
        <f>IF('3Capital Costs'!C22&lt;&gt;"", '3Capital Costs'!C22, "")</f>
        <v/>
      </c>
      <c r="D21" s="47" t="str">
        <f>IF('3Capital Costs'!D22&lt;&gt;"", '3Capital Costs'!D22, "")</f>
        <v/>
      </c>
      <c r="E21" s="27" t="str">
        <f>IF($A21&lt;&gt;"", (IF('3Replacement Costs - Entry'!Y22="Y",((($B21*$D21)*((1+$B$5)^E$7))*(1/((1+$F$5)^E$7))),0)), "")</f>
        <v/>
      </c>
      <c r="F21" s="27" t="str">
        <f>IF($A21&lt;&gt;"", (IF('3Replacement Costs - Entry'!Z22="Y",((($B21*$D21)*((1+$B$5)^F$7))*(1/((1+$F$5)^F$7))),0)), "")</f>
        <v/>
      </c>
      <c r="G21" s="27" t="str">
        <f>IF($A21&lt;&gt;"", (IF('3Replacement Costs - Entry'!AA22="Y",((($B21*$D21)*((1+$B$5)^G$7))*(1/((1+$F$5)^G$7))),0)), "")</f>
        <v/>
      </c>
      <c r="H21" s="27" t="str">
        <f>IF($A21&lt;&gt;"", (IF('3Replacement Costs - Entry'!AB22="Y",((($B21*$D21)*((1+$B$5)^H$7))*(1/((1+$F$5)^H$7))),0)), "")</f>
        <v/>
      </c>
      <c r="I21" s="27" t="str">
        <f>IF($A21&lt;&gt;"", (IF('3Replacement Costs - Entry'!AC22="Y",((($B21*$D21)*((1+$B$5)^I$7))*(1/((1+$F$5)^I$7))),0)), "")</f>
        <v/>
      </c>
    </row>
    <row r="22" spans="1:9">
      <c r="A22" s="29" t="str">
        <f>IF('3Capital Costs'!A23&lt;&gt;"", '3Capital Costs'!A23, "")</f>
        <v/>
      </c>
      <c r="B22" s="3" t="str">
        <f>IF('3Capital Costs'!B23&lt;&gt;"", '3Capital Costs'!B23, "")</f>
        <v/>
      </c>
      <c r="C22" s="46" t="str">
        <f>IF('3Capital Costs'!C23&lt;&gt;"", '3Capital Costs'!C23, "")</f>
        <v/>
      </c>
      <c r="D22" s="47" t="str">
        <f>IF('3Capital Costs'!D23&lt;&gt;"", '3Capital Costs'!D23, "")</f>
        <v/>
      </c>
      <c r="E22" s="27" t="str">
        <f>IF($A22&lt;&gt;"", (IF('3Replacement Costs - Entry'!Y23="Y",((($B22*$D22)*((1+$B$5)^E$7))*(1/((1+$F$5)^E$7))),0)), "")</f>
        <v/>
      </c>
      <c r="F22" s="27" t="str">
        <f>IF($A22&lt;&gt;"", (IF('3Replacement Costs - Entry'!Z23="Y",((($B22*$D22)*((1+$B$5)^F$7))*(1/((1+$F$5)^F$7))),0)), "")</f>
        <v/>
      </c>
      <c r="G22" s="27" t="str">
        <f>IF($A22&lt;&gt;"", (IF('3Replacement Costs - Entry'!AA23="Y",((($B22*$D22)*((1+$B$5)^G$7))*(1/((1+$F$5)^G$7))),0)), "")</f>
        <v/>
      </c>
      <c r="H22" s="27" t="str">
        <f>IF($A22&lt;&gt;"", (IF('3Replacement Costs - Entry'!AB23="Y",((($B22*$D22)*((1+$B$5)^H$7))*(1/((1+$F$5)^H$7))),0)), "")</f>
        <v/>
      </c>
      <c r="I22" s="27" t="str">
        <f>IF($A22&lt;&gt;"", (IF('3Replacement Costs - Entry'!AC23="Y",((($B22*$D22)*((1+$B$5)^I$7))*(1/((1+$F$5)^I$7))),0)), "")</f>
        <v/>
      </c>
    </row>
    <row r="23" spans="1:9">
      <c r="A23" s="29" t="str">
        <f>IF('3Capital Costs'!A24&lt;&gt;"", '3Capital Costs'!A24, "")</f>
        <v/>
      </c>
      <c r="B23" s="3" t="str">
        <f>IF('3Capital Costs'!B24&lt;&gt;"", '3Capital Costs'!B24, "")</f>
        <v/>
      </c>
      <c r="C23" s="46" t="str">
        <f>IF('3Capital Costs'!C24&lt;&gt;"", '3Capital Costs'!C24, "")</f>
        <v/>
      </c>
      <c r="D23" s="47" t="str">
        <f>IF('3Capital Costs'!D24&lt;&gt;"", '3Capital Costs'!D24, "")</f>
        <v/>
      </c>
      <c r="E23" s="27" t="str">
        <f>IF($A23&lt;&gt;"", (IF('3Replacement Costs - Entry'!Y24="Y",((($B23*$D23)*((1+$B$5)^E$7))*(1/((1+$F$5)^E$7))),0)), "")</f>
        <v/>
      </c>
      <c r="F23" s="27" t="str">
        <f>IF($A23&lt;&gt;"", (IF('3Replacement Costs - Entry'!Z24="Y",((($B23*$D23)*((1+$B$5)^F$7))*(1/((1+$F$5)^F$7))),0)), "")</f>
        <v/>
      </c>
      <c r="G23" s="27" t="str">
        <f>IF($A23&lt;&gt;"", (IF('3Replacement Costs - Entry'!AA24="Y",((($B23*$D23)*((1+$B$5)^G$7))*(1/((1+$F$5)^G$7))),0)), "")</f>
        <v/>
      </c>
      <c r="H23" s="27" t="str">
        <f>IF($A23&lt;&gt;"", (IF('3Replacement Costs - Entry'!AB24="Y",((($B23*$D23)*((1+$B$5)^H$7))*(1/((1+$F$5)^H$7))),0)), "")</f>
        <v/>
      </c>
      <c r="I23" s="27" t="str">
        <f>IF($A23&lt;&gt;"", (IF('3Replacement Costs - Entry'!AC24="Y",((($B23*$D23)*((1+$B$5)^I$7))*(1/((1+$F$5)^I$7))),0)), "")</f>
        <v/>
      </c>
    </row>
    <row r="24" spans="1:9">
      <c r="A24" s="29" t="str">
        <f>IF('3Capital Costs'!A25&lt;&gt;"", '3Capital Costs'!A25, "")</f>
        <v/>
      </c>
      <c r="B24" s="3" t="str">
        <f>IF('3Capital Costs'!B25&lt;&gt;"", '3Capital Costs'!B25, "")</f>
        <v/>
      </c>
      <c r="C24" s="46" t="str">
        <f>IF('3Capital Costs'!C25&lt;&gt;"", '3Capital Costs'!C25, "")</f>
        <v/>
      </c>
      <c r="D24" s="47" t="str">
        <f>IF('3Capital Costs'!D25&lt;&gt;"", '3Capital Costs'!D25, "")</f>
        <v/>
      </c>
      <c r="E24" s="27" t="str">
        <f>IF($A24&lt;&gt;"", (IF('3Replacement Costs - Entry'!Y25="Y",((($B24*$D24)*((1+$B$5)^E$7))*(1/((1+$F$5)^E$7))),0)), "")</f>
        <v/>
      </c>
      <c r="F24" s="27" t="str">
        <f>IF($A24&lt;&gt;"", (IF('3Replacement Costs - Entry'!Z25="Y",((($B24*$D24)*((1+$B$5)^F$7))*(1/((1+$F$5)^F$7))),0)), "")</f>
        <v/>
      </c>
      <c r="G24" s="27" t="str">
        <f>IF($A24&lt;&gt;"", (IF('3Replacement Costs - Entry'!AA25="Y",((($B24*$D24)*((1+$B$5)^G$7))*(1/((1+$F$5)^G$7))),0)), "")</f>
        <v/>
      </c>
      <c r="H24" s="27" t="str">
        <f>IF($A24&lt;&gt;"", (IF('3Replacement Costs - Entry'!AB25="Y",((($B24*$D24)*((1+$B$5)^H$7))*(1/((1+$F$5)^H$7))),0)), "")</f>
        <v/>
      </c>
      <c r="I24" s="27" t="str">
        <f>IF($A24&lt;&gt;"", (IF('3Replacement Costs - Entry'!AC25="Y",((($B24*$D24)*((1+$B$5)^I$7))*(1/((1+$F$5)^I$7))),0)), "")</f>
        <v/>
      </c>
    </row>
    <row r="25" spans="1:9">
      <c r="A25" s="29" t="str">
        <f>IF('3Capital Costs'!A26&lt;&gt;"", '3Capital Costs'!A26, "")</f>
        <v/>
      </c>
      <c r="B25" s="3" t="str">
        <f>IF('3Capital Costs'!B26&lt;&gt;"", '3Capital Costs'!B26, "")</f>
        <v/>
      </c>
      <c r="C25" s="46" t="str">
        <f>IF('3Capital Costs'!C26&lt;&gt;"", '3Capital Costs'!C26, "")</f>
        <v/>
      </c>
      <c r="D25" s="47" t="str">
        <f>IF('3Capital Costs'!D26&lt;&gt;"", '3Capital Costs'!D26, "")</f>
        <v/>
      </c>
      <c r="E25" s="27" t="str">
        <f>IF($A25&lt;&gt;"", (IF('3Replacement Costs - Entry'!Y26="Y",((($B25*$D25)*((1+$B$5)^E$7))*(1/((1+$F$5)^E$7))),0)), "")</f>
        <v/>
      </c>
      <c r="F25" s="27" t="str">
        <f>IF($A25&lt;&gt;"", (IF('3Replacement Costs - Entry'!Z26="Y",((($B25*$D25)*((1+$B$5)^F$7))*(1/((1+$F$5)^F$7))),0)), "")</f>
        <v/>
      </c>
      <c r="G25" s="27" t="str">
        <f>IF($A25&lt;&gt;"", (IF('3Replacement Costs - Entry'!AA26="Y",((($B25*$D25)*((1+$B$5)^G$7))*(1/((1+$F$5)^G$7))),0)), "")</f>
        <v/>
      </c>
      <c r="H25" s="27" t="str">
        <f>IF($A25&lt;&gt;"", (IF('3Replacement Costs - Entry'!AB26="Y",((($B25*$D25)*((1+$B$5)^H$7))*(1/((1+$F$5)^H$7))),0)), "")</f>
        <v/>
      </c>
      <c r="I25" s="27" t="str">
        <f>IF($A25&lt;&gt;"", (IF('3Replacement Costs - Entry'!AC26="Y",((($B25*$D25)*((1+$B$5)^I$7))*(1/((1+$F$5)^I$7))),0)), "")</f>
        <v/>
      </c>
    </row>
    <row r="26" spans="1:9">
      <c r="A26" s="29" t="str">
        <f>IF('3Capital Costs'!A27&lt;&gt;"", '3Capital Costs'!A27, "")</f>
        <v/>
      </c>
      <c r="B26" s="3" t="str">
        <f>IF('3Capital Costs'!B27&lt;&gt;"", '3Capital Costs'!B27, "")</f>
        <v/>
      </c>
      <c r="C26" s="46" t="str">
        <f>IF('3Capital Costs'!C27&lt;&gt;"", '3Capital Costs'!C27, "")</f>
        <v/>
      </c>
      <c r="D26" s="47" t="str">
        <f>IF('3Capital Costs'!D27&lt;&gt;"", '3Capital Costs'!D27, "")</f>
        <v/>
      </c>
      <c r="E26" s="27" t="str">
        <f>IF($A26&lt;&gt;"", (IF('3Replacement Costs - Entry'!Y27="Y",((($B26*$D26)*((1+$B$5)^E$7))*(1/((1+$F$5)^E$7))),0)), "")</f>
        <v/>
      </c>
      <c r="F26" s="27" t="str">
        <f>IF($A26&lt;&gt;"", (IF('3Replacement Costs - Entry'!Z27="Y",((($B26*$D26)*((1+$B$5)^F$7))*(1/((1+$F$5)^F$7))),0)), "")</f>
        <v/>
      </c>
      <c r="G26" s="27" t="str">
        <f>IF($A26&lt;&gt;"", (IF('3Replacement Costs - Entry'!AA27="Y",((($B26*$D26)*((1+$B$5)^G$7))*(1/((1+$F$5)^G$7))),0)), "")</f>
        <v/>
      </c>
      <c r="H26" s="27" t="str">
        <f>IF($A26&lt;&gt;"", (IF('3Replacement Costs - Entry'!AB27="Y",((($B26*$D26)*((1+$B$5)^H$7))*(1/((1+$F$5)^H$7))),0)), "")</f>
        <v/>
      </c>
      <c r="I26" s="27" t="str">
        <f>IF($A26&lt;&gt;"", (IF('3Replacement Costs - Entry'!AC27="Y",((($B26*$D26)*((1+$B$5)^I$7))*(1/((1+$F$5)^I$7))),0)), "")</f>
        <v/>
      </c>
    </row>
    <row r="27" spans="1:9">
      <c r="A27" s="29" t="str">
        <f>IF('3Capital Costs'!A28&lt;&gt;"", '3Capital Costs'!A28, "")</f>
        <v/>
      </c>
      <c r="B27" s="3" t="str">
        <f>IF('3Capital Costs'!B28&lt;&gt;"", '3Capital Costs'!B28, "")</f>
        <v/>
      </c>
      <c r="C27" s="46" t="str">
        <f>IF('3Capital Costs'!C28&lt;&gt;"", '3Capital Costs'!C28, "")</f>
        <v/>
      </c>
      <c r="D27" s="47" t="str">
        <f>IF('3Capital Costs'!D28&lt;&gt;"", '3Capital Costs'!D28, "")</f>
        <v/>
      </c>
      <c r="E27" s="27" t="str">
        <f>IF($A27&lt;&gt;"", (IF('3Replacement Costs - Entry'!Y28="Y",((($B27*$D27)*((1+$B$5)^E$7))*(1/((1+$F$5)^E$7))),0)), "")</f>
        <v/>
      </c>
      <c r="F27" s="27" t="str">
        <f>IF($A27&lt;&gt;"", (IF('3Replacement Costs - Entry'!Z28="Y",((($B27*$D27)*((1+$B$5)^F$7))*(1/((1+$F$5)^F$7))),0)), "")</f>
        <v/>
      </c>
      <c r="G27" s="27" t="str">
        <f>IF($A27&lt;&gt;"", (IF('3Replacement Costs - Entry'!AA28="Y",((($B27*$D27)*((1+$B$5)^G$7))*(1/((1+$F$5)^G$7))),0)), "")</f>
        <v/>
      </c>
      <c r="H27" s="27" t="str">
        <f>IF($A27&lt;&gt;"", (IF('3Replacement Costs - Entry'!AB28="Y",((($B27*$D27)*((1+$B$5)^H$7))*(1/((1+$F$5)^H$7))),0)), "")</f>
        <v/>
      </c>
      <c r="I27" s="27" t="str">
        <f>IF($A27&lt;&gt;"", (IF('3Replacement Costs - Entry'!AC28="Y",((($B27*$D27)*((1+$B$5)^I$7))*(1/((1+$F$5)^I$7))),0)), "")</f>
        <v/>
      </c>
    </row>
    <row r="28" spans="1:9">
      <c r="A28" s="29" t="str">
        <f>IF('3Capital Costs'!A29&lt;&gt;"", '3Capital Costs'!A29, "")</f>
        <v/>
      </c>
      <c r="B28" s="3" t="str">
        <f>IF('3Capital Costs'!B29&lt;&gt;"", '3Capital Costs'!B29, "")</f>
        <v/>
      </c>
      <c r="C28" s="46" t="str">
        <f>IF('3Capital Costs'!C29&lt;&gt;"", '3Capital Costs'!C29, "")</f>
        <v/>
      </c>
      <c r="D28" s="47" t="str">
        <f>IF('3Capital Costs'!D29&lt;&gt;"", '3Capital Costs'!D29, "")</f>
        <v/>
      </c>
      <c r="E28" s="27" t="str">
        <f>IF($A28&lt;&gt;"", (IF('3Replacement Costs - Entry'!Y29="Y",((($B28*$D28)*((1+$B$5)^E$7))*(1/((1+$F$5)^E$7))),0)), "")</f>
        <v/>
      </c>
      <c r="F28" s="27" t="str">
        <f>IF($A28&lt;&gt;"", (IF('3Replacement Costs - Entry'!Z29="Y",((($B28*$D28)*((1+$B$5)^F$7))*(1/((1+$F$5)^F$7))),0)), "")</f>
        <v/>
      </c>
      <c r="G28" s="27" t="str">
        <f>IF($A28&lt;&gt;"", (IF('3Replacement Costs - Entry'!AA29="Y",((($B28*$D28)*((1+$B$5)^G$7))*(1/((1+$F$5)^G$7))),0)), "")</f>
        <v/>
      </c>
      <c r="H28" s="27" t="str">
        <f>IF($A28&lt;&gt;"", (IF('3Replacement Costs - Entry'!AB29="Y",((($B28*$D28)*((1+$B$5)^H$7))*(1/((1+$F$5)^H$7))),0)), "")</f>
        <v/>
      </c>
      <c r="I28" s="27" t="str">
        <f>IF($A28&lt;&gt;"", (IF('3Replacement Costs - Entry'!AC29="Y",((($B28*$D28)*((1+$B$5)^I$7))*(1/((1+$F$5)^I$7))),0)), "")</f>
        <v/>
      </c>
    </row>
    <row r="29" spans="1:9">
      <c r="A29" s="29" t="str">
        <f>IF('3Capital Costs'!A30&lt;&gt;"", '3Capital Costs'!A30, "")</f>
        <v/>
      </c>
      <c r="B29" s="3" t="str">
        <f>IF('3Capital Costs'!B30&lt;&gt;"", '3Capital Costs'!B30, "")</f>
        <v/>
      </c>
      <c r="C29" s="46" t="str">
        <f>IF('3Capital Costs'!C30&lt;&gt;"", '3Capital Costs'!C30, "")</f>
        <v/>
      </c>
      <c r="D29" s="47" t="str">
        <f>IF('3Capital Costs'!D30&lt;&gt;"", '3Capital Costs'!D30, "")</f>
        <v/>
      </c>
      <c r="E29" s="27" t="str">
        <f>IF($A29&lt;&gt;"", (IF('3Replacement Costs - Entry'!Y30="Y",((($B29*$D29)*((1+$B$5)^E$7))*(1/((1+$F$5)^E$7))),0)), "")</f>
        <v/>
      </c>
      <c r="F29" s="27" t="str">
        <f>IF($A29&lt;&gt;"", (IF('3Replacement Costs - Entry'!Z30="Y",((($B29*$D29)*((1+$B$5)^F$7))*(1/((1+$F$5)^F$7))),0)), "")</f>
        <v/>
      </c>
      <c r="G29" s="27" t="str">
        <f>IF($A29&lt;&gt;"", (IF('3Replacement Costs - Entry'!AA30="Y",((($B29*$D29)*((1+$B$5)^G$7))*(1/((1+$F$5)^G$7))),0)), "")</f>
        <v/>
      </c>
      <c r="H29" s="27" t="str">
        <f>IF($A29&lt;&gt;"", (IF('3Replacement Costs - Entry'!AB30="Y",((($B29*$D29)*((1+$B$5)^H$7))*(1/((1+$F$5)^H$7))),0)), "")</f>
        <v/>
      </c>
      <c r="I29" s="27" t="str">
        <f>IF($A29&lt;&gt;"", (IF('3Replacement Costs - Entry'!AC30="Y",((($B29*$D29)*((1+$B$5)^I$7))*(1/((1+$F$5)^I$7))),0)), "")</f>
        <v/>
      </c>
    </row>
    <row r="30" spans="1:9">
      <c r="A30" s="29" t="str">
        <f>IF('3Capital Costs'!A31&lt;&gt;"", '3Capital Costs'!A31, "")</f>
        <v/>
      </c>
      <c r="B30" s="3" t="str">
        <f>IF('3Capital Costs'!B31&lt;&gt;"", '3Capital Costs'!B31, "")</f>
        <v/>
      </c>
      <c r="C30" s="46" t="str">
        <f>IF('3Capital Costs'!C31&lt;&gt;"", '3Capital Costs'!C31, "")</f>
        <v/>
      </c>
      <c r="D30" s="47" t="str">
        <f>IF('3Capital Costs'!D31&lt;&gt;"", '3Capital Costs'!D31, "")</f>
        <v/>
      </c>
      <c r="E30" s="27" t="str">
        <f>IF($A30&lt;&gt;"", (IF('3Replacement Costs - Entry'!Y31="Y",((($B30*$D30)*((1+$B$5)^E$7))*(1/((1+$F$5)^E$7))),0)), "")</f>
        <v/>
      </c>
      <c r="F30" s="27" t="str">
        <f>IF($A30&lt;&gt;"", (IF('3Replacement Costs - Entry'!Z31="Y",((($B30*$D30)*((1+$B$5)^F$7))*(1/((1+$F$5)^F$7))),0)), "")</f>
        <v/>
      </c>
      <c r="G30" s="27" t="str">
        <f>IF($A30&lt;&gt;"", (IF('3Replacement Costs - Entry'!AA31="Y",((($B30*$D30)*((1+$B$5)^G$7))*(1/((1+$F$5)^G$7))),0)), "")</f>
        <v/>
      </c>
      <c r="H30" s="27" t="str">
        <f>IF($A30&lt;&gt;"", (IF('3Replacement Costs - Entry'!AB31="Y",((($B30*$D30)*((1+$B$5)^H$7))*(1/((1+$F$5)^H$7))),0)), "")</f>
        <v/>
      </c>
      <c r="I30" s="27" t="str">
        <f>IF($A30&lt;&gt;"", (IF('3Replacement Costs - Entry'!AC31="Y",((($B30*$D30)*((1+$B$5)^I$7))*(1/((1+$F$5)^I$7))),0)), "")</f>
        <v/>
      </c>
    </row>
    <row r="31" spans="1:9">
      <c r="A31" s="29" t="str">
        <f>IF('3Capital Costs'!A32&lt;&gt;"", '3Capital Costs'!A32, "")</f>
        <v/>
      </c>
      <c r="B31" s="3" t="str">
        <f>IF('3Capital Costs'!B32&lt;&gt;"", '3Capital Costs'!B32, "")</f>
        <v/>
      </c>
      <c r="C31" s="46" t="str">
        <f>IF('3Capital Costs'!C32&lt;&gt;"", '3Capital Costs'!C32, "")</f>
        <v/>
      </c>
      <c r="D31" s="47" t="str">
        <f>IF('3Capital Costs'!D32&lt;&gt;"", '3Capital Costs'!D32, "")</f>
        <v/>
      </c>
      <c r="E31" s="27" t="str">
        <f>IF($A31&lt;&gt;"", (IF('3Replacement Costs - Entry'!Y32="Y",((($B31*$D31)*((1+$B$5)^E$7))*(1/((1+$F$5)^E$7))),0)), "")</f>
        <v/>
      </c>
      <c r="F31" s="27" t="str">
        <f>IF($A31&lt;&gt;"", (IF('3Replacement Costs - Entry'!Z32="Y",((($B31*$D31)*((1+$B$5)^F$7))*(1/((1+$F$5)^F$7))),0)), "")</f>
        <v/>
      </c>
      <c r="G31" s="27" t="str">
        <f>IF($A31&lt;&gt;"", (IF('3Replacement Costs - Entry'!AA32="Y",((($B31*$D31)*((1+$B$5)^G$7))*(1/((1+$F$5)^G$7))),0)), "")</f>
        <v/>
      </c>
      <c r="H31" s="27" t="str">
        <f>IF($A31&lt;&gt;"", (IF('3Replacement Costs - Entry'!AB32="Y",((($B31*$D31)*((1+$B$5)^H$7))*(1/((1+$F$5)^H$7))),0)), "")</f>
        <v/>
      </c>
      <c r="I31" s="27" t="str">
        <f>IF($A31&lt;&gt;"", (IF('3Replacement Costs - Entry'!AC32="Y",((($B31*$D31)*((1+$B$5)^I$7))*(1/((1+$F$5)^I$7))),0)), "")</f>
        <v/>
      </c>
    </row>
    <row r="32" spans="1:9">
      <c r="A32" s="29" t="str">
        <f>IF('3Capital Costs'!A33&lt;&gt;"", '3Capital Costs'!A33, "")</f>
        <v/>
      </c>
      <c r="B32" s="3" t="str">
        <f>IF('3Capital Costs'!B33&lt;&gt;"", '3Capital Costs'!B33, "")</f>
        <v/>
      </c>
      <c r="C32" s="46" t="str">
        <f>IF('3Capital Costs'!C33&lt;&gt;"", '3Capital Costs'!C33, "")</f>
        <v/>
      </c>
      <c r="D32" s="47" t="str">
        <f>IF('3Capital Costs'!D33&lt;&gt;"", '3Capital Costs'!D33, "")</f>
        <v/>
      </c>
      <c r="E32" s="27" t="str">
        <f>IF($A32&lt;&gt;"", (IF('3Replacement Costs - Entry'!Y33="Y",((($B32*$D32)*((1+$B$5)^E$7))*(1/((1+$F$5)^E$7))),0)), "")</f>
        <v/>
      </c>
      <c r="F32" s="27" t="str">
        <f>IF($A32&lt;&gt;"", (IF('3Replacement Costs - Entry'!Z33="Y",((($B32*$D32)*((1+$B$5)^F$7))*(1/((1+$F$5)^F$7))),0)), "")</f>
        <v/>
      </c>
      <c r="G32" s="27" t="str">
        <f>IF($A32&lt;&gt;"", (IF('3Replacement Costs - Entry'!AA33="Y",((($B32*$D32)*((1+$B$5)^G$7))*(1/((1+$F$5)^G$7))),0)), "")</f>
        <v/>
      </c>
      <c r="H32" s="27" t="str">
        <f>IF($A32&lt;&gt;"", (IF('3Replacement Costs - Entry'!AB33="Y",((($B32*$D32)*((1+$B$5)^H$7))*(1/((1+$F$5)^H$7))),0)), "")</f>
        <v/>
      </c>
      <c r="I32" s="27" t="str">
        <f>IF($A32&lt;&gt;"", (IF('3Replacement Costs - Entry'!AC33="Y",((($B32*$D32)*((1+$B$5)^I$7))*(1/((1+$F$5)^I$7))),0)), "")</f>
        <v/>
      </c>
    </row>
    <row r="33" spans="1:9">
      <c r="A33" s="29" t="str">
        <f>IF('3Capital Costs'!A34&lt;&gt;"", '3Capital Costs'!A34, "")</f>
        <v/>
      </c>
      <c r="B33" s="3" t="str">
        <f>IF('3Capital Costs'!B34&lt;&gt;"", '3Capital Costs'!B34, "")</f>
        <v/>
      </c>
      <c r="C33" s="46" t="str">
        <f>IF('3Capital Costs'!C34&lt;&gt;"", '3Capital Costs'!C34, "")</f>
        <v/>
      </c>
      <c r="D33" s="47" t="str">
        <f>IF('3Capital Costs'!D34&lt;&gt;"", '3Capital Costs'!D34, "")</f>
        <v/>
      </c>
      <c r="E33" s="27" t="str">
        <f>IF($A33&lt;&gt;"", (IF('3Replacement Costs - Entry'!Y34="Y",((($B33*$D33)*((1+$B$5)^E$7))*(1/((1+$F$5)^E$7))),0)), "")</f>
        <v/>
      </c>
      <c r="F33" s="27" t="str">
        <f>IF($A33&lt;&gt;"", (IF('3Replacement Costs - Entry'!Z34="Y",((($B33*$D33)*((1+$B$5)^F$7))*(1/((1+$F$5)^F$7))),0)), "")</f>
        <v/>
      </c>
      <c r="G33" s="27" t="str">
        <f>IF($A33&lt;&gt;"", (IF('3Replacement Costs - Entry'!AA34="Y",((($B33*$D33)*((1+$B$5)^G$7))*(1/((1+$F$5)^G$7))),0)), "")</f>
        <v/>
      </c>
      <c r="H33" s="27" t="str">
        <f>IF($A33&lt;&gt;"", (IF('3Replacement Costs - Entry'!AB34="Y",((($B33*$D33)*((1+$B$5)^H$7))*(1/((1+$F$5)^H$7))),0)), "")</f>
        <v/>
      </c>
      <c r="I33" s="27" t="str">
        <f>IF($A33&lt;&gt;"", (IF('3Replacement Costs - Entry'!AC34="Y",((($B33*$D33)*((1+$B$5)^I$7))*(1/((1+$F$5)^I$7))),0)), "")</f>
        <v/>
      </c>
    </row>
    <row r="34" spans="1:9">
      <c r="A34" s="29" t="str">
        <f>IF('3Capital Costs'!A35&lt;&gt;"", '3Capital Costs'!A35, "")</f>
        <v/>
      </c>
      <c r="B34" s="3" t="str">
        <f>IF('3Capital Costs'!B35&lt;&gt;"", '3Capital Costs'!B35, "")</f>
        <v/>
      </c>
      <c r="C34" s="46" t="str">
        <f>IF('3Capital Costs'!C35&lt;&gt;"", '3Capital Costs'!C35, "")</f>
        <v/>
      </c>
      <c r="D34" s="47" t="str">
        <f>IF('3Capital Costs'!D35&lt;&gt;"", '3Capital Costs'!D35, "")</f>
        <v/>
      </c>
      <c r="E34" s="27" t="str">
        <f>IF($A34&lt;&gt;"", (IF('3Replacement Costs - Entry'!Y35="Y",((($B34*$D34)*((1+$B$5)^E$7))*(1/((1+$F$5)^E$7))),0)), "")</f>
        <v/>
      </c>
      <c r="F34" s="27" t="str">
        <f>IF($A34&lt;&gt;"", (IF('3Replacement Costs - Entry'!Z35="Y",((($B34*$D34)*((1+$B$5)^F$7))*(1/((1+$F$5)^F$7))),0)), "")</f>
        <v/>
      </c>
      <c r="G34" s="27" t="str">
        <f>IF($A34&lt;&gt;"", (IF('3Replacement Costs - Entry'!AA35="Y",((($B34*$D34)*((1+$B$5)^G$7))*(1/((1+$F$5)^G$7))),0)), "")</f>
        <v/>
      </c>
      <c r="H34" s="27" t="str">
        <f>IF($A34&lt;&gt;"", (IF('3Replacement Costs - Entry'!AB35="Y",((($B34*$D34)*((1+$B$5)^H$7))*(1/((1+$F$5)^H$7))),0)), "")</f>
        <v/>
      </c>
      <c r="I34" s="27" t="str">
        <f>IF($A34&lt;&gt;"", (IF('3Replacement Costs - Entry'!AC35="Y",((($B34*$D34)*((1+$B$5)^I$7))*(1/((1+$F$5)^I$7))),0)), "")</f>
        <v/>
      </c>
    </row>
    <row r="35" spans="1:9">
      <c r="A35" s="29" t="str">
        <f>IF('3Capital Costs'!A36&lt;&gt;"", '3Capital Costs'!A36, "")</f>
        <v/>
      </c>
      <c r="B35" s="3" t="str">
        <f>IF('3Capital Costs'!B36&lt;&gt;"", '3Capital Costs'!B36, "")</f>
        <v/>
      </c>
      <c r="C35" s="46" t="str">
        <f>IF('3Capital Costs'!C36&lt;&gt;"", '3Capital Costs'!C36, "")</f>
        <v/>
      </c>
      <c r="D35" s="47" t="str">
        <f>IF('3Capital Costs'!D36&lt;&gt;"", '3Capital Costs'!D36, "")</f>
        <v/>
      </c>
      <c r="E35" s="27" t="str">
        <f>IF($A35&lt;&gt;"", (IF('3Replacement Costs - Entry'!Y36="Y",((($B35*$D35)*((1+$B$5)^E$7))*(1/((1+$F$5)^E$7))),0)), "")</f>
        <v/>
      </c>
      <c r="F35" s="27" t="str">
        <f>IF($A35&lt;&gt;"", (IF('3Replacement Costs - Entry'!Z36="Y",((($B35*$D35)*((1+$B$5)^F$7))*(1/((1+$F$5)^F$7))),0)), "")</f>
        <v/>
      </c>
      <c r="G35" s="27" t="str">
        <f>IF($A35&lt;&gt;"", (IF('3Replacement Costs - Entry'!AA36="Y",((($B35*$D35)*((1+$B$5)^G$7))*(1/((1+$F$5)^G$7))),0)), "")</f>
        <v/>
      </c>
      <c r="H35" s="27" t="str">
        <f>IF($A35&lt;&gt;"", (IF('3Replacement Costs - Entry'!AB36="Y",((($B35*$D35)*((1+$B$5)^H$7))*(1/((1+$F$5)^H$7))),0)), "")</f>
        <v/>
      </c>
      <c r="I35" s="27" t="str">
        <f>IF($A35&lt;&gt;"", (IF('3Replacement Costs - Entry'!AC36="Y",((($B35*$D35)*((1+$B$5)^I$7))*(1/((1+$F$5)^I$7))),0)), "")</f>
        <v/>
      </c>
    </row>
    <row r="36" spans="1:9">
      <c r="A36" s="29" t="str">
        <f>IF('3Capital Costs'!A37&lt;&gt;"", '3Capital Costs'!A37, "")</f>
        <v/>
      </c>
      <c r="B36" s="3" t="str">
        <f>IF('3Capital Costs'!B37&lt;&gt;"", '3Capital Costs'!B37, "")</f>
        <v/>
      </c>
      <c r="C36" s="46" t="str">
        <f>IF('3Capital Costs'!C37&lt;&gt;"", '3Capital Costs'!C37, "")</f>
        <v/>
      </c>
      <c r="D36" s="47" t="str">
        <f>IF('3Capital Costs'!D37&lt;&gt;"", '3Capital Costs'!D37, "")</f>
        <v/>
      </c>
      <c r="E36" s="27" t="str">
        <f>IF($A36&lt;&gt;"", (IF('3Replacement Costs - Entry'!Y37="Y",((($B36*$D36)*((1+$B$5)^E$7))*(1/((1+$F$5)^E$7))),0)), "")</f>
        <v/>
      </c>
      <c r="F36" s="27" t="str">
        <f>IF($A36&lt;&gt;"", (IF('3Replacement Costs - Entry'!Z37="Y",((($B36*$D36)*((1+$B$5)^F$7))*(1/((1+$F$5)^F$7))),0)), "")</f>
        <v/>
      </c>
      <c r="G36" s="27" t="str">
        <f>IF($A36&lt;&gt;"", (IF('3Replacement Costs - Entry'!AA37="Y",((($B36*$D36)*((1+$B$5)^G$7))*(1/((1+$F$5)^G$7))),0)), "")</f>
        <v/>
      </c>
      <c r="H36" s="27" t="str">
        <f>IF($A36&lt;&gt;"", (IF('3Replacement Costs - Entry'!AB37="Y",((($B36*$D36)*((1+$B$5)^H$7))*(1/((1+$F$5)^H$7))),0)), "")</f>
        <v/>
      </c>
      <c r="I36" s="27" t="str">
        <f>IF($A36&lt;&gt;"", (IF('3Replacement Costs - Entry'!AC37="Y",((($B36*$D36)*((1+$B$5)^I$7))*(1/((1+$F$5)^I$7))),0)), "")</f>
        <v/>
      </c>
    </row>
    <row r="37" spans="1:9">
      <c r="A37" s="23"/>
      <c r="B37" s="23"/>
      <c r="C37" s="23"/>
      <c r="D37" s="36" t="s">
        <v>46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38" spans="1:9">
      <c r="H38" s="2" t="s">
        <v>45</v>
      </c>
      <c r="I38" s="28">
        <f>'3Replace Costs - Results 1-5'!E37+'3Replace Costs - Results 1-5'!F37+'3Replace Costs - Results 1-5'!G37+'3Replace Costs - Results 1-5'!H37+'3Replace Costs - Results 1-5'!I37+'3Replace Costs-Results 6-10'!E37+'3Replace Costs-Results 6-10'!F37+'3Replace Costs-Results 6-10'!G37+'3Replace Costs-Results 6-10'!H37+'3Replace Costs-Results 6-10'!I37+'3Replace Costs-Results 11-15'!E37+'3Replace Costs-Results 11-15'!F37+'3Replace Costs-Results 11-15'!G37+'3Replace Costs-Results 11-15'!H37+'3Replace Costs-Results 11-15'!I37+'3Replace Costs-Results 16-20'!E37+'3Replace Costs-Results 16-20'!F37+'3Replace Costs-Results 16-20'!G37+'3Replace Costs-Results 16-20'!H37+'3Replace Costs-Results 16-20'!I37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6" fitToWidth="4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selection activeCell="D9" sqref="A9:D12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4" width="9.7109375" style="1" customWidth="1"/>
    <col min="15" max="16384" width="9.140625" style="1"/>
  </cols>
  <sheetData>
    <row r="1" spans="1:14">
      <c r="A1" s="137" t="s">
        <v>162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'3Capital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144" t="s">
        <v>61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6"/>
    </row>
    <row r="6" spans="1:14">
      <c r="A6" s="74" t="str">
        <f>'2Yearly O&amp;M Costs 1-10'!A6</f>
        <v>Current Inflation Rate Based on Municipal Cost Index:</v>
      </c>
      <c r="B6" s="75">
        <f>'2Yearly O&amp;M Costs 1-10'!B6</f>
        <v>2.7598896044158234E-2</v>
      </c>
      <c r="C6" s="91"/>
      <c r="D6" s="91"/>
      <c r="E6" s="96"/>
      <c r="G6" s="96"/>
      <c r="H6" s="96"/>
      <c r="I6" s="96"/>
      <c r="J6" s="96"/>
      <c r="K6" s="96"/>
      <c r="L6" s="96"/>
      <c r="M6" s="96" t="s">
        <v>43</v>
      </c>
      <c r="N6" s="101">
        <f>'Replace Costs-Results 16-20'!F5</f>
        <v>4.8750000000000002E-2</v>
      </c>
    </row>
    <row r="7" spans="1:14">
      <c r="A7" s="74"/>
      <c r="B7" s="75"/>
      <c r="C7" s="91"/>
      <c r="D7" s="91"/>
      <c r="E7" s="151" t="s">
        <v>53</v>
      </c>
      <c r="F7" s="147"/>
      <c r="G7" s="147"/>
      <c r="H7" s="147"/>
      <c r="I7" s="147"/>
      <c r="J7" s="147"/>
      <c r="K7" s="147"/>
      <c r="L7" s="147"/>
      <c r="M7" s="147"/>
      <c r="N7" s="148"/>
    </row>
    <row r="8" spans="1:14">
      <c r="A8" s="12" t="s">
        <v>4</v>
      </c>
      <c r="B8" s="12" t="s">
        <v>0</v>
      </c>
      <c r="C8" s="12" t="s">
        <v>5</v>
      </c>
      <c r="D8" s="12" t="s">
        <v>1</v>
      </c>
      <c r="E8" s="39">
        <v>1</v>
      </c>
      <c r="F8" s="39">
        <v>2</v>
      </c>
      <c r="G8" s="39">
        <v>3</v>
      </c>
      <c r="H8" s="39">
        <v>4</v>
      </c>
      <c r="I8" s="39">
        <v>5</v>
      </c>
      <c r="J8" s="39">
        <v>6</v>
      </c>
      <c r="K8" s="39">
        <v>7</v>
      </c>
      <c r="L8" s="39">
        <v>8</v>
      </c>
      <c r="M8" s="39">
        <v>9</v>
      </c>
      <c r="N8" s="39">
        <v>10</v>
      </c>
    </row>
    <row r="9" spans="1:14">
      <c r="A9" s="97"/>
      <c r="B9" s="81"/>
      <c r="C9" s="86"/>
      <c r="D9" s="89"/>
      <c r="E9" s="34" t="str">
        <f t="shared" ref="E9:N24" si="0">IF($A9&lt;&gt;"", (($B9*$D9)*((1+$B$6)^E$8)*(1/((1+$N$6)^E$8))), "")</f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7"/>
      <c r="B10" s="81"/>
      <c r="C10" s="86"/>
      <c r="D10" s="89"/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7"/>
      <c r="B11" s="81"/>
      <c r="C11" s="86"/>
      <c r="D11" s="89"/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7"/>
      <c r="B12" s="81"/>
      <c r="C12" s="84"/>
      <c r="D12" s="89"/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7"/>
      <c r="B13" s="83"/>
      <c r="C13" s="86"/>
      <c r="D13" s="89"/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7"/>
      <c r="B14" s="83"/>
      <c r="C14" s="86"/>
      <c r="D14" s="89"/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7"/>
      <c r="B15" s="81"/>
      <c r="C15" s="86"/>
      <c r="D15" s="89"/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7"/>
      <c r="B16" s="81"/>
      <c r="C16" s="86"/>
      <c r="D16" s="90"/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7"/>
      <c r="B17" s="81"/>
      <c r="C17" s="86"/>
      <c r="D17" s="90"/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7"/>
      <c r="B18" s="81"/>
      <c r="C18" s="86"/>
      <c r="D18" s="90"/>
      <c r="E18" s="34" t="str">
        <f t="shared" si="0"/>
        <v/>
      </c>
      <c r="F18" s="34" t="str">
        <f t="shared" si="0"/>
        <v/>
      </c>
      <c r="G18" s="34" t="str">
        <f t="shared" si="0"/>
        <v/>
      </c>
      <c r="H18" s="34" t="str">
        <f t="shared" si="0"/>
        <v/>
      </c>
      <c r="I18" s="34" t="str">
        <f t="shared" si="0"/>
        <v/>
      </c>
      <c r="J18" s="34" t="str">
        <f t="shared" si="0"/>
        <v/>
      </c>
      <c r="K18" s="34" t="str">
        <f t="shared" si="0"/>
        <v/>
      </c>
      <c r="L18" s="34" t="str">
        <f t="shared" si="0"/>
        <v/>
      </c>
      <c r="M18" s="34" t="str">
        <f t="shared" si="0"/>
        <v/>
      </c>
      <c r="N18" s="35" t="str">
        <f t="shared" si="0"/>
        <v/>
      </c>
    </row>
    <row r="19" spans="1:14">
      <c r="A19" s="97"/>
      <c r="B19" s="81"/>
      <c r="C19" s="86"/>
      <c r="D19" s="90"/>
      <c r="E19" s="34" t="str">
        <f t="shared" si="0"/>
        <v/>
      </c>
      <c r="F19" s="34" t="str">
        <f t="shared" si="0"/>
        <v/>
      </c>
      <c r="G19" s="34" t="str">
        <f t="shared" si="0"/>
        <v/>
      </c>
      <c r="H19" s="34" t="str">
        <f t="shared" si="0"/>
        <v/>
      </c>
      <c r="I19" s="34" t="str">
        <f t="shared" si="0"/>
        <v/>
      </c>
      <c r="J19" s="34" t="str">
        <f t="shared" si="0"/>
        <v/>
      </c>
      <c r="K19" s="34" t="str">
        <f t="shared" si="0"/>
        <v/>
      </c>
      <c r="L19" s="34" t="str">
        <f t="shared" si="0"/>
        <v/>
      </c>
      <c r="M19" s="34" t="str">
        <f t="shared" si="0"/>
        <v/>
      </c>
      <c r="N19" s="35" t="str">
        <f t="shared" si="0"/>
        <v/>
      </c>
    </row>
    <row r="20" spans="1:14">
      <c r="A20" s="97"/>
      <c r="B20" s="81"/>
      <c r="C20" s="86"/>
      <c r="D20" s="90"/>
      <c r="E20" s="34" t="str">
        <f t="shared" si="0"/>
        <v/>
      </c>
      <c r="F20" s="34" t="str">
        <f t="shared" si="0"/>
        <v/>
      </c>
      <c r="G20" s="34" t="str">
        <f t="shared" si="0"/>
        <v/>
      </c>
      <c r="H20" s="34" t="str">
        <f t="shared" si="0"/>
        <v/>
      </c>
      <c r="I20" s="34" t="str">
        <f t="shared" si="0"/>
        <v/>
      </c>
      <c r="J20" s="34" t="str">
        <f t="shared" si="0"/>
        <v/>
      </c>
      <c r="K20" s="34" t="str">
        <f t="shared" si="0"/>
        <v/>
      </c>
      <c r="L20" s="34" t="str">
        <f t="shared" si="0"/>
        <v/>
      </c>
      <c r="M20" s="34" t="str">
        <f t="shared" si="0"/>
        <v/>
      </c>
      <c r="N20" s="35" t="str">
        <f t="shared" si="0"/>
        <v/>
      </c>
    </row>
    <row r="21" spans="1:14">
      <c r="A21" s="97"/>
      <c r="B21" s="81"/>
      <c r="C21" s="86"/>
      <c r="D21" s="90"/>
      <c r="E21" s="34" t="str">
        <f t="shared" si="0"/>
        <v/>
      </c>
      <c r="F21" s="34" t="str">
        <f t="shared" si="0"/>
        <v/>
      </c>
      <c r="G21" s="34" t="str">
        <f t="shared" si="0"/>
        <v/>
      </c>
      <c r="H21" s="34" t="str">
        <f t="shared" si="0"/>
        <v/>
      </c>
      <c r="I21" s="34" t="str">
        <f t="shared" si="0"/>
        <v/>
      </c>
      <c r="J21" s="34" t="str">
        <f t="shared" si="0"/>
        <v/>
      </c>
      <c r="K21" s="34" t="str">
        <f t="shared" si="0"/>
        <v/>
      </c>
      <c r="L21" s="34" t="str">
        <f t="shared" si="0"/>
        <v/>
      </c>
      <c r="M21" s="34" t="str">
        <f t="shared" si="0"/>
        <v/>
      </c>
      <c r="N21" s="35" t="str">
        <f t="shared" si="0"/>
        <v/>
      </c>
    </row>
    <row r="22" spans="1:14">
      <c r="A22" s="97"/>
      <c r="B22" s="81"/>
      <c r="C22" s="86"/>
      <c r="D22" s="90"/>
      <c r="E22" s="34" t="str">
        <f t="shared" si="0"/>
        <v/>
      </c>
      <c r="F22" s="34" t="str">
        <f t="shared" si="0"/>
        <v/>
      </c>
      <c r="G22" s="34" t="str">
        <f t="shared" si="0"/>
        <v/>
      </c>
      <c r="H22" s="34" t="str">
        <f t="shared" si="0"/>
        <v/>
      </c>
      <c r="I22" s="34" t="str">
        <f t="shared" si="0"/>
        <v/>
      </c>
      <c r="J22" s="34" t="str">
        <f t="shared" si="0"/>
        <v/>
      </c>
      <c r="K22" s="34" t="str">
        <f t="shared" si="0"/>
        <v/>
      </c>
      <c r="L22" s="34" t="str">
        <f t="shared" si="0"/>
        <v/>
      </c>
      <c r="M22" s="34" t="str">
        <f t="shared" si="0"/>
        <v/>
      </c>
      <c r="N22" s="35" t="str">
        <f t="shared" si="0"/>
        <v/>
      </c>
    </row>
    <row r="23" spans="1:14">
      <c r="A23" s="97"/>
      <c r="B23" s="81"/>
      <c r="C23" s="86"/>
      <c r="D23" s="90"/>
      <c r="E23" s="34" t="str">
        <f t="shared" si="0"/>
        <v/>
      </c>
      <c r="F23" s="34" t="str">
        <f t="shared" si="0"/>
        <v/>
      </c>
      <c r="G23" s="34" t="str">
        <f t="shared" si="0"/>
        <v/>
      </c>
      <c r="H23" s="34" t="str">
        <f t="shared" si="0"/>
        <v/>
      </c>
      <c r="I23" s="34" t="str">
        <f t="shared" si="0"/>
        <v/>
      </c>
      <c r="J23" s="34" t="str">
        <f t="shared" si="0"/>
        <v/>
      </c>
      <c r="K23" s="34" t="str">
        <f t="shared" si="0"/>
        <v/>
      </c>
      <c r="L23" s="34" t="str">
        <f t="shared" si="0"/>
        <v/>
      </c>
      <c r="M23" s="34" t="str">
        <f t="shared" si="0"/>
        <v/>
      </c>
      <c r="N23" s="35" t="str">
        <f t="shared" si="0"/>
        <v/>
      </c>
    </row>
    <row r="24" spans="1:14">
      <c r="A24" s="97"/>
      <c r="B24" s="81"/>
      <c r="C24" s="86"/>
      <c r="D24" s="90"/>
      <c r="E24" s="34" t="str">
        <f t="shared" si="0"/>
        <v/>
      </c>
      <c r="F24" s="34" t="str">
        <f t="shared" si="0"/>
        <v/>
      </c>
      <c r="G24" s="34" t="str">
        <f t="shared" si="0"/>
        <v/>
      </c>
      <c r="H24" s="34" t="str">
        <f t="shared" si="0"/>
        <v/>
      </c>
      <c r="I24" s="34" t="str">
        <f t="shared" si="0"/>
        <v/>
      </c>
      <c r="J24" s="34" t="str">
        <f t="shared" si="0"/>
        <v/>
      </c>
      <c r="K24" s="34" t="str">
        <f t="shared" si="0"/>
        <v/>
      </c>
      <c r="L24" s="34" t="str">
        <f t="shared" si="0"/>
        <v/>
      </c>
      <c r="M24" s="34" t="str">
        <f t="shared" si="0"/>
        <v/>
      </c>
      <c r="N24" s="35" t="str">
        <f t="shared" si="0"/>
        <v/>
      </c>
    </row>
    <row r="25" spans="1:14">
      <c r="A25" s="97"/>
      <c r="B25" s="81"/>
      <c r="C25" s="86"/>
      <c r="D25" s="90"/>
      <c r="E25" s="34" t="str">
        <f t="shared" ref="E25:N31" si="1">IF($A25&lt;&gt;"", (($B25*$D25)*((1+$B$6)^E$8)*(1/((1+$N$6)^E$8))), "")</f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7"/>
      <c r="B26" s="81"/>
      <c r="C26" s="86"/>
      <c r="D26" s="90"/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7"/>
      <c r="B27" s="81"/>
      <c r="C27" s="86"/>
      <c r="D27" s="90"/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7"/>
      <c r="B28" s="81"/>
      <c r="C28" s="86"/>
      <c r="D28" s="90"/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7"/>
      <c r="B29" s="81"/>
      <c r="C29" s="86"/>
      <c r="D29" s="90"/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7"/>
      <c r="B30" s="81"/>
      <c r="C30" s="86"/>
      <c r="D30" s="90"/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7"/>
      <c r="B31" s="81"/>
      <c r="C31" s="86"/>
      <c r="D31" s="90"/>
      <c r="E31" s="34" t="str">
        <f t="shared" si="1"/>
        <v/>
      </c>
      <c r="F31" s="34" t="str">
        <f t="shared" si="1"/>
        <v/>
      </c>
      <c r="G31" s="34" t="str">
        <f t="shared" si="1"/>
        <v/>
      </c>
      <c r="H31" s="34" t="str">
        <f t="shared" si="1"/>
        <v/>
      </c>
      <c r="I31" s="34" t="str">
        <f t="shared" si="1"/>
        <v/>
      </c>
      <c r="J31" s="34" t="str">
        <f t="shared" si="1"/>
        <v/>
      </c>
      <c r="K31" s="34" t="str">
        <f t="shared" si="1"/>
        <v/>
      </c>
      <c r="L31" s="34" t="str">
        <f t="shared" si="1"/>
        <v/>
      </c>
      <c r="M31" s="34" t="str">
        <f t="shared" si="1"/>
        <v/>
      </c>
      <c r="N31" s="35" t="str">
        <f t="shared" si="1"/>
        <v/>
      </c>
    </row>
    <row r="32" spans="1:14">
      <c r="A32" s="9"/>
      <c r="B32" s="23"/>
      <c r="C32" s="23"/>
      <c r="D32" s="37" t="s">
        <v>54</v>
      </c>
      <c r="E32" s="28">
        <f>SUM(E9:E31)</f>
        <v>0</v>
      </c>
      <c r="F32" s="28">
        <f t="shared" ref="F32:N32" si="2">SUM(F9:F31)</f>
        <v>0</v>
      </c>
      <c r="G32" s="28">
        <f t="shared" si="2"/>
        <v>0</v>
      </c>
      <c r="H32" s="28">
        <f t="shared" si="2"/>
        <v>0</v>
      </c>
      <c r="I32" s="28">
        <f t="shared" si="2"/>
        <v>0</v>
      </c>
      <c r="J32" s="28">
        <f t="shared" si="2"/>
        <v>0</v>
      </c>
      <c r="K32" s="28">
        <f t="shared" si="2"/>
        <v>0</v>
      </c>
      <c r="L32" s="28">
        <f t="shared" si="2"/>
        <v>0</v>
      </c>
      <c r="M32" s="28">
        <f t="shared" si="2"/>
        <v>0</v>
      </c>
      <c r="N32" s="28">
        <f t="shared" si="2"/>
        <v>0</v>
      </c>
    </row>
    <row r="35" spans="1:2" hidden="1">
      <c r="A35" s="6" t="s">
        <v>7</v>
      </c>
      <c r="B35" s="33">
        <v>4.8750000000000002E-2</v>
      </c>
    </row>
  </sheetData>
  <sheetProtection sheet="1" objects="1" scenarios="1"/>
  <mergeCells count="6">
    <mergeCell ref="E7:N7"/>
    <mergeCell ref="A1:N1"/>
    <mergeCell ref="A2:N2"/>
    <mergeCell ref="A3:N3"/>
    <mergeCell ref="A4:N4"/>
    <mergeCell ref="A5:N5"/>
  </mergeCells>
  <printOptions horizontalCentered="1"/>
  <pageMargins left="0.5" right="0.5" top="0.5" bottom="0.5" header="0.3" footer="0.3"/>
  <pageSetup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34"/>
  <sheetViews>
    <sheetView workbookViewId="0">
      <selection activeCell="A2" sqref="A2:N2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3" width="9.7109375" style="1" customWidth="1"/>
    <col min="14" max="14" width="12.7109375" style="1" customWidth="1"/>
    <col min="15" max="16384" width="9.140625" style="1"/>
  </cols>
  <sheetData>
    <row r="1" spans="1:14">
      <c r="A1" s="137" t="s">
        <v>163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'3Capital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'3Yearly O&amp;M Costs 1-10'!A6</f>
        <v>Current Inflation Rate Based on Municipal Cost Index:</v>
      </c>
      <c r="B5" s="75">
        <f>'3Yearly O&amp;M Costs 1-10'!B6</f>
        <v>2.7598896044158234E-2</v>
      </c>
      <c r="C5" s="91"/>
      <c r="D5" s="91"/>
      <c r="E5" s="96"/>
      <c r="G5" s="96"/>
      <c r="H5" s="96"/>
      <c r="I5" s="96"/>
      <c r="J5" s="96"/>
      <c r="K5" s="96"/>
      <c r="L5" s="96"/>
      <c r="M5" s="96" t="s">
        <v>43</v>
      </c>
      <c r="N5" s="101">
        <f>'Replace Costs-Results 16-20'!F5</f>
        <v>4.8750000000000002E-2</v>
      </c>
    </row>
    <row r="6" spans="1:14">
      <c r="A6" s="74"/>
      <c r="B6" s="75"/>
      <c r="C6" s="91"/>
      <c r="D6" s="91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2" t="s">
        <v>4</v>
      </c>
      <c r="B7" s="12" t="s">
        <v>0</v>
      </c>
      <c r="C7" s="12" t="s">
        <v>5</v>
      </c>
      <c r="D7" s="12" t="s">
        <v>1</v>
      </c>
      <c r="E7" s="39">
        <v>11</v>
      </c>
      <c r="F7" s="39">
        <v>12</v>
      </c>
      <c r="G7" s="39">
        <v>13</v>
      </c>
      <c r="H7" s="39">
        <v>14</v>
      </c>
      <c r="I7" s="39">
        <v>15</v>
      </c>
      <c r="J7" s="39">
        <v>16</v>
      </c>
      <c r="K7" s="39">
        <v>17</v>
      </c>
      <c r="L7" s="39">
        <v>18</v>
      </c>
      <c r="M7" s="39">
        <v>19</v>
      </c>
      <c r="N7" s="39">
        <v>20</v>
      </c>
    </row>
    <row r="8" spans="1:14">
      <c r="A8" s="98" t="str">
        <f>IF('3Yearly O&amp;M Costs 1-10'!A9&lt;&gt;"", '3Yearly O&amp;M Costs 1-10'!A9, "")</f>
        <v/>
      </c>
      <c r="B8" s="113" t="str">
        <f>IF('3Yearly O&amp;M Costs 1-10'!B9&lt;&gt;"", '3Yearly O&amp;M Costs 1-10'!B9, "")</f>
        <v/>
      </c>
      <c r="C8" s="98" t="str">
        <f>IF('3Yearly O&amp;M Costs 1-10'!C9&lt;&gt;"", '3Yearly O&amp;M Costs 1-10'!C9, "")</f>
        <v/>
      </c>
      <c r="D8" s="109" t="str">
        <f>IF('3Yearly O&amp;M Costs 1-10'!D9&lt;&gt;"", '3Yearly O&amp;M Costs 1-10'!D9, "")</f>
        <v/>
      </c>
      <c r="E8" s="34" t="str">
        <f t="shared" ref="E8:N23" si="0">IF($A8&lt;&gt;"", (($B8*$D8)*((1+$B$5)^E$7)*(1/((1+$N$5)^E$7))), "")</f>
        <v/>
      </c>
      <c r="F8" s="34" t="str">
        <f t="shared" si="0"/>
        <v/>
      </c>
      <c r="G8" s="34" t="str">
        <f t="shared" si="0"/>
        <v/>
      </c>
      <c r="H8" s="34" t="str">
        <f t="shared" si="0"/>
        <v/>
      </c>
      <c r="I8" s="34" t="str">
        <f t="shared" si="0"/>
        <v/>
      </c>
      <c r="J8" s="34" t="str">
        <f t="shared" si="0"/>
        <v/>
      </c>
      <c r="K8" s="34" t="str">
        <f t="shared" si="0"/>
        <v/>
      </c>
      <c r="L8" s="34" t="str">
        <f t="shared" si="0"/>
        <v/>
      </c>
      <c r="M8" s="34" t="str">
        <f t="shared" si="0"/>
        <v/>
      </c>
      <c r="N8" s="35" t="str">
        <f t="shared" si="0"/>
        <v/>
      </c>
    </row>
    <row r="9" spans="1:14">
      <c r="A9" s="98" t="str">
        <f>IF('3Yearly O&amp;M Costs 1-10'!A10&lt;&gt;"", '3Yearly O&amp;M Costs 1-10'!A10, "")</f>
        <v/>
      </c>
      <c r="B9" s="113" t="str">
        <f>IF('3Yearly O&amp;M Costs 1-10'!B10&lt;&gt;"", '3Yearly O&amp;M Costs 1-10'!B10, "")</f>
        <v/>
      </c>
      <c r="C9" s="98" t="str">
        <f>IF('3Yearly O&amp;M Costs 1-10'!C10&lt;&gt;"", '3Yearly O&amp;M Costs 1-10'!C10, "")</f>
        <v/>
      </c>
      <c r="D9" s="109" t="str">
        <f>IF('3Yearly O&amp;M Costs 1-10'!D10&lt;&gt;"", '3Yearly O&amp;M Costs 1-10'!D10, "")</f>
        <v/>
      </c>
      <c r="E9" s="34" t="str">
        <f t="shared" si="0"/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8" t="str">
        <f>IF('3Yearly O&amp;M Costs 1-10'!A11&lt;&gt;"", '3Yearly O&amp;M Costs 1-10'!A11, "")</f>
        <v/>
      </c>
      <c r="B10" s="113" t="str">
        <f>IF('3Yearly O&amp;M Costs 1-10'!B11&lt;&gt;"", '3Yearly O&amp;M Costs 1-10'!B11, "")</f>
        <v/>
      </c>
      <c r="C10" s="98" t="str">
        <f>IF('3Yearly O&amp;M Costs 1-10'!C11&lt;&gt;"", '3Yearly O&amp;M Costs 1-10'!C11, "")</f>
        <v/>
      </c>
      <c r="D10" s="109" t="str">
        <f>IF('3Yearly O&amp;M Costs 1-10'!D11&lt;&gt;"", '3Yearly O&amp;M Costs 1-10'!D11, "")</f>
        <v/>
      </c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8" t="str">
        <f>IF('3Yearly O&amp;M Costs 1-10'!A12&lt;&gt;"", '3Yearly O&amp;M Costs 1-10'!A12, "")</f>
        <v/>
      </c>
      <c r="B11" s="113" t="str">
        <f>IF('3Yearly O&amp;M Costs 1-10'!B12&lt;&gt;"", '3Yearly O&amp;M Costs 1-10'!B12, "")</f>
        <v/>
      </c>
      <c r="C11" s="98" t="str">
        <f>IF('3Yearly O&amp;M Costs 1-10'!C12&lt;&gt;"", '3Yearly O&amp;M Costs 1-10'!C12, "")</f>
        <v/>
      </c>
      <c r="D11" s="109" t="str">
        <f>IF('3Yearly O&amp;M Costs 1-10'!D12&lt;&gt;"", '3Yearly O&amp;M Costs 1-10'!D12, "")</f>
        <v/>
      </c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8" t="str">
        <f>IF('3Yearly O&amp;M Costs 1-10'!A13&lt;&gt;"", '3Yearly O&amp;M Costs 1-10'!A13, "")</f>
        <v/>
      </c>
      <c r="B12" s="113" t="str">
        <f>IF('3Yearly O&amp;M Costs 1-10'!B13&lt;&gt;"", '3Yearly O&amp;M Costs 1-10'!B13, "")</f>
        <v/>
      </c>
      <c r="C12" s="98" t="str">
        <f>IF('3Yearly O&amp;M Costs 1-10'!C13&lt;&gt;"", '3Yearly O&amp;M Costs 1-10'!C13, "")</f>
        <v/>
      </c>
      <c r="D12" s="109" t="str">
        <f>IF('3Yearly O&amp;M Costs 1-10'!D13&lt;&gt;"", '3Yearly O&amp;M Costs 1-10'!D13, "")</f>
        <v/>
      </c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8" t="str">
        <f>IF('3Yearly O&amp;M Costs 1-10'!A14&lt;&gt;"", '3Yearly O&amp;M Costs 1-10'!A14, "")</f>
        <v/>
      </c>
      <c r="B13" s="113" t="str">
        <f>IF('3Yearly O&amp;M Costs 1-10'!B14&lt;&gt;"", '3Yearly O&amp;M Costs 1-10'!B14, "")</f>
        <v/>
      </c>
      <c r="C13" s="98" t="str">
        <f>IF('3Yearly O&amp;M Costs 1-10'!C14&lt;&gt;"", '3Yearly O&amp;M Costs 1-10'!C14, "")</f>
        <v/>
      </c>
      <c r="D13" s="109" t="str">
        <f>IF('3Yearly O&amp;M Costs 1-10'!D14&lt;&gt;"", '3Yearly O&amp;M Costs 1-10'!D14, "")</f>
        <v/>
      </c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8" t="str">
        <f>IF('3Yearly O&amp;M Costs 1-10'!A15&lt;&gt;"", '3Yearly O&amp;M Costs 1-10'!A15, "")</f>
        <v/>
      </c>
      <c r="B14" s="113" t="str">
        <f>IF('3Yearly O&amp;M Costs 1-10'!B15&lt;&gt;"", '3Yearly O&amp;M Costs 1-10'!B15, "")</f>
        <v/>
      </c>
      <c r="C14" s="98" t="str">
        <f>IF('3Yearly O&amp;M Costs 1-10'!C15&lt;&gt;"", '3Yearly O&amp;M Costs 1-10'!C15, "")</f>
        <v/>
      </c>
      <c r="D14" s="109" t="str">
        <f>IF('3Yearly O&amp;M Costs 1-10'!D15&lt;&gt;"", '3Yearly O&amp;M Costs 1-10'!D15, "")</f>
        <v/>
      </c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8" t="str">
        <f>IF('3Yearly O&amp;M Costs 1-10'!A16&lt;&gt;"", '3Yearly O&amp;M Costs 1-10'!A16, "")</f>
        <v/>
      </c>
      <c r="B15" s="113" t="str">
        <f>IF('3Yearly O&amp;M Costs 1-10'!B16&lt;&gt;"", '3Yearly O&amp;M Costs 1-10'!B16, "")</f>
        <v/>
      </c>
      <c r="C15" s="98" t="str">
        <f>IF('3Yearly O&amp;M Costs 1-10'!C16&lt;&gt;"", '3Yearly O&amp;M Costs 1-10'!C16, "")</f>
        <v/>
      </c>
      <c r="D15" s="109" t="str">
        <f>IF('3Yearly O&amp;M Costs 1-10'!D16&lt;&gt;"", '3Yearly O&amp;M Costs 1-10'!D16, "")</f>
        <v/>
      </c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8" t="str">
        <f>IF('3Yearly O&amp;M Costs 1-10'!A17&lt;&gt;"", '3Yearly O&amp;M Costs 1-10'!A17, "")</f>
        <v/>
      </c>
      <c r="B16" s="113" t="str">
        <f>IF('3Yearly O&amp;M Costs 1-10'!B17&lt;&gt;"", '3Yearly O&amp;M Costs 1-10'!B17, "")</f>
        <v/>
      </c>
      <c r="C16" s="98" t="str">
        <f>IF('3Yearly O&amp;M Costs 1-10'!C17&lt;&gt;"", '3Yearly O&amp;M Costs 1-10'!C17, "")</f>
        <v/>
      </c>
      <c r="D16" s="109" t="str">
        <f>IF('3Yearly O&amp;M Costs 1-10'!D17&lt;&gt;"", '3Yearly O&amp;M Costs 1-10'!D17, "")</f>
        <v/>
      </c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8" t="str">
        <f>IF('3Yearly O&amp;M Costs 1-10'!A18&lt;&gt;"", '3Yearly O&amp;M Costs 1-10'!A18, "")</f>
        <v/>
      </c>
      <c r="B17" s="113" t="str">
        <f>IF('3Yearly O&amp;M Costs 1-10'!B18&lt;&gt;"", '3Yearly O&amp;M Costs 1-10'!B18, "")</f>
        <v/>
      </c>
      <c r="C17" s="98" t="str">
        <f>IF('3Yearly O&amp;M Costs 1-10'!C18&lt;&gt;"", '3Yearly O&amp;M Costs 1-10'!C18, "")</f>
        <v/>
      </c>
      <c r="D17" s="109" t="str">
        <f>IF('3Yearly O&amp;M Costs 1-10'!D18&lt;&gt;"", '3Yearly O&amp;M Costs 1-10'!D18, "")</f>
        <v/>
      </c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8" t="str">
        <f>IF('3Yearly O&amp;M Costs 1-10'!A19&lt;&gt;"", '3Yearly O&amp;M Costs 1-10'!A19, "")</f>
        <v/>
      </c>
      <c r="B18" s="113" t="str">
        <f>IF('3Yearly O&amp;M Costs 1-10'!B19&lt;&gt;"", '3Yearly O&amp;M Costs 1-10'!B19, "")</f>
        <v/>
      </c>
      <c r="C18" s="98" t="str">
        <f>IF('3Yearly O&amp;M Costs 1-10'!C19&lt;&gt;"", '3Yearly O&amp;M Costs 1-10'!C19, "")</f>
        <v/>
      </c>
      <c r="D18" s="109" t="str">
        <f>IF('3Yearly O&amp;M Costs 1-10'!D19&lt;&gt;"", '3Yearly O&amp;M Costs 1-10'!D19, "")</f>
        <v/>
      </c>
      <c r="E18" s="34" t="str">
        <f t="shared" si="0"/>
        <v/>
      </c>
      <c r="F18" s="34" t="str">
        <f t="shared" si="0"/>
        <v/>
      </c>
      <c r="G18" s="34" t="str">
        <f t="shared" si="0"/>
        <v/>
      </c>
      <c r="H18" s="34" t="str">
        <f t="shared" si="0"/>
        <v/>
      </c>
      <c r="I18" s="34" t="str">
        <f t="shared" si="0"/>
        <v/>
      </c>
      <c r="J18" s="34" t="str">
        <f t="shared" si="0"/>
        <v/>
      </c>
      <c r="K18" s="34" t="str">
        <f t="shared" si="0"/>
        <v/>
      </c>
      <c r="L18" s="34" t="str">
        <f t="shared" si="0"/>
        <v/>
      </c>
      <c r="M18" s="34" t="str">
        <f t="shared" si="0"/>
        <v/>
      </c>
      <c r="N18" s="35" t="str">
        <f t="shared" si="0"/>
        <v/>
      </c>
    </row>
    <row r="19" spans="1:14">
      <c r="A19" s="98" t="str">
        <f>IF('3Yearly O&amp;M Costs 1-10'!A20&lt;&gt;"", '3Yearly O&amp;M Costs 1-10'!A20, "")</f>
        <v/>
      </c>
      <c r="B19" s="113" t="str">
        <f>IF('3Yearly O&amp;M Costs 1-10'!B20&lt;&gt;"", '3Yearly O&amp;M Costs 1-10'!B20, "")</f>
        <v/>
      </c>
      <c r="C19" s="98" t="str">
        <f>IF('3Yearly O&amp;M Costs 1-10'!C20&lt;&gt;"", '3Yearly O&amp;M Costs 1-10'!C20, "")</f>
        <v/>
      </c>
      <c r="D19" s="109" t="str">
        <f>IF('3Yearly O&amp;M Costs 1-10'!D20&lt;&gt;"", '3Yearly O&amp;M Costs 1-10'!D20, "")</f>
        <v/>
      </c>
      <c r="E19" s="34" t="str">
        <f t="shared" si="0"/>
        <v/>
      </c>
      <c r="F19" s="34" t="str">
        <f t="shared" si="0"/>
        <v/>
      </c>
      <c r="G19" s="34" t="str">
        <f t="shared" si="0"/>
        <v/>
      </c>
      <c r="H19" s="34" t="str">
        <f t="shared" si="0"/>
        <v/>
      </c>
      <c r="I19" s="34" t="str">
        <f t="shared" si="0"/>
        <v/>
      </c>
      <c r="J19" s="34" t="str">
        <f t="shared" si="0"/>
        <v/>
      </c>
      <c r="K19" s="34" t="str">
        <f t="shared" si="0"/>
        <v/>
      </c>
      <c r="L19" s="34" t="str">
        <f t="shared" si="0"/>
        <v/>
      </c>
      <c r="M19" s="34" t="str">
        <f t="shared" si="0"/>
        <v/>
      </c>
      <c r="N19" s="35" t="str">
        <f t="shared" si="0"/>
        <v/>
      </c>
    </row>
    <row r="20" spans="1:14">
      <c r="A20" s="98" t="str">
        <f>IF('3Yearly O&amp;M Costs 1-10'!A21&lt;&gt;"", '3Yearly O&amp;M Costs 1-10'!A21, "")</f>
        <v/>
      </c>
      <c r="B20" s="113" t="str">
        <f>IF('3Yearly O&amp;M Costs 1-10'!B21&lt;&gt;"", '3Yearly O&amp;M Costs 1-10'!B21, "")</f>
        <v/>
      </c>
      <c r="C20" s="98" t="str">
        <f>IF('3Yearly O&amp;M Costs 1-10'!C21&lt;&gt;"", '3Yearly O&amp;M Costs 1-10'!C21, "")</f>
        <v/>
      </c>
      <c r="D20" s="109" t="str">
        <f>IF('3Yearly O&amp;M Costs 1-10'!D21&lt;&gt;"", '3Yearly O&amp;M Costs 1-10'!D21, "")</f>
        <v/>
      </c>
      <c r="E20" s="34" t="str">
        <f t="shared" si="0"/>
        <v/>
      </c>
      <c r="F20" s="34" t="str">
        <f t="shared" si="0"/>
        <v/>
      </c>
      <c r="G20" s="34" t="str">
        <f t="shared" si="0"/>
        <v/>
      </c>
      <c r="H20" s="34" t="str">
        <f t="shared" si="0"/>
        <v/>
      </c>
      <c r="I20" s="34" t="str">
        <f t="shared" si="0"/>
        <v/>
      </c>
      <c r="J20" s="34" t="str">
        <f t="shared" si="0"/>
        <v/>
      </c>
      <c r="K20" s="34" t="str">
        <f t="shared" si="0"/>
        <v/>
      </c>
      <c r="L20" s="34" t="str">
        <f t="shared" si="0"/>
        <v/>
      </c>
      <c r="M20" s="34" t="str">
        <f t="shared" si="0"/>
        <v/>
      </c>
      <c r="N20" s="35" t="str">
        <f t="shared" si="0"/>
        <v/>
      </c>
    </row>
    <row r="21" spans="1:14">
      <c r="A21" s="98" t="str">
        <f>IF('3Yearly O&amp;M Costs 1-10'!A22&lt;&gt;"", '3Yearly O&amp;M Costs 1-10'!A22, "")</f>
        <v/>
      </c>
      <c r="B21" s="113" t="str">
        <f>IF('3Yearly O&amp;M Costs 1-10'!B22&lt;&gt;"", '3Yearly O&amp;M Costs 1-10'!B22, "")</f>
        <v/>
      </c>
      <c r="C21" s="98" t="str">
        <f>IF('3Yearly O&amp;M Costs 1-10'!C22&lt;&gt;"", '3Yearly O&amp;M Costs 1-10'!C22, "")</f>
        <v/>
      </c>
      <c r="D21" s="109" t="str">
        <f>IF('3Yearly O&amp;M Costs 1-10'!D22&lt;&gt;"", '3Yearly O&amp;M Costs 1-10'!D22, "")</f>
        <v/>
      </c>
      <c r="E21" s="34" t="str">
        <f t="shared" si="0"/>
        <v/>
      </c>
      <c r="F21" s="34" t="str">
        <f t="shared" si="0"/>
        <v/>
      </c>
      <c r="G21" s="34" t="str">
        <f t="shared" si="0"/>
        <v/>
      </c>
      <c r="H21" s="34" t="str">
        <f t="shared" si="0"/>
        <v/>
      </c>
      <c r="I21" s="34" t="str">
        <f t="shared" si="0"/>
        <v/>
      </c>
      <c r="J21" s="34" t="str">
        <f t="shared" si="0"/>
        <v/>
      </c>
      <c r="K21" s="34" t="str">
        <f t="shared" si="0"/>
        <v/>
      </c>
      <c r="L21" s="34" t="str">
        <f t="shared" si="0"/>
        <v/>
      </c>
      <c r="M21" s="34" t="str">
        <f t="shared" si="0"/>
        <v/>
      </c>
      <c r="N21" s="35" t="str">
        <f t="shared" si="0"/>
        <v/>
      </c>
    </row>
    <row r="22" spans="1:14">
      <c r="A22" s="98" t="str">
        <f>IF('3Yearly O&amp;M Costs 1-10'!A23&lt;&gt;"", '3Yearly O&amp;M Costs 1-10'!A23, "")</f>
        <v/>
      </c>
      <c r="B22" s="113" t="str">
        <f>IF('3Yearly O&amp;M Costs 1-10'!B23&lt;&gt;"", '3Yearly O&amp;M Costs 1-10'!B23, "")</f>
        <v/>
      </c>
      <c r="C22" s="98" t="str">
        <f>IF('3Yearly O&amp;M Costs 1-10'!C23&lt;&gt;"", '3Yearly O&amp;M Costs 1-10'!C23, "")</f>
        <v/>
      </c>
      <c r="D22" s="109" t="str">
        <f>IF('3Yearly O&amp;M Costs 1-10'!D23&lt;&gt;"", '3Yearly O&amp;M Costs 1-10'!D23, "")</f>
        <v/>
      </c>
      <c r="E22" s="34" t="str">
        <f t="shared" si="0"/>
        <v/>
      </c>
      <c r="F22" s="34" t="str">
        <f t="shared" si="0"/>
        <v/>
      </c>
      <c r="G22" s="34" t="str">
        <f t="shared" si="0"/>
        <v/>
      </c>
      <c r="H22" s="34" t="str">
        <f t="shared" si="0"/>
        <v/>
      </c>
      <c r="I22" s="34" t="str">
        <f t="shared" si="0"/>
        <v/>
      </c>
      <c r="J22" s="34" t="str">
        <f t="shared" si="0"/>
        <v/>
      </c>
      <c r="K22" s="34" t="str">
        <f t="shared" si="0"/>
        <v/>
      </c>
      <c r="L22" s="34" t="str">
        <f t="shared" si="0"/>
        <v/>
      </c>
      <c r="M22" s="34" t="str">
        <f t="shared" si="0"/>
        <v/>
      </c>
      <c r="N22" s="35" t="str">
        <f t="shared" si="0"/>
        <v/>
      </c>
    </row>
    <row r="23" spans="1:14">
      <c r="A23" s="98" t="str">
        <f>IF('3Yearly O&amp;M Costs 1-10'!A24&lt;&gt;"", '3Yearly O&amp;M Costs 1-10'!A24, "")</f>
        <v/>
      </c>
      <c r="B23" s="113" t="str">
        <f>IF('3Yearly O&amp;M Costs 1-10'!B24&lt;&gt;"", '3Yearly O&amp;M Costs 1-10'!B24, "")</f>
        <v/>
      </c>
      <c r="C23" s="98" t="str">
        <f>IF('3Yearly O&amp;M Costs 1-10'!C24&lt;&gt;"", '3Yearly O&amp;M Costs 1-10'!C24, "")</f>
        <v/>
      </c>
      <c r="D23" s="109" t="str">
        <f>IF('3Yearly O&amp;M Costs 1-10'!D24&lt;&gt;"", '3Yearly O&amp;M Costs 1-10'!D24, "")</f>
        <v/>
      </c>
      <c r="E23" s="34" t="str">
        <f t="shared" si="0"/>
        <v/>
      </c>
      <c r="F23" s="34" t="str">
        <f t="shared" si="0"/>
        <v/>
      </c>
      <c r="G23" s="34" t="str">
        <f t="shared" si="0"/>
        <v/>
      </c>
      <c r="H23" s="34" t="str">
        <f t="shared" si="0"/>
        <v/>
      </c>
      <c r="I23" s="34" t="str">
        <f t="shared" si="0"/>
        <v/>
      </c>
      <c r="J23" s="34" t="str">
        <f t="shared" si="0"/>
        <v/>
      </c>
      <c r="K23" s="34" t="str">
        <f t="shared" si="0"/>
        <v/>
      </c>
      <c r="L23" s="34" t="str">
        <f t="shared" si="0"/>
        <v/>
      </c>
      <c r="M23" s="34" t="str">
        <f t="shared" si="0"/>
        <v/>
      </c>
      <c r="N23" s="35" t="str">
        <f t="shared" si="0"/>
        <v/>
      </c>
    </row>
    <row r="24" spans="1:14">
      <c r="A24" s="98" t="str">
        <f>IF('3Yearly O&amp;M Costs 1-10'!A25&lt;&gt;"", '3Yearly O&amp;M Costs 1-10'!A25, "")</f>
        <v/>
      </c>
      <c r="B24" s="113" t="str">
        <f>IF('3Yearly O&amp;M Costs 1-10'!B25&lt;&gt;"", '3Yearly O&amp;M Costs 1-10'!B25, "")</f>
        <v/>
      </c>
      <c r="C24" s="98" t="str">
        <f>IF('3Yearly O&amp;M Costs 1-10'!C25&lt;&gt;"", '3Yearly O&amp;M Costs 1-10'!C25, "")</f>
        <v/>
      </c>
      <c r="D24" s="109" t="str">
        <f>IF('3Yearly O&amp;M Costs 1-10'!D25&lt;&gt;"", '3Yearly O&amp;M Costs 1-10'!D25, "")</f>
        <v/>
      </c>
      <c r="E24" s="34" t="str">
        <f t="shared" ref="E24:N30" si="1">IF($A24&lt;&gt;"", (($B24*$D24)*((1+$B$5)^E$7)*(1/((1+$N$5)^E$7))), "")</f>
        <v/>
      </c>
      <c r="F24" s="34" t="str">
        <f t="shared" si="1"/>
        <v/>
      </c>
      <c r="G24" s="34" t="str">
        <f t="shared" si="1"/>
        <v/>
      </c>
      <c r="H24" s="34" t="str">
        <f t="shared" si="1"/>
        <v/>
      </c>
      <c r="I24" s="34" t="str">
        <f t="shared" si="1"/>
        <v/>
      </c>
      <c r="J24" s="34" t="str">
        <f t="shared" si="1"/>
        <v/>
      </c>
      <c r="K24" s="34" t="str">
        <f t="shared" si="1"/>
        <v/>
      </c>
      <c r="L24" s="34" t="str">
        <f t="shared" si="1"/>
        <v/>
      </c>
      <c r="M24" s="34" t="str">
        <f t="shared" si="1"/>
        <v/>
      </c>
      <c r="N24" s="35" t="str">
        <f t="shared" si="1"/>
        <v/>
      </c>
    </row>
    <row r="25" spans="1:14">
      <c r="A25" s="98" t="str">
        <f>IF('3Yearly O&amp;M Costs 1-10'!A26&lt;&gt;"", '3Yearly O&amp;M Costs 1-10'!A26, "")</f>
        <v/>
      </c>
      <c r="B25" s="113" t="str">
        <f>IF('3Yearly O&amp;M Costs 1-10'!B26&lt;&gt;"", '3Yearly O&amp;M Costs 1-10'!B26, "")</f>
        <v/>
      </c>
      <c r="C25" s="98" t="str">
        <f>IF('3Yearly O&amp;M Costs 1-10'!C26&lt;&gt;"", '3Yearly O&amp;M Costs 1-10'!C26, "")</f>
        <v/>
      </c>
      <c r="D25" s="109" t="str">
        <f>IF('3Yearly O&amp;M Costs 1-10'!D26&lt;&gt;"", '3Yearly O&amp;M Costs 1-10'!D26, "")</f>
        <v/>
      </c>
      <c r="E25" s="34" t="str">
        <f t="shared" si="1"/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8" t="str">
        <f>IF('3Yearly O&amp;M Costs 1-10'!A27&lt;&gt;"", '3Yearly O&amp;M Costs 1-10'!A27, "")</f>
        <v/>
      </c>
      <c r="B26" s="113" t="str">
        <f>IF('3Yearly O&amp;M Costs 1-10'!B27&lt;&gt;"", '3Yearly O&amp;M Costs 1-10'!B27, "")</f>
        <v/>
      </c>
      <c r="C26" s="98" t="str">
        <f>IF('3Yearly O&amp;M Costs 1-10'!C27&lt;&gt;"", '3Yearly O&amp;M Costs 1-10'!C27, "")</f>
        <v/>
      </c>
      <c r="D26" s="109" t="str">
        <f>IF('3Yearly O&amp;M Costs 1-10'!D27&lt;&gt;"", '3Yearly O&amp;M Costs 1-10'!D27, "")</f>
        <v/>
      </c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8" t="str">
        <f>IF('3Yearly O&amp;M Costs 1-10'!A28&lt;&gt;"", '3Yearly O&amp;M Costs 1-10'!A28, "")</f>
        <v/>
      </c>
      <c r="B27" s="113" t="str">
        <f>IF('3Yearly O&amp;M Costs 1-10'!B28&lt;&gt;"", '3Yearly O&amp;M Costs 1-10'!B28, "")</f>
        <v/>
      </c>
      <c r="C27" s="98" t="str">
        <f>IF('3Yearly O&amp;M Costs 1-10'!C28&lt;&gt;"", '3Yearly O&amp;M Costs 1-10'!C28, "")</f>
        <v/>
      </c>
      <c r="D27" s="109" t="str">
        <f>IF('3Yearly O&amp;M Costs 1-10'!D28&lt;&gt;"", '3Yearly O&amp;M Costs 1-10'!D28, "")</f>
        <v/>
      </c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8" t="str">
        <f>IF('3Yearly O&amp;M Costs 1-10'!A29&lt;&gt;"", '3Yearly O&amp;M Costs 1-10'!A29, "")</f>
        <v/>
      </c>
      <c r="B28" s="113" t="str">
        <f>IF('3Yearly O&amp;M Costs 1-10'!B29&lt;&gt;"", '3Yearly O&amp;M Costs 1-10'!B29, "")</f>
        <v/>
      </c>
      <c r="C28" s="98" t="str">
        <f>IF('3Yearly O&amp;M Costs 1-10'!C29&lt;&gt;"", '3Yearly O&amp;M Costs 1-10'!C29, "")</f>
        <v/>
      </c>
      <c r="D28" s="109" t="str">
        <f>IF('3Yearly O&amp;M Costs 1-10'!D29&lt;&gt;"", '3Yearly O&amp;M Costs 1-10'!D29, "")</f>
        <v/>
      </c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8" t="str">
        <f>IF('3Yearly O&amp;M Costs 1-10'!A30&lt;&gt;"", '3Yearly O&amp;M Costs 1-10'!A30, "")</f>
        <v/>
      </c>
      <c r="B29" s="113" t="str">
        <f>IF('3Yearly O&amp;M Costs 1-10'!B30&lt;&gt;"", '3Yearly O&amp;M Costs 1-10'!B30, "")</f>
        <v/>
      </c>
      <c r="C29" s="98" t="str">
        <f>IF('3Yearly O&amp;M Costs 1-10'!C30&lt;&gt;"", '3Yearly O&amp;M Costs 1-10'!C30, "")</f>
        <v/>
      </c>
      <c r="D29" s="109" t="str">
        <f>IF('3Yearly O&amp;M Costs 1-10'!D30&lt;&gt;"", '3Yearly O&amp;M Costs 1-10'!D30, "")</f>
        <v/>
      </c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8" t="str">
        <f>IF('3Yearly O&amp;M Costs 1-10'!A31&lt;&gt;"", '3Yearly O&amp;M Costs 1-10'!A31, "")</f>
        <v/>
      </c>
      <c r="B30" s="113" t="str">
        <f>IF('3Yearly O&amp;M Costs 1-10'!B31&lt;&gt;"", '3Yearly O&amp;M Costs 1-10'!B31, "")</f>
        <v/>
      </c>
      <c r="C30" s="98" t="str">
        <f>IF('3Yearly O&amp;M Costs 1-10'!C31&lt;&gt;"", '3Yearly O&amp;M Costs 1-10'!C31, "")</f>
        <v/>
      </c>
      <c r="D30" s="109" t="str">
        <f>IF('3Yearly O&amp;M Costs 1-10'!D31&lt;&gt;"", '3Yearly O&amp;M Costs 1-10'!D31, "")</f>
        <v/>
      </c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"/>
      <c r="B31" s="23"/>
      <c r="C31" s="23"/>
      <c r="D31" s="37" t="s">
        <v>55</v>
      </c>
      <c r="E31" s="28">
        <f>SUM(E8:E30)</f>
        <v>0</v>
      </c>
      <c r="F31" s="28">
        <f t="shared" ref="F31:N31" si="2">SUM(F8:F30)</f>
        <v>0</v>
      </c>
      <c r="G31" s="28">
        <f t="shared" si="2"/>
        <v>0</v>
      </c>
      <c r="H31" s="28">
        <f t="shared" si="2"/>
        <v>0</v>
      </c>
      <c r="I31" s="28">
        <f t="shared" si="2"/>
        <v>0</v>
      </c>
      <c r="J31" s="28">
        <f t="shared" si="2"/>
        <v>0</v>
      </c>
      <c r="K31" s="28">
        <f t="shared" si="2"/>
        <v>0</v>
      </c>
      <c r="L31" s="28">
        <f t="shared" si="2"/>
        <v>0</v>
      </c>
      <c r="M31" s="28">
        <f t="shared" si="2"/>
        <v>0</v>
      </c>
      <c r="N31" s="28">
        <f t="shared" si="2"/>
        <v>0</v>
      </c>
    </row>
    <row r="32" spans="1:14">
      <c r="M32" s="2" t="s">
        <v>56</v>
      </c>
      <c r="N32" s="28">
        <f>'3Yearly O&amp;M Costs 1-10'!E32+'3Yearly O&amp;M Costs 1-10'!F32+'3Yearly O&amp;M Costs 1-10'!G32+'3Yearly O&amp;M Costs 1-10'!H32+'3Yearly O&amp;M Costs 1-10'!I32+'3Yearly O&amp;M Costs 1-10'!J32+'3Yearly O&amp;M Costs 1-10'!K32+'3Yearly O&amp;M Costs 1-10'!L32+'3Yearly O&amp;M Costs 1-10'!M32+'3Yearly O&amp;M Costs 1-10'!N32+'3Yearly O&amp;M Costs 11-20'!E31+'3Yearly O&amp;M Costs 11-20'!F31+'3Yearly O&amp;M Costs 11-20'!G31+'3Yearly O&amp;M Costs 11-20'!H31+'3Yearly O&amp;M Costs 11-20'!I31+'3Yearly O&amp;M Costs 11-20'!J31+'3Yearly O&amp;M Costs 11-20'!K31+'3Yearly O&amp;M Costs 11-20'!L31+'3Yearly O&amp;M Costs 11-20'!M31+'3Yearly O&amp;M Costs 11-20'!N31</f>
        <v>0</v>
      </c>
    </row>
    <row r="34" spans="1:2" hidden="1">
      <c r="A34" s="6" t="s">
        <v>7</v>
      </c>
      <c r="B34" s="33">
        <v>4.8750000000000002E-2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5" bottom="0.5" header="0.3" footer="0.3"/>
  <pageSetup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20"/>
  <sheetViews>
    <sheetView zoomScale="60" zoomScaleNormal="60" workbookViewId="0">
      <pane xSplit="4" ySplit="8" topLeftCell="I9" activePane="bottomRight" state="frozen"/>
      <selection pane="topRight" activeCell="E1" sqref="E1"/>
      <selection pane="bottomLeft" activeCell="A8" sqref="A8"/>
      <selection pane="bottomRight" activeCell="AB9" sqref="A9:AB13"/>
    </sheetView>
  </sheetViews>
  <sheetFormatPr defaultRowHeight="15.75"/>
  <cols>
    <col min="1" max="1" width="38.42578125" style="1" customWidth="1"/>
    <col min="2" max="4" width="12.7109375" style="1" customWidth="1"/>
    <col min="5" max="5" width="13.28515625" style="1" hidden="1" customWidth="1"/>
    <col min="6" max="6" width="13.5703125" style="1" hidden="1" customWidth="1"/>
    <col min="7" max="7" width="13.85546875" style="1" hidden="1" customWidth="1"/>
    <col min="8" max="8" width="13.7109375" style="1" hidden="1" customWidth="1"/>
    <col min="9" max="28" width="8.7109375" style="1" customWidth="1"/>
    <col min="29" max="16384" width="9.140625" style="1"/>
  </cols>
  <sheetData>
    <row r="1" spans="1:28">
      <c r="A1" s="150" t="s">
        <v>67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3" spans="1:28">
      <c r="A3" s="2" t="s">
        <v>3</v>
      </c>
      <c r="B3" s="149">
        <f>'3Capital Costs'!B6</f>
        <v>0</v>
      </c>
      <c r="C3" s="149"/>
      <c r="D3" s="149"/>
      <c r="E3" s="149"/>
      <c r="F3" s="149"/>
      <c r="G3" s="149"/>
      <c r="H3" s="149"/>
      <c r="I3" s="149"/>
      <c r="J3" s="149"/>
    </row>
    <row r="5" spans="1:28">
      <c r="A5" s="7" t="s">
        <v>42</v>
      </c>
      <c r="B5" s="7"/>
      <c r="C5" s="7"/>
      <c r="D5" s="7"/>
      <c r="E5" s="7"/>
      <c r="F5" s="7"/>
      <c r="G5" s="7"/>
      <c r="H5" s="7"/>
    </row>
    <row r="7" spans="1:28">
      <c r="A7" s="14"/>
      <c r="B7" s="15"/>
      <c r="C7" s="15"/>
      <c r="D7" s="15"/>
      <c r="E7" s="32"/>
      <c r="F7" s="32"/>
      <c r="G7" s="32"/>
      <c r="H7" s="32"/>
      <c r="I7" s="147" t="s">
        <v>68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8"/>
    </row>
    <row r="8" spans="1:28" ht="62.25" customHeight="1">
      <c r="A8" s="94" t="s">
        <v>4</v>
      </c>
      <c r="B8" s="92" t="s">
        <v>0</v>
      </c>
      <c r="C8" s="92" t="s">
        <v>5</v>
      </c>
      <c r="D8" s="92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92">
        <v>1</v>
      </c>
      <c r="J8" s="92">
        <v>2</v>
      </c>
      <c r="K8" s="92">
        <v>3</v>
      </c>
      <c r="L8" s="92">
        <v>4</v>
      </c>
      <c r="M8" s="92">
        <v>5</v>
      </c>
      <c r="N8" s="92">
        <v>6</v>
      </c>
      <c r="O8" s="92">
        <v>7</v>
      </c>
      <c r="P8" s="92">
        <v>8</v>
      </c>
      <c r="Q8" s="92">
        <v>9</v>
      </c>
      <c r="R8" s="92">
        <v>10</v>
      </c>
      <c r="S8" s="92">
        <v>11</v>
      </c>
      <c r="T8" s="92">
        <v>12</v>
      </c>
      <c r="U8" s="92">
        <v>13</v>
      </c>
      <c r="V8" s="92">
        <v>14</v>
      </c>
      <c r="W8" s="92">
        <v>15</v>
      </c>
      <c r="X8" s="92">
        <v>16</v>
      </c>
      <c r="Y8" s="92">
        <v>17</v>
      </c>
      <c r="Z8" s="92">
        <v>18</v>
      </c>
      <c r="AA8" s="92">
        <v>19</v>
      </c>
      <c r="AB8" s="93">
        <v>20</v>
      </c>
    </row>
    <row r="9" spans="1:28">
      <c r="A9" s="103"/>
      <c r="B9" s="104"/>
      <c r="C9" s="103"/>
      <c r="D9" s="111"/>
      <c r="E9" s="102"/>
      <c r="F9" s="102"/>
      <c r="G9" s="102"/>
      <c r="H9" s="102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8"/>
    </row>
    <row r="10" spans="1:28">
      <c r="A10" s="103"/>
      <c r="B10" s="104"/>
      <c r="C10" s="103"/>
      <c r="D10" s="111"/>
      <c r="E10" s="102"/>
      <c r="F10" s="102"/>
      <c r="G10" s="102"/>
      <c r="H10" s="102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8"/>
    </row>
    <row r="11" spans="1:28">
      <c r="A11" s="103"/>
      <c r="B11" s="104"/>
      <c r="C11" s="103"/>
      <c r="D11" s="111"/>
      <c r="E11" s="102"/>
      <c r="F11" s="102"/>
      <c r="G11" s="102"/>
      <c r="H11" s="102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8"/>
    </row>
    <row r="12" spans="1:28">
      <c r="A12" s="103"/>
      <c r="B12" s="110"/>
      <c r="C12" s="103"/>
      <c r="D12" s="111"/>
      <c r="E12" s="102"/>
      <c r="F12" s="102"/>
      <c r="G12" s="102"/>
      <c r="H12" s="102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8"/>
    </row>
    <row r="13" spans="1:28">
      <c r="A13" s="103"/>
      <c r="B13" s="104"/>
      <c r="C13" s="103"/>
      <c r="D13" s="111"/>
      <c r="E13" s="102"/>
      <c r="F13" s="102"/>
      <c r="G13" s="102"/>
      <c r="H13" s="102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8"/>
    </row>
    <row r="14" spans="1:28">
      <c r="A14" s="103"/>
      <c r="B14" s="104"/>
      <c r="C14" s="103"/>
      <c r="D14" s="111"/>
      <c r="E14" s="102"/>
      <c r="F14" s="102"/>
      <c r="G14" s="102"/>
      <c r="H14" s="102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8"/>
    </row>
    <row r="15" spans="1:28">
      <c r="A15" s="103"/>
      <c r="B15" s="104"/>
      <c r="C15" s="103"/>
      <c r="D15" s="111"/>
      <c r="E15" s="102"/>
      <c r="F15" s="102"/>
      <c r="G15" s="102"/>
      <c r="H15" s="102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8"/>
    </row>
    <row r="16" spans="1:28">
      <c r="A16" s="103"/>
      <c r="B16" s="104"/>
      <c r="C16" s="103"/>
      <c r="D16" s="111"/>
      <c r="E16" s="102"/>
      <c r="F16" s="102"/>
      <c r="G16" s="102"/>
      <c r="H16" s="102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8"/>
    </row>
    <row r="17" spans="1:28">
      <c r="A17" s="103"/>
      <c r="B17" s="104"/>
      <c r="C17" s="103"/>
      <c r="D17" s="111"/>
      <c r="E17" s="102"/>
      <c r="F17" s="102"/>
      <c r="G17" s="102"/>
      <c r="H17" s="102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8"/>
    </row>
    <row r="18" spans="1:28">
      <c r="A18" s="103"/>
      <c r="B18" s="104"/>
      <c r="C18" s="103"/>
      <c r="D18" s="111"/>
      <c r="E18" s="102"/>
      <c r="F18" s="102"/>
      <c r="G18" s="102"/>
      <c r="H18" s="102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8"/>
    </row>
    <row r="19" spans="1:28">
      <c r="A19" s="103"/>
      <c r="B19" s="104"/>
      <c r="C19" s="103"/>
      <c r="D19" s="111"/>
      <c r="E19" s="102"/>
      <c r="F19" s="102"/>
      <c r="G19" s="102"/>
      <c r="H19" s="102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8"/>
    </row>
    <row r="20" spans="1:28">
      <c r="A20" s="103"/>
      <c r="B20" s="104"/>
      <c r="C20" s="103"/>
      <c r="D20" s="111"/>
      <c r="E20" s="102"/>
      <c r="F20" s="102"/>
      <c r="G20" s="102"/>
      <c r="H20" s="102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8"/>
    </row>
  </sheetData>
  <sheetProtection sheet="1" objects="1" scenarios="1"/>
  <mergeCells count="3">
    <mergeCell ref="A1:AB1"/>
    <mergeCell ref="B3:J3"/>
    <mergeCell ref="I7:AB7"/>
  </mergeCells>
  <dataValidations count="1">
    <dataValidation type="list" allowBlank="1" showInputMessage="1" showErrorMessage="1" sqref="B3:J3">
      <formula1>Input!B6:B11</formula1>
    </dataValidation>
  </dataValidations>
  <pageMargins left="0.7" right="0.7" top="0.75" bottom="0.75" header="0.3" footer="0.3"/>
  <pageSetup scale="76" fitToWidth="4" orientation="landscape" r:id="rId1"/>
  <headerFooter>
    <oddHeader>&amp;C&amp;D
&amp;F</oddHeader>
    <oddFooter>&amp;L&amp;A&amp;RPage &amp;P of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dimension ref="A1:N20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164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'3Capital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'3Yearly O&amp;M Costs 11-20'!A5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</v>
      </c>
      <c r="F7" s="12">
        <v>2</v>
      </c>
      <c r="G7" s="12">
        <v>3</v>
      </c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12">
        <v>9</v>
      </c>
      <c r="N7" s="12">
        <v>10</v>
      </c>
    </row>
    <row r="8" spans="1:14">
      <c r="A8" s="31" t="str">
        <f>IF('3Inter O&amp;M Entry'!A9&lt;&gt;"", '3Inter O&amp;M Entry'!A9, "")</f>
        <v/>
      </c>
      <c r="B8" s="35" t="str">
        <f>IF('3Inter O&amp;M Entry'!B9&lt;&gt;"", '3Inter O&amp;M Entry'!B9, "")</f>
        <v/>
      </c>
      <c r="C8" s="31" t="str">
        <f>IF('3Inter O&amp;M Entry'!C9&lt;&gt;"", '3Inter O&amp;M Entry'!C9, "")</f>
        <v/>
      </c>
      <c r="D8" s="108" t="str">
        <f>IF('3Inter O&amp;M Entry'!D9&lt;&gt;"", '3Inter O&amp;M Entry'!D9, "")</f>
        <v/>
      </c>
      <c r="E8" s="35" t="str">
        <f>IF($A8&lt;&gt;"", (IF('3Inter O&amp;M Entry'!I9="Y", ((($B8*$D8)*((1+$B$5)^E$7))*(1/((1+$N$5)^E$7))), 0)), "")</f>
        <v/>
      </c>
      <c r="F8" s="35" t="str">
        <f>IF($A8&lt;&gt;"", (IF('3Inter O&amp;M Entry'!J9="Y", ((($B8*$D8)*((1+$B$5)^F$7))*(1/((1+$N$5)^F$7))), 0)), "")</f>
        <v/>
      </c>
      <c r="G8" s="35" t="str">
        <f>IF($A8&lt;&gt;"", (IF('3Inter O&amp;M Entry'!K9="Y", ((($B8*$D8)*((1+$B$5)^G$7))*(1/((1+$N$5)^G$7))), 0)), "")</f>
        <v/>
      </c>
      <c r="H8" s="35" t="str">
        <f>IF($A8&lt;&gt;"", (IF('3Inter O&amp;M Entry'!L9="Y", ((($B8*$D8)*((1+$B$5)^H$7))*(1/((1+$N$5)^H$7))), 0)), "")</f>
        <v/>
      </c>
      <c r="I8" s="35" t="str">
        <f>IF($A8&lt;&gt;"", (IF('3Inter O&amp;M Entry'!M9="Y", ((($B8*$D8)*((1+$B$5)^I$7))*(1/((1+$N$5)^I$7))), 0)), "")</f>
        <v/>
      </c>
      <c r="J8" s="35" t="str">
        <f>IF($A8&lt;&gt;"", (IF('3Inter O&amp;M Entry'!N9="Y", ((($B8*$D8)*((1+$B$5)^J$7))*(1/((1+$N$5)^J$7))), 0)), "")</f>
        <v/>
      </c>
      <c r="K8" s="35" t="str">
        <f>IF($A8&lt;&gt;"", (IF('3Inter O&amp;M Entry'!O9="Y", ((($B8*$D8)*((1+$B$5)^K$7))*(1/((1+$N$5)^K$7))), 0)), "")</f>
        <v/>
      </c>
      <c r="L8" s="35" t="str">
        <f>IF($A8&lt;&gt;"", (IF('3Inter O&amp;M Entry'!P9="Y", ((($B8*$D8)*((1+$B$5)^L$7))*(1/((1+$N$5)^L$7))), 0)), "")</f>
        <v/>
      </c>
      <c r="M8" s="35" t="str">
        <f>IF($A8&lt;&gt;"", (IF('3Inter O&amp;M Entry'!Q9="Y", ((($B8*$D8)*((1+$B$5)^M$7))*(1/((1+$N$5)^M$7))), 0)), "")</f>
        <v/>
      </c>
      <c r="N8" s="35" t="str">
        <f>IF($A8&lt;&gt;"", (IF('3Inter O&amp;M Entry'!R9="Y", ((($B8*$D8)*((1+$B$5)^N$7))*(1/((1+$N$5)^N$7))), 0)), "")</f>
        <v/>
      </c>
    </row>
    <row r="9" spans="1:14">
      <c r="A9" s="31" t="str">
        <f>IF('3Inter O&amp;M Entry'!A10&lt;&gt;"", '3Inter O&amp;M Entry'!A10, "")</f>
        <v/>
      </c>
      <c r="B9" s="35" t="str">
        <f>IF('3Inter O&amp;M Entry'!B10&lt;&gt;"", '3Inter O&amp;M Entry'!B10, "")</f>
        <v/>
      </c>
      <c r="C9" s="31" t="str">
        <f>IF('3Inter O&amp;M Entry'!C10&lt;&gt;"", '3Inter O&amp;M Entry'!C10, "")</f>
        <v/>
      </c>
      <c r="D9" s="108" t="str">
        <f>IF('3Inter O&amp;M Entry'!D10&lt;&gt;"", '3Inter O&amp;M Entry'!D10, "")</f>
        <v/>
      </c>
      <c r="E9" s="35" t="str">
        <f>IF($A9&lt;&gt;"", (IF('3Inter O&amp;M Entry'!I10="Y", ((($B9*$D9)*((1+$B$5)^E$7))*(1/((1+$N$5)^E$7))), 0)), "")</f>
        <v/>
      </c>
      <c r="F9" s="35" t="str">
        <f>IF($A9&lt;&gt;"", (IF('3Inter O&amp;M Entry'!J10="Y", ((($B9*$D9)*((1+$B$5)^F$7))*(1/((1+$N$5)^F$7))), 0)), "")</f>
        <v/>
      </c>
      <c r="G9" s="35" t="str">
        <f>IF($A9&lt;&gt;"", (IF('3Inter O&amp;M Entry'!K10="Y", ((($B9*$D9)*((1+$B$5)^G$7))*(1/((1+$N$5)^G$7))), 0)), "")</f>
        <v/>
      </c>
      <c r="H9" s="35" t="str">
        <f>IF($A9&lt;&gt;"", (IF('3Inter O&amp;M Entry'!L10="Y", ((($B9*$D9)*((1+$B$5)^H$7))*(1/((1+$N$5)^H$7))), 0)), "")</f>
        <v/>
      </c>
      <c r="I9" s="35" t="str">
        <f>IF($A9&lt;&gt;"", (IF('3Inter O&amp;M Entry'!M10="Y", ((($B9*$D9)*((1+$B$5)^I$7))*(1/((1+$N$5)^I$7))), 0)), "")</f>
        <v/>
      </c>
      <c r="J9" s="35" t="str">
        <f>IF($A9&lt;&gt;"", (IF('3Inter O&amp;M Entry'!N10="Y", ((($B9*$D9)*((1+$B$5)^J$7))*(1/((1+$N$5)^J$7))), 0)), "")</f>
        <v/>
      </c>
      <c r="K9" s="35" t="str">
        <f>IF($A9&lt;&gt;"", (IF('3Inter O&amp;M Entry'!O10="Y", ((($B9*$D9)*((1+$B$5)^K$7))*(1/((1+$N$5)^K$7))), 0)), "")</f>
        <v/>
      </c>
      <c r="L9" s="35" t="str">
        <f>IF($A9&lt;&gt;"", (IF('3Inter O&amp;M Entry'!P10="Y", ((($B9*$D9)*((1+$B$5)^L$7))*(1/((1+$N$5)^L$7))), 0)), "")</f>
        <v/>
      </c>
      <c r="M9" s="35" t="str">
        <f>IF($A9&lt;&gt;"", (IF('3Inter O&amp;M Entry'!Q10="Y", ((($B9*$D9)*((1+$B$5)^M$7))*(1/((1+$N$5)^M$7))), 0)), "")</f>
        <v/>
      </c>
      <c r="N9" s="35" t="str">
        <f>IF($A9&lt;&gt;"", (IF('3Inter O&amp;M Entry'!R10="Y", ((($B9*$D9)*((1+$B$5)^N$7))*(1/((1+$N$5)^N$7))), 0)), "")</f>
        <v/>
      </c>
    </row>
    <row r="10" spans="1:14">
      <c r="A10" s="31" t="str">
        <f>IF('3Inter O&amp;M Entry'!A11&lt;&gt;"", '3Inter O&amp;M Entry'!A11, "")</f>
        <v/>
      </c>
      <c r="B10" s="35" t="str">
        <f>IF('3Inter O&amp;M Entry'!B11&lt;&gt;"", '3Inter O&amp;M Entry'!B11, "")</f>
        <v/>
      </c>
      <c r="C10" s="31" t="str">
        <f>IF('3Inter O&amp;M Entry'!C11&lt;&gt;"", '3Inter O&amp;M Entry'!C11, "")</f>
        <v/>
      </c>
      <c r="D10" s="108" t="str">
        <f>IF('3Inter O&amp;M Entry'!D11&lt;&gt;"", '3Inter O&amp;M Entry'!D11, "")</f>
        <v/>
      </c>
      <c r="E10" s="35" t="str">
        <f>IF($A10&lt;&gt;"", (IF('3Inter O&amp;M Entry'!I11="Y", ((($B10*$D10)*((1+$B$5)^E$7))*(1/((1+$N$5)^E$7))), 0)), "")</f>
        <v/>
      </c>
      <c r="F10" s="35" t="str">
        <f>IF($A10&lt;&gt;"", (IF('3Inter O&amp;M Entry'!J11="Y", ((($B10*$D10)*((1+$B$5)^F$7))*(1/((1+$N$5)^F$7))), 0)), "")</f>
        <v/>
      </c>
      <c r="G10" s="35" t="str">
        <f>IF($A10&lt;&gt;"", (IF('3Inter O&amp;M Entry'!K11="Y", ((($B10*$D10)*((1+$B$5)^G$7))*(1/((1+$N$5)^G$7))), 0)), "")</f>
        <v/>
      </c>
      <c r="H10" s="35" t="str">
        <f>IF($A10&lt;&gt;"", (IF('3Inter O&amp;M Entry'!L11="Y", ((($B10*$D10)*((1+$B$5)^H$7))*(1/((1+$N$5)^H$7))), 0)), "")</f>
        <v/>
      </c>
      <c r="I10" s="35" t="str">
        <f>IF($A10&lt;&gt;"", (IF('3Inter O&amp;M Entry'!M11="Y", ((($B10*$D10)*((1+$B$5)^I$7))*(1/((1+$N$5)^I$7))), 0)), "")</f>
        <v/>
      </c>
      <c r="J10" s="35" t="str">
        <f>IF($A10&lt;&gt;"", (IF('3Inter O&amp;M Entry'!N11="Y", ((($B10*$D10)*((1+$B$5)^J$7))*(1/((1+$N$5)^J$7))), 0)), "")</f>
        <v/>
      </c>
      <c r="K10" s="35" t="str">
        <f>IF($A10&lt;&gt;"", (IF('3Inter O&amp;M Entry'!O11="Y", ((($B10*$D10)*((1+$B$5)^K$7))*(1/((1+$N$5)^K$7))), 0)), "")</f>
        <v/>
      </c>
      <c r="L10" s="35" t="str">
        <f>IF($A10&lt;&gt;"", (IF('3Inter O&amp;M Entry'!P11="Y", ((($B10*$D10)*((1+$B$5)^L$7))*(1/((1+$N$5)^L$7))), 0)), "")</f>
        <v/>
      </c>
      <c r="M10" s="35" t="str">
        <f>IF($A10&lt;&gt;"", (IF('3Inter O&amp;M Entry'!Q11="Y", ((($B10*$D10)*((1+$B$5)^M$7))*(1/((1+$N$5)^M$7))), 0)), "")</f>
        <v/>
      </c>
      <c r="N10" s="35" t="str">
        <f>IF($A10&lt;&gt;"", (IF('3Inter O&amp;M Entry'!R11="Y", ((($B10*$D10)*((1+$B$5)^N$7))*(1/((1+$N$5)^N$7))), 0)), "")</f>
        <v/>
      </c>
    </row>
    <row r="11" spans="1:14">
      <c r="A11" s="31" t="str">
        <f>IF('3Inter O&amp;M Entry'!A12&lt;&gt;"", '3Inter O&amp;M Entry'!A12, "")</f>
        <v/>
      </c>
      <c r="B11" s="35" t="str">
        <f>IF('3Inter O&amp;M Entry'!B12&lt;&gt;"", '3Inter O&amp;M Entry'!B12, "")</f>
        <v/>
      </c>
      <c r="C11" s="31" t="str">
        <f>IF('3Inter O&amp;M Entry'!C12&lt;&gt;"", '3Inter O&amp;M Entry'!C12, "")</f>
        <v/>
      </c>
      <c r="D11" s="108" t="str">
        <f>IF('3Inter O&amp;M Entry'!D12&lt;&gt;"", '3Inter O&amp;M Entry'!D12, "")</f>
        <v/>
      </c>
      <c r="E11" s="35" t="str">
        <f>IF($A11&lt;&gt;"", (IF('3Inter O&amp;M Entry'!I12="Y", ((($B11*$D11)*((1+$B$5)^E$7))*(1/((1+$N$5)^E$7))), 0)), "")</f>
        <v/>
      </c>
      <c r="F11" s="35" t="str">
        <f>IF($A11&lt;&gt;"", (IF('3Inter O&amp;M Entry'!J12="Y", ((($B11*$D11)*((1+$B$5)^F$7))*(1/((1+$N$5)^F$7))), 0)), "")</f>
        <v/>
      </c>
      <c r="G11" s="35" t="str">
        <f>IF($A11&lt;&gt;"", (IF('3Inter O&amp;M Entry'!K12="Y", ((($B11*$D11)*((1+$B$5)^G$7))*(1/((1+$N$5)^G$7))), 0)), "")</f>
        <v/>
      </c>
      <c r="H11" s="35" t="str">
        <f>IF($A11&lt;&gt;"", (IF('3Inter O&amp;M Entry'!L12="Y", ((($B11*$D11)*((1+$B$5)^H$7))*(1/((1+$N$5)^H$7))), 0)), "")</f>
        <v/>
      </c>
      <c r="I11" s="35" t="str">
        <f>IF($A11&lt;&gt;"", (IF('3Inter O&amp;M Entry'!M12="Y", ((($B11*$D11)*((1+$B$5)^I$7))*(1/((1+$N$5)^I$7))), 0)), "")</f>
        <v/>
      </c>
      <c r="J11" s="35" t="str">
        <f>IF($A11&lt;&gt;"", (IF('3Inter O&amp;M Entry'!N12="Y", ((($B11*$D11)*((1+$B$5)^J$7))*(1/((1+$N$5)^J$7))), 0)), "")</f>
        <v/>
      </c>
      <c r="K11" s="35" t="str">
        <f>IF($A11&lt;&gt;"", (IF('3Inter O&amp;M Entry'!O12="Y", ((($B11*$D11)*((1+$B$5)^K$7))*(1/((1+$N$5)^K$7))), 0)), "")</f>
        <v/>
      </c>
      <c r="L11" s="35" t="str">
        <f>IF($A11&lt;&gt;"", (IF('3Inter O&amp;M Entry'!P12="Y", ((($B11*$D11)*((1+$B$5)^L$7))*(1/((1+$N$5)^L$7))), 0)), "")</f>
        <v/>
      </c>
      <c r="M11" s="35" t="str">
        <f>IF($A11&lt;&gt;"", (IF('3Inter O&amp;M Entry'!Q12="Y", ((($B11*$D11)*((1+$B$5)^M$7))*(1/((1+$N$5)^M$7))), 0)), "")</f>
        <v/>
      </c>
      <c r="N11" s="35" t="str">
        <f>IF($A11&lt;&gt;"", (IF('3Inter O&amp;M Entry'!R12="Y", ((($B11*$D11)*((1+$B$5)^N$7))*(1/((1+$N$5)^N$7))), 0)), "")</f>
        <v/>
      </c>
    </row>
    <row r="12" spans="1:14">
      <c r="A12" s="31" t="str">
        <f>IF('3Inter O&amp;M Entry'!A13&lt;&gt;"", '3Inter O&amp;M Entry'!A13, "")</f>
        <v/>
      </c>
      <c r="B12" s="35" t="str">
        <f>IF('3Inter O&amp;M Entry'!B13&lt;&gt;"", '3Inter O&amp;M Entry'!B13, "")</f>
        <v/>
      </c>
      <c r="C12" s="31" t="str">
        <f>IF('3Inter O&amp;M Entry'!C13&lt;&gt;"", '3Inter O&amp;M Entry'!C13, "")</f>
        <v/>
      </c>
      <c r="D12" s="108" t="str">
        <f>IF('3Inter O&amp;M Entry'!D13&lt;&gt;"", '3Inter O&amp;M Entry'!D13, "")</f>
        <v/>
      </c>
      <c r="E12" s="35" t="str">
        <f>IF($A12&lt;&gt;"", (IF('3Inter O&amp;M Entry'!I13="Y", ((($B12*$D12)*((1+$B$5)^E$7))*(1/((1+$N$5)^E$7))), 0)), "")</f>
        <v/>
      </c>
      <c r="F12" s="35" t="str">
        <f>IF($A12&lt;&gt;"", (IF('3Inter O&amp;M Entry'!J13="Y", ((($B12*$D12)*((1+$B$5)^F$7))*(1/((1+$N$5)^F$7))), 0)), "")</f>
        <v/>
      </c>
      <c r="G12" s="35" t="str">
        <f>IF($A12&lt;&gt;"", (IF('3Inter O&amp;M Entry'!K13="Y", ((($B12*$D12)*((1+$B$5)^G$7))*(1/((1+$N$5)^G$7))), 0)), "")</f>
        <v/>
      </c>
      <c r="H12" s="35" t="str">
        <f>IF($A12&lt;&gt;"", (IF('3Inter O&amp;M Entry'!L13="Y", ((($B12*$D12)*((1+$B$5)^H$7))*(1/((1+$N$5)^H$7))), 0)), "")</f>
        <v/>
      </c>
      <c r="I12" s="35" t="str">
        <f>IF($A12&lt;&gt;"", (IF('3Inter O&amp;M Entry'!M13="Y", ((($B12*$D12)*((1+$B$5)^I$7))*(1/((1+$N$5)^I$7))), 0)), "")</f>
        <v/>
      </c>
      <c r="J12" s="35" t="str">
        <f>IF($A12&lt;&gt;"", (IF('3Inter O&amp;M Entry'!N13="Y", ((($B12*$D12)*((1+$B$5)^J$7))*(1/((1+$N$5)^J$7))), 0)), "")</f>
        <v/>
      </c>
      <c r="K12" s="35" t="str">
        <f>IF($A12&lt;&gt;"", (IF('3Inter O&amp;M Entry'!O13="Y", ((($B12*$D12)*((1+$B$5)^K$7))*(1/((1+$N$5)^K$7))), 0)), "")</f>
        <v/>
      </c>
      <c r="L12" s="35" t="str">
        <f>IF($A12&lt;&gt;"", (IF('3Inter O&amp;M Entry'!P13="Y", ((($B12*$D12)*((1+$B$5)^L$7))*(1/((1+$N$5)^L$7))), 0)), "")</f>
        <v/>
      </c>
      <c r="M12" s="35" t="str">
        <f>IF($A12&lt;&gt;"", (IF('3Inter O&amp;M Entry'!Q13="Y", ((($B12*$D12)*((1+$B$5)^M$7))*(1/((1+$N$5)^M$7))), 0)), "")</f>
        <v/>
      </c>
      <c r="N12" s="35" t="str">
        <f>IF($A12&lt;&gt;"", (IF('3Inter O&amp;M Entry'!R13="Y", ((($B12*$D12)*((1+$B$5)^N$7))*(1/((1+$N$5)^N$7))), 0)), "")</f>
        <v/>
      </c>
    </row>
    <row r="13" spans="1:14">
      <c r="A13" s="31" t="str">
        <f>IF('3Inter O&amp;M Entry'!A14&lt;&gt;"", '3Inter O&amp;M Entry'!A14, "")</f>
        <v/>
      </c>
      <c r="B13" s="35" t="str">
        <f>IF('3Inter O&amp;M Entry'!B14&lt;&gt;"", '3Inter O&amp;M Entry'!B14, "")</f>
        <v/>
      </c>
      <c r="C13" s="31" t="str">
        <f>IF('3Inter O&amp;M Entry'!C14&lt;&gt;"", '3Inter O&amp;M Entry'!C14, "")</f>
        <v/>
      </c>
      <c r="D13" s="108" t="str">
        <f>IF('3Inter O&amp;M Entry'!D14&lt;&gt;"", '3Inter O&amp;M Entry'!D14, "")</f>
        <v/>
      </c>
      <c r="E13" s="35" t="str">
        <f>IF($A13&lt;&gt;"", (IF('3Inter O&amp;M Entry'!I14="Y", ((($B13*$D13)*((1+$B$5)^E$7))*(1/((1+$N$5)^E$7))), 0)), "")</f>
        <v/>
      </c>
      <c r="F13" s="35" t="str">
        <f>IF($A13&lt;&gt;"", (IF('3Inter O&amp;M Entry'!J14="Y", ((($B13*$D13)*((1+$B$5)^F$7))*(1/((1+$N$5)^F$7))), 0)), "")</f>
        <v/>
      </c>
      <c r="G13" s="35" t="str">
        <f>IF($A13&lt;&gt;"", (IF('3Inter O&amp;M Entry'!K14="Y", ((($B13*$D13)*((1+$B$5)^G$7))*(1/((1+$N$5)^G$7))), 0)), "")</f>
        <v/>
      </c>
      <c r="H13" s="35" t="str">
        <f>IF($A13&lt;&gt;"", (IF('3Inter O&amp;M Entry'!L14="Y", ((($B13*$D13)*((1+$B$5)^H$7))*(1/((1+$N$5)^H$7))), 0)), "")</f>
        <v/>
      </c>
      <c r="I13" s="35" t="str">
        <f>IF($A13&lt;&gt;"", (IF('3Inter O&amp;M Entry'!M14="Y", ((($B13*$D13)*((1+$B$5)^I$7))*(1/((1+$N$5)^I$7))), 0)), "")</f>
        <v/>
      </c>
      <c r="J13" s="35" t="str">
        <f>IF($A13&lt;&gt;"", (IF('3Inter O&amp;M Entry'!N14="Y", ((($B13*$D13)*((1+$B$5)^J$7))*(1/((1+$N$5)^J$7))), 0)), "")</f>
        <v/>
      </c>
      <c r="K13" s="35" t="str">
        <f>IF($A13&lt;&gt;"", (IF('3Inter O&amp;M Entry'!O14="Y", ((($B13*$D13)*((1+$B$5)^K$7))*(1/((1+$N$5)^K$7))), 0)), "")</f>
        <v/>
      </c>
      <c r="L13" s="35" t="str">
        <f>IF($A13&lt;&gt;"", (IF('3Inter O&amp;M Entry'!P14="Y", ((($B13*$D13)*((1+$B$5)^L$7))*(1/((1+$N$5)^L$7))), 0)), "")</f>
        <v/>
      </c>
      <c r="M13" s="35" t="str">
        <f>IF($A13&lt;&gt;"", (IF('3Inter O&amp;M Entry'!Q14="Y", ((($B13*$D13)*((1+$B$5)^M$7))*(1/((1+$N$5)^M$7))), 0)), "")</f>
        <v/>
      </c>
      <c r="N13" s="35" t="str">
        <f>IF($A13&lt;&gt;"", (IF('3Inter O&amp;M Entry'!R14="Y", ((($B13*$D13)*((1+$B$5)^N$7))*(1/((1+$N$5)^N$7))), 0)), "")</f>
        <v/>
      </c>
    </row>
    <row r="14" spans="1:14">
      <c r="A14" s="31" t="str">
        <f>IF('3Inter O&amp;M Entry'!A15&lt;&gt;"", '3Inter O&amp;M Entry'!A15, "")</f>
        <v/>
      </c>
      <c r="B14" s="35" t="str">
        <f>IF('3Inter O&amp;M Entry'!B15&lt;&gt;"", '3Inter O&amp;M Entry'!B15, "")</f>
        <v/>
      </c>
      <c r="C14" s="31" t="str">
        <f>IF('3Inter O&amp;M Entry'!C15&lt;&gt;"", '3Inter O&amp;M Entry'!C15, "")</f>
        <v/>
      </c>
      <c r="D14" s="108" t="str">
        <f>IF('3Inter O&amp;M Entry'!D15&lt;&gt;"", '3Inter O&amp;M Entry'!D15, "")</f>
        <v/>
      </c>
      <c r="E14" s="35" t="str">
        <f>IF($A14&lt;&gt;"", (IF('3Inter O&amp;M Entry'!I15="Y", ((($B14*$D14)*((1+$B$5)^E$7))*(1/((1+$N$5)^E$7))), 0)), "")</f>
        <v/>
      </c>
      <c r="F14" s="35" t="str">
        <f>IF($A14&lt;&gt;"", (IF('3Inter O&amp;M Entry'!J15="Y", ((($B14*$D14)*((1+$B$5)^F$7))*(1/((1+$N$5)^F$7))), 0)), "")</f>
        <v/>
      </c>
      <c r="G14" s="35" t="str">
        <f>IF($A14&lt;&gt;"", (IF('3Inter O&amp;M Entry'!K15="Y", ((($B14*$D14)*((1+$B$5)^G$7))*(1/((1+$N$5)^G$7))), 0)), "")</f>
        <v/>
      </c>
      <c r="H14" s="35" t="str">
        <f>IF($A14&lt;&gt;"", (IF('3Inter O&amp;M Entry'!L15="Y", ((($B14*$D14)*((1+$B$5)^H$7))*(1/((1+$N$5)^H$7))), 0)), "")</f>
        <v/>
      </c>
      <c r="I14" s="35" t="str">
        <f>IF($A14&lt;&gt;"", (IF('3Inter O&amp;M Entry'!M15="Y", ((($B14*$D14)*((1+$B$5)^I$7))*(1/((1+$N$5)^I$7))), 0)), "")</f>
        <v/>
      </c>
      <c r="J14" s="35" t="str">
        <f>IF($A14&lt;&gt;"", (IF('3Inter O&amp;M Entry'!N15="Y", ((($B14*$D14)*((1+$B$5)^J$7))*(1/((1+$N$5)^J$7))), 0)), "")</f>
        <v/>
      </c>
      <c r="K14" s="35" t="str">
        <f>IF($A14&lt;&gt;"", (IF('3Inter O&amp;M Entry'!O15="Y", ((($B14*$D14)*((1+$B$5)^K$7))*(1/((1+$N$5)^K$7))), 0)), "")</f>
        <v/>
      </c>
      <c r="L14" s="35" t="str">
        <f>IF($A14&lt;&gt;"", (IF('3Inter O&amp;M Entry'!P15="Y", ((($B14*$D14)*((1+$B$5)^L$7))*(1/((1+$N$5)^L$7))), 0)), "")</f>
        <v/>
      </c>
      <c r="M14" s="35" t="str">
        <f>IF($A14&lt;&gt;"", (IF('3Inter O&amp;M Entry'!Q15="Y", ((($B14*$D14)*((1+$B$5)^M$7))*(1/((1+$N$5)^M$7))), 0)), "")</f>
        <v/>
      </c>
      <c r="N14" s="35" t="str">
        <f>IF($A14&lt;&gt;"", (IF('3Inter O&amp;M Entry'!R15="Y", ((($B14*$D14)*((1+$B$5)^N$7))*(1/((1+$N$5)^N$7))), 0)), "")</f>
        <v/>
      </c>
    </row>
    <row r="15" spans="1:14">
      <c r="A15" s="31" t="str">
        <f>IF('3Inter O&amp;M Entry'!A16&lt;&gt;"", '3Inter O&amp;M Entry'!A16, "")</f>
        <v/>
      </c>
      <c r="B15" s="35" t="str">
        <f>IF('3Inter O&amp;M Entry'!B16&lt;&gt;"", '3Inter O&amp;M Entry'!B16, "")</f>
        <v/>
      </c>
      <c r="C15" s="31" t="str">
        <f>IF('3Inter O&amp;M Entry'!C16&lt;&gt;"", '3Inter O&amp;M Entry'!C16, "")</f>
        <v/>
      </c>
      <c r="D15" s="108" t="str">
        <f>IF('3Inter O&amp;M Entry'!D16&lt;&gt;"", '3Inter O&amp;M Entry'!D16, "")</f>
        <v/>
      </c>
      <c r="E15" s="35" t="str">
        <f>IF($A15&lt;&gt;"", (IF('3Inter O&amp;M Entry'!I16="Y", ((($B15*$D15)*((1+$B$5)^E$7))*(1/((1+$N$5)^E$7))), 0)), "")</f>
        <v/>
      </c>
      <c r="F15" s="35" t="str">
        <f>IF($A15&lt;&gt;"", (IF('3Inter O&amp;M Entry'!J16="Y", ((($B15*$D15)*((1+$B$5)^F$7))*(1/((1+$N$5)^F$7))), 0)), "")</f>
        <v/>
      </c>
      <c r="G15" s="35" t="str">
        <f>IF($A15&lt;&gt;"", (IF('3Inter O&amp;M Entry'!K16="Y", ((($B15*$D15)*((1+$B$5)^G$7))*(1/((1+$N$5)^G$7))), 0)), "")</f>
        <v/>
      </c>
      <c r="H15" s="35" t="str">
        <f>IF($A15&lt;&gt;"", (IF('3Inter O&amp;M Entry'!L16="Y", ((($B15*$D15)*((1+$B$5)^H$7))*(1/((1+$N$5)^H$7))), 0)), "")</f>
        <v/>
      </c>
      <c r="I15" s="35" t="str">
        <f>IF($A15&lt;&gt;"", (IF('3Inter O&amp;M Entry'!M16="Y", ((($B15*$D15)*((1+$B$5)^I$7))*(1/((1+$N$5)^I$7))), 0)), "")</f>
        <v/>
      </c>
      <c r="J15" s="35" t="str">
        <f>IF($A15&lt;&gt;"", (IF('3Inter O&amp;M Entry'!N16="Y", ((($B15*$D15)*((1+$B$5)^J$7))*(1/((1+$N$5)^J$7))), 0)), "")</f>
        <v/>
      </c>
      <c r="K15" s="35" t="str">
        <f>IF($A15&lt;&gt;"", (IF('3Inter O&amp;M Entry'!O16="Y", ((($B15*$D15)*((1+$B$5)^K$7))*(1/((1+$N$5)^K$7))), 0)), "")</f>
        <v/>
      </c>
      <c r="L15" s="35" t="str">
        <f>IF($A15&lt;&gt;"", (IF('3Inter O&amp;M Entry'!P16="Y", ((($B15*$D15)*((1+$B$5)^L$7))*(1/((1+$N$5)^L$7))), 0)), "")</f>
        <v/>
      </c>
      <c r="M15" s="35" t="str">
        <f>IF($A15&lt;&gt;"", (IF('3Inter O&amp;M Entry'!Q16="Y", ((($B15*$D15)*((1+$B$5)^M$7))*(1/((1+$N$5)^M$7))), 0)), "")</f>
        <v/>
      </c>
      <c r="N15" s="35" t="str">
        <f>IF($A15&lt;&gt;"", (IF('3Inter O&amp;M Entry'!R16="Y", ((($B15*$D15)*((1+$B$5)^N$7))*(1/((1+$N$5)^N$7))), 0)), "")</f>
        <v/>
      </c>
    </row>
    <row r="16" spans="1:14">
      <c r="A16" s="31" t="str">
        <f>IF('3Inter O&amp;M Entry'!A17&lt;&gt;"", '3Inter O&amp;M Entry'!A17, "")</f>
        <v/>
      </c>
      <c r="B16" s="35" t="str">
        <f>IF('3Inter O&amp;M Entry'!B17&lt;&gt;"", '3Inter O&amp;M Entry'!B17, "")</f>
        <v/>
      </c>
      <c r="C16" s="31" t="str">
        <f>IF('3Inter O&amp;M Entry'!C17&lt;&gt;"", '3Inter O&amp;M Entry'!C17, "")</f>
        <v/>
      </c>
      <c r="D16" s="108" t="str">
        <f>IF('3Inter O&amp;M Entry'!D17&lt;&gt;"", '3Inter O&amp;M Entry'!D17, "")</f>
        <v/>
      </c>
      <c r="E16" s="35" t="str">
        <f>IF($A16&lt;&gt;"", (IF('3Inter O&amp;M Entry'!I17="Y", ((($B16*$D16)*((1+$B$5)^E$7))*(1/((1+$N$5)^E$7))), 0)), "")</f>
        <v/>
      </c>
      <c r="F16" s="35" t="str">
        <f>IF($A16&lt;&gt;"", (IF('3Inter O&amp;M Entry'!J17="Y", ((($B16*$D16)*((1+$B$5)^F$7))*(1/((1+$N$5)^F$7))), 0)), "")</f>
        <v/>
      </c>
      <c r="G16" s="35" t="str">
        <f>IF($A16&lt;&gt;"", (IF('3Inter O&amp;M Entry'!K17="Y", ((($B16*$D16)*((1+$B$5)^G$7))*(1/((1+$N$5)^G$7))), 0)), "")</f>
        <v/>
      </c>
      <c r="H16" s="35" t="str">
        <f>IF($A16&lt;&gt;"", (IF('3Inter O&amp;M Entry'!L17="Y", ((($B16*$D16)*((1+$B$5)^H$7))*(1/((1+$N$5)^H$7))), 0)), "")</f>
        <v/>
      </c>
      <c r="I16" s="35" t="str">
        <f>IF($A16&lt;&gt;"", (IF('3Inter O&amp;M Entry'!M17="Y", ((($B16*$D16)*((1+$B$5)^I$7))*(1/((1+$N$5)^I$7))), 0)), "")</f>
        <v/>
      </c>
      <c r="J16" s="35" t="str">
        <f>IF($A16&lt;&gt;"", (IF('3Inter O&amp;M Entry'!N17="Y", ((($B16*$D16)*((1+$B$5)^J$7))*(1/((1+$N$5)^J$7))), 0)), "")</f>
        <v/>
      </c>
      <c r="K16" s="35" t="str">
        <f>IF($A16&lt;&gt;"", (IF('3Inter O&amp;M Entry'!O17="Y", ((($B16*$D16)*((1+$B$5)^K$7))*(1/((1+$N$5)^K$7))), 0)), "")</f>
        <v/>
      </c>
      <c r="L16" s="35" t="str">
        <f>IF($A16&lt;&gt;"", (IF('3Inter O&amp;M Entry'!P17="Y", ((($B16*$D16)*((1+$B$5)^L$7))*(1/((1+$N$5)^L$7))), 0)), "")</f>
        <v/>
      </c>
      <c r="M16" s="35" t="str">
        <f>IF($A16&lt;&gt;"", (IF('3Inter O&amp;M Entry'!Q17="Y", ((($B16*$D16)*((1+$B$5)^M$7))*(1/((1+$N$5)^M$7))), 0)), "")</f>
        <v/>
      </c>
      <c r="N16" s="35" t="str">
        <f>IF($A16&lt;&gt;"", (IF('3Inter O&amp;M Entry'!R17="Y", ((($B16*$D16)*((1+$B$5)^N$7))*(1/((1+$N$5)^N$7))), 0)), "")</f>
        <v/>
      </c>
    </row>
    <row r="17" spans="1:14">
      <c r="A17" s="31" t="str">
        <f>IF('3Inter O&amp;M Entry'!A18&lt;&gt;"", '3Inter O&amp;M Entry'!A18, "")</f>
        <v/>
      </c>
      <c r="B17" s="35" t="str">
        <f>IF('3Inter O&amp;M Entry'!B18&lt;&gt;"", '3Inter O&amp;M Entry'!B18, "")</f>
        <v/>
      </c>
      <c r="C17" s="31" t="str">
        <f>IF('3Inter O&amp;M Entry'!C18&lt;&gt;"", '3Inter O&amp;M Entry'!C18, "")</f>
        <v/>
      </c>
      <c r="D17" s="108" t="str">
        <f>IF('3Inter O&amp;M Entry'!D18&lt;&gt;"", '3Inter O&amp;M Entry'!D18, "")</f>
        <v/>
      </c>
      <c r="E17" s="35" t="str">
        <f>IF($A17&lt;&gt;"", (IF('3Inter O&amp;M Entry'!I18="Y", ((($B17*$D17)*((1+$B$5)^E$7))*(1/((1+$N$5)^E$7))), 0)), "")</f>
        <v/>
      </c>
      <c r="F17" s="35" t="str">
        <f>IF($A17&lt;&gt;"", (IF('3Inter O&amp;M Entry'!J18="Y", ((($B17*$D17)*((1+$B$5)^F$7))*(1/((1+$N$5)^F$7))), 0)), "")</f>
        <v/>
      </c>
      <c r="G17" s="35" t="str">
        <f>IF($A17&lt;&gt;"", (IF('3Inter O&amp;M Entry'!K18="Y", ((($B17*$D17)*((1+$B$5)^G$7))*(1/((1+$N$5)^G$7))), 0)), "")</f>
        <v/>
      </c>
      <c r="H17" s="35" t="str">
        <f>IF($A17&lt;&gt;"", (IF('3Inter O&amp;M Entry'!L18="Y", ((($B17*$D17)*((1+$B$5)^H$7))*(1/((1+$N$5)^H$7))), 0)), "")</f>
        <v/>
      </c>
      <c r="I17" s="35" t="str">
        <f>IF($A17&lt;&gt;"", (IF('3Inter O&amp;M Entry'!M18="Y", ((($B17*$D17)*((1+$B$5)^I$7))*(1/((1+$N$5)^I$7))), 0)), "")</f>
        <v/>
      </c>
      <c r="J17" s="35" t="str">
        <f>IF($A17&lt;&gt;"", (IF('3Inter O&amp;M Entry'!N18="Y", ((($B17*$D17)*((1+$B$5)^J$7))*(1/((1+$N$5)^J$7))), 0)), "")</f>
        <v/>
      </c>
      <c r="K17" s="35" t="str">
        <f>IF($A17&lt;&gt;"", (IF('3Inter O&amp;M Entry'!O18="Y", ((($B17*$D17)*((1+$B$5)^K$7))*(1/((1+$N$5)^K$7))), 0)), "")</f>
        <v/>
      </c>
      <c r="L17" s="35" t="str">
        <f>IF($A17&lt;&gt;"", (IF('3Inter O&amp;M Entry'!P18="Y", ((($B17*$D17)*((1+$B$5)^L$7))*(1/((1+$N$5)^L$7))), 0)), "")</f>
        <v/>
      </c>
      <c r="M17" s="35" t="str">
        <f>IF($A17&lt;&gt;"", (IF('3Inter O&amp;M Entry'!Q18="Y", ((($B17*$D17)*((1+$B$5)^M$7))*(1/((1+$N$5)^M$7))), 0)), "")</f>
        <v/>
      </c>
      <c r="N17" s="35" t="str">
        <f>IF($A17&lt;&gt;"", (IF('3Inter O&amp;M Entry'!R18="Y", ((($B17*$D17)*((1+$B$5)^N$7))*(1/((1+$N$5)^N$7))), 0)), "")</f>
        <v/>
      </c>
    </row>
    <row r="18" spans="1:14">
      <c r="A18" s="31" t="str">
        <f>IF('3Inter O&amp;M Entry'!A19&lt;&gt;"", '3Inter O&amp;M Entry'!A19, "")</f>
        <v/>
      </c>
      <c r="B18" s="35" t="str">
        <f>IF('3Inter O&amp;M Entry'!B19&lt;&gt;"", '3Inter O&amp;M Entry'!B19, "")</f>
        <v/>
      </c>
      <c r="C18" s="31" t="str">
        <f>IF('3Inter O&amp;M Entry'!C19&lt;&gt;"", '3Inter O&amp;M Entry'!C19, "")</f>
        <v/>
      </c>
      <c r="D18" s="108" t="str">
        <f>IF('3Inter O&amp;M Entry'!D19&lt;&gt;"", '3Inter O&amp;M Entry'!D19, "")</f>
        <v/>
      </c>
      <c r="E18" s="35" t="str">
        <f>IF($A18&lt;&gt;"", (IF('3Inter O&amp;M Entry'!I19="Y", ((($B18*$D18)*((1+$B$5)^E$7))*(1/((1+$N$5)^E$7))), 0)), "")</f>
        <v/>
      </c>
      <c r="F18" s="35" t="str">
        <f>IF($A18&lt;&gt;"", (IF('3Inter O&amp;M Entry'!J19="Y", ((($B18*$D18)*((1+$B$5)^F$7))*(1/((1+$N$5)^F$7))), 0)), "")</f>
        <v/>
      </c>
      <c r="G18" s="35" t="str">
        <f>IF($A18&lt;&gt;"", (IF('3Inter O&amp;M Entry'!K19="Y", ((($B18*$D18)*((1+$B$5)^G$7))*(1/((1+$N$5)^G$7))), 0)), "")</f>
        <v/>
      </c>
      <c r="H18" s="35" t="str">
        <f>IF($A18&lt;&gt;"", (IF('3Inter O&amp;M Entry'!L19="Y", ((($B18*$D18)*((1+$B$5)^H$7))*(1/((1+$N$5)^H$7))), 0)), "")</f>
        <v/>
      </c>
      <c r="I18" s="35" t="str">
        <f>IF($A18&lt;&gt;"", (IF('3Inter O&amp;M Entry'!M19="Y", ((($B18*$D18)*((1+$B$5)^I$7))*(1/((1+$N$5)^I$7))), 0)), "")</f>
        <v/>
      </c>
      <c r="J18" s="35" t="str">
        <f>IF($A18&lt;&gt;"", (IF('3Inter O&amp;M Entry'!N19="Y", ((($B18*$D18)*((1+$B$5)^J$7))*(1/((1+$N$5)^J$7))), 0)), "")</f>
        <v/>
      </c>
      <c r="K18" s="35" t="str">
        <f>IF($A18&lt;&gt;"", (IF('3Inter O&amp;M Entry'!O19="Y", ((($B18*$D18)*((1+$B$5)^K$7))*(1/((1+$N$5)^K$7))), 0)), "")</f>
        <v/>
      </c>
      <c r="L18" s="35" t="str">
        <f>IF($A18&lt;&gt;"", (IF('3Inter O&amp;M Entry'!P19="Y", ((($B18*$D18)*((1+$B$5)^L$7))*(1/((1+$N$5)^L$7))), 0)), "")</f>
        <v/>
      </c>
      <c r="M18" s="35" t="str">
        <f>IF($A18&lt;&gt;"", (IF('3Inter O&amp;M Entry'!Q19="Y", ((($B18*$D18)*((1+$B$5)^M$7))*(1/((1+$N$5)^M$7))), 0)), "")</f>
        <v/>
      </c>
      <c r="N18" s="35" t="str">
        <f>IF($A18&lt;&gt;"", (IF('3Inter O&amp;M Entry'!R19="Y", ((($B18*$D18)*((1+$B$5)^N$7))*(1/((1+$N$5)^N$7))), 0)), "")</f>
        <v/>
      </c>
    </row>
    <row r="19" spans="1:14">
      <c r="A19" s="31" t="str">
        <f>IF('3Inter O&amp;M Entry'!A20&lt;&gt;"", '3Inter O&amp;M Entry'!A20, "")</f>
        <v/>
      </c>
      <c r="B19" s="35" t="str">
        <f>IF('3Inter O&amp;M Entry'!B20&lt;&gt;"", '3Inter O&amp;M Entry'!B20, "")</f>
        <v/>
      </c>
      <c r="C19" s="31" t="str">
        <f>IF('3Inter O&amp;M Entry'!C20&lt;&gt;"", '3Inter O&amp;M Entry'!C20, "")</f>
        <v/>
      </c>
      <c r="D19" s="108" t="str">
        <f>IF('3Inter O&amp;M Entry'!D20&lt;&gt;"", '3Inter O&amp;M Entry'!D20, "")</f>
        <v/>
      </c>
      <c r="E19" s="35" t="str">
        <f>IF($A19&lt;&gt;"", (IF('3Inter O&amp;M Entry'!I20="Y", ((($B19*$D19)*((1+$B$5)^E$7))*(1/((1+$N$5)^E$7))), 0)), "")</f>
        <v/>
      </c>
      <c r="F19" s="35" t="str">
        <f>IF($A19&lt;&gt;"", (IF('3Inter O&amp;M Entry'!J20="Y", ((($B19*$D19)*((1+$B$5)^F$7))*(1/((1+$N$5)^F$7))), 0)), "")</f>
        <v/>
      </c>
      <c r="G19" s="35" t="str">
        <f>IF($A19&lt;&gt;"", (IF('3Inter O&amp;M Entry'!K20="Y", ((($B19*$D19)*((1+$B$5)^G$7))*(1/((1+$N$5)^G$7))), 0)), "")</f>
        <v/>
      </c>
      <c r="H19" s="35" t="str">
        <f>IF($A19&lt;&gt;"", (IF('3Inter O&amp;M Entry'!L20="Y", ((($B19*$D19)*((1+$B$5)^H$7))*(1/((1+$N$5)^H$7))), 0)), "")</f>
        <v/>
      </c>
      <c r="I19" s="35" t="str">
        <f>IF($A19&lt;&gt;"", (IF('3Inter O&amp;M Entry'!M20="Y", ((($B19*$D19)*((1+$B$5)^I$7))*(1/((1+$N$5)^I$7))), 0)), "")</f>
        <v/>
      </c>
      <c r="J19" s="35" t="str">
        <f>IF($A19&lt;&gt;"", (IF('3Inter O&amp;M Entry'!N20="Y", ((($B19*$D19)*((1+$B$5)^J$7))*(1/((1+$N$5)^J$7))), 0)), "")</f>
        <v/>
      </c>
      <c r="K19" s="35" t="str">
        <f>IF($A19&lt;&gt;"", (IF('3Inter O&amp;M Entry'!O20="Y", ((($B19*$D19)*((1+$B$5)^K$7))*(1/((1+$N$5)^K$7))), 0)), "")</f>
        <v/>
      </c>
      <c r="L19" s="35" t="str">
        <f>IF($A19&lt;&gt;"", (IF('3Inter O&amp;M Entry'!P20="Y", ((($B19*$D19)*((1+$B$5)^L$7))*(1/((1+$N$5)^L$7))), 0)), "")</f>
        <v/>
      </c>
      <c r="M19" s="35" t="str">
        <f>IF($A19&lt;&gt;"", (IF('3Inter O&amp;M Entry'!Q20="Y", ((($B19*$D19)*((1+$B$5)^M$7))*(1/((1+$N$5)^M$7))), 0)), "")</f>
        <v/>
      </c>
      <c r="N19" s="35" t="str">
        <f>IF($A19&lt;&gt;"", (IF('3Inter O&amp;M Entry'!R20="Y", ((($B19*$D19)*((1+$B$5)^N$7))*(1/((1+$N$5)^N$7))), 0)), "")</f>
        <v/>
      </c>
    </row>
    <row r="20" spans="1:14">
      <c r="D20" s="2" t="s">
        <v>73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21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165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'3Capital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'3Inter O&amp;M 1-10'!A5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11</v>
      </c>
      <c r="F7" s="12">
        <v>12</v>
      </c>
      <c r="G7" s="12">
        <v>13</v>
      </c>
      <c r="H7" s="12">
        <v>14</v>
      </c>
      <c r="I7" s="12">
        <v>15</v>
      </c>
      <c r="J7" s="12">
        <v>16</v>
      </c>
      <c r="K7" s="12">
        <v>17</v>
      </c>
      <c r="L7" s="12">
        <v>18</v>
      </c>
      <c r="M7" s="12">
        <v>19</v>
      </c>
      <c r="N7" s="12">
        <v>20</v>
      </c>
    </row>
    <row r="8" spans="1:14">
      <c r="A8" s="31" t="str">
        <f>IF('3Inter O&amp;M Entry'!A9&lt;&gt;"", '3Inter O&amp;M Entry'!A9, "")</f>
        <v/>
      </c>
      <c r="B8" s="35" t="str">
        <f>IF('3Inter O&amp;M Entry'!B9&lt;&gt;"", '3Inter O&amp;M Entry'!B9, "")</f>
        <v/>
      </c>
      <c r="C8" s="31" t="str">
        <f>IF('3Inter O&amp;M Entry'!C9&lt;&gt;"", '3Inter O&amp;M Entry'!C9, "")</f>
        <v/>
      </c>
      <c r="D8" s="108" t="str">
        <f>IF('3Inter O&amp;M Entry'!D9&lt;&gt;"", '3Inter O&amp;M Entry'!D9, "")</f>
        <v/>
      </c>
      <c r="E8" s="35" t="str">
        <f>IF(A8&lt;&gt;"", (IF('3Inter O&amp;M Entry'!I9="Y", ((($B8*$D8)*((1+$B$5)^E$7))*(1/((1+$N$5)^E$7))), 0)), "")</f>
        <v/>
      </c>
      <c r="F8" s="35" t="str">
        <f>IF(B8&lt;&gt;"", (IF('3Inter O&amp;M Entry'!J9="Y", ((($B8*$D8)*((1+$B$5)^F$7))*(1/((1+$N$5)^F$7))), 0)), "")</f>
        <v/>
      </c>
      <c r="G8" s="35" t="str">
        <f>IF(C8&lt;&gt;"", (IF('3Inter O&amp;M Entry'!K9="Y", ((($B8*$D8)*((1+$B$5)^G$7))*(1/((1+$N$5)^G$7))), 0)), "")</f>
        <v/>
      </c>
      <c r="H8" s="35" t="str">
        <f>IF(D8&lt;&gt;"", (IF('3Inter O&amp;M Entry'!L9="Y", ((($B8*$D8)*((1+$B$5)^H$7))*(1/((1+$N$5)^H$7))), 0)), "")</f>
        <v/>
      </c>
      <c r="I8" s="35" t="str">
        <f>IF(E8&lt;&gt;"", (IF('3Inter O&amp;M Entry'!M9="Y", ((($B8*$D8)*((1+$B$5)^I$7))*(1/((1+$N$5)^I$7))), 0)), "")</f>
        <v/>
      </c>
      <c r="J8" s="35" t="str">
        <f>IF(F8&lt;&gt;"", (IF('3Inter O&amp;M Entry'!N9="Y", ((($B8*$D8)*((1+$B$5)^J$7))*(1/((1+$N$5)^J$7))), 0)), "")</f>
        <v/>
      </c>
      <c r="K8" s="35" t="str">
        <f>IF(G8&lt;&gt;"", (IF('3Inter O&amp;M Entry'!O9="Y", ((($B8*$D8)*((1+$B$5)^K$7))*(1/((1+$N$5)^K$7))), 0)), "")</f>
        <v/>
      </c>
      <c r="L8" s="35" t="str">
        <f>IF(H8&lt;&gt;"", (IF('3Inter O&amp;M Entry'!P9="Y", ((($B8*$D8)*((1+$B$5)^L$7))*(1/((1+$N$5)^L$7))), 0)), "")</f>
        <v/>
      </c>
      <c r="M8" s="35" t="str">
        <f>IF(I8&lt;&gt;"", (IF('3Inter O&amp;M Entry'!Q9="Y", ((($B8*$D8)*((1+$B$5)^M$7))*(1/((1+$N$5)^M$7))), 0)), "")</f>
        <v/>
      </c>
      <c r="N8" s="35" t="str">
        <f>IF(J8&lt;&gt;"", (IF('3Inter O&amp;M Entry'!R9="Y", ((($B8*$D8)*((1+$B$5)^N$7))*(1/((1+$N$5)^N$7))), 0)), "")</f>
        <v/>
      </c>
    </row>
    <row r="9" spans="1:14">
      <c r="A9" s="31" t="str">
        <f>IF('3Inter O&amp;M Entry'!A10&lt;&gt;"", '3Inter O&amp;M Entry'!A10, "")</f>
        <v/>
      </c>
      <c r="B9" s="35" t="str">
        <f>IF('3Inter O&amp;M Entry'!B10&lt;&gt;"", '3Inter O&amp;M Entry'!B10, "")</f>
        <v/>
      </c>
      <c r="C9" s="31" t="str">
        <f>IF('3Inter O&amp;M Entry'!C10&lt;&gt;"", '3Inter O&amp;M Entry'!C10, "")</f>
        <v/>
      </c>
      <c r="D9" s="108" t="str">
        <f>IF('3Inter O&amp;M Entry'!D10&lt;&gt;"", '3Inter O&amp;M Entry'!D10, "")</f>
        <v/>
      </c>
      <c r="E9" s="35" t="str">
        <f>IF(A9&lt;&gt;"", (IF('3Inter O&amp;M Entry'!I10="Y", ((($B9*$D9)*((1+$B$5)^E$7))*(1/((1+$N$5)^E$7))), 0)), "")</f>
        <v/>
      </c>
      <c r="F9" s="35" t="str">
        <f>IF(B9&lt;&gt;"", (IF('3Inter O&amp;M Entry'!J10="Y", ((($B9*$D9)*((1+$B$5)^F$7))*(1/((1+$N$5)^F$7))), 0)), "")</f>
        <v/>
      </c>
      <c r="G9" s="35" t="str">
        <f>IF(C9&lt;&gt;"", (IF('3Inter O&amp;M Entry'!K10="Y", ((($B9*$D9)*((1+$B$5)^G$7))*(1/((1+$N$5)^G$7))), 0)), "")</f>
        <v/>
      </c>
      <c r="H9" s="35" t="str">
        <f>IF(D9&lt;&gt;"", (IF('3Inter O&amp;M Entry'!L10="Y", ((($B9*$D9)*((1+$B$5)^H$7))*(1/((1+$N$5)^H$7))), 0)), "")</f>
        <v/>
      </c>
      <c r="I9" s="35" t="str">
        <f>IF(E9&lt;&gt;"", (IF('3Inter O&amp;M Entry'!M10="Y", ((($B9*$D9)*((1+$B$5)^I$7))*(1/((1+$N$5)^I$7))), 0)), "")</f>
        <v/>
      </c>
      <c r="J9" s="35" t="str">
        <f>IF(F9&lt;&gt;"", (IF('3Inter O&amp;M Entry'!N10="Y", ((($B9*$D9)*((1+$B$5)^J$7))*(1/((1+$N$5)^J$7))), 0)), "")</f>
        <v/>
      </c>
      <c r="K9" s="35" t="str">
        <f>IF(G9&lt;&gt;"", (IF('3Inter O&amp;M Entry'!O10="Y", ((($B9*$D9)*((1+$B$5)^K$7))*(1/((1+$N$5)^K$7))), 0)), "")</f>
        <v/>
      </c>
      <c r="L9" s="35" t="str">
        <f>IF(H9&lt;&gt;"", (IF('3Inter O&amp;M Entry'!P10="Y", ((($B9*$D9)*((1+$B$5)^L$7))*(1/((1+$N$5)^L$7))), 0)), "")</f>
        <v/>
      </c>
      <c r="M9" s="35" t="str">
        <f>IF(I9&lt;&gt;"", (IF('3Inter O&amp;M Entry'!Q10="Y", ((($B9*$D9)*((1+$B$5)^M$7))*(1/((1+$N$5)^M$7))), 0)), "")</f>
        <v/>
      </c>
      <c r="N9" s="35" t="str">
        <f>IF(J9&lt;&gt;"", (IF('3Inter O&amp;M Entry'!R10="Y", ((($B9*$D9)*((1+$B$5)^N$7))*(1/((1+$N$5)^N$7))), 0)), "")</f>
        <v/>
      </c>
    </row>
    <row r="10" spans="1:14">
      <c r="A10" s="31" t="str">
        <f>IF('3Inter O&amp;M Entry'!A11&lt;&gt;"", '3Inter O&amp;M Entry'!A11, "")</f>
        <v/>
      </c>
      <c r="B10" s="35" t="str">
        <f>IF('3Inter O&amp;M Entry'!B11&lt;&gt;"", '3Inter O&amp;M Entry'!B11, "")</f>
        <v/>
      </c>
      <c r="C10" s="31" t="str">
        <f>IF('3Inter O&amp;M Entry'!C11&lt;&gt;"", '3Inter O&amp;M Entry'!C11, "")</f>
        <v/>
      </c>
      <c r="D10" s="108" t="str">
        <f>IF('3Inter O&amp;M Entry'!D11&lt;&gt;"", '3Inter O&amp;M Entry'!D11, "")</f>
        <v/>
      </c>
      <c r="E10" s="35" t="str">
        <f>IF(A10&lt;&gt;"", (IF('3Inter O&amp;M Entry'!I11="Y", ((($B10*$D10)*((1+$B$5)^E$7))*(1/((1+$N$5)^E$7))), 0)), "")</f>
        <v/>
      </c>
      <c r="F10" s="35" t="str">
        <f>IF(B10&lt;&gt;"", (IF('3Inter O&amp;M Entry'!J11="Y", ((($B10*$D10)*((1+$B$5)^F$7))*(1/((1+$N$5)^F$7))), 0)), "")</f>
        <v/>
      </c>
      <c r="G10" s="35" t="str">
        <f>IF(C10&lt;&gt;"", (IF('3Inter O&amp;M Entry'!K11="Y", ((($B10*$D10)*((1+$B$5)^G$7))*(1/((1+$N$5)^G$7))), 0)), "")</f>
        <v/>
      </c>
      <c r="H10" s="35" t="str">
        <f>IF(D10&lt;&gt;"", (IF('3Inter O&amp;M Entry'!L11="Y", ((($B10*$D10)*((1+$B$5)^H$7))*(1/((1+$N$5)^H$7))), 0)), "")</f>
        <v/>
      </c>
      <c r="I10" s="35" t="str">
        <f>IF(E10&lt;&gt;"", (IF('3Inter O&amp;M Entry'!M11="Y", ((($B10*$D10)*((1+$B$5)^I$7))*(1/((1+$N$5)^I$7))), 0)), "")</f>
        <v/>
      </c>
      <c r="J10" s="35" t="str">
        <f>IF(F10&lt;&gt;"", (IF('3Inter O&amp;M Entry'!N11="Y", ((($B10*$D10)*((1+$B$5)^J$7))*(1/((1+$N$5)^J$7))), 0)), "")</f>
        <v/>
      </c>
      <c r="K10" s="35" t="str">
        <f>IF(G10&lt;&gt;"", (IF('3Inter O&amp;M Entry'!O11="Y", ((($B10*$D10)*((1+$B$5)^K$7))*(1/((1+$N$5)^K$7))), 0)), "")</f>
        <v/>
      </c>
      <c r="L10" s="35" t="str">
        <f>IF(H10&lt;&gt;"", (IF('3Inter O&amp;M Entry'!P11="Y", ((($B10*$D10)*((1+$B$5)^L$7))*(1/((1+$N$5)^L$7))), 0)), "")</f>
        <v/>
      </c>
      <c r="M10" s="35" t="str">
        <f>IF(I10&lt;&gt;"", (IF('3Inter O&amp;M Entry'!Q11="Y", ((($B10*$D10)*((1+$B$5)^M$7))*(1/((1+$N$5)^M$7))), 0)), "")</f>
        <v/>
      </c>
      <c r="N10" s="35" t="str">
        <f>IF(J10&lt;&gt;"", (IF('3Inter O&amp;M Entry'!R11="Y", ((($B10*$D10)*((1+$B$5)^N$7))*(1/((1+$N$5)^N$7))), 0)), "")</f>
        <v/>
      </c>
    </row>
    <row r="11" spans="1:14">
      <c r="A11" s="31" t="str">
        <f>IF('3Inter O&amp;M Entry'!A12&lt;&gt;"", '3Inter O&amp;M Entry'!A12, "")</f>
        <v/>
      </c>
      <c r="B11" s="35" t="str">
        <f>IF('3Inter O&amp;M Entry'!B12&lt;&gt;"", '3Inter O&amp;M Entry'!B12, "")</f>
        <v/>
      </c>
      <c r="C11" s="31" t="str">
        <f>IF('3Inter O&amp;M Entry'!C12&lt;&gt;"", '3Inter O&amp;M Entry'!C12, "")</f>
        <v/>
      </c>
      <c r="D11" s="108" t="str">
        <f>IF('3Inter O&amp;M Entry'!D12&lt;&gt;"", '3Inter O&amp;M Entry'!D12, "")</f>
        <v/>
      </c>
      <c r="E11" s="35" t="str">
        <f>IF(A11&lt;&gt;"", (IF('3Inter O&amp;M Entry'!I12="Y", ((($B11*$D11)*((1+$B$5)^E$7))*(1/((1+$N$5)^E$7))), 0)), "")</f>
        <v/>
      </c>
      <c r="F11" s="35" t="str">
        <f>IF(B11&lt;&gt;"", (IF('3Inter O&amp;M Entry'!J12="Y", ((($B11*$D11)*((1+$B$5)^F$7))*(1/((1+$N$5)^F$7))), 0)), "")</f>
        <v/>
      </c>
      <c r="G11" s="35" t="str">
        <f>IF(C11&lt;&gt;"", (IF('3Inter O&amp;M Entry'!K12="Y", ((($B11*$D11)*((1+$B$5)^G$7))*(1/((1+$N$5)^G$7))), 0)), "")</f>
        <v/>
      </c>
      <c r="H11" s="35" t="str">
        <f>IF(D11&lt;&gt;"", (IF('3Inter O&amp;M Entry'!L12="Y", ((($B11*$D11)*((1+$B$5)^H$7))*(1/((1+$N$5)^H$7))), 0)), "")</f>
        <v/>
      </c>
      <c r="I11" s="35" t="str">
        <f>IF(E11&lt;&gt;"", (IF('3Inter O&amp;M Entry'!M12="Y", ((($B11*$D11)*((1+$B$5)^I$7))*(1/((1+$N$5)^I$7))), 0)), "")</f>
        <v/>
      </c>
      <c r="J11" s="35" t="str">
        <f>IF(F11&lt;&gt;"", (IF('3Inter O&amp;M Entry'!N12="Y", ((($B11*$D11)*((1+$B$5)^J$7))*(1/((1+$N$5)^J$7))), 0)), "")</f>
        <v/>
      </c>
      <c r="K11" s="35" t="str">
        <f>IF(G11&lt;&gt;"", (IF('3Inter O&amp;M Entry'!O12="Y", ((($B11*$D11)*((1+$B$5)^K$7))*(1/((1+$N$5)^K$7))), 0)), "")</f>
        <v/>
      </c>
      <c r="L11" s="35" t="str">
        <f>IF(H11&lt;&gt;"", (IF('3Inter O&amp;M Entry'!P12="Y", ((($B11*$D11)*((1+$B$5)^L$7))*(1/((1+$N$5)^L$7))), 0)), "")</f>
        <v/>
      </c>
      <c r="M11" s="35" t="str">
        <f>IF(I11&lt;&gt;"", (IF('3Inter O&amp;M Entry'!Q12="Y", ((($B11*$D11)*((1+$B$5)^M$7))*(1/((1+$N$5)^M$7))), 0)), "")</f>
        <v/>
      </c>
      <c r="N11" s="35" t="str">
        <f>IF(J11&lt;&gt;"", (IF('3Inter O&amp;M Entry'!R12="Y", ((($B11*$D11)*((1+$B$5)^N$7))*(1/((1+$N$5)^N$7))), 0)), "")</f>
        <v/>
      </c>
    </row>
    <row r="12" spans="1:14">
      <c r="A12" s="31" t="str">
        <f>IF('3Inter O&amp;M Entry'!A13&lt;&gt;"", '3Inter O&amp;M Entry'!A13, "")</f>
        <v/>
      </c>
      <c r="B12" s="35" t="str">
        <f>IF('3Inter O&amp;M Entry'!B13&lt;&gt;"", '3Inter O&amp;M Entry'!B13, "")</f>
        <v/>
      </c>
      <c r="C12" s="31" t="str">
        <f>IF('3Inter O&amp;M Entry'!C13&lt;&gt;"", '3Inter O&amp;M Entry'!C13, "")</f>
        <v/>
      </c>
      <c r="D12" s="108" t="str">
        <f>IF('3Inter O&amp;M Entry'!D13&lt;&gt;"", '3Inter O&amp;M Entry'!D13, "")</f>
        <v/>
      </c>
      <c r="E12" s="35" t="str">
        <f>IF(A12&lt;&gt;"", (IF('3Inter O&amp;M Entry'!I13="Y", ((($B12*$D12)*((1+$B$5)^E$7))*(1/((1+$N$5)^E$7))), 0)), "")</f>
        <v/>
      </c>
      <c r="F12" s="35" t="str">
        <f>IF(B12&lt;&gt;"", (IF('3Inter O&amp;M Entry'!J13="Y", ((($B12*$D12)*((1+$B$5)^F$7))*(1/((1+$N$5)^F$7))), 0)), "")</f>
        <v/>
      </c>
      <c r="G12" s="35" t="str">
        <f>IF(C12&lt;&gt;"", (IF('3Inter O&amp;M Entry'!K13="Y", ((($B12*$D12)*((1+$B$5)^G$7))*(1/((1+$N$5)^G$7))), 0)), "")</f>
        <v/>
      </c>
      <c r="H12" s="35" t="str">
        <f>IF(D12&lt;&gt;"", (IF('3Inter O&amp;M Entry'!L13="Y", ((($B12*$D12)*((1+$B$5)^H$7))*(1/((1+$N$5)^H$7))), 0)), "")</f>
        <v/>
      </c>
      <c r="I12" s="35" t="str">
        <f>IF(E12&lt;&gt;"", (IF('3Inter O&amp;M Entry'!M13="Y", ((($B12*$D12)*((1+$B$5)^I$7))*(1/((1+$N$5)^I$7))), 0)), "")</f>
        <v/>
      </c>
      <c r="J12" s="35" t="str">
        <f>IF(F12&lt;&gt;"", (IF('3Inter O&amp;M Entry'!N13="Y", ((($B12*$D12)*((1+$B$5)^J$7))*(1/((1+$N$5)^J$7))), 0)), "")</f>
        <v/>
      </c>
      <c r="K12" s="35" t="str">
        <f>IF(G12&lt;&gt;"", (IF('3Inter O&amp;M Entry'!O13="Y", ((($B12*$D12)*((1+$B$5)^K$7))*(1/((1+$N$5)^K$7))), 0)), "")</f>
        <v/>
      </c>
      <c r="L12" s="35" t="str">
        <f>IF(H12&lt;&gt;"", (IF('3Inter O&amp;M Entry'!P13="Y", ((($B12*$D12)*((1+$B$5)^L$7))*(1/((1+$N$5)^L$7))), 0)), "")</f>
        <v/>
      </c>
      <c r="M12" s="35" t="str">
        <f>IF(I12&lt;&gt;"", (IF('3Inter O&amp;M Entry'!Q13="Y", ((($B12*$D12)*((1+$B$5)^M$7))*(1/((1+$N$5)^M$7))), 0)), "")</f>
        <v/>
      </c>
      <c r="N12" s="35" t="str">
        <f>IF(J12&lt;&gt;"", (IF('3Inter O&amp;M Entry'!R13="Y", ((($B12*$D12)*((1+$B$5)^N$7))*(1/((1+$N$5)^N$7))), 0)), "")</f>
        <v/>
      </c>
    </row>
    <row r="13" spans="1:14">
      <c r="A13" s="31" t="str">
        <f>IF('3Inter O&amp;M Entry'!A14&lt;&gt;"", '3Inter O&amp;M Entry'!A14, "")</f>
        <v/>
      </c>
      <c r="B13" s="35" t="str">
        <f>IF('3Inter O&amp;M Entry'!B14&lt;&gt;"", '3Inter O&amp;M Entry'!B14, "")</f>
        <v/>
      </c>
      <c r="C13" s="31" t="str">
        <f>IF('3Inter O&amp;M Entry'!C14&lt;&gt;"", '3Inter O&amp;M Entry'!C14, "")</f>
        <v/>
      </c>
      <c r="D13" s="108" t="str">
        <f>IF('3Inter O&amp;M Entry'!D14&lt;&gt;"", '3Inter O&amp;M Entry'!D14, "")</f>
        <v/>
      </c>
      <c r="E13" s="35" t="str">
        <f>IF(A13&lt;&gt;"", (IF('3Inter O&amp;M Entry'!I14="Y", ((($B13*$D13)*((1+$B$5)^E$7))*(1/((1+$N$5)^E$7))), 0)), "")</f>
        <v/>
      </c>
      <c r="F13" s="35" t="str">
        <f>IF(B13&lt;&gt;"", (IF('3Inter O&amp;M Entry'!J14="Y", ((($B13*$D13)*((1+$B$5)^F$7))*(1/((1+$N$5)^F$7))), 0)), "")</f>
        <v/>
      </c>
      <c r="G13" s="35" t="str">
        <f>IF(C13&lt;&gt;"", (IF('3Inter O&amp;M Entry'!K14="Y", ((($B13*$D13)*((1+$B$5)^G$7))*(1/((1+$N$5)^G$7))), 0)), "")</f>
        <v/>
      </c>
      <c r="H13" s="35" t="str">
        <f>IF(D13&lt;&gt;"", (IF('3Inter O&amp;M Entry'!L14="Y", ((($B13*$D13)*((1+$B$5)^H$7))*(1/((1+$N$5)^H$7))), 0)), "")</f>
        <v/>
      </c>
      <c r="I13" s="35" t="str">
        <f>IF(E13&lt;&gt;"", (IF('3Inter O&amp;M Entry'!M14="Y", ((($B13*$D13)*((1+$B$5)^I$7))*(1/((1+$N$5)^I$7))), 0)), "")</f>
        <v/>
      </c>
      <c r="J13" s="35" t="str">
        <f>IF(F13&lt;&gt;"", (IF('3Inter O&amp;M Entry'!N14="Y", ((($B13*$D13)*((1+$B$5)^J$7))*(1/((1+$N$5)^J$7))), 0)), "")</f>
        <v/>
      </c>
      <c r="K13" s="35" t="str">
        <f>IF(G13&lt;&gt;"", (IF('3Inter O&amp;M Entry'!O14="Y", ((($B13*$D13)*((1+$B$5)^K$7))*(1/((1+$N$5)^K$7))), 0)), "")</f>
        <v/>
      </c>
      <c r="L13" s="35" t="str">
        <f>IF(H13&lt;&gt;"", (IF('3Inter O&amp;M Entry'!P14="Y", ((($B13*$D13)*((1+$B$5)^L$7))*(1/((1+$N$5)^L$7))), 0)), "")</f>
        <v/>
      </c>
      <c r="M13" s="35" t="str">
        <f>IF(I13&lt;&gt;"", (IF('3Inter O&amp;M Entry'!Q14="Y", ((($B13*$D13)*((1+$B$5)^M$7))*(1/((1+$N$5)^M$7))), 0)), "")</f>
        <v/>
      </c>
      <c r="N13" s="35" t="str">
        <f>IF(J13&lt;&gt;"", (IF('3Inter O&amp;M Entry'!R14="Y", ((($B13*$D13)*((1+$B$5)^N$7))*(1/((1+$N$5)^N$7))), 0)), "")</f>
        <v/>
      </c>
    </row>
    <row r="14" spans="1:14">
      <c r="A14" s="31" t="str">
        <f>IF('3Inter O&amp;M Entry'!A15&lt;&gt;"", '3Inter O&amp;M Entry'!A15, "")</f>
        <v/>
      </c>
      <c r="B14" s="35" t="str">
        <f>IF('3Inter O&amp;M Entry'!B15&lt;&gt;"", '3Inter O&amp;M Entry'!B15, "")</f>
        <v/>
      </c>
      <c r="C14" s="31" t="str">
        <f>IF('3Inter O&amp;M Entry'!C15&lt;&gt;"", '3Inter O&amp;M Entry'!C15, "")</f>
        <v/>
      </c>
      <c r="D14" s="108" t="str">
        <f>IF('3Inter O&amp;M Entry'!D15&lt;&gt;"", '3Inter O&amp;M Entry'!D15, "")</f>
        <v/>
      </c>
      <c r="E14" s="35" t="str">
        <f>IF(A14&lt;&gt;"", (IF('3Inter O&amp;M Entry'!I15="Y", ((($B14*$D14)*((1+$B$5)^E$7))*(1/((1+$N$5)^E$7))), 0)), "")</f>
        <v/>
      </c>
      <c r="F14" s="35" t="str">
        <f>IF(B14&lt;&gt;"", (IF('3Inter O&amp;M Entry'!J15="Y", ((($B14*$D14)*((1+$B$5)^F$7))*(1/((1+$N$5)^F$7))), 0)), "")</f>
        <v/>
      </c>
      <c r="G14" s="35" t="str">
        <f>IF(C14&lt;&gt;"", (IF('3Inter O&amp;M Entry'!K15="Y", ((($B14*$D14)*((1+$B$5)^G$7))*(1/((1+$N$5)^G$7))), 0)), "")</f>
        <v/>
      </c>
      <c r="H14" s="35" t="str">
        <f>IF(D14&lt;&gt;"", (IF('3Inter O&amp;M Entry'!L15="Y", ((($B14*$D14)*((1+$B$5)^H$7))*(1/((1+$N$5)^H$7))), 0)), "")</f>
        <v/>
      </c>
      <c r="I14" s="35" t="str">
        <f>IF(E14&lt;&gt;"", (IF('3Inter O&amp;M Entry'!M15="Y", ((($B14*$D14)*((1+$B$5)^I$7))*(1/((1+$N$5)^I$7))), 0)), "")</f>
        <v/>
      </c>
      <c r="J14" s="35" t="str">
        <f>IF(F14&lt;&gt;"", (IF('3Inter O&amp;M Entry'!N15="Y", ((($B14*$D14)*((1+$B$5)^J$7))*(1/((1+$N$5)^J$7))), 0)), "")</f>
        <v/>
      </c>
      <c r="K14" s="35" t="str">
        <f>IF(G14&lt;&gt;"", (IF('3Inter O&amp;M Entry'!O15="Y", ((($B14*$D14)*((1+$B$5)^K$7))*(1/((1+$N$5)^K$7))), 0)), "")</f>
        <v/>
      </c>
      <c r="L14" s="35" t="str">
        <f>IF(H14&lt;&gt;"", (IF('3Inter O&amp;M Entry'!P15="Y", ((($B14*$D14)*((1+$B$5)^L$7))*(1/((1+$N$5)^L$7))), 0)), "")</f>
        <v/>
      </c>
      <c r="M14" s="35" t="str">
        <f>IF(I14&lt;&gt;"", (IF('3Inter O&amp;M Entry'!Q15="Y", ((($B14*$D14)*((1+$B$5)^M$7))*(1/((1+$N$5)^M$7))), 0)), "")</f>
        <v/>
      </c>
      <c r="N14" s="35" t="str">
        <f>IF(J14&lt;&gt;"", (IF('3Inter O&amp;M Entry'!R15="Y", ((($B14*$D14)*((1+$B$5)^N$7))*(1/((1+$N$5)^N$7))), 0)), "")</f>
        <v/>
      </c>
    </row>
    <row r="15" spans="1:14">
      <c r="A15" s="31" t="str">
        <f>IF('3Inter O&amp;M Entry'!A16&lt;&gt;"", '3Inter O&amp;M Entry'!A16, "")</f>
        <v/>
      </c>
      <c r="B15" s="35" t="str">
        <f>IF('3Inter O&amp;M Entry'!B16&lt;&gt;"", '3Inter O&amp;M Entry'!B16, "")</f>
        <v/>
      </c>
      <c r="C15" s="31" t="str">
        <f>IF('3Inter O&amp;M Entry'!C16&lt;&gt;"", '3Inter O&amp;M Entry'!C16, "")</f>
        <v/>
      </c>
      <c r="D15" s="108" t="str">
        <f>IF('3Inter O&amp;M Entry'!D16&lt;&gt;"", '3Inter O&amp;M Entry'!D16, "")</f>
        <v/>
      </c>
      <c r="E15" s="35" t="str">
        <f>IF(A15&lt;&gt;"", (IF('3Inter O&amp;M Entry'!I16="Y", ((($B15*$D15)*((1+$B$5)^E$7))*(1/((1+$N$5)^E$7))), 0)), "")</f>
        <v/>
      </c>
      <c r="F15" s="35" t="str">
        <f>IF(B15&lt;&gt;"", (IF('3Inter O&amp;M Entry'!J16="Y", ((($B15*$D15)*((1+$B$5)^F$7))*(1/((1+$N$5)^F$7))), 0)), "")</f>
        <v/>
      </c>
      <c r="G15" s="35" t="str">
        <f>IF(C15&lt;&gt;"", (IF('3Inter O&amp;M Entry'!K16="Y", ((($B15*$D15)*((1+$B$5)^G$7))*(1/((1+$N$5)^G$7))), 0)), "")</f>
        <v/>
      </c>
      <c r="H15" s="35" t="str">
        <f>IF(D15&lt;&gt;"", (IF('3Inter O&amp;M Entry'!L16="Y", ((($B15*$D15)*((1+$B$5)^H$7))*(1/((1+$N$5)^H$7))), 0)), "")</f>
        <v/>
      </c>
      <c r="I15" s="35" t="str">
        <f>IF(E15&lt;&gt;"", (IF('3Inter O&amp;M Entry'!M16="Y", ((($B15*$D15)*((1+$B$5)^I$7))*(1/((1+$N$5)^I$7))), 0)), "")</f>
        <v/>
      </c>
      <c r="J15" s="35" t="str">
        <f>IF(F15&lt;&gt;"", (IF('3Inter O&amp;M Entry'!N16="Y", ((($B15*$D15)*((1+$B$5)^J$7))*(1/((1+$N$5)^J$7))), 0)), "")</f>
        <v/>
      </c>
      <c r="K15" s="35" t="str">
        <f>IF(G15&lt;&gt;"", (IF('3Inter O&amp;M Entry'!O16="Y", ((($B15*$D15)*((1+$B$5)^K$7))*(1/((1+$N$5)^K$7))), 0)), "")</f>
        <v/>
      </c>
      <c r="L15" s="35" t="str">
        <f>IF(H15&lt;&gt;"", (IF('3Inter O&amp;M Entry'!P16="Y", ((($B15*$D15)*((1+$B$5)^L$7))*(1/((1+$N$5)^L$7))), 0)), "")</f>
        <v/>
      </c>
      <c r="M15" s="35" t="str">
        <f>IF(I15&lt;&gt;"", (IF('3Inter O&amp;M Entry'!Q16="Y", ((($B15*$D15)*((1+$B$5)^M$7))*(1/((1+$N$5)^M$7))), 0)), "")</f>
        <v/>
      </c>
      <c r="N15" s="35" t="str">
        <f>IF(J15&lt;&gt;"", (IF('3Inter O&amp;M Entry'!R16="Y", ((($B15*$D15)*((1+$B$5)^N$7))*(1/((1+$N$5)^N$7))), 0)), "")</f>
        <v/>
      </c>
    </row>
    <row r="16" spans="1:14">
      <c r="A16" s="31" t="str">
        <f>IF('3Inter O&amp;M Entry'!A17&lt;&gt;"", '3Inter O&amp;M Entry'!A17, "")</f>
        <v/>
      </c>
      <c r="B16" s="35" t="str">
        <f>IF('3Inter O&amp;M Entry'!B17&lt;&gt;"", '3Inter O&amp;M Entry'!B17, "")</f>
        <v/>
      </c>
      <c r="C16" s="31" t="str">
        <f>IF('3Inter O&amp;M Entry'!C17&lt;&gt;"", '3Inter O&amp;M Entry'!C17, "")</f>
        <v/>
      </c>
      <c r="D16" s="108" t="str">
        <f>IF('3Inter O&amp;M Entry'!D17&lt;&gt;"", '3Inter O&amp;M Entry'!D17, "")</f>
        <v/>
      </c>
      <c r="E16" s="35" t="str">
        <f>IF(A16&lt;&gt;"", (IF('3Inter O&amp;M Entry'!I17="Y", ((($B16*$D16)*((1+$B$5)^E$7))*(1/((1+$N$5)^E$7))), 0)), "")</f>
        <v/>
      </c>
      <c r="F16" s="35" t="str">
        <f>IF(B16&lt;&gt;"", (IF('3Inter O&amp;M Entry'!J17="Y", ((($B16*$D16)*((1+$B$5)^F$7))*(1/((1+$N$5)^F$7))), 0)), "")</f>
        <v/>
      </c>
      <c r="G16" s="35" t="str">
        <f>IF(C16&lt;&gt;"", (IF('3Inter O&amp;M Entry'!K17="Y", ((($B16*$D16)*((1+$B$5)^G$7))*(1/((1+$N$5)^G$7))), 0)), "")</f>
        <v/>
      </c>
      <c r="H16" s="35" t="str">
        <f>IF(D16&lt;&gt;"", (IF('3Inter O&amp;M Entry'!L17="Y", ((($B16*$D16)*((1+$B$5)^H$7))*(1/((1+$N$5)^H$7))), 0)), "")</f>
        <v/>
      </c>
      <c r="I16" s="35" t="str">
        <f>IF(E16&lt;&gt;"", (IF('3Inter O&amp;M Entry'!M17="Y", ((($B16*$D16)*((1+$B$5)^I$7))*(1/((1+$N$5)^I$7))), 0)), "")</f>
        <v/>
      </c>
      <c r="J16" s="35" t="str">
        <f>IF(F16&lt;&gt;"", (IF('3Inter O&amp;M Entry'!N17="Y", ((($B16*$D16)*((1+$B$5)^J$7))*(1/((1+$N$5)^J$7))), 0)), "")</f>
        <v/>
      </c>
      <c r="K16" s="35" t="str">
        <f>IF(G16&lt;&gt;"", (IF('3Inter O&amp;M Entry'!O17="Y", ((($B16*$D16)*((1+$B$5)^K$7))*(1/((1+$N$5)^K$7))), 0)), "")</f>
        <v/>
      </c>
      <c r="L16" s="35" t="str">
        <f>IF(H16&lt;&gt;"", (IF('3Inter O&amp;M Entry'!P17="Y", ((($B16*$D16)*((1+$B$5)^L$7))*(1/((1+$N$5)^L$7))), 0)), "")</f>
        <v/>
      </c>
      <c r="M16" s="35" t="str">
        <f>IF(I16&lt;&gt;"", (IF('3Inter O&amp;M Entry'!Q17="Y", ((($B16*$D16)*((1+$B$5)^M$7))*(1/((1+$N$5)^M$7))), 0)), "")</f>
        <v/>
      </c>
      <c r="N16" s="35" t="str">
        <f>IF(J16&lt;&gt;"", (IF('3Inter O&amp;M Entry'!R17="Y", ((($B16*$D16)*((1+$B$5)^N$7))*(1/((1+$N$5)^N$7))), 0)), "")</f>
        <v/>
      </c>
    </row>
    <row r="17" spans="1:14">
      <c r="A17" s="31" t="str">
        <f>IF('3Inter O&amp;M Entry'!A18&lt;&gt;"", '3Inter O&amp;M Entry'!A18, "")</f>
        <v/>
      </c>
      <c r="B17" s="35" t="str">
        <f>IF('3Inter O&amp;M Entry'!B18&lt;&gt;"", '3Inter O&amp;M Entry'!B18, "")</f>
        <v/>
      </c>
      <c r="C17" s="31" t="str">
        <f>IF('3Inter O&amp;M Entry'!C18&lt;&gt;"", '3Inter O&amp;M Entry'!C18, "")</f>
        <v/>
      </c>
      <c r="D17" s="108" t="str">
        <f>IF('3Inter O&amp;M Entry'!D18&lt;&gt;"", '3Inter O&amp;M Entry'!D18, "")</f>
        <v/>
      </c>
      <c r="E17" s="35" t="str">
        <f>IF(A17&lt;&gt;"", (IF('3Inter O&amp;M Entry'!I18="Y", ((($B17*$D17)*((1+$B$5)^E$7))*(1/((1+$N$5)^E$7))), 0)), "")</f>
        <v/>
      </c>
      <c r="F17" s="35" t="str">
        <f>IF(B17&lt;&gt;"", (IF('3Inter O&amp;M Entry'!J18="Y", ((($B17*$D17)*((1+$B$5)^F$7))*(1/((1+$N$5)^F$7))), 0)), "")</f>
        <v/>
      </c>
      <c r="G17" s="35" t="str">
        <f>IF(C17&lt;&gt;"", (IF('3Inter O&amp;M Entry'!K18="Y", ((($B17*$D17)*((1+$B$5)^G$7))*(1/((1+$N$5)^G$7))), 0)), "")</f>
        <v/>
      </c>
      <c r="H17" s="35" t="str">
        <f>IF(D17&lt;&gt;"", (IF('3Inter O&amp;M Entry'!L18="Y", ((($B17*$D17)*((1+$B$5)^H$7))*(1/((1+$N$5)^H$7))), 0)), "")</f>
        <v/>
      </c>
      <c r="I17" s="35" t="str">
        <f>IF(E17&lt;&gt;"", (IF('3Inter O&amp;M Entry'!M18="Y", ((($B17*$D17)*((1+$B$5)^I$7))*(1/((1+$N$5)^I$7))), 0)), "")</f>
        <v/>
      </c>
      <c r="J17" s="35" t="str">
        <f>IF(F17&lt;&gt;"", (IF('3Inter O&amp;M Entry'!N18="Y", ((($B17*$D17)*((1+$B$5)^J$7))*(1/((1+$N$5)^J$7))), 0)), "")</f>
        <v/>
      </c>
      <c r="K17" s="35" t="str">
        <f>IF(G17&lt;&gt;"", (IF('3Inter O&amp;M Entry'!O18="Y", ((($B17*$D17)*((1+$B$5)^K$7))*(1/((1+$N$5)^K$7))), 0)), "")</f>
        <v/>
      </c>
      <c r="L17" s="35" t="str">
        <f>IF(H17&lt;&gt;"", (IF('3Inter O&amp;M Entry'!P18="Y", ((($B17*$D17)*((1+$B$5)^L$7))*(1/((1+$N$5)^L$7))), 0)), "")</f>
        <v/>
      </c>
      <c r="M17" s="35" t="str">
        <f>IF(I17&lt;&gt;"", (IF('3Inter O&amp;M Entry'!Q18="Y", ((($B17*$D17)*((1+$B$5)^M$7))*(1/((1+$N$5)^M$7))), 0)), "")</f>
        <v/>
      </c>
      <c r="N17" s="35" t="str">
        <f>IF(J17&lt;&gt;"", (IF('3Inter O&amp;M Entry'!R18="Y", ((($B17*$D17)*((1+$B$5)^N$7))*(1/((1+$N$5)^N$7))), 0)), "")</f>
        <v/>
      </c>
    </row>
    <row r="18" spans="1:14">
      <c r="A18" s="31" t="str">
        <f>IF('3Inter O&amp;M Entry'!A19&lt;&gt;"", '3Inter O&amp;M Entry'!A19, "")</f>
        <v/>
      </c>
      <c r="B18" s="35" t="str">
        <f>IF('3Inter O&amp;M Entry'!B19&lt;&gt;"", '3Inter O&amp;M Entry'!B19, "")</f>
        <v/>
      </c>
      <c r="C18" s="31" t="str">
        <f>IF('3Inter O&amp;M Entry'!C19&lt;&gt;"", '3Inter O&amp;M Entry'!C19, "")</f>
        <v/>
      </c>
      <c r="D18" s="108" t="str">
        <f>IF('3Inter O&amp;M Entry'!D19&lt;&gt;"", '3Inter O&amp;M Entry'!D19, "")</f>
        <v/>
      </c>
      <c r="E18" s="35" t="str">
        <f>IF(A18&lt;&gt;"", (IF('3Inter O&amp;M Entry'!I19="Y", ((($B18*$D18)*((1+$B$5)^E$7))*(1/((1+$N$5)^E$7))), 0)), "")</f>
        <v/>
      </c>
      <c r="F18" s="35" t="str">
        <f>IF(B18&lt;&gt;"", (IF('3Inter O&amp;M Entry'!J19="Y", ((($B18*$D18)*((1+$B$5)^F$7))*(1/((1+$N$5)^F$7))), 0)), "")</f>
        <v/>
      </c>
      <c r="G18" s="35" t="str">
        <f>IF(C18&lt;&gt;"", (IF('3Inter O&amp;M Entry'!K19="Y", ((($B18*$D18)*((1+$B$5)^G$7))*(1/((1+$N$5)^G$7))), 0)), "")</f>
        <v/>
      </c>
      <c r="H18" s="35" t="str">
        <f>IF(D18&lt;&gt;"", (IF('3Inter O&amp;M Entry'!L19="Y", ((($B18*$D18)*((1+$B$5)^H$7))*(1/((1+$N$5)^H$7))), 0)), "")</f>
        <v/>
      </c>
      <c r="I18" s="35" t="str">
        <f>IF(E18&lt;&gt;"", (IF('3Inter O&amp;M Entry'!M19="Y", ((($B18*$D18)*((1+$B$5)^I$7))*(1/((1+$N$5)^I$7))), 0)), "")</f>
        <v/>
      </c>
      <c r="J18" s="35" t="str">
        <f>IF(F18&lt;&gt;"", (IF('3Inter O&amp;M Entry'!N19="Y", ((($B18*$D18)*((1+$B$5)^J$7))*(1/((1+$N$5)^J$7))), 0)), "")</f>
        <v/>
      </c>
      <c r="K18" s="35" t="str">
        <f>IF(G18&lt;&gt;"", (IF('3Inter O&amp;M Entry'!O19="Y", ((($B18*$D18)*((1+$B$5)^K$7))*(1/((1+$N$5)^K$7))), 0)), "")</f>
        <v/>
      </c>
      <c r="L18" s="35" t="str">
        <f>IF(H18&lt;&gt;"", (IF('3Inter O&amp;M Entry'!P19="Y", ((($B18*$D18)*((1+$B$5)^L$7))*(1/((1+$N$5)^L$7))), 0)), "")</f>
        <v/>
      </c>
      <c r="M18" s="35" t="str">
        <f>IF(I18&lt;&gt;"", (IF('3Inter O&amp;M Entry'!Q19="Y", ((($B18*$D18)*((1+$B$5)^M$7))*(1/((1+$N$5)^M$7))), 0)), "")</f>
        <v/>
      </c>
      <c r="N18" s="35" t="str">
        <f>IF(J18&lt;&gt;"", (IF('3Inter O&amp;M Entry'!R19="Y", ((($B18*$D18)*((1+$B$5)^N$7))*(1/((1+$N$5)^N$7))), 0)), "")</f>
        <v/>
      </c>
    </row>
    <row r="19" spans="1:14">
      <c r="A19" s="31" t="str">
        <f>IF('3Inter O&amp;M Entry'!A20&lt;&gt;"", '3Inter O&amp;M Entry'!A20, "")</f>
        <v/>
      </c>
      <c r="B19" s="35" t="str">
        <f>IF('3Inter O&amp;M Entry'!B20&lt;&gt;"", '3Inter O&amp;M Entry'!B20, "")</f>
        <v/>
      </c>
      <c r="C19" s="31" t="str">
        <f>IF('3Inter O&amp;M Entry'!C20&lt;&gt;"", '3Inter O&amp;M Entry'!C20, "")</f>
        <v/>
      </c>
      <c r="D19" s="108" t="str">
        <f>IF('3Inter O&amp;M Entry'!D20&lt;&gt;"", '3Inter O&amp;M Entry'!D20, "")</f>
        <v/>
      </c>
      <c r="E19" s="35" t="str">
        <f>IF(A19&lt;&gt;"", (IF('3Inter O&amp;M Entry'!I20="Y", ((($B19*$D19)*((1+$B$5)^E$7))*(1/((1+$N$5)^E$7))), 0)), "")</f>
        <v/>
      </c>
      <c r="F19" s="35" t="str">
        <f>IF(B19&lt;&gt;"", (IF('3Inter O&amp;M Entry'!J20="Y", ((($B19*$D19)*((1+$B$5)^F$7))*(1/((1+$N$5)^F$7))), 0)), "")</f>
        <v/>
      </c>
      <c r="G19" s="35" t="str">
        <f>IF(C19&lt;&gt;"", (IF('3Inter O&amp;M Entry'!K20="Y", ((($B19*$D19)*((1+$B$5)^G$7))*(1/((1+$N$5)^G$7))), 0)), "")</f>
        <v/>
      </c>
      <c r="H19" s="35" t="str">
        <f>IF(D19&lt;&gt;"", (IF('3Inter O&amp;M Entry'!L20="Y", ((($B19*$D19)*((1+$B$5)^H$7))*(1/((1+$N$5)^H$7))), 0)), "")</f>
        <v/>
      </c>
      <c r="I19" s="35" t="str">
        <f>IF(E19&lt;&gt;"", (IF('3Inter O&amp;M Entry'!M20="Y", ((($B19*$D19)*((1+$B$5)^I$7))*(1/((1+$N$5)^I$7))), 0)), "")</f>
        <v/>
      </c>
      <c r="J19" s="35" t="str">
        <f>IF(F19&lt;&gt;"", (IF('3Inter O&amp;M Entry'!N20="Y", ((($B19*$D19)*((1+$B$5)^J$7))*(1/((1+$N$5)^J$7))), 0)), "")</f>
        <v/>
      </c>
      <c r="K19" s="35" t="str">
        <f>IF(G19&lt;&gt;"", (IF('3Inter O&amp;M Entry'!O20="Y", ((($B19*$D19)*((1+$B$5)^K$7))*(1/((1+$N$5)^K$7))), 0)), "")</f>
        <v/>
      </c>
      <c r="L19" s="35" t="str">
        <f>IF(H19&lt;&gt;"", (IF('3Inter O&amp;M Entry'!P20="Y", ((($B19*$D19)*((1+$B$5)^L$7))*(1/((1+$N$5)^L$7))), 0)), "")</f>
        <v/>
      </c>
      <c r="M19" s="35" t="str">
        <f>IF(I19&lt;&gt;"", (IF('3Inter O&amp;M Entry'!Q20="Y", ((($B19*$D19)*((1+$B$5)^M$7))*(1/((1+$N$5)^M$7))), 0)), "")</f>
        <v/>
      </c>
      <c r="N19" s="35" t="str">
        <f>IF(J19&lt;&gt;"", (IF('3Inter O&amp;M Entry'!R20="Y", ((($B19*$D19)*((1+$B$5)^N$7))*(1/((1+$N$5)^N$7))), 0)), "")</f>
        <v/>
      </c>
    </row>
    <row r="20" spans="1:14">
      <c r="D20" s="2" t="s">
        <v>74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  <row r="21" spans="1:14">
      <c r="M21" s="2" t="s">
        <v>57</v>
      </c>
      <c r="N21" s="28">
        <f>'3Inter O&amp;M 1-10'!E20+'3Inter O&amp;M 1-10'!F20+'3Inter O&amp;M 1-10'!G20+'3Inter O&amp;M 1-10'!H20+'Inter O&amp;M 1-10'!I20+'3Inter O&amp;M 1-10'!J20+'Inter O&amp;M 1-10'!K20+'3Inter O&amp;M 1-10'!L20+'3Inter O&amp;M 1-10'!M20+'3Inter O&amp;M 1-10'!N20+'3Inter O&amp;M 11-20'!E20+'3Inter O&amp;M 11-20'!F20+'3Inter O&amp;M 11-20'!G20+'3Inter O&amp;M 11-20'!H20+'3Inter O&amp;M 11-20'!I20+'3Inter O&amp;M 11-20'!J20+'3Inter O&amp;M 11-20'!K20+'3Inter O&amp;M 11-20'!L20+'3Inter O&amp;M 11-20'!M20+'3Inter O&amp;M 11-20'!N20</f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2:E42"/>
  <sheetViews>
    <sheetView topLeftCell="A5" workbookViewId="0">
      <selection activeCell="A9" sqref="A9:D22"/>
    </sheetView>
  </sheetViews>
  <sheetFormatPr defaultRowHeight="15.75"/>
  <cols>
    <col min="1" max="1" width="54.7109375" style="1" customWidth="1"/>
    <col min="2" max="3" width="18.28515625" style="1" customWidth="1"/>
    <col min="4" max="4" width="14.7109375" style="1" customWidth="1"/>
    <col min="5" max="5" width="28.140625" style="1" customWidth="1"/>
    <col min="6" max="16384" width="9.140625" style="1"/>
  </cols>
  <sheetData>
    <row r="2" spans="1:5">
      <c r="A2" s="137" t="s">
        <v>166</v>
      </c>
      <c r="B2" s="138"/>
      <c r="C2" s="138"/>
      <c r="D2" s="138"/>
      <c r="E2" s="139"/>
    </row>
    <row r="3" spans="1:5">
      <c r="A3" s="140">
        <f>Input!B4</f>
        <v>0</v>
      </c>
      <c r="B3" s="141"/>
      <c r="C3" s="141"/>
      <c r="D3" s="141"/>
      <c r="E3" s="142"/>
    </row>
    <row r="4" spans="1:5">
      <c r="A4" s="140">
        <f>Input!B5</f>
        <v>0</v>
      </c>
      <c r="B4" s="141"/>
      <c r="C4" s="141"/>
      <c r="D4" s="141"/>
      <c r="E4" s="142"/>
    </row>
    <row r="5" spans="1:5">
      <c r="A5" s="144" t="s">
        <v>36</v>
      </c>
      <c r="B5" s="145"/>
      <c r="C5" s="145"/>
      <c r="D5" s="145"/>
      <c r="E5" s="146"/>
    </row>
    <row r="6" spans="1:5">
      <c r="A6" s="13" t="s">
        <v>3</v>
      </c>
      <c r="B6" s="143"/>
      <c r="C6" s="143"/>
      <c r="D6" s="143"/>
      <c r="E6" s="143"/>
    </row>
    <row r="7" spans="1:5">
      <c r="A7" s="11" t="s">
        <v>65</v>
      </c>
      <c r="B7" s="81"/>
      <c r="C7" s="9"/>
      <c r="D7" s="9"/>
      <c r="E7" s="10"/>
    </row>
    <row r="8" spans="1:5" ht="18.75">
      <c r="A8" s="12" t="s">
        <v>4</v>
      </c>
      <c r="B8" s="12" t="s">
        <v>34</v>
      </c>
      <c r="C8" s="12" t="s">
        <v>5</v>
      </c>
      <c r="D8" s="12" t="s">
        <v>1</v>
      </c>
      <c r="E8" s="12" t="s">
        <v>2</v>
      </c>
    </row>
    <row r="9" spans="1:5">
      <c r="A9" s="82"/>
      <c r="B9" s="81"/>
      <c r="C9" s="83"/>
      <c r="D9" s="84"/>
      <c r="E9" s="3">
        <f>B9*D9</f>
        <v>0</v>
      </c>
    </row>
    <row r="10" spans="1:5">
      <c r="A10" s="82"/>
      <c r="B10" s="81"/>
      <c r="C10" s="83"/>
      <c r="D10" s="84"/>
      <c r="E10" s="3">
        <f t="shared" ref="E10:E37" si="0">B10*D10</f>
        <v>0</v>
      </c>
    </row>
    <row r="11" spans="1:5">
      <c r="A11" s="82"/>
      <c r="B11" s="81"/>
      <c r="C11" s="83"/>
      <c r="D11" s="84"/>
      <c r="E11" s="3">
        <f t="shared" si="0"/>
        <v>0</v>
      </c>
    </row>
    <row r="12" spans="1:5">
      <c r="A12" s="82"/>
      <c r="B12" s="81"/>
      <c r="C12" s="83"/>
      <c r="D12" s="84"/>
      <c r="E12" s="3">
        <f t="shared" si="0"/>
        <v>0</v>
      </c>
    </row>
    <row r="13" spans="1:5">
      <c r="A13" s="85"/>
      <c r="B13" s="81"/>
      <c r="C13" s="83"/>
      <c r="D13" s="84"/>
      <c r="E13" s="3">
        <f t="shared" si="0"/>
        <v>0</v>
      </c>
    </row>
    <row r="14" spans="1:5">
      <c r="A14" s="82"/>
      <c r="B14" s="81"/>
      <c r="C14" s="83"/>
      <c r="D14" s="84"/>
      <c r="E14" s="3">
        <f t="shared" si="0"/>
        <v>0</v>
      </c>
    </row>
    <row r="15" spans="1:5">
      <c r="A15" s="82"/>
      <c r="B15" s="81"/>
      <c r="C15" s="83"/>
      <c r="D15" s="84"/>
      <c r="E15" s="3">
        <f t="shared" si="0"/>
        <v>0</v>
      </c>
    </row>
    <row r="16" spans="1:5">
      <c r="A16" s="82"/>
      <c r="B16" s="81"/>
      <c r="C16" s="83"/>
      <c r="D16" s="84"/>
      <c r="E16" s="3">
        <f t="shared" si="0"/>
        <v>0</v>
      </c>
    </row>
    <row r="17" spans="1:5">
      <c r="A17" s="82"/>
      <c r="B17" s="81"/>
      <c r="C17" s="83"/>
      <c r="D17" s="84"/>
      <c r="E17" s="3">
        <f t="shared" si="0"/>
        <v>0</v>
      </c>
    </row>
    <row r="18" spans="1:5">
      <c r="A18" s="82"/>
      <c r="B18" s="81"/>
      <c r="C18" s="83"/>
      <c r="D18" s="84"/>
      <c r="E18" s="3">
        <f t="shared" si="0"/>
        <v>0</v>
      </c>
    </row>
    <row r="19" spans="1:5">
      <c r="A19" s="82"/>
      <c r="B19" s="81"/>
      <c r="C19" s="83"/>
      <c r="D19" s="84"/>
      <c r="E19" s="3">
        <f t="shared" si="0"/>
        <v>0</v>
      </c>
    </row>
    <row r="20" spans="1:5">
      <c r="A20" s="82"/>
      <c r="B20" s="81"/>
      <c r="C20" s="83"/>
      <c r="D20" s="84"/>
      <c r="E20" s="3">
        <f t="shared" si="0"/>
        <v>0</v>
      </c>
    </row>
    <row r="21" spans="1:5">
      <c r="A21" s="82"/>
      <c r="B21" s="81"/>
      <c r="C21" s="83"/>
      <c r="D21" s="84"/>
      <c r="E21" s="3">
        <f t="shared" si="0"/>
        <v>0</v>
      </c>
    </row>
    <row r="22" spans="1:5">
      <c r="A22" s="82"/>
      <c r="B22" s="81"/>
      <c r="C22" s="83"/>
      <c r="D22" s="84"/>
      <c r="E22" s="3">
        <f t="shared" si="0"/>
        <v>0</v>
      </c>
    </row>
    <row r="23" spans="1:5">
      <c r="A23" s="82"/>
      <c r="B23" s="81"/>
      <c r="C23" s="83"/>
      <c r="D23" s="84"/>
      <c r="E23" s="3">
        <f t="shared" si="0"/>
        <v>0</v>
      </c>
    </row>
    <row r="24" spans="1:5">
      <c r="A24" s="82"/>
      <c r="B24" s="81"/>
      <c r="C24" s="83"/>
      <c r="D24" s="84"/>
      <c r="E24" s="3">
        <f t="shared" si="0"/>
        <v>0</v>
      </c>
    </row>
    <row r="25" spans="1:5">
      <c r="A25" s="82"/>
      <c r="B25" s="81"/>
      <c r="C25" s="83"/>
      <c r="D25" s="84"/>
      <c r="E25" s="3">
        <f t="shared" si="0"/>
        <v>0</v>
      </c>
    </row>
    <row r="26" spans="1:5">
      <c r="A26" s="82"/>
      <c r="B26" s="81"/>
      <c r="C26" s="83"/>
      <c r="D26" s="84"/>
      <c r="E26" s="3">
        <f t="shared" si="0"/>
        <v>0</v>
      </c>
    </row>
    <row r="27" spans="1:5">
      <c r="A27" s="82"/>
      <c r="B27" s="81"/>
      <c r="C27" s="83"/>
      <c r="D27" s="84"/>
      <c r="E27" s="3">
        <f t="shared" si="0"/>
        <v>0</v>
      </c>
    </row>
    <row r="28" spans="1:5">
      <c r="A28" s="82"/>
      <c r="B28" s="81"/>
      <c r="C28" s="83"/>
      <c r="D28" s="84"/>
      <c r="E28" s="3">
        <f t="shared" si="0"/>
        <v>0</v>
      </c>
    </row>
    <row r="29" spans="1:5">
      <c r="A29" s="82"/>
      <c r="B29" s="81"/>
      <c r="C29" s="83"/>
      <c r="D29" s="84"/>
      <c r="E29" s="3">
        <f t="shared" si="0"/>
        <v>0</v>
      </c>
    </row>
    <row r="30" spans="1:5">
      <c r="A30" s="82"/>
      <c r="B30" s="81"/>
      <c r="C30" s="83"/>
      <c r="D30" s="84"/>
      <c r="E30" s="3">
        <f t="shared" si="0"/>
        <v>0</v>
      </c>
    </row>
    <row r="31" spans="1:5">
      <c r="A31" s="82"/>
      <c r="B31" s="81"/>
      <c r="C31" s="83"/>
      <c r="D31" s="84"/>
      <c r="E31" s="3">
        <f t="shared" si="0"/>
        <v>0</v>
      </c>
    </row>
    <row r="32" spans="1:5">
      <c r="A32" s="82"/>
      <c r="B32" s="81"/>
      <c r="C32" s="83"/>
      <c r="D32" s="84"/>
      <c r="E32" s="3">
        <f t="shared" si="0"/>
        <v>0</v>
      </c>
    </row>
    <row r="33" spans="1:5">
      <c r="A33" s="82"/>
      <c r="B33" s="81"/>
      <c r="C33" s="83"/>
      <c r="D33" s="84"/>
      <c r="E33" s="3">
        <f t="shared" si="0"/>
        <v>0</v>
      </c>
    </row>
    <row r="34" spans="1:5">
      <c r="A34" s="82"/>
      <c r="B34" s="81"/>
      <c r="C34" s="83"/>
      <c r="D34" s="84"/>
      <c r="E34" s="3">
        <f t="shared" si="0"/>
        <v>0</v>
      </c>
    </row>
    <row r="35" spans="1:5">
      <c r="A35" s="82"/>
      <c r="B35" s="81"/>
      <c r="C35" s="83"/>
      <c r="D35" s="84"/>
      <c r="E35" s="3">
        <f t="shared" si="0"/>
        <v>0</v>
      </c>
    </row>
    <row r="36" spans="1:5">
      <c r="A36" s="82"/>
      <c r="B36" s="81"/>
      <c r="C36" s="83"/>
      <c r="D36" s="84"/>
      <c r="E36" s="3">
        <f t="shared" si="0"/>
        <v>0</v>
      </c>
    </row>
    <row r="37" spans="1:5" ht="16.5" thickBot="1">
      <c r="A37" s="82"/>
      <c r="B37" s="81"/>
      <c r="C37" s="86"/>
      <c r="D37" s="84"/>
      <c r="E37" s="3">
        <f t="shared" si="0"/>
        <v>0</v>
      </c>
    </row>
    <row r="38" spans="1:5" ht="17.25" thickBot="1">
      <c r="A38" s="52" t="s">
        <v>35</v>
      </c>
      <c r="D38" s="2" t="s">
        <v>8</v>
      </c>
      <c r="E38" s="4">
        <f>SUM(E9:E37)</f>
        <v>0</v>
      </c>
    </row>
    <row r="39" spans="1:5" ht="16.5" thickBot="1">
      <c r="D39" s="2" t="s">
        <v>29</v>
      </c>
      <c r="E39" s="5">
        <f>E38*$B$42</f>
        <v>0</v>
      </c>
    </row>
    <row r="40" spans="1:5" ht="16.5" thickBot="1">
      <c r="D40" s="2" t="s">
        <v>30</v>
      </c>
      <c r="E40" s="5">
        <f>B7</f>
        <v>0</v>
      </c>
    </row>
    <row r="41" spans="1:5" ht="16.5" thickBot="1">
      <c r="D41" s="2" t="s">
        <v>31</v>
      </c>
      <c r="E41" s="5">
        <f>SUM(E38:E40)</f>
        <v>0</v>
      </c>
    </row>
    <row r="42" spans="1:5" hidden="1">
      <c r="A42" s="1" t="s">
        <v>28</v>
      </c>
      <c r="B42" s="42">
        <v>0.1</v>
      </c>
    </row>
  </sheetData>
  <sheetProtection sheet="1" objects="1" scenarios="1"/>
  <mergeCells count="5">
    <mergeCell ref="A2:E2"/>
    <mergeCell ref="A3:E3"/>
    <mergeCell ref="A4:E4"/>
    <mergeCell ref="A5:E5"/>
    <mergeCell ref="B6:E6"/>
  </mergeCells>
  <dataValidations count="1">
    <dataValidation type="list" allowBlank="1" showInputMessage="1" showErrorMessage="1" sqref="B6:E6">
      <formula1>Input!B6:B11</formula1>
    </dataValidation>
  </dataValidations>
  <printOptions horizontalCentered="1"/>
  <pageMargins left="0.5" right="0.5" top="0.5" bottom="0.5" header="0.3" footer="0.3"/>
  <pageSetup scale="8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37"/>
  <sheetViews>
    <sheetView zoomScale="70" zoomScaleNormal="70" workbookViewId="0">
      <pane xSplit="4" ySplit="8" topLeftCell="I20" activePane="bottomRight" state="frozen"/>
      <selection pane="topRight" activeCell="E1" sqref="E1"/>
      <selection pane="bottomLeft" activeCell="A8" sqref="A8"/>
      <selection pane="bottomRight" activeCell="AC20" sqref="K20:AC25"/>
    </sheetView>
  </sheetViews>
  <sheetFormatPr defaultRowHeight="15.75"/>
  <cols>
    <col min="1" max="1" width="38.42578125" style="1" customWidth="1"/>
    <col min="2" max="4" width="12.7109375" style="1" customWidth="1"/>
    <col min="5" max="8" width="14.7109375" style="1" hidden="1" customWidth="1"/>
    <col min="9" max="9" width="14.7109375" style="1" customWidth="1"/>
    <col min="10" max="29" width="8.7109375" style="1" customWidth="1"/>
    <col min="30" max="16384" width="9.140625" style="1"/>
  </cols>
  <sheetData>
    <row r="1" spans="1:29">
      <c r="A1" s="150" t="s">
        <v>22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</row>
    <row r="3" spans="1:29">
      <c r="A3" s="2" t="s">
        <v>3</v>
      </c>
      <c r="B3" s="149">
        <f>'4Capital Costs'!B6</f>
        <v>0</v>
      </c>
      <c r="C3" s="149"/>
      <c r="D3" s="149"/>
      <c r="E3" s="149"/>
      <c r="F3" s="149"/>
      <c r="G3" s="149"/>
      <c r="H3" s="149"/>
      <c r="I3" s="149"/>
      <c r="J3" s="149"/>
      <c r="K3" s="149"/>
    </row>
    <row r="5" spans="1:29">
      <c r="A5" s="7" t="s">
        <v>42</v>
      </c>
      <c r="B5" s="7"/>
      <c r="C5" s="7"/>
      <c r="D5" s="7"/>
      <c r="E5" s="7"/>
      <c r="F5" s="7"/>
      <c r="G5" s="7"/>
      <c r="H5" s="7"/>
      <c r="I5" s="7"/>
    </row>
    <row r="7" spans="1:29">
      <c r="A7" s="14"/>
      <c r="B7" s="15"/>
      <c r="C7" s="15"/>
      <c r="D7" s="15"/>
      <c r="E7" s="32"/>
      <c r="F7" s="32"/>
      <c r="G7" s="32"/>
      <c r="H7" s="32"/>
      <c r="I7" s="32"/>
      <c r="J7" s="147" t="s">
        <v>6</v>
      </c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8"/>
    </row>
    <row r="8" spans="1:29" ht="47.25">
      <c r="A8" s="24" t="s">
        <v>4</v>
      </c>
      <c r="B8" s="17" t="s">
        <v>0</v>
      </c>
      <c r="C8" s="17" t="s">
        <v>5</v>
      </c>
      <c r="D8" s="17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54" t="s">
        <v>37</v>
      </c>
      <c r="J8" s="17">
        <v>1</v>
      </c>
      <c r="K8" s="17">
        <v>2</v>
      </c>
      <c r="L8" s="17">
        <v>3</v>
      </c>
      <c r="M8" s="17">
        <v>4</v>
      </c>
      <c r="N8" s="17">
        <v>5</v>
      </c>
      <c r="O8" s="17">
        <v>6</v>
      </c>
      <c r="P8" s="17">
        <v>7</v>
      </c>
      <c r="Q8" s="17">
        <v>8</v>
      </c>
      <c r="R8" s="17">
        <v>9</v>
      </c>
      <c r="S8" s="17">
        <v>10</v>
      </c>
      <c r="T8" s="17">
        <v>11</v>
      </c>
      <c r="U8" s="17">
        <v>12</v>
      </c>
      <c r="V8" s="17">
        <v>13</v>
      </c>
      <c r="W8" s="17">
        <v>14</v>
      </c>
      <c r="X8" s="17">
        <v>15</v>
      </c>
      <c r="Y8" s="17">
        <v>16</v>
      </c>
      <c r="Z8" s="17">
        <v>17</v>
      </c>
      <c r="AA8" s="17">
        <v>18</v>
      </c>
      <c r="AB8" s="17">
        <v>19</v>
      </c>
      <c r="AC8" s="18">
        <v>20</v>
      </c>
    </row>
    <row r="9" spans="1:29">
      <c r="A9" s="29">
        <f>'4Capital Costs'!A9</f>
        <v>0</v>
      </c>
      <c r="B9" s="44">
        <f>'4Capital Costs'!B9</f>
        <v>0</v>
      </c>
      <c r="C9" s="43">
        <f>'4Capital Costs'!C9</f>
        <v>0</v>
      </c>
      <c r="D9" s="45">
        <f>'4Capital Costs'!D9</f>
        <v>0</v>
      </c>
      <c r="E9" s="53" t="str">
        <f>IF(N9="Y", "Y", (IF(M9="Y", "Y", (IF(L9="Y", "Y", (IF(K9="Y", "Y", (IF(J9="Y", "Y", " ")))))))))</f>
        <v xml:space="preserve"> </v>
      </c>
      <c r="F9" s="53" t="str">
        <f>IF(S9="Y", "Y", (IF(R9="Y", "Y", (IF(Q9="Y", "Y", (IF(P9="Y", "Y", (IF(O9="Y", "Y", " ")))))))))</f>
        <v xml:space="preserve"> </v>
      </c>
      <c r="G9" s="53" t="str">
        <f>IF(X9="Y", "Y", (IF(W9="Y", "Y", (IF(V9="Y", "Y", (IF(U9="Y", "Y", (IF(T9="Y", "Y", " ")))))))))</f>
        <v xml:space="preserve"> </v>
      </c>
      <c r="H9" s="53" t="str">
        <f>IF(AC9="Y", "Y", (IF(AB9="Y", "Y", (IF(AA9="Y", "Y", (IF(Z9="Y", "Y", (IF(Y9="Y", "Y", " ")))))))))</f>
        <v xml:space="preserve"> </v>
      </c>
      <c r="I9" s="53" t="str">
        <f>IF(H9="Y", "Y", (IF(G9="Y", "Y", (IF(F9="Y", "Y", (IF(E9="Y", "Y", " ")))))))</f>
        <v xml:space="preserve"> </v>
      </c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8"/>
    </row>
    <row r="10" spans="1:29">
      <c r="A10" s="29">
        <f>'4Capital Costs'!A10</f>
        <v>0</v>
      </c>
      <c r="B10" s="44">
        <f>'4Capital Costs'!B10</f>
        <v>0</v>
      </c>
      <c r="C10" s="43">
        <f>'4Capital Costs'!C10</f>
        <v>0</v>
      </c>
      <c r="D10" s="45">
        <f>'4Capital Costs'!D10</f>
        <v>0</v>
      </c>
      <c r="E10" s="53" t="str">
        <f t="shared" ref="E10:E37" si="0">IF(N10="Y", "Y", (IF(M10="Y", "Y", (IF(L10="Y", "Y", (IF(K10="Y", "Y", (IF(J10="Y", "Y", " ")))))))))</f>
        <v xml:space="preserve"> </v>
      </c>
      <c r="F10" s="53" t="str">
        <f t="shared" ref="F10:F37" si="1">IF(S10="Y", "Y", (IF(R10="Y", "Y", (IF(Q10="Y", "Y", (IF(P10="Y", "Y", (IF(O10="Y", "Y", " ")))))))))</f>
        <v xml:space="preserve"> </v>
      </c>
      <c r="G10" s="53" t="str">
        <f t="shared" ref="G10:G37" si="2">IF(X10="Y", "Y", (IF(W10="Y", "Y", (IF(V10="Y", "Y", (IF(U10="Y", "Y", (IF(T10="Y", "Y", " ")))))))))</f>
        <v xml:space="preserve"> </v>
      </c>
      <c r="H10" s="53" t="str">
        <f t="shared" ref="H10:H37" si="3">IF(AC10="Y", "Y", (IF(AB10="Y", "Y", (IF(AA10="Y", "Y", (IF(Z10="Y", "Y", (IF(Y10="Y", "Y", " ")))))))))</f>
        <v xml:space="preserve"> </v>
      </c>
      <c r="I10" s="53" t="str">
        <f t="shared" ref="I10:I37" si="4">IF(H10="Y", "Y", (IF(G10="Y", "Y", (IF(F10="Y", "Y", (IF(E10="Y", "Y", " ")))))))</f>
        <v xml:space="preserve"> </v>
      </c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8"/>
    </row>
    <row r="11" spans="1:29">
      <c r="A11" s="29">
        <f>'4Capital Costs'!A11</f>
        <v>0</v>
      </c>
      <c r="B11" s="44">
        <f>'4Capital Costs'!B11</f>
        <v>0</v>
      </c>
      <c r="C11" s="43">
        <f>'4Capital Costs'!C11</f>
        <v>0</v>
      </c>
      <c r="D11" s="45">
        <f>'4Capital Costs'!D11</f>
        <v>0</v>
      </c>
      <c r="E11" s="53" t="str">
        <f t="shared" si="0"/>
        <v xml:space="preserve"> </v>
      </c>
      <c r="F11" s="53" t="str">
        <f t="shared" si="1"/>
        <v xml:space="preserve"> </v>
      </c>
      <c r="G11" s="53" t="str">
        <f t="shared" si="2"/>
        <v xml:space="preserve"> </v>
      </c>
      <c r="H11" s="53" t="str">
        <f t="shared" si="3"/>
        <v xml:space="preserve"> </v>
      </c>
      <c r="I11" s="53" t="str">
        <f t="shared" si="4"/>
        <v xml:space="preserve"> 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8"/>
    </row>
    <row r="12" spans="1:29">
      <c r="A12" s="29">
        <f>'4Capital Costs'!A12</f>
        <v>0</v>
      </c>
      <c r="B12" s="44">
        <f>'4Capital Costs'!B12</f>
        <v>0</v>
      </c>
      <c r="C12" s="43">
        <f>'4Capital Costs'!C12</f>
        <v>0</v>
      </c>
      <c r="D12" s="45">
        <f>'4Capital Costs'!D12</f>
        <v>0</v>
      </c>
      <c r="E12" s="53" t="str">
        <f t="shared" si="0"/>
        <v xml:space="preserve"> </v>
      </c>
      <c r="F12" s="53" t="str">
        <f t="shared" si="1"/>
        <v xml:space="preserve"> </v>
      </c>
      <c r="G12" s="53" t="str">
        <f t="shared" si="2"/>
        <v xml:space="preserve"> </v>
      </c>
      <c r="H12" s="53" t="str">
        <f t="shared" si="3"/>
        <v xml:space="preserve"> </v>
      </c>
      <c r="I12" s="53" t="str">
        <f t="shared" si="4"/>
        <v xml:space="preserve"> </v>
      </c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8"/>
    </row>
    <row r="13" spans="1:29">
      <c r="A13" s="29">
        <f>'4Capital Costs'!A13</f>
        <v>0</v>
      </c>
      <c r="B13" s="44">
        <f>'4Capital Costs'!B13</f>
        <v>0</v>
      </c>
      <c r="C13" s="43">
        <f>'4Capital Costs'!C13</f>
        <v>0</v>
      </c>
      <c r="D13" s="45">
        <f>'4Capital Costs'!D13</f>
        <v>0</v>
      </c>
      <c r="E13" s="53" t="str">
        <f t="shared" si="0"/>
        <v xml:space="preserve"> </v>
      </c>
      <c r="F13" s="53" t="str">
        <f t="shared" si="1"/>
        <v xml:space="preserve"> </v>
      </c>
      <c r="G13" s="53" t="str">
        <f t="shared" si="2"/>
        <v xml:space="preserve"> </v>
      </c>
      <c r="H13" s="53" t="str">
        <f t="shared" si="3"/>
        <v xml:space="preserve"> </v>
      </c>
      <c r="I13" s="53" t="str">
        <f t="shared" si="4"/>
        <v xml:space="preserve"> </v>
      </c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8"/>
    </row>
    <row r="14" spans="1:29">
      <c r="A14" s="29">
        <f>'4Capital Costs'!A14</f>
        <v>0</v>
      </c>
      <c r="B14" s="44">
        <f>'4Capital Costs'!B14</f>
        <v>0</v>
      </c>
      <c r="C14" s="43">
        <f>'4Capital Costs'!C14</f>
        <v>0</v>
      </c>
      <c r="D14" s="45">
        <f>'4Capital Costs'!D14</f>
        <v>0</v>
      </c>
      <c r="E14" s="53" t="str">
        <f t="shared" si="0"/>
        <v xml:space="preserve"> </v>
      </c>
      <c r="F14" s="53" t="str">
        <f t="shared" si="1"/>
        <v xml:space="preserve"> </v>
      </c>
      <c r="G14" s="53" t="str">
        <f t="shared" si="2"/>
        <v xml:space="preserve"> </v>
      </c>
      <c r="H14" s="53" t="str">
        <f t="shared" si="3"/>
        <v xml:space="preserve"> </v>
      </c>
      <c r="I14" s="53" t="str">
        <f t="shared" si="4"/>
        <v xml:space="preserve"> </v>
      </c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8"/>
    </row>
    <row r="15" spans="1:29">
      <c r="A15" s="29">
        <f>'4Capital Costs'!A15</f>
        <v>0</v>
      </c>
      <c r="B15" s="44">
        <f>'4Capital Costs'!B15</f>
        <v>0</v>
      </c>
      <c r="C15" s="43">
        <f>'4Capital Costs'!C15</f>
        <v>0</v>
      </c>
      <c r="D15" s="45">
        <f>'4Capital Costs'!D15</f>
        <v>0</v>
      </c>
      <c r="E15" s="53" t="str">
        <f t="shared" si="0"/>
        <v xml:space="preserve"> </v>
      </c>
      <c r="F15" s="53" t="str">
        <f t="shared" si="1"/>
        <v xml:space="preserve"> </v>
      </c>
      <c r="G15" s="53" t="str">
        <f t="shared" si="2"/>
        <v xml:space="preserve"> </v>
      </c>
      <c r="H15" s="53" t="str">
        <f t="shared" si="3"/>
        <v xml:space="preserve"> </v>
      </c>
      <c r="I15" s="53" t="str">
        <f t="shared" si="4"/>
        <v xml:space="preserve"> 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8"/>
    </row>
    <row r="16" spans="1:29">
      <c r="A16" s="29">
        <f>'4Capital Costs'!A16</f>
        <v>0</v>
      </c>
      <c r="B16" s="44">
        <f>'4Capital Costs'!B16</f>
        <v>0</v>
      </c>
      <c r="C16" s="43">
        <f>'4Capital Costs'!C16</f>
        <v>0</v>
      </c>
      <c r="D16" s="45">
        <f>'4Capital Costs'!D16</f>
        <v>0</v>
      </c>
      <c r="E16" s="53" t="str">
        <f t="shared" si="0"/>
        <v xml:space="preserve"> </v>
      </c>
      <c r="F16" s="53" t="str">
        <f t="shared" si="1"/>
        <v xml:space="preserve"> </v>
      </c>
      <c r="G16" s="53" t="str">
        <f t="shared" si="2"/>
        <v xml:space="preserve"> </v>
      </c>
      <c r="H16" s="53" t="str">
        <f t="shared" si="3"/>
        <v xml:space="preserve"> </v>
      </c>
      <c r="I16" s="53" t="str">
        <f t="shared" si="4"/>
        <v xml:space="preserve"> </v>
      </c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8"/>
    </row>
    <row r="17" spans="1:29">
      <c r="A17" s="29">
        <f>'4Capital Costs'!A17</f>
        <v>0</v>
      </c>
      <c r="B17" s="44">
        <f>'4Capital Costs'!B17</f>
        <v>0</v>
      </c>
      <c r="C17" s="43">
        <f>'4Capital Costs'!C17</f>
        <v>0</v>
      </c>
      <c r="D17" s="45">
        <f>'4Capital Costs'!D17</f>
        <v>0</v>
      </c>
      <c r="E17" s="53" t="str">
        <f t="shared" si="0"/>
        <v xml:space="preserve"> </v>
      </c>
      <c r="F17" s="53" t="str">
        <f t="shared" si="1"/>
        <v xml:space="preserve"> </v>
      </c>
      <c r="G17" s="53" t="str">
        <f t="shared" si="2"/>
        <v xml:space="preserve"> </v>
      </c>
      <c r="H17" s="53" t="str">
        <f t="shared" si="3"/>
        <v xml:space="preserve"> </v>
      </c>
      <c r="I17" s="53" t="str">
        <f t="shared" si="4"/>
        <v xml:space="preserve"> 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8"/>
    </row>
    <row r="18" spans="1:29">
      <c r="A18" s="29">
        <f>'4Capital Costs'!A18</f>
        <v>0</v>
      </c>
      <c r="B18" s="44">
        <f>'4Capital Costs'!B18</f>
        <v>0</v>
      </c>
      <c r="C18" s="43">
        <f>'4Capital Costs'!C18</f>
        <v>0</v>
      </c>
      <c r="D18" s="45">
        <f>'4Capital Costs'!D18</f>
        <v>0</v>
      </c>
      <c r="E18" s="53" t="str">
        <f t="shared" si="0"/>
        <v xml:space="preserve"> </v>
      </c>
      <c r="F18" s="53" t="str">
        <f t="shared" si="1"/>
        <v xml:space="preserve"> </v>
      </c>
      <c r="G18" s="53" t="str">
        <f t="shared" si="2"/>
        <v xml:space="preserve"> </v>
      </c>
      <c r="H18" s="53" t="str">
        <f t="shared" si="3"/>
        <v xml:space="preserve"> </v>
      </c>
      <c r="I18" s="53" t="str">
        <f t="shared" si="4"/>
        <v xml:space="preserve"> </v>
      </c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8"/>
    </row>
    <row r="19" spans="1:29">
      <c r="A19" s="29">
        <f>'4Capital Costs'!A19</f>
        <v>0</v>
      </c>
      <c r="B19" s="44">
        <f>'4Capital Costs'!B19</f>
        <v>0</v>
      </c>
      <c r="C19" s="43">
        <f>'4Capital Costs'!C19</f>
        <v>0</v>
      </c>
      <c r="D19" s="45">
        <f>'4Capital Costs'!D19</f>
        <v>0</v>
      </c>
      <c r="E19" s="53" t="str">
        <f t="shared" si="0"/>
        <v xml:space="preserve"> </v>
      </c>
      <c r="F19" s="53" t="str">
        <f t="shared" si="1"/>
        <v xml:space="preserve"> </v>
      </c>
      <c r="G19" s="53" t="str">
        <f t="shared" si="2"/>
        <v xml:space="preserve"> </v>
      </c>
      <c r="H19" s="53" t="str">
        <f t="shared" si="3"/>
        <v>Y</v>
      </c>
      <c r="I19" s="53" t="str">
        <f t="shared" si="4"/>
        <v>Y</v>
      </c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8" t="s">
        <v>33</v>
      </c>
    </row>
    <row r="20" spans="1:29">
      <c r="A20" s="29">
        <f>'4Capital Costs'!A20</f>
        <v>0</v>
      </c>
      <c r="B20" s="44">
        <f>'4Capital Costs'!B20</f>
        <v>0</v>
      </c>
      <c r="C20" s="43">
        <f>'4Capital Costs'!C20</f>
        <v>0</v>
      </c>
      <c r="D20" s="45">
        <f>'4Capital Costs'!D20</f>
        <v>0</v>
      </c>
      <c r="E20" s="53" t="str">
        <f t="shared" si="0"/>
        <v xml:space="preserve"> </v>
      </c>
      <c r="F20" s="53" t="str">
        <f t="shared" si="1"/>
        <v xml:space="preserve"> </v>
      </c>
      <c r="G20" s="53" t="str">
        <f t="shared" si="2"/>
        <v xml:space="preserve"> </v>
      </c>
      <c r="H20" s="53" t="str">
        <f t="shared" si="3"/>
        <v xml:space="preserve"> </v>
      </c>
      <c r="I20" s="53" t="str">
        <f t="shared" si="4"/>
        <v xml:space="preserve"> </v>
      </c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8"/>
    </row>
    <row r="21" spans="1:29">
      <c r="A21" s="29">
        <f>'4Capital Costs'!A21</f>
        <v>0</v>
      </c>
      <c r="B21" s="44">
        <f>'4Capital Costs'!B21</f>
        <v>0</v>
      </c>
      <c r="C21" s="43">
        <f>'4Capital Costs'!C21</f>
        <v>0</v>
      </c>
      <c r="D21" s="45">
        <f>'4Capital Costs'!D21</f>
        <v>0</v>
      </c>
      <c r="E21" s="53" t="str">
        <f t="shared" si="0"/>
        <v xml:space="preserve"> </v>
      </c>
      <c r="F21" s="53" t="str">
        <f t="shared" si="1"/>
        <v xml:space="preserve"> </v>
      </c>
      <c r="G21" s="53" t="str">
        <f t="shared" si="2"/>
        <v xml:space="preserve"> </v>
      </c>
      <c r="H21" s="53" t="str">
        <f t="shared" si="3"/>
        <v xml:space="preserve"> </v>
      </c>
      <c r="I21" s="53" t="str">
        <f t="shared" si="4"/>
        <v xml:space="preserve"> 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8"/>
    </row>
    <row r="22" spans="1:29">
      <c r="A22" s="29">
        <f>'4Capital Costs'!A22</f>
        <v>0</v>
      </c>
      <c r="B22" s="44">
        <f>'4Capital Costs'!B22</f>
        <v>0</v>
      </c>
      <c r="C22" s="43">
        <f>'4Capital Costs'!C22</f>
        <v>0</v>
      </c>
      <c r="D22" s="45">
        <f>'4Capital Costs'!D22</f>
        <v>0</v>
      </c>
      <c r="E22" s="53" t="str">
        <f t="shared" si="0"/>
        <v xml:space="preserve"> </v>
      </c>
      <c r="F22" s="53" t="str">
        <f t="shared" si="1"/>
        <v xml:space="preserve"> </v>
      </c>
      <c r="G22" s="53" t="str">
        <f t="shared" si="2"/>
        <v xml:space="preserve"> </v>
      </c>
      <c r="H22" s="53" t="str">
        <f t="shared" si="3"/>
        <v xml:space="preserve"> </v>
      </c>
      <c r="I22" s="53" t="str">
        <f t="shared" si="4"/>
        <v xml:space="preserve"> </v>
      </c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8"/>
    </row>
    <row r="23" spans="1:29">
      <c r="A23" s="29">
        <f>'4Capital Costs'!A23</f>
        <v>0</v>
      </c>
      <c r="B23" s="44">
        <f>'4Capital Costs'!B23</f>
        <v>0</v>
      </c>
      <c r="C23" s="43">
        <f>'4Capital Costs'!C23</f>
        <v>0</v>
      </c>
      <c r="D23" s="45">
        <f>'4Capital Costs'!D23</f>
        <v>0</v>
      </c>
      <c r="E23" s="53" t="str">
        <f t="shared" si="0"/>
        <v xml:space="preserve"> </v>
      </c>
      <c r="F23" s="53" t="str">
        <f t="shared" si="1"/>
        <v xml:space="preserve"> </v>
      </c>
      <c r="G23" s="53" t="str">
        <f t="shared" si="2"/>
        <v xml:space="preserve"> </v>
      </c>
      <c r="H23" s="53" t="str">
        <f t="shared" si="3"/>
        <v xml:space="preserve"> </v>
      </c>
      <c r="I23" s="53" t="str">
        <f t="shared" si="4"/>
        <v xml:space="preserve"> </v>
      </c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8"/>
    </row>
    <row r="24" spans="1:29">
      <c r="A24" s="29">
        <f>'4Capital Costs'!A24</f>
        <v>0</v>
      </c>
      <c r="B24" s="44">
        <f>'4Capital Costs'!B24</f>
        <v>0</v>
      </c>
      <c r="C24" s="43">
        <f>'4Capital Costs'!C24</f>
        <v>0</v>
      </c>
      <c r="D24" s="45">
        <f>'4Capital Costs'!D24</f>
        <v>0</v>
      </c>
      <c r="E24" s="53" t="str">
        <f t="shared" si="0"/>
        <v xml:space="preserve"> </v>
      </c>
      <c r="F24" s="53" t="str">
        <f t="shared" si="1"/>
        <v xml:space="preserve"> </v>
      </c>
      <c r="G24" s="53" t="str">
        <f t="shared" si="2"/>
        <v xml:space="preserve"> </v>
      </c>
      <c r="H24" s="53" t="str">
        <f t="shared" si="3"/>
        <v xml:space="preserve"> </v>
      </c>
      <c r="I24" s="53" t="str">
        <f t="shared" si="4"/>
        <v xml:space="preserve"> 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8"/>
    </row>
    <row r="25" spans="1:29">
      <c r="A25" s="29">
        <f>'4Capital Costs'!A25</f>
        <v>0</v>
      </c>
      <c r="B25" s="44">
        <f>'4Capital Costs'!B25</f>
        <v>0</v>
      </c>
      <c r="C25" s="43">
        <f>'4Capital Costs'!C25</f>
        <v>0</v>
      </c>
      <c r="D25" s="45">
        <f>'4Capital Costs'!D25</f>
        <v>0</v>
      </c>
      <c r="E25" s="53" t="str">
        <f t="shared" si="0"/>
        <v xml:space="preserve"> </v>
      </c>
      <c r="F25" s="53" t="str">
        <f t="shared" si="1"/>
        <v xml:space="preserve"> </v>
      </c>
      <c r="G25" s="53" t="str">
        <f t="shared" si="2"/>
        <v xml:space="preserve"> </v>
      </c>
      <c r="H25" s="53" t="str">
        <f t="shared" si="3"/>
        <v xml:space="preserve"> </v>
      </c>
      <c r="I25" s="53" t="str">
        <f t="shared" si="4"/>
        <v xml:space="preserve"> </v>
      </c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8"/>
    </row>
    <row r="26" spans="1:29">
      <c r="A26" s="29">
        <f>'4Capital Costs'!A26</f>
        <v>0</v>
      </c>
      <c r="B26" s="44">
        <f>'4Capital Costs'!B26</f>
        <v>0</v>
      </c>
      <c r="C26" s="43">
        <f>'4Capital Costs'!C26</f>
        <v>0</v>
      </c>
      <c r="D26" s="45">
        <f>'4Capital Costs'!D26</f>
        <v>0</v>
      </c>
      <c r="E26" s="53" t="str">
        <f t="shared" si="0"/>
        <v xml:space="preserve"> </v>
      </c>
      <c r="F26" s="53" t="str">
        <f t="shared" si="1"/>
        <v xml:space="preserve"> </v>
      </c>
      <c r="G26" s="53" t="str">
        <f t="shared" si="2"/>
        <v xml:space="preserve"> </v>
      </c>
      <c r="H26" s="53" t="str">
        <f t="shared" si="3"/>
        <v xml:space="preserve"> </v>
      </c>
      <c r="I26" s="53" t="str">
        <f t="shared" si="4"/>
        <v xml:space="preserve"> 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8"/>
    </row>
    <row r="27" spans="1:29">
      <c r="A27" s="29">
        <f>'4Capital Costs'!A27</f>
        <v>0</v>
      </c>
      <c r="B27" s="44">
        <f>'4Capital Costs'!B27</f>
        <v>0</v>
      </c>
      <c r="C27" s="43">
        <f>'4Capital Costs'!C27</f>
        <v>0</v>
      </c>
      <c r="D27" s="45">
        <f>'4Capital Costs'!D27</f>
        <v>0</v>
      </c>
      <c r="E27" s="53" t="str">
        <f t="shared" si="0"/>
        <v xml:space="preserve"> </v>
      </c>
      <c r="F27" s="53" t="str">
        <f t="shared" si="1"/>
        <v xml:space="preserve"> </v>
      </c>
      <c r="G27" s="53" t="str">
        <f t="shared" si="2"/>
        <v xml:space="preserve"> </v>
      </c>
      <c r="H27" s="53" t="str">
        <f t="shared" si="3"/>
        <v xml:space="preserve"> </v>
      </c>
      <c r="I27" s="53" t="str">
        <f t="shared" si="4"/>
        <v xml:space="preserve"> </v>
      </c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8"/>
    </row>
    <row r="28" spans="1:29">
      <c r="A28" s="29">
        <f>'4Capital Costs'!A28</f>
        <v>0</v>
      </c>
      <c r="B28" s="44">
        <f>'4Capital Costs'!B28</f>
        <v>0</v>
      </c>
      <c r="C28" s="43">
        <f>'4Capital Costs'!C28</f>
        <v>0</v>
      </c>
      <c r="D28" s="45">
        <f>'4Capital Costs'!D28</f>
        <v>0</v>
      </c>
      <c r="E28" s="53" t="str">
        <f t="shared" si="0"/>
        <v xml:space="preserve"> </v>
      </c>
      <c r="F28" s="53" t="str">
        <f t="shared" si="1"/>
        <v xml:space="preserve"> </v>
      </c>
      <c r="G28" s="53" t="str">
        <f t="shared" si="2"/>
        <v xml:space="preserve"> </v>
      </c>
      <c r="H28" s="53" t="str">
        <f t="shared" si="3"/>
        <v xml:space="preserve"> </v>
      </c>
      <c r="I28" s="53" t="str">
        <f t="shared" si="4"/>
        <v xml:space="preserve"> </v>
      </c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8"/>
    </row>
    <row r="29" spans="1:29">
      <c r="A29" s="29">
        <f>'4Capital Costs'!A29</f>
        <v>0</v>
      </c>
      <c r="B29" s="44">
        <f>'4Capital Costs'!B29</f>
        <v>0</v>
      </c>
      <c r="C29" s="43">
        <f>'4Capital Costs'!C29</f>
        <v>0</v>
      </c>
      <c r="D29" s="45">
        <f>'4Capital Costs'!D29</f>
        <v>0</v>
      </c>
      <c r="E29" s="53" t="str">
        <f t="shared" si="0"/>
        <v xml:space="preserve"> </v>
      </c>
      <c r="F29" s="53" t="str">
        <f t="shared" si="1"/>
        <v xml:space="preserve"> </v>
      </c>
      <c r="G29" s="53" t="str">
        <f t="shared" si="2"/>
        <v xml:space="preserve"> </v>
      </c>
      <c r="H29" s="53" t="str">
        <f t="shared" si="3"/>
        <v xml:space="preserve"> </v>
      </c>
      <c r="I29" s="53" t="str">
        <f t="shared" si="4"/>
        <v xml:space="preserve"> </v>
      </c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8"/>
    </row>
    <row r="30" spans="1:29">
      <c r="A30" s="29">
        <f>'4Capital Costs'!A30</f>
        <v>0</v>
      </c>
      <c r="B30" s="44">
        <f>'4Capital Costs'!B30</f>
        <v>0</v>
      </c>
      <c r="C30" s="43">
        <f>'4Capital Costs'!C30</f>
        <v>0</v>
      </c>
      <c r="D30" s="45">
        <f>'4Capital Costs'!D30</f>
        <v>0</v>
      </c>
      <c r="E30" s="53" t="str">
        <f t="shared" si="0"/>
        <v xml:space="preserve"> </v>
      </c>
      <c r="F30" s="53" t="str">
        <f t="shared" si="1"/>
        <v xml:space="preserve"> </v>
      </c>
      <c r="G30" s="53" t="str">
        <f t="shared" si="2"/>
        <v xml:space="preserve"> </v>
      </c>
      <c r="H30" s="53" t="str">
        <f t="shared" si="3"/>
        <v xml:space="preserve"> </v>
      </c>
      <c r="I30" s="53" t="str">
        <f t="shared" si="4"/>
        <v xml:space="preserve"> </v>
      </c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8"/>
    </row>
    <row r="31" spans="1:29">
      <c r="A31" s="29">
        <f>'4Capital Costs'!A31</f>
        <v>0</v>
      </c>
      <c r="B31" s="44">
        <f>'4Capital Costs'!B31</f>
        <v>0</v>
      </c>
      <c r="C31" s="43">
        <f>'4Capital Costs'!C31</f>
        <v>0</v>
      </c>
      <c r="D31" s="45">
        <f>'4Capital Costs'!D31</f>
        <v>0</v>
      </c>
      <c r="E31" s="53" t="str">
        <f t="shared" si="0"/>
        <v xml:space="preserve"> </v>
      </c>
      <c r="F31" s="53" t="str">
        <f t="shared" si="1"/>
        <v xml:space="preserve"> </v>
      </c>
      <c r="G31" s="53" t="str">
        <f t="shared" si="2"/>
        <v xml:space="preserve"> </v>
      </c>
      <c r="H31" s="53" t="str">
        <f t="shared" si="3"/>
        <v xml:space="preserve"> </v>
      </c>
      <c r="I31" s="53" t="str">
        <f t="shared" si="4"/>
        <v xml:space="preserve"> </v>
      </c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8"/>
    </row>
    <row r="32" spans="1:29">
      <c r="A32" s="29">
        <f>'4Capital Costs'!A32</f>
        <v>0</v>
      </c>
      <c r="B32" s="44">
        <f>'4Capital Costs'!B32</f>
        <v>0</v>
      </c>
      <c r="C32" s="43">
        <f>'4Capital Costs'!C32</f>
        <v>0</v>
      </c>
      <c r="D32" s="45">
        <f>'4Capital Costs'!D32</f>
        <v>0</v>
      </c>
      <c r="E32" s="53" t="str">
        <f t="shared" si="0"/>
        <v xml:space="preserve"> </v>
      </c>
      <c r="F32" s="53" t="str">
        <f t="shared" si="1"/>
        <v xml:space="preserve"> </v>
      </c>
      <c r="G32" s="53" t="str">
        <f t="shared" si="2"/>
        <v xml:space="preserve"> </v>
      </c>
      <c r="H32" s="53" t="str">
        <f t="shared" si="3"/>
        <v xml:space="preserve"> </v>
      </c>
      <c r="I32" s="53" t="str">
        <f t="shared" si="4"/>
        <v xml:space="preserve"> </v>
      </c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8"/>
    </row>
    <row r="33" spans="1:29">
      <c r="A33" s="29">
        <f>'4Capital Costs'!A33</f>
        <v>0</v>
      </c>
      <c r="B33" s="44">
        <f>'4Capital Costs'!B33</f>
        <v>0</v>
      </c>
      <c r="C33" s="43">
        <f>'4Capital Costs'!C33</f>
        <v>0</v>
      </c>
      <c r="D33" s="45">
        <f>'4Capital Costs'!D33</f>
        <v>0</v>
      </c>
      <c r="E33" s="53" t="str">
        <f t="shared" si="0"/>
        <v xml:space="preserve"> </v>
      </c>
      <c r="F33" s="53" t="str">
        <f t="shared" si="1"/>
        <v xml:space="preserve"> </v>
      </c>
      <c r="G33" s="53" t="str">
        <f t="shared" si="2"/>
        <v xml:space="preserve"> </v>
      </c>
      <c r="H33" s="53" t="str">
        <f t="shared" si="3"/>
        <v xml:space="preserve"> </v>
      </c>
      <c r="I33" s="53" t="str">
        <f t="shared" si="4"/>
        <v xml:space="preserve"> </v>
      </c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8"/>
    </row>
    <row r="34" spans="1:29">
      <c r="A34" s="29">
        <f>'4Capital Costs'!A34</f>
        <v>0</v>
      </c>
      <c r="B34" s="44">
        <f>'4Capital Costs'!B34</f>
        <v>0</v>
      </c>
      <c r="C34" s="43">
        <f>'4Capital Costs'!C34</f>
        <v>0</v>
      </c>
      <c r="D34" s="45">
        <f>'4Capital Costs'!D34</f>
        <v>0</v>
      </c>
      <c r="E34" s="53" t="str">
        <f t="shared" si="0"/>
        <v xml:space="preserve"> </v>
      </c>
      <c r="F34" s="53" t="str">
        <f t="shared" si="1"/>
        <v xml:space="preserve"> </v>
      </c>
      <c r="G34" s="53" t="str">
        <f t="shared" si="2"/>
        <v xml:space="preserve"> </v>
      </c>
      <c r="H34" s="53" t="str">
        <f t="shared" si="3"/>
        <v xml:space="preserve"> </v>
      </c>
      <c r="I34" s="53" t="str">
        <f t="shared" si="4"/>
        <v xml:space="preserve"> </v>
      </c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8"/>
    </row>
    <row r="35" spans="1:29">
      <c r="A35" s="29">
        <f>'4Capital Costs'!A35</f>
        <v>0</v>
      </c>
      <c r="B35" s="44">
        <f>'4Capital Costs'!B35</f>
        <v>0</v>
      </c>
      <c r="C35" s="43">
        <f>'4Capital Costs'!C35</f>
        <v>0</v>
      </c>
      <c r="D35" s="45">
        <f>'4Capital Costs'!D35</f>
        <v>0</v>
      </c>
      <c r="E35" s="53" t="str">
        <f t="shared" si="0"/>
        <v xml:space="preserve"> </v>
      </c>
      <c r="F35" s="53" t="str">
        <f t="shared" si="1"/>
        <v xml:space="preserve"> </v>
      </c>
      <c r="G35" s="53" t="str">
        <f t="shared" si="2"/>
        <v xml:space="preserve"> </v>
      </c>
      <c r="H35" s="53" t="str">
        <f t="shared" si="3"/>
        <v xml:space="preserve"> </v>
      </c>
      <c r="I35" s="53" t="str">
        <f t="shared" si="4"/>
        <v xml:space="preserve"> </v>
      </c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8"/>
    </row>
    <row r="36" spans="1:29">
      <c r="A36" s="29">
        <f>'4Capital Costs'!A36</f>
        <v>0</v>
      </c>
      <c r="B36" s="44">
        <f>'4Capital Costs'!B36</f>
        <v>0</v>
      </c>
      <c r="C36" s="43">
        <f>'4Capital Costs'!C36</f>
        <v>0</v>
      </c>
      <c r="D36" s="45">
        <f>'4Capital Costs'!D36</f>
        <v>0</v>
      </c>
      <c r="E36" s="53" t="str">
        <f t="shared" si="0"/>
        <v xml:space="preserve"> </v>
      </c>
      <c r="F36" s="53" t="str">
        <f t="shared" si="1"/>
        <v xml:space="preserve"> </v>
      </c>
      <c r="G36" s="53" t="str">
        <f t="shared" si="2"/>
        <v xml:space="preserve"> </v>
      </c>
      <c r="H36" s="53" t="str">
        <f t="shared" si="3"/>
        <v xml:space="preserve"> </v>
      </c>
      <c r="I36" s="53" t="str">
        <f t="shared" si="4"/>
        <v xml:space="preserve"> </v>
      </c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8"/>
    </row>
    <row r="37" spans="1:29">
      <c r="A37" s="29">
        <f>'4Capital Costs'!A37</f>
        <v>0</v>
      </c>
      <c r="B37" s="44">
        <f>'4Capital Costs'!B37</f>
        <v>0</v>
      </c>
      <c r="C37" s="43">
        <f>'4Capital Costs'!C37</f>
        <v>0</v>
      </c>
      <c r="D37" s="45">
        <f>'4Capital Costs'!D37</f>
        <v>0</v>
      </c>
      <c r="E37" s="53" t="str">
        <f t="shared" si="0"/>
        <v xml:space="preserve"> </v>
      </c>
      <c r="F37" s="53" t="str">
        <f t="shared" si="1"/>
        <v xml:space="preserve"> </v>
      </c>
      <c r="G37" s="53" t="str">
        <f t="shared" si="2"/>
        <v xml:space="preserve"> </v>
      </c>
      <c r="H37" s="53" t="str">
        <f t="shared" si="3"/>
        <v xml:space="preserve"> </v>
      </c>
      <c r="I37" s="53" t="str">
        <f t="shared" si="4"/>
        <v xml:space="preserve"> 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8"/>
    </row>
  </sheetData>
  <sheetProtection sheet="1"/>
  <mergeCells count="3">
    <mergeCell ref="A1:AC1"/>
    <mergeCell ref="B3:K3"/>
    <mergeCell ref="J7:AC7"/>
  </mergeCells>
  <dataValidations count="1">
    <dataValidation type="list" allowBlank="1" showInputMessage="1" showErrorMessage="1" sqref="B3:K3">
      <formula1>Input!B6:B11</formula1>
    </dataValidation>
  </dataValidations>
  <pageMargins left="0.7" right="0.7" top="0.75" bottom="0.75" header="0.3" footer="0.3"/>
  <pageSetup scale="76" fitToWidth="4" orientation="landscape" r:id="rId1"/>
  <headerFooter>
    <oddHeader>&amp;C&amp;D
&amp;F</oddHeader>
    <oddFooter>&amp;L&amp;A&amp;RPage &amp;P of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167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'4Capital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'Replace Costs - Results 1-5'!A5</f>
        <v>Current Inflation Rate based on Construction Cost Index:</v>
      </c>
      <c r="B5" s="69">
        <f>'Replace Costs - Results 1-5'!B5</f>
        <v>2.0671834625323047E-2</v>
      </c>
      <c r="C5" s="67"/>
      <c r="D5" s="67"/>
      <c r="E5" s="70" t="s">
        <v>43</v>
      </c>
      <c r="F5" s="71">
        <f>'Replace Costs - Results 1-5'!F5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</v>
      </c>
      <c r="F7" s="26">
        <v>2</v>
      </c>
      <c r="G7" s="26">
        <v>3</v>
      </c>
      <c r="H7" s="26">
        <v>4</v>
      </c>
      <c r="I7" s="26">
        <v>5</v>
      </c>
    </row>
    <row r="8" spans="1:9">
      <c r="A8" s="29" t="str">
        <f>IF('4Capital Costs'!A9&lt;&gt;"", '4Capital Costs'!A9, "")</f>
        <v/>
      </c>
      <c r="B8" s="3" t="str">
        <f>IF('4Capital Costs'!B9&lt;&gt;"", '4Capital Costs'!B9, "")</f>
        <v/>
      </c>
      <c r="C8" s="46" t="str">
        <f>IF('4Capital Costs'!C9&lt;&gt;"", '4Capital Costs'!C9, "")</f>
        <v/>
      </c>
      <c r="D8" s="47" t="str">
        <f>IF('4Capital Costs'!D9&lt;&gt;"", '4Capital Costs'!D9, "")</f>
        <v/>
      </c>
      <c r="E8" s="27" t="str">
        <f>IF($A8&lt;&gt;"", (IF('4Replacement Costs - Entry'!J9="Y",((($B8*$D8)*((1+$B$5)^E$7))*(1/((1+$F$5)^E$7))),0)), "")</f>
        <v/>
      </c>
      <c r="F8" s="27" t="str">
        <f>IF($A8&lt;&gt;"", (IF('4Replacement Costs - Entry'!K9="Y",((($B8*$D8)*((1+$B$5)^F$7))*(1/((1+$F$5)^F$7))),0)), "")</f>
        <v/>
      </c>
      <c r="G8" s="27" t="str">
        <f>IF($A8&lt;&gt;"", (IF('4Replacement Costs - Entry'!L9="Y",((($B8*$D8)*((1+$B$5)^G$7))*(1/((1+$F$5)^G$7))),0)), "")</f>
        <v/>
      </c>
      <c r="H8" s="27" t="str">
        <f>IF($A8&lt;&gt;"", (IF('4Replacement Costs - Entry'!M9="Y",((($B8*$D8)*((1+$B$5)^H$7))*(1/((1+$F$5)^H$7))),0)), "")</f>
        <v/>
      </c>
      <c r="I8" s="27" t="str">
        <f>IF($A8&lt;&gt;"", (IF('4Replacement Costs - Entry'!N9="Y",((($B8*$D8)*((1+$B$5)^I$7))*(1/((1+$F$5)^I$7))),0)), "")</f>
        <v/>
      </c>
    </row>
    <row r="9" spans="1:9">
      <c r="A9" s="29" t="str">
        <f>IF('4Capital Costs'!A10&lt;&gt;"", '4Capital Costs'!A10, "")</f>
        <v/>
      </c>
      <c r="B9" s="3" t="str">
        <f>IF('4Capital Costs'!B10&lt;&gt;"", '4Capital Costs'!B10, "")</f>
        <v/>
      </c>
      <c r="C9" s="46" t="str">
        <f>IF('4Capital Costs'!C10&lt;&gt;"", '4Capital Costs'!C10, "")</f>
        <v/>
      </c>
      <c r="D9" s="47" t="str">
        <f>IF('4Capital Costs'!D10&lt;&gt;"", '4Capital Costs'!D10, "")</f>
        <v/>
      </c>
      <c r="E9" s="27" t="str">
        <f>IF($A9&lt;&gt;"", (IF('4Replacement Costs - Entry'!J10="Y",((($B9*$D9)*((1+$B$5)^E$7))*(1/((1+$F$5)^E$7))),0)), "")</f>
        <v/>
      </c>
      <c r="F9" s="27" t="str">
        <f>IF($A9&lt;&gt;"", (IF('4Replacement Costs - Entry'!K10="Y",((($B9*$D9)*((1+$B$5)^F$7))*(1/((1+$F$5)^F$7))),0)), "")</f>
        <v/>
      </c>
      <c r="G9" s="27" t="str">
        <f>IF($A9&lt;&gt;"", (IF('4Replacement Costs - Entry'!L10="Y",((($B9*$D9)*((1+$B$5)^G$7))*(1/((1+$F$5)^G$7))),0)), "")</f>
        <v/>
      </c>
      <c r="H9" s="27" t="str">
        <f>IF($A9&lt;&gt;"", (IF('4Replacement Costs - Entry'!M10="Y",((($B9*$D9)*((1+$B$5)^H$7))*(1/((1+$F$5)^H$7))),0)), "")</f>
        <v/>
      </c>
      <c r="I9" s="27" t="str">
        <f>IF($A9&lt;&gt;"", (IF('4Replacement Costs - Entry'!N10="Y",((($B9*$D9)*((1+$B$5)^I$7))*(1/((1+$F$5)^I$7))),0)), "")</f>
        <v/>
      </c>
    </row>
    <row r="10" spans="1:9">
      <c r="A10" s="29" t="str">
        <f>IF('4Capital Costs'!A11&lt;&gt;"", '4Capital Costs'!A11, "")</f>
        <v/>
      </c>
      <c r="B10" s="3" t="str">
        <f>IF('4Capital Costs'!B11&lt;&gt;"", '4Capital Costs'!B11, "")</f>
        <v/>
      </c>
      <c r="C10" s="46" t="str">
        <f>IF('4Capital Costs'!C11&lt;&gt;"", '4Capital Costs'!C11, "")</f>
        <v/>
      </c>
      <c r="D10" s="47" t="str">
        <f>IF('4Capital Costs'!D11&lt;&gt;"", '4Capital Costs'!D11, "")</f>
        <v/>
      </c>
      <c r="E10" s="27" t="str">
        <f>IF($A10&lt;&gt;"", (IF('4Replacement Costs - Entry'!J11="Y",((($B10*$D10)*((1+$B$5)^E$7))*(1/((1+$F$5)^E$7))),0)), "")</f>
        <v/>
      </c>
      <c r="F10" s="27" t="str">
        <f>IF($A10&lt;&gt;"", (IF('4Replacement Costs - Entry'!K11="Y",((($B10*$D10)*((1+$B$5)^F$7))*(1/((1+$F$5)^F$7))),0)), "")</f>
        <v/>
      </c>
      <c r="G10" s="27" t="str">
        <f>IF($A10&lt;&gt;"", (IF('4Replacement Costs - Entry'!L11="Y",((($B10*$D10)*((1+$B$5)^G$7))*(1/((1+$F$5)^G$7))),0)), "")</f>
        <v/>
      </c>
      <c r="H10" s="27" t="str">
        <f>IF($A10&lt;&gt;"", (IF('4Replacement Costs - Entry'!M11="Y",((($B10*$D10)*((1+$B$5)^H$7))*(1/((1+$F$5)^H$7))),0)), "")</f>
        <v/>
      </c>
      <c r="I10" s="27" t="str">
        <f>IF($A10&lt;&gt;"", (IF('4Replacement Costs - Entry'!N11="Y",((($B10*$D10)*((1+$B$5)^I$7))*(1/((1+$F$5)^I$7))),0)), "")</f>
        <v/>
      </c>
    </row>
    <row r="11" spans="1:9">
      <c r="A11" s="29" t="str">
        <f>IF('4Capital Costs'!A12&lt;&gt;"", '4Capital Costs'!A12, "")</f>
        <v/>
      </c>
      <c r="B11" s="3" t="str">
        <f>IF('4Capital Costs'!B12&lt;&gt;"", '4Capital Costs'!B12, "")</f>
        <v/>
      </c>
      <c r="C11" s="46" t="str">
        <f>IF('4Capital Costs'!C12&lt;&gt;"", '4Capital Costs'!C12, "")</f>
        <v/>
      </c>
      <c r="D11" s="47" t="str">
        <f>IF('4Capital Costs'!D12&lt;&gt;"", '4Capital Costs'!D12, "")</f>
        <v/>
      </c>
      <c r="E11" s="27" t="str">
        <f>IF($A11&lt;&gt;"", (IF('4Replacement Costs - Entry'!J12="Y",((($B11*$D11)*((1+$B$5)^E$7))*(1/((1+$F$5)^E$7))),0)), "")</f>
        <v/>
      </c>
      <c r="F11" s="27" t="str">
        <f>IF($A11&lt;&gt;"", (IF('4Replacement Costs - Entry'!K12="Y",((($B11*$D11)*((1+$B$5)^F$7))*(1/((1+$F$5)^F$7))),0)), "")</f>
        <v/>
      </c>
      <c r="G11" s="27" t="str">
        <f>IF($A11&lt;&gt;"", (IF('4Replacement Costs - Entry'!L12="Y",((($B11*$D11)*((1+$B$5)^G$7))*(1/((1+$F$5)^G$7))),0)), "")</f>
        <v/>
      </c>
      <c r="H11" s="27" t="str">
        <f>IF($A11&lt;&gt;"", (IF('4Replacement Costs - Entry'!M12="Y",((($B11*$D11)*((1+$B$5)^H$7))*(1/((1+$F$5)^H$7))),0)), "")</f>
        <v/>
      </c>
      <c r="I11" s="27" t="str">
        <f>IF($A11&lt;&gt;"", (IF('4Replacement Costs - Entry'!N12="Y",((($B11*$D11)*((1+$B$5)^I$7))*(1/((1+$F$5)^I$7))),0)), "")</f>
        <v/>
      </c>
    </row>
    <row r="12" spans="1:9">
      <c r="A12" s="29" t="str">
        <f>IF('4Capital Costs'!A13&lt;&gt;"", '4Capital Costs'!A13, "")</f>
        <v/>
      </c>
      <c r="B12" s="3" t="str">
        <f>IF('4Capital Costs'!B13&lt;&gt;"", '4Capital Costs'!B13, "")</f>
        <v/>
      </c>
      <c r="C12" s="46" t="str">
        <f>IF('4Capital Costs'!C13&lt;&gt;"", '4Capital Costs'!C13, "")</f>
        <v/>
      </c>
      <c r="D12" s="47" t="str">
        <f>IF('4Capital Costs'!D13&lt;&gt;"", '4Capital Costs'!D13, "")</f>
        <v/>
      </c>
      <c r="E12" s="27" t="str">
        <f>IF($A12&lt;&gt;"", (IF('4Replacement Costs - Entry'!J13="Y",((($B12*$D12)*((1+$B$5)^E$7))*(1/((1+$F$5)^E$7))),0)), "")</f>
        <v/>
      </c>
      <c r="F12" s="27" t="str">
        <f>IF($A12&lt;&gt;"", (IF('4Replacement Costs - Entry'!K13="Y",((($B12*$D12)*((1+$B$5)^F$7))*(1/((1+$F$5)^F$7))),0)), "")</f>
        <v/>
      </c>
      <c r="G12" s="27" t="str">
        <f>IF($A12&lt;&gt;"", (IF('4Replacement Costs - Entry'!L13="Y",((($B12*$D12)*((1+$B$5)^G$7))*(1/((1+$F$5)^G$7))),0)), "")</f>
        <v/>
      </c>
      <c r="H12" s="27" t="str">
        <f>IF($A12&lt;&gt;"", (IF('4Replacement Costs - Entry'!M13="Y",((($B12*$D12)*((1+$B$5)^H$7))*(1/((1+$F$5)^H$7))),0)), "")</f>
        <v/>
      </c>
      <c r="I12" s="27" t="str">
        <f>IF($A12&lt;&gt;"", (IF('4Replacement Costs - Entry'!N13="Y",((($B12*$D12)*((1+$B$5)^I$7))*(1/((1+$F$5)^I$7))),0)), "")</f>
        <v/>
      </c>
    </row>
    <row r="13" spans="1:9">
      <c r="A13" s="29" t="str">
        <f>IF('4Capital Costs'!A14&lt;&gt;"", '4Capital Costs'!A14, "")</f>
        <v/>
      </c>
      <c r="B13" s="3" t="str">
        <f>IF('4Capital Costs'!B14&lt;&gt;"", '4Capital Costs'!B14, "")</f>
        <v/>
      </c>
      <c r="C13" s="46" t="str">
        <f>IF('4Capital Costs'!C14&lt;&gt;"", '4Capital Costs'!C14, "")</f>
        <v/>
      </c>
      <c r="D13" s="47" t="str">
        <f>IF('4Capital Costs'!D14&lt;&gt;"", '4Capital Costs'!D14, "")</f>
        <v/>
      </c>
      <c r="E13" s="27" t="str">
        <f>IF($A13&lt;&gt;"", (IF('4Replacement Costs - Entry'!J14="Y",((($B13*$D13)*((1+$B$5)^E$7))*(1/((1+$F$5)^E$7))),0)), "")</f>
        <v/>
      </c>
      <c r="F13" s="27" t="str">
        <f>IF($A13&lt;&gt;"", (IF('4Replacement Costs - Entry'!K14="Y",((($B13*$D13)*((1+$B$5)^F$7))*(1/((1+$F$5)^F$7))),0)), "")</f>
        <v/>
      </c>
      <c r="G13" s="27" t="str">
        <f>IF($A13&lt;&gt;"", (IF('4Replacement Costs - Entry'!L14="Y",((($B13*$D13)*((1+$B$5)^G$7))*(1/((1+$F$5)^G$7))),0)), "")</f>
        <v/>
      </c>
      <c r="H13" s="27" t="str">
        <f>IF($A13&lt;&gt;"", (IF('4Replacement Costs - Entry'!M14="Y",((($B13*$D13)*((1+$B$5)^H$7))*(1/((1+$F$5)^H$7))),0)), "")</f>
        <v/>
      </c>
      <c r="I13" s="27" t="str">
        <f>IF($A13&lt;&gt;"", (IF('4Replacement Costs - Entry'!N14="Y",((($B13*$D13)*((1+$B$5)^I$7))*(1/((1+$F$5)^I$7))),0)), "")</f>
        <v/>
      </c>
    </row>
    <row r="14" spans="1:9">
      <c r="A14" s="29" t="str">
        <f>IF('4Capital Costs'!A15&lt;&gt;"", '4Capital Costs'!A15, "")</f>
        <v/>
      </c>
      <c r="B14" s="3" t="str">
        <f>IF('4Capital Costs'!B15&lt;&gt;"", '4Capital Costs'!B15, "")</f>
        <v/>
      </c>
      <c r="C14" s="46" t="str">
        <f>IF('4Capital Costs'!C15&lt;&gt;"", '4Capital Costs'!C15, "")</f>
        <v/>
      </c>
      <c r="D14" s="47" t="str">
        <f>IF('4Capital Costs'!D15&lt;&gt;"", '4Capital Costs'!D15, "")</f>
        <v/>
      </c>
      <c r="E14" s="27" t="str">
        <f>IF($A14&lt;&gt;"", (IF('4Replacement Costs - Entry'!J15="Y",((($B14*$D14)*((1+$B$5)^E$7))*(1/((1+$F$5)^E$7))),0)), "")</f>
        <v/>
      </c>
      <c r="F14" s="27" t="str">
        <f>IF($A14&lt;&gt;"", (IF('4Replacement Costs - Entry'!K15="Y",((($B14*$D14)*((1+$B$5)^F$7))*(1/((1+$F$5)^F$7))),0)), "")</f>
        <v/>
      </c>
      <c r="G14" s="27" t="str">
        <f>IF($A14&lt;&gt;"", (IF('4Replacement Costs - Entry'!L15="Y",((($B14*$D14)*((1+$B$5)^G$7))*(1/((1+$F$5)^G$7))),0)), "")</f>
        <v/>
      </c>
      <c r="H14" s="27" t="str">
        <f>IF($A14&lt;&gt;"", (IF('4Replacement Costs - Entry'!M15="Y",((($B14*$D14)*((1+$B$5)^H$7))*(1/((1+$F$5)^H$7))),0)), "")</f>
        <v/>
      </c>
      <c r="I14" s="27" t="str">
        <f>IF($A14&lt;&gt;"", (IF('4Replacement Costs - Entry'!N15="Y",((($B14*$D14)*((1+$B$5)^I$7))*(1/((1+$F$5)^I$7))),0)), "")</f>
        <v/>
      </c>
    </row>
    <row r="15" spans="1:9">
      <c r="A15" s="29" t="str">
        <f>IF('4Capital Costs'!A16&lt;&gt;"", '4Capital Costs'!A16, "")</f>
        <v/>
      </c>
      <c r="B15" s="3" t="str">
        <f>IF('4Capital Costs'!B16&lt;&gt;"", '4Capital Costs'!B16, "")</f>
        <v/>
      </c>
      <c r="C15" s="46" t="str">
        <f>IF('4Capital Costs'!C16&lt;&gt;"", '4Capital Costs'!C16, "")</f>
        <v/>
      </c>
      <c r="D15" s="47" t="str">
        <f>IF('4Capital Costs'!D16&lt;&gt;"", '4Capital Costs'!D16, "")</f>
        <v/>
      </c>
      <c r="E15" s="27" t="str">
        <f>IF($A15&lt;&gt;"", (IF('4Replacement Costs - Entry'!J16="Y",((($B15*$D15)*((1+$B$5)^E$7))*(1/((1+$F$5)^E$7))),0)), "")</f>
        <v/>
      </c>
      <c r="F15" s="27" t="str">
        <f>IF($A15&lt;&gt;"", (IF('4Replacement Costs - Entry'!K16="Y",((($B15*$D15)*((1+$B$5)^F$7))*(1/((1+$F$5)^F$7))),0)), "")</f>
        <v/>
      </c>
      <c r="G15" s="27" t="str">
        <f>IF($A15&lt;&gt;"", (IF('4Replacement Costs - Entry'!L16="Y",((($B15*$D15)*((1+$B$5)^G$7))*(1/((1+$F$5)^G$7))),0)), "")</f>
        <v/>
      </c>
      <c r="H15" s="27" t="str">
        <f>IF($A15&lt;&gt;"", (IF('4Replacement Costs - Entry'!M16="Y",((($B15*$D15)*((1+$B$5)^H$7))*(1/((1+$F$5)^H$7))),0)), "")</f>
        <v/>
      </c>
      <c r="I15" s="27" t="str">
        <f>IF($A15&lt;&gt;"", (IF('4Replacement Costs - Entry'!N16="Y",((($B15*$D15)*((1+$B$5)^I$7))*(1/((1+$F$5)^I$7))),0)), "")</f>
        <v/>
      </c>
    </row>
    <row r="16" spans="1:9">
      <c r="A16" s="29" t="str">
        <f>IF('4Capital Costs'!A17&lt;&gt;"", '4Capital Costs'!A17, "")</f>
        <v/>
      </c>
      <c r="B16" s="3" t="str">
        <f>IF('4Capital Costs'!B17&lt;&gt;"", '4Capital Costs'!B17, "")</f>
        <v/>
      </c>
      <c r="C16" s="46" t="str">
        <f>IF('4Capital Costs'!C17&lt;&gt;"", '4Capital Costs'!C17, "")</f>
        <v/>
      </c>
      <c r="D16" s="47" t="str">
        <f>IF('4Capital Costs'!D17&lt;&gt;"", '4Capital Costs'!D17, "")</f>
        <v/>
      </c>
      <c r="E16" s="27" t="str">
        <f>IF($A16&lt;&gt;"", (IF('4Replacement Costs - Entry'!J17="Y",((($B16*$D16)*((1+$B$5)^E$7))*(1/((1+$F$5)^E$7))),0)), "")</f>
        <v/>
      </c>
      <c r="F16" s="27" t="str">
        <f>IF($A16&lt;&gt;"", (IF('4Replacement Costs - Entry'!K17="Y",((($B16*$D16)*((1+$B$5)^F$7))*(1/((1+$F$5)^F$7))),0)), "")</f>
        <v/>
      </c>
      <c r="G16" s="27" t="str">
        <f>IF($A16&lt;&gt;"", (IF('4Replacement Costs - Entry'!L17="Y",((($B16*$D16)*((1+$B$5)^G$7))*(1/((1+$F$5)^G$7))),0)), "")</f>
        <v/>
      </c>
      <c r="H16" s="27" t="str">
        <f>IF($A16&lt;&gt;"", (IF('4Replacement Costs - Entry'!M17="Y",((($B16*$D16)*((1+$B$5)^H$7))*(1/((1+$F$5)^H$7))),0)), "")</f>
        <v/>
      </c>
      <c r="I16" s="27" t="str">
        <f>IF($A16&lt;&gt;"", (IF('4Replacement Costs - Entry'!N17="Y",((($B16*$D16)*((1+$B$5)^I$7))*(1/((1+$F$5)^I$7))),0)), "")</f>
        <v/>
      </c>
    </row>
    <row r="17" spans="1:9">
      <c r="A17" s="29" t="str">
        <f>IF('4Capital Costs'!A18&lt;&gt;"", '4Capital Costs'!A18, "")</f>
        <v/>
      </c>
      <c r="B17" s="3" t="str">
        <f>IF('4Capital Costs'!B18&lt;&gt;"", '4Capital Costs'!B18, "")</f>
        <v/>
      </c>
      <c r="C17" s="46" t="str">
        <f>IF('4Capital Costs'!C18&lt;&gt;"", '4Capital Costs'!C18, "")</f>
        <v/>
      </c>
      <c r="D17" s="47" t="str">
        <f>IF('4Capital Costs'!D18&lt;&gt;"", '4Capital Costs'!D18, "")</f>
        <v/>
      </c>
      <c r="E17" s="27" t="str">
        <f>IF($A17&lt;&gt;"", (IF('4Replacement Costs - Entry'!J18="Y",((($B17*$D17)*((1+$B$5)^E$7))*(1/((1+$F$5)^E$7))),0)), "")</f>
        <v/>
      </c>
      <c r="F17" s="27" t="str">
        <f>IF($A17&lt;&gt;"", (IF('4Replacement Costs - Entry'!K18="Y",((($B17*$D17)*((1+$B$5)^F$7))*(1/((1+$F$5)^F$7))),0)), "")</f>
        <v/>
      </c>
      <c r="G17" s="27" t="str">
        <f>IF($A17&lt;&gt;"", (IF('4Replacement Costs - Entry'!L18="Y",((($B17*$D17)*((1+$B$5)^G$7))*(1/((1+$F$5)^G$7))),0)), "")</f>
        <v/>
      </c>
      <c r="H17" s="27" t="str">
        <f>IF($A17&lt;&gt;"", (IF('4Replacement Costs - Entry'!M18="Y",((($B17*$D17)*((1+$B$5)^H$7))*(1/((1+$F$5)^H$7))),0)), "")</f>
        <v/>
      </c>
      <c r="I17" s="27" t="str">
        <f>IF($A17&lt;&gt;"", (IF('4Replacement Costs - Entry'!N18="Y",((($B17*$D17)*((1+$B$5)^I$7))*(1/((1+$F$5)^I$7))),0)), "")</f>
        <v/>
      </c>
    </row>
    <row r="18" spans="1:9">
      <c r="A18" s="29" t="str">
        <f>IF('4Capital Costs'!A19&lt;&gt;"", '4Capital Costs'!A19, "")</f>
        <v/>
      </c>
      <c r="B18" s="3" t="str">
        <f>IF('4Capital Costs'!B19&lt;&gt;"", '4Capital Costs'!B19, "")</f>
        <v/>
      </c>
      <c r="C18" s="46" t="str">
        <f>IF('4Capital Costs'!C19&lt;&gt;"", '4Capital Costs'!C19, "")</f>
        <v/>
      </c>
      <c r="D18" s="47" t="str">
        <f>IF('4Capital Costs'!D19&lt;&gt;"", '4Capital Costs'!D19, "")</f>
        <v/>
      </c>
      <c r="E18" s="27" t="str">
        <f>IF($A18&lt;&gt;"", (IF('4Replacement Costs - Entry'!J19="Y",((($B18*$D18)*((1+$B$5)^E$7))*(1/((1+$F$5)^E$7))),0)), "")</f>
        <v/>
      </c>
      <c r="F18" s="27" t="str">
        <f>IF($A18&lt;&gt;"", (IF('4Replacement Costs - Entry'!K19="Y",((($B18*$D18)*((1+$B$5)^F$7))*(1/((1+$F$5)^F$7))),0)), "")</f>
        <v/>
      </c>
      <c r="G18" s="27" t="str">
        <f>IF($A18&lt;&gt;"", (IF('4Replacement Costs - Entry'!L19="Y",((($B18*$D18)*((1+$B$5)^G$7))*(1/((1+$F$5)^G$7))),0)), "")</f>
        <v/>
      </c>
      <c r="H18" s="27" t="str">
        <f>IF($A18&lt;&gt;"", (IF('4Replacement Costs - Entry'!M19="Y",((($B18*$D18)*((1+$B$5)^H$7))*(1/((1+$F$5)^H$7))),0)), "")</f>
        <v/>
      </c>
      <c r="I18" s="27" t="str">
        <f>IF($A18&lt;&gt;"", (IF('4Replacement Costs - Entry'!N19="Y",((($B18*$D18)*((1+$B$5)^I$7))*(1/((1+$F$5)^I$7))),0)), "")</f>
        <v/>
      </c>
    </row>
    <row r="19" spans="1:9">
      <c r="A19" s="29" t="str">
        <f>IF('4Capital Costs'!A20&lt;&gt;"", '4Capital Costs'!A20, "")</f>
        <v/>
      </c>
      <c r="B19" s="3" t="str">
        <f>IF('4Capital Costs'!B20&lt;&gt;"", '4Capital Costs'!B20, "")</f>
        <v/>
      </c>
      <c r="C19" s="46" t="str">
        <f>IF('4Capital Costs'!C20&lt;&gt;"", '4Capital Costs'!C20, "")</f>
        <v/>
      </c>
      <c r="D19" s="47" t="str">
        <f>IF('4Capital Costs'!D20&lt;&gt;"", '4Capital Costs'!D20, "")</f>
        <v/>
      </c>
      <c r="E19" s="27" t="str">
        <f>IF($A19&lt;&gt;"", (IF('4Replacement Costs - Entry'!J20="Y",((($B19*$D19)*((1+$B$5)^E$7))*(1/((1+$F$5)^E$7))),0)), "")</f>
        <v/>
      </c>
      <c r="F19" s="27" t="str">
        <f>IF($A19&lt;&gt;"", (IF('4Replacement Costs - Entry'!K20="Y",((($B19*$D19)*((1+$B$5)^F$7))*(1/((1+$F$5)^F$7))),0)), "")</f>
        <v/>
      </c>
      <c r="G19" s="27" t="str">
        <f>IF($A19&lt;&gt;"", (IF('4Replacement Costs - Entry'!L20="Y",((($B19*$D19)*((1+$B$5)^G$7))*(1/((1+$F$5)^G$7))),0)), "")</f>
        <v/>
      </c>
      <c r="H19" s="27" t="str">
        <f>IF($A19&lt;&gt;"", (IF('4Replacement Costs - Entry'!M20="Y",((($B19*$D19)*((1+$B$5)^H$7))*(1/((1+$F$5)^H$7))),0)), "")</f>
        <v/>
      </c>
      <c r="I19" s="27" t="str">
        <f>IF($A19&lt;&gt;"", (IF('4Replacement Costs - Entry'!N20="Y",((($B19*$D19)*((1+$B$5)^I$7))*(1/((1+$F$5)^I$7))),0)), "")</f>
        <v/>
      </c>
    </row>
    <row r="20" spans="1:9">
      <c r="A20" s="29" t="str">
        <f>IF('4Capital Costs'!A21&lt;&gt;"", '4Capital Costs'!A21, "")</f>
        <v/>
      </c>
      <c r="B20" s="3" t="str">
        <f>IF('4Capital Costs'!B21&lt;&gt;"", '4Capital Costs'!B21, "")</f>
        <v/>
      </c>
      <c r="C20" s="46" t="str">
        <f>IF('4Capital Costs'!C21&lt;&gt;"", '4Capital Costs'!C21, "")</f>
        <v/>
      </c>
      <c r="D20" s="47" t="str">
        <f>IF('4Capital Costs'!D21&lt;&gt;"", '4Capital Costs'!D21, "")</f>
        <v/>
      </c>
      <c r="E20" s="27" t="str">
        <f>IF($A20&lt;&gt;"", (IF('4Replacement Costs - Entry'!J21="Y",((($B20*$D20)*((1+$B$5)^E$7))*(1/((1+$F$5)^E$7))),0)), "")</f>
        <v/>
      </c>
      <c r="F20" s="27" t="str">
        <f>IF($A20&lt;&gt;"", (IF('4Replacement Costs - Entry'!K21="Y",((($B20*$D20)*((1+$B$5)^F$7))*(1/((1+$F$5)^F$7))),0)), "")</f>
        <v/>
      </c>
      <c r="G20" s="27" t="str">
        <f>IF($A20&lt;&gt;"", (IF('4Replacement Costs - Entry'!L21="Y",((($B20*$D20)*((1+$B$5)^G$7))*(1/((1+$F$5)^G$7))),0)), "")</f>
        <v/>
      </c>
      <c r="H20" s="27" t="str">
        <f>IF($A20&lt;&gt;"", (IF('4Replacement Costs - Entry'!M21="Y",((($B20*$D20)*((1+$B$5)^H$7))*(1/((1+$F$5)^H$7))),0)), "")</f>
        <v/>
      </c>
      <c r="I20" s="27" t="str">
        <f>IF($A20&lt;&gt;"", (IF('4Replacement Costs - Entry'!N21="Y",((($B20*$D20)*((1+$B$5)^I$7))*(1/((1+$F$5)^I$7))),0)), "")</f>
        <v/>
      </c>
    </row>
    <row r="21" spans="1:9">
      <c r="A21" s="29" t="str">
        <f>IF('4Capital Costs'!A22&lt;&gt;"", '4Capital Costs'!A22, "")</f>
        <v/>
      </c>
      <c r="B21" s="3" t="str">
        <f>IF('4Capital Costs'!B22&lt;&gt;"", '4Capital Costs'!B22, "")</f>
        <v/>
      </c>
      <c r="C21" s="46" t="str">
        <f>IF('4Capital Costs'!C22&lt;&gt;"", '4Capital Costs'!C22, "")</f>
        <v/>
      </c>
      <c r="D21" s="47" t="str">
        <f>IF('4Capital Costs'!D22&lt;&gt;"", '4Capital Costs'!D22, "")</f>
        <v/>
      </c>
      <c r="E21" s="27" t="str">
        <f>IF($A21&lt;&gt;"", (IF('4Replacement Costs - Entry'!J22="Y",((($B21*$D21)*((1+$B$5)^E$7))*(1/((1+$F$5)^E$7))),0)), "")</f>
        <v/>
      </c>
      <c r="F21" s="27" t="str">
        <f>IF($A21&lt;&gt;"", (IF('4Replacement Costs - Entry'!K22="Y",((($B21*$D21)*((1+$B$5)^F$7))*(1/((1+$F$5)^F$7))),0)), "")</f>
        <v/>
      </c>
      <c r="G21" s="27" t="str">
        <f>IF($A21&lt;&gt;"", (IF('4Replacement Costs - Entry'!L22="Y",((($B21*$D21)*((1+$B$5)^G$7))*(1/((1+$F$5)^G$7))),0)), "")</f>
        <v/>
      </c>
      <c r="H21" s="27" t="str">
        <f>IF($A21&lt;&gt;"", (IF('4Replacement Costs - Entry'!M22="Y",((($B21*$D21)*((1+$B$5)^H$7))*(1/((1+$F$5)^H$7))),0)), "")</f>
        <v/>
      </c>
      <c r="I21" s="27" t="str">
        <f>IF($A21&lt;&gt;"", (IF('4Replacement Costs - Entry'!N22="Y",((($B21*$D21)*((1+$B$5)^I$7))*(1/((1+$F$5)^I$7))),0)), "")</f>
        <v/>
      </c>
    </row>
    <row r="22" spans="1:9">
      <c r="A22" s="29" t="str">
        <f>IF('4Capital Costs'!A23&lt;&gt;"", '4Capital Costs'!A23, "")</f>
        <v/>
      </c>
      <c r="B22" s="3" t="str">
        <f>IF('4Capital Costs'!B23&lt;&gt;"", '4Capital Costs'!B23, "")</f>
        <v/>
      </c>
      <c r="C22" s="46" t="str">
        <f>IF('4Capital Costs'!C23&lt;&gt;"", '4Capital Costs'!C23, "")</f>
        <v/>
      </c>
      <c r="D22" s="47" t="str">
        <f>IF('4Capital Costs'!D23&lt;&gt;"", '4Capital Costs'!D23, "")</f>
        <v/>
      </c>
      <c r="E22" s="27" t="str">
        <f>IF($A22&lt;&gt;"", (IF('4Replacement Costs - Entry'!J23="Y",((($B22*$D22)*((1+$B$5)^E$7))*(1/((1+$F$5)^E$7))),0)), "")</f>
        <v/>
      </c>
      <c r="F22" s="27" t="str">
        <f>IF($A22&lt;&gt;"", (IF('4Replacement Costs - Entry'!K23="Y",((($B22*$D22)*((1+$B$5)^F$7))*(1/((1+$F$5)^F$7))),0)), "")</f>
        <v/>
      </c>
      <c r="G22" s="27" t="str">
        <f>IF($A22&lt;&gt;"", (IF('4Replacement Costs - Entry'!L23="Y",((($B22*$D22)*((1+$B$5)^G$7))*(1/((1+$F$5)^G$7))),0)), "")</f>
        <v/>
      </c>
      <c r="H22" s="27" t="str">
        <f>IF($A22&lt;&gt;"", (IF('4Replacement Costs - Entry'!M23="Y",((($B22*$D22)*((1+$B$5)^H$7))*(1/((1+$F$5)^H$7))),0)), "")</f>
        <v/>
      </c>
      <c r="I22" s="27" t="str">
        <f>IF($A22&lt;&gt;"", (IF('4Replacement Costs - Entry'!N23="Y",((($B22*$D22)*((1+$B$5)^I$7))*(1/((1+$F$5)^I$7))),0)), "")</f>
        <v/>
      </c>
    </row>
    <row r="23" spans="1:9">
      <c r="A23" s="29" t="str">
        <f>IF('4Capital Costs'!A24&lt;&gt;"", '4Capital Costs'!A24, "")</f>
        <v/>
      </c>
      <c r="B23" s="3" t="str">
        <f>IF('4Capital Costs'!B24&lt;&gt;"", '4Capital Costs'!B24, "")</f>
        <v/>
      </c>
      <c r="C23" s="46" t="str">
        <f>IF('4Capital Costs'!C24&lt;&gt;"", '4Capital Costs'!C24, "")</f>
        <v/>
      </c>
      <c r="D23" s="47" t="str">
        <f>IF('4Capital Costs'!D24&lt;&gt;"", '4Capital Costs'!D24, "")</f>
        <v/>
      </c>
      <c r="E23" s="27" t="str">
        <f>IF($A23&lt;&gt;"", (IF('4Replacement Costs - Entry'!J24="Y",((($B23*$D23)*((1+$B$5)^E$7))*(1/((1+$F$5)^E$7))),0)), "")</f>
        <v/>
      </c>
      <c r="F23" s="27" t="str">
        <f>IF($A23&lt;&gt;"", (IF('4Replacement Costs - Entry'!K24="Y",((($B23*$D23)*((1+$B$5)^F$7))*(1/((1+$F$5)^F$7))),0)), "")</f>
        <v/>
      </c>
      <c r="G23" s="27" t="str">
        <f>IF($A23&lt;&gt;"", (IF('4Replacement Costs - Entry'!L24="Y",((($B23*$D23)*((1+$B$5)^G$7))*(1/((1+$F$5)^G$7))),0)), "")</f>
        <v/>
      </c>
      <c r="H23" s="27" t="str">
        <f>IF($A23&lt;&gt;"", (IF('4Replacement Costs - Entry'!M24="Y",((($B23*$D23)*((1+$B$5)^H$7))*(1/((1+$F$5)^H$7))),0)), "")</f>
        <v/>
      </c>
      <c r="I23" s="27" t="str">
        <f>IF($A23&lt;&gt;"", (IF('4Replacement Costs - Entry'!N24="Y",((($B23*$D23)*((1+$B$5)^I$7))*(1/((1+$F$5)^I$7))),0)), "")</f>
        <v/>
      </c>
    </row>
    <row r="24" spans="1:9">
      <c r="A24" s="29" t="str">
        <f>IF('4Capital Costs'!A25&lt;&gt;"", '4Capital Costs'!A25, "")</f>
        <v/>
      </c>
      <c r="B24" s="3" t="str">
        <f>IF('4Capital Costs'!B25&lt;&gt;"", '4Capital Costs'!B25, "")</f>
        <v/>
      </c>
      <c r="C24" s="46" t="str">
        <f>IF('4Capital Costs'!C25&lt;&gt;"", '4Capital Costs'!C25, "")</f>
        <v/>
      </c>
      <c r="D24" s="47" t="str">
        <f>IF('4Capital Costs'!D25&lt;&gt;"", '4Capital Costs'!D25, "")</f>
        <v/>
      </c>
      <c r="E24" s="27" t="str">
        <f>IF($A24&lt;&gt;"", (IF('4Replacement Costs - Entry'!J25="Y",((($B24*$D24)*((1+$B$5)^E$7))*(1/((1+$F$5)^E$7))),0)), "")</f>
        <v/>
      </c>
      <c r="F24" s="27" t="str">
        <f>IF($A24&lt;&gt;"", (IF('4Replacement Costs - Entry'!K25="Y",((($B24*$D24)*((1+$B$5)^F$7))*(1/((1+$F$5)^F$7))),0)), "")</f>
        <v/>
      </c>
      <c r="G24" s="27" t="str">
        <f>IF($A24&lt;&gt;"", (IF('4Replacement Costs - Entry'!L25="Y",((($B24*$D24)*((1+$B$5)^G$7))*(1/((1+$F$5)^G$7))),0)), "")</f>
        <v/>
      </c>
      <c r="H24" s="27" t="str">
        <f>IF($A24&lt;&gt;"", (IF('4Replacement Costs - Entry'!M25="Y",((($B24*$D24)*((1+$B$5)^H$7))*(1/((1+$F$5)^H$7))),0)), "")</f>
        <v/>
      </c>
      <c r="I24" s="27" t="str">
        <f>IF($A24&lt;&gt;"", (IF('4Replacement Costs - Entry'!N25="Y",((($B24*$D24)*((1+$B$5)^I$7))*(1/((1+$F$5)^I$7))),0)), "")</f>
        <v/>
      </c>
    </row>
    <row r="25" spans="1:9">
      <c r="A25" s="29" t="str">
        <f>IF('4Capital Costs'!A26&lt;&gt;"", '4Capital Costs'!A26, "")</f>
        <v/>
      </c>
      <c r="B25" s="3" t="str">
        <f>IF('4Capital Costs'!B26&lt;&gt;"", '4Capital Costs'!B26, "")</f>
        <v/>
      </c>
      <c r="C25" s="46" t="str">
        <f>IF('4Capital Costs'!C26&lt;&gt;"", '4Capital Costs'!C26, "")</f>
        <v/>
      </c>
      <c r="D25" s="47" t="str">
        <f>IF('4Capital Costs'!D26&lt;&gt;"", '4Capital Costs'!D26, "")</f>
        <v/>
      </c>
      <c r="E25" s="27" t="str">
        <f>IF($A25&lt;&gt;"", (IF('4Replacement Costs - Entry'!J26="Y",((($B25*$D25)*((1+$B$5)^E$7))*(1/((1+$F$5)^E$7))),0)), "")</f>
        <v/>
      </c>
      <c r="F25" s="27" t="str">
        <f>IF($A25&lt;&gt;"", (IF('4Replacement Costs - Entry'!K26="Y",((($B25*$D25)*((1+$B$5)^F$7))*(1/((1+$F$5)^F$7))),0)), "")</f>
        <v/>
      </c>
      <c r="G25" s="27" t="str">
        <f>IF($A25&lt;&gt;"", (IF('4Replacement Costs - Entry'!L26="Y",((($B25*$D25)*((1+$B$5)^G$7))*(1/((1+$F$5)^G$7))),0)), "")</f>
        <v/>
      </c>
      <c r="H25" s="27" t="str">
        <f>IF($A25&lt;&gt;"", (IF('4Replacement Costs - Entry'!M26="Y",((($B25*$D25)*((1+$B$5)^H$7))*(1/((1+$F$5)^H$7))),0)), "")</f>
        <v/>
      </c>
      <c r="I25" s="27" t="str">
        <f>IF($A25&lt;&gt;"", (IF('4Replacement Costs - Entry'!N26="Y",((($B25*$D25)*((1+$B$5)^I$7))*(1/((1+$F$5)^I$7))),0)), "")</f>
        <v/>
      </c>
    </row>
    <row r="26" spans="1:9">
      <c r="A26" s="29" t="str">
        <f>IF('4Capital Costs'!A27&lt;&gt;"", '4Capital Costs'!A27, "")</f>
        <v/>
      </c>
      <c r="B26" s="3" t="str">
        <f>IF('4Capital Costs'!B27&lt;&gt;"", '4Capital Costs'!B27, "")</f>
        <v/>
      </c>
      <c r="C26" s="46" t="str">
        <f>IF('4Capital Costs'!C27&lt;&gt;"", '4Capital Costs'!C27, "")</f>
        <v/>
      </c>
      <c r="D26" s="47" t="str">
        <f>IF('4Capital Costs'!D27&lt;&gt;"", '4Capital Costs'!D27, "")</f>
        <v/>
      </c>
      <c r="E26" s="27" t="str">
        <f>IF($A26&lt;&gt;"", (IF('4Replacement Costs - Entry'!J27="Y",((($B26*$D26)*((1+$B$5)^E$7))*(1/((1+$F$5)^E$7))),0)), "")</f>
        <v/>
      </c>
      <c r="F26" s="27" t="str">
        <f>IF($A26&lt;&gt;"", (IF('4Replacement Costs - Entry'!K27="Y",((($B26*$D26)*((1+$B$5)^F$7))*(1/((1+$F$5)^F$7))),0)), "")</f>
        <v/>
      </c>
      <c r="G26" s="27" t="str">
        <f>IF($A26&lt;&gt;"", (IF('4Replacement Costs - Entry'!L27="Y",((($B26*$D26)*((1+$B$5)^G$7))*(1/((1+$F$5)^G$7))),0)), "")</f>
        <v/>
      </c>
      <c r="H26" s="27" t="str">
        <f>IF($A26&lt;&gt;"", (IF('4Replacement Costs - Entry'!M27="Y",((($B26*$D26)*((1+$B$5)^H$7))*(1/((1+$F$5)^H$7))),0)), "")</f>
        <v/>
      </c>
      <c r="I26" s="27" t="str">
        <f>IF($A26&lt;&gt;"", (IF('4Replacement Costs - Entry'!N27="Y",((($B26*$D26)*((1+$B$5)^I$7))*(1/((1+$F$5)^I$7))),0)), "")</f>
        <v/>
      </c>
    </row>
    <row r="27" spans="1:9">
      <c r="A27" s="29" t="str">
        <f>IF('4Capital Costs'!A28&lt;&gt;"", '4Capital Costs'!A28, "")</f>
        <v/>
      </c>
      <c r="B27" s="3" t="str">
        <f>IF('4Capital Costs'!B28&lt;&gt;"", '4Capital Costs'!B28, "")</f>
        <v/>
      </c>
      <c r="C27" s="46" t="str">
        <f>IF('4Capital Costs'!C28&lt;&gt;"", '4Capital Costs'!C28, "")</f>
        <v/>
      </c>
      <c r="D27" s="47" t="str">
        <f>IF('4Capital Costs'!D28&lt;&gt;"", '4Capital Costs'!D28, "")</f>
        <v/>
      </c>
      <c r="E27" s="27" t="str">
        <f>IF($A27&lt;&gt;"", (IF('4Replacement Costs - Entry'!J28="Y",((($B27*$D27)*((1+$B$5)^E$7))*(1/((1+$F$5)^E$7))),0)), "")</f>
        <v/>
      </c>
      <c r="F27" s="27" t="str">
        <f>IF($A27&lt;&gt;"", (IF('4Replacement Costs - Entry'!K28="Y",((($B27*$D27)*((1+$B$5)^F$7))*(1/((1+$F$5)^F$7))),0)), "")</f>
        <v/>
      </c>
      <c r="G27" s="27" t="str">
        <f>IF($A27&lt;&gt;"", (IF('4Replacement Costs - Entry'!L28="Y",((($B27*$D27)*((1+$B$5)^G$7))*(1/((1+$F$5)^G$7))),0)), "")</f>
        <v/>
      </c>
      <c r="H27" s="27" t="str">
        <f>IF($A27&lt;&gt;"", (IF('4Replacement Costs - Entry'!M28="Y",((($B27*$D27)*((1+$B$5)^H$7))*(1/((1+$F$5)^H$7))),0)), "")</f>
        <v/>
      </c>
      <c r="I27" s="27" t="str">
        <f>IF($A27&lt;&gt;"", (IF('4Replacement Costs - Entry'!N28="Y",((($B27*$D27)*((1+$B$5)^I$7))*(1/((1+$F$5)^I$7))),0)), "")</f>
        <v/>
      </c>
    </row>
    <row r="28" spans="1:9">
      <c r="A28" s="29" t="str">
        <f>IF('4Capital Costs'!A29&lt;&gt;"", '4Capital Costs'!A29, "")</f>
        <v/>
      </c>
      <c r="B28" s="3" t="str">
        <f>IF('4Capital Costs'!B29&lt;&gt;"", '4Capital Costs'!B29, "")</f>
        <v/>
      </c>
      <c r="C28" s="46" t="str">
        <f>IF('4Capital Costs'!C29&lt;&gt;"", '4Capital Costs'!C29, "")</f>
        <v/>
      </c>
      <c r="D28" s="47" t="str">
        <f>IF('4Capital Costs'!D29&lt;&gt;"", '4Capital Costs'!D29, "")</f>
        <v/>
      </c>
      <c r="E28" s="27" t="str">
        <f>IF($A28&lt;&gt;"", (IF('4Replacement Costs - Entry'!J29="Y",((($B28*$D28)*((1+$B$5)^E$7))*(1/((1+$F$5)^E$7))),0)), "")</f>
        <v/>
      </c>
      <c r="F28" s="27" t="str">
        <f>IF($A28&lt;&gt;"", (IF('4Replacement Costs - Entry'!K29="Y",((($B28*$D28)*((1+$B$5)^F$7))*(1/((1+$F$5)^F$7))),0)), "")</f>
        <v/>
      </c>
      <c r="G28" s="27" t="str">
        <f>IF($A28&lt;&gt;"", (IF('4Replacement Costs - Entry'!L29="Y",((($B28*$D28)*((1+$B$5)^G$7))*(1/((1+$F$5)^G$7))),0)), "")</f>
        <v/>
      </c>
      <c r="H28" s="27" t="str">
        <f>IF($A28&lt;&gt;"", (IF('4Replacement Costs - Entry'!M29="Y",((($B28*$D28)*((1+$B$5)^H$7))*(1/((1+$F$5)^H$7))),0)), "")</f>
        <v/>
      </c>
      <c r="I28" s="27" t="str">
        <f>IF($A28&lt;&gt;"", (IF('4Replacement Costs - Entry'!N29="Y",((($B28*$D28)*((1+$B$5)^I$7))*(1/((1+$F$5)^I$7))),0)), "")</f>
        <v/>
      </c>
    </row>
    <row r="29" spans="1:9">
      <c r="A29" s="29" t="str">
        <f>IF('4Capital Costs'!A30&lt;&gt;"", '4Capital Costs'!A30, "")</f>
        <v/>
      </c>
      <c r="B29" s="3" t="str">
        <f>IF('4Capital Costs'!B30&lt;&gt;"", '4Capital Costs'!B30, "")</f>
        <v/>
      </c>
      <c r="C29" s="46" t="str">
        <f>IF('4Capital Costs'!C30&lt;&gt;"", '4Capital Costs'!C30, "")</f>
        <v/>
      </c>
      <c r="D29" s="47" t="str">
        <f>IF('4Capital Costs'!D30&lt;&gt;"", '4Capital Costs'!D30, "")</f>
        <v/>
      </c>
      <c r="E29" s="27" t="str">
        <f>IF($A29&lt;&gt;"", (IF('4Replacement Costs - Entry'!J30="Y",((($B29*$D29)*((1+$B$5)^E$7))*(1/((1+$F$5)^E$7))),0)), "")</f>
        <v/>
      </c>
      <c r="F29" s="27" t="str">
        <f>IF($A29&lt;&gt;"", (IF('4Replacement Costs - Entry'!K30="Y",((($B29*$D29)*((1+$B$5)^F$7))*(1/((1+$F$5)^F$7))),0)), "")</f>
        <v/>
      </c>
      <c r="G29" s="27" t="str">
        <f>IF($A29&lt;&gt;"", (IF('4Replacement Costs - Entry'!L30="Y",((($B29*$D29)*((1+$B$5)^G$7))*(1/((1+$F$5)^G$7))),0)), "")</f>
        <v/>
      </c>
      <c r="H29" s="27" t="str">
        <f>IF($A29&lt;&gt;"", (IF('4Replacement Costs - Entry'!M30="Y",((($B29*$D29)*((1+$B$5)^H$7))*(1/((1+$F$5)^H$7))),0)), "")</f>
        <v/>
      </c>
      <c r="I29" s="27" t="str">
        <f>IF($A29&lt;&gt;"", (IF('4Replacement Costs - Entry'!N30="Y",((($B29*$D29)*((1+$B$5)^I$7))*(1/((1+$F$5)^I$7))),0)), "")</f>
        <v/>
      </c>
    </row>
    <row r="30" spans="1:9">
      <c r="A30" s="29" t="str">
        <f>IF('4Capital Costs'!A31&lt;&gt;"", '4Capital Costs'!A31, "")</f>
        <v/>
      </c>
      <c r="B30" s="3" t="str">
        <f>IF('4Capital Costs'!B31&lt;&gt;"", '4Capital Costs'!B31, "")</f>
        <v/>
      </c>
      <c r="C30" s="46" t="str">
        <f>IF('4Capital Costs'!C31&lt;&gt;"", '4Capital Costs'!C31, "")</f>
        <v/>
      </c>
      <c r="D30" s="47" t="str">
        <f>IF('4Capital Costs'!D31&lt;&gt;"", '4Capital Costs'!D31, "")</f>
        <v/>
      </c>
      <c r="E30" s="27" t="str">
        <f>IF($A30&lt;&gt;"", (IF('4Replacement Costs - Entry'!J31="Y",((($B30*$D30)*((1+$B$5)^E$7))*(1/((1+$F$5)^E$7))),0)), "")</f>
        <v/>
      </c>
      <c r="F30" s="27" t="str">
        <f>IF($A30&lt;&gt;"", (IF('4Replacement Costs - Entry'!K31="Y",((($B30*$D30)*((1+$B$5)^F$7))*(1/((1+$F$5)^F$7))),0)), "")</f>
        <v/>
      </c>
      <c r="G30" s="27" t="str">
        <f>IF($A30&lt;&gt;"", (IF('4Replacement Costs - Entry'!L31="Y",((($B30*$D30)*((1+$B$5)^G$7))*(1/((1+$F$5)^G$7))),0)), "")</f>
        <v/>
      </c>
      <c r="H30" s="27" t="str">
        <f>IF($A30&lt;&gt;"", (IF('4Replacement Costs - Entry'!M31="Y",((($B30*$D30)*((1+$B$5)^H$7))*(1/((1+$F$5)^H$7))),0)), "")</f>
        <v/>
      </c>
      <c r="I30" s="27" t="str">
        <f>IF($A30&lt;&gt;"", (IF('4Replacement Costs - Entry'!N31="Y",((($B30*$D30)*((1+$B$5)^I$7))*(1/((1+$F$5)^I$7))),0)), "")</f>
        <v/>
      </c>
    </row>
    <row r="31" spans="1:9">
      <c r="A31" s="29" t="str">
        <f>IF('4Capital Costs'!A32&lt;&gt;"", '4Capital Costs'!A32, "")</f>
        <v/>
      </c>
      <c r="B31" s="3" t="str">
        <f>IF('4Capital Costs'!B32&lt;&gt;"", '4Capital Costs'!B32, "")</f>
        <v/>
      </c>
      <c r="C31" s="46" t="str">
        <f>IF('4Capital Costs'!C32&lt;&gt;"", '4Capital Costs'!C32, "")</f>
        <v/>
      </c>
      <c r="D31" s="47" t="str">
        <f>IF('4Capital Costs'!D32&lt;&gt;"", '4Capital Costs'!D32, "")</f>
        <v/>
      </c>
      <c r="E31" s="27" t="str">
        <f>IF($A31&lt;&gt;"", (IF('4Replacement Costs - Entry'!J32="Y",((($B31*$D31)*((1+$B$5)^E$7))*(1/((1+$F$5)^E$7))),0)), "")</f>
        <v/>
      </c>
      <c r="F31" s="27" t="str">
        <f>IF($A31&lt;&gt;"", (IF('4Replacement Costs - Entry'!K32="Y",((($B31*$D31)*((1+$B$5)^F$7))*(1/((1+$F$5)^F$7))),0)), "")</f>
        <v/>
      </c>
      <c r="G31" s="27" t="str">
        <f>IF($A31&lt;&gt;"", (IF('4Replacement Costs - Entry'!L32="Y",((($B31*$D31)*((1+$B$5)^G$7))*(1/((1+$F$5)^G$7))),0)), "")</f>
        <v/>
      </c>
      <c r="H31" s="27" t="str">
        <f>IF($A31&lt;&gt;"", (IF('4Replacement Costs - Entry'!M32="Y",((($B31*$D31)*((1+$B$5)^H$7))*(1/((1+$F$5)^H$7))),0)), "")</f>
        <v/>
      </c>
      <c r="I31" s="27" t="str">
        <f>IF($A31&lt;&gt;"", (IF('4Replacement Costs - Entry'!N32="Y",((($B31*$D31)*((1+$B$5)^I$7))*(1/((1+$F$5)^I$7))),0)), "")</f>
        <v/>
      </c>
    </row>
    <row r="32" spans="1:9">
      <c r="A32" s="29" t="str">
        <f>IF('4Capital Costs'!A33&lt;&gt;"", '4Capital Costs'!A33, "")</f>
        <v/>
      </c>
      <c r="B32" s="3" t="str">
        <f>IF('4Capital Costs'!B33&lt;&gt;"", '4Capital Costs'!B33, "")</f>
        <v/>
      </c>
      <c r="C32" s="46" t="str">
        <f>IF('4Capital Costs'!C33&lt;&gt;"", '4Capital Costs'!C33, "")</f>
        <v/>
      </c>
      <c r="D32" s="47" t="str">
        <f>IF('4Capital Costs'!D33&lt;&gt;"", '4Capital Costs'!D33, "")</f>
        <v/>
      </c>
      <c r="E32" s="27" t="str">
        <f>IF($A32&lt;&gt;"", (IF('4Replacement Costs - Entry'!J33="Y",((($B32*$D32)*((1+$B$5)^E$7))*(1/((1+$F$5)^E$7))),0)), "")</f>
        <v/>
      </c>
      <c r="F32" s="27" t="str">
        <f>IF($A32&lt;&gt;"", (IF('4Replacement Costs - Entry'!K33="Y",((($B32*$D32)*((1+$B$5)^F$7))*(1/((1+$F$5)^F$7))),0)), "")</f>
        <v/>
      </c>
      <c r="G32" s="27" t="str">
        <f>IF($A32&lt;&gt;"", (IF('4Replacement Costs - Entry'!L33="Y",((($B32*$D32)*((1+$B$5)^G$7))*(1/((1+$F$5)^G$7))),0)), "")</f>
        <v/>
      </c>
      <c r="H32" s="27" t="str">
        <f>IF($A32&lt;&gt;"", (IF('4Replacement Costs - Entry'!M33="Y",((($B32*$D32)*((1+$B$5)^H$7))*(1/((1+$F$5)^H$7))),0)), "")</f>
        <v/>
      </c>
      <c r="I32" s="27" t="str">
        <f>IF($A32&lt;&gt;"", (IF('4Replacement Costs - Entry'!N33="Y",((($B32*$D32)*((1+$B$5)^I$7))*(1/((1+$F$5)^I$7))),0)), "")</f>
        <v/>
      </c>
    </row>
    <row r="33" spans="1:9">
      <c r="A33" s="29" t="str">
        <f>IF('4Capital Costs'!A34&lt;&gt;"", '4Capital Costs'!A34, "")</f>
        <v/>
      </c>
      <c r="B33" s="3" t="str">
        <f>IF('4Capital Costs'!B34&lt;&gt;"", '4Capital Costs'!B34, "")</f>
        <v/>
      </c>
      <c r="C33" s="46" t="str">
        <f>IF('4Capital Costs'!C34&lt;&gt;"", '4Capital Costs'!C34, "")</f>
        <v/>
      </c>
      <c r="D33" s="47" t="str">
        <f>IF('4Capital Costs'!D34&lt;&gt;"", '4Capital Costs'!D34, "")</f>
        <v/>
      </c>
      <c r="E33" s="27" t="str">
        <f>IF($A33&lt;&gt;"", (IF('4Replacement Costs - Entry'!J34="Y",((($B33*$D33)*((1+$B$5)^E$7))*(1/((1+$F$5)^E$7))),0)), "")</f>
        <v/>
      </c>
      <c r="F33" s="27" t="str">
        <f>IF($A33&lt;&gt;"", (IF('4Replacement Costs - Entry'!K34="Y",((($B33*$D33)*((1+$B$5)^F$7))*(1/((1+$F$5)^F$7))),0)), "")</f>
        <v/>
      </c>
      <c r="G33" s="27" t="str">
        <f>IF($A33&lt;&gt;"", (IF('4Replacement Costs - Entry'!L34="Y",((($B33*$D33)*((1+$B$5)^G$7))*(1/((1+$F$5)^G$7))),0)), "")</f>
        <v/>
      </c>
      <c r="H33" s="27" t="str">
        <f>IF($A33&lt;&gt;"", (IF('4Replacement Costs - Entry'!M34="Y",((($B33*$D33)*((1+$B$5)^H$7))*(1/((1+$F$5)^H$7))),0)), "")</f>
        <v/>
      </c>
      <c r="I33" s="27" t="str">
        <f>IF($A33&lt;&gt;"", (IF('4Replacement Costs - Entry'!N34="Y",((($B33*$D33)*((1+$B$5)^I$7))*(1/((1+$F$5)^I$7))),0)), "")</f>
        <v/>
      </c>
    </row>
    <row r="34" spans="1:9">
      <c r="A34" s="29" t="str">
        <f>IF('4Capital Costs'!A35&lt;&gt;"", '4Capital Costs'!A35, "")</f>
        <v/>
      </c>
      <c r="B34" s="3" t="str">
        <f>IF('4Capital Costs'!B35&lt;&gt;"", '4Capital Costs'!B35, "")</f>
        <v/>
      </c>
      <c r="C34" s="46" t="str">
        <f>IF('4Capital Costs'!C35&lt;&gt;"", '4Capital Costs'!C35, "")</f>
        <v/>
      </c>
      <c r="D34" s="47" t="str">
        <f>IF('4Capital Costs'!D35&lt;&gt;"", '4Capital Costs'!D35, "")</f>
        <v/>
      </c>
      <c r="E34" s="27" t="str">
        <f>IF($A34&lt;&gt;"", (IF('4Replacement Costs - Entry'!J35="Y",((($B34*$D34)*((1+$B$5)^E$7))*(1/((1+$F$5)^E$7))),0)), "")</f>
        <v/>
      </c>
      <c r="F34" s="27" t="str">
        <f>IF($A34&lt;&gt;"", (IF('4Replacement Costs - Entry'!K35="Y",((($B34*$D34)*((1+$B$5)^F$7))*(1/((1+$F$5)^F$7))),0)), "")</f>
        <v/>
      </c>
      <c r="G34" s="27" t="str">
        <f>IF($A34&lt;&gt;"", (IF('4Replacement Costs - Entry'!L35="Y",((($B34*$D34)*((1+$B$5)^G$7))*(1/((1+$F$5)^G$7))),0)), "")</f>
        <v/>
      </c>
      <c r="H34" s="27" t="str">
        <f>IF($A34&lt;&gt;"", (IF('4Replacement Costs - Entry'!M35="Y",((($B34*$D34)*((1+$B$5)^H$7))*(1/((1+$F$5)^H$7))),0)), "")</f>
        <v/>
      </c>
      <c r="I34" s="27" t="str">
        <f>IF($A34&lt;&gt;"", (IF('4Replacement Costs - Entry'!N35="Y",((($B34*$D34)*((1+$B$5)^I$7))*(1/((1+$F$5)^I$7))),0)), "")</f>
        <v/>
      </c>
    </row>
    <row r="35" spans="1:9">
      <c r="A35" s="29" t="str">
        <f>IF('4Capital Costs'!A36&lt;&gt;"", '4Capital Costs'!A36, "")</f>
        <v/>
      </c>
      <c r="B35" s="3" t="str">
        <f>IF('4Capital Costs'!B36&lt;&gt;"", '4Capital Costs'!B36, "")</f>
        <v/>
      </c>
      <c r="C35" s="46" t="str">
        <f>IF('4Capital Costs'!C36&lt;&gt;"", '4Capital Costs'!C36, "")</f>
        <v/>
      </c>
      <c r="D35" s="47" t="str">
        <f>IF('4Capital Costs'!D36&lt;&gt;"", '4Capital Costs'!D36, "")</f>
        <v/>
      </c>
      <c r="E35" s="27" t="str">
        <f>IF($A35&lt;&gt;"", (IF('4Replacement Costs - Entry'!J36="Y",((($B35*$D35)*((1+$B$5)^E$7))*(1/((1+$F$5)^E$7))),0)), "")</f>
        <v/>
      </c>
      <c r="F35" s="27" t="str">
        <f>IF($A35&lt;&gt;"", (IF('4Replacement Costs - Entry'!K36="Y",((($B35*$D35)*((1+$B$5)^F$7))*(1/((1+$F$5)^F$7))),0)), "")</f>
        <v/>
      </c>
      <c r="G35" s="27" t="str">
        <f>IF($A35&lt;&gt;"", (IF('4Replacement Costs - Entry'!L36="Y",((($B35*$D35)*((1+$B$5)^G$7))*(1/((1+$F$5)^G$7))),0)), "")</f>
        <v/>
      </c>
      <c r="H35" s="27" t="str">
        <f>IF($A35&lt;&gt;"", (IF('4Replacement Costs - Entry'!M36="Y",((($B35*$D35)*((1+$B$5)^H$7))*(1/((1+$F$5)^H$7))),0)), "")</f>
        <v/>
      </c>
      <c r="I35" s="27" t="str">
        <f>IF($A35&lt;&gt;"", (IF('4Replacement Costs - Entry'!N36="Y",((($B35*$D35)*((1+$B$5)^I$7))*(1/((1+$F$5)^I$7))),0)), "")</f>
        <v/>
      </c>
    </row>
    <row r="36" spans="1:9">
      <c r="A36" s="29" t="str">
        <f>IF('4Capital Costs'!A37&lt;&gt;"", '4Capital Costs'!A37, "")</f>
        <v/>
      </c>
      <c r="B36" s="3" t="str">
        <f>IF('4Capital Costs'!B37&lt;&gt;"", '4Capital Costs'!B37, "")</f>
        <v/>
      </c>
      <c r="C36" s="46" t="str">
        <f>IF('4Capital Costs'!C37&lt;&gt;"", '4Capital Costs'!C37, "")</f>
        <v/>
      </c>
      <c r="D36" s="47" t="str">
        <f>IF('4Capital Costs'!D37&lt;&gt;"", '4Capital Costs'!D37, "")</f>
        <v/>
      </c>
      <c r="E36" s="27" t="str">
        <f>IF($A36&lt;&gt;"", (IF('4Replacement Costs - Entry'!J37="Y",((($B36*$D36)*((1+$B$5)^E$7))*(1/((1+$F$5)^E$7))),0)), "")</f>
        <v/>
      </c>
      <c r="F36" s="27" t="str">
        <f>IF($A36&lt;&gt;"", (IF('4Replacement Costs - Entry'!K37="Y",((($B36*$D36)*((1+$B$5)^F$7))*(1/((1+$F$5)^F$7))),0)), "")</f>
        <v/>
      </c>
      <c r="G36" s="27" t="str">
        <f>IF($A36&lt;&gt;"", (IF('4Replacement Costs - Entry'!L37="Y",((($B36*$D36)*((1+$B$5)^G$7))*(1/((1+$F$5)^G$7))),0)), "")</f>
        <v/>
      </c>
      <c r="H36" s="27" t="str">
        <f>IF($A36&lt;&gt;"", (IF('4Replacement Costs - Entry'!M37="Y",((($B36*$D36)*((1+$B$5)^H$7))*(1/((1+$F$5)^H$7))),0)), "")</f>
        <v/>
      </c>
      <c r="I36" s="27" t="str">
        <f>IF($A36&lt;&gt;"", (IF('4Replacement Costs - Entry'!N37="Y",((($B36*$D36)*((1+$B$5)^I$7))*(1/((1+$F$5)^I$7))),0)), "")</f>
        <v/>
      </c>
    </row>
    <row r="37" spans="1:9">
      <c r="A37" s="23"/>
      <c r="B37" s="23"/>
      <c r="C37" s="23"/>
      <c r="D37" s="36" t="s">
        <v>49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sqref="A1:I1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72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'4Capital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'4Replace Costs - Results 1-5'!A5</f>
        <v>Current Inflation Rate based on Construction Cost Index:</v>
      </c>
      <c r="B5" s="69">
        <f>'4Replace Costs - Results 1-5'!B5</f>
        <v>2.0671834625323047E-2</v>
      </c>
      <c r="C5" s="67"/>
      <c r="D5" s="67"/>
      <c r="E5" s="70" t="s">
        <v>43</v>
      </c>
      <c r="F5" s="72">
        <f>'4Replace Costs - Results 1-5'!F5</f>
        <v>4.8750000000000002E-2</v>
      </c>
      <c r="G5" s="61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6</v>
      </c>
      <c r="F7" s="26">
        <v>7</v>
      </c>
      <c r="G7" s="26">
        <v>8</v>
      </c>
      <c r="H7" s="26">
        <v>9</v>
      </c>
      <c r="I7" s="26">
        <v>10</v>
      </c>
    </row>
    <row r="8" spans="1:9">
      <c r="A8" s="29" t="str">
        <f>IF('4Capital Costs'!A9&lt;&gt;"", '4Capital Costs'!A9, "")</f>
        <v/>
      </c>
      <c r="B8" s="3" t="str">
        <f>IF('4Capital Costs'!B9&lt;&gt;"", '4Capital Costs'!B9, "")</f>
        <v/>
      </c>
      <c r="C8" s="46" t="str">
        <f>IF('4Capital Costs'!C9&lt;&gt;"", '4Capital Costs'!C9, "")</f>
        <v/>
      </c>
      <c r="D8" s="47" t="str">
        <f>IF('4Capital Costs'!D9&lt;&gt;"", '4Capital Costs'!D9, "")</f>
        <v/>
      </c>
      <c r="E8" s="27" t="str">
        <f>IF($A8&lt;&gt;"", (IF('4Replacement Costs - Entry'!O9="Y",((($B8*$D8)*((1+$B$5)^E$7))*(1/((1+$F$5)^E$7))),0)), "")</f>
        <v/>
      </c>
      <c r="F8" s="27" t="str">
        <f>IF($A8&lt;&gt;"", (IF('4Replacement Costs - Entry'!P9="Y",((($B8*$D8)*((1+$B$5)^F$7))*(1/((1+$F$5)^F$7))),0)), "")</f>
        <v/>
      </c>
      <c r="G8" s="27" t="str">
        <f>IF($A8&lt;&gt;"", (IF('4Replacement Costs - Entry'!Q9="Y",((($B8*$D8)*((1+$B$5)^G$7))*(1/((1+$F$5)^G$7))),0)), "")</f>
        <v/>
      </c>
      <c r="H8" s="27" t="str">
        <f>IF($A8&lt;&gt;"", (IF('4Replacement Costs - Entry'!R9="Y",((($B8*$D8)*((1+$B$5)^H$7))*(1/((1+$F$5)^H$7))),0)), "")</f>
        <v/>
      </c>
      <c r="I8" s="27" t="str">
        <f>IF($A8&lt;&gt;"", (IF('4Replacement Costs - Entry'!S9="Y",((($B8*$D8)*((1+$B$5)^I$7))*(1/((1+$F$5)^I$7))),0)), "")</f>
        <v/>
      </c>
    </row>
    <row r="9" spans="1:9">
      <c r="A9" s="29" t="str">
        <f>IF('4Capital Costs'!A10&lt;&gt;"", '4Capital Costs'!A10, "")</f>
        <v/>
      </c>
      <c r="B9" s="3" t="str">
        <f>IF('4Capital Costs'!B10&lt;&gt;"", '4Capital Costs'!B10, "")</f>
        <v/>
      </c>
      <c r="C9" s="46" t="str">
        <f>IF('4Capital Costs'!C10&lt;&gt;"", '4Capital Costs'!C10, "")</f>
        <v/>
      </c>
      <c r="D9" s="47" t="str">
        <f>IF('4Capital Costs'!D10&lt;&gt;"", '4Capital Costs'!D10, "")</f>
        <v/>
      </c>
      <c r="E9" s="27" t="str">
        <f>IF($A9&lt;&gt;"", (IF('4Replacement Costs - Entry'!O10="Y",((($B9*$D9)*((1+$B$5)^E$7))*(1/((1+$F$5)^E$7))),0)), "")</f>
        <v/>
      </c>
      <c r="F9" s="27" t="str">
        <f>IF($A9&lt;&gt;"", (IF('4Replacement Costs - Entry'!P10="Y",((($B9*$D9)*((1+$B$5)^F$7))*(1/((1+$F$5)^F$7))),0)), "")</f>
        <v/>
      </c>
      <c r="G9" s="27" t="str">
        <f>IF($A9&lt;&gt;"", (IF('4Replacement Costs - Entry'!Q10="Y",((($B9*$D9)*((1+$B$5)^G$7))*(1/((1+$F$5)^G$7))),0)), "")</f>
        <v/>
      </c>
      <c r="H9" s="27" t="str">
        <f>IF($A9&lt;&gt;"", (IF('4Replacement Costs - Entry'!R10="Y",((($B9*$D9)*((1+$B$5)^H$7))*(1/((1+$F$5)^H$7))),0)), "")</f>
        <v/>
      </c>
      <c r="I9" s="27" t="str">
        <f>IF($A9&lt;&gt;"", (IF('4Replacement Costs - Entry'!S10="Y",((($B9*$D9)*((1+$B$5)^I$7))*(1/((1+$F$5)^I$7))),0)), "")</f>
        <v/>
      </c>
    </row>
    <row r="10" spans="1:9">
      <c r="A10" s="29" t="str">
        <f>IF('4Capital Costs'!A11&lt;&gt;"", '4Capital Costs'!A11, "")</f>
        <v/>
      </c>
      <c r="B10" s="3" t="str">
        <f>IF('4Capital Costs'!B11&lt;&gt;"", '4Capital Costs'!B11, "")</f>
        <v/>
      </c>
      <c r="C10" s="46" t="str">
        <f>IF('4Capital Costs'!C11&lt;&gt;"", '4Capital Costs'!C11, "")</f>
        <v/>
      </c>
      <c r="D10" s="47" t="str">
        <f>IF('4Capital Costs'!D11&lt;&gt;"", '4Capital Costs'!D11, "")</f>
        <v/>
      </c>
      <c r="E10" s="27" t="str">
        <f>IF($A10&lt;&gt;"", (IF('4Replacement Costs - Entry'!O11="Y",((($B10*$D10)*((1+$B$5)^E$7))*(1/((1+$F$5)^E$7))),0)), "")</f>
        <v/>
      </c>
      <c r="F10" s="27" t="str">
        <f>IF($A10&lt;&gt;"", (IF('4Replacement Costs - Entry'!P11="Y",((($B10*$D10)*((1+$B$5)^F$7))*(1/((1+$F$5)^F$7))),0)), "")</f>
        <v/>
      </c>
      <c r="G10" s="27" t="str">
        <f>IF($A10&lt;&gt;"", (IF('4Replacement Costs - Entry'!Q11="Y",((($B10*$D10)*((1+$B$5)^G$7))*(1/((1+$F$5)^G$7))),0)), "")</f>
        <v/>
      </c>
      <c r="H10" s="27" t="str">
        <f>IF($A10&lt;&gt;"", (IF('4Replacement Costs - Entry'!R11="Y",((($B10*$D10)*((1+$B$5)^H$7))*(1/((1+$F$5)^H$7))),0)), "")</f>
        <v/>
      </c>
      <c r="I10" s="27" t="str">
        <f>IF($A10&lt;&gt;"", (IF('4Replacement Costs - Entry'!S11="Y",((($B10*$D10)*((1+$B$5)^I$7))*(1/((1+$F$5)^I$7))),0)), "")</f>
        <v/>
      </c>
    </row>
    <row r="11" spans="1:9">
      <c r="A11" s="29" t="str">
        <f>IF('4Capital Costs'!A12&lt;&gt;"", '4Capital Costs'!A12, "")</f>
        <v/>
      </c>
      <c r="B11" s="3" t="str">
        <f>IF('4Capital Costs'!B12&lt;&gt;"", '4Capital Costs'!B12, "")</f>
        <v/>
      </c>
      <c r="C11" s="46" t="str">
        <f>IF('4Capital Costs'!C12&lt;&gt;"", '4Capital Costs'!C12, "")</f>
        <v/>
      </c>
      <c r="D11" s="47" t="str">
        <f>IF('4Capital Costs'!D12&lt;&gt;"", '4Capital Costs'!D12, "")</f>
        <v/>
      </c>
      <c r="E11" s="27" t="str">
        <f>IF($A11&lt;&gt;"", (IF('4Replacement Costs - Entry'!O12="Y",((($B11*$D11)*((1+$B$5)^E$7))*(1/((1+$F$5)^E$7))),0)), "")</f>
        <v/>
      </c>
      <c r="F11" s="27" t="str">
        <f>IF($A11&lt;&gt;"", (IF('4Replacement Costs - Entry'!P12="Y",((($B11*$D11)*((1+$B$5)^F$7))*(1/((1+$F$5)^F$7))),0)), "")</f>
        <v/>
      </c>
      <c r="G11" s="27" t="str">
        <f>IF($A11&lt;&gt;"", (IF('4Replacement Costs - Entry'!Q12="Y",((($B11*$D11)*((1+$B$5)^G$7))*(1/((1+$F$5)^G$7))),0)), "")</f>
        <v/>
      </c>
      <c r="H11" s="27" t="str">
        <f>IF($A11&lt;&gt;"", (IF('4Replacement Costs - Entry'!R12="Y",((($B11*$D11)*((1+$B$5)^H$7))*(1/((1+$F$5)^H$7))),0)), "")</f>
        <v/>
      </c>
      <c r="I11" s="27" t="str">
        <f>IF($A11&lt;&gt;"", (IF('4Replacement Costs - Entry'!S12="Y",((($B11*$D11)*((1+$B$5)^I$7))*(1/((1+$F$5)^I$7))),0)), "")</f>
        <v/>
      </c>
    </row>
    <row r="12" spans="1:9">
      <c r="A12" s="29" t="str">
        <f>IF('4Capital Costs'!A13&lt;&gt;"", '4Capital Costs'!A13, "")</f>
        <v/>
      </c>
      <c r="B12" s="3" t="str">
        <f>IF('4Capital Costs'!B13&lt;&gt;"", '4Capital Costs'!B13, "")</f>
        <v/>
      </c>
      <c r="C12" s="46" t="str">
        <f>IF('4Capital Costs'!C13&lt;&gt;"", '4Capital Costs'!C13, "")</f>
        <v/>
      </c>
      <c r="D12" s="47" t="str">
        <f>IF('4Capital Costs'!D13&lt;&gt;"", '4Capital Costs'!D13, "")</f>
        <v/>
      </c>
      <c r="E12" s="27" t="str">
        <f>IF($A12&lt;&gt;"", (IF('4Replacement Costs - Entry'!O13="Y",((($B12*$D12)*((1+$B$5)^E$7))*(1/((1+$F$5)^E$7))),0)), "")</f>
        <v/>
      </c>
      <c r="F12" s="27" t="str">
        <f>IF($A12&lt;&gt;"", (IF('4Replacement Costs - Entry'!P13="Y",((($B12*$D12)*((1+$B$5)^F$7))*(1/((1+$F$5)^F$7))),0)), "")</f>
        <v/>
      </c>
      <c r="G12" s="27" t="str">
        <f>IF($A12&lt;&gt;"", (IF('4Replacement Costs - Entry'!Q13="Y",((($B12*$D12)*((1+$B$5)^G$7))*(1/((1+$F$5)^G$7))),0)), "")</f>
        <v/>
      </c>
      <c r="H12" s="27" t="str">
        <f>IF($A12&lt;&gt;"", (IF('4Replacement Costs - Entry'!R13="Y",((($B12*$D12)*((1+$B$5)^H$7))*(1/((1+$F$5)^H$7))),0)), "")</f>
        <v/>
      </c>
      <c r="I12" s="27" t="str">
        <f>IF($A12&lt;&gt;"", (IF('4Replacement Costs - Entry'!S13="Y",((($B12*$D12)*((1+$B$5)^I$7))*(1/((1+$F$5)^I$7))),0)), "")</f>
        <v/>
      </c>
    </row>
    <row r="13" spans="1:9">
      <c r="A13" s="29" t="str">
        <f>IF('4Capital Costs'!A14&lt;&gt;"", '4Capital Costs'!A14, "")</f>
        <v/>
      </c>
      <c r="B13" s="3" t="str">
        <f>IF('4Capital Costs'!B14&lt;&gt;"", '4Capital Costs'!B14, "")</f>
        <v/>
      </c>
      <c r="C13" s="46" t="str">
        <f>IF('4Capital Costs'!C14&lt;&gt;"", '4Capital Costs'!C14, "")</f>
        <v/>
      </c>
      <c r="D13" s="47" t="str">
        <f>IF('4Capital Costs'!D14&lt;&gt;"", '4Capital Costs'!D14, "")</f>
        <v/>
      </c>
      <c r="E13" s="27" t="str">
        <f>IF($A13&lt;&gt;"", (IF('4Replacement Costs - Entry'!O14="Y",((($B13*$D13)*((1+$B$5)^E$7))*(1/((1+$F$5)^E$7))),0)), "")</f>
        <v/>
      </c>
      <c r="F13" s="27" t="str">
        <f>IF($A13&lt;&gt;"", (IF('4Replacement Costs - Entry'!P14="Y",((($B13*$D13)*((1+$B$5)^F$7))*(1/((1+$F$5)^F$7))),0)), "")</f>
        <v/>
      </c>
      <c r="G13" s="27" t="str">
        <f>IF($A13&lt;&gt;"", (IF('4Replacement Costs - Entry'!Q14="Y",((($B13*$D13)*((1+$B$5)^G$7))*(1/((1+$F$5)^G$7))),0)), "")</f>
        <v/>
      </c>
      <c r="H13" s="27" t="str">
        <f>IF($A13&lt;&gt;"", (IF('4Replacement Costs - Entry'!R14="Y",((($B13*$D13)*((1+$B$5)^H$7))*(1/((1+$F$5)^H$7))),0)), "")</f>
        <v/>
      </c>
      <c r="I13" s="27" t="str">
        <f>IF($A13&lt;&gt;"", (IF('4Replacement Costs - Entry'!S14="Y",((($B13*$D13)*((1+$B$5)^I$7))*(1/((1+$F$5)^I$7))),0)), "")</f>
        <v/>
      </c>
    </row>
    <row r="14" spans="1:9">
      <c r="A14" s="29" t="str">
        <f>IF('4Capital Costs'!A15&lt;&gt;"", '4Capital Costs'!A15, "")</f>
        <v/>
      </c>
      <c r="B14" s="3" t="str">
        <f>IF('4Capital Costs'!B15&lt;&gt;"", '4Capital Costs'!B15, "")</f>
        <v/>
      </c>
      <c r="C14" s="46" t="str">
        <f>IF('4Capital Costs'!C15&lt;&gt;"", '4Capital Costs'!C15, "")</f>
        <v/>
      </c>
      <c r="D14" s="47" t="str">
        <f>IF('4Capital Costs'!D15&lt;&gt;"", '4Capital Costs'!D15, "")</f>
        <v/>
      </c>
      <c r="E14" s="27" t="str">
        <f>IF($A14&lt;&gt;"", (IF('4Replacement Costs - Entry'!O15="Y",((($B14*$D14)*((1+$B$5)^E$7))*(1/((1+$F$5)^E$7))),0)), "")</f>
        <v/>
      </c>
      <c r="F14" s="27" t="str">
        <f>IF($A14&lt;&gt;"", (IF('4Replacement Costs - Entry'!P15="Y",((($B14*$D14)*((1+$B$5)^F$7))*(1/((1+$F$5)^F$7))),0)), "")</f>
        <v/>
      </c>
      <c r="G14" s="27" t="str">
        <f>IF($A14&lt;&gt;"", (IF('4Replacement Costs - Entry'!Q15="Y",((($B14*$D14)*((1+$B$5)^G$7))*(1/((1+$F$5)^G$7))),0)), "")</f>
        <v/>
      </c>
      <c r="H14" s="27" t="str">
        <f>IF($A14&lt;&gt;"", (IF('4Replacement Costs - Entry'!R15="Y",((($B14*$D14)*((1+$B$5)^H$7))*(1/((1+$F$5)^H$7))),0)), "")</f>
        <v/>
      </c>
      <c r="I14" s="27" t="str">
        <f>IF($A14&lt;&gt;"", (IF('4Replacement Costs - Entry'!S15="Y",((($B14*$D14)*((1+$B$5)^I$7))*(1/((1+$F$5)^I$7))),0)), "")</f>
        <v/>
      </c>
    </row>
    <row r="15" spans="1:9">
      <c r="A15" s="29" t="str">
        <f>IF('4Capital Costs'!A16&lt;&gt;"", '4Capital Costs'!A16, "")</f>
        <v/>
      </c>
      <c r="B15" s="3" t="str">
        <f>IF('4Capital Costs'!B16&lt;&gt;"", '4Capital Costs'!B16, "")</f>
        <v/>
      </c>
      <c r="C15" s="46" t="str">
        <f>IF('4Capital Costs'!C16&lt;&gt;"", '4Capital Costs'!C16, "")</f>
        <v/>
      </c>
      <c r="D15" s="47" t="str">
        <f>IF('4Capital Costs'!D16&lt;&gt;"", '4Capital Costs'!D16, "")</f>
        <v/>
      </c>
      <c r="E15" s="27" t="str">
        <f>IF($A15&lt;&gt;"", (IF('4Replacement Costs - Entry'!O16="Y",((($B15*$D15)*((1+$B$5)^E$7))*(1/((1+$F$5)^E$7))),0)), "")</f>
        <v/>
      </c>
      <c r="F15" s="27" t="str">
        <f>IF($A15&lt;&gt;"", (IF('4Replacement Costs - Entry'!P16="Y",((($B15*$D15)*((1+$B$5)^F$7))*(1/((1+$F$5)^F$7))),0)), "")</f>
        <v/>
      </c>
      <c r="G15" s="27" t="str">
        <f>IF($A15&lt;&gt;"", (IF('4Replacement Costs - Entry'!Q16="Y",((($B15*$D15)*((1+$B$5)^G$7))*(1/((1+$F$5)^G$7))),0)), "")</f>
        <v/>
      </c>
      <c r="H15" s="27" t="str">
        <f>IF($A15&lt;&gt;"", (IF('4Replacement Costs - Entry'!R16="Y",((($B15*$D15)*((1+$B$5)^H$7))*(1/((1+$F$5)^H$7))),0)), "")</f>
        <v/>
      </c>
      <c r="I15" s="27" t="str">
        <f>IF($A15&lt;&gt;"", (IF('4Replacement Costs - Entry'!S16="Y",((($B15*$D15)*((1+$B$5)^I$7))*(1/((1+$F$5)^I$7))),0)), "")</f>
        <v/>
      </c>
    </row>
    <row r="16" spans="1:9">
      <c r="A16" s="29" t="str">
        <f>IF('4Capital Costs'!A17&lt;&gt;"", '4Capital Costs'!A17, "")</f>
        <v/>
      </c>
      <c r="B16" s="3" t="str">
        <f>IF('4Capital Costs'!B17&lt;&gt;"", '4Capital Costs'!B17, "")</f>
        <v/>
      </c>
      <c r="C16" s="46" t="str">
        <f>IF('4Capital Costs'!C17&lt;&gt;"", '4Capital Costs'!C17, "")</f>
        <v/>
      </c>
      <c r="D16" s="47" t="str">
        <f>IF('4Capital Costs'!D17&lt;&gt;"", '4Capital Costs'!D17, "")</f>
        <v/>
      </c>
      <c r="E16" s="27" t="str">
        <f>IF($A16&lt;&gt;"", (IF('4Replacement Costs - Entry'!O17="Y",((($B16*$D16)*((1+$B$5)^E$7))*(1/((1+$F$5)^E$7))),0)), "")</f>
        <v/>
      </c>
      <c r="F16" s="27" t="str">
        <f>IF($A16&lt;&gt;"", (IF('4Replacement Costs - Entry'!P17="Y",((($B16*$D16)*((1+$B$5)^F$7))*(1/((1+$F$5)^F$7))),0)), "")</f>
        <v/>
      </c>
      <c r="G16" s="27" t="str">
        <f>IF($A16&lt;&gt;"", (IF('4Replacement Costs - Entry'!Q17="Y",((($B16*$D16)*((1+$B$5)^G$7))*(1/((1+$F$5)^G$7))),0)), "")</f>
        <v/>
      </c>
      <c r="H16" s="27" t="str">
        <f>IF($A16&lt;&gt;"", (IF('4Replacement Costs - Entry'!R17="Y",((($B16*$D16)*((1+$B$5)^H$7))*(1/((1+$F$5)^H$7))),0)), "")</f>
        <v/>
      </c>
      <c r="I16" s="27" t="str">
        <f>IF($A16&lt;&gt;"", (IF('4Replacement Costs - Entry'!S17="Y",((($B16*$D16)*((1+$B$5)^I$7))*(1/((1+$F$5)^I$7))),0)), "")</f>
        <v/>
      </c>
    </row>
    <row r="17" spans="1:9">
      <c r="A17" s="29" t="str">
        <f>IF('4Capital Costs'!A18&lt;&gt;"", '4Capital Costs'!A18, "")</f>
        <v/>
      </c>
      <c r="B17" s="3" t="str">
        <f>IF('4Capital Costs'!B18&lt;&gt;"", '4Capital Costs'!B18, "")</f>
        <v/>
      </c>
      <c r="C17" s="46" t="str">
        <f>IF('4Capital Costs'!C18&lt;&gt;"", '4Capital Costs'!C18, "")</f>
        <v/>
      </c>
      <c r="D17" s="47" t="str">
        <f>IF('4Capital Costs'!D18&lt;&gt;"", '4Capital Costs'!D18, "")</f>
        <v/>
      </c>
      <c r="E17" s="27" t="str">
        <f>IF($A17&lt;&gt;"", (IF('4Replacement Costs - Entry'!O18="Y",((($B17*$D17)*((1+$B$5)^E$7))*(1/((1+$F$5)^E$7))),0)), "")</f>
        <v/>
      </c>
      <c r="F17" s="27" t="str">
        <f>IF($A17&lt;&gt;"", (IF('4Replacement Costs - Entry'!P18="Y",((($B17*$D17)*((1+$B$5)^F$7))*(1/((1+$F$5)^F$7))),0)), "")</f>
        <v/>
      </c>
      <c r="G17" s="27" t="str">
        <f>IF($A17&lt;&gt;"", (IF('4Replacement Costs - Entry'!Q18="Y",((($B17*$D17)*((1+$B$5)^G$7))*(1/((1+$F$5)^G$7))),0)), "")</f>
        <v/>
      </c>
      <c r="H17" s="27" t="str">
        <f>IF($A17&lt;&gt;"", (IF('4Replacement Costs - Entry'!R18="Y",((($B17*$D17)*((1+$B$5)^H$7))*(1/((1+$F$5)^H$7))),0)), "")</f>
        <v/>
      </c>
      <c r="I17" s="27" t="str">
        <f>IF($A17&lt;&gt;"", (IF('4Replacement Costs - Entry'!S18="Y",((($B17*$D17)*((1+$B$5)^I$7))*(1/((1+$F$5)^I$7))),0)), "")</f>
        <v/>
      </c>
    </row>
    <row r="18" spans="1:9">
      <c r="A18" s="29" t="str">
        <f>IF('4Capital Costs'!A19&lt;&gt;"", '4Capital Costs'!A19, "")</f>
        <v/>
      </c>
      <c r="B18" s="3" t="str">
        <f>IF('4Capital Costs'!B19&lt;&gt;"", '4Capital Costs'!B19, "")</f>
        <v/>
      </c>
      <c r="C18" s="46" t="str">
        <f>IF('4Capital Costs'!C19&lt;&gt;"", '4Capital Costs'!C19, "")</f>
        <v/>
      </c>
      <c r="D18" s="47" t="str">
        <f>IF('4Capital Costs'!D19&lt;&gt;"", '4Capital Costs'!D19, "")</f>
        <v/>
      </c>
      <c r="E18" s="27" t="str">
        <f>IF($A18&lt;&gt;"", (IF('4Replacement Costs - Entry'!O19="Y",((($B18*$D18)*((1+$B$5)^E$7))*(1/((1+$F$5)^E$7))),0)), "")</f>
        <v/>
      </c>
      <c r="F18" s="27" t="str">
        <f>IF($A18&lt;&gt;"", (IF('4Replacement Costs - Entry'!P19="Y",((($B18*$D18)*((1+$B$5)^F$7))*(1/((1+$F$5)^F$7))),0)), "")</f>
        <v/>
      </c>
      <c r="G18" s="27" t="str">
        <f>IF($A18&lt;&gt;"", (IF('4Replacement Costs - Entry'!Q19="Y",((($B18*$D18)*((1+$B$5)^G$7))*(1/((1+$F$5)^G$7))),0)), "")</f>
        <v/>
      </c>
      <c r="H18" s="27" t="str">
        <f>IF($A18&lt;&gt;"", (IF('4Replacement Costs - Entry'!R19="Y",((($B18*$D18)*((1+$B$5)^H$7))*(1/((1+$F$5)^H$7))),0)), "")</f>
        <v/>
      </c>
      <c r="I18" s="27" t="str">
        <f>IF($A18&lt;&gt;"", (IF('4Replacement Costs - Entry'!S19="Y",((($B18*$D18)*((1+$B$5)^I$7))*(1/((1+$F$5)^I$7))),0)), "")</f>
        <v/>
      </c>
    </row>
    <row r="19" spans="1:9">
      <c r="A19" s="29" t="str">
        <f>IF('4Capital Costs'!A20&lt;&gt;"", '4Capital Costs'!A20, "")</f>
        <v/>
      </c>
      <c r="B19" s="3" t="str">
        <f>IF('4Capital Costs'!B20&lt;&gt;"", '4Capital Costs'!B20, "")</f>
        <v/>
      </c>
      <c r="C19" s="46" t="str">
        <f>IF('4Capital Costs'!C20&lt;&gt;"", '4Capital Costs'!C20, "")</f>
        <v/>
      </c>
      <c r="D19" s="47" t="str">
        <f>IF('4Capital Costs'!D20&lt;&gt;"", '4Capital Costs'!D20, "")</f>
        <v/>
      </c>
      <c r="E19" s="27" t="str">
        <f>IF($A19&lt;&gt;"", (IF('4Replacement Costs - Entry'!O20="Y",((($B19*$D19)*((1+$B$5)^E$7))*(1/((1+$F$5)^E$7))),0)), "")</f>
        <v/>
      </c>
      <c r="F19" s="27" t="str">
        <f>IF($A19&lt;&gt;"", (IF('4Replacement Costs - Entry'!P20="Y",((($B19*$D19)*((1+$B$5)^F$7))*(1/((1+$F$5)^F$7))),0)), "")</f>
        <v/>
      </c>
      <c r="G19" s="27" t="str">
        <f>IF($A19&lt;&gt;"", (IF('4Replacement Costs - Entry'!Q20="Y",((($B19*$D19)*((1+$B$5)^G$7))*(1/((1+$F$5)^G$7))),0)), "")</f>
        <v/>
      </c>
      <c r="H19" s="27" t="str">
        <f>IF($A19&lt;&gt;"", (IF('4Replacement Costs - Entry'!R20="Y",((($B19*$D19)*((1+$B$5)^H$7))*(1/((1+$F$5)^H$7))),0)), "")</f>
        <v/>
      </c>
      <c r="I19" s="27" t="str">
        <f>IF($A19&lt;&gt;"", (IF('4Replacement Costs - Entry'!S20="Y",((($B19*$D19)*((1+$B$5)^I$7))*(1/((1+$F$5)^I$7))),0)), "")</f>
        <v/>
      </c>
    </row>
    <row r="20" spans="1:9">
      <c r="A20" s="29" t="str">
        <f>IF('4Capital Costs'!A21&lt;&gt;"", '4Capital Costs'!A21, "")</f>
        <v/>
      </c>
      <c r="B20" s="3" t="str">
        <f>IF('4Capital Costs'!B21&lt;&gt;"", '4Capital Costs'!B21, "")</f>
        <v/>
      </c>
      <c r="C20" s="46" t="str">
        <f>IF('4Capital Costs'!C21&lt;&gt;"", '4Capital Costs'!C21, "")</f>
        <v/>
      </c>
      <c r="D20" s="47" t="str">
        <f>IF('4Capital Costs'!D21&lt;&gt;"", '4Capital Costs'!D21, "")</f>
        <v/>
      </c>
      <c r="E20" s="27" t="str">
        <f>IF($A20&lt;&gt;"", (IF('4Replacement Costs - Entry'!O21="Y",((($B20*$D20)*((1+$B$5)^E$7))*(1/((1+$F$5)^E$7))),0)), "")</f>
        <v/>
      </c>
      <c r="F20" s="27" t="str">
        <f>IF($A20&lt;&gt;"", (IF('4Replacement Costs - Entry'!P21="Y",((($B20*$D20)*((1+$B$5)^F$7))*(1/((1+$F$5)^F$7))),0)), "")</f>
        <v/>
      </c>
      <c r="G20" s="27" t="str">
        <f>IF($A20&lt;&gt;"", (IF('4Replacement Costs - Entry'!Q21="Y",((($B20*$D20)*((1+$B$5)^G$7))*(1/((1+$F$5)^G$7))),0)), "")</f>
        <v/>
      </c>
      <c r="H20" s="27" t="str">
        <f>IF($A20&lt;&gt;"", (IF('4Replacement Costs - Entry'!R21="Y",((($B20*$D20)*((1+$B$5)^H$7))*(1/((1+$F$5)^H$7))),0)), "")</f>
        <v/>
      </c>
      <c r="I20" s="27" t="str">
        <f>IF($A20&lt;&gt;"", (IF('4Replacement Costs - Entry'!S21="Y",((($B20*$D20)*((1+$B$5)^I$7))*(1/((1+$F$5)^I$7))),0)), "")</f>
        <v/>
      </c>
    </row>
    <row r="21" spans="1:9">
      <c r="A21" s="29" t="str">
        <f>IF('4Capital Costs'!A22&lt;&gt;"", '4Capital Costs'!A22, "")</f>
        <v/>
      </c>
      <c r="B21" s="3" t="str">
        <f>IF('4Capital Costs'!B22&lt;&gt;"", '4Capital Costs'!B22, "")</f>
        <v/>
      </c>
      <c r="C21" s="46" t="str">
        <f>IF('4Capital Costs'!C22&lt;&gt;"", '4Capital Costs'!C22, "")</f>
        <v/>
      </c>
      <c r="D21" s="47" t="str">
        <f>IF('4Capital Costs'!D22&lt;&gt;"", '4Capital Costs'!D22, "")</f>
        <v/>
      </c>
      <c r="E21" s="27" t="str">
        <f>IF($A21&lt;&gt;"", (IF('4Replacement Costs - Entry'!O22="Y",((($B21*$D21)*((1+$B$5)^E$7))*(1/((1+$F$5)^E$7))),0)), "")</f>
        <v/>
      </c>
      <c r="F21" s="27" t="str">
        <f>IF($A21&lt;&gt;"", (IF('4Replacement Costs - Entry'!P22="Y",((($B21*$D21)*((1+$B$5)^F$7))*(1/((1+$F$5)^F$7))),0)), "")</f>
        <v/>
      </c>
      <c r="G21" s="27" t="str">
        <f>IF($A21&lt;&gt;"", (IF('4Replacement Costs - Entry'!Q22="Y",((($B21*$D21)*((1+$B$5)^G$7))*(1/((1+$F$5)^G$7))),0)), "")</f>
        <v/>
      </c>
      <c r="H21" s="27" t="str">
        <f>IF($A21&lt;&gt;"", (IF('4Replacement Costs - Entry'!R22="Y",((($B21*$D21)*((1+$B$5)^H$7))*(1/((1+$F$5)^H$7))),0)), "")</f>
        <v/>
      </c>
      <c r="I21" s="27" t="str">
        <f>IF($A21&lt;&gt;"", (IF('4Replacement Costs - Entry'!S22="Y",((($B21*$D21)*((1+$B$5)^I$7))*(1/((1+$F$5)^I$7))),0)), "")</f>
        <v/>
      </c>
    </row>
    <row r="22" spans="1:9">
      <c r="A22" s="29" t="str">
        <f>IF('4Capital Costs'!A23&lt;&gt;"", '4Capital Costs'!A23, "")</f>
        <v/>
      </c>
      <c r="B22" s="3" t="str">
        <f>IF('4Capital Costs'!B23&lt;&gt;"", '4Capital Costs'!B23, "")</f>
        <v/>
      </c>
      <c r="C22" s="46" t="str">
        <f>IF('4Capital Costs'!C23&lt;&gt;"", '4Capital Costs'!C23, "")</f>
        <v/>
      </c>
      <c r="D22" s="47" t="str">
        <f>IF('4Capital Costs'!D23&lt;&gt;"", '4Capital Costs'!D23, "")</f>
        <v/>
      </c>
      <c r="E22" s="27" t="str">
        <f>IF($A22&lt;&gt;"", (IF('4Replacement Costs - Entry'!O23="Y",((($B22*$D22)*((1+$B$5)^E$7))*(1/((1+$F$5)^E$7))),0)), "")</f>
        <v/>
      </c>
      <c r="F22" s="27" t="str">
        <f>IF($A22&lt;&gt;"", (IF('4Replacement Costs - Entry'!P23="Y",((($B22*$D22)*((1+$B$5)^F$7))*(1/((1+$F$5)^F$7))),0)), "")</f>
        <v/>
      </c>
      <c r="G22" s="27" t="str">
        <f>IF($A22&lt;&gt;"", (IF('4Replacement Costs - Entry'!Q23="Y",((($B22*$D22)*((1+$B$5)^G$7))*(1/((1+$F$5)^G$7))),0)), "")</f>
        <v/>
      </c>
      <c r="H22" s="27" t="str">
        <f>IF($A22&lt;&gt;"", (IF('4Replacement Costs - Entry'!R23="Y",((($B22*$D22)*((1+$B$5)^H$7))*(1/((1+$F$5)^H$7))),0)), "")</f>
        <v/>
      </c>
      <c r="I22" s="27" t="str">
        <f>IF($A22&lt;&gt;"", (IF('4Replacement Costs - Entry'!S23="Y",((($B22*$D22)*((1+$B$5)^I$7))*(1/((1+$F$5)^I$7))),0)), "")</f>
        <v/>
      </c>
    </row>
    <row r="23" spans="1:9">
      <c r="A23" s="29" t="str">
        <f>IF('4Capital Costs'!A24&lt;&gt;"", '4Capital Costs'!A24, "")</f>
        <v/>
      </c>
      <c r="B23" s="3" t="str">
        <f>IF('4Capital Costs'!B24&lt;&gt;"", '4Capital Costs'!B24, "")</f>
        <v/>
      </c>
      <c r="C23" s="46" t="str">
        <f>IF('4Capital Costs'!C24&lt;&gt;"", '4Capital Costs'!C24, "")</f>
        <v/>
      </c>
      <c r="D23" s="47" t="str">
        <f>IF('4Capital Costs'!D24&lt;&gt;"", '4Capital Costs'!D24, "")</f>
        <v/>
      </c>
      <c r="E23" s="27" t="str">
        <f>IF($A23&lt;&gt;"", (IF('4Replacement Costs - Entry'!O24="Y",((($B23*$D23)*((1+$B$5)^E$7))*(1/((1+$F$5)^E$7))),0)), "")</f>
        <v/>
      </c>
      <c r="F23" s="27" t="str">
        <f>IF($A23&lt;&gt;"", (IF('4Replacement Costs - Entry'!P24="Y",((($B23*$D23)*((1+$B$5)^F$7))*(1/((1+$F$5)^F$7))),0)), "")</f>
        <v/>
      </c>
      <c r="G23" s="27" t="str">
        <f>IF($A23&lt;&gt;"", (IF('4Replacement Costs - Entry'!Q24="Y",((($B23*$D23)*((1+$B$5)^G$7))*(1/((1+$F$5)^G$7))),0)), "")</f>
        <v/>
      </c>
      <c r="H23" s="27" t="str">
        <f>IF($A23&lt;&gt;"", (IF('4Replacement Costs - Entry'!R24="Y",((($B23*$D23)*((1+$B$5)^H$7))*(1/((1+$F$5)^H$7))),0)), "")</f>
        <v/>
      </c>
      <c r="I23" s="27" t="str">
        <f>IF($A23&lt;&gt;"", (IF('4Replacement Costs - Entry'!S24="Y",((($B23*$D23)*((1+$B$5)^I$7))*(1/((1+$F$5)^I$7))),0)), "")</f>
        <v/>
      </c>
    </row>
    <row r="24" spans="1:9">
      <c r="A24" s="29" t="str">
        <f>IF('4Capital Costs'!A25&lt;&gt;"", '4Capital Costs'!A25, "")</f>
        <v/>
      </c>
      <c r="B24" s="3" t="str">
        <f>IF('4Capital Costs'!B25&lt;&gt;"", '4Capital Costs'!B25, "")</f>
        <v/>
      </c>
      <c r="C24" s="46" t="str">
        <f>IF('4Capital Costs'!C25&lt;&gt;"", '4Capital Costs'!C25, "")</f>
        <v/>
      </c>
      <c r="D24" s="47" t="str">
        <f>IF('4Capital Costs'!D25&lt;&gt;"", '4Capital Costs'!D25, "")</f>
        <v/>
      </c>
      <c r="E24" s="27" t="str">
        <f>IF($A24&lt;&gt;"", (IF('4Replacement Costs - Entry'!O25="Y",((($B24*$D24)*((1+$B$5)^E$7))*(1/((1+$F$5)^E$7))),0)), "")</f>
        <v/>
      </c>
      <c r="F24" s="27" t="str">
        <f>IF($A24&lt;&gt;"", (IF('4Replacement Costs - Entry'!P25="Y",((($B24*$D24)*((1+$B$5)^F$7))*(1/((1+$F$5)^F$7))),0)), "")</f>
        <v/>
      </c>
      <c r="G24" s="27" t="str">
        <f>IF($A24&lt;&gt;"", (IF('4Replacement Costs - Entry'!Q25="Y",((($B24*$D24)*((1+$B$5)^G$7))*(1/((1+$F$5)^G$7))),0)), "")</f>
        <v/>
      </c>
      <c r="H24" s="27" t="str">
        <f>IF($A24&lt;&gt;"", (IF('4Replacement Costs - Entry'!R25="Y",((($B24*$D24)*((1+$B$5)^H$7))*(1/((1+$F$5)^H$7))),0)), "")</f>
        <v/>
      </c>
      <c r="I24" s="27" t="str">
        <f>IF($A24&lt;&gt;"", (IF('4Replacement Costs - Entry'!S25="Y",((($B24*$D24)*((1+$B$5)^I$7))*(1/((1+$F$5)^I$7))),0)), "")</f>
        <v/>
      </c>
    </row>
    <row r="25" spans="1:9">
      <c r="A25" s="29" t="str">
        <f>IF('4Capital Costs'!A26&lt;&gt;"", '4Capital Costs'!A26, "")</f>
        <v/>
      </c>
      <c r="B25" s="3" t="str">
        <f>IF('4Capital Costs'!B26&lt;&gt;"", '4Capital Costs'!B26, "")</f>
        <v/>
      </c>
      <c r="C25" s="46" t="str">
        <f>IF('4Capital Costs'!C26&lt;&gt;"", '4Capital Costs'!C26, "")</f>
        <v/>
      </c>
      <c r="D25" s="47" t="str">
        <f>IF('4Capital Costs'!D26&lt;&gt;"", '4Capital Costs'!D26, "")</f>
        <v/>
      </c>
      <c r="E25" s="27" t="str">
        <f>IF($A25&lt;&gt;"", (IF('4Replacement Costs - Entry'!O26="Y",((($B25*$D25)*((1+$B$5)^E$7))*(1/((1+$F$5)^E$7))),0)), "")</f>
        <v/>
      </c>
      <c r="F25" s="27" t="str">
        <f>IF($A25&lt;&gt;"", (IF('4Replacement Costs - Entry'!P26="Y",((($B25*$D25)*((1+$B$5)^F$7))*(1/((1+$F$5)^F$7))),0)), "")</f>
        <v/>
      </c>
      <c r="G25" s="27" t="str">
        <f>IF($A25&lt;&gt;"", (IF('4Replacement Costs - Entry'!Q26="Y",((($B25*$D25)*((1+$B$5)^G$7))*(1/((1+$F$5)^G$7))),0)), "")</f>
        <v/>
      </c>
      <c r="H25" s="27" t="str">
        <f>IF($A25&lt;&gt;"", (IF('4Replacement Costs - Entry'!R26="Y",((($B25*$D25)*((1+$B$5)^H$7))*(1/((1+$F$5)^H$7))),0)), "")</f>
        <v/>
      </c>
      <c r="I25" s="27" t="str">
        <f>IF($A25&lt;&gt;"", (IF('4Replacement Costs - Entry'!S26="Y",((($B25*$D25)*((1+$B$5)^I$7))*(1/((1+$F$5)^I$7))),0)), "")</f>
        <v/>
      </c>
    </row>
    <row r="26" spans="1:9">
      <c r="A26" s="29" t="str">
        <f>IF('4Capital Costs'!A27&lt;&gt;"", '4Capital Costs'!A27, "")</f>
        <v/>
      </c>
      <c r="B26" s="3" t="str">
        <f>IF('4Capital Costs'!B27&lt;&gt;"", '4Capital Costs'!B27, "")</f>
        <v/>
      </c>
      <c r="C26" s="46" t="str">
        <f>IF('4Capital Costs'!C27&lt;&gt;"", '4Capital Costs'!C27, "")</f>
        <v/>
      </c>
      <c r="D26" s="47" t="str">
        <f>IF('4Capital Costs'!D27&lt;&gt;"", '4Capital Costs'!D27, "")</f>
        <v/>
      </c>
      <c r="E26" s="27" t="str">
        <f>IF($A26&lt;&gt;"", (IF('4Replacement Costs - Entry'!O27="Y",((($B26*$D26)*((1+$B$5)^E$7))*(1/((1+$F$5)^E$7))),0)), "")</f>
        <v/>
      </c>
      <c r="F26" s="27" t="str">
        <f>IF($A26&lt;&gt;"", (IF('4Replacement Costs - Entry'!P27="Y",((($B26*$D26)*((1+$B$5)^F$7))*(1/((1+$F$5)^F$7))),0)), "")</f>
        <v/>
      </c>
      <c r="G26" s="27" t="str">
        <f>IF($A26&lt;&gt;"", (IF('4Replacement Costs - Entry'!Q27="Y",((($B26*$D26)*((1+$B$5)^G$7))*(1/((1+$F$5)^G$7))),0)), "")</f>
        <v/>
      </c>
      <c r="H26" s="27" t="str">
        <f>IF($A26&lt;&gt;"", (IF('4Replacement Costs - Entry'!R27="Y",((($B26*$D26)*((1+$B$5)^H$7))*(1/((1+$F$5)^H$7))),0)), "")</f>
        <v/>
      </c>
      <c r="I26" s="27" t="str">
        <f>IF($A26&lt;&gt;"", (IF('4Replacement Costs - Entry'!S27="Y",((($B26*$D26)*((1+$B$5)^I$7))*(1/((1+$F$5)^I$7))),0)), "")</f>
        <v/>
      </c>
    </row>
    <row r="27" spans="1:9">
      <c r="A27" s="29" t="str">
        <f>IF('4Capital Costs'!A28&lt;&gt;"", '4Capital Costs'!A28, "")</f>
        <v/>
      </c>
      <c r="B27" s="3" t="str">
        <f>IF('4Capital Costs'!B28&lt;&gt;"", '4Capital Costs'!B28, "")</f>
        <v/>
      </c>
      <c r="C27" s="46" t="str">
        <f>IF('4Capital Costs'!C28&lt;&gt;"", '4Capital Costs'!C28, "")</f>
        <v/>
      </c>
      <c r="D27" s="47" t="str">
        <f>IF('4Capital Costs'!D28&lt;&gt;"", '4Capital Costs'!D28, "")</f>
        <v/>
      </c>
      <c r="E27" s="27" t="str">
        <f>IF($A27&lt;&gt;"", (IF('4Replacement Costs - Entry'!O28="Y",((($B27*$D27)*((1+$B$5)^E$7))*(1/((1+$F$5)^E$7))),0)), "")</f>
        <v/>
      </c>
      <c r="F27" s="27" t="str">
        <f>IF($A27&lt;&gt;"", (IF('4Replacement Costs - Entry'!P28="Y",((($B27*$D27)*((1+$B$5)^F$7))*(1/((1+$F$5)^F$7))),0)), "")</f>
        <v/>
      </c>
      <c r="G27" s="27" t="str">
        <f>IF($A27&lt;&gt;"", (IF('4Replacement Costs - Entry'!Q28="Y",((($B27*$D27)*((1+$B$5)^G$7))*(1/((1+$F$5)^G$7))),0)), "")</f>
        <v/>
      </c>
      <c r="H27" s="27" t="str">
        <f>IF($A27&lt;&gt;"", (IF('4Replacement Costs - Entry'!R28="Y",((($B27*$D27)*((1+$B$5)^H$7))*(1/((1+$F$5)^H$7))),0)), "")</f>
        <v/>
      </c>
      <c r="I27" s="27" t="str">
        <f>IF($A27&lt;&gt;"", (IF('4Replacement Costs - Entry'!S28="Y",((($B27*$D27)*((1+$B$5)^I$7))*(1/((1+$F$5)^I$7))),0)), "")</f>
        <v/>
      </c>
    </row>
    <row r="28" spans="1:9">
      <c r="A28" s="29" t="str">
        <f>IF('4Capital Costs'!A29&lt;&gt;"", '4Capital Costs'!A29, "")</f>
        <v/>
      </c>
      <c r="B28" s="3" t="str">
        <f>IF('4Capital Costs'!B29&lt;&gt;"", '4Capital Costs'!B29, "")</f>
        <v/>
      </c>
      <c r="C28" s="46" t="str">
        <f>IF('4Capital Costs'!C29&lt;&gt;"", '4Capital Costs'!C29, "")</f>
        <v/>
      </c>
      <c r="D28" s="47" t="str">
        <f>IF('4Capital Costs'!D29&lt;&gt;"", '4Capital Costs'!D29, "")</f>
        <v/>
      </c>
      <c r="E28" s="27" t="str">
        <f>IF($A28&lt;&gt;"", (IF('4Replacement Costs - Entry'!O29="Y",((($B28*$D28)*((1+$B$5)^E$7))*(1/((1+$F$5)^E$7))),0)), "")</f>
        <v/>
      </c>
      <c r="F28" s="27" t="str">
        <f>IF($A28&lt;&gt;"", (IF('4Replacement Costs - Entry'!P29="Y",((($B28*$D28)*((1+$B$5)^F$7))*(1/((1+$F$5)^F$7))),0)), "")</f>
        <v/>
      </c>
      <c r="G28" s="27" t="str">
        <f>IF($A28&lt;&gt;"", (IF('4Replacement Costs - Entry'!Q29="Y",((($B28*$D28)*((1+$B$5)^G$7))*(1/((1+$F$5)^G$7))),0)), "")</f>
        <v/>
      </c>
      <c r="H28" s="27" t="str">
        <f>IF($A28&lt;&gt;"", (IF('4Replacement Costs - Entry'!R29="Y",((($B28*$D28)*((1+$B$5)^H$7))*(1/((1+$F$5)^H$7))),0)), "")</f>
        <v/>
      </c>
      <c r="I28" s="27" t="str">
        <f>IF($A28&lt;&gt;"", (IF('4Replacement Costs - Entry'!S29="Y",((($B28*$D28)*((1+$B$5)^I$7))*(1/((1+$F$5)^I$7))),0)), "")</f>
        <v/>
      </c>
    </row>
    <row r="29" spans="1:9">
      <c r="A29" s="29" t="str">
        <f>IF('4Capital Costs'!A30&lt;&gt;"", '4Capital Costs'!A30, "")</f>
        <v/>
      </c>
      <c r="B29" s="3" t="str">
        <f>IF('4Capital Costs'!B30&lt;&gt;"", '4Capital Costs'!B30, "")</f>
        <v/>
      </c>
      <c r="C29" s="46" t="str">
        <f>IF('4Capital Costs'!C30&lt;&gt;"", '4Capital Costs'!C30, "")</f>
        <v/>
      </c>
      <c r="D29" s="47" t="str">
        <f>IF('4Capital Costs'!D30&lt;&gt;"", '4Capital Costs'!D30, "")</f>
        <v/>
      </c>
      <c r="E29" s="27" t="str">
        <f>IF($A29&lt;&gt;"", (IF('4Replacement Costs - Entry'!O30="Y",((($B29*$D29)*((1+$B$5)^E$7))*(1/((1+$F$5)^E$7))),0)), "")</f>
        <v/>
      </c>
      <c r="F29" s="27" t="str">
        <f>IF($A29&lt;&gt;"", (IF('4Replacement Costs - Entry'!P30="Y",((($B29*$D29)*((1+$B$5)^F$7))*(1/((1+$F$5)^F$7))),0)), "")</f>
        <v/>
      </c>
      <c r="G29" s="27" t="str">
        <f>IF($A29&lt;&gt;"", (IF('4Replacement Costs - Entry'!Q30="Y",((($B29*$D29)*((1+$B$5)^G$7))*(1/((1+$F$5)^G$7))),0)), "")</f>
        <v/>
      </c>
      <c r="H29" s="27" t="str">
        <f>IF($A29&lt;&gt;"", (IF('4Replacement Costs - Entry'!R30="Y",((($B29*$D29)*((1+$B$5)^H$7))*(1/((1+$F$5)^H$7))),0)), "")</f>
        <v/>
      </c>
      <c r="I29" s="27" t="str">
        <f>IF($A29&lt;&gt;"", (IF('4Replacement Costs - Entry'!S30="Y",((($B29*$D29)*((1+$B$5)^I$7))*(1/((1+$F$5)^I$7))),0)), "")</f>
        <v/>
      </c>
    </row>
    <row r="30" spans="1:9">
      <c r="A30" s="29" t="str">
        <f>IF('4Capital Costs'!A31&lt;&gt;"", '4Capital Costs'!A31, "")</f>
        <v/>
      </c>
      <c r="B30" s="3" t="str">
        <f>IF('4Capital Costs'!B31&lt;&gt;"", '4Capital Costs'!B31, "")</f>
        <v/>
      </c>
      <c r="C30" s="46" t="str">
        <f>IF('4Capital Costs'!C31&lt;&gt;"", '4Capital Costs'!C31, "")</f>
        <v/>
      </c>
      <c r="D30" s="47" t="str">
        <f>IF('4Capital Costs'!D31&lt;&gt;"", '4Capital Costs'!D31, "")</f>
        <v/>
      </c>
      <c r="E30" s="27" t="str">
        <f>IF($A30&lt;&gt;"", (IF('4Replacement Costs - Entry'!O31="Y",((($B30*$D30)*((1+$B$5)^E$7))*(1/((1+$F$5)^E$7))),0)), "")</f>
        <v/>
      </c>
      <c r="F30" s="27" t="str">
        <f>IF($A30&lt;&gt;"", (IF('4Replacement Costs - Entry'!P31="Y",((($B30*$D30)*((1+$B$5)^F$7))*(1/((1+$F$5)^F$7))),0)), "")</f>
        <v/>
      </c>
      <c r="G30" s="27" t="str">
        <f>IF($A30&lt;&gt;"", (IF('4Replacement Costs - Entry'!Q31="Y",((($B30*$D30)*((1+$B$5)^G$7))*(1/((1+$F$5)^G$7))),0)), "")</f>
        <v/>
      </c>
      <c r="H30" s="27" t="str">
        <f>IF($A30&lt;&gt;"", (IF('4Replacement Costs - Entry'!R31="Y",((($B30*$D30)*((1+$B$5)^H$7))*(1/((1+$F$5)^H$7))),0)), "")</f>
        <v/>
      </c>
      <c r="I30" s="27" t="str">
        <f>IF($A30&lt;&gt;"", (IF('4Replacement Costs - Entry'!S31="Y",((($B30*$D30)*((1+$B$5)^I$7))*(1/((1+$F$5)^I$7))),0)), "")</f>
        <v/>
      </c>
    </row>
    <row r="31" spans="1:9">
      <c r="A31" s="29" t="str">
        <f>IF('4Capital Costs'!A32&lt;&gt;"", '4Capital Costs'!A32, "")</f>
        <v/>
      </c>
      <c r="B31" s="3" t="str">
        <f>IF('4Capital Costs'!B32&lt;&gt;"", '4Capital Costs'!B32, "")</f>
        <v/>
      </c>
      <c r="C31" s="46" t="str">
        <f>IF('4Capital Costs'!C32&lt;&gt;"", '4Capital Costs'!C32, "")</f>
        <v/>
      </c>
      <c r="D31" s="47" t="str">
        <f>IF('4Capital Costs'!D32&lt;&gt;"", '4Capital Costs'!D32, "")</f>
        <v/>
      </c>
      <c r="E31" s="27" t="str">
        <f>IF($A31&lt;&gt;"", (IF('4Replacement Costs - Entry'!O32="Y",((($B31*$D31)*((1+$B$5)^E$7))*(1/((1+$F$5)^E$7))),0)), "")</f>
        <v/>
      </c>
      <c r="F31" s="27" t="str">
        <f>IF($A31&lt;&gt;"", (IF('4Replacement Costs - Entry'!P32="Y",((($B31*$D31)*((1+$B$5)^F$7))*(1/((1+$F$5)^F$7))),0)), "")</f>
        <v/>
      </c>
      <c r="G31" s="27" t="str">
        <f>IF($A31&lt;&gt;"", (IF('4Replacement Costs - Entry'!Q32="Y",((($B31*$D31)*((1+$B$5)^G$7))*(1/((1+$F$5)^G$7))),0)), "")</f>
        <v/>
      </c>
      <c r="H31" s="27" t="str">
        <f>IF($A31&lt;&gt;"", (IF('4Replacement Costs - Entry'!R32="Y",((($B31*$D31)*((1+$B$5)^H$7))*(1/((1+$F$5)^H$7))),0)), "")</f>
        <v/>
      </c>
      <c r="I31" s="27" t="str">
        <f>IF($A31&lt;&gt;"", (IF('4Replacement Costs - Entry'!S32="Y",((($B31*$D31)*((1+$B$5)^I$7))*(1/((1+$F$5)^I$7))),0)), "")</f>
        <v/>
      </c>
    </row>
    <row r="32" spans="1:9">
      <c r="A32" s="29" t="str">
        <f>IF('4Capital Costs'!A33&lt;&gt;"", '4Capital Costs'!A33, "")</f>
        <v/>
      </c>
      <c r="B32" s="3" t="str">
        <f>IF('4Capital Costs'!B33&lt;&gt;"", '4Capital Costs'!B33, "")</f>
        <v/>
      </c>
      <c r="C32" s="46" t="str">
        <f>IF('4Capital Costs'!C33&lt;&gt;"", '4Capital Costs'!C33, "")</f>
        <v/>
      </c>
      <c r="D32" s="47" t="str">
        <f>IF('4Capital Costs'!D33&lt;&gt;"", '4Capital Costs'!D33, "")</f>
        <v/>
      </c>
      <c r="E32" s="27" t="str">
        <f>IF($A32&lt;&gt;"", (IF('4Replacement Costs - Entry'!O33="Y",((($B32*$D32)*((1+$B$5)^E$7))*(1/((1+$F$5)^E$7))),0)), "")</f>
        <v/>
      </c>
      <c r="F32" s="27" t="str">
        <f>IF($A32&lt;&gt;"", (IF('4Replacement Costs - Entry'!P33="Y",((($B32*$D32)*((1+$B$5)^F$7))*(1/((1+$F$5)^F$7))),0)), "")</f>
        <v/>
      </c>
      <c r="G32" s="27" t="str">
        <f>IF($A32&lt;&gt;"", (IF('4Replacement Costs - Entry'!Q33="Y",((($B32*$D32)*((1+$B$5)^G$7))*(1/((1+$F$5)^G$7))),0)), "")</f>
        <v/>
      </c>
      <c r="H32" s="27" t="str">
        <f>IF($A32&lt;&gt;"", (IF('4Replacement Costs - Entry'!R33="Y",((($B32*$D32)*((1+$B$5)^H$7))*(1/((1+$F$5)^H$7))),0)), "")</f>
        <v/>
      </c>
      <c r="I32" s="27" t="str">
        <f>IF($A32&lt;&gt;"", (IF('4Replacement Costs - Entry'!S33="Y",((($B32*$D32)*((1+$B$5)^I$7))*(1/((1+$F$5)^I$7))),0)), "")</f>
        <v/>
      </c>
    </row>
    <row r="33" spans="1:9">
      <c r="A33" s="29" t="str">
        <f>IF('4Capital Costs'!A34&lt;&gt;"", '4Capital Costs'!A34, "")</f>
        <v/>
      </c>
      <c r="B33" s="3" t="str">
        <f>IF('4Capital Costs'!B34&lt;&gt;"", '4Capital Costs'!B34, "")</f>
        <v/>
      </c>
      <c r="C33" s="46" t="str">
        <f>IF('4Capital Costs'!C34&lt;&gt;"", '4Capital Costs'!C34, "")</f>
        <v/>
      </c>
      <c r="D33" s="47" t="str">
        <f>IF('4Capital Costs'!D34&lt;&gt;"", '4Capital Costs'!D34, "")</f>
        <v/>
      </c>
      <c r="E33" s="27" t="str">
        <f>IF($A33&lt;&gt;"", (IF('4Replacement Costs - Entry'!O34="Y",((($B33*$D33)*((1+$B$5)^E$7))*(1/((1+$F$5)^E$7))),0)), "")</f>
        <v/>
      </c>
      <c r="F33" s="27" t="str">
        <f>IF($A33&lt;&gt;"", (IF('4Replacement Costs - Entry'!P34="Y",((($B33*$D33)*((1+$B$5)^F$7))*(1/((1+$F$5)^F$7))),0)), "")</f>
        <v/>
      </c>
      <c r="G33" s="27" t="str">
        <f>IF($A33&lt;&gt;"", (IF('4Replacement Costs - Entry'!Q34="Y",((($B33*$D33)*((1+$B$5)^G$7))*(1/((1+$F$5)^G$7))),0)), "")</f>
        <v/>
      </c>
      <c r="H33" s="27" t="str">
        <f>IF($A33&lt;&gt;"", (IF('4Replacement Costs - Entry'!R34="Y",((($B33*$D33)*((1+$B$5)^H$7))*(1/((1+$F$5)^H$7))),0)), "")</f>
        <v/>
      </c>
      <c r="I33" s="27" t="str">
        <f>IF($A33&lt;&gt;"", (IF('4Replacement Costs - Entry'!S34="Y",((($B33*$D33)*((1+$B$5)^I$7))*(1/((1+$F$5)^I$7))),0)), "")</f>
        <v/>
      </c>
    </row>
    <row r="34" spans="1:9">
      <c r="A34" s="29" t="str">
        <f>IF('4Capital Costs'!A35&lt;&gt;"", '4Capital Costs'!A35, "")</f>
        <v/>
      </c>
      <c r="B34" s="3" t="str">
        <f>IF('4Capital Costs'!B35&lt;&gt;"", '4Capital Costs'!B35, "")</f>
        <v/>
      </c>
      <c r="C34" s="46" t="str">
        <f>IF('4Capital Costs'!C35&lt;&gt;"", '4Capital Costs'!C35, "")</f>
        <v/>
      </c>
      <c r="D34" s="47" t="str">
        <f>IF('4Capital Costs'!D35&lt;&gt;"", '4Capital Costs'!D35, "")</f>
        <v/>
      </c>
      <c r="E34" s="27" t="str">
        <f>IF($A34&lt;&gt;"", (IF('4Replacement Costs - Entry'!O35="Y",((($B34*$D34)*((1+$B$5)^E$7))*(1/((1+$F$5)^E$7))),0)), "")</f>
        <v/>
      </c>
      <c r="F34" s="27" t="str">
        <f>IF($A34&lt;&gt;"", (IF('4Replacement Costs - Entry'!P35="Y",((($B34*$D34)*((1+$B$5)^F$7))*(1/((1+$F$5)^F$7))),0)), "")</f>
        <v/>
      </c>
      <c r="G34" s="27" t="str">
        <f>IF($A34&lt;&gt;"", (IF('4Replacement Costs - Entry'!Q35="Y",((($B34*$D34)*((1+$B$5)^G$7))*(1/((1+$F$5)^G$7))),0)), "")</f>
        <v/>
      </c>
      <c r="H34" s="27" t="str">
        <f>IF($A34&lt;&gt;"", (IF('4Replacement Costs - Entry'!R35="Y",((($B34*$D34)*((1+$B$5)^H$7))*(1/((1+$F$5)^H$7))),0)), "")</f>
        <v/>
      </c>
      <c r="I34" s="27" t="str">
        <f>IF($A34&lt;&gt;"", (IF('4Replacement Costs - Entry'!S35="Y",((($B34*$D34)*((1+$B$5)^I$7))*(1/((1+$F$5)^I$7))),0)), "")</f>
        <v/>
      </c>
    </row>
    <row r="35" spans="1:9">
      <c r="A35" s="29" t="str">
        <f>IF('4Capital Costs'!A36&lt;&gt;"", '4Capital Costs'!A36, "")</f>
        <v/>
      </c>
      <c r="B35" s="3" t="str">
        <f>IF('4Capital Costs'!B36&lt;&gt;"", '4Capital Costs'!B36, "")</f>
        <v/>
      </c>
      <c r="C35" s="46" t="str">
        <f>IF('4Capital Costs'!C36&lt;&gt;"", '4Capital Costs'!C36, "")</f>
        <v/>
      </c>
      <c r="D35" s="47" t="str">
        <f>IF('4Capital Costs'!D36&lt;&gt;"", '4Capital Costs'!D36, "")</f>
        <v/>
      </c>
      <c r="E35" s="27" t="str">
        <f>IF($A35&lt;&gt;"", (IF('4Replacement Costs - Entry'!O36="Y",((($B35*$D35)*((1+$B$5)^E$7))*(1/((1+$F$5)^E$7))),0)), "")</f>
        <v/>
      </c>
      <c r="F35" s="27" t="str">
        <f>IF($A35&lt;&gt;"", (IF('4Replacement Costs - Entry'!P36="Y",((($B35*$D35)*((1+$B$5)^F$7))*(1/((1+$F$5)^F$7))),0)), "")</f>
        <v/>
      </c>
      <c r="G35" s="27" t="str">
        <f>IF($A35&lt;&gt;"", (IF('4Replacement Costs - Entry'!Q36="Y",((($B35*$D35)*((1+$B$5)^G$7))*(1/((1+$F$5)^G$7))),0)), "")</f>
        <v/>
      </c>
      <c r="H35" s="27" t="str">
        <f>IF($A35&lt;&gt;"", (IF('4Replacement Costs - Entry'!R36="Y",((($B35*$D35)*((1+$B$5)^H$7))*(1/((1+$F$5)^H$7))),0)), "")</f>
        <v/>
      </c>
      <c r="I35" s="27" t="str">
        <f>IF($A35&lt;&gt;"", (IF('4Replacement Costs - Entry'!S36="Y",((($B35*$D35)*((1+$B$5)^I$7))*(1/((1+$F$5)^I$7))),0)), "")</f>
        <v/>
      </c>
    </row>
    <row r="36" spans="1:9">
      <c r="A36" s="29" t="str">
        <f>IF('4Capital Costs'!A37&lt;&gt;"", '4Capital Costs'!A37, "")</f>
        <v/>
      </c>
      <c r="B36" s="3" t="str">
        <f>IF('4Capital Costs'!B37&lt;&gt;"", '4Capital Costs'!B37, "")</f>
        <v/>
      </c>
      <c r="C36" s="46" t="str">
        <f>IF('4Capital Costs'!C37&lt;&gt;"", '4Capital Costs'!C37, "")</f>
        <v/>
      </c>
      <c r="D36" s="47" t="str">
        <f>IF('4Capital Costs'!D37&lt;&gt;"", '4Capital Costs'!D37, "")</f>
        <v/>
      </c>
      <c r="E36" s="27" t="str">
        <f>IF($A36&lt;&gt;"", (IF('4Replacement Costs - Entry'!O37="Y",((($B36*$D36)*((1+$B$5)^E$7))*(1/((1+$F$5)^E$7))),0)), "")</f>
        <v/>
      </c>
      <c r="F36" s="27" t="str">
        <f>IF($A36&lt;&gt;"", (IF('4Replacement Costs - Entry'!P37="Y",((($B36*$D36)*((1+$B$5)^F$7))*(1/((1+$F$5)^F$7))),0)), "")</f>
        <v/>
      </c>
      <c r="G36" s="27" t="str">
        <f>IF($A36&lt;&gt;"", (IF('4Replacement Costs - Entry'!Q37="Y",((($B36*$D36)*((1+$B$5)^G$7))*(1/((1+$F$5)^G$7))),0)), "")</f>
        <v/>
      </c>
      <c r="H36" s="27" t="str">
        <f>IF($A36&lt;&gt;"", (IF('4Replacement Costs - Entry'!R37="Y",((($B36*$D36)*((1+$B$5)^H$7))*(1/((1+$F$5)^H$7))),0)), "")</f>
        <v/>
      </c>
      <c r="I36" s="27" t="str">
        <f>IF($A36&lt;&gt;"", (IF('4Replacement Costs - Entry'!S37="Y",((($B36*$D36)*((1+$B$5)^I$7))*(1/((1+$F$5)^I$7))),0)), "")</f>
        <v/>
      </c>
    </row>
    <row r="37" spans="1:9">
      <c r="A37" s="23"/>
      <c r="B37" s="23"/>
      <c r="C37" s="23"/>
      <c r="D37" s="36" t="s">
        <v>50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168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'4Capital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'4Replace Costs-Results 6-10'!A5</f>
        <v>Current Inflation Rate based on Construction Cost Index:</v>
      </c>
      <c r="B5" s="69">
        <f>'4Replace Costs-Results 6-10'!B5</f>
        <v>2.0671834625323047E-2</v>
      </c>
      <c r="C5" s="67"/>
      <c r="D5" s="67"/>
      <c r="E5" s="70" t="s">
        <v>43</v>
      </c>
      <c r="F5" s="72">
        <f>'4Replace Costs-Results 6-10'!F5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11</v>
      </c>
      <c r="F7" s="26">
        <v>12</v>
      </c>
      <c r="G7" s="26">
        <v>13</v>
      </c>
      <c r="H7" s="26">
        <v>14</v>
      </c>
      <c r="I7" s="26">
        <v>15</v>
      </c>
    </row>
    <row r="8" spans="1:9">
      <c r="A8" s="29" t="str">
        <f>IF('4Capital Costs'!A9&lt;&gt;"", '4Capital Costs'!A9, "")</f>
        <v/>
      </c>
      <c r="B8" s="3" t="str">
        <f>IF('4Capital Costs'!B9&lt;&gt;"", '4Capital Costs'!B9, "")</f>
        <v/>
      </c>
      <c r="C8" s="46" t="str">
        <f>IF('4Capital Costs'!C9&lt;&gt;"", '4Capital Costs'!C9, "")</f>
        <v/>
      </c>
      <c r="D8" s="47" t="str">
        <f>IF('4Capital Costs'!D9&lt;&gt;"", '4Capital Costs'!D9, "")</f>
        <v/>
      </c>
      <c r="E8" s="27" t="str">
        <f>IF($A8&lt;&gt;"", (IF('4Replacement Costs - Entry'!T9="Y",((($B8*$D8)*((1+$B$5)^E$7))*(1/((1+$F$5)^E$7))),0)), "")</f>
        <v/>
      </c>
      <c r="F8" s="27" t="str">
        <f>IF($A8&lt;&gt;"", (IF('4Replacement Costs - Entry'!U9="Y",((($B8*$D8)*((1+$B$5)^F$7))*(1/((1+$F$5)^F$7))),0)), "")</f>
        <v/>
      </c>
      <c r="G8" s="27" t="str">
        <f>IF($A8&lt;&gt;"", (IF('4Replacement Costs - Entry'!V9="Y",((($B8*$D8)*((1+$B$5)^G$7))*(1/((1+$F$5)^G$7))),0)), "")</f>
        <v/>
      </c>
      <c r="H8" s="27" t="str">
        <f>IF($A8&lt;&gt;"", (IF('4Replacement Costs - Entry'!W9="Y",((($B8*$D8)*((1+$B$5)^H$7))*(1/((1+$F$5)^H$7))),0)), "")</f>
        <v/>
      </c>
      <c r="I8" s="27" t="str">
        <f>IF($A8&lt;&gt;"", (IF('4Replacement Costs - Entry'!X9="Y",((($B8*$D8)*((1+$B$5)^I$7))*(1/((1+$F$5)^I$7))),0)), "")</f>
        <v/>
      </c>
    </row>
    <row r="9" spans="1:9">
      <c r="A9" s="29" t="str">
        <f>IF('4Capital Costs'!A10&lt;&gt;"", '4Capital Costs'!A10, "")</f>
        <v/>
      </c>
      <c r="B9" s="3" t="str">
        <f>IF('4Capital Costs'!B10&lt;&gt;"", '4Capital Costs'!B10, "")</f>
        <v/>
      </c>
      <c r="C9" s="46" t="str">
        <f>IF('4Capital Costs'!C10&lt;&gt;"", '4Capital Costs'!C10, "")</f>
        <v/>
      </c>
      <c r="D9" s="47" t="str">
        <f>IF('4Capital Costs'!D10&lt;&gt;"", '4Capital Costs'!D10, "")</f>
        <v/>
      </c>
      <c r="E9" s="27" t="str">
        <f>IF($A9&lt;&gt;"", (IF('4Replacement Costs - Entry'!T10="Y",((($B9*$D9)*((1+$B$5)^E$7))*(1/((1+$F$5)^E$7))),0)), "")</f>
        <v/>
      </c>
      <c r="F9" s="27" t="str">
        <f>IF($A9&lt;&gt;"", (IF('4Replacement Costs - Entry'!U10="Y",((($B9*$D9)*((1+$B$5)^F$7))*(1/((1+$F$5)^F$7))),0)), "")</f>
        <v/>
      </c>
      <c r="G9" s="27" t="str">
        <f>IF($A9&lt;&gt;"", (IF('4Replacement Costs - Entry'!V10="Y",((($B9*$D9)*((1+$B$5)^G$7))*(1/((1+$F$5)^G$7))),0)), "")</f>
        <v/>
      </c>
      <c r="H9" s="27" t="str">
        <f>IF($A9&lt;&gt;"", (IF('4Replacement Costs - Entry'!W10="Y",((($B9*$D9)*((1+$B$5)^H$7))*(1/((1+$F$5)^H$7))),0)), "")</f>
        <v/>
      </c>
      <c r="I9" s="27" t="str">
        <f>IF($A9&lt;&gt;"", (IF('4Replacement Costs - Entry'!X10="Y",((($B9*$D9)*((1+$B$5)^I$7))*(1/((1+$F$5)^I$7))),0)), "")</f>
        <v/>
      </c>
    </row>
    <row r="10" spans="1:9">
      <c r="A10" s="29" t="str">
        <f>IF('4Capital Costs'!A11&lt;&gt;"", '4Capital Costs'!A11, "")</f>
        <v/>
      </c>
      <c r="B10" s="3" t="str">
        <f>IF('4Capital Costs'!B11&lt;&gt;"", '4Capital Costs'!B11, "")</f>
        <v/>
      </c>
      <c r="C10" s="46" t="str">
        <f>IF('4Capital Costs'!C11&lt;&gt;"", '4Capital Costs'!C11, "")</f>
        <v/>
      </c>
      <c r="D10" s="47" t="str">
        <f>IF('4Capital Costs'!D11&lt;&gt;"", '4Capital Costs'!D11, "")</f>
        <v/>
      </c>
      <c r="E10" s="27" t="str">
        <f>IF($A10&lt;&gt;"", (IF('4Replacement Costs - Entry'!T11="Y",((($B10*$D10)*((1+$B$5)^E$7))*(1/((1+$F$5)^E$7))),0)), "")</f>
        <v/>
      </c>
      <c r="F10" s="27" t="str">
        <f>IF($A10&lt;&gt;"", (IF('4Replacement Costs - Entry'!U11="Y",((($B10*$D10)*((1+$B$5)^F$7))*(1/((1+$F$5)^F$7))),0)), "")</f>
        <v/>
      </c>
      <c r="G10" s="27" t="str">
        <f>IF($A10&lt;&gt;"", (IF('4Replacement Costs - Entry'!V11="Y",((($B10*$D10)*((1+$B$5)^G$7))*(1/((1+$F$5)^G$7))),0)), "")</f>
        <v/>
      </c>
      <c r="H10" s="27" t="str">
        <f>IF($A10&lt;&gt;"", (IF('4Replacement Costs - Entry'!W11="Y",((($B10*$D10)*((1+$B$5)^H$7))*(1/((1+$F$5)^H$7))),0)), "")</f>
        <v/>
      </c>
      <c r="I10" s="27" t="str">
        <f>IF($A10&lt;&gt;"", (IF('4Replacement Costs - Entry'!X11="Y",((($B10*$D10)*((1+$B$5)^I$7))*(1/((1+$F$5)^I$7))),0)), "")</f>
        <v/>
      </c>
    </row>
    <row r="11" spans="1:9">
      <c r="A11" s="29" t="str">
        <f>IF('4Capital Costs'!A12&lt;&gt;"", '4Capital Costs'!A12, "")</f>
        <v/>
      </c>
      <c r="B11" s="3" t="str">
        <f>IF('4Capital Costs'!B12&lt;&gt;"", '4Capital Costs'!B12, "")</f>
        <v/>
      </c>
      <c r="C11" s="46" t="str">
        <f>IF('4Capital Costs'!C12&lt;&gt;"", '4Capital Costs'!C12, "")</f>
        <v/>
      </c>
      <c r="D11" s="47" t="str">
        <f>IF('4Capital Costs'!D12&lt;&gt;"", '4Capital Costs'!D12, "")</f>
        <v/>
      </c>
      <c r="E11" s="27" t="str">
        <f>IF($A11&lt;&gt;"", (IF('4Replacement Costs - Entry'!T12="Y",((($B11*$D11)*((1+$B$5)^E$7))*(1/((1+$F$5)^E$7))),0)), "")</f>
        <v/>
      </c>
      <c r="F11" s="27" t="str">
        <f>IF($A11&lt;&gt;"", (IF('4Replacement Costs - Entry'!U12="Y",((($B11*$D11)*((1+$B$5)^F$7))*(1/((1+$F$5)^F$7))),0)), "")</f>
        <v/>
      </c>
      <c r="G11" s="27" t="str">
        <f>IF($A11&lt;&gt;"", (IF('4Replacement Costs - Entry'!V12="Y",((($B11*$D11)*((1+$B$5)^G$7))*(1/((1+$F$5)^G$7))),0)), "")</f>
        <v/>
      </c>
      <c r="H11" s="27" t="str">
        <f>IF($A11&lt;&gt;"", (IF('4Replacement Costs - Entry'!W12="Y",((($B11*$D11)*((1+$B$5)^H$7))*(1/((1+$F$5)^H$7))),0)), "")</f>
        <v/>
      </c>
      <c r="I11" s="27" t="str">
        <f>IF($A11&lt;&gt;"", (IF('4Replacement Costs - Entry'!X12="Y",((($B11*$D11)*((1+$B$5)^I$7))*(1/((1+$F$5)^I$7))),0)), "")</f>
        <v/>
      </c>
    </row>
    <row r="12" spans="1:9">
      <c r="A12" s="29" t="str">
        <f>IF('4Capital Costs'!A13&lt;&gt;"", '4Capital Costs'!A13, "")</f>
        <v/>
      </c>
      <c r="B12" s="3" t="str">
        <f>IF('4Capital Costs'!B13&lt;&gt;"", '4Capital Costs'!B13, "")</f>
        <v/>
      </c>
      <c r="C12" s="46" t="str">
        <f>IF('4Capital Costs'!C13&lt;&gt;"", '4Capital Costs'!C13, "")</f>
        <v/>
      </c>
      <c r="D12" s="47" t="str">
        <f>IF('4Capital Costs'!D13&lt;&gt;"", '4Capital Costs'!D13, "")</f>
        <v/>
      </c>
      <c r="E12" s="27" t="str">
        <f>IF($A12&lt;&gt;"", (IF('4Replacement Costs - Entry'!T13="Y",((($B12*$D12)*((1+$B$5)^E$7))*(1/((1+$F$5)^E$7))),0)), "")</f>
        <v/>
      </c>
      <c r="F12" s="27" t="str">
        <f>IF($A12&lt;&gt;"", (IF('4Replacement Costs - Entry'!U13="Y",((($B12*$D12)*((1+$B$5)^F$7))*(1/((1+$F$5)^F$7))),0)), "")</f>
        <v/>
      </c>
      <c r="G12" s="27" t="str">
        <f>IF($A12&lt;&gt;"", (IF('4Replacement Costs - Entry'!V13="Y",((($B12*$D12)*((1+$B$5)^G$7))*(1/((1+$F$5)^G$7))),0)), "")</f>
        <v/>
      </c>
      <c r="H12" s="27" t="str">
        <f>IF($A12&lt;&gt;"", (IF('4Replacement Costs - Entry'!W13="Y",((($B12*$D12)*((1+$B$5)^H$7))*(1/((1+$F$5)^H$7))),0)), "")</f>
        <v/>
      </c>
      <c r="I12" s="27" t="str">
        <f>IF($A12&lt;&gt;"", (IF('4Replacement Costs - Entry'!X13="Y",((($B12*$D12)*((1+$B$5)^I$7))*(1/((1+$F$5)^I$7))),0)), "")</f>
        <v/>
      </c>
    </row>
    <row r="13" spans="1:9">
      <c r="A13" s="29" t="str">
        <f>IF('4Capital Costs'!A14&lt;&gt;"", '4Capital Costs'!A14, "")</f>
        <v/>
      </c>
      <c r="B13" s="3" t="str">
        <f>IF('4Capital Costs'!B14&lt;&gt;"", '4Capital Costs'!B14, "")</f>
        <v/>
      </c>
      <c r="C13" s="46" t="str">
        <f>IF('4Capital Costs'!C14&lt;&gt;"", '4Capital Costs'!C14, "")</f>
        <v/>
      </c>
      <c r="D13" s="47" t="str">
        <f>IF('4Capital Costs'!D14&lt;&gt;"", '4Capital Costs'!D14, "")</f>
        <v/>
      </c>
      <c r="E13" s="27" t="str">
        <f>IF($A13&lt;&gt;"", (IF('4Replacement Costs - Entry'!T14="Y",((($B13*$D13)*((1+$B$5)^E$7))*(1/((1+$F$5)^E$7))),0)), "")</f>
        <v/>
      </c>
      <c r="F13" s="27" t="str">
        <f>IF($A13&lt;&gt;"", (IF('4Replacement Costs - Entry'!U14="Y",((($B13*$D13)*((1+$B$5)^F$7))*(1/((1+$F$5)^F$7))),0)), "")</f>
        <v/>
      </c>
      <c r="G13" s="27" t="str">
        <f>IF($A13&lt;&gt;"", (IF('4Replacement Costs - Entry'!V14="Y",((($B13*$D13)*((1+$B$5)^G$7))*(1/((1+$F$5)^G$7))),0)), "")</f>
        <v/>
      </c>
      <c r="H13" s="27" t="str">
        <f>IF($A13&lt;&gt;"", (IF('4Replacement Costs - Entry'!W14="Y",((($B13*$D13)*((1+$B$5)^H$7))*(1/((1+$F$5)^H$7))),0)), "")</f>
        <v/>
      </c>
      <c r="I13" s="27" t="str">
        <f>IF($A13&lt;&gt;"", (IF('4Replacement Costs - Entry'!X14="Y",((($B13*$D13)*((1+$B$5)^I$7))*(1/((1+$F$5)^I$7))),0)), "")</f>
        <v/>
      </c>
    </row>
    <row r="14" spans="1:9">
      <c r="A14" s="29" t="str">
        <f>IF('4Capital Costs'!A15&lt;&gt;"", '4Capital Costs'!A15, "")</f>
        <v/>
      </c>
      <c r="B14" s="3" t="str">
        <f>IF('4Capital Costs'!B15&lt;&gt;"", '4Capital Costs'!B15, "")</f>
        <v/>
      </c>
      <c r="C14" s="46" t="str">
        <f>IF('4Capital Costs'!C15&lt;&gt;"", '4Capital Costs'!C15, "")</f>
        <v/>
      </c>
      <c r="D14" s="47" t="str">
        <f>IF('4Capital Costs'!D15&lt;&gt;"", '4Capital Costs'!D15, "")</f>
        <v/>
      </c>
      <c r="E14" s="27" t="str">
        <f>IF($A14&lt;&gt;"", (IF('4Replacement Costs - Entry'!T15="Y",((($B14*$D14)*((1+$B$5)^E$7))*(1/((1+$F$5)^E$7))),0)), "")</f>
        <v/>
      </c>
      <c r="F14" s="27" t="str">
        <f>IF($A14&lt;&gt;"", (IF('4Replacement Costs - Entry'!U15="Y",((($B14*$D14)*((1+$B$5)^F$7))*(1/((1+$F$5)^F$7))),0)), "")</f>
        <v/>
      </c>
      <c r="G14" s="27" t="str">
        <f>IF($A14&lt;&gt;"", (IF('4Replacement Costs - Entry'!V15="Y",((($B14*$D14)*((1+$B$5)^G$7))*(1/((1+$F$5)^G$7))),0)), "")</f>
        <v/>
      </c>
      <c r="H14" s="27" t="str">
        <f>IF($A14&lt;&gt;"", (IF('4Replacement Costs - Entry'!W15="Y",((($B14*$D14)*((1+$B$5)^H$7))*(1/((1+$F$5)^H$7))),0)), "")</f>
        <v/>
      </c>
      <c r="I14" s="27" t="str">
        <f>IF($A14&lt;&gt;"", (IF('4Replacement Costs - Entry'!X15="Y",((($B14*$D14)*((1+$B$5)^I$7))*(1/((1+$F$5)^I$7))),0)), "")</f>
        <v/>
      </c>
    </row>
    <row r="15" spans="1:9">
      <c r="A15" s="29" t="str">
        <f>IF('4Capital Costs'!A16&lt;&gt;"", '4Capital Costs'!A16, "")</f>
        <v/>
      </c>
      <c r="B15" s="3" t="str">
        <f>IF('4Capital Costs'!B16&lt;&gt;"", '4Capital Costs'!B16, "")</f>
        <v/>
      </c>
      <c r="C15" s="46" t="str">
        <f>IF('4Capital Costs'!C16&lt;&gt;"", '4Capital Costs'!C16, "")</f>
        <v/>
      </c>
      <c r="D15" s="47" t="str">
        <f>IF('4Capital Costs'!D16&lt;&gt;"", '4Capital Costs'!D16, "")</f>
        <v/>
      </c>
      <c r="E15" s="27" t="str">
        <f>IF($A15&lt;&gt;"", (IF('4Replacement Costs - Entry'!T16="Y",((($B15*$D15)*((1+$B$5)^E$7))*(1/((1+$F$5)^E$7))),0)), "")</f>
        <v/>
      </c>
      <c r="F15" s="27" t="str">
        <f>IF($A15&lt;&gt;"", (IF('4Replacement Costs - Entry'!U16="Y",((($B15*$D15)*((1+$B$5)^F$7))*(1/((1+$F$5)^F$7))),0)), "")</f>
        <v/>
      </c>
      <c r="G15" s="27" t="str">
        <f>IF($A15&lt;&gt;"", (IF('4Replacement Costs - Entry'!V16="Y",((($B15*$D15)*((1+$B$5)^G$7))*(1/((1+$F$5)^G$7))),0)), "")</f>
        <v/>
      </c>
      <c r="H15" s="27" t="str">
        <f>IF($A15&lt;&gt;"", (IF('4Replacement Costs - Entry'!W16="Y",((($B15*$D15)*((1+$B$5)^H$7))*(1/((1+$F$5)^H$7))),0)), "")</f>
        <v/>
      </c>
      <c r="I15" s="27" t="str">
        <f>IF($A15&lt;&gt;"", (IF('4Replacement Costs - Entry'!X16="Y",((($B15*$D15)*((1+$B$5)^I$7))*(1/((1+$F$5)^I$7))),0)), "")</f>
        <v/>
      </c>
    </row>
    <row r="16" spans="1:9">
      <c r="A16" s="29" t="str">
        <f>IF('4Capital Costs'!A17&lt;&gt;"", '4Capital Costs'!A17, "")</f>
        <v/>
      </c>
      <c r="B16" s="3" t="str">
        <f>IF('4Capital Costs'!B17&lt;&gt;"", '4Capital Costs'!B17, "")</f>
        <v/>
      </c>
      <c r="C16" s="46" t="str">
        <f>IF('4Capital Costs'!C17&lt;&gt;"", '4Capital Costs'!C17, "")</f>
        <v/>
      </c>
      <c r="D16" s="47" t="str">
        <f>IF('4Capital Costs'!D17&lt;&gt;"", '4Capital Costs'!D17, "")</f>
        <v/>
      </c>
      <c r="E16" s="27" t="str">
        <f>IF($A16&lt;&gt;"", (IF('4Replacement Costs - Entry'!T17="Y",((($B16*$D16)*((1+$B$5)^E$7))*(1/((1+$F$5)^E$7))),0)), "")</f>
        <v/>
      </c>
      <c r="F16" s="27" t="str">
        <f>IF($A16&lt;&gt;"", (IF('4Replacement Costs - Entry'!U17="Y",((($B16*$D16)*((1+$B$5)^F$7))*(1/((1+$F$5)^F$7))),0)), "")</f>
        <v/>
      </c>
      <c r="G16" s="27" t="str">
        <f>IF($A16&lt;&gt;"", (IF('4Replacement Costs - Entry'!V17="Y",((($B16*$D16)*((1+$B$5)^G$7))*(1/((1+$F$5)^G$7))),0)), "")</f>
        <v/>
      </c>
      <c r="H16" s="27" t="str">
        <f>IF($A16&lt;&gt;"", (IF('4Replacement Costs - Entry'!W17="Y",((($B16*$D16)*((1+$B$5)^H$7))*(1/((1+$F$5)^H$7))),0)), "")</f>
        <v/>
      </c>
      <c r="I16" s="27" t="str">
        <f>IF($A16&lt;&gt;"", (IF('4Replacement Costs - Entry'!X17="Y",((($B16*$D16)*((1+$B$5)^I$7))*(1/((1+$F$5)^I$7))),0)), "")</f>
        <v/>
      </c>
    </row>
    <row r="17" spans="1:9">
      <c r="A17" s="29" t="str">
        <f>IF('4Capital Costs'!A18&lt;&gt;"", '4Capital Costs'!A18, "")</f>
        <v/>
      </c>
      <c r="B17" s="3" t="str">
        <f>IF('4Capital Costs'!B18&lt;&gt;"", '4Capital Costs'!B18, "")</f>
        <v/>
      </c>
      <c r="C17" s="46" t="str">
        <f>IF('4Capital Costs'!C18&lt;&gt;"", '4Capital Costs'!C18, "")</f>
        <v/>
      </c>
      <c r="D17" s="47" t="str">
        <f>IF('4Capital Costs'!D18&lt;&gt;"", '4Capital Costs'!D18, "")</f>
        <v/>
      </c>
      <c r="E17" s="27" t="str">
        <f>IF($A17&lt;&gt;"", (IF('4Replacement Costs - Entry'!T18="Y",((($B17*$D17)*((1+$B$5)^E$7))*(1/((1+$F$5)^E$7))),0)), "")</f>
        <v/>
      </c>
      <c r="F17" s="27" t="str">
        <f>IF($A17&lt;&gt;"", (IF('4Replacement Costs - Entry'!U18="Y",((($B17*$D17)*((1+$B$5)^F$7))*(1/((1+$F$5)^F$7))),0)), "")</f>
        <v/>
      </c>
      <c r="G17" s="27" t="str">
        <f>IF($A17&lt;&gt;"", (IF('4Replacement Costs - Entry'!V18="Y",((($B17*$D17)*((1+$B$5)^G$7))*(1/((1+$F$5)^G$7))),0)), "")</f>
        <v/>
      </c>
      <c r="H17" s="27" t="str">
        <f>IF($A17&lt;&gt;"", (IF('4Replacement Costs - Entry'!W18="Y",((($B17*$D17)*((1+$B$5)^H$7))*(1/((1+$F$5)^H$7))),0)), "")</f>
        <v/>
      </c>
      <c r="I17" s="27" t="str">
        <f>IF($A17&lt;&gt;"", (IF('4Replacement Costs - Entry'!X18="Y",((($B17*$D17)*((1+$B$5)^I$7))*(1/((1+$F$5)^I$7))),0)), "")</f>
        <v/>
      </c>
    </row>
    <row r="18" spans="1:9">
      <c r="A18" s="29" t="str">
        <f>IF('4Capital Costs'!A19&lt;&gt;"", '4Capital Costs'!A19, "")</f>
        <v/>
      </c>
      <c r="B18" s="3" t="str">
        <f>IF('4Capital Costs'!B19&lt;&gt;"", '4Capital Costs'!B19, "")</f>
        <v/>
      </c>
      <c r="C18" s="46" t="str">
        <f>IF('4Capital Costs'!C19&lt;&gt;"", '4Capital Costs'!C19, "")</f>
        <v/>
      </c>
      <c r="D18" s="47" t="str">
        <f>IF('4Capital Costs'!D19&lt;&gt;"", '4Capital Costs'!D19, "")</f>
        <v/>
      </c>
      <c r="E18" s="27" t="str">
        <f>IF($A18&lt;&gt;"", (IF('4Replacement Costs - Entry'!T19="Y",((($B18*$D18)*((1+$B$5)^E$7))*(1/((1+$F$5)^E$7))),0)), "")</f>
        <v/>
      </c>
      <c r="F18" s="27" t="str">
        <f>IF($A18&lt;&gt;"", (IF('4Replacement Costs - Entry'!U19="Y",((($B18*$D18)*((1+$B$5)^F$7))*(1/((1+$F$5)^F$7))),0)), "")</f>
        <v/>
      </c>
      <c r="G18" s="27" t="str">
        <f>IF($A18&lt;&gt;"", (IF('4Replacement Costs - Entry'!V19="Y",((($B18*$D18)*((1+$B$5)^G$7))*(1/((1+$F$5)^G$7))),0)), "")</f>
        <v/>
      </c>
      <c r="H18" s="27" t="str">
        <f>IF($A18&lt;&gt;"", (IF('4Replacement Costs - Entry'!W19="Y",((($B18*$D18)*((1+$B$5)^H$7))*(1/((1+$F$5)^H$7))),0)), "")</f>
        <v/>
      </c>
      <c r="I18" s="27" t="str">
        <f>IF($A18&lt;&gt;"", (IF('4Replacement Costs - Entry'!X19="Y",((($B18*$D18)*((1+$B$5)^I$7))*(1/((1+$F$5)^I$7))),0)), "")</f>
        <v/>
      </c>
    </row>
    <row r="19" spans="1:9">
      <c r="A19" s="29" t="str">
        <f>IF('4Capital Costs'!A20&lt;&gt;"", '4Capital Costs'!A20, "")</f>
        <v/>
      </c>
      <c r="B19" s="3" t="str">
        <f>IF('4Capital Costs'!B20&lt;&gt;"", '4Capital Costs'!B20, "")</f>
        <v/>
      </c>
      <c r="C19" s="46" t="str">
        <f>IF('4Capital Costs'!C20&lt;&gt;"", '4Capital Costs'!C20, "")</f>
        <v/>
      </c>
      <c r="D19" s="47" t="str">
        <f>IF('4Capital Costs'!D20&lt;&gt;"", '4Capital Costs'!D20, "")</f>
        <v/>
      </c>
      <c r="E19" s="27" t="str">
        <f>IF($A19&lt;&gt;"", (IF('4Replacement Costs - Entry'!T20="Y",((($B19*$D19)*((1+$B$5)^E$7))*(1/((1+$F$5)^E$7))),0)), "")</f>
        <v/>
      </c>
      <c r="F19" s="27" t="str">
        <f>IF($A19&lt;&gt;"", (IF('4Replacement Costs - Entry'!U20="Y",((($B19*$D19)*((1+$B$5)^F$7))*(1/((1+$F$5)^F$7))),0)), "")</f>
        <v/>
      </c>
      <c r="G19" s="27" t="str">
        <f>IF($A19&lt;&gt;"", (IF('4Replacement Costs - Entry'!V20="Y",((($B19*$D19)*((1+$B$5)^G$7))*(1/((1+$F$5)^G$7))),0)), "")</f>
        <v/>
      </c>
      <c r="H19" s="27" t="str">
        <f>IF($A19&lt;&gt;"", (IF('4Replacement Costs - Entry'!W20="Y",((($B19*$D19)*((1+$B$5)^H$7))*(1/((1+$F$5)^H$7))),0)), "")</f>
        <v/>
      </c>
      <c r="I19" s="27" t="str">
        <f>IF($A19&lt;&gt;"", (IF('4Replacement Costs - Entry'!X20="Y",((($B19*$D19)*((1+$B$5)^I$7))*(1/((1+$F$5)^I$7))),0)), "")</f>
        <v/>
      </c>
    </row>
    <row r="20" spans="1:9">
      <c r="A20" s="29" t="str">
        <f>IF('4Capital Costs'!A21&lt;&gt;"", '4Capital Costs'!A21, "")</f>
        <v/>
      </c>
      <c r="B20" s="3" t="str">
        <f>IF('4Capital Costs'!B21&lt;&gt;"", '4Capital Costs'!B21, "")</f>
        <v/>
      </c>
      <c r="C20" s="46" t="str">
        <f>IF('4Capital Costs'!C21&lt;&gt;"", '4Capital Costs'!C21, "")</f>
        <v/>
      </c>
      <c r="D20" s="47" t="str">
        <f>IF('4Capital Costs'!D21&lt;&gt;"", '4Capital Costs'!D21, "")</f>
        <v/>
      </c>
      <c r="E20" s="27" t="str">
        <f>IF($A20&lt;&gt;"", (IF('4Replacement Costs - Entry'!T21="Y",((($B20*$D20)*((1+$B$5)^E$7))*(1/((1+$F$5)^E$7))),0)), "")</f>
        <v/>
      </c>
      <c r="F20" s="27" t="str">
        <f>IF($A20&lt;&gt;"", (IF('4Replacement Costs - Entry'!U21="Y",((($B20*$D20)*((1+$B$5)^F$7))*(1/((1+$F$5)^F$7))),0)), "")</f>
        <v/>
      </c>
      <c r="G20" s="27" t="str">
        <f>IF($A20&lt;&gt;"", (IF('4Replacement Costs - Entry'!V21="Y",((($B20*$D20)*((1+$B$5)^G$7))*(1/((1+$F$5)^G$7))),0)), "")</f>
        <v/>
      </c>
      <c r="H20" s="27" t="str">
        <f>IF($A20&lt;&gt;"", (IF('4Replacement Costs - Entry'!W21="Y",((($B20*$D20)*((1+$B$5)^H$7))*(1/((1+$F$5)^H$7))),0)), "")</f>
        <v/>
      </c>
      <c r="I20" s="27" t="str">
        <f>IF($A20&lt;&gt;"", (IF('4Replacement Costs - Entry'!X21="Y",((($B20*$D20)*((1+$B$5)^I$7))*(1/((1+$F$5)^I$7))),0)), "")</f>
        <v/>
      </c>
    </row>
    <row r="21" spans="1:9">
      <c r="A21" s="29" t="str">
        <f>IF('4Capital Costs'!A22&lt;&gt;"", '4Capital Costs'!A22, "")</f>
        <v/>
      </c>
      <c r="B21" s="3" t="str">
        <f>IF('4Capital Costs'!B22&lt;&gt;"", '4Capital Costs'!B22, "")</f>
        <v/>
      </c>
      <c r="C21" s="46" t="str">
        <f>IF('4Capital Costs'!C22&lt;&gt;"", '4Capital Costs'!C22, "")</f>
        <v/>
      </c>
      <c r="D21" s="47" t="str">
        <f>IF('4Capital Costs'!D22&lt;&gt;"", '4Capital Costs'!D22, "")</f>
        <v/>
      </c>
      <c r="E21" s="27" t="str">
        <f>IF($A21&lt;&gt;"", (IF('4Replacement Costs - Entry'!T22="Y",((($B21*$D21)*((1+$B$5)^E$7))*(1/((1+$F$5)^E$7))),0)), "")</f>
        <v/>
      </c>
      <c r="F21" s="27" t="str">
        <f>IF($A21&lt;&gt;"", (IF('4Replacement Costs - Entry'!U22="Y",((($B21*$D21)*((1+$B$5)^F$7))*(1/((1+$F$5)^F$7))),0)), "")</f>
        <v/>
      </c>
      <c r="G21" s="27" t="str">
        <f>IF($A21&lt;&gt;"", (IF('4Replacement Costs - Entry'!V22="Y",((($B21*$D21)*((1+$B$5)^G$7))*(1/((1+$F$5)^G$7))),0)), "")</f>
        <v/>
      </c>
      <c r="H21" s="27" t="str">
        <f>IF($A21&lt;&gt;"", (IF('4Replacement Costs - Entry'!W22="Y",((($B21*$D21)*((1+$B$5)^H$7))*(1/((1+$F$5)^H$7))),0)), "")</f>
        <v/>
      </c>
      <c r="I21" s="27" t="str">
        <f>IF($A21&lt;&gt;"", (IF('4Replacement Costs - Entry'!X22="Y",((($B21*$D21)*((1+$B$5)^I$7))*(1/((1+$F$5)^I$7))),0)), "")</f>
        <v/>
      </c>
    </row>
    <row r="22" spans="1:9">
      <c r="A22" s="29" t="str">
        <f>IF('4Capital Costs'!A23&lt;&gt;"", '4Capital Costs'!A23, "")</f>
        <v/>
      </c>
      <c r="B22" s="3" t="str">
        <f>IF('4Capital Costs'!B23&lt;&gt;"", '4Capital Costs'!B23, "")</f>
        <v/>
      </c>
      <c r="C22" s="46" t="str">
        <f>IF('4Capital Costs'!C23&lt;&gt;"", '4Capital Costs'!C23, "")</f>
        <v/>
      </c>
      <c r="D22" s="47" t="str">
        <f>IF('4Capital Costs'!D23&lt;&gt;"", '4Capital Costs'!D23, "")</f>
        <v/>
      </c>
      <c r="E22" s="27" t="str">
        <f>IF($A22&lt;&gt;"", (IF('4Replacement Costs - Entry'!T23="Y",((($B22*$D22)*((1+$B$5)^E$7))*(1/((1+$F$5)^E$7))),0)), "")</f>
        <v/>
      </c>
      <c r="F22" s="27" t="str">
        <f>IF($A22&lt;&gt;"", (IF('4Replacement Costs - Entry'!U23="Y",((($B22*$D22)*((1+$B$5)^F$7))*(1/((1+$F$5)^F$7))),0)), "")</f>
        <v/>
      </c>
      <c r="G22" s="27" t="str">
        <f>IF($A22&lt;&gt;"", (IF('4Replacement Costs - Entry'!V23="Y",((($B22*$D22)*((1+$B$5)^G$7))*(1/((1+$F$5)^G$7))),0)), "")</f>
        <v/>
      </c>
      <c r="H22" s="27" t="str">
        <f>IF($A22&lt;&gt;"", (IF('4Replacement Costs - Entry'!W23="Y",((($B22*$D22)*((1+$B$5)^H$7))*(1/((1+$F$5)^H$7))),0)), "")</f>
        <v/>
      </c>
      <c r="I22" s="27" t="str">
        <f>IF($A22&lt;&gt;"", (IF('4Replacement Costs - Entry'!X23="Y",((($B22*$D22)*((1+$B$5)^I$7))*(1/((1+$F$5)^I$7))),0)), "")</f>
        <v/>
      </c>
    </row>
    <row r="23" spans="1:9">
      <c r="A23" s="29" t="str">
        <f>IF('4Capital Costs'!A24&lt;&gt;"", '4Capital Costs'!A24, "")</f>
        <v/>
      </c>
      <c r="B23" s="3" t="str">
        <f>IF('4Capital Costs'!B24&lt;&gt;"", '4Capital Costs'!B24, "")</f>
        <v/>
      </c>
      <c r="C23" s="46" t="str">
        <f>IF('4Capital Costs'!C24&lt;&gt;"", '4Capital Costs'!C24, "")</f>
        <v/>
      </c>
      <c r="D23" s="47" t="str">
        <f>IF('4Capital Costs'!D24&lt;&gt;"", '4Capital Costs'!D24, "")</f>
        <v/>
      </c>
      <c r="E23" s="27" t="str">
        <f>IF($A23&lt;&gt;"", (IF('4Replacement Costs - Entry'!T24="Y",((($B23*$D23)*((1+$B$5)^E$7))*(1/((1+$F$5)^E$7))),0)), "")</f>
        <v/>
      </c>
      <c r="F23" s="27" t="str">
        <f>IF($A23&lt;&gt;"", (IF('4Replacement Costs - Entry'!U24="Y",((($B23*$D23)*((1+$B$5)^F$7))*(1/((1+$F$5)^F$7))),0)), "")</f>
        <v/>
      </c>
      <c r="G23" s="27" t="str">
        <f>IF($A23&lt;&gt;"", (IF('4Replacement Costs - Entry'!V24="Y",((($B23*$D23)*((1+$B$5)^G$7))*(1/((1+$F$5)^G$7))),0)), "")</f>
        <v/>
      </c>
      <c r="H23" s="27" t="str">
        <f>IF($A23&lt;&gt;"", (IF('4Replacement Costs - Entry'!W24="Y",((($B23*$D23)*((1+$B$5)^H$7))*(1/((1+$F$5)^H$7))),0)), "")</f>
        <v/>
      </c>
      <c r="I23" s="27" t="str">
        <f>IF($A23&lt;&gt;"", (IF('4Replacement Costs - Entry'!X24="Y",((($B23*$D23)*((1+$B$5)^I$7))*(1/((1+$F$5)^I$7))),0)), "")</f>
        <v/>
      </c>
    </row>
    <row r="24" spans="1:9">
      <c r="A24" s="29" t="str">
        <f>IF('4Capital Costs'!A25&lt;&gt;"", '4Capital Costs'!A25, "")</f>
        <v/>
      </c>
      <c r="B24" s="3" t="str">
        <f>IF('4Capital Costs'!B25&lt;&gt;"", '4Capital Costs'!B25, "")</f>
        <v/>
      </c>
      <c r="C24" s="46" t="str">
        <f>IF('4Capital Costs'!C25&lt;&gt;"", '4Capital Costs'!C25, "")</f>
        <v/>
      </c>
      <c r="D24" s="47" t="str">
        <f>IF('4Capital Costs'!D25&lt;&gt;"", '4Capital Costs'!D25, "")</f>
        <v/>
      </c>
      <c r="E24" s="27" t="str">
        <f>IF($A24&lt;&gt;"", (IF('4Replacement Costs - Entry'!T25="Y",((($B24*$D24)*((1+$B$5)^E$7))*(1/((1+$F$5)^E$7))),0)), "")</f>
        <v/>
      </c>
      <c r="F24" s="27" t="str">
        <f>IF($A24&lt;&gt;"", (IF('4Replacement Costs - Entry'!U25="Y",((($B24*$D24)*((1+$B$5)^F$7))*(1/((1+$F$5)^F$7))),0)), "")</f>
        <v/>
      </c>
      <c r="G24" s="27" t="str">
        <f>IF($A24&lt;&gt;"", (IF('4Replacement Costs - Entry'!V25="Y",((($B24*$D24)*((1+$B$5)^G$7))*(1/((1+$F$5)^G$7))),0)), "")</f>
        <v/>
      </c>
      <c r="H24" s="27" t="str">
        <f>IF($A24&lt;&gt;"", (IF('4Replacement Costs - Entry'!W25="Y",((($B24*$D24)*((1+$B$5)^H$7))*(1/((1+$F$5)^H$7))),0)), "")</f>
        <v/>
      </c>
      <c r="I24" s="27" t="str">
        <f>IF($A24&lt;&gt;"", (IF('4Replacement Costs - Entry'!X25="Y",((($B24*$D24)*((1+$B$5)^I$7))*(1/((1+$F$5)^I$7))),0)), "")</f>
        <v/>
      </c>
    </row>
    <row r="25" spans="1:9">
      <c r="A25" s="29" t="str">
        <f>IF('4Capital Costs'!A26&lt;&gt;"", '4Capital Costs'!A26, "")</f>
        <v/>
      </c>
      <c r="B25" s="3" t="str">
        <f>IF('4Capital Costs'!B26&lt;&gt;"", '4Capital Costs'!B26, "")</f>
        <v/>
      </c>
      <c r="C25" s="46" t="str">
        <f>IF('4Capital Costs'!C26&lt;&gt;"", '4Capital Costs'!C26, "")</f>
        <v/>
      </c>
      <c r="D25" s="47" t="str">
        <f>IF('4Capital Costs'!D26&lt;&gt;"", '4Capital Costs'!D26, "")</f>
        <v/>
      </c>
      <c r="E25" s="27" t="str">
        <f>IF($A25&lt;&gt;"", (IF('4Replacement Costs - Entry'!T26="Y",((($B25*$D25)*((1+$B$5)^E$7))*(1/((1+$F$5)^E$7))),0)), "")</f>
        <v/>
      </c>
      <c r="F25" s="27" t="str">
        <f>IF($A25&lt;&gt;"", (IF('4Replacement Costs - Entry'!U26="Y",((($B25*$D25)*((1+$B$5)^F$7))*(1/((1+$F$5)^F$7))),0)), "")</f>
        <v/>
      </c>
      <c r="G25" s="27" t="str">
        <f>IF($A25&lt;&gt;"", (IF('4Replacement Costs - Entry'!V26="Y",((($B25*$D25)*((1+$B$5)^G$7))*(1/((1+$F$5)^G$7))),0)), "")</f>
        <v/>
      </c>
      <c r="H25" s="27" t="str">
        <f>IF($A25&lt;&gt;"", (IF('4Replacement Costs - Entry'!W26="Y",((($B25*$D25)*((1+$B$5)^H$7))*(1/((1+$F$5)^H$7))),0)), "")</f>
        <v/>
      </c>
      <c r="I25" s="27" t="str">
        <f>IF($A25&lt;&gt;"", (IF('4Replacement Costs - Entry'!X26="Y",((($B25*$D25)*((1+$B$5)^I$7))*(1/((1+$F$5)^I$7))),0)), "")</f>
        <v/>
      </c>
    </row>
    <row r="26" spans="1:9">
      <c r="A26" s="29" t="str">
        <f>IF('4Capital Costs'!A27&lt;&gt;"", '4Capital Costs'!A27, "")</f>
        <v/>
      </c>
      <c r="B26" s="3" t="str">
        <f>IF('4Capital Costs'!B27&lt;&gt;"", '4Capital Costs'!B27, "")</f>
        <v/>
      </c>
      <c r="C26" s="46" t="str">
        <f>IF('4Capital Costs'!C27&lt;&gt;"", '4Capital Costs'!C27, "")</f>
        <v/>
      </c>
      <c r="D26" s="47" t="str">
        <f>IF('4Capital Costs'!D27&lt;&gt;"", '4Capital Costs'!D27, "")</f>
        <v/>
      </c>
      <c r="E26" s="27" t="str">
        <f>IF($A26&lt;&gt;"", (IF('4Replacement Costs - Entry'!T27="Y",((($B26*$D26)*((1+$B$5)^E$7))*(1/((1+$F$5)^E$7))),0)), "")</f>
        <v/>
      </c>
      <c r="F26" s="27" t="str">
        <f>IF($A26&lt;&gt;"", (IF('4Replacement Costs - Entry'!U27="Y",((($B26*$D26)*((1+$B$5)^F$7))*(1/((1+$F$5)^F$7))),0)), "")</f>
        <v/>
      </c>
      <c r="G26" s="27" t="str">
        <f>IF($A26&lt;&gt;"", (IF('4Replacement Costs - Entry'!V27="Y",((($B26*$D26)*((1+$B$5)^G$7))*(1/((1+$F$5)^G$7))),0)), "")</f>
        <v/>
      </c>
      <c r="H26" s="27" t="str">
        <f>IF($A26&lt;&gt;"", (IF('4Replacement Costs - Entry'!W27="Y",((($B26*$D26)*((1+$B$5)^H$7))*(1/((1+$F$5)^H$7))),0)), "")</f>
        <v/>
      </c>
      <c r="I26" s="27" t="str">
        <f>IF($A26&lt;&gt;"", (IF('4Replacement Costs - Entry'!X27="Y",((($B26*$D26)*((1+$B$5)^I$7))*(1/((1+$F$5)^I$7))),0)), "")</f>
        <v/>
      </c>
    </row>
    <row r="27" spans="1:9">
      <c r="A27" s="29" t="str">
        <f>IF('4Capital Costs'!A28&lt;&gt;"", '4Capital Costs'!A28, "")</f>
        <v/>
      </c>
      <c r="B27" s="3" t="str">
        <f>IF('4Capital Costs'!B28&lt;&gt;"", '4Capital Costs'!B28, "")</f>
        <v/>
      </c>
      <c r="C27" s="46" t="str">
        <f>IF('4Capital Costs'!C28&lt;&gt;"", '4Capital Costs'!C28, "")</f>
        <v/>
      </c>
      <c r="D27" s="47" t="str">
        <f>IF('4Capital Costs'!D28&lt;&gt;"", '4Capital Costs'!D28, "")</f>
        <v/>
      </c>
      <c r="E27" s="27" t="str">
        <f>IF($A27&lt;&gt;"", (IF('4Replacement Costs - Entry'!T28="Y",((($B27*$D27)*((1+$B$5)^E$7))*(1/((1+$F$5)^E$7))),0)), "")</f>
        <v/>
      </c>
      <c r="F27" s="27" t="str">
        <f>IF($A27&lt;&gt;"", (IF('4Replacement Costs - Entry'!U28="Y",((($B27*$D27)*((1+$B$5)^F$7))*(1/((1+$F$5)^F$7))),0)), "")</f>
        <v/>
      </c>
      <c r="G27" s="27" t="str">
        <f>IF($A27&lt;&gt;"", (IF('4Replacement Costs - Entry'!V28="Y",((($B27*$D27)*((1+$B$5)^G$7))*(1/((1+$F$5)^G$7))),0)), "")</f>
        <v/>
      </c>
      <c r="H27" s="27" t="str">
        <f>IF($A27&lt;&gt;"", (IF('4Replacement Costs - Entry'!W28="Y",((($B27*$D27)*((1+$B$5)^H$7))*(1/((1+$F$5)^H$7))),0)), "")</f>
        <v/>
      </c>
      <c r="I27" s="27" t="str">
        <f>IF($A27&lt;&gt;"", (IF('4Replacement Costs - Entry'!X28="Y",((($B27*$D27)*((1+$B$5)^I$7))*(1/((1+$F$5)^I$7))),0)), "")</f>
        <v/>
      </c>
    </row>
    <row r="28" spans="1:9">
      <c r="A28" s="29" t="str">
        <f>IF('4Capital Costs'!A29&lt;&gt;"", '4Capital Costs'!A29, "")</f>
        <v/>
      </c>
      <c r="B28" s="3" t="str">
        <f>IF('4Capital Costs'!B29&lt;&gt;"", '4Capital Costs'!B29, "")</f>
        <v/>
      </c>
      <c r="C28" s="46" t="str">
        <f>IF('4Capital Costs'!C29&lt;&gt;"", '4Capital Costs'!C29, "")</f>
        <v/>
      </c>
      <c r="D28" s="47" t="str">
        <f>IF('4Capital Costs'!D29&lt;&gt;"", '4Capital Costs'!D29, "")</f>
        <v/>
      </c>
      <c r="E28" s="27" t="str">
        <f>IF($A28&lt;&gt;"", (IF('4Replacement Costs - Entry'!T29="Y",((($B28*$D28)*((1+$B$5)^E$7))*(1/((1+$F$5)^E$7))),0)), "")</f>
        <v/>
      </c>
      <c r="F28" s="27" t="str">
        <f>IF($A28&lt;&gt;"", (IF('4Replacement Costs - Entry'!U29="Y",((($B28*$D28)*((1+$B$5)^F$7))*(1/((1+$F$5)^F$7))),0)), "")</f>
        <v/>
      </c>
      <c r="G28" s="27" t="str">
        <f>IF($A28&lt;&gt;"", (IF('4Replacement Costs - Entry'!V29="Y",((($B28*$D28)*((1+$B$5)^G$7))*(1/((1+$F$5)^G$7))),0)), "")</f>
        <v/>
      </c>
      <c r="H28" s="27" t="str">
        <f>IF($A28&lt;&gt;"", (IF('4Replacement Costs - Entry'!W29="Y",((($B28*$D28)*((1+$B$5)^H$7))*(1/((1+$F$5)^H$7))),0)), "")</f>
        <v/>
      </c>
      <c r="I28" s="27" t="str">
        <f>IF($A28&lt;&gt;"", (IF('4Replacement Costs - Entry'!X29="Y",((($B28*$D28)*((1+$B$5)^I$7))*(1/((1+$F$5)^I$7))),0)), "")</f>
        <v/>
      </c>
    </row>
    <row r="29" spans="1:9">
      <c r="A29" s="29" t="str">
        <f>IF('4Capital Costs'!A30&lt;&gt;"", '4Capital Costs'!A30, "")</f>
        <v/>
      </c>
      <c r="B29" s="3" t="str">
        <f>IF('4Capital Costs'!B30&lt;&gt;"", '4Capital Costs'!B30, "")</f>
        <v/>
      </c>
      <c r="C29" s="46" t="str">
        <f>IF('4Capital Costs'!C30&lt;&gt;"", '4Capital Costs'!C30, "")</f>
        <v/>
      </c>
      <c r="D29" s="47" t="str">
        <f>IF('4Capital Costs'!D30&lt;&gt;"", '4Capital Costs'!D30, "")</f>
        <v/>
      </c>
      <c r="E29" s="27" t="str">
        <f>IF($A29&lt;&gt;"", (IF('4Replacement Costs - Entry'!T30="Y",((($B29*$D29)*((1+$B$5)^E$7))*(1/((1+$F$5)^E$7))),0)), "")</f>
        <v/>
      </c>
      <c r="F29" s="27" t="str">
        <f>IF($A29&lt;&gt;"", (IF('4Replacement Costs - Entry'!U30="Y",((($B29*$D29)*((1+$B$5)^F$7))*(1/((1+$F$5)^F$7))),0)), "")</f>
        <v/>
      </c>
      <c r="G29" s="27" t="str">
        <f>IF($A29&lt;&gt;"", (IF('4Replacement Costs - Entry'!V30="Y",((($B29*$D29)*((1+$B$5)^G$7))*(1/((1+$F$5)^G$7))),0)), "")</f>
        <v/>
      </c>
      <c r="H29" s="27" t="str">
        <f>IF($A29&lt;&gt;"", (IF('4Replacement Costs - Entry'!W30="Y",((($B29*$D29)*((1+$B$5)^H$7))*(1/((1+$F$5)^H$7))),0)), "")</f>
        <v/>
      </c>
      <c r="I29" s="27" t="str">
        <f>IF($A29&lt;&gt;"", (IF('4Replacement Costs - Entry'!X30="Y",((($B29*$D29)*((1+$B$5)^I$7))*(1/((1+$F$5)^I$7))),0)), "")</f>
        <v/>
      </c>
    </row>
    <row r="30" spans="1:9">
      <c r="A30" s="29" t="str">
        <f>IF('4Capital Costs'!A31&lt;&gt;"", '4Capital Costs'!A31, "")</f>
        <v/>
      </c>
      <c r="B30" s="3" t="str">
        <f>IF('4Capital Costs'!B31&lt;&gt;"", '4Capital Costs'!B31, "")</f>
        <v/>
      </c>
      <c r="C30" s="46" t="str">
        <f>IF('4Capital Costs'!C31&lt;&gt;"", '4Capital Costs'!C31, "")</f>
        <v/>
      </c>
      <c r="D30" s="47" t="str">
        <f>IF('4Capital Costs'!D31&lt;&gt;"", '4Capital Costs'!D31, "")</f>
        <v/>
      </c>
      <c r="E30" s="27" t="str">
        <f>IF($A30&lt;&gt;"", (IF('4Replacement Costs - Entry'!T31="Y",((($B30*$D30)*((1+$B$5)^E$7))*(1/((1+$F$5)^E$7))),0)), "")</f>
        <v/>
      </c>
      <c r="F30" s="27" t="str">
        <f>IF($A30&lt;&gt;"", (IF('4Replacement Costs - Entry'!U31="Y",((($B30*$D30)*((1+$B$5)^F$7))*(1/((1+$F$5)^F$7))),0)), "")</f>
        <v/>
      </c>
      <c r="G30" s="27" t="str">
        <f>IF($A30&lt;&gt;"", (IF('4Replacement Costs - Entry'!V31="Y",((($B30*$D30)*((1+$B$5)^G$7))*(1/((1+$F$5)^G$7))),0)), "")</f>
        <v/>
      </c>
      <c r="H30" s="27" t="str">
        <f>IF($A30&lt;&gt;"", (IF('4Replacement Costs - Entry'!W31="Y",((($B30*$D30)*((1+$B$5)^H$7))*(1/((1+$F$5)^H$7))),0)), "")</f>
        <v/>
      </c>
      <c r="I30" s="27" t="str">
        <f>IF($A30&lt;&gt;"", (IF('4Replacement Costs - Entry'!X31="Y",((($B30*$D30)*((1+$B$5)^I$7))*(1/((1+$F$5)^I$7))),0)), "")</f>
        <v/>
      </c>
    </row>
    <row r="31" spans="1:9">
      <c r="A31" s="29" t="str">
        <f>IF('4Capital Costs'!A32&lt;&gt;"", '4Capital Costs'!A32, "")</f>
        <v/>
      </c>
      <c r="B31" s="3" t="str">
        <f>IF('4Capital Costs'!B32&lt;&gt;"", '4Capital Costs'!B32, "")</f>
        <v/>
      </c>
      <c r="C31" s="46" t="str">
        <f>IF('4Capital Costs'!C32&lt;&gt;"", '4Capital Costs'!C32, "")</f>
        <v/>
      </c>
      <c r="D31" s="47" t="str">
        <f>IF('4Capital Costs'!D32&lt;&gt;"", '4Capital Costs'!D32, "")</f>
        <v/>
      </c>
      <c r="E31" s="27" t="str">
        <f>IF($A31&lt;&gt;"", (IF('4Replacement Costs - Entry'!T32="Y",((($B31*$D31)*((1+$B$5)^E$7))*(1/((1+$F$5)^E$7))),0)), "")</f>
        <v/>
      </c>
      <c r="F31" s="27" t="str">
        <f>IF($A31&lt;&gt;"", (IF('4Replacement Costs - Entry'!U32="Y",((($B31*$D31)*((1+$B$5)^F$7))*(1/((1+$F$5)^F$7))),0)), "")</f>
        <v/>
      </c>
      <c r="G31" s="27" t="str">
        <f>IF($A31&lt;&gt;"", (IF('4Replacement Costs - Entry'!V32="Y",((($B31*$D31)*((1+$B$5)^G$7))*(1/((1+$F$5)^G$7))),0)), "")</f>
        <v/>
      </c>
      <c r="H31" s="27" t="str">
        <f>IF($A31&lt;&gt;"", (IF('4Replacement Costs - Entry'!W32="Y",((($B31*$D31)*((1+$B$5)^H$7))*(1/((1+$F$5)^H$7))),0)), "")</f>
        <v/>
      </c>
      <c r="I31" s="27" t="str">
        <f>IF($A31&lt;&gt;"", (IF('4Replacement Costs - Entry'!X32="Y",((($B31*$D31)*((1+$B$5)^I$7))*(1/((1+$F$5)^I$7))),0)), "")</f>
        <v/>
      </c>
    </row>
    <row r="32" spans="1:9">
      <c r="A32" s="29" t="str">
        <f>IF('4Capital Costs'!A33&lt;&gt;"", '4Capital Costs'!A33, "")</f>
        <v/>
      </c>
      <c r="B32" s="3" t="str">
        <f>IF('4Capital Costs'!B33&lt;&gt;"", '4Capital Costs'!B33, "")</f>
        <v/>
      </c>
      <c r="C32" s="46" t="str">
        <f>IF('4Capital Costs'!C33&lt;&gt;"", '4Capital Costs'!C33, "")</f>
        <v/>
      </c>
      <c r="D32" s="47" t="str">
        <f>IF('4Capital Costs'!D33&lt;&gt;"", '4Capital Costs'!D33, "")</f>
        <v/>
      </c>
      <c r="E32" s="27" t="str">
        <f>IF($A32&lt;&gt;"", (IF('4Replacement Costs - Entry'!T33="Y",((($B32*$D32)*((1+$B$5)^E$7))*(1/((1+$F$5)^E$7))),0)), "")</f>
        <v/>
      </c>
      <c r="F32" s="27" t="str">
        <f>IF($A32&lt;&gt;"", (IF('4Replacement Costs - Entry'!U33="Y",((($B32*$D32)*((1+$B$5)^F$7))*(1/((1+$F$5)^F$7))),0)), "")</f>
        <v/>
      </c>
      <c r="G32" s="27" t="str">
        <f>IF($A32&lt;&gt;"", (IF('4Replacement Costs - Entry'!V33="Y",((($B32*$D32)*((1+$B$5)^G$7))*(1/((1+$F$5)^G$7))),0)), "")</f>
        <v/>
      </c>
      <c r="H32" s="27" t="str">
        <f>IF($A32&lt;&gt;"", (IF('4Replacement Costs - Entry'!W33="Y",((($B32*$D32)*((1+$B$5)^H$7))*(1/((1+$F$5)^H$7))),0)), "")</f>
        <v/>
      </c>
      <c r="I32" s="27" t="str">
        <f>IF($A32&lt;&gt;"", (IF('4Replacement Costs - Entry'!X33="Y",((($B32*$D32)*((1+$B$5)^I$7))*(1/((1+$F$5)^I$7))),0)), "")</f>
        <v/>
      </c>
    </row>
    <row r="33" spans="1:9">
      <c r="A33" s="29" t="str">
        <f>IF('4Capital Costs'!A34&lt;&gt;"", '4Capital Costs'!A34, "")</f>
        <v/>
      </c>
      <c r="B33" s="3" t="str">
        <f>IF('4Capital Costs'!B34&lt;&gt;"", '4Capital Costs'!B34, "")</f>
        <v/>
      </c>
      <c r="C33" s="46" t="str">
        <f>IF('4Capital Costs'!C34&lt;&gt;"", '4Capital Costs'!C34, "")</f>
        <v/>
      </c>
      <c r="D33" s="47" t="str">
        <f>IF('4Capital Costs'!D34&lt;&gt;"", '4Capital Costs'!D34, "")</f>
        <v/>
      </c>
      <c r="E33" s="27" t="str">
        <f>IF($A33&lt;&gt;"", (IF('4Replacement Costs - Entry'!T34="Y",((($B33*$D33)*((1+$B$5)^E$7))*(1/((1+$F$5)^E$7))),0)), "")</f>
        <v/>
      </c>
      <c r="F33" s="27" t="str">
        <f>IF($A33&lt;&gt;"", (IF('4Replacement Costs - Entry'!U34="Y",((($B33*$D33)*((1+$B$5)^F$7))*(1/((1+$F$5)^F$7))),0)), "")</f>
        <v/>
      </c>
      <c r="G33" s="27" t="str">
        <f>IF($A33&lt;&gt;"", (IF('4Replacement Costs - Entry'!V34="Y",((($B33*$D33)*((1+$B$5)^G$7))*(1/((1+$F$5)^G$7))),0)), "")</f>
        <v/>
      </c>
      <c r="H33" s="27" t="str">
        <f>IF($A33&lt;&gt;"", (IF('4Replacement Costs - Entry'!W34="Y",((($B33*$D33)*((1+$B$5)^H$7))*(1/((1+$F$5)^H$7))),0)), "")</f>
        <v/>
      </c>
      <c r="I33" s="27" t="str">
        <f>IF($A33&lt;&gt;"", (IF('4Replacement Costs - Entry'!X34="Y",((($B33*$D33)*((1+$B$5)^I$7))*(1/((1+$F$5)^I$7))),0)), "")</f>
        <v/>
      </c>
    </row>
    <row r="34" spans="1:9">
      <c r="A34" s="29" t="str">
        <f>IF('4Capital Costs'!A35&lt;&gt;"", '4Capital Costs'!A35, "")</f>
        <v/>
      </c>
      <c r="B34" s="3" t="str">
        <f>IF('4Capital Costs'!B35&lt;&gt;"", '4Capital Costs'!B35, "")</f>
        <v/>
      </c>
      <c r="C34" s="46" t="str">
        <f>IF('4Capital Costs'!C35&lt;&gt;"", '4Capital Costs'!C35, "")</f>
        <v/>
      </c>
      <c r="D34" s="47" t="str">
        <f>IF('4Capital Costs'!D35&lt;&gt;"", '4Capital Costs'!D35, "")</f>
        <v/>
      </c>
      <c r="E34" s="27" t="str">
        <f>IF($A34&lt;&gt;"", (IF('4Replacement Costs - Entry'!T35="Y",((($B34*$D34)*((1+$B$5)^E$7))*(1/((1+$F$5)^E$7))),0)), "")</f>
        <v/>
      </c>
      <c r="F34" s="27" t="str">
        <f>IF($A34&lt;&gt;"", (IF('4Replacement Costs - Entry'!U35="Y",((($B34*$D34)*((1+$B$5)^F$7))*(1/((1+$F$5)^F$7))),0)), "")</f>
        <v/>
      </c>
      <c r="G34" s="27" t="str">
        <f>IF($A34&lt;&gt;"", (IF('4Replacement Costs - Entry'!V35="Y",((($B34*$D34)*((1+$B$5)^G$7))*(1/((1+$F$5)^G$7))),0)), "")</f>
        <v/>
      </c>
      <c r="H34" s="27" t="str">
        <f>IF($A34&lt;&gt;"", (IF('4Replacement Costs - Entry'!W35="Y",((($B34*$D34)*((1+$B$5)^H$7))*(1/((1+$F$5)^H$7))),0)), "")</f>
        <v/>
      </c>
      <c r="I34" s="27" t="str">
        <f>IF($A34&lt;&gt;"", (IF('4Replacement Costs - Entry'!X35="Y",((($B34*$D34)*((1+$B$5)^I$7))*(1/((1+$F$5)^I$7))),0)), "")</f>
        <v/>
      </c>
    </row>
    <row r="35" spans="1:9">
      <c r="A35" s="29" t="str">
        <f>IF('4Capital Costs'!A36&lt;&gt;"", '4Capital Costs'!A36, "")</f>
        <v/>
      </c>
      <c r="B35" s="3" t="str">
        <f>IF('4Capital Costs'!B36&lt;&gt;"", '4Capital Costs'!B36, "")</f>
        <v/>
      </c>
      <c r="C35" s="46" t="str">
        <f>IF('4Capital Costs'!C36&lt;&gt;"", '4Capital Costs'!C36, "")</f>
        <v/>
      </c>
      <c r="D35" s="47" t="str">
        <f>IF('4Capital Costs'!D36&lt;&gt;"", '4Capital Costs'!D36, "")</f>
        <v/>
      </c>
      <c r="E35" s="27" t="str">
        <f>IF($A35&lt;&gt;"", (IF('4Replacement Costs - Entry'!T36="Y",((($B35*$D35)*((1+$B$5)^E$7))*(1/((1+$F$5)^E$7))),0)), "")</f>
        <v/>
      </c>
      <c r="F35" s="27" t="str">
        <f>IF($A35&lt;&gt;"", (IF('4Replacement Costs - Entry'!U36="Y",((($B35*$D35)*((1+$B$5)^F$7))*(1/((1+$F$5)^F$7))),0)), "")</f>
        <v/>
      </c>
      <c r="G35" s="27" t="str">
        <f>IF($A35&lt;&gt;"", (IF('4Replacement Costs - Entry'!V36="Y",((($B35*$D35)*((1+$B$5)^G$7))*(1/((1+$F$5)^G$7))),0)), "")</f>
        <v/>
      </c>
      <c r="H35" s="27" t="str">
        <f>IF($A35&lt;&gt;"", (IF('4Replacement Costs - Entry'!W36="Y",((($B35*$D35)*((1+$B$5)^H$7))*(1/((1+$F$5)^H$7))),0)), "")</f>
        <v/>
      </c>
      <c r="I35" s="27" t="str">
        <f>IF($A35&lt;&gt;"", (IF('4Replacement Costs - Entry'!X36="Y",((($B35*$D35)*((1+$B$5)^I$7))*(1/((1+$F$5)^I$7))),0)), "")</f>
        <v/>
      </c>
    </row>
    <row r="36" spans="1:9">
      <c r="A36" s="29" t="str">
        <f>IF('4Capital Costs'!A37&lt;&gt;"", '4Capital Costs'!A37, "")</f>
        <v/>
      </c>
      <c r="B36" s="3" t="str">
        <f>IF('4Capital Costs'!B37&lt;&gt;"", '4Capital Costs'!B37, "")</f>
        <v/>
      </c>
      <c r="C36" s="46" t="str">
        <f>IF('4Capital Costs'!C37&lt;&gt;"", '4Capital Costs'!C37, "")</f>
        <v/>
      </c>
      <c r="D36" s="47" t="str">
        <f>IF('4Capital Costs'!D37&lt;&gt;"", '4Capital Costs'!D37, "")</f>
        <v/>
      </c>
      <c r="E36" s="27" t="str">
        <f>IF($A36&lt;&gt;"", (IF('4Replacement Costs - Entry'!T37="Y",((($B36*$D36)*((1+$B$5)^E$7))*(1/((1+$F$5)^E$7))),0)), "")</f>
        <v/>
      </c>
      <c r="F36" s="27" t="str">
        <f>IF($A36&lt;&gt;"", (IF('4Replacement Costs - Entry'!U37="Y",((($B36*$D36)*((1+$B$5)^F$7))*(1/((1+$F$5)^F$7))),0)), "")</f>
        <v/>
      </c>
      <c r="G36" s="27" t="str">
        <f>IF($A36&lt;&gt;"", (IF('4Replacement Costs - Entry'!V37="Y",((($B36*$D36)*((1+$B$5)^G$7))*(1/((1+$F$5)^G$7))),0)), "")</f>
        <v/>
      </c>
      <c r="H36" s="27" t="str">
        <f>IF($A36&lt;&gt;"", (IF('4Replacement Costs - Entry'!W37="Y",((($B36*$D36)*((1+$B$5)^H$7))*(1/((1+$F$5)^H$7))),0)), "")</f>
        <v/>
      </c>
      <c r="I36" s="27" t="str">
        <f>IF($A36&lt;&gt;"", (IF('4Replacement Costs - Entry'!X37="Y",((($B36*$D36)*((1+$B$5)^I$7))*(1/((1+$F$5)^I$7))),0)), "")</f>
        <v/>
      </c>
    </row>
    <row r="37" spans="1:9">
      <c r="A37" s="23"/>
      <c r="B37" s="23"/>
      <c r="C37" s="23"/>
      <c r="D37" s="36" t="s">
        <v>47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E22" sqref="E2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169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'4Capital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'4Replace Costs-Results 11-15'!A5</f>
        <v>Current Inflation Rate based on Construction Cost Index:</v>
      </c>
      <c r="B5" s="69">
        <f>'4Replace Costs-Results 11-15'!B5</f>
        <v>2.0671834625323047E-2</v>
      </c>
      <c r="C5" s="67"/>
      <c r="D5" s="67"/>
      <c r="E5" s="70" t="s">
        <v>43</v>
      </c>
      <c r="F5" s="72">
        <f>'4Replace Costs-Results 11-15'!F5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16</v>
      </c>
      <c r="F7" s="26">
        <v>17</v>
      </c>
      <c r="G7" s="26">
        <v>18</v>
      </c>
      <c r="H7" s="26">
        <v>19</v>
      </c>
      <c r="I7" s="26">
        <v>20</v>
      </c>
    </row>
    <row r="8" spans="1:9">
      <c r="A8" s="29" t="str">
        <f>IF('4Capital Costs'!A9&lt;&gt;"", '4Capital Costs'!A9, "")</f>
        <v/>
      </c>
      <c r="B8" s="3" t="str">
        <f>IF('4Capital Costs'!B9&lt;&gt;"", '4Capital Costs'!B9, "")</f>
        <v/>
      </c>
      <c r="C8" s="46" t="str">
        <f>IF('4Capital Costs'!C9&lt;&gt;"", '4Capital Costs'!C9, "")</f>
        <v/>
      </c>
      <c r="D8" s="47" t="str">
        <f>IF('4Capital Costs'!D9&lt;&gt;"", '4Capital Costs'!D9, "")</f>
        <v/>
      </c>
      <c r="E8" s="27" t="str">
        <f>IF($A8&lt;&gt;"", (IF('4Replacement Costs - Entry'!Y9="Y",((($B8*$D8)*((1+$B$5)^E$7))*(1/((1+$F$5)^E$7))),0)), "")</f>
        <v/>
      </c>
      <c r="F8" s="27" t="str">
        <f>IF($A8&lt;&gt;"", (IF('4Replacement Costs - Entry'!Z9="Y",((($B8*$D8)*((1+$B$5)^F$7))*(1/((1+$F$5)^F$7))),0)), "")</f>
        <v/>
      </c>
      <c r="G8" s="27" t="str">
        <f>IF($A8&lt;&gt;"", (IF('4Replacement Costs - Entry'!AA9="Y",((($B8*$D8)*((1+$B$5)^G$7))*(1/((1+$F$5)^G$7))),0)), "")</f>
        <v/>
      </c>
      <c r="H8" s="27" t="str">
        <f>IF($A8&lt;&gt;"", (IF('4Replacement Costs - Entry'!AB9="Y",((($B8*$D8)*((1+$B$5)^H$7))*(1/((1+$F$5)^H$7))),0)), "")</f>
        <v/>
      </c>
      <c r="I8" s="27" t="str">
        <f>IF($A8&lt;&gt;"", (IF('4Replacement Costs - Entry'!AC9="Y",((($B8*$D8)*((1+$B$5)^I$7))*(1/((1+$F$5)^I$7))),0)), "")</f>
        <v/>
      </c>
    </row>
    <row r="9" spans="1:9">
      <c r="A9" s="29" t="str">
        <f>IF('4Capital Costs'!A10&lt;&gt;"", '4Capital Costs'!A10, "")</f>
        <v/>
      </c>
      <c r="B9" s="3" t="str">
        <f>IF('4Capital Costs'!B10&lt;&gt;"", '4Capital Costs'!B10, "")</f>
        <v/>
      </c>
      <c r="C9" s="46" t="str">
        <f>IF('4Capital Costs'!C10&lt;&gt;"", '4Capital Costs'!C10, "")</f>
        <v/>
      </c>
      <c r="D9" s="47" t="str">
        <f>IF('4Capital Costs'!D10&lt;&gt;"", '4Capital Costs'!D10, "")</f>
        <v/>
      </c>
      <c r="E9" s="27" t="str">
        <f>IF($A9&lt;&gt;"", (IF('4Replacement Costs - Entry'!Y10="Y",((($B9*$D9)*((1+$B$5)^E$7))*(1/((1+$F$5)^E$7))),0)), "")</f>
        <v/>
      </c>
      <c r="F9" s="27" t="str">
        <f>IF($A9&lt;&gt;"", (IF('4Replacement Costs - Entry'!Z10="Y",((($B9*$D9)*((1+$B$5)^F$7))*(1/((1+$F$5)^F$7))),0)), "")</f>
        <v/>
      </c>
      <c r="G9" s="27" t="str">
        <f>IF($A9&lt;&gt;"", (IF('4Replacement Costs - Entry'!AA10="Y",((($B9*$D9)*((1+$B$5)^G$7))*(1/((1+$F$5)^G$7))),0)), "")</f>
        <v/>
      </c>
      <c r="H9" s="27" t="str">
        <f>IF($A9&lt;&gt;"", (IF('4Replacement Costs - Entry'!AB10="Y",((($B9*$D9)*((1+$B$5)^H$7))*(1/((1+$F$5)^H$7))),0)), "")</f>
        <v/>
      </c>
      <c r="I9" s="27" t="str">
        <f>IF($A9&lt;&gt;"", (IF('4Replacement Costs - Entry'!AC10="Y",((($B9*$D9)*((1+$B$5)^I$7))*(1/((1+$F$5)^I$7))),0)), "")</f>
        <v/>
      </c>
    </row>
    <row r="10" spans="1:9">
      <c r="A10" s="29" t="str">
        <f>IF('4Capital Costs'!A11&lt;&gt;"", '4Capital Costs'!A11, "")</f>
        <v/>
      </c>
      <c r="B10" s="3" t="str">
        <f>IF('4Capital Costs'!B11&lt;&gt;"", '4Capital Costs'!B11, "")</f>
        <v/>
      </c>
      <c r="C10" s="46" t="str">
        <f>IF('4Capital Costs'!C11&lt;&gt;"", '4Capital Costs'!C11, "")</f>
        <v/>
      </c>
      <c r="D10" s="47" t="str">
        <f>IF('4Capital Costs'!D11&lt;&gt;"", '4Capital Costs'!D11, "")</f>
        <v/>
      </c>
      <c r="E10" s="27" t="str">
        <f>IF($A10&lt;&gt;"", (IF('4Replacement Costs - Entry'!Y11="Y",((($B10*$D10)*((1+$B$5)^E$7))*(1/((1+$F$5)^E$7))),0)), "")</f>
        <v/>
      </c>
      <c r="F10" s="27" t="str">
        <f>IF($A10&lt;&gt;"", (IF('4Replacement Costs - Entry'!Z11="Y",((($B10*$D10)*((1+$B$5)^F$7))*(1/((1+$F$5)^F$7))),0)), "")</f>
        <v/>
      </c>
      <c r="G10" s="27" t="str">
        <f>IF($A10&lt;&gt;"", (IF('4Replacement Costs - Entry'!AA11="Y",((($B10*$D10)*((1+$B$5)^G$7))*(1/((1+$F$5)^G$7))),0)), "")</f>
        <v/>
      </c>
      <c r="H10" s="27" t="str">
        <f>IF($A10&lt;&gt;"", (IF('4Replacement Costs - Entry'!AB11="Y",((($B10*$D10)*((1+$B$5)^H$7))*(1/((1+$F$5)^H$7))),0)), "")</f>
        <v/>
      </c>
      <c r="I10" s="27" t="str">
        <f>IF($A10&lt;&gt;"", (IF('4Replacement Costs - Entry'!AC11="Y",((($B10*$D10)*((1+$B$5)^I$7))*(1/((1+$F$5)^I$7))),0)), "")</f>
        <v/>
      </c>
    </row>
    <row r="11" spans="1:9">
      <c r="A11" s="29" t="str">
        <f>IF('4Capital Costs'!A12&lt;&gt;"", '4Capital Costs'!A12, "")</f>
        <v/>
      </c>
      <c r="B11" s="3" t="str">
        <f>IF('4Capital Costs'!B12&lt;&gt;"", '4Capital Costs'!B12, "")</f>
        <v/>
      </c>
      <c r="C11" s="46" t="str">
        <f>IF('4Capital Costs'!C12&lt;&gt;"", '4Capital Costs'!C12, "")</f>
        <v/>
      </c>
      <c r="D11" s="47" t="str">
        <f>IF('4Capital Costs'!D12&lt;&gt;"", '4Capital Costs'!D12, "")</f>
        <v/>
      </c>
      <c r="E11" s="27" t="str">
        <f>IF($A11&lt;&gt;"", (IF('4Replacement Costs - Entry'!Y12="Y",((($B11*$D11)*((1+$B$5)^E$7))*(1/((1+$F$5)^E$7))),0)), "")</f>
        <v/>
      </c>
      <c r="F11" s="27" t="str">
        <f>IF($A11&lt;&gt;"", (IF('4Replacement Costs - Entry'!Z12="Y",((($B11*$D11)*((1+$B$5)^F$7))*(1/((1+$F$5)^F$7))),0)), "")</f>
        <v/>
      </c>
      <c r="G11" s="27" t="str">
        <f>IF($A11&lt;&gt;"", (IF('4Replacement Costs - Entry'!AA12="Y",((($B11*$D11)*((1+$B$5)^G$7))*(1/((1+$F$5)^G$7))),0)), "")</f>
        <v/>
      </c>
      <c r="H11" s="27" t="str">
        <f>IF($A11&lt;&gt;"", (IF('4Replacement Costs - Entry'!AB12="Y",((($B11*$D11)*((1+$B$5)^H$7))*(1/((1+$F$5)^H$7))),0)), "")</f>
        <v/>
      </c>
      <c r="I11" s="27" t="str">
        <f>IF($A11&lt;&gt;"", (IF('4Replacement Costs - Entry'!AC12="Y",((($B11*$D11)*((1+$B$5)^I$7))*(1/((1+$F$5)^I$7))),0)), "")</f>
        <v/>
      </c>
    </row>
    <row r="12" spans="1:9">
      <c r="A12" s="29" t="str">
        <f>IF('4Capital Costs'!A13&lt;&gt;"", '4Capital Costs'!A13, "")</f>
        <v/>
      </c>
      <c r="B12" s="3" t="str">
        <f>IF('4Capital Costs'!B13&lt;&gt;"", '4Capital Costs'!B13, "")</f>
        <v/>
      </c>
      <c r="C12" s="46" t="str">
        <f>IF('4Capital Costs'!C13&lt;&gt;"", '4Capital Costs'!C13, "")</f>
        <v/>
      </c>
      <c r="D12" s="47" t="str">
        <f>IF('4Capital Costs'!D13&lt;&gt;"", '4Capital Costs'!D13, "")</f>
        <v/>
      </c>
      <c r="E12" s="27" t="str">
        <f>IF($A12&lt;&gt;"", (IF('4Replacement Costs - Entry'!Y13="Y",((($B12*$D12)*((1+$B$5)^E$7))*(1/((1+$F$5)^E$7))),0)), "")</f>
        <v/>
      </c>
      <c r="F12" s="27" t="str">
        <f>IF($A12&lt;&gt;"", (IF('4Replacement Costs - Entry'!Z13="Y",((($B12*$D12)*((1+$B$5)^F$7))*(1/((1+$F$5)^F$7))),0)), "")</f>
        <v/>
      </c>
      <c r="G12" s="27" t="str">
        <f>IF($A12&lt;&gt;"", (IF('4Replacement Costs - Entry'!AA13="Y",((($B12*$D12)*((1+$B$5)^G$7))*(1/((1+$F$5)^G$7))),0)), "")</f>
        <v/>
      </c>
      <c r="H12" s="27" t="str">
        <f>IF($A12&lt;&gt;"", (IF('4Replacement Costs - Entry'!AB13="Y",((($B12*$D12)*((1+$B$5)^H$7))*(1/((1+$F$5)^H$7))),0)), "")</f>
        <v/>
      </c>
      <c r="I12" s="27" t="str">
        <f>IF($A12&lt;&gt;"", (IF('4Replacement Costs - Entry'!AC13="Y",((($B12*$D12)*((1+$B$5)^I$7))*(1/((1+$F$5)^I$7))),0)), "")</f>
        <v/>
      </c>
    </row>
    <row r="13" spans="1:9">
      <c r="A13" s="29" t="str">
        <f>IF('4Capital Costs'!A14&lt;&gt;"", '4Capital Costs'!A14, "")</f>
        <v/>
      </c>
      <c r="B13" s="3" t="str">
        <f>IF('4Capital Costs'!B14&lt;&gt;"", '4Capital Costs'!B14, "")</f>
        <v/>
      </c>
      <c r="C13" s="46" t="str">
        <f>IF('4Capital Costs'!C14&lt;&gt;"", '4Capital Costs'!C14, "")</f>
        <v/>
      </c>
      <c r="D13" s="47" t="str">
        <f>IF('4Capital Costs'!D14&lt;&gt;"", '4Capital Costs'!D14, "")</f>
        <v/>
      </c>
      <c r="E13" s="27" t="str">
        <f>IF($A13&lt;&gt;"", (IF('4Replacement Costs - Entry'!Y14="Y",((($B13*$D13)*((1+$B$5)^E$7))*(1/((1+$F$5)^E$7))),0)), "")</f>
        <v/>
      </c>
      <c r="F13" s="27" t="str">
        <f>IF($A13&lt;&gt;"", (IF('4Replacement Costs - Entry'!Z14="Y",((($B13*$D13)*((1+$B$5)^F$7))*(1/((1+$F$5)^F$7))),0)), "")</f>
        <v/>
      </c>
      <c r="G13" s="27" t="str">
        <f>IF($A13&lt;&gt;"", (IF('4Replacement Costs - Entry'!AA14="Y",((($B13*$D13)*((1+$B$5)^G$7))*(1/((1+$F$5)^G$7))),0)), "")</f>
        <v/>
      </c>
      <c r="H13" s="27" t="str">
        <f>IF($A13&lt;&gt;"", (IF('4Replacement Costs - Entry'!AB14="Y",((($B13*$D13)*((1+$B$5)^H$7))*(1/((1+$F$5)^H$7))),0)), "")</f>
        <v/>
      </c>
      <c r="I13" s="27" t="str">
        <f>IF($A13&lt;&gt;"", (IF('4Replacement Costs - Entry'!AC14="Y",((($B13*$D13)*((1+$B$5)^I$7))*(1/((1+$F$5)^I$7))),0)), "")</f>
        <v/>
      </c>
    </row>
    <row r="14" spans="1:9">
      <c r="A14" s="29" t="str">
        <f>IF('4Capital Costs'!A15&lt;&gt;"", '4Capital Costs'!A15, "")</f>
        <v/>
      </c>
      <c r="B14" s="3" t="str">
        <f>IF('4Capital Costs'!B15&lt;&gt;"", '4Capital Costs'!B15, "")</f>
        <v/>
      </c>
      <c r="C14" s="46" t="str">
        <f>IF('4Capital Costs'!C15&lt;&gt;"", '4Capital Costs'!C15, "")</f>
        <v/>
      </c>
      <c r="D14" s="47" t="str">
        <f>IF('4Capital Costs'!D15&lt;&gt;"", '4Capital Costs'!D15, "")</f>
        <v/>
      </c>
      <c r="E14" s="27" t="str">
        <f>IF($A14&lt;&gt;"", (IF('4Replacement Costs - Entry'!Y15="Y",((($B14*$D14)*((1+$B$5)^E$7))*(1/((1+$F$5)^E$7))),0)), "")</f>
        <v/>
      </c>
      <c r="F14" s="27" t="str">
        <f>IF($A14&lt;&gt;"", (IF('4Replacement Costs - Entry'!Z15="Y",((($B14*$D14)*((1+$B$5)^F$7))*(1/((1+$F$5)^F$7))),0)), "")</f>
        <v/>
      </c>
      <c r="G14" s="27" t="str">
        <f>IF($A14&lt;&gt;"", (IF('4Replacement Costs - Entry'!AA15="Y",((($B14*$D14)*((1+$B$5)^G$7))*(1/((1+$F$5)^G$7))),0)), "")</f>
        <v/>
      </c>
      <c r="H14" s="27" t="str">
        <f>IF($A14&lt;&gt;"", (IF('4Replacement Costs - Entry'!AB15="Y",((($B14*$D14)*((1+$B$5)^H$7))*(1/((1+$F$5)^H$7))),0)), "")</f>
        <v/>
      </c>
      <c r="I14" s="27" t="str">
        <f>IF($A14&lt;&gt;"", (IF('4Replacement Costs - Entry'!AC15="Y",((($B14*$D14)*((1+$B$5)^I$7))*(1/((1+$F$5)^I$7))),0)), "")</f>
        <v/>
      </c>
    </row>
    <row r="15" spans="1:9">
      <c r="A15" s="29" t="str">
        <f>IF('4Capital Costs'!A16&lt;&gt;"", '4Capital Costs'!A16, "")</f>
        <v/>
      </c>
      <c r="B15" s="3" t="str">
        <f>IF('4Capital Costs'!B16&lt;&gt;"", '4Capital Costs'!B16, "")</f>
        <v/>
      </c>
      <c r="C15" s="46" t="str">
        <f>IF('4Capital Costs'!C16&lt;&gt;"", '4Capital Costs'!C16, "")</f>
        <v/>
      </c>
      <c r="D15" s="47" t="str">
        <f>IF('4Capital Costs'!D16&lt;&gt;"", '4Capital Costs'!D16, "")</f>
        <v/>
      </c>
      <c r="E15" s="27" t="str">
        <f>IF($A15&lt;&gt;"", (IF('4Replacement Costs - Entry'!Y16="Y",((($B15*$D15)*((1+$B$5)^E$7))*(1/((1+$F$5)^E$7))),0)), "")</f>
        <v/>
      </c>
      <c r="F15" s="27" t="str">
        <f>IF($A15&lt;&gt;"", (IF('4Replacement Costs - Entry'!Z16="Y",((($B15*$D15)*((1+$B$5)^F$7))*(1/((1+$F$5)^F$7))),0)), "")</f>
        <v/>
      </c>
      <c r="G15" s="27" t="str">
        <f>IF($A15&lt;&gt;"", (IF('4Replacement Costs - Entry'!AA16="Y",((($B15*$D15)*((1+$B$5)^G$7))*(1/((1+$F$5)^G$7))),0)), "")</f>
        <v/>
      </c>
      <c r="H15" s="27" t="str">
        <f>IF($A15&lt;&gt;"", (IF('4Replacement Costs - Entry'!AB16="Y",((($B15*$D15)*((1+$B$5)^H$7))*(1/((1+$F$5)^H$7))),0)), "")</f>
        <v/>
      </c>
      <c r="I15" s="27" t="str">
        <f>IF($A15&lt;&gt;"", (IF('4Replacement Costs - Entry'!AC16="Y",((($B15*$D15)*((1+$B$5)^I$7))*(1/((1+$F$5)^I$7))),0)), "")</f>
        <v/>
      </c>
    </row>
    <row r="16" spans="1:9">
      <c r="A16" s="29" t="str">
        <f>IF('4Capital Costs'!A17&lt;&gt;"", '4Capital Costs'!A17, "")</f>
        <v/>
      </c>
      <c r="B16" s="3" t="str">
        <f>IF('4Capital Costs'!B17&lt;&gt;"", '4Capital Costs'!B17, "")</f>
        <v/>
      </c>
      <c r="C16" s="46" t="str">
        <f>IF('4Capital Costs'!C17&lt;&gt;"", '4Capital Costs'!C17, "")</f>
        <v/>
      </c>
      <c r="D16" s="47" t="str">
        <f>IF('4Capital Costs'!D17&lt;&gt;"", '4Capital Costs'!D17, "")</f>
        <v/>
      </c>
      <c r="E16" s="27" t="str">
        <f>IF($A16&lt;&gt;"", (IF('4Replacement Costs - Entry'!Y17="Y",((($B16*$D16)*((1+$B$5)^E$7))*(1/((1+$F$5)^E$7))),0)), "")</f>
        <v/>
      </c>
      <c r="F16" s="27" t="str">
        <f>IF($A16&lt;&gt;"", (IF('4Replacement Costs - Entry'!Z17="Y",((($B16*$D16)*((1+$B$5)^F$7))*(1/((1+$F$5)^F$7))),0)), "")</f>
        <v/>
      </c>
      <c r="G16" s="27" t="str">
        <f>IF($A16&lt;&gt;"", (IF('4Replacement Costs - Entry'!AA17="Y",((($B16*$D16)*((1+$B$5)^G$7))*(1/((1+$F$5)^G$7))),0)), "")</f>
        <v/>
      </c>
      <c r="H16" s="27" t="str">
        <f>IF($A16&lt;&gt;"", (IF('4Replacement Costs - Entry'!AB17="Y",((($B16*$D16)*((1+$B$5)^H$7))*(1/((1+$F$5)^H$7))),0)), "")</f>
        <v/>
      </c>
      <c r="I16" s="27" t="str">
        <f>IF($A16&lt;&gt;"", (IF('4Replacement Costs - Entry'!AC17="Y",((($B16*$D16)*((1+$B$5)^I$7))*(1/((1+$F$5)^I$7))),0)), "")</f>
        <v/>
      </c>
    </row>
    <row r="17" spans="1:9">
      <c r="A17" s="29" t="str">
        <f>IF('4Capital Costs'!A18&lt;&gt;"", '4Capital Costs'!A18, "")</f>
        <v/>
      </c>
      <c r="B17" s="3" t="str">
        <f>IF('4Capital Costs'!B18&lt;&gt;"", '4Capital Costs'!B18, "")</f>
        <v/>
      </c>
      <c r="C17" s="46" t="str">
        <f>IF('4Capital Costs'!C18&lt;&gt;"", '4Capital Costs'!C18, "")</f>
        <v/>
      </c>
      <c r="D17" s="47" t="str">
        <f>IF('4Capital Costs'!D18&lt;&gt;"", '4Capital Costs'!D18, "")</f>
        <v/>
      </c>
      <c r="E17" s="27" t="str">
        <f>IF($A17&lt;&gt;"", (IF('4Replacement Costs - Entry'!Y18="Y",((($B17*$D17)*((1+$B$5)^E$7))*(1/((1+$F$5)^E$7))),0)), "")</f>
        <v/>
      </c>
      <c r="F17" s="27" t="str">
        <f>IF($A17&lt;&gt;"", (IF('4Replacement Costs - Entry'!Z18="Y",((($B17*$D17)*((1+$B$5)^F$7))*(1/((1+$F$5)^F$7))),0)), "")</f>
        <v/>
      </c>
      <c r="G17" s="27" t="str">
        <f>IF($A17&lt;&gt;"", (IF('4Replacement Costs - Entry'!AA18="Y",((($B17*$D17)*((1+$B$5)^G$7))*(1/((1+$F$5)^G$7))),0)), "")</f>
        <v/>
      </c>
      <c r="H17" s="27" t="str">
        <f>IF($A17&lt;&gt;"", (IF('4Replacement Costs - Entry'!AB18="Y",((($B17*$D17)*((1+$B$5)^H$7))*(1/((1+$F$5)^H$7))),0)), "")</f>
        <v/>
      </c>
      <c r="I17" s="27" t="str">
        <f>IF($A17&lt;&gt;"", (IF('4Replacement Costs - Entry'!AC18="Y",((($B17*$D17)*((1+$B$5)^I$7))*(1/((1+$F$5)^I$7))),0)), "")</f>
        <v/>
      </c>
    </row>
    <row r="18" spans="1:9">
      <c r="A18" s="29" t="str">
        <f>IF('4Capital Costs'!A19&lt;&gt;"", '4Capital Costs'!A19, "")</f>
        <v/>
      </c>
      <c r="B18" s="3" t="str">
        <f>IF('4Capital Costs'!B19&lt;&gt;"", '4Capital Costs'!B19, "")</f>
        <v/>
      </c>
      <c r="C18" s="46" t="str">
        <f>IF('4Capital Costs'!C19&lt;&gt;"", '4Capital Costs'!C19, "")</f>
        <v/>
      </c>
      <c r="D18" s="47" t="str">
        <f>IF('4Capital Costs'!D19&lt;&gt;"", '4Capital Costs'!D19, "")</f>
        <v/>
      </c>
      <c r="E18" s="27" t="str">
        <f>IF($A18&lt;&gt;"", (IF('4Replacement Costs - Entry'!Y19="Y",((($B18*$D18)*((1+$B$5)^E$7))*(1/((1+$F$5)^E$7))),0)), "")</f>
        <v/>
      </c>
      <c r="F18" s="27" t="str">
        <f>IF($A18&lt;&gt;"", (IF('4Replacement Costs - Entry'!Z19="Y",((($B18*$D18)*((1+$B$5)^F$7))*(1/((1+$F$5)^F$7))),0)), "")</f>
        <v/>
      </c>
      <c r="G18" s="27" t="str">
        <f>IF($A18&lt;&gt;"", (IF('4Replacement Costs - Entry'!AA19="Y",((($B18*$D18)*((1+$B$5)^G$7))*(1/((1+$F$5)^G$7))),0)), "")</f>
        <v/>
      </c>
      <c r="H18" s="27" t="str">
        <f>IF($A18&lt;&gt;"", (IF('4Replacement Costs - Entry'!AB19="Y",((($B18*$D18)*((1+$B$5)^H$7))*(1/((1+$F$5)^H$7))),0)), "")</f>
        <v/>
      </c>
      <c r="I18" s="27" t="str">
        <f>IF($A18&lt;&gt;"", (IF('4Replacement Costs - Entry'!AC19="Y",((($B18*$D18)*((1+$B$5)^I$7))*(1/((1+$F$5)^I$7))),0)), "")</f>
        <v/>
      </c>
    </row>
    <row r="19" spans="1:9">
      <c r="A19" s="29" t="str">
        <f>IF('4Capital Costs'!A20&lt;&gt;"", '4Capital Costs'!A20, "")</f>
        <v/>
      </c>
      <c r="B19" s="3" t="str">
        <f>IF('4Capital Costs'!B20&lt;&gt;"", '4Capital Costs'!B20, "")</f>
        <v/>
      </c>
      <c r="C19" s="46" t="str">
        <f>IF('4Capital Costs'!C20&lt;&gt;"", '4Capital Costs'!C20, "")</f>
        <v/>
      </c>
      <c r="D19" s="47" t="str">
        <f>IF('4Capital Costs'!D20&lt;&gt;"", '4Capital Costs'!D20, "")</f>
        <v/>
      </c>
      <c r="E19" s="27" t="str">
        <f>IF($A19&lt;&gt;"", (IF('4Replacement Costs - Entry'!Y20="Y",((($B19*$D19)*((1+$B$5)^E$7))*(1/((1+$F$5)^E$7))),0)), "")</f>
        <v/>
      </c>
      <c r="F19" s="27" t="str">
        <f>IF($A19&lt;&gt;"", (IF('4Replacement Costs - Entry'!Z20="Y",((($B19*$D19)*((1+$B$5)^F$7))*(1/((1+$F$5)^F$7))),0)), "")</f>
        <v/>
      </c>
      <c r="G19" s="27" t="str">
        <f>IF($A19&lt;&gt;"", (IF('4Replacement Costs - Entry'!AA20="Y",((($B19*$D19)*((1+$B$5)^G$7))*(1/((1+$F$5)^G$7))),0)), "")</f>
        <v/>
      </c>
      <c r="H19" s="27" t="str">
        <f>IF($A19&lt;&gt;"", (IF('4Replacement Costs - Entry'!AB20="Y",((($B19*$D19)*((1+$B$5)^H$7))*(1/((1+$F$5)^H$7))),0)), "")</f>
        <v/>
      </c>
      <c r="I19" s="27" t="str">
        <f>IF($A19&lt;&gt;"", (IF('4Replacement Costs - Entry'!AC20="Y",((($B19*$D19)*((1+$B$5)^I$7))*(1/((1+$F$5)^I$7))),0)), "")</f>
        <v/>
      </c>
    </row>
    <row r="20" spans="1:9">
      <c r="A20" s="29" t="str">
        <f>IF('4Capital Costs'!A21&lt;&gt;"", '4Capital Costs'!A21, "")</f>
        <v/>
      </c>
      <c r="B20" s="3" t="str">
        <f>IF('4Capital Costs'!B21&lt;&gt;"", '4Capital Costs'!B21, "")</f>
        <v/>
      </c>
      <c r="C20" s="46" t="str">
        <f>IF('4Capital Costs'!C21&lt;&gt;"", '4Capital Costs'!C21, "")</f>
        <v/>
      </c>
      <c r="D20" s="47" t="str">
        <f>IF('4Capital Costs'!D21&lt;&gt;"", '4Capital Costs'!D21, "")</f>
        <v/>
      </c>
      <c r="E20" s="27" t="str">
        <f>IF($A20&lt;&gt;"", (IF('4Replacement Costs - Entry'!Y21="Y",((($B20*$D20)*((1+$B$5)^E$7))*(1/((1+$F$5)^E$7))),0)), "")</f>
        <v/>
      </c>
      <c r="F20" s="27" t="str">
        <f>IF($A20&lt;&gt;"", (IF('4Replacement Costs - Entry'!Z21="Y",((($B20*$D20)*((1+$B$5)^F$7))*(1/((1+$F$5)^F$7))),0)), "")</f>
        <v/>
      </c>
      <c r="G20" s="27" t="str">
        <f>IF($A20&lt;&gt;"", (IF('4Replacement Costs - Entry'!AA21="Y",((($B20*$D20)*((1+$B$5)^G$7))*(1/((1+$F$5)^G$7))),0)), "")</f>
        <v/>
      </c>
      <c r="H20" s="27" t="str">
        <f>IF($A20&lt;&gt;"", (IF('4Replacement Costs - Entry'!AB21="Y",((($B20*$D20)*((1+$B$5)^H$7))*(1/((1+$F$5)^H$7))),0)), "")</f>
        <v/>
      </c>
      <c r="I20" s="27" t="str">
        <f>IF($A20&lt;&gt;"", (IF('4Replacement Costs - Entry'!AC21="Y",((($B20*$D20)*((1+$B$5)^I$7))*(1/((1+$F$5)^I$7))),0)), "")</f>
        <v/>
      </c>
    </row>
    <row r="21" spans="1:9">
      <c r="A21" s="29" t="str">
        <f>IF('4Capital Costs'!A22&lt;&gt;"", '4Capital Costs'!A22, "")</f>
        <v/>
      </c>
      <c r="B21" s="3" t="str">
        <f>IF('4Capital Costs'!B22&lt;&gt;"", '4Capital Costs'!B22, "")</f>
        <v/>
      </c>
      <c r="C21" s="46" t="str">
        <f>IF('4Capital Costs'!C22&lt;&gt;"", '4Capital Costs'!C22, "")</f>
        <v/>
      </c>
      <c r="D21" s="47" t="str">
        <f>IF('4Capital Costs'!D22&lt;&gt;"", '4Capital Costs'!D22, "")</f>
        <v/>
      </c>
      <c r="E21" s="27" t="str">
        <f>IF($A21&lt;&gt;"", (IF('4Replacement Costs - Entry'!Y22="Y",((($B21*$D21)*((1+$B$5)^E$7))*(1/((1+$F$5)^E$7))),0)), "")</f>
        <v/>
      </c>
      <c r="F21" s="27" t="str">
        <f>IF($A21&lt;&gt;"", (IF('4Replacement Costs - Entry'!Z22="Y",((($B21*$D21)*((1+$B$5)^F$7))*(1/((1+$F$5)^F$7))),0)), "")</f>
        <v/>
      </c>
      <c r="G21" s="27" t="str">
        <f>IF($A21&lt;&gt;"", (IF('4Replacement Costs - Entry'!AA22="Y",((($B21*$D21)*((1+$B$5)^G$7))*(1/((1+$F$5)^G$7))),0)), "")</f>
        <v/>
      </c>
      <c r="H21" s="27" t="str">
        <f>IF($A21&lt;&gt;"", (IF('4Replacement Costs - Entry'!AB22="Y",((($B21*$D21)*((1+$B$5)^H$7))*(1/((1+$F$5)^H$7))),0)), "")</f>
        <v/>
      </c>
      <c r="I21" s="27" t="str">
        <f>IF($A21&lt;&gt;"", (IF('4Replacement Costs - Entry'!AC22="Y",((($B21*$D21)*((1+$B$5)^I$7))*(1/((1+$F$5)^I$7))),0)), "")</f>
        <v/>
      </c>
    </row>
    <row r="22" spans="1:9">
      <c r="A22" s="29" t="str">
        <f>IF('4Capital Costs'!A23&lt;&gt;"", '4Capital Costs'!A23, "")</f>
        <v/>
      </c>
      <c r="B22" s="3" t="str">
        <f>IF('4Capital Costs'!B23&lt;&gt;"", '4Capital Costs'!B23, "")</f>
        <v/>
      </c>
      <c r="C22" s="46" t="str">
        <f>IF('4Capital Costs'!C23&lt;&gt;"", '4Capital Costs'!C23, "")</f>
        <v/>
      </c>
      <c r="D22" s="47" t="str">
        <f>IF('4Capital Costs'!D23&lt;&gt;"", '4Capital Costs'!D23, "")</f>
        <v/>
      </c>
      <c r="E22" s="27" t="str">
        <f>IF($A22&lt;&gt;"", (IF('4Replacement Costs - Entry'!Y23="Y",((($B22*$D22)*((1+$B$5)^E$7))*(1/((1+$F$5)^E$7))),0)), "")</f>
        <v/>
      </c>
      <c r="F22" s="27" t="str">
        <f>IF($A22&lt;&gt;"", (IF('4Replacement Costs - Entry'!Z23="Y",((($B22*$D22)*((1+$B$5)^F$7))*(1/((1+$F$5)^F$7))),0)), "")</f>
        <v/>
      </c>
      <c r="G22" s="27" t="str">
        <f>IF($A22&lt;&gt;"", (IF('4Replacement Costs - Entry'!AA23="Y",((($B22*$D22)*((1+$B$5)^G$7))*(1/((1+$F$5)^G$7))),0)), "")</f>
        <v/>
      </c>
      <c r="H22" s="27" t="str">
        <f>IF($A22&lt;&gt;"", (IF('4Replacement Costs - Entry'!AB23="Y",((($B22*$D22)*((1+$B$5)^H$7))*(1/((1+$F$5)^H$7))),0)), "")</f>
        <v/>
      </c>
      <c r="I22" s="27" t="str">
        <f>IF($A22&lt;&gt;"", (IF('4Replacement Costs - Entry'!AC23="Y",((($B22*$D22)*((1+$B$5)^I$7))*(1/((1+$F$5)^I$7))),0)), "")</f>
        <v/>
      </c>
    </row>
    <row r="23" spans="1:9">
      <c r="A23" s="29" t="str">
        <f>IF('4Capital Costs'!A24&lt;&gt;"", '4Capital Costs'!A24, "")</f>
        <v/>
      </c>
      <c r="B23" s="3" t="str">
        <f>IF('4Capital Costs'!B24&lt;&gt;"", '4Capital Costs'!B24, "")</f>
        <v/>
      </c>
      <c r="C23" s="46" t="str">
        <f>IF('4Capital Costs'!C24&lt;&gt;"", '4Capital Costs'!C24, "")</f>
        <v/>
      </c>
      <c r="D23" s="47" t="str">
        <f>IF('4Capital Costs'!D24&lt;&gt;"", '4Capital Costs'!D24, "")</f>
        <v/>
      </c>
      <c r="E23" s="27" t="str">
        <f>IF($A23&lt;&gt;"", (IF('4Replacement Costs - Entry'!Y24="Y",((($B23*$D23)*((1+$B$5)^E$7))*(1/((1+$F$5)^E$7))),0)), "")</f>
        <v/>
      </c>
      <c r="F23" s="27" t="str">
        <f>IF($A23&lt;&gt;"", (IF('4Replacement Costs - Entry'!Z24="Y",((($B23*$D23)*((1+$B$5)^F$7))*(1/((1+$F$5)^F$7))),0)), "")</f>
        <v/>
      </c>
      <c r="G23" s="27" t="str">
        <f>IF($A23&lt;&gt;"", (IF('4Replacement Costs - Entry'!AA24="Y",((($B23*$D23)*((1+$B$5)^G$7))*(1/((1+$F$5)^G$7))),0)), "")</f>
        <v/>
      </c>
      <c r="H23" s="27" t="str">
        <f>IF($A23&lt;&gt;"", (IF('4Replacement Costs - Entry'!AB24="Y",((($B23*$D23)*((1+$B$5)^H$7))*(1/((1+$F$5)^H$7))),0)), "")</f>
        <v/>
      </c>
      <c r="I23" s="27" t="str">
        <f>IF($A23&lt;&gt;"", (IF('4Replacement Costs - Entry'!AC24="Y",((($B23*$D23)*((1+$B$5)^I$7))*(1/((1+$F$5)^I$7))),0)), "")</f>
        <v/>
      </c>
    </row>
    <row r="24" spans="1:9">
      <c r="A24" s="29" t="str">
        <f>IF('4Capital Costs'!A25&lt;&gt;"", '4Capital Costs'!A25, "")</f>
        <v/>
      </c>
      <c r="B24" s="3" t="str">
        <f>IF('4Capital Costs'!B25&lt;&gt;"", '4Capital Costs'!B25, "")</f>
        <v/>
      </c>
      <c r="C24" s="46" t="str">
        <f>IF('4Capital Costs'!C25&lt;&gt;"", '4Capital Costs'!C25, "")</f>
        <v/>
      </c>
      <c r="D24" s="47" t="str">
        <f>IF('4Capital Costs'!D25&lt;&gt;"", '4Capital Costs'!D25, "")</f>
        <v/>
      </c>
      <c r="E24" s="27" t="str">
        <f>IF($A24&lt;&gt;"", (IF('4Replacement Costs - Entry'!Y25="Y",((($B24*$D24)*((1+$B$5)^E$7))*(1/((1+$F$5)^E$7))),0)), "")</f>
        <v/>
      </c>
      <c r="F24" s="27" t="str">
        <f>IF($A24&lt;&gt;"", (IF('4Replacement Costs - Entry'!Z25="Y",((($B24*$D24)*((1+$B$5)^F$7))*(1/((1+$F$5)^F$7))),0)), "")</f>
        <v/>
      </c>
      <c r="G24" s="27" t="str">
        <f>IF($A24&lt;&gt;"", (IF('4Replacement Costs - Entry'!AA25="Y",((($B24*$D24)*((1+$B$5)^G$7))*(1/((1+$F$5)^G$7))),0)), "")</f>
        <v/>
      </c>
      <c r="H24" s="27" t="str">
        <f>IF($A24&lt;&gt;"", (IF('4Replacement Costs - Entry'!AB25="Y",((($B24*$D24)*((1+$B$5)^H$7))*(1/((1+$F$5)^H$7))),0)), "")</f>
        <v/>
      </c>
      <c r="I24" s="27" t="str">
        <f>IF($A24&lt;&gt;"", (IF('4Replacement Costs - Entry'!AC25="Y",((($B24*$D24)*((1+$B$5)^I$7))*(1/((1+$F$5)^I$7))),0)), "")</f>
        <v/>
      </c>
    </row>
    <row r="25" spans="1:9">
      <c r="A25" s="29" t="str">
        <f>IF('4Capital Costs'!A26&lt;&gt;"", '4Capital Costs'!A26, "")</f>
        <v/>
      </c>
      <c r="B25" s="3" t="str">
        <f>IF('4Capital Costs'!B26&lt;&gt;"", '4Capital Costs'!B26, "")</f>
        <v/>
      </c>
      <c r="C25" s="46" t="str">
        <f>IF('4Capital Costs'!C26&lt;&gt;"", '4Capital Costs'!C26, "")</f>
        <v/>
      </c>
      <c r="D25" s="47" t="str">
        <f>IF('4Capital Costs'!D26&lt;&gt;"", '4Capital Costs'!D26, "")</f>
        <v/>
      </c>
      <c r="E25" s="27" t="str">
        <f>IF($A25&lt;&gt;"", (IF('4Replacement Costs - Entry'!Y26="Y",((($B25*$D25)*((1+$B$5)^E$7))*(1/((1+$F$5)^E$7))),0)), "")</f>
        <v/>
      </c>
      <c r="F25" s="27" t="str">
        <f>IF($A25&lt;&gt;"", (IF('4Replacement Costs - Entry'!Z26="Y",((($B25*$D25)*((1+$B$5)^F$7))*(1/((1+$F$5)^F$7))),0)), "")</f>
        <v/>
      </c>
      <c r="G25" s="27" t="str">
        <f>IF($A25&lt;&gt;"", (IF('4Replacement Costs - Entry'!AA26="Y",((($B25*$D25)*((1+$B$5)^G$7))*(1/((1+$F$5)^G$7))),0)), "")</f>
        <v/>
      </c>
      <c r="H25" s="27" t="str">
        <f>IF($A25&lt;&gt;"", (IF('4Replacement Costs - Entry'!AB26="Y",((($B25*$D25)*((1+$B$5)^H$7))*(1/((1+$F$5)^H$7))),0)), "")</f>
        <v/>
      </c>
      <c r="I25" s="27" t="str">
        <f>IF($A25&lt;&gt;"", (IF('4Replacement Costs - Entry'!AC26="Y",((($B25*$D25)*((1+$B$5)^I$7))*(1/((1+$F$5)^I$7))),0)), "")</f>
        <v/>
      </c>
    </row>
    <row r="26" spans="1:9">
      <c r="A26" s="29" t="str">
        <f>IF('4Capital Costs'!A27&lt;&gt;"", '4Capital Costs'!A27, "")</f>
        <v/>
      </c>
      <c r="B26" s="3" t="str">
        <f>IF('4Capital Costs'!B27&lt;&gt;"", '4Capital Costs'!B27, "")</f>
        <v/>
      </c>
      <c r="C26" s="46" t="str">
        <f>IF('4Capital Costs'!C27&lt;&gt;"", '4Capital Costs'!C27, "")</f>
        <v/>
      </c>
      <c r="D26" s="47" t="str">
        <f>IF('4Capital Costs'!D27&lt;&gt;"", '4Capital Costs'!D27, "")</f>
        <v/>
      </c>
      <c r="E26" s="27" t="str">
        <f>IF($A26&lt;&gt;"", (IF('4Replacement Costs - Entry'!Y27="Y",((($B26*$D26)*((1+$B$5)^E$7))*(1/((1+$F$5)^E$7))),0)), "")</f>
        <v/>
      </c>
      <c r="F26" s="27" t="str">
        <f>IF($A26&lt;&gt;"", (IF('4Replacement Costs - Entry'!Z27="Y",((($B26*$D26)*((1+$B$5)^F$7))*(1/((1+$F$5)^F$7))),0)), "")</f>
        <v/>
      </c>
      <c r="G26" s="27" t="str">
        <f>IF($A26&lt;&gt;"", (IF('4Replacement Costs - Entry'!AA27="Y",((($B26*$D26)*((1+$B$5)^G$7))*(1/((1+$F$5)^G$7))),0)), "")</f>
        <v/>
      </c>
      <c r="H26" s="27" t="str">
        <f>IF($A26&lt;&gt;"", (IF('4Replacement Costs - Entry'!AB27="Y",((($B26*$D26)*((1+$B$5)^H$7))*(1/((1+$F$5)^H$7))),0)), "")</f>
        <v/>
      </c>
      <c r="I26" s="27" t="str">
        <f>IF($A26&lt;&gt;"", (IF('4Replacement Costs - Entry'!AC27="Y",((($B26*$D26)*((1+$B$5)^I$7))*(1/((1+$F$5)^I$7))),0)), "")</f>
        <v/>
      </c>
    </row>
    <row r="27" spans="1:9">
      <c r="A27" s="29" t="str">
        <f>IF('4Capital Costs'!A28&lt;&gt;"", '4Capital Costs'!A28, "")</f>
        <v/>
      </c>
      <c r="B27" s="3" t="str">
        <f>IF('4Capital Costs'!B28&lt;&gt;"", '4Capital Costs'!B28, "")</f>
        <v/>
      </c>
      <c r="C27" s="46" t="str">
        <f>IF('4Capital Costs'!C28&lt;&gt;"", '4Capital Costs'!C28, "")</f>
        <v/>
      </c>
      <c r="D27" s="47" t="str">
        <f>IF('4Capital Costs'!D28&lt;&gt;"", '4Capital Costs'!D28, "")</f>
        <v/>
      </c>
      <c r="E27" s="27" t="str">
        <f>IF($A27&lt;&gt;"", (IF('4Replacement Costs - Entry'!Y28="Y",((($B27*$D27)*((1+$B$5)^E$7))*(1/((1+$F$5)^E$7))),0)), "")</f>
        <v/>
      </c>
      <c r="F27" s="27" t="str">
        <f>IF($A27&lt;&gt;"", (IF('4Replacement Costs - Entry'!Z28="Y",((($B27*$D27)*((1+$B$5)^F$7))*(1/((1+$F$5)^F$7))),0)), "")</f>
        <v/>
      </c>
      <c r="G27" s="27" t="str">
        <f>IF($A27&lt;&gt;"", (IF('4Replacement Costs - Entry'!AA28="Y",((($B27*$D27)*((1+$B$5)^G$7))*(1/((1+$F$5)^G$7))),0)), "")</f>
        <v/>
      </c>
      <c r="H27" s="27" t="str">
        <f>IF($A27&lt;&gt;"", (IF('4Replacement Costs - Entry'!AB28="Y",((($B27*$D27)*((1+$B$5)^H$7))*(1/((1+$F$5)^H$7))),0)), "")</f>
        <v/>
      </c>
      <c r="I27" s="27" t="str">
        <f>IF($A27&lt;&gt;"", (IF('4Replacement Costs - Entry'!AC28="Y",((($B27*$D27)*((1+$B$5)^I$7))*(1/((1+$F$5)^I$7))),0)), "")</f>
        <v/>
      </c>
    </row>
    <row r="28" spans="1:9">
      <c r="A28" s="29" t="str">
        <f>IF('4Capital Costs'!A29&lt;&gt;"", '4Capital Costs'!A29, "")</f>
        <v/>
      </c>
      <c r="B28" s="3" t="str">
        <f>IF('4Capital Costs'!B29&lt;&gt;"", '4Capital Costs'!B29, "")</f>
        <v/>
      </c>
      <c r="C28" s="46" t="str">
        <f>IF('4Capital Costs'!C29&lt;&gt;"", '4Capital Costs'!C29, "")</f>
        <v/>
      </c>
      <c r="D28" s="47" t="str">
        <f>IF('4Capital Costs'!D29&lt;&gt;"", '4Capital Costs'!D29, "")</f>
        <v/>
      </c>
      <c r="E28" s="27" t="str">
        <f>IF($A28&lt;&gt;"", (IF('4Replacement Costs - Entry'!Y29="Y",((($B28*$D28)*((1+$B$5)^E$7))*(1/((1+$F$5)^E$7))),0)), "")</f>
        <v/>
      </c>
      <c r="F28" s="27" t="str">
        <f>IF($A28&lt;&gt;"", (IF('4Replacement Costs - Entry'!Z29="Y",((($B28*$D28)*((1+$B$5)^F$7))*(1/((1+$F$5)^F$7))),0)), "")</f>
        <v/>
      </c>
      <c r="G28" s="27" t="str">
        <f>IF($A28&lt;&gt;"", (IF('4Replacement Costs - Entry'!AA29="Y",((($B28*$D28)*((1+$B$5)^G$7))*(1/((1+$F$5)^G$7))),0)), "")</f>
        <v/>
      </c>
      <c r="H28" s="27" t="str">
        <f>IF($A28&lt;&gt;"", (IF('4Replacement Costs - Entry'!AB29="Y",((($B28*$D28)*((1+$B$5)^H$7))*(1/((1+$F$5)^H$7))),0)), "")</f>
        <v/>
      </c>
      <c r="I28" s="27" t="str">
        <f>IF($A28&lt;&gt;"", (IF('4Replacement Costs - Entry'!AC29="Y",((($B28*$D28)*((1+$B$5)^I$7))*(1/((1+$F$5)^I$7))),0)), "")</f>
        <v/>
      </c>
    </row>
    <row r="29" spans="1:9">
      <c r="A29" s="29" t="str">
        <f>IF('4Capital Costs'!A30&lt;&gt;"", '4Capital Costs'!A30, "")</f>
        <v/>
      </c>
      <c r="B29" s="3" t="str">
        <f>IF('4Capital Costs'!B30&lt;&gt;"", '4Capital Costs'!B30, "")</f>
        <v/>
      </c>
      <c r="C29" s="46" t="str">
        <f>IF('4Capital Costs'!C30&lt;&gt;"", '4Capital Costs'!C30, "")</f>
        <v/>
      </c>
      <c r="D29" s="47" t="str">
        <f>IF('4Capital Costs'!D30&lt;&gt;"", '4Capital Costs'!D30, "")</f>
        <v/>
      </c>
      <c r="E29" s="27" t="str">
        <f>IF($A29&lt;&gt;"", (IF('4Replacement Costs - Entry'!Y30="Y",((($B29*$D29)*((1+$B$5)^E$7))*(1/((1+$F$5)^E$7))),0)), "")</f>
        <v/>
      </c>
      <c r="F29" s="27" t="str">
        <f>IF($A29&lt;&gt;"", (IF('4Replacement Costs - Entry'!Z30="Y",((($B29*$D29)*((1+$B$5)^F$7))*(1/((1+$F$5)^F$7))),0)), "")</f>
        <v/>
      </c>
      <c r="G29" s="27" t="str">
        <f>IF($A29&lt;&gt;"", (IF('4Replacement Costs - Entry'!AA30="Y",((($B29*$D29)*((1+$B$5)^G$7))*(1/((1+$F$5)^G$7))),0)), "")</f>
        <v/>
      </c>
      <c r="H29" s="27" t="str">
        <f>IF($A29&lt;&gt;"", (IF('4Replacement Costs - Entry'!AB30="Y",((($B29*$D29)*((1+$B$5)^H$7))*(1/((1+$F$5)^H$7))),0)), "")</f>
        <v/>
      </c>
      <c r="I29" s="27" t="str">
        <f>IF($A29&lt;&gt;"", (IF('4Replacement Costs - Entry'!AC30="Y",((($B29*$D29)*((1+$B$5)^I$7))*(1/((1+$F$5)^I$7))),0)), "")</f>
        <v/>
      </c>
    </row>
    <row r="30" spans="1:9">
      <c r="A30" s="29" t="str">
        <f>IF('4Capital Costs'!A31&lt;&gt;"", '4Capital Costs'!A31, "")</f>
        <v/>
      </c>
      <c r="B30" s="3" t="str">
        <f>IF('4Capital Costs'!B31&lt;&gt;"", '4Capital Costs'!B31, "")</f>
        <v/>
      </c>
      <c r="C30" s="46" t="str">
        <f>IF('4Capital Costs'!C31&lt;&gt;"", '4Capital Costs'!C31, "")</f>
        <v/>
      </c>
      <c r="D30" s="47" t="str">
        <f>IF('4Capital Costs'!D31&lt;&gt;"", '4Capital Costs'!D31, "")</f>
        <v/>
      </c>
      <c r="E30" s="27" t="str">
        <f>IF($A30&lt;&gt;"", (IF('4Replacement Costs - Entry'!Y31="Y",((($B30*$D30)*((1+$B$5)^E$7))*(1/((1+$F$5)^E$7))),0)), "")</f>
        <v/>
      </c>
      <c r="F30" s="27" t="str">
        <f>IF($A30&lt;&gt;"", (IF('4Replacement Costs - Entry'!Z31="Y",((($B30*$D30)*((1+$B$5)^F$7))*(1/((1+$F$5)^F$7))),0)), "")</f>
        <v/>
      </c>
      <c r="G30" s="27" t="str">
        <f>IF($A30&lt;&gt;"", (IF('4Replacement Costs - Entry'!AA31="Y",((($B30*$D30)*((1+$B$5)^G$7))*(1/((1+$F$5)^G$7))),0)), "")</f>
        <v/>
      </c>
      <c r="H30" s="27" t="str">
        <f>IF($A30&lt;&gt;"", (IF('4Replacement Costs - Entry'!AB31="Y",((($B30*$D30)*((1+$B$5)^H$7))*(1/((1+$F$5)^H$7))),0)), "")</f>
        <v/>
      </c>
      <c r="I30" s="27" t="str">
        <f>IF($A30&lt;&gt;"", (IF('4Replacement Costs - Entry'!AC31="Y",((($B30*$D30)*((1+$B$5)^I$7))*(1/((1+$F$5)^I$7))),0)), "")</f>
        <v/>
      </c>
    </row>
    <row r="31" spans="1:9">
      <c r="A31" s="29" t="str">
        <f>IF('4Capital Costs'!A32&lt;&gt;"", '4Capital Costs'!A32, "")</f>
        <v/>
      </c>
      <c r="B31" s="3" t="str">
        <f>IF('4Capital Costs'!B32&lt;&gt;"", '4Capital Costs'!B32, "")</f>
        <v/>
      </c>
      <c r="C31" s="46" t="str">
        <f>IF('4Capital Costs'!C32&lt;&gt;"", '4Capital Costs'!C32, "")</f>
        <v/>
      </c>
      <c r="D31" s="47" t="str">
        <f>IF('4Capital Costs'!D32&lt;&gt;"", '4Capital Costs'!D32, "")</f>
        <v/>
      </c>
      <c r="E31" s="27" t="str">
        <f>IF($A31&lt;&gt;"", (IF('4Replacement Costs - Entry'!Y32="Y",((($B31*$D31)*((1+$B$5)^E$7))*(1/((1+$F$5)^E$7))),0)), "")</f>
        <v/>
      </c>
      <c r="F31" s="27" t="str">
        <f>IF($A31&lt;&gt;"", (IF('4Replacement Costs - Entry'!Z32="Y",((($B31*$D31)*((1+$B$5)^F$7))*(1/((1+$F$5)^F$7))),0)), "")</f>
        <v/>
      </c>
      <c r="G31" s="27" t="str">
        <f>IF($A31&lt;&gt;"", (IF('4Replacement Costs - Entry'!AA32="Y",((($B31*$D31)*((1+$B$5)^G$7))*(1/((1+$F$5)^G$7))),0)), "")</f>
        <v/>
      </c>
      <c r="H31" s="27" t="str">
        <f>IF($A31&lt;&gt;"", (IF('4Replacement Costs - Entry'!AB32="Y",((($B31*$D31)*((1+$B$5)^H$7))*(1/((1+$F$5)^H$7))),0)), "")</f>
        <v/>
      </c>
      <c r="I31" s="27" t="str">
        <f>IF($A31&lt;&gt;"", (IF('4Replacement Costs - Entry'!AC32="Y",((($B31*$D31)*((1+$B$5)^I$7))*(1/((1+$F$5)^I$7))),0)), "")</f>
        <v/>
      </c>
    </row>
    <row r="32" spans="1:9">
      <c r="A32" s="29" t="str">
        <f>IF('4Capital Costs'!A33&lt;&gt;"", '4Capital Costs'!A33, "")</f>
        <v/>
      </c>
      <c r="B32" s="3" t="str">
        <f>IF('4Capital Costs'!B33&lt;&gt;"", '4Capital Costs'!B33, "")</f>
        <v/>
      </c>
      <c r="C32" s="46" t="str">
        <f>IF('4Capital Costs'!C33&lt;&gt;"", '4Capital Costs'!C33, "")</f>
        <v/>
      </c>
      <c r="D32" s="47" t="str">
        <f>IF('4Capital Costs'!D33&lt;&gt;"", '4Capital Costs'!D33, "")</f>
        <v/>
      </c>
      <c r="E32" s="27" t="str">
        <f>IF($A32&lt;&gt;"", (IF('4Replacement Costs - Entry'!Y33="Y",((($B32*$D32)*((1+$B$5)^E$7))*(1/((1+$F$5)^E$7))),0)), "")</f>
        <v/>
      </c>
      <c r="F32" s="27" t="str">
        <f>IF($A32&lt;&gt;"", (IF('4Replacement Costs - Entry'!Z33="Y",((($B32*$D32)*((1+$B$5)^F$7))*(1/((1+$F$5)^F$7))),0)), "")</f>
        <v/>
      </c>
      <c r="G32" s="27" t="str">
        <f>IF($A32&lt;&gt;"", (IF('4Replacement Costs - Entry'!AA33="Y",((($B32*$D32)*((1+$B$5)^G$7))*(1/((1+$F$5)^G$7))),0)), "")</f>
        <v/>
      </c>
      <c r="H32" s="27" t="str">
        <f>IF($A32&lt;&gt;"", (IF('4Replacement Costs - Entry'!AB33="Y",((($B32*$D32)*((1+$B$5)^H$7))*(1/((1+$F$5)^H$7))),0)), "")</f>
        <v/>
      </c>
      <c r="I32" s="27" t="str">
        <f>IF($A32&lt;&gt;"", (IF('4Replacement Costs - Entry'!AC33="Y",((($B32*$D32)*((1+$B$5)^I$7))*(1/((1+$F$5)^I$7))),0)), "")</f>
        <v/>
      </c>
    </row>
    <row r="33" spans="1:9">
      <c r="A33" s="29" t="str">
        <f>IF('4Capital Costs'!A34&lt;&gt;"", '4Capital Costs'!A34, "")</f>
        <v/>
      </c>
      <c r="B33" s="3" t="str">
        <f>IF('4Capital Costs'!B34&lt;&gt;"", '4Capital Costs'!B34, "")</f>
        <v/>
      </c>
      <c r="C33" s="46" t="str">
        <f>IF('4Capital Costs'!C34&lt;&gt;"", '4Capital Costs'!C34, "")</f>
        <v/>
      </c>
      <c r="D33" s="47" t="str">
        <f>IF('4Capital Costs'!D34&lt;&gt;"", '4Capital Costs'!D34, "")</f>
        <v/>
      </c>
      <c r="E33" s="27" t="str">
        <f>IF($A33&lt;&gt;"", (IF('4Replacement Costs - Entry'!Y34="Y",((($B33*$D33)*((1+$B$5)^E$7))*(1/((1+$F$5)^E$7))),0)), "")</f>
        <v/>
      </c>
      <c r="F33" s="27" t="str">
        <f>IF($A33&lt;&gt;"", (IF('4Replacement Costs - Entry'!Z34="Y",((($B33*$D33)*((1+$B$5)^F$7))*(1/((1+$F$5)^F$7))),0)), "")</f>
        <v/>
      </c>
      <c r="G33" s="27" t="str">
        <f>IF($A33&lt;&gt;"", (IF('4Replacement Costs - Entry'!AA34="Y",((($B33*$D33)*((1+$B$5)^G$7))*(1/((1+$F$5)^G$7))),0)), "")</f>
        <v/>
      </c>
      <c r="H33" s="27" t="str">
        <f>IF($A33&lt;&gt;"", (IF('4Replacement Costs - Entry'!AB34="Y",((($B33*$D33)*((1+$B$5)^H$7))*(1/((1+$F$5)^H$7))),0)), "")</f>
        <v/>
      </c>
      <c r="I33" s="27" t="str">
        <f>IF($A33&lt;&gt;"", (IF('4Replacement Costs - Entry'!AC34="Y",((($B33*$D33)*((1+$B$5)^I$7))*(1/((1+$F$5)^I$7))),0)), "")</f>
        <v/>
      </c>
    </row>
    <row r="34" spans="1:9">
      <c r="A34" s="29" t="str">
        <f>IF('4Capital Costs'!A35&lt;&gt;"", '4Capital Costs'!A35, "")</f>
        <v/>
      </c>
      <c r="B34" s="3" t="str">
        <f>IF('4Capital Costs'!B35&lt;&gt;"", '4Capital Costs'!B35, "")</f>
        <v/>
      </c>
      <c r="C34" s="46" t="str">
        <f>IF('4Capital Costs'!C35&lt;&gt;"", '4Capital Costs'!C35, "")</f>
        <v/>
      </c>
      <c r="D34" s="47" t="str">
        <f>IF('4Capital Costs'!D35&lt;&gt;"", '4Capital Costs'!D35, "")</f>
        <v/>
      </c>
      <c r="E34" s="27" t="str">
        <f>IF($A34&lt;&gt;"", (IF('4Replacement Costs - Entry'!Y35="Y",((($B34*$D34)*((1+$B$5)^E$7))*(1/((1+$F$5)^E$7))),0)), "")</f>
        <v/>
      </c>
      <c r="F34" s="27" t="str">
        <f>IF($A34&lt;&gt;"", (IF('4Replacement Costs - Entry'!Z35="Y",((($B34*$D34)*((1+$B$5)^F$7))*(1/((1+$F$5)^F$7))),0)), "")</f>
        <v/>
      </c>
      <c r="G34" s="27" t="str">
        <f>IF($A34&lt;&gt;"", (IF('4Replacement Costs - Entry'!AA35="Y",((($B34*$D34)*((1+$B$5)^G$7))*(1/((1+$F$5)^G$7))),0)), "")</f>
        <v/>
      </c>
      <c r="H34" s="27" t="str">
        <f>IF($A34&lt;&gt;"", (IF('4Replacement Costs - Entry'!AB35="Y",((($B34*$D34)*((1+$B$5)^H$7))*(1/((1+$F$5)^H$7))),0)), "")</f>
        <v/>
      </c>
      <c r="I34" s="27" t="str">
        <f>IF($A34&lt;&gt;"", (IF('4Replacement Costs - Entry'!AC35="Y",((($B34*$D34)*((1+$B$5)^I$7))*(1/((1+$F$5)^I$7))),0)), "")</f>
        <v/>
      </c>
    </row>
    <row r="35" spans="1:9">
      <c r="A35" s="29" t="str">
        <f>IF('4Capital Costs'!A36&lt;&gt;"", '4Capital Costs'!A36, "")</f>
        <v/>
      </c>
      <c r="B35" s="3" t="str">
        <f>IF('4Capital Costs'!B36&lt;&gt;"", '4Capital Costs'!B36, "")</f>
        <v/>
      </c>
      <c r="C35" s="46" t="str">
        <f>IF('4Capital Costs'!C36&lt;&gt;"", '4Capital Costs'!C36, "")</f>
        <v/>
      </c>
      <c r="D35" s="47" t="str">
        <f>IF('4Capital Costs'!D36&lt;&gt;"", '4Capital Costs'!D36, "")</f>
        <v/>
      </c>
      <c r="E35" s="27" t="str">
        <f>IF($A35&lt;&gt;"", (IF('4Replacement Costs - Entry'!Y36="Y",((($B35*$D35)*((1+$B$5)^E$7))*(1/((1+$F$5)^E$7))),0)), "")</f>
        <v/>
      </c>
      <c r="F35" s="27" t="str">
        <f>IF($A35&lt;&gt;"", (IF('4Replacement Costs - Entry'!Z36="Y",((($B35*$D35)*((1+$B$5)^F$7))*(1/((1+$F$5)^F$7))),0)), "")</f>
        <v/>
      </c>
      <c r="G35" s="27" t="str">
        <f>IF($A35&lt;&gt;"", (IF('4Replacement Costs - Entry'!AA36="Y",((($B35*$D35)*((1+$B$5)^G$7))*(1/((1+$F$5)^G$7))),0)), "")</f>
        <v/>
      </c>
      <c r="H35" s="27" t="str">
        <f>IF($A35&lt;&gt;"", (IF('4Replacement Costs - Entry'!AB36="Y",((($B35*$D35)*((1+$B$5)^H$7))*(1/((1+$F$5)^H$7))),0)), "")</f>
        <v/>
      </c>
      <c r="I35" s="27" t="str">
        <f>IF($A35&lt;&gt;"", (IF('4Replacement Costs - Entry'!AC36="Y",((($B35*$D35)*((1+$B$5)^I$7))*(1/((1+$F$5)^I$7))),0)), "")</f>
        <v/>
      </c>
    </row>
    <row r="36" spans="1:9">
      <c r="A36" s="29" t="str">
        <f>IF('4Capital Costs'!A37&lt;&gt;"", '4Capital Costs'!A37, "")</f>
        <v/>
      </c>
      <c r="B36" s="3" t="str">
        <f>IF('4Capital Costs'!B37&lt;&gt;"", '4Capital Costs'!B37, "")</f>
        <v/>
      </c>
      <c r="C36" s="46" t="str">
        <f>IF('4Capital Costs'!C37&lt;&gt;"", '4Capital Costs'!C37, "")</f>
        <v/>
      </c>
      <c r="D36" s="47" t="str">
        <f>IF('4Capital Costs'!D37&lt;&gt;"", '4Capital Costs'!D37, "")</f>
        <v/>
      </c>
      <c r="E36" s="27" t="str">
        <f>IF($A36&lt;&gt;"", (IF('4Replacement Costs - Entry'!Y37="Y",((($B36*$D36)*((1+$B$5)^E$7))*(1/((1+$F$5)^E$7))),0)), "")</f>
        <v/>
      </c>
      <c r="F36" s="27" t="str">
        <f>IF($A36&lt;&gt;"", (IF('4Replacement Costs - Entry'!Z37="Y",((($B36*$D36)*((1+$B$5)^F$7))*(1/((1+$F$5)^F$7))),0)), "")</f>
        <v/>
      </c>
      <c r="G36" s="27" t="str">
        <f>IF($A36&lt;&gt;"", (IF('4Replacement Costs - Entry'!AA37="Y",((($B36*$D36)*((1+$B$5)^G$7))*(1/((1+$F$5)^G$7))),0)), "")</f>
        <v/>
      </c>
      <c r="H36" s="27" t="str">
        <f>IF($A36&lt;&gt;"", (IF('4Replacement Costs - Entry'!AB37="Y",((($B36*$D36)*((1+$B$5)^H$7))*(1/((1+$F$5)^H$7))),0)), "")</f>
        <v/>
      </c>
      <c r="I36" s="27" t="str">
        <f>IF($A36&lt;&gt;"", (IF('4Replacement Costs - Entry'!AC37="Y",((($B36*$D36)*((1+$B$5)^I$7))*(1/((1+$F$5)^I$7))),0)), "")</f>
        <v/>
      </c>
    </row>
    <row r="37" spans="1:9">
      <c r="A37" s="23"/>
      <c r="B37" s="23"/>
      <c r="C37" s="23"/>
      <c r="D37" s="36" t="s">
        <v>46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38" spans="1:9">
      <c r="H38" s="2" t="s">
        <v>45</v>
      </c>
      <c r="I38" s="28">
        <f>'4Replace Costs - Results 1-5'!E37+'4Replace Costs - Results 1-5'!F37+'4Replace Costs - Results 1-5'!G37+'4Replace Costs - Results 1-5'!H37+'4Replace Costs - Results 1-5'!I37+'4Replace Costs-Results 6-10'!E37+'4Replace Costs-Results 6-10'!F37+'4Replace Costs-Results 6-10'!G37+'4Replace Costs-Results 6-10'!H37+'4Replace Costs-Results 6-10'!I37+'4Replace Costs-Results 11-15'!E37+'4Replace Costs-Results 11-15'!F37+'4Replace Costs-Results 11-15'!G37+'4Replace Costs-Results 11-15'!H37+'4Replace Costs-Results 11-15'!I37+'4Replace Costs-Results 16-20'!E37+'4Replace Costs-Results 16-20'!F37+'4Replace Costs-Results 16-20'!G37+'4Replace Costs-Results 16-20'!H37+'4Replace Costs-Results 16-20'!I37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6" fitToWidth="4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selection activeCell="D9" sqref="A9:D12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4" width="9.7109375" style="1" customWidth="1"/>
    <col min="15" max="16384" width="9.140625" style="1"/>
  </cols>
  <sheetData>
    <row r="1" spans="1:14">
      <c r="A1" s="137" t="s">
        <v>170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'4Capital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144" t="s">
        <v>61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6"/>
    </row>
    <row r="6" spans="1:14">
      <c r="A6" s="74" t="str">
        <f>'3Yearly O&amp;M Costs 1-10'!A6</f>
        <v>Current Inflation Rate Based on Municipal Cost Index:</v>
      </c>
      <c r="B6" s="75">
        <f>'3Yearly O&amp;M Costs 1-10'!B6</f>
        <v>2.7598896044158234E-2</v>
      </c>
      <c r="C6" s="91"/>
      <c r="D6" s="91"/>
      <c r="E6" s="96"/>
      <c r="G6" s="96"/>
      <c r="H6" s="96"/>
      <c r="I6" s="96"/>
      <c r="J6" s="96"/>
      <c r="K6" s="96"/>
      <c r="L6" s="96"/>
      <c r="M6" s="96" t="s">
        <v>43</v>
      </c>
      <c r="N6" s="101">
        <f>'Replace Costs-Results 16-20'!F5</f>
        <v>4.8750000000000002E-2</v>
      </c>
    </row>
    <row r="7" spans="1:14">
      <c r="A7" s="74"/>
      <c r="B7" s="75"/>
      <c r="C7" s="91"/>
      <c r="D7" s="91"/>
      <c r="E7" s="151" t="s">
        <v>53</v>
      </c>
      <c r="F7" s="147"/>
      <c r="G7" s="147"/>
      <c r="H7" s="147"/>
      <c r="I7" s="147"/>
      <c r="J7" s="147"/>
      <c r="K7" s="147"/>
      <c r="L7" s="147"/>
      <c r="M7" s="147"/>
      <c r="N7" s="148"/>
    </row>
    <row r="8" spans="1:14">
      <c r="A8" s="12" t="s">
        <v>4</v>
      </c>
      <c r="B8" s="12" t="s">
        <v>0</v>
      </c>
      <c r="C8" s="12" t="s">
        <v>5</v>
      </c>
      <c r="D8" s="12" t="s">
        <v>1</v>
      </c>
      <c r="E8" s="39">
        <v>1</v>
      </c>
      <c r="F8" s="39">
        <v>2</v>
      </c>
      <c r="G8" s="39">
        <v>3</v>
      </c>
      <c r="H8" s="39">
        <v>4</v>
      </c>
      <c r="I8" s="39">
        <v>5</v>
      </c>
      <c r="J8" s="39">
        <v>6</v>
      </c>
      <c r="K8" s="39">
        <v>7</v>
      </c>
      <c r="L8" s="39">
        <v>8</v>
      </c>
      <c r="M8" s="39">
        <v>9</v>
      </c>
      <c r="N8" s="39">
        <v>10</v>
      </c>
    </row>
    <row r="9" spans="1:14">
      <c r="A9" s="97"/>
      <c r="B9" s="81"/>
      <c r="C9" s="86"/>
      <c r="D9" s="89"/>
      <c r="E9" s="34" t="str">
        <f t="shared" ref="E9:N24" si="0">IF($A9&lt;&gt;"", (($B9*$D9)*((1+$B$6)^E$8)*(1/((1+$N$6)^E$8))), "")</f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7"/>
      <c r="B10" s="81"/>
      <c r="C10" s="86"/>
      <c r="D10" s="89"/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7"/>
      <c r="B11" s="81"/>
      <c r="C11" s="86"/>
      <c r="D11" s="89"/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7"/>
      <c r="B12" s="81"/>
      <c r="C12" s="84"/>
      <c r="D12" s="89"/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7"/>
      <c r="B13" s="83"/>
      <c r="C13" s="86"/>
      <c r="D13" s="89"/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7"/>
      <c r="B14" s="83"/>
      <c r="C14" s="86"/>
      <c r="D14" s="89"/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7"/>
      <c r="B15" s="81"/>
      <c r="C15" s="86"/>
      <c r="D15" s="89"/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7"/>
      <c r="B16" s="81"/>
      <c r="C16" s="86"/>
      <c r="D16" s="90"/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7"/>
      <c r="B17" s="81"/>
      <c r="C17" s="86"/>
      <c r="D17" s="90"/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7"/>
      <c r="B18" s="81"/>
      <c r="C18" s="86"/>
      <c r="D18" s="90"/>
      <c r="E18" s="34" t="str">
        <f t="shared" si="0"/>
        <v/>
      </c>
      <c r="F18" s="34" t="str">
        <f t="shared" si="0"/>
        <v/>
      </c>
      <c r="G18" s="34" t="str">
        <f t="shared" si="0"/>
        <v/>
      </c>
      <c r="H18" s="34" t="str">
        <f t="shared" si="0"/>
        <v/>
      </c>
      <c r="I18" s="34" t="str">
        <f t="shared" si="0"/>
        <v/>
      </c>
      <c r="J18" s="34" t="str">
        <f t="shared" si="0"/>
        <v/>
      </c>
      <c r="K18" s="34" t="str">
        <f t="shared" si="0"/>
        <v/>
      </c>
      <c r="L18" s="34" t="str">
        <f t="shared" si="0"/>
        <v/>
      </c>
      <c r="M18" s="34" t="str">
        <f t="shared" si="0"/>
        <v/>
      </c>
      <c r="N18" s="35" t="str">
        <f t="shared" si="0"/>
        <v/>
      </c>
    </row>
    <row r="19" spans="1:14">
      <c r="A19" s="97"/>
      <c r="B19" s="81"/>
      <c r="C19" s="86"/>
      <c r="D19" s="90"/>
      <c r="E19" s="34" t="str">
        <f t="shared" si="0"/>
        <v/>
      </c>
      <c r="F19" s="34" t="str">
        <f t="shared" si="0"/>
        <v/>
      </c>
      <c r="G19" s="34" t="str">
        <f t="shared" si="0"/>
        <v/>
      </c>
      <c r="H19" s="34" t="str">
        <f t="shared" si="0"/>
        <v/>
      </c>
      <c r="I19" s="34" t="str">
        <f t="shared" si="0"/>
        <v/>
      </c>
      <c r="J19" s="34" t="str">
        <f t="shared" si="0"/>
        <v/>
      </c>
      <c r="K19" s="34" t="str">
        <f t="shared" si="0"/>
        <v/>
      </c>
      <c r="L19" s="34" t="str">
        <f t="shared" si="0"/>
        <v/>
      </c>
      <c r="M19" s="34" t="str">
        <f t="shared" si="0"/>
        <v/>
      </c>
      <c r="N19" s="35" t="str">
        <f t="shared" si="0"/>
        <v/>
      </c>
    </row>
    <row r="20" spans="1:14">
      <c r="A20" s="97"/>
      <c r="B20" s="81"/>
      <c r="C20" s="86"/>
      <c r="D20" s="90"/>
      <c r="E20" s="34" t="str">
        <f t="shared" si="0"/>
        <v/>
      </c>
      <c r="F20" s="34" t="str">
        <f t="shared" si="0"/>
        <v/>
      </c>
      <c r="G20" s="34" t="str">
        <f t="shared" si="0"/>
        <v/>
      </c>
      <c r="H20" s="34" t="str">
        <f t="shared" si="0"/>
        <v/>
      </c>
      <c r="I20" s="34" t="str">
        <f t="shared" si="0"/>
        <v/>
      </c>
      <c r="J20" s="34" t="str">
        <f t="shared" si="0"/>
        <v/>
      </c>
      <c r="K20" s="34" t="str">
        <f t="shared" si="0"/>
        <v/>
      </c>
      <c r="L20" s="34" t="str">
        <f t="shared" si="0"/>
        <v/>
      </c>
      <c r="M20" s="34" t="str">
        <f t="shared" si="0"/>
        <v/>
      </c>
      <c r="N20" s="35" t="str">
        <f t="shared" si="0"/>
        <v/>
      </c>
    </row>
    <row r="21" spans="1:14">
      <c r="A21" s="97"/>
      <c r="B21" s="81"/>
      <c r="C21" s="86"/>
      <c r="D21" s="90"/>
      <c r="E21" s="34" t="str">
        <f t="shared" si="0"/>
        <v/>
      </c>
      <c r="F21" s="34" t="str">
        <f t="shared" si="0"/>
        <v/>
      </c>
      <c r="G21" s="34" t="str">
        <f t="shared" si="0"/>
        <v/>
      </c>
      <c r="H21" s="34" t="str">
        <f t="shared" si="0"/>
        <v/>
      </c>
      <c r="I21" s="34" t="str">
        <f t="shared" si="0"/>
        <v/>
      </c>
      <c r="J21" s="34" t="str">
        <f t="shared" si="0"/>
        <v/>
      </c>
      <c r="K21" s="34" t="str">
        <f t="shared" si="0"/>
        <v/>
      </c>
      <c r="L21" s="34" t="str">
        <f t="shared" si="0"/>
        <v/>
      </c>
      <c r="M21" s="34" t="str">
        <f t="shared" si="0"/>
        <v/>
      </c>
      <c r="N21" s="35" t="str">
        <f t="shared" si="0"/>
        <v/>
      </c>
    </row>
    <row r="22" spans="1:14">
      <c r="A22" s="97"/>
      <c r="B22" s="81"/>
      <c r="C22" s="86"/>
      <c r="D22" s="90"/>
      <c r="E22" s="34" t="str">
        <f t="shared" si="0"/>
        <v/>
      </c>
      <c r="F22" s="34" t="str">
        <f t="shared" si="0"/>
        <v/>
      </c>
      <c r="G22" s="34" t="str">
        <f t="shared" si="0"/>
        <v/>
      </c>
      <c r="H22" s="34" t="str">
        <f t="shared" si="0"/>
        <v/>
      </c>
      <c r="I22" s="34" t="str">
        <f t="shared" si="0"/>
        <v/>
      </c>
      <c r="J22" s="34" t="str">
        <f t="shared" si="0"/>
        <v/>
      </c>
      <c r="K22" s="34" t="str">
        <f t="shared" si="0"/>
        <v/>
      </c>
      <c r="L22" s="34" t="str">
        <f t="shared" si="0"/>
        <v/>
      </c>
      <c r="M22" s="34" t="str">
        <f t="shared" si="0"/>
        <v/>
      </c>
      <c r="N22" s="35" t="str">
        <f t="shared" si="0"/>
        <v/>
      </c>
    </row>
    <row r="23" spans="1:14">
      <c r="A23" s="97"/>
      <c r="B23" s="81"/>
      <c r="C23" s="86"/>
      <c r="D23" s="90"/>
      <c r="E23" s="34" t="str">
        <f t="shared" si="0"/>
        <v/>
      </c>
      <c r="F23" s="34" t="str">
        <f t="shared" si="0"/>
        <v/>
      </c>
      <c r="G23" s="34" t="str">
        <f t="shared" si="0"/>
        <v/>
      </c>
      <c r="H23" s="34" t="str">
        <f t="shared" si="0"/>
        <v/>
      </c>
      <c r="I23" s="34" t="str">
        <f t="shared" si="0"/>
        <v/>
      </c>
      <c r="J23" s="34" t="str">
        <f t="shared" si="0"/>
        <v/>
      </c>
      <c r="K23" s="34" t="str">
        <f t="shared" si="0"/>
        <v/>
      </c>
      <c r="L23" s="34" t="str">
        <f t="shared" si="0"/>
        <v/>
      </c>
      <c r="M23" s="34" t="str">
        <f t="shared" si="0"/>
        <v/>
      </c>
      <c r="N23" s="35" t="str">
        <f t="shared" si="0"/>
        <v/>
      </c>
    </row>
    <row r="24" spans="1:14">
      <c r="A24" s="97"/>
      <c r="B24" s="81"/>
      <c r="C24" s="86"/>
      <c r="D24" s="90"/>
      <c r="E24" s="34" t="str">
        <f t="shared" si="0"/>
        <v/>
      </c>
      <c r="F24" s="34" t="str">
        <f t="shared" si="0"/>
        <v/>
      </c>
      <c r="G24" s="34" t="str">
        <f t="shared" si="0"/>
        <v/>
      </c>
      <c r="H24" s="34" t="str">
        <f t="shared" si="0"/>
        <v/>
      </c>
      <c r="I24" s="34" t="str">
        <f t="shared" si="0"/>
        <v/>
      </c>
      <c r="J24" s="34" t="str">
        <f t="shared" si="0"/>
        <v/>
      </c>
      <c r="K24" s="34" t="str">
        <f t="shared" si="0"/>
        <v/>
      </c>
      <c r="L24" s="34" t="str">
        <f t="shared" si="0"/>
        <v/>
      </c>
      <c r="M24" s="34" t="str">
        <f t="shared" si="0"/>
        <v/>
      </c>
      <c r="N24" s="35" t="str">
        <f t="shared" si="0"/>
        <v/>
      </c>
    </row>
    <row r="25" spans="1:14">
      <c r="A25" s="97"/>
      <c r="B25" s="81"/>
      <c r="C25" s="86"/>
      <c r="D25" s="90"/>
      <c r="E25" s="34" t="str">
        <f t="shared" ref="E25:N31" si="1">IF($A25&lt;&gt;"", (($B25*$D25)*((1+$B$6)^E$8)*(1/((1+$N$6)^E$8))), "")</f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7"/>
      <c r="B26" s="81"/>
      <c r="C26" s="86"/>
      <c r="D26" s="90"/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7"/>
      <c r="B27" s="81"/>
      <c r="C27" s="86"/>
      <c r="D27" s="90"/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7"/>
      <c r="B28" s="81"/>
      <c r="C28" s="86"/>
      <c r="D28" s="90"/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7"/>
      <c r="B29" s="81"/>
      <c r="C29" s="86"/>
      <c r="D29" s="90"/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7"/>
      <c r="B30" s="81"/>
      <c r="C30" s="86"/>
      <c r="D30" s="90"/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7"/>
      <c r="B31" s="81"/>
      <c r="C31" s="86"/>
      <c r="D31" s="90"/>
      <c r="E31" s="34" t="str">
        <f t="shared" si="1"/>
        <v/>
      </c>
      <c r="F31" s="34" t="str">
        <f t="shared" si="1"/>
        <v/>
      </c>
      <c r="G31" s="34" t="str">
        <f t="shared" si="1"/>
        <v/>
      </c>
      <c r="H31" s="34" t="str">
        <f t="shared" si="1"/>
        <v/>
      </c>
      <c r="I31" s="34" t="str">
        <f t="shared" si="1"/>
        <v/>
      </c>
      <c r="J31" s="34" t="str">
        <f t="shared" si="1"/>
        <v/>
      </c>
      <c r="K31" s="34" t="str">
        <f t="shared" si="1"/>
        <v/>
      </c>
      <c r="L31" s="34" t="str">
        <f t="shared" si="1"/>
        <v/>
      </c>
      <c r="M31" s="34" t="str">
        <f t="shared" si="1"/>
        <v/>
      </c>
      <c r="N31" s="35" t="str">
        <f t="shared" si="1"/>
        <v/>
      </c>
    </row>
    <row r="32" spans="1:14">
      <c r="A32" s="9"/>
      <c r="B32" s="23"/>
      <c r="C32" s="23"/>
      <c r="D32" s="37" t="s">
        <v>54</v>
      </c>
      <c r="E32" s="28">
        <f>SUM(E9:E31)</f>
        <v>0</v>
      </c>
      <c r="F32" s="28">
        <f t="shared" ref="F32:N32" si="2">SUM(F9:F31)</f>
        <v>0</v>
      </c>
      <c r="G32" s="28">
        <f t="shared" si="2"/>
        <v>0</v>
      </c>
      <c r="H32" s="28">
        <f t="shared" si="2"/>
        <v>0</v>
      </c>
      <c r="I32" s="28">
        <f t="shared" si="2"/>
        <v>0</v>
      </c>
      <c r="J32" s="28">
        <f t="shared" si="2"/>
        <v>0</v>
      </c>
      <c r="K32" s="28">
        <f t="shared" si="2"/>
        <v>0</v>
      </c>
      <c r="L32" s="28">
        <f t="shared" si="2"/>
        <v>0</v>
      </c>
      <c r="M32" s="28">
        <f t="shared" si="2"/>
        <v>0</v>
      </c>
      <c r="N32" s="28">
        <f t="shared" si="2"/>
        <v>0</v>
      </c>
    </row>
    <row r="35" spans="1:2" hidden="1">
      <c r="A35" s="6" t="s">
        <v>7</v>
      </c>
      <c r="B35" s="33">
        <v>4.8750000000000002E-2</v>
      </c>
    </row>
  </sheetData>
  <sheetProtection sheet="1" objects="1" scenarios="1"/>
  <mergeCells count="6">
    <mergeCell ref="E7:N7"/>
    <mergeCell ref="A1:N1"/>
    <mergeCell ref="A2:N2"/>
    <mergeCell ref="A3:N3"/>
    <mergeCell ref="A4:N4"/>
    <mergeCell ref="A5:N5"/>
  </mergeCells>
  <printOptions horizontalCentered="1"/>
  <pageMargins left="0.5" right="0.5" top="0.5" bottom="0.5" header="0.3" footer="0.3"/>
  <pageSetup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34"/>
  <sheetViews>
    <sheetView workbookViewId="0">
      <selection activeCell="A2" sqref="A2:N2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3" width="9.7109375" style="1" customWidth="1"/>
    <col min="14" max="14" width="12.7109375" style="1" customWidth="1"/>
    <col min="15" max="16384" width="9.140625" style="1"/>
  </cols>
  <sheetData>
    <row r="1" spans="1:14">
      <c r="A1" s="137" t="s">
        <v>171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'4Capital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'4Yearly O&amp;M Costs 1-10'!A6</f>
        <v>Current Inflation Rate Based on Municipal Cost Index:</v>
      </c>
      <c r="B5" s="75">
        <f>'4Yearly O&amp;M Costs 1-10'!B6</f>
        <v>2.7598896044158234E-2</v>
      </c>
      <c r="C5" s="91"/>
      <c r="D5" s="91"/>
      <c r="E5" s="96"/>
      <c r="G5" s="96"/>
      <c r="H5" s="96"/>
      <c r="I5" s="96"/>
      <c r="J5" s="96"/>
      <c r="K5" s="96"/>
      <c r="L5" s="96"/>
      <c r="M5" s="96" t="s">
        <v>43</v>
      </c>
      <c r="N5" s="101">
        <f>'Replace Costs-Results 16-20'!F5</f>
        <v>4.8750000000000002E-2</v>
      </c>
    </row>
    <row r="6" spans="1:14">
      <c r="A6" s="74"/>
      <c r="B6" s="75"/>
      <c r="C6" s="91"/>
      <c r="D6" s="91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2" t="s">
        <v>4</v>
      </c>
      <c r="B7" s="12" t="s">
        <v>0</v>
      </c>
      <c r="C7" s="12" t="s">
        <v>5</v>
      </c>
      <c r="D7" s="12" t="s">
        <v>1</v>
      </c>
      <c r="E7" s="39">
        <v>11</v>
      </c>
      <c r="F7" s="39">
        <v>12</v>
      </c>
      <c r="G7" s="39">
        <v>13</v>
      </c>
      <c r="H7" s="39">
        <v>14</v>
      </c>
      <c r="I7" s="39">
        <v>15</v>
      </c>
      <c r="J7" s="39">
        <v>16</v>
      </c>
      <c r="K7" s="39">
        <v>17</v>
      </c>
      <c r="L7" s="39">
        <v>18</v>
      </c>
      <c r="M7" s="39">
        <v>19</v>
      </c>
      <c r="N7" s="39">
        <v>20</v>
      </c>
    </row>
    <row r="8" spans="1:14">
      <c r="A8" s="98" t="str">
        <f>IF('4Yearly O&amp;M Costs 1-10'!A9&lt;&gt;"", '4Yearly O&amp;M Costs 1-10'!A9, "")</f>
        <v/>
      </c>
      <c r="B8" s="113" t="str">
        <f>IF('4Yearly O&amp;M Costs 1-10'!B9&lt;&gt;"", '4Yearly O&amp;M Costs 1-10'!B9, "")</f>
        <v/>
      </c>
      <c r="C8" s="98" t="str">
        <f>IF('4Yearly O&amp;M Costs 1-10'!C9&lt;&gt;"", '4Yearly O&amp;M Costs 1-10'!C9, "")</f>
        <v/>
      </c>
      <c r="D8" s="109" t="str">
        <f>IF('4Yearly O&amp;M Costs 1-10'!D9&lt;&gt;"", '4Yearly O&amp;M Costs 1-10'!D9, "")</f>
        <v/>
      </c>
      <c r="E8" s="34" t="str">
        <f t="shared" ref="E8:N23" si="0">IF($A8&lt;&gt;"", (($B8*$D8)*((1+$B$5)^E$7)*(1/((1+$N$5)^E$7))), "")</f>
        <v/>
      </c>
      <c r="F8" s="34" t="str">
        <f t="shared" si="0"/>
        <v/>
      </c>
      <c r="G8" s="34" t="str">
        <f t="shared" si="0"/>
        <v/>
      </c>
      <c r="H8" s="34" t="str">
        <f t="shared" si="0"/>
        <v/>
      </c>
      <c r="I8" s="34" t="str">
        <f t="shared" si="0"/>
        <v/>
      </c>
      <c r="J8" s="34" t="str">
        <f t="shared" si="0"/>
        <v/>
      </c>
      <c r="K8" s="34" t="str">
        <f t="shared" si="0"/>
        <v/>
      </c>
      <c r="L8" s="34" t="str">
        <f t="shared" si="0"/>
        <v/>
      </c>
      <c r="M8" s="34" t="str">
        <f t="shared" si="0"/>
        <v/>
      </c>
      <c r="N8" s="35" t="str">
        <f t="shared" si="0"/>
        <v/>
      </c>
    </row>
    <row r="9" spans="1:14">
      <c r="A9" s="98" t="str">
        <f>IF('4Yearly O&amp;M Costs 1-10'!A10&lt;&gt;"", '4Yearly O&amp;M Costs 1-10'!A10, "")</f>
        <v/>
      </c>
      <c r="B9" s="113" t="str">
        <f>IF('4Yearly O&amp;M Costs 1-10'!B10&lt;&gt;"", '4Yearly O&amp;M Costs 1-10'!B10, "")</f>
        <v/>
      </c>
      <c r="C9" s="98" t="str">
        <f>IF('4Yearly O&amp;M Costs 1-10'!C10&lt;&gt;"", '4Yearly O&amp;M Costs 1-10'!C10, "")</f>
        <v/>
      </c>
      <c r="D9" s="109" t="str">
        <f>IF('4Yearly O&amp;M Costs 1-10'!D10&lt;&gt;"", '4Yearly O&amp;M Costs 1-10'!D10, "")</f>
        <v/>
      </c>
      <c r="E9" s="34" t="str">
        <f t="shared" si="0"/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8" t="str">
        <f>IF('4Yearly O&amp;M Costs 1-10'!A11&lt;&gt;"", '4Yearly O&amp;M Costs 1-10'!A11, "")</f>
        <v/>
      </c>
      <c r="B10" s="113" t="str">
        <f>IF('4Yearly O&amp;M Costs 1-10'!B11&lt;&gt;"", '4Yearly O&amp;M Costs 1-10'!B11, "")</f>
        <v/>
      </c>
      <c r="C10" s="98" t="str">
        <f>IF('4Yearly O&amp;M Costs 1-10'!C11&lt;&gt;"", '4Yearly O&amp;M Costs 1-10'!C11, "")</f>
        <v/>
      </c>
      <c r="D10" s="109" t="str">
        <f>IF('4Yearly O&amp;M Costs 1-10'!D11&lt;&gt;"", '4Yearly O&amp;M Costs 1-10'!D11, "")</f>
        <v/>
      </c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8" t="str">
        <f>IF('4Yearly O&amp;M Costs 1-10'!A12&lt;&gt;"", '4Yearly O&amp;M Costs 1-10'!A12, "")</f>
        <v/>
      </c>
      <c r="B11" s="113" t="str">
        <f>IF('4Yearly O&amp;M Costs 1-10'!B12&lt;&gt;"", '4Yearly O&amp;M Costs 1-10'!B12, "")</f>
        <v/>
      </c>
      <c r="C11" s="98" t="str">
        <f>IF('4Yearly O&amp;M Costs 1-10'!C12&lt;&gt;"", '4Yearly O&amp;M Costs 1-10'!C12, "")</f>
        <v/>
      </c>
      <c r="D11" s="109" t="str">
        <f>IF('4Yearly O&amp;M Costs 1-10'!D12&lt;&gt;"", '4Yearly O&amp;M Costs 1-10'!D12, "")</f>
        <v/>
      </c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8" t="str">
        <f>IF('4Yearly O&amp;M Costs 1-10'!A13&lt;&gt;"", '4Yearly O&amp;M Costs 1-10'!A13, "")</f>
        <v/>
      </c>
      <c r="B12" s="113" t="str">
        <f>IF('4Yearly O&amp;M Costs 1-10'!B13&lt;&gt;"", '4Yearly O&amp;M Costs 1-10'!B13, "")</f>
        <v/>
      </c>
      <c r="C12" s="98" t="str">
        <f>IF('4Yearly O&amp;M Costs 1-10'!C13&lt;&gt;"", '4Yearly O&amp;M Costs 1-10'!C13, "")</f>
        <v/>
      </c>
      <c r="D12" s="109" t="str">
        <f>IF('4Yearly O&amp;M Costs 1-10'!D13&lt;&gt;"", '4Yearly O&amp;M Costs 1-10'!D13, "")</f>
        <v/>
      </c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8" t="str">
        <f>IF('4Yearly O&amp;M Costs 1-10'!A14&lt;&gt;"", '4Yearly O&amp;M Costs 1-10'!A14, "")</f>
        <v/>
      </c>
      <c r="B13" s="113" t="str">
        <f>IF('4Yearly O&amp;M Costs 1-10'!B14&lt;&gt;"", '4Yearly O&amp;M Costs 1-10'!B14, "")</f>
        <v/>
      </c>
      <c r="C13" s="98" t="str">
        <f>IF('4Yearly O&amp;M Costs 1-10'!C14&lt;&gt;"", '4Yearly O&amp;M Costs 1-10'!C14, "")</f>
        <v/>
      </c>
      <c r="D13" s="109" t="str">
        <f>IF('4Yearly O&amp;M Costs 1-10'!D14&lt;&gt;"", '4Yearly O&amp;M Costs 1-10'!D14, "")</f>
        <v/>
      </c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8" t="str">
        <f>IF('4Yearly O&amp;M Costs 1-10'!A15&lt;&gt;"", '4Yearly O&amp;M Costs 1-10'!A15, "")</f>
        <v/>
      </c>
      <c r="B14" s="113" t="str">
        <f>IF('4Yearly O&amp;M Costs 1-10'!B15&lt;&gt;"", '4Yearly O&amp;M Costs 1-10'!B15, "")</f>
        <v/>
      </c>
      <c r="C14" s="98" t="str">
        <f>IF('4Yearly O&amp;M Costs 1-10'!C15&lt;&gt;"", '4Yearly O&amp;M Costs 1-10'!C15, "")</f>
        <v/>
      </c>
      <c r="D14" s="109" t="str">
        <f>IF('4Yearly O&amp;M Costs 1-10'!D15&lt;&gt;"", '3Yearly O&amp;M Costs 1-10'!D15, "")</f>
        <v/>
      </c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8" t="str">
        <f>IF('3Yearly O&amp;M Costs 1-10'!A16&lt;&gt;"", '3Yearly O&amp;M Costs 1-10'!A16, "")</f>
        <v/>
      </c>
      <c r="B15" s="113" t="str">
        <f>IF('3Yearly O&amp;M Costs 1-10'!B16&lt;&gt;"", '3Yearly O&amp;M Costs 1-10'!B16, "")</f>
        <v/>
      </c>
      <c r="C15" s="98" t="str">
        <f>IF('3Yearly O&amp;M Costs 1-10'!C16&lt;&gt;"", '3Yearly O&amp;M Costs 1-10'!C16, "")</f>
        <v/>
      </c>
      <c r="D15" s="109" t="str">
        <f>IF('3Yearly O&amp;M Costs 1-10'!D16&lt;&gt;"", '3Yearly O&amp;M Costs 1-10'!D16, "")</f>
        <v/>
      </c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8" t="str">
        <f>IF('3Yearly O&amp;M Costs 1-10'!A17&lt;&gt;"", '3Yearly O&amp;M Costs 1-10'!A17, "")</f>
        <v/>
      </c>
      <c r="B16" s="113" t="str">
        <f>IF('3Yearly O&amp;M Costs 1-10'!B17&lt;&gt;"", '3Yearly O&amp;M Costs 1-10'!B17, "")</f>
        <v/>
      </c>
      <c r="C16" s="98" t="str">
        <f>IF('3Yearly O&amp;M Costs 1-10'!C17&lt;&gt;"", '3Yearly O&amp;M Costs 1-10'!C17, "")</f>
        <v/>
      </c>
      <c r="D16" s="109" t="str">
        <f>IF('3Yearly O&amp;M Costs 1-10'!D17&lt;&gt;"", '3Yearly O&amp;M Costs 1-10'!D17, "")</f>
        <v/>
      </c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8" t="str">
        <f>IF('3Yearly O&amp;M Costs 1-10'!A18&lt;&gt;"", '3Yearly O&amp;M Costs 1-10'!A18, "")</f>
        <v/>
      </c>
      <c r="B17" s="113" t="str">
        <f>IF('3Yearly O&amp;M Costs 1-10'!B18&lt;&gt;"", '3Yearly O&amp;M Costs 1-10'!B18, "")</f>
        <v/>
      </c>
      <c r="C17" s="98" t="str">
        <f>IF('3Yearly O&amp;M Costs 1-10'!C18&lt;&gt;"", '3Yearly O&amp;M Costs 1-10'!C18, "")</f>
        <v/>
      </c>
      <c r="D17" s="109" t="str">
        <f>IF('3Yearly O&amp;M Costs 1-10'!D18&lt;&gt;"", '3Yearly O&amp;M Costs 1-10'!D18, "")</f>
        <v/>
      </c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8" t="str">
        <f>IF('3Yearly O&amp;M Costs 1-10'!A19&lt;&gt;"", '3Yearly O&amp;M Costs 1-10'!A19, "")</f>
        <v/>
      </c>
      <c r="B18" s="113" t="str">
        <f>IF('3Yearly O&amp;M Costs 1-10'!B19&lt;&gt;"", '3Yearly O&amp;M Costs 1-10'!B19, "")</f>
        <v/>
      </c>
      <c r="C18" s="98" t="str">
        <f>IF('3Yearly O&amp;M Costs 1-10'!C19&lt;&gt;"", '3Yearly O&amp;M Costs 1-10'!C19, "")</f>
        <v/>
      </c>
      <c r="D18" s="109" t="str">
        <f>IF('3Yearly O&amp;M Costs 1-10'!D19&lt;&gt;"", '3Yearly O&amp;M Costs 1-10'!D19, "")</f>
        <v/>
      </c>
      <c r="E18" s="34" t="str">
        <f t="shared" si="0"/>
        <v/>
      </c>
      <c r="F18" s="34" t="str">
        <f t="shared" si="0"/>
        <v/>
      </c>
      <c r="G18" s="34" t="str">
        <f t="shared" si="0"/>
        <v/>
      </c>
      <c r="H18" s="34" t="str">
        <f t="shared" si="0"/>
        <v/>
      </c>
      <c r="I18" s="34" t="str">
        <f t="shared" si="0"/>
        <v/>
      </c>
      <c r="J18" s="34" t="str">
        <f t="shared" si="0"/>
        <v/>
      </c>
      <c r="K18" s="34" t="str">
        <f t="shared" si="0"/>
        <v/>
      </c>
      <c r="L18" s="34" t="str">
        <f t="shared" si="0"/>
        <v/>
      </c>
      <c r="M18" s="34" t="str">
        <f t="shared" si="0"/>
        <v/>
      </c>
      <c r="N18" s="35" t="str">
        <f t="shared" si="0"/>
        <v/>
      </c>
    </row>
    <row r="19" spans="1:14">
      <c r="A19" s="98" t="str">
        <f>IF('3Yearly O&amp;M Costs 1-10'!A20&lt;&gt;"", '3Yearly O&amp;M Costs 1-10'!A20, "")</f>
        <v/>
      </c>
      <c r="B19" s="113" t="str">
        <f>IF('3Yearly O&amp;M Costs 1-10'!B20&lt;&gt;"", '3Yearly O&amp;M Costs 1-10'!B20, "")</f>
        <v/>
      </c>
      <c r="C19" s="98" t="str">
        <f>IF('3Yearly O&amp;M Costs 1-10'!C20&lt;&gt;"", '3Yearly O&amp;M Costs 1-10'!C20, "")</f>
        <v/>
      </c>
      <c r="D19" s="109" t="str">
        <f>IF('3Yearly O&amp;M Costs 1-10'!D20&lt;&gt;"", '3Yearly O&amp;M Costs 1-10'!D20, "")</f>
        <v/>
      </c>
      <c r="E19" s="34" t="str">
        <f t="shared" si="0"/>
        <v/>
      </c>
      <c r="F19" s="34" t="str">
        <f t="shared" si="0"/>
        <v/>
      </c>
      <c r="G19" s="34" t="str">
        <f t="shared" si="0"/>
        <v/>
      </c>
      <c r="H19" s="34" t="str">
        <f t="shared" si="0"/>
        <v/>
      </c>
      <c r="I19" s="34" t="str">
        <f t="shared" si="0"/>
        <v/>
      </c>
      <c r="J19" s="34" t="str">
        <f t="shared" si="0"/>
        <v/>
      </c>
      <c r="K19" s="34" t="str">
        <f t="shared" si="0"/>
        <v/>
      </c>
      <c r="L19" s="34" t="str">
        <f t="shared" si="0"/>
        <v/>
      </c>
      <c r="M19" s="34" t="str">
        <f t="shared" si="0"/>
        <v/>
      </c>
      <c r="N19" s="35" t="str">
        <f t="shared" si="0"/>
        <v/>
      </c>
    </row>
    <row r="20" spans="1:14">
      <c r="A20" s="98" t="str">
        <f>IF('3Yearly O&amp;M Costs 1-10'!A21&lt;&gt;"", '3Yearly O&amp;M Costs 1-10'!A21, "")</f>
        <v/>
      </c>
      <c r="B20" s="113" t="str">
        <f>IF('3Yearly O&amp;M Costs 1-10'!B21&lt;&gt;"", '3Yearly O&amp;M Costs 1-10'!B21, "")</f>
        <v/>
      </c>
      <c r="C20" s="98" t="str">
        <f>IF('3Yearly O&amp;M Costs 1-10'!C21&lt;&gt;"", '3Yearly O&amp;M Costs 1-10'!C21, "")</f>
        <v/>
      </c>
      <c r="D20" s="109" t="str">
        <f>IF('3Yearly O&amp;M Costs 1-10'!D21&lt;&gt;"", '3Yearly O&amp;M Costs 1-10'!D21, "")</f>
        <v/>
      </c>
      <c r="E20" s="34" t="str">
        <f t="shared" si="0"/>
        <v/>
      </c>
      <c r="F20" s="34" t="str">
        <f t="shared" si="0"/>
        <v/>
      </c>
      <c r="G20" s="34" t="str">
        <f t="shared" si="0"/>
        <v/>
      </c>
      <c r="H20" s="34" t="str">
        <f t="shared" si="0"/>
        <v/>
      </c>
      <c r="I20" s="34" t="str">
        <f t="shared" si="0"/>
        <v/>
      </c>
      <c r="J20" s="34" t="str">
        <f t="shared" si="0"/>
        <v/>
      </c>
      <c r="K20" s="34" t="str">
        <f t="shared" si="0"/>
        <v/>
      </c>
      <c r="L20" s="34" t="str">
        <f t="shared" si="0"/>
        <v/>
      </c>
      <c r="M20" s="34" t="str">
        <f t="shared" si="0"/>
        <v/>
      </c>
      <c r="N20" s="35" t="str">
        <f t="shared" si="0"/>
        <v/>
      </c>
    </row>
    <row r="21" spans="1:14">
      <c r="A21" s="98" t="str">
        <f>IF('3Yearly O&amp;M Costs 1-10'!A22&lt;&gt;"", '3Yearly O&amp;M Costs 1-10'!A22, "")</f>
        <v/>
      </c>
      <c r="B21" s="113" t="str">
        <f>IF('3Yearly O&amp;M Costs 1-10'!B22&lt;&gt;"", '3Yearly O&amp;M Costs 1-10'!B22, "")</f>
        <v/>
      </c>
      <c r="C21" s="98" t="str">
        <f>IF('3Yearly O&amp;M Costs 1-10'!C22&lt;&gt;"", '3Yearly O&amp;M Costs 1-10'!C22, "")</f>
        <v/>
      </c>
      <c r="D21" s="109" t="str">
        <f>IF('3Yearly O&amp;M Costs 1-10'!D22&lt;&gt;"", '3Yearly O&amp;M Costs 1-10'!D22, "")</f>
        <v/>
      </c>
      <c r="E21" s="34" t="str">
        <f t="shared" si="0"/>
        <v/>
      </c>
      <c r="F21" s="34" t="str">
        <f t="shared" si="0"/>
        <v/>
      </c>
      <c r="G21" s="34" t="str">
        <f t="shared" si="0"/>
        <v/>
      </c>
      <c r="H21" s="34" t="str">
        <f t="shared" si="0"/>
        <v/>
      </c>
      <c r="I21" s="34" t="str">
        <f t="shared" si="0"/>
        <v/>
      </c>
      <c r="J21" s="34" t="str">
        <f t="shared" si="0"/>
        <v/>
      </c>
      <c r="K21" s="34" t="str">
        <f t="shared" si="0"/>
        <v/>
      </c>
      <c r="L21" s="34" t="str">
        <f t="shared" si="0"/>
        <v/>
      </c>
      <c r="M21" s="34" t="str">
        <f t="shared" si="0"/>
        <v/>
      </c>
      <c r="N21" s="35" t="str">
        <f t="shared" si="0"/>
        <v/>
      </c>
    </row>
    <row r="22" spans="1:14">
      <c r="A22" s="98" t="str">
        <f>IF('3Yearly O&amp;M Costs 1-10'!A23&lt;&gt;"", '3Yearly O&amp;M Costs 1-10'!A23, "")</f>
        <v/>
      </c>
      <c r="B22" s="113" t="str">
        <f>IF('3Yearly O&amp;M Costs 1-10'!B23&lt;&gt;"", '3Yearly O&amp;M Costs 1-10'!B23, "")</f>
        <v/>
      </c>
      <c r="C22" s="98" t="str">
        <f>IF('3Yearly O&amp;M Costs 1-10'!C23&lt;&gt;"", '3Yearly O&amp;M Costs 1-10'!C23, "")</f>
        <v/>
      </c>
      <c r="D22" s="109" t="str">
        <f>IF('3Yearly O&amp;M Costs 1-10'!D23&lt;&gt;"", '3Yearly O&amp;M Costs 1-10'!D23, "")</f>
        <v/>
      </c>
      <c r="E22" s="34" t="str">
        <f t="shared" si="0"/>
        <v/>
      </c>
      <c r="F22" s="34" t="str">
        <f t="shared" si="0"/>
        <v/>
      </c>
      <c r="G22" s="34" t="str">
        <f t="shared" si="0"/>
        <v/>
      </c>
      <c r="H22" s="34" t="str">
        <f t="shared" si="0"/>
        <v/>
      </c>
      <c r="I22" s="34" t="str">
        <f t="shared" si="0"/>
        <v/>
      </c>
      <c r="J22" s="34" t="str">
        <f t="shared" si="0"/>
        <v/>
      </c>
      <c r="K22" s="34" t="str">
        <f t="shared" si="0"/>
        <v/>
      </c>
      <c r="L22" s="34" t="str">
        <f t="shared" si="0"/>
        <v/>
      </c>
      <c r="M22" s="34" t="str">
        <f t="shared" si="0"/>
        <v/>
      </c>
      <c r="N22" s="35" t="str">
        <f t="shared" si="0"/>
        <v/>
      </c>
    </row>
    <row r="23" spans="1:14">
      <c r="A23" s="98" t="str">
        <f>IF('3Yearly O&amp;M Costs 1-10'!A24&lt;&gt;"", '3Yearly O&amp;M Costs 1-10'!A24, "")</f>
        <v/>
      </c>
      <c r="B23" s="113" t="str">
        <f>IF('3Yearly O&amp;M Costs 1-10'!B24&lt;&gt;"", '3Yearly O&amp;M Costs 1-10'!B24, "")</f>
        <v/>
      </c>
      <c r="C23" s="98" t="str">
        <f>IF('3Yearly O&amp;M Costs 1-10'!C24&lt;&gt;"", '3Yearly O&amp;M Costs 1-10'!C24, "")</f>
        <v/>
      </c>
      <c r="D23" s="109" t="str">
        <f>IF('3Yearly O&amp;M Costs 1-10'!D24&lt;&gt;"", '3Yearly O&amp;M Costs 1-10'!D24, "")</f>
        <v/>
      </c>
      <c r="E23" s="34" t="str">
        <f t="shared" si="0"/>
        <v/>
      </c>
      <c r="F23" s="34" t="str">
        <f t="shared" si="0"/>
        <v/>
      </c>
      <c r="G23" s="34" t="str">
        <f t="shared" si="0"/>
        <v/>
      </c>
      <c r="H23" s="34" t="str">
        <f t="shared" si="0"/>
        <v/>
      </c>
      <c r="I23" s="34" t="str">
        <f t="shared" si="0"/>
        <v/>
      </c>
      <c r="J23" s="34" t="str">
        <f t="shared" si="0"/>
        <v/>
      </c>
      <c r="K23" s="34" t="str">
        <f t="shared" si="0"/>
        <v/>
      </c>
      <c r="L23" s="34" t="str">
        <f t="shared" si="0"/>
        <v/>
      </c>
      <c r="M23" s="34" t="str">
        <f t="shared" si="0"/>
        <v/>
      </c>
      <c r="N23" s="35" t="str">
        <f t="shared" si="0"/>
        <v/>
      </c>
    </row>
    <row r="24" spans="1:14">
      <c r="A24" s="98" t="str">
        <f>IF('3Yearly O&amp;M Costs 1-10'!A25&lt;&gt;"", '3Yearly O&amp;M Costs 1-10'!A25, "")</f>
        <v/>
      </c>
      <c r="B24" s="113" t="str">
        <f>IF('3Yearly O&amp;M Costs 1-10'!B25&lt;&gt;"", '3Yearly O&amp;M Costs 1-10'!B25, "")</f>
        <v/>
      </c>
      <c r="C24" s="98" t="str">
        <f>IF('3Yearly O&amp;M Costs 1-10'!C25&lt;&gt;"", '3Yearly O&amp;M Costs 1-10'!C25, "")</f>
        <v/>
      </c>
      <c r="D24" s="109" t="str">
        <f>IF('3Yearly O&amp;M Costs 1-10'!D25&lt;&gt;"", '3Yearly O&amp;M Costs 1-10'!D25, "")</f>
        <v/>
      </c>
      <c r="E24" s="34" t="str">
        <f t="shared" ref="E24:N30" si="1">IF($A24&lt;&gt;"", (($B24*$D24)*((1+$B$5)^E$7)*(1/((1+$N$5)^E$7))), "")</f>
        <v/>
      </c>
      <c r="F24" s="34" t="str">
        <f t="shared" si="1"/>
        <v/>
      </c>
      <c r="G24" s="34" t="str">
        <f t="shared" si="1"/>
        <v/>
      </c>
      <c r="H24" s="34" t="str">
        <f t="shared" si="1"/>
        <v/>
      </c>
      <c r="I24" s="34" t="str">
        <f t="shared" si="1"/>
        <v/>
      </c>
      <c r="J24" s="34" t="str">
        <f t="shared" si="1"/>
        <v/>
      </c>
      <c r="K24" s="34" t="str">
        <f t="shared" si="1"/>
        <v/>
      </c>
      <c r="L24" s="34" t="str">
        <f t="shared" si="1"/>
        <v/>
      </c>
      <c r="M24" s="34" t="str">
        <f t="shared" si="1"/>
        <v/>
      </c>
      <c r="N24" s="35" t="str">
        <f t="shared" si="1"/>
        <v/>
      </c>
    </row>
    <row r="25" spans="1:14">
      <c r="A25" s="98" t="str">
        <f>IF('3Yearly O&amp;M Costs 1-10'!A26&lt;&gt;"", '3Yearly O&amp;M Costs 1-10'!A26, "")</f>
        <v/>
      </c>
      <c r="B25" s="113" t="str">
        <f>IF('3Yearly O&amp;M Costs 1-10'!B26&lt;&gt;"", '3Yearly O&amp;M Costs 1-10'!B26, "")</f>
        <v/>
      </c>
      <c r="C25" s="98" t="str">
        <f>IF('3Yearly O&amp;M Costs 1-10'!C26&lt;&gt;"", '3Yearly O&amp;M Costs 1-10'!C26, "")</f>
        <v/>
      </c>
      <c r="D25" s="109" t="str">
        <f>IF('3Yearly O&amp;M Costs 1-10'!D26&lt;&gt;"", '3Yearly O&amp;M Costs 1-10'!D26, "")</f>
        <v/>
      </c>
      <c r="E25" s="34" t="str">
        <f t="shared" si="1"/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8" t="str">
        <f>IF('3Yearly O&amp;M Costs 1-10'!A27&lt;&gt;"", '3Yearly O&amp;M Costs 1-10'!A27, "")</f>
        <v/>
      </c>
      <c r="B26" s="113" t="str">
        <f>IF('3Yearly O&amp;M Costs 1-10'!B27&lt;&gt;"", '3Yearly O&amp;M Costs 1-10'!B27, "")</f>
        <v/>
      </c>
      <c r="C26" s="98" t="str">
        <f>IF('3Yearly O&amp;M Costs 1-10'!C27&lt;&gt;"", '3Yearly O&amp;M Costs 1-10'!C27, "")</f>
        <v/>
      </c>
      <c r="D26" s="109" t="str">
        <f>IF('3Yearly O&amp;M Costs 1-10'!D27&lt;&gt;"", '3Yearly O&amp;M Costs 1-10'!D27, "")</f>
        <v/>
      </c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8" t="str">
        <f>IF('3Yearly O&amp;M Costs 1-10'!A28&lt;&gt;"", '3Yearly O&amp;M Costs 1-10'!A28, "")</f>
        <v/>
      </c>
      <c r="B27" s="113" t="str">
        <f>IF('3Yearly O&amp;M Costs 1-10'!B28&lt;&gt;"", '3Yearly O&amp;M Costs 1-10'!B28, "")</f>
        <v/>
      </c>
      <c r="C27" s="98" t="str">
        <f>IF('3Yearly O&amp;M Costs 1-10'!C28&lt;&gt;"", '3Yearly O&amp;M Costs 1-10'!C28, "")</f>
        <v/>
      </c>
      <c r="D27" s="109" t="str">
        <f>IF('3Yearly O&amp;M Costs 1-10'!D28&lt;&gt;"", '3Yearly O&amp;M Costs 1-10'!D28, "")</f>
        <v/>
      </c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8" t="str">
        <f>IF('3Yearly O&amp;M Costs 1-10'!A29&lt;&gt;"", '3Yearly O&amp;M Costs 1-10'!A29, "")</f>
        <v/>
      </c>
      <c r="B28" s="113" t="str">
        <f>IF('3Yearly O&amp;M Costs 1-10'!B29&lt;&gt;"", '3Yearly O&amp;M Costs 1-10'!B29, "")</f>
        <v/>
      </c>
      <c r="C28" s="98" t="str">
        <f>IF('3Yearly O&amp;M Costs 1-10'!C29&lt;&gt;"", '3Yearly O&amp;M Costs 1-10'!C29, "")</f>
        <v/>
      </c>
      <c r="D28" s="109" t="str">
        <f>IF('3Yearly O&amp;M Costs 1-10'!D29&lt;&gt;"", '3Yearly O&amp;M Costs 1-10'!D29, "")</f>
        <v/>
      </c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8" t="str">
        <f>IF('3Yearly O&amp;M Costs 1-10'!A30&lt;&gt;"", '3Yearly O&amp;M Costs 1-10'!A30, "")</f>
        <v/>
      </c>
      <c r="B29" s="113" t="str">
        <f>IF('3Yearly O&amp;M Costs 1-10'!B30&lt;&gt;"", '3Yearly O&amp;M Costs 1-10'!B30, "")</f>
        <v/>
      </c>
      <c r="C29" s="98" t="str">
        <f>IF('3Yearly O&amp;M Costs 1-10'!C30&lt;&gt;"", '3Yearly O&amp;M Costs 1-10'!C30, "")</f>
        <v/>
      </c>
      <c r="D29" s="109" t="str">
        <f>IF('3Yearly O&amp;M Costs 1-10'!D30&lt;&gt;"", '3Yearly O&amp;M Costs 1-10'!D30, "")</f>
        <v/>
      </c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8" t="str">
        <f>IF('3Yearly O&amp;M Costs 1-10'!A31&lt;&gt;"", '3Yearly O&amp;M Costs 1-10'!A31, "")</f>
        <v/>
      </c>
      <c r="B30" s="113" t="str">
        <f>IF('3Yearly O&amp;M Costs 1-10'!B31&lt;&gt;"", '3Yearly O&amp;M Costs 1-10'!B31, "")</f>
        <v/>
      </c>
      <c r="C30" s="98" t="str">
        <f>IF('3Yearly O&amp;M Costs 1-10'!C31&lt;&gt;"", '3Yearly O&amp;M Costs 1-10'!C31, "")</f>
        <v/>
      </c>
      <c r="D30" s="109" t="str">
        <f>IF('3Yearly O&amp;M Costs 1-10'!D31&lt;&gt;"", '3Yearly O&amp;M Costs 1-10'!D31, "")</f>
        <v/>
      </c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"/>
      <c r="B31" s="23"/>
      <c r="C31" s="23"/>
      <c r="D31" s="37" t="s">
        <v>55</v>
      </c>
      <c r="E31" s="28">
        <f>SUM(E8:E30)</f>
        <v>0</v>
      </c>
      <c r="F31" s="28">
        <f t="shared" ref="F31:N31" si="2">SUM(F8:F30)</f>
        <v>0</v>
      </c>
      <c r="G31" s="28">
        <f t="shared" si="2"/>
        <v>0</v>
      </c>
      <c r="H31" s="28">
        <f t="shared" si="2"/>
        <v>0</v>
      </c>
      <c r="I31" s="28">
        <f t="shared" si="2"/>
        <v>0</v>
      </c>
      <c r="J31" s="28">
        <f t="shared" si="2"/>
        <v>0</v>
      </c>
      <c r="K31" s="28">
        <f t="shared" si="2"/>
        <v>0</v>
      </c>
      <c r="L31" s="28">
        <f t="shared" si="2"/>
        <v>0</v>
      </c>
      <c r="M31" s="28">
        <f t="shared" si="2"/>
        <v>0</v>
      </c>
      <c r="N31" s="28">
        <f t="shared" si="2"/>
        <v>0</v>
      </c>
    </row>
    <row r="32" spans="1:14">
      <c r="M32" s="2" t="s">
        <v>56</v>
      </c>
      <c r="N32" s="28">
        <f>'4Yearly O&amp;M Costs 1-10'!E32+'4Yearly O&amp;M Costs 1-10'!F32+'4Yearly O&amp;M Costs 1-10'!G32+'4Yearly O&amp;M Costs 1-10'!H32+'4Yearly O&amp;M Costs 1-10'!I32+'4Yearly O&amp;M Costs 1-10'!J32+'4Yearly O&amp;M Costs 1-10'!K32+'4Yearly O&amp;M Costs 1-10'!L32+'4Yearly O&amp;M Costs 1-10'!M32+'4Yearly O&amp;M Costs 1-10'!N32+'4Yearly O&amp;M Costs 11-20'!E31+'4Yearly O&amp;M Costs 11-20'!F31+'4Yearly O&amp;M Costs 11-20'!G31+'4Yearly O&amp;M Costs 11-20'!H31+'4Yearly O&amp;M Costs 11-20'!I31+'4Yearly O&amp;M Costs 11-20'!J31+'4Yearly O&amp;M Costs 11-20'!K31+'4Yearly O&amp;M Costs 11-20'!L31+'4Yearly O&amp;M Costs 11-20'!M31+'4Yearly O&amp;M Costs 11-20'!N31</f>
        <v>0</v>
      </c>
    </row>
    <row r="34" spans="1:2" hidden="1">
      <c r="A34" s="6" t="s">
        <v>7</v>
      </c>
      <c r="B34" s="33">
        <v>4.8750000000000002E-2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5" bottom="0.5" header="0.3" footer="0.3"/>
  <pageSetup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20"/>
  <sheetViews>
    <sheetView zoomScaleNormal="100" workbookViewId="0">
      <pane xSplit="4" ySplit="8" topLeftCell="S9" activePane="bottomRight" state="frozen"/>
      <selection pane="topRight" activeCell="E1" sqref="E1"/>
      <selection pane="bottomLeft" activeCell="A8" sqref="A8"/>
      <selection pane="bottomRight" activeCell="A9" sqref="A9:AB12"/>
    </sheetView>
  </sheetViews>
  <sheetFormatPr defaultRowHeight="15.75"/>
  <cols>
    <col min="1" max="1" width="38.42578125" style="1" customWidth="1"/>
    <col min="2" max="4" width="12.7109375" style="1" customWidth="1"/>
    <col min="5" max="5" width="13.28515625" style="1" hidden="1" customWidth="1"/>
    <col min="6" max="6" width="13.5703125" style="1" hidden="1" customWidth="1"/>
    <col min="7" max="7" width="13.85546875" style="1" hidden="1" customWidth="1"/>
    <col min="8" max="8" width="13.7109375" style="1" hidden="1" customWidth="1"/>
    <col min="9" max="28" width="8.7109375" style="1" customWidth="1"/>
    <col min="29" max="16384" width="9.140625" style="1"/>
  </cols>
  <sheetData>
    <row r="1" spans="1:28">
      <c r="A1" s="150" t="s">
        <v>67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3" spans="1:28">
      <c r="A3" s="2" t="s">
        <v>3</v>
      </c>
      <c r="B3" s="149">
        <f>'4Capital Costs'!B6</f>
        <v>0</v>
      </c>
      <c r="C3" s="149"/>
      <c r="D3" s="149"/>
      <c r="E3" s="149"/>
      <c r="F3" s="149"/>
      <c r="G3" s="149"/>
      <c r="H3" s="149"/>
      <c r="I3" s="149"/>
      <c r="J3" s="149"/>
    </row>
    <row r="5" spans="1:28">
      <c r="A5" s="7" t="s">
        <v>42</v>
      </c>
      <c r="B5" s="7"/>
      <c r="C5" s="7"/>
      <c r="D5" s="7"/>
      <c r="E5" s="7"/>
      <c r="F5" s="7"/>
      <c r="G5" s="7"/>
      <c r="H5" s="7"/>
    </row>
    <row r="7" spans="1:28">
      <c r="A7" s="14"/>
      <c r="B7" s="15"/>
      <c r="C7" s="15"/>
      <c r="D7" s="15"/>
      <c r="E7" s="32"/>
      <c r="F7" s="32"/>
      <c r="G7" s="32"/>
      <c r="H7" s="32"/>
      <c r="I7" s="147" t="s">
        <v>68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8"/>
    </row>
    <row r="8" spans="1:28" ht="62.25" customHeight="1">
      <c r="A8" s="94" t="s">
        <v>4</v>
      </c>
      <c r="B8" s="92" t="s">
        <v>0</v>
      </c>
      <c r="C8" s="92" t="s">
        <v>5</v>
      </c>
      <c r="D8" s="92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92">
        <v>1</v>
      </c>
      <c r="J8" s="92">
        <v>2</v>
      </c>
      <c r="K8" s="92">
        <v>3</v>
      </c>
      <c r="L8" s="92">
        <v>4</v>
      </c>
      <c r="M8" s="92">
        <v>5</v>
      </c>
      <c r="N8" s="92">
        <v>6</v>
      </c>
      <c r="O8" s="92">
        <v>7</v>
      </c>
      <c r="P8" s="92">
        <v>8</v>
      </c>
      <c r="Q8" s="92">
        <v>9</v>
      </c>
      <c r="R8" s="92">
        <v>10</v>
      </c>
      <c r="S8" s="92">
        <v>11</v>
      </c>
      <c r="T8" s="92">
        <v>12</v>
      </c>
      <c r="U8" s="92">
        <v>13</v>
      </c>
      <c r="V8" s="92">
        <v>14</v>
      </c>
      <c r="W8" s="92">
        <v>15</v>
      </c>
      <c r="X8" s="92">
        <v>16</v>
      </c>
      <c r="Y8" s="92">
        <v>17</v>
      </c>
      <c r="Z8" s="92">
        <v>18</v>
      </c>
      <c r="AA8" s="92">
        <v>19</v>
      </c>
      <c r="AB8" s="93">
        <v>20</v>
      </c>
    </row>
    <row r="9" spans="1:28">
      <c r="A9" s="103"/>
      <c r="B9" s="104"/>
      <c r="C9" s="103"/>
      <c r="D9" s="111"/>
      <c r="E9" s="102"/>
      <c r="F9" s="102"/>
      <c r="G9" s="102"/>
      <c r="H9" s="102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8"/>
    </row>
    <row r="10" spans="1:28">
      <c r="A10" s="103"/>
      <c r="B10" s="104"/>
      <c r="C10" s="103"/>
      <c r="D10" s="111"/>
      <c r="E10" s="102"/>
      <c r="F10" s="102"/>
      <c r="G10" s="102"/>
      <c r="H10" s="102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8"/>
    </row>
    <row r="11" spans="1:28">
      <c r="A11" s="103"/>
      <c r="B11" s="104"/>
      <c r="C11" s="103"/>
      <c r="D11" s="111"/>
      <c r="E11" s="102"/>
      <c r="F11" s="102"/>
      <c r="G11" s="102"/>
      <c r="H11" s="102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8"/>
    </row>
    <row r="12" spans="1:28">
      <c r="A12" s="103"/>
      <c r="B12" s="110"/>
      <c r="C12" s="103"/>
      <c r="D12" s="111"/>
      <c r="E12" s="102"/>
      <c r="F12" s="102"/>
      <c r="G12" s="102"/>
      <c r="H12" s="102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8"/>
    </row>
    <row r="13" spans="1:28">
      <c r="A13" s="103"/>
      <c r="B13" s="104"/>
      <c r="C13" s="103"/>
      <c r="D13" s="111"/>
      <c r="E13" s="102" t="str">
        <f t="shared" ref="E13:E20" si="0">IF(M13="Y", "Y", (IF(L13="Y", "Y", (IF(K13="Y", "Y", (IF(J13="Y", "Y", (IF(I13="Y", "Y", " ")))))))))</f>
        <v xml:space="preserve"> </v>
      </c>
      <c r="F13" s="102" t="str">
        <f t="shared" ref="F13:F20" si="1">IF(R13="Y", "Y", (IF(Q13="Y", "Y", (IF(P13="Y", "Y", (IF(O13="Y", "Y", (IF(N13="Y", "Y", " ")))))))))</f>
        <v xml:space="preserve"> </v>
      </c>
      <c r="G13" s="102" t="str">
        <f t="shared" ref="G13:G20" si="2">IF(W13="Y", "Y", (IF(V13="Y", "Y", (IF(U13="Y", "Y", (IF(T13="Y", "Y", (IF(S13="Y", "Y", " ")))))))))</f>
        <v xml:space="preserve"> </v>
      </c>
      <c r="H13" s="102" t="str">
        <f t="shared" ref="H13:H20" si="3">IF(AB13="Y", "Y", (IF(AA13="Y", "Y", (IF(Z13="Y", "Y", (IF(Y13="Y", "Y", (IF(X13="Y", "Y", " ")))))))))</f>
        <v xml:space="preserve"> </v>
      </c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8"/>
    </row>
    <row r="14" spans="1:28">
      <c r="A14" s="103"/>
      <c r="B14" s="104"/>
      <c r="C14" s="103"/>
      <c r="D14" s="111"/>
      <c r="E14" s="102" t="str">
        <f t="shared" si="0"/>
        <v xml:space="preserve"> </v>
      </c>
      <c r="F14" s="102" t="str">
        <f t="shared" si="1"/>
        <v xml:space="preserve"> </v>
      </c>
      <c r="G14" s="102" t="str">
        <f t="shared" si="2"/>
        <v xml:space="preserve"> </v>
      </c>
      <c r="H14" s="102" t="str">
        <f t="shared" si="3"/>
        <v xml:space="preserve"> </v>
      </c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8"/>
    </row>
    <row r="15" spans="1:28">
      <c r="A15" s="103"/>
      <c r="B15" s="104"/>
      <c r="C15" s="103"/>
      <c r="D15" s="111"/>
      <c r="E15" s="102" t="str">
        <f t="shared" si="0"/>
        <v xml:space="preserve"> </v>
      </c>
      <c r="F15" s="102" t="str">
        <f t="shared" si="1"/>
        <v xml:space="preserve"> </v>
      </c>
      <c r="G15" s="102" t="str">
        <f t="shared" si="2"/>
        <v xml:space="preserve"> </v>
      </c>
      <c r="H15" s="102" t="str">
        <f t="shared" si="3"/>
        <v xml:space="preserve"> </v>
      </c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8"/>
    </row>
    <row r="16" spans="1:28">
      <c r="A16" s="103"/>
      <c r="B16" s="104"/>
      <c r="C16" s="103"/>
      <c r="D16" s="111"/>
      <c r="E16" s="102" t="str">
        <f t="shared" si="0"/>
        <v xml:space="preserve"> </v>
      </c>
      <c r="F16" s="102" t="str">
        <f t="shared" si="1"/>
        <v xml:space="preserve"> </v>
      </c>
      <c r="G16" s="102" t="str">
        <f t="shared" si="2"/>
        <v xml:space="preserve"> </v>
      </c>
      <c r="H16" s="102" t="str">
        <f t="shared" si="3"/>
        <v xml:space="preserve"> </v>
      </c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8"/>
    </row>
    <row r="17" spans="1:28">
      <c r="A17" s="103"/>
      <c r="B17" s="104"/>
      <c r="C17" s="103"/>
      <c r="D17" s="111"/>
      <c r="E17" s="102" t="str">
        <f t="shared" si="0"/>
        <v xml:space="preserve"> </v>
      </c>
      <c r="F17" s="102" t="str">
        <f t="shared" si="1"/>
        <v xml:space="preserve"> </v>
      </c>
      <c r="G17" s="102" t="str">
        <f t="shared" si="2"/>
        <v xml:space="preserve"> </v>
      </c>
      <c r="H17" s="102" t="str">
        <f t="shared" si="3"/>
        <v xml:space="preserve"> </v>
      </c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8"/>
    </row>
    <row r="18" spans="1:28">
      <c r="A18" s="103"/>
      <c r="B18" s="104"/>
      <c r="C18" s="103"/>
      <c r="D18" s="111"/>
      <c r="E18" s="102" t="str">
        <f t="shared" si="0"/>
        <v xml:space="preserve"> </v>
      </c>
      <c r="F18" s="102" t="str">
        <f t="shared" si="1"/>
        <v xml:space="preserve"> </v>
      </c>
      <c r="G18" s="102" t="str">
        <f t="shared" si="2"/>
        <v xml:space="preserve"> </v>
      </c>
      <c r="H18" s="102" t="str">
        <f t="shared" si="3"/>
        <v xml:space="preserve"> </v>
      </c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8"/>
    </row>
    <row r="19" spans="1:28">
      <c r="A19" s="103"/>
      <c r="B19" s="104"/>
      <c r="C19" s="103"/>
      <c r="D19" s="111"/>
      <c r="E19" s="102" t="str">
        <f t="shared" si="0"/>
        <v xml:space="preserve"> </v>
      </c>
      <c r="F19" s="102" t="str">
        <f t="shared" si="1"/>
        <v xml:space="preserve"> </v>
      </c>
      <c r="G19" s="102" t="str">
        <f t="shared" si="2"/>
        <v xml:space="preserve"> </v>
      </c>
      <c r="H19" s="102" t="str">
        <f t="shared" si="3"/>
        <v xml:space="preserve"> </v>
      </c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8"/>
    </row>
    <row r="20" spans="1:28">
      <c r="A20" s="103"/>
      <c r="B20" s="104"/>
      <c r="C20" s="103"/>
      <c r="D20" s="111"/>
      <c r="E20" s="102" t="str">
        <f t="shared" si="0"/>
        <v xml:space="preserve"> </v>
      </c>
      <c r="F20" s="102" t="str">
        <f t="shared" si="1"/>
        <v xml:space="preserve"> </v>
      </c>
      <c r="G20" s="102" t="str">
        <f t="shared" si="2"/>
        <v xml:space="preserve"> </v>
      </c>
      <c r="H20" s="102" t="str">
        <f t="shared" si="3"/>
        <v xml:space="preserve"> 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8"/>
    </row>
  </sheetData>
  <sheetProtection sheet="1" objects="1" scenarios="1"/>
  <mergeCells count="3">
    <mergeCell ref="A1:AB1"/>
    <mergeCell ref="B3:J3"/>
    <mergeCell ref="I7:AB7"/>
  </mergeCells>
  <dataValidations count="1">
    <dataValidation type="list" allowBlank="1" showInputMessage="1" showErrorMessage="1" sqref="B3:J3">
      <formula1>Input!B6:B11</formula1>
    </dataValidation>
  </dataValidations>
  <pageMargins left="0.7" right="0.7" top="0.75" bottom="0.75" header="0.3" footer="0.3"/>
  <pageSetup scale="76" fitToWidth="4" orientation="landscape" r:id="rId1"/>
  <headerFooter>
    <oddHeader>&amp;C&amp;D
&amp;F</oddHeader>
    <oddFooter>&amp;L&amp;A&amp;RPage &amp;P of 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>
  <dimension ref="A1:N20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172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'4Capital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'4Yearly O&amp;M Costs 11-20'!A5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</v>
      </c>
      <c r="F7" s="12">
        <v>2</v>
      </c>
      <c r="G7" s="12">
        <v>3</v>
      </c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12">
        <v>9</v>
      </c>
      <c r="N7" s="12">
        <v>10</v>
      </c>
    </row>
    <row r="8" spans="1:14">
      <c r="A8" s="31" t="str">
        <f>IF('4Inter O&amp;M Entry'!A9&lt;&gt;"", '4Inter O&amp;M Entry'!A9, "")</f>
        <v/>
      </c>
      <c r="B8" s="35" t="str">
        <f>IF('4Inter O&amp;M Entry'!B9&lt;&gt;"", '4Inter O&amp;M Entry'!B9, "")</f>
        <v/>
      </c>
      <c r="C8" s="31" t="str">
        <f>IF('4Inter O&amp;M Entry'!C9&lt;&gt;"", '4Inter O&amp;M Entry'!C9, "")</f>
        <v/>
      </c>
      <c r="D8" s="108" t="str">
        <f>IF('4Inter O&amp;M Entry'!D9&lt;&gt;"", '4Inter O&amp;M Entry'!D9, "")</f>
        <v/>
      </c>
      <c r="E8" s="35" t="str">
        <f>IF($A8&lt;&gt;"", (IF('4Inter O&amp;M Entry'!I9="Y", ((($B8*$D8)*((1+$B$5)^E$7))*(1/((1+$N$5)^E$7))), 0)), "")</f>
        <v/>
      </c>
      <c r="F8" s="35" t="str">
        <f>IF($A8&lt;&gt;"", (IF('4Inter O&amp;M Entry'!J9="Y", ((($B8*$D8)*((1+$B$5)^F$7))*(1/((1+$N$5)^F$7))), 0)), "")</f>
        <v/>
      </c>
      <c r="G8" s="35" t="str">
        <f>IF($A8&lt;&gt;"", (IF('4Inter O&amp;M Entry'!K9="Y", ((($B8*$D8)*((1+$B$5)^G$7))*(1/((1+$N$5)^G$7))), 0)), "")</f>
        <v/>
      </c>
      <c r="H8" s="35" t="str">
        <f>IF($A8&lt;&gt;"", (IF('4Inter O&amp;M Entry'!L9="Y", ((($B8*$D8)*((1+$B$5)^H$7))*(1/((1+$N$5)^H$7))), 0)), "")</f>
        <v/>
      </c>
      <c r="I8" s="35" t="str">
        <f>IF($A8&lt;&gt;"", (IF('4Inter O&amp;M Entry'!M9="Y", ((($B8*$D8)*((1+$B$5)^I$7))*(1/((1+$N$5)^I$7))), 0)), "")</f>
        <v/>
      </c>
      <c r="J8" s="35" t="str">
        <f>IF($A8&lt;&gt;"", (IF('4Inter O&amp;M Entry'!N9="Y", ((($B8*$D8)*((1+$B$5)^J$7))*(1/((1+$N$5)^J$7))), 0)), "")</f>
        <v/>
      </c>
      <c r="K8" s="35" t="str">
        <f>IF($A8&lt;&gt;"", (IF('4Inter O&amp;M Entry'!O9="Y", ((($B8*$D8)*((1+$B$5)^K$7))*(1/((1+$N$5)^K$7))), 0)), "")</f>
        <v/>
      </c>
      <c r="L8" s="35" t="str">
        <f>IF($A8&lt;&gt;"", (IF('4Inter O&amp;M Entry'!P9="Y", ((($B8*$D8)*((1+$B$5)^L$7))*(1/((1+$N$5)^L$7))), 0)), "")</f>
        <v/>
      </c>
      <c r="M8" s="35" t="str">
        <f>IF($A8&lt;&gt;"", (IF('4Inter O&amp;M Entry'!Q9="Y", ((($B8*$D8)*((1+$B$5)^M$7))*(1/((1+$N$5)^M$7))), 0)), "")</f>
        <v/>
      </c>
      <c r="N8" s="35" t="str">
        <f>IF($A8&lt;&gt;"", (IF('4Inter O&amp;M Entry'!R9="Y", ((($B8*$D8)*((1+$B$5)^N$7))*(1/((1+$N$5)^N$7))), 0)), "")</f>
        <v/>
      </c>
    </row>
    <row r="9" spans="1:14">
      <c r="A9" s="31" t="str">
        <f>IF('4Inter O&amp;M Entry'!A10&lt;&gt;"", '4Inter O&amp;M Entry'!A10, "")</f>
        <v/>
      </c>
      <c r="B9" s="35" t="str">
        <f>IF('4Inter O&amp;M Entry'!B10&lt;&gt;"", '4Inter O&amp;M Entry'!B10, "")</f>
        <v/>
      </c>
      <c r="C9" s="31" t="str">
        <f>IF('4Inter O&amp;M Entry'!C10&lt;&gt;"", '4Inter O&amp;M Entry'!C10, "")</f>
        <v/>
      </c>
      <c r="D9" s="108" t="str">
        <f>IF('4Inter O&amp;M Entry'!D10&lt;&gt;"", '4Inter O&amp;M Entry'!D10, "")</f>
        <v/>
      </c>
      <c r="E9" s="35" t="str">
        <f>IF($A9&lt;&gt;"", (IF('4Inter O&amp;M Entry'!I10="Y", ((($B9*$D9)*((1+$B$5)^E$7))*(1/((1+$N$5)^E$7))), 0)), "")</f>
        <v/>
      </c>
      <c r="F9" s="35" t="str">
        <f>IF($A9&lt;&gt;"", (IF('4Inter O&amp;M Entry'!J10="Y", ((($B9*$D9)*((1+$B$5)^F$7))*(1/((1+$N$5)^F$7))), 0)), "")</f>
        <v/>
      </c>
      <c r="G9" s="35" t="str">
        <f>IF($A9&lt;&gt;"", (IF('4Inter O&amp;M Entry'!K10="Y", ((($B9*$D9)*((1+$B$5)^G$7))*(1/((1+$N$5)^G$7))), 0)), "")</f>
        <v/>
      </c>
      <c r="H9" s="35" t="str">
        <f>IF($A9&lt;&gt;"", (IF('4Inter O&amp;M Entry'!L10="Y", ((($B9*$D9)*((1+$B$5)^H$7))*(1/((1+$N$5)^H$7))), 0)), "")</f>
        <v/>
      </c>
      <c r="I9" s="35" t="str">
        <f>IF($A9&lt;&gt;"", (IF('4Inter O&amp;M Entry'!M10="Y", ((($B9*$D9)*((1+$B$5)^I$7))*(1/((1+$N$5)^I$7))), 0)), "")</f>
        <v/>
      </c>
      <c r="J9" s="35" t="str">
        <f>IF($A9&lt;&gt;"", (IF('4Inter O&amp;M Entry'!N10="Y", ((($B9*$D9)*((1+$B$5)^J$7))*(1/((1+$N$5)^J$7))), 0)), "")</f>
        <v/>
      </c>
      <c r="K9" s="35" t="str">
        <f>IF($A9&lt;&gt;"", (IF('4Inter O&amp;M Entry'!O10="Y", ((($B9*$D9)*((1+$B$5)^K$7))*(1/((1+$N$5)^K$7))), 0)), "")</f>
        <v/>
      </c>
      <c r="L9" s="35" t="str">
        <f>IF($A9&lt;&gt;"", (IF('4Inter O&amp;M Entry'!P10="Y", ((($B9*$D9)*((1+$B$5)^L$7))*(1/((1+$N$5)^L$7))), 0)), "")</f>
        <v/>
      </c>
      <c r="M9" s="35" t="str">
        <f>IF($A9&lt;&gt;"", (IF('4Inter O&amp;M Entry'!Q10="Y", ((($B9*$D9)*((1+$B$5)^M$7))*(1/((1+$N$5)^M$7))), 0)), "")</f>
        <v/>
      </c>
      <c r="N9" s="35" t="str">
        <f>IF($A9&lt;&gt;"", (IF('4Inter O&amp;M Entry'!R10="Y", ((($B9*$D9)*((1+$B$5)^N$7))*(1/((1+$N$5)^N$7))), 0)), "")</f>
        <v/>
      </c>
    </row>
    <row r="10" spans="1:14">
      <c r="A10" s="31" t="str">
        <f>IF('4Inter O&amp;M Entry'!A11&lt;&gt;"", '4Inter O&amp;M Entry'!A11, "")</f>
        <v/>
      </c>
      <c r="B10" s="35" t="str">
        <f>IF('4Inter O&amp;M Entry'!B11&lt;&gt;"", '4Inter O&amp;M Entry'!B11, "")</f>
        <v/>
      </c>
      <c r="C10" s="31" t="str">
        <f>IF('4Inter O&amp;M Entry'!C11&lt;&gt;"", '4Inter O&amp;M Entry'!C11, "")</f>
        <v/>
      </c>
      <c r="D10" s="108" t="str">
        <f>IF('4Inter O&amp;M Entry'!D11&lt;&gt;"", '4Inter O&amp;M Entry'!D11, "")</f>
        <v/>
      </c>
      <c r="E10" s="35" t="str">
        <f>IF($A10&lt;&gt;"", (IF('4Inter O&amp;M Entry'!I11="Y", ((($B10*$D10)*((1+$B$5)^E$7))*(1/((1+$N$5)^E$7))), 0)), "")</f>
        <v/>
      </c>
      <c r="F10" s="35" t="str">
        <f>IF($A10&lt;&gt;"", (IF('4Inter O&amp;M Entry'!J11="Y", ((($B10*$D10)*((1+$B$5)^F$7))*(1/((1+$N$5)^F$7))), 0)), "")</f>
        <v/>
      </c>
      <c r="G10" s="35" t="str">
        <f>IF($A10&lt;&gt;"", (IF('4Inter O&amp;M Entry'!K11="Y", ((($B10*$D10)*((1+$B$5)^G$7))*(1/((1+$N$5)^G$7))), 0)), "")</f>
        <v/>
      </c>
      <c r="H10" s="35" t="str">
        <f>IF($A10&lt;&gt;"", (IF('4Inter O&amp;M Entry'!L11="Y", ((($B10*$D10)*((1+$B$5)^H$7))*(1/((1+$N$5)^H$7))), 0)), "")</f>
        <v/>
      </c>
      <c r="I10" s="35" t="str">
        <f>IF($A10&lt;&gt;"", (IF('4Inter O&amp;M Entry'!M11="Y", ((($B10*$D10)*((1+$B$5)^I$7))*(1/((1+$N$5)^I$7))), 0)), "")</f>
        <v/>
      </c>
      <c r="J10" s="35" t="str">
        <f>IF($A10&lt;&gt;"", (IF('4Inter O&amp;M Entry'!N11="Y", ((($B10*$D10)*((1+$B$5)^J$7))*(1/((1+$N$5)^J$7))), 0)), "")</f>
        <v/>
      </c>
      <c r="K10" s="35" t="str">
        <f>IF($A10&lt;&gt;"", (IF('4Inter O&amp;M Entry'!O11="Y", ((($B10*$D10)*((1+$B$5)^K$7))*(1/((1+$N$5)^K$7))), 0)), "")</f>
        <v/>
      </c>
      <c r="L10" s="35" t="str">
        <f>IF($A10&lt;&gt;"", (IF('4Inter O&amp;M Entry'!P11="Y", ((($B10*$D10)*((1+$B$5)^L$7))*(1/((1+$N$5)^L$7))), 0)), "")</f>
        <v/>
      </c>
      <c r="M10" s="35" t="str">
        <f>IF($A10&lt;&gt;"", (IF('4Inter O&amp;M Entry'!Q11="Y", ((($B10*$D10)*((1+$B$5)^M$7))*(1/((1+$N$5)^M$7))), 0)), "")</f>
        <v/>
      </c>
      <c r="N10" s="35" t="str">
        <f>IF($A10&lt;&gt;"", (IF('4Inter O&amp;M Entry'!R11="Y", ((($B10*$D10)*((1+$B$5)^N$7))*(1/((1+$N$5)^N$7))), 0)), "")</f>
        <v/>
      </c>
    </row>
    <row r="11" spans="1:14">
      <c r="A11" s="31" t="str">
        <f>IF('4Inter O&amp;M Entry'!A12&lt;&gt;"", '4Inter O&amp;M Entry'!A12, "")</f>
        <v/>
      </c>
      <c r="B11" s="35" t="str">
        <f>IF('4Inter O&amp;M Entry'!B12&lt;&gt;"", '4Inter O&amp;M Entry'!B12, "")</f>
        <v/>
      </c>
      <c r="C11" s="31" t="str">
        <f>IF('4Inter O&amp;M Entry'!C12&lt;&gt;"", '4Inter O&amp;M Entry'!C12, "")</f>
        <v/>
      </c>
      <c r="D11" s="108" t="str">
        <f>IF('4Inter O&amp;M Entry'!D12&lt;&gt;"", '4Inter O&amp;M Entry'!D12, "")</f>
        <v/>
      </c>
      <c r="E11" s="35" t="str">
        <f>IF($A11&lt;&gt;"", (IF('4Inter O&amp;M Entry'!I12="Y", ((($B11*$D11)*((1+$B$5)^E$7))*(1/((1+$N$5)^E$7))), 0)), "")</f>
        <v/>
      </c>
      <c r="F11" s="35" t="str">
        <f>IF($A11&lt;&gt;"", (IF('4Inter O&amp;M Entry'!J12="Y", ((($B11*$D11)*((1+$B$5)^F$7))*(1/((1+$N$5)^F$7))), 0)), "")</f>
        <v/>
      </c>
      <c r="G11" s="35" t="str">
        <f>IF($A11&lt;&gt;"", (IF('4Inter O&amp;M Entry'!K12="Y", ((($B11*$D11)*((1+$B$5)^G$7))*(1/((1+$N$5)^G$7))), 0)), "")</f>
        <v/>
      </c>
      <c r="H11" s="35" t="str">
        <f>IF($A11&lt;&gt;"", (IF('4Inter O&amp;M Entry'!L12="Y", ((($B11*$D11)*((1+$B$5)^H$7))*(1/((1+$N$5)^H$7))), 0)), "")</f>
        <v/>
      </c>
      <c r="I11" s="35" t="str">
        <f>IF($A11&lt;&gt;"", (IF('4Inter O&amp;M Entry'!M12="Y", ((($B11*$D11)*((1+$B$5)^I$7))*(1/((1+$N$5)^I$7))), 0)), "")</f>
        <v/>
      </c>
      <c r="J11" s="35" t="str">
        <f>IF($A11&lt;&gt;"", (IF('4Inter O&amp;M Entry'!N12="Y", ((($B11*$D11)*((1+$B$5)^J$7))*(1/((1+$N$5)^J$7))), 0)), "")</f>
        <v/>
      </c>
      <c r="K11" s="35" t="str">
        <f>IF($A11&lt;&gt;"", (IF('4Inter O&amp;M Entry'!O12="Y", ((($B11*$D11)*((1+$B$5)^K$7))*(1/((1+$N$5)^K$7))), 0)), "")</f>
        <v/>
      </c>
      <c r="L11" s="35" t="str">
        <f>IF($A11&lt;&gt;"", (IF('4Inter O&amp;M Entry'!P12="Y", ((($B11*$D11)*((1+$B$5)^L$7))*(1/((1+$N$5)^L$7))), 0)), "")</f>
        <v/>
      </c>
      <c r="M11" s="35" t="str">
        <f>IF($A11&lt;&gt;"", (IF('4Inter O&amp;M Entry'!Q12="Y", ((($B11*$D11)*((1+$B$5)^M$7))*(1/((1+$N$5)^M$7))), 0)), "")</f>
        <v/>
      </c>
      <c r="N11" s="35" t="str">
        <f>IF($A11&lt;&gt;"", (IF('4Inter O&amp;M Entry'!R12="Y", ((($B11*$D11)*((1+$B$5)^N$7))*(1/((1+$N$5)^N$7))), 0)), "")</f>
        <v/>
      </c>
    </row>
    <row r="12" spans="1:14">
      <c r="A12" s="31" t="str">
        <f>IF('4Inter O&amp;M Entry'!A13&lt;&gt;"", '4Inter O&amp;M Entry'!A13, "")</f>
        <v/>
      </c>
      <c r="B12" s="35" t="str">
        <f>IF('4Inter O&amp;M Entry'!B13&lt;&gt;"", '4Inter O&amp;M Entry'!B13, "")</f>
        <v/>
      </c>
      <c r="C12" s="31" t="str">
        <f>IF('4Inter O&amp;M Entry'!C13&lt;&gt;"", '4Inter O&amp;M Entry'!C13, "")</f>
        <v/>
      </c>
      <c r="D12" s="108" t="str">
        <f>IF('4Inter O&amp;M Entry'!D13&lt;&gt;"", '4Inter O&amp;M Entry'!D13, "")</f>
        <v/>
      </c>
      <c r="E12" s="35" t="str">
        <f>IF($A12&lt;&gt;"", (IF('4Inter O&amp;M Entry'!I13="Y", ((($B12*$D12)*((1+$B$5)^E$7))*(1/((1+$N$5)^E$7))), 0)), "")</f>
        <v/>
      </c>
      <c r="F12" s="35" t="str">
        <f>IF($A12&lt;&gt;"", (IF('4Inter O&amp;M Entry'!J13="Y", ((($B12*$D12)*((1+$B$5)^F$7))*(1/((1+$N$5)^F$7))), 0)), "")</f>
        <v/>
      </c>
      <c r="G12" s="35" t="str">
        <f>IF($A12&lt;&gt;"", (IF('4Inter O&amp;M Entry'!K13="Y", ((($B12*$D12)*((1+$B$5)^G$7))*(1/((1+$N$5)^G$7))), 0)), "")</f>
        <v/>
      </c>
      <c r="H12" s="35" t="str">
        <f>IF($A12&lt;&gt;"", (IF('4Inter O&amp;M Entry'!L13="Y", ((($B12*$D12)*((1+$B$5)^H$7))*(1/((1+$N$5)^H$7))), 0)), "")</f>
        <v/>
      </c>
      <c r="I12" s="35" t="str">
        <f>IF($A12&lt;&gt;"", (IF('4Inter O&amp;M Entry'!M13="Y", ((($B12*$D12)*((1+$B$5)^I$7))*(1/((1+$N$5)^I$7))), 0)), "")</f>
        <v/>
      </c>
      <c r="J12" s="35" t="str">
        <f>IF($A12&lt;&gt;"", (IF('4Inter O&amp;M Entry'!N13="Y", ((($B12*$D12)*((1+$B$5)^J$7))*(1/((1+$N$5)^J$7))), 0)), "")</f>
        <v/>
      </c>
      <c r="K12" s="35" t="str">
        <f>IF($A12&lt;&gt;"", (IF('4Inter O&amp;M Entry'!O13="Y", ((($B12*$D12)*((1+$B$5)^K$7))*(1/((1+$N$5)^K$7))), 0)), "")</f>
        <v/>
      </c>
      <c r="L12" s="35" t="str">
        <f>IF($A12&lt;&gt;"", (IF('4Inter O&amp;M Entry'!P13="Y", ((($B12*$D12)*((1+$B$5)^L$7))*(1/((1+$N$5)^L$7))), 0)), "")</f>
        <v/>
      </c>
      <c r="M12" s="35" t="str">
        <f>IF($A12&lt;&gt;"", (IF('4Inter O&amp;M Entry'!Q13="Y", ((($B12*$D12)*((1+$B$5)^M$7))*(1/((1+$N$5)^M$7))), 0)), "")</f>
        <v/>
      </c>
      <c r="N12" s="35" t="str">
        <f>IF($A12&lt;&gt;"", (IF('4Inter O&amp;M Entry'!R13="Y", ((($B12*$D12)*((1+$B$5)^N$7))*(1/((1+$N$5)^N$7))), 0)), "")</f>
        <v/>
      </c>
    </row>
    <row r="13" spans="1:14">
      <c r="A13" s="31" t="str">
        <f>IF('4Inter O&amp;M Entry'!A14&lt;&gt;"", '4Inter O&amp;M Entry'!A14, "")</f>
        <v/>
      </c>
      <c r="B13" s="35" t="str">
        <f>IF('4Inter O&amp;M Entry'!B14&lt;&gt;"", '4Inter O&amp;M Entry'!B14, "")</f>
        <v/>
      </c>
      <c r="C13" s="31" t="str">
        <f>IF('4Inter O&amp;M Entry'!C14&lt;&gt;"", '4Inter O&amp;M Entry'!C14, "")</f>
        <v/>
      </c>
      <c r="D13" s="108" t="str">
        <f>IF('4Inter O&amp;M Entry'!D14&lt;&gt;"", '4Inter O&amp;M Entry'!D14, "")</f>
        <v/>
      </c>
      <c r="E13" s="35" t="str">
        <f>IF($A13&lt;&gt;"", (IF('4Inter O&amp;M Entry'!I14="Y", ((($B13*$D13)*((1+$B$5)^E$7))*(1/((1+$N$5)^E$7))), 0)), "")</f>
        <v/>
      </c>
      <c r="F13" s="35" t="str">
        <f>IF($A13&lt;&gt;"", (IF('4Inter O&amp;M Entry'!J14="Y", ((($B13*$D13)*((1+$B$5)^F$7))*(1/((1+$N$5)^F$7))), 0)), "")</f>
        <v/>
      </c>
      <c r="G13" s="35" t="str">
        <f>IF($A13&lt;&gt;"", (IF('4Inter O&amp;M Entry'!K14="Y", ((($B13*$D13)*((1+$B$5)^G$7))*(1/((1+$N$5)^G$7))), 0)), "")</f>
        <v/>
      </c>
      <c r="H13" s="35" t="str">
        <f>IF($A13&lt;&gt;"", (IF('4Inter O&amp;M Entry'!L14="Y", ((($B13*$D13)*((1+$B$5)^H$7))*(1/((1+$N$5)^H$7))), 0)), "")</f>
        <v/>
      </c>
      <c r="I13" s="35" t="str">
        <f>IF($A13&lt;&gt;"", (IF('4Inter O&amp;M Entry'!M14="Y", ((($B13*$D13)*((1+$B$5)^I$7))*(1/((1+$N$5)^I$7))), 0)), "")</f>
        <v/>
      </c>
      <c r="J13" s="35" t="str">
        <f>IF($A13&lt;&gt;"", (IF('4Inter O&amp;M Entry'!N14="Y", ((($B13*$D13)*((1+$B$5)^J$7))*(1/((1+$N$5)^J$7))), 0)), "")</f>
        <v/>
      </c>
      <c r="K13" s="35" t="str">
        <f>IF($A13&lt;&gt;"", (IF('4Inter O&amp;M Entry'!O14="Y", ((($B13*$D13)*((1+$B$5)^K$7))*(1/((1+$N$5)^K$7))), 0)), "")</f>
        <v/>
      </c>
      <c r="L13" s="35" t="str">
        <f>IF($A13&lt;&gt;"", (IF('4Inter O&amp;M Entry'!P14="Y", ((($B13*$D13)*((1+$B$5)^L$7))*(1/((1+$N$5)^L$7))), 0)), "")</f>
        <v/>
      </c>
      <c r="M13" s="35" t="str">
        <f>IF($A13&lt;&gt;"", (IF('4Inter O&amp;M Entry'!Q14="Y", ((($B13*$D13)*((1+$B$5)^M$7))*(1/((1+$N$5)^M$7))), 0)), "")</f>
        <v/>
      </c>
      <c r="N13" s="35" t="str">
        <f>IF($A13&lt;&gt;"", (IF('4Inter O&amp;M Entry'!R14="Y", ((($B13*$D13)*((1+$B$5)^N$7))*(1/((1+$N$5)^N$7))), 0)), "")</f>
        <v/>
      </c>
    </row>
    <row r="14" spans="1:14">
      <c r="A14" s="31" t="str">
        <f>IF('4Inter O&amp;M Entry'!A15&lt;&gt;"", '4Inter O&amp;M Entry'!A15, "")</f>
        <v/>
      </c>
      <c r="B14" s="35" t="str">
        <f>IF('4Inter O&amp;M Entry'!B15&lt;&gt;"", '4Inter O&amp;M Entry'!B15, "")</f>
        <v/>
      </c>
      <c r="C14" s="31" t="str">
        <f>IF('4Inter O&amp;M Entry'!C15&lt;&gt;"", '4Inter O&amp;M Entry'!C15, "")</f>
        <v/>
      </c>
      <c r="D14" s="108" t="str">
        <f>IF('4Inter O&amp;M Entry'!D15&lt;&gt;"", '4Inter O&amp;M Entry'!D15, "")</f>
        <v/>
      </c>
      <c r="E14" s="35" t="str">
        <f>IF($A14&lt;&gt;"", (IF('4Inter O&amp;M Entry'!I15="Y", ((($B14*$D14)*((1+$B$5)^E$7))*(1/((1+$N$5)^E$7))), 0)), "")</f>
        <v/>
      </c>
      <c r="F14" s="35" t="str">
        <f>IF($A14&lt;&gt;"", (IF('4Inter O&amp;M Entry'!J15="Y", ((($B14*$D14)*((1+$B$5)^F$7))*(1/((1+$N$5)^F$7))), 0)), "")</f>
        <v/>
      </c>
      <c r="G14" s="35" t="str">
        <f>IF($A14&lt;&gt;"", (IF('4Inter O&amp;M Entry'!K15="Y", ((($B14*$D14)*((1+$B$5)^G$7))*(1/((1+$N$5)^G$7))), 0)), "")</f>
        <v/>
      </c>
      <c r="H14" s="35" t="str">
        <f>IF($A14&lt;&gt;"", (IF('4Inter O&amp;M Entry'!L15="Y", ((($B14*$D14)*((1+$B$5)^H$7))*(1/((1+$N$5)^H$7))), 0)), "")</f>
        <v/>
      </c>
      <c r="I14" s="35" t="str">
        <f>IF($A14&lt;&gt;"", (IF('4Inter O&amp;M Entry'!M15="Y", ((($B14*$D14)*((1+$B$5)^I$7))*(1/((1+$N$5)^I$7))), 0)), "")</f>
        <v/>
      </c>
      <c r="J14" s="35" t="str">
        <f>IF($A14&lt;&gt;"", (IF('4Inter O&amp;M Entry'!N15="Y", ((($B14*$D14)*((1+$B$5)^J$7))*(1/((1+$N$5)^J$7))), 0)), "")</f>
        <v/>
      </c>
      <c r="K14" s="35" t="str">
        <f>IF($A14&lt;&gt;"", (IF('4Inter O&amp;M Entry'!O15="Y", ((($B14*$D14)*((1+$B$5)^K$7))*(1/((1+$N$5)^K$7))), 0)), "")</f>
        <v/>
      </c>
      <c r="L14" s="35" t="str">
        <f>IF($A14&lt;&gt;"", (IF('4Inter O&amp;M Entry'!P15="Y", ((($B14*$D14)*((1+$B$5)^L$7))*(1/((1+$N$5)^L$7))), 0)), "")</f>
        <v/>
      </c>
      <c r="M14" s="35" t="str">
        <f>IF($A14&lt;&gt;"", (IF('4Inter O&amp;M Entry'!Q15="Y", ((($B14*$D14)*((1+$B$5)^M$7))*(1/((1+$N$5)^M$7))), 0)), "")</f>
        <v/>
      </c>
      <c r="N14" s="35" t="str">
        <f>IF($A14&lt;&gt;"", (IF('4Inter O&amp;M Entry'!R15="Y", ((($B14*$D14)*((1+$B$5)^N$7))*(1/((1+$N$5)^N$7))), 0)), "")</f>
        <v/>
      </c>
    </row>
    <row r="15" spans="1:14">
      <c r="A15" s="31" t="str">
        <f>IF('4Inter O&amp;M Entry'!A16&lt;&gt;"", '4Inter O&amp;M Entry'!A16, "")</f>
        <v/>
      </c>
      <c r="B15" s="35" t="str">
        <f>IF('4Inter O&amp;M Entry'!B16&lt;&gt;"", '4Inter O&amp;M Entry'!B16, "")</f>
        <v/>
      </c>
      <c r="C15" s="31" t="str">
        <f>IF('4Inter O&amp;M Entry'!C16&lt;&gt;"", '4Inter O&amp;M Entry'!C16, "")</f>
        <v/>
      </c>
      <c r="D15" s="108" t="str">
        <f>IF('4Inter O&amp;M Entry'!D16&lt;&gt;"", '4Inter O&amp;M Entry'!D16, "")</f>
        <v/>
      </c>
      <c r="E15" s="35" t="str">
        <f>IF($A15&lt;&gt;"", (IF('4Inter O&amp;M Entry'!I16="Y", ((($B15*$D15)*((1+$B$5)^E$7))*(1/((1+$N$5)^E$7))), 0)), "")</f>
        <v/>
      </c>
      <c r="F15" s="35" t="str">
        <f>IF($A15&lt;&gt;"", (IF('4Inter O&amp;M Entry'!J16="Y", ((($B15*$D15)*((1+$B$5)^F$7))*(1/((1+$N$5)^F$7))), 0)), "")</f>
        <v/>
      </c>
      <c r="G15" s="35" t="str">
        <f>IF($A15&lt;&gt;"", (IF('4Inter O&amp;M Entry'!K16="Y", ((($B15*$D15)*((1+$B$5)^G$7))*(1/((1+$N$5)^G$7))), 0)), "")</f>
        <v/>
      </c>
      <c r="H15" s="35" t="str">
        <f>IF($A15&lt;&gt;"", (IF('4Inter O&amp;M Entry'!L16="Y", ((($B15*$D15)*((1+$B$5)^H$7))*(1/((1+$N$5)^H$7))), 0)), "")</f>
        <v/>
      </c>
      <c r="I15" s="35" t="str">
        <f>IF($A15&lt;&gt;"", (IF('4Inter O&amp;M Entry'!M16="Y", ((($B15*$D15)*((1+$B$5)^I$7))*(1/((1+$N$5)^I$7))), 0)), "")</f>
        <v/>
      </c>
      <c r="J15" s="35" t="str">
        <f>IF($A15&lt;&gt;"", (IF('4Inter O&amp;M Entry'!N16="Y", ((($B15*$D15)*((1+$B$5)^J$7))*(1/((1+$N$5)^J$7))), 0)), "")</f>
        <v/>
      </c>
      <c r="K15" s="35" t="str">
        <f>IF($A15&lt;&gt;"", (IF('4Inter O&amp;M Entry'!O16="Y", ((($B15*$D15)*((1+$B$5)^K$7))*(1/((1+$N$5)^K$7))), 0)), "")</f>
        <v/>
      </c>
      <c r="L15" s="35" t="str">
        <f>IF($A15&lt;&gt;"", (IF('4Inter O&amp;M Entry'!P16="Y", ((($B15*$D15)*((1+$B$5)^L$7))*(1/((1+$N$5)^L$7))), 0)), "")</f>
        <v/>
      </c>
      <c r="M15" s="35" t="str">
        <f>IF($A15&lt;&gt;"", (IF('4Inter O&amp;M Entry'!Q16="Y", ((($B15*$D15)*((1+$B$5)^M$7))*(1/((1+$N$5)^M$7))), 0)), "")</f>
        <v/>
      </c>
      <c r="N15" s="35" t="str">
        <f>IF($A15&lt;&gt;"", (IF('4Inter O&amp;M Entry'!R16="Y", ((($B15*$D15)*((1+$B$5)^N$7))*(1/((1+$N$5)^N$7))), 0)), "")</f>
        <v/>
      </c>
    </row>
    <row r="16" spans="1:14">
      <c r="A16" s="31" t="str">
        <f>IF('4Inter O&amp;M Entry'!A17&lt;&gt;"", '4Inter O&amp;M Entry'!A17, "")</f>
        <v/>
      </c>
      <c r="B16" s="35" t="str">
        <f>IF('4Inter O&amp;M Entry'!B17&lt;&gt;"", '4Inter O&amp;M Entry'!B17, "")</f>
        <v/>
      </c>
      <c r="C16" s="31" t="str">
        <f>IF('4Inter O&amp;M Entry'!C17&lt;&gt;"", '4Inter O&amp;M Entry'!C17, "")</f>
        <v/>
      </c>
      <c r="D16" s="108" t="str">
        <f>IF('4Inter O&amp;M Entry'!D17&lt;&gt;"", '4Inter O&amp;M Entry'!D17, "")</f>
        <v/>
      </c>
      <c r="E16" s="35" t="str">
        <f>IF($A16&lt;&gt;"", (IF('4Inter O&amp;M Entry'!I17="Y", ((($B16*$D16)*((1+$B$5)^E$7))*(1/((1+$N$5)^E$7))), 0)), "")</f>
        <v/>
      </c>
      <c r="F16" s="35" t="str">
        <f>IF($A16&lt;&gt;"", (IF('4Inter O&amp;M Entry'!J17="Y", ((($B16*$D16)*((1+$B$5)^F$7))*(1/((1+$N$5)^F$7))), 0)), "")</f>
        <v/>
      </c>
      <c r="G16" s="35" t="str">
        <f>IF($A16&lt;&gt;"", (IF('4Inter O&amp;M Entry'!K17="Y", ((($B16*$D16)*((1+$B$5)^G$7))*(1/((1+$N$5)^G$7))), 0)), "")</f>
        <v/>
      </c>
      <c r="H16" s="35" t="str">
        <f>IF($A16&lt;&gt;"", (IF('4Inter O&amp;M Entry'!L17="Y", ((($B16*$D16)*((1+$B$5)^H$7))*(1/((1+$N$5)^H$7))), 0)), "")</f>
        <v/>
      </c>
      <c r="I16" s="35" t="str">
        <f>IF($A16&lt;&gt;"", (IF('4Inter O&amp;M Entry'!M17="Y", ((($B16*$D16)*((1+$B$5)^I$7))*(1/((1+$N$5)^I$7))), 0)), "")</f>
        <v/>
      </c>
      <c r="J16" s="35" t="str">
        <f>IF($A16&lt;&gt;"", (IF('4Inter O&amp;M Entry'!N17="Y", ((($B16*$D16)*((1+$B$5)^J$7))*(1/((1+$N$5)^J$7))), 0)), "")</f>
        <v/>
      </c>
      <c r="K16" s="35" t="str">
        <f>IF($A16&lt;&gt;"", (IF('4Inter O&amp;M Entry'!O17="Y", ((($B16*$D16)*((1+$B$5)^K$7))*(1/((1+$N$5)^K$7))), 0)), "")</f>
        <v/>
      </c>
      <c r="L16" s="35" t="str">
        <f>IF($A16&lt;&gt;"", (IF('4Inter O&amp;M Entry'!P17="Y", ((($B16*$D16)*((1+$B$5)^L$7))*(1/((1+$N$5)^L$7))), 0)), "")</f>
        <v/>
      </c>
      <c r="M16" s="35" t="str">
        <f>IF($A16&lt;&gt;"", (IF('4Inter O&amp;M Entry'!Q17="Y", ((($B16*$D16)*((1+$B$5)^M$7))*(1/((1+$N$5)^M$7))), 0)), "")</f>
        <v/>
      </c>
      <c r="N16" s="35" t="str">
        <f>IF($A16&lt;&gt;"", (IF('4Inter O&amp;M Entry'!R17="Y", ((($B16*$D16)*((1+$B$5)^N$7))*(1/((1+$N$5)^N$7))), 0)), "")</f>
        <v/>
      </c>
    </row>
    <row r="17" spans="1:14">
      <c r="A17" s="31" t="str">
        <f>IF('4Inter O&amp;M Entry'!A18&lt;&gt;"", '4Inter O&amp;M Entry'!A18, "")</f>
        <v/>
      </c>
      <c r="B17" s="35" t="str">
        <f>IF('4Inter O&amp;M Entry'!B18&lt;&gt;"", '4Inter O&amp;M Entry'!B18, "")</f>
        <v/>
      </c>
      <c r="C17" s="31" t="str">
        <f>IF('4Inter O&amp;M Entry'!C18&lt;&gt;"", '4Inter O&amp;M Entry'!C18, "")</f>
        <v/>
      </c>
      <c r="D17" s="108" t="str">
        <f>IF('4Inter O&amp;M Entry'!D18&lt;&gt;"", '4Inter O&amp;M Entry'!D18, "")</f>
        <v/>
      </c>
      <c r="E17" s="35" t="str">
        <f>IF($A17&lt;&gt;"", (IF('4Inter O&amp;M Entry'!I18="Y", ((($B17*$D17)*((1+$B$5)^E$7))*(1/((1+$N$5)^E$7))), 0)), "")</f>
        <v/>
      </c>
      <c r="F17" s="35" t="str">
        <f>IF($A17&lt;&gt;"", (IF('4Inter O&amp;M Entry'!J18="Y", ((($B17*$D17)*((1+$B$5)^F$7))*(1/((1+$N$5)^F$7))), 0)), "")</f>
        <v/>
      </c>
      <c r="G17" s="35" t="str">
        <f>IF($A17&lt;&gt;"", (IF('4Inter O&amp;M Entry'!K18="Y", ((($B17*$D17)*((1+$B$5)^G$7))*(1/((1+$N$5)^G$7))), 0)), "")</f>
        <v/>
      </c>
      <c r="H17" s="35" t="str">
        <f>IF($A17&lt;&gt;"", (IF('4Inter O&amp;M Entry'!L18="Y", ((($B17*$D17)*((1+$B$5)^H$7))*(1/((1+$N$5)^H$7))), 0)), "")</f>
        <v/>
      </c>
      <c r="I17" s="35" t="str">
        <f>IF($A17&lt;&gt;"", (IF('4Inter O&amp;M Entry'!M18="Y", ((($B17*$D17)*((1+$B$5)^I$7))*(1/((1+$N$5)^I$7))), 0)), "")</f>
        <v/>
      </c>
      <c r="J17" s="35" t="str">
        <f>IF($A17&lt;&gt;"", (IF('4Inter O&amp;M Entry'!N18="Y", ((($B17*$D17)*((1+$B$5)^J$7))*(1/((1+$N$5)^J$7))), 0)), "")</f>
        <v/>
      </c>
      <c r="K17" s="35" t="str">
        <f>IF($A17&lt;&gt;"", (IF('4Inter O&amp;M Entry'!O18="Y", ((($B17*$D17)*((1+$B$5)^K$7))*(1/((1+$N$5)^K$7))), 0)), "")</f>
        <v/>
      </c>
      <c r="L17" s="35" t="str">
        <f>IF($A17&lt;&gt;"", (IF('4Inter O&amp;M Entry'!P18="Y", ((($B17*$D17)*((1+$B$5)^L$7))*(1/((1+$N$5)^L$7))), 0)), "")</f>
        <v/>
      </c>
      <c r="M17" s="35" t="str">
        <f>IF($A17&lt;&gt;"", (IF('4Inter O&amp;M Entry'!Q18="Y", ((($B17*$D17)*((1+$B$5)^M$7))*(1/((1+$N$5)^M$7))), 0)), "")</f>
        <v/>
      </c>
      <c r="N17" s="35" t="str">
        <f>IF($A17&lt;&gt;"", (IF('4Inter O&amp;M Entry'!R18="Y", ((($B17*$D17)*((1+$B$5)^N$7))*(1/((1+$N$5)^N$7))), 0)), "")</f>
        <v/>
      </c>
    </row>
    <row r="18" spans="1:14">
      <c r="A18" s="31" t="str">
        <f>IF('4Inter O&amp;M Entry'!A19&lt;&gt;"", '4Inter O&amp;M Entry'!A19, "")</f>
        <v/>
      </c>
      <c r="B18" s="35" t="str">
        <f>IF('4Inter O&amp;M Entry'!B19&lt;&gt;"", '4Inter O&amp;M Entry'!B19, "")</f>
        <v/>
      </c>
      <c r="C18" s="31" t="str">
        <f>IF('4Inter O&amp;M Entry'!C19&lt;&gt;"", '4Inter O&amp;M Entry'!C19, "")</f>
        <v/>
      </c>
      <c r="D18" s="108" t="str">
        <f>IF('4Inter O&amp;M Entry'!D19&lt;&gt;"", '4Inter O&amp;M Entry'!D19, "")</f>
        <v/>
      </c>
      <c r="E18" s="35" t="str">
        <f>IF($A18&lt;&gt;"", (IF('4Inter O&amp;M Entry'!I19="Y", ((($B18*$D18)*((1+$B$5)^E$7))*(1/((1+$N$5)^E$7))), 0)), "")</f>
        <v/>
      </c>
      <c r="F18" s="35" t="str">
        <f>IF($A18&lt;&gt;"", (IF('4Inter O&amp;M Entry'!J19="Y", ((($B18*$D18)*((1+$B$5)^F$7))*(1/((1+$N$5)^F$7))), 0)), "")</f>
        <v/>
      </c>
      <c r="G18" s="35" t="str">
        <f>IF($A18&lt;&gt;"", (IF('4Inter O&amp;M Entry'!K19="Y", ((($B18*$D18)*((1+$B$5)^G$7))*(1/((1+$N$5)^G$7))), 0)), "")</f>
        <v/>
      </c>
      <c r="H18" s="35" t="str">
        <f>IF($A18&lt;&gt;"", (IF('4Inter O&amp;M Entry'!L19="Y", ((($B18*$D18)*((1+$B$5)^H$7))*(1/((1+$N$5)^H$7))), 0)), "")</f>
        <v/>
      </c>
      <c r="I18" s="35" t="str">
        <f>IF($A18&lt;&gt;"", (IF('4Inter O&amp;M Entry'!M19="Y", ((($B18*$D18)*((1+$B$5)^I$7))*(1/((1+$N$5)^I$7))), 0)), "")</f>
        <v/>
      </c>
      <c r="J18" s="35" t="str">
        <f>IF($A18&lt;&gt;"", (IF('4Inter O&amp;M Entry'!N19="Y", ((($B18*$D18)*((1+$B$5)^J$7))*(1/((1+$N$5)^J$7))), 0)), "")</f>
        <v/>
      </c>
      <c r="K18" s="35" t="str">
        <f>IF($A18&lt;&gt;"", (IF('4Inter O&amp;M Entry'!O19="Y", ((($B18*$D18)*((1+$B$5)^K$7))*(1/((1+$N$5)^K$7))), 0)), "")</f>
        <v/>
      </c>
      <c r="L18" s="35" t="str">
        <f>IF($A18&lt;&gt;"", (IF('4Inter O&amp;M Entry'!P19="Y", ((($B18*$D18)*((1+$B$5)^L$7))*(1/((1+$N$5)^L$7))), 0)), "")</f>
        <v/>
      </c>
      <c r="M18" s="35" t="str">
        <f>IF($A18&lt;&gt;"", (IF('4Inter O&amp;M Entry'!Q19="Y", ((($B18*$D18)*((1+$B$5)^M$7))*(1/((1+$N$5)^M$7))), 0)), "")</f>
        <v/>
      </c>
      <c r="N18" s="35" t="str">
        <f>IF($A18&lt;&gt;"", (IF('4Inter O&amp;M Entry'!R19="Y", ((($B18*$D18)*((1+$B$5)^N$7))*(1/((1+$N$5)^N$7))), 0)), "")</f>
        <v/>
      </c>
    </row>
    <row r="19" spans="1:14">
      <c r="A19" s="31" t="str">
        <f>IF('4Inter O&amp;M Entry'!A20&lt;&gt;"", '4Inter O&amp;M Entry'!A20, "")</f>
        <v/>
      </c>
      <c r="B19" s="35" t="str">
        <f>IF('4Inter O&amp;M Entry'!B20&lt;&gt;"", '4Inter O&amp;M Entry'!B20, "")</f>
        <v/>
      </c>
      <c r="C19" s="31" t="str">
        <f>IF('4Inter O&amp;M Entry'!C20&lt;&gt;"", '4Inter O&amp;M Entry'!C20, "")</f>
        <v/>
      </c>
      <c r="D19" s="108" t="str">
        <f>IF('4Inter O&amp;M Entry'!D20&lt;&gt;"", '4Inter O&amp;M Entry'!D20, "")</f>
        <v/>
      </c>
      <c r="E19" s="35" t="str">
        <f>IF($A19&lt;&gt;"", (IF('4Inter O&amp;M Entry'!I20="Y", ((($B19*$D19)*((1+$B$5)^E$7))*(1/((1+$N$5)^E$7))), 0)), "")</f>
        <v/>
      </c>
      <c r="F19" s="35" t="str">
        <f>IF($A19&lt;&gt;"", (IF('4Inter O&amp;M Entry'!J20="Y", ((($B19*$D19)*((1+$B$5)^F$7))*(1/((1+$N$5)^F$7))), 0)), "")</f>
        <v/>
      </c>
      <c r="G19" s="35" t="str">
        <f>IF($A19&lt;&gt;"", (IF('4Inter O&amp;M Entry'!K20="Y", ((($B19*$D19)*((1+$B$5)^G$7))*(1/((1+$N$5)^G$7))), 0)), "")</f>
        <v/>
      </c>
      <c r="H19" s="35" t="str">
        <f>IF($A19&lt;&gt;"", (IF('4Inter O&amp;M Entry'!L20="Y", ((($B19*$D19)*((1+$B$5)^H$7))*(1/((1+$N$5)^H$7))), 0)), "")</f>
        <v/>
      </c>
      <c r="I19" s="35" t="str">
        <f>IF($A19&lt;&gt;"", (IF('4Inter O&amp;M Entry'!M20="Y", ((($B19*$D19)*((1+$B$5)^I$7))*(1/((1+$N$5)^I$7))), 0)), "")</f>
        <v/>
      </c>
      <c r="J19" s="35" t="str">
        <f>IF($A19&lt;&gt;"", (IF('4Inter O&amp;M Entry'!N20="Y", ((($B19*$D19)*((1+$B$5)^J$7))*(1/((1+$N$5)^J$7))), 0)), "")</f>
        <v/>
      </c>
      <c r="K19" s="35" t="str">
        <f>IF($A19&lt;&gt;"", (IF('4Inter O&amp;M Entry'!O20="Y", ((($B19*$D19)*((1+$B$5)^K$7))*(1/((1+$N$5)^K$7))), 0)), "")</f>
        <v/>
      </c>
      <c r="L19" s="35" t="str">
        <f>IF($A19&lt;&gt;"", (IF('4Inter O&amp;M Entry'!P20="Y", ((($B19*$D19)*((1+$B$5)^L$7))*(1/((1+$N$5)^L$7))), 0)), "")</f>
        <v/>
      </c>
      <c r="M19" s="35" t="str">
        <f>IF($A19&lt;&gt;"", (IF('4Inter O&amp;M Entry'!Q20="Y", ((($B19*$D19)*((1+$B$5)^M$7))*(1/((1+$N$5)^M$7))), 0)), "")</f>
        <v/>
      </c>
      <c r="N19" s="35" t="str">
        <f>IF($A19&lt;&gt;"", (IF('4Inter O&amp;M Entry'!R20="Y", ((($B19*$D19)*((1+$B$5)^N$7))*(1/((1+$N$5)^N$7))), 0)), "")</f>
        <v/>
      </c>
    </row>
    <row r="20" spans="1:14">
      <c r="D20" s="2" t="s">
        <v>73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21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173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'4Capital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'4Yearly O&amp;M Costs 11-20'!A5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11</v>
      </c>
      <c r="F7" s="12">
        <v>12</v>
      </c>
      <c r="G7" s="12">
        <v>13</v>
      </c>
      <c r="H7" s="12">
        <v>14</v>
      </c>
      <c r="I7" s="12">
        <v>15</v>
      </c>
      <c r="J7" s="12">
        <v>16</v>
      </c>
      <c r="K7" s="12">
        <v>17</v>
      </c>
      <c r="L7" s="12">
        <v>18</v>
      </c>
      <c r="M7" s="12">
        <v>19</v>
      </c>
      <c r="N7" s="12">
        <v>20</v>
      </c>
    </row>
    <row r="8" spans="1:14">
      <c r="A8" s="31" t="str">
        <f>IF('4Inter O&amp;M Entry'!A9&lt;&gt;"", '4Inter O&amp;M Entry'!A9, "")</f>
        <v/>
      </c>
      <c r="B8" s="35" t="str">
        <f>IF('4Inter O&amp;M Entry'!B9&lt;&gt;"", '4Inter O&amp;M Entry'!B9, "")</f>
        <v/>
      </c>
      <c r="C8" s="31" t="str">
        <f>IF('4Inter O&amp;M Entry'!C9&lt;&gt;"", '4Inter O&amp;M Entry'!C9, "")</f>
        <v/>
      </c>
      <c r="D8" s="108" t="str">
        <f>IF('4Inter O&amp;M Entry'!D9&lt;&gt;"", '4Inter O&amp;M Entry'!D9, "")</f>
        <v/>
      </c>
      <c r="E8" s="35" t="str">
        <f>IF(A8&lt;&gt;"", (IF('4Inter O&amp;M Entry'!I9="Y", ((($B8*$D8)*((1+$B$5)^E$7))*(1/((1+$N$5)^E$7))), 0)), "")</f>
        <v/>
      </c>
      <c r="F8" s="35" t="str">
        <f>IF(B8&lt;&gt;"", (IF('4Inter O&amp;M Entry'!J9="Y", ((($B8*$D8)*((1+$B$5)^F$7))*(1/((1+$N$5)^F$7))), 0)), "")</f>
        <v/>
      </c>
      <c r="G8" s="35" t="str">
        <f>IF(C8&lt;&gt;"", (IF('4Inter O&amp;M Entry'!K9="Y", ((($B8*$D8)*((1+$B$5)^G$7))*(1/((1+$N$5)^G$7))), 0)), "")</f>
        <v/>
      </c>
      <c r="H8" s="35" t="str">
        <f>IF(D8&lt;&gt;"", (IF('4Inter O&amp;M Entry'!L9="Y", ((($B8*$D8)*((1+$B$5)^H$7))*(1/((1+$N$5)^H$7))), 0)), "")</f>
        <v/>
      </c>
      <c r="I8" s="35" t="str">
        <f>IF(E8&lt;&gt;"", (IF('4Inter O&amp;M Entry'!M9="Y", ((($B8*$D8)*((1+$B$5)^I$7))*(1/((1+$N$5)^I$7))), 0)), "")</f>
        <v/>
      </c>
      <c r="J8" s="35" t="str">
        <f>IF(F8&lt;&gt;"", (IF('4Inter O&amp;M Entry'!N9="Y", ((($B8*$D8)*((1+$B$5)^J$7))*(1/((1+$N$5)^J$7))), 0)), "")</f>
        <v/>
      </c>
      <c r="K8" s="35" t="str">
        <f>IF(G8&lt;&gt;"", (IF('4Inter O&amp;M Entry'!O9="Y", ((($B8*$D8)*((1+$B$5)^K$7))*(1/((1+$N$5)^K$7))), 0)), "")</f>
        <v/>
      </c>
      <c r="L8" s="35" t="str">
        <f>IF(H8&lt;&gt;"", (IF('4Inter O&amp;M Entry'!P9="Y", ((($B8*$D8)*((1+$B$5)^L$7))*(1/((1+$N$5)^L$7))), 0)), "")</f>
        <v/>
      </c>
      <c r="M8" s="35" t="str">
        <f>IF(I8&lt;&gt;"", (IF('4Inter O&amp;M Entry'!Q9="Y", ((($B8*$D8)*((1+$B$5)^M$7))*(1/((1+$N$5)^M$7))), 0)), "")</f>
        <v/>
      </c>
      <c r="N8" s="35" t="str">
        <f>IF(J8&lt;&gt;"", (IF('4Inter O&amp;M Entry'!R9="Y", ((($B8*$D8)*((1+$B$5)^N$7))*(1/((1+$N$5)^N$7))), 0)), "")</f>
        <v/>
      </c>
    </row>
    <row r="9" spans="1:14">
      <c r="A9" s="31" t="str">
        <f>IF('4Inter O&amp;M Entry'!A10&lt;&gt;"", '4Inter O&amp;M Entry'!A10, "")</f>
        <v/>
      </c>
      <c r="B9" s="35" t="str">
        <f>IF('4Inter O&amp;M Entry'!B10&lt;&gt;"", '4Inter O&amp;M Entry'!B10, "")</f>
        <v/>
      </c>
      <c r="C9" s="31" t="str">
        <f>IF('4Inter O&amp;M Entry'!C10&lt;&gt;"", '4Inter O&amp;M Entry'!C10, "")</f>
        <v/>
      </c>
      <c r="D9" s="108" t="str">
        <f>IF('4Inter O&amp;M Entry'!D10&lt;&gt;"", '4Inter O&amp;M Entry'!D10, "")</f>
        <v/>
      </c>
      <c r="E9" s="35" t="str">
        <f>IF(A9&lt;&gt;"", (IF('4Inter O&amp;M Entry'!I10="Y", ((($B9*$D9)*((1+$B$5)^E$7))*(1/((1+$N$5)^E$7))), 0)), "")</f>
        <v/>
      </c>
      <c r="F9" s="35" t="str">
        <f>IF(B9&lt;&gt;"", (IF('4Inter O&amp;M Entry'!J10="Y", ((($B9*$D9)*((1+$B$5)^F$7))*(1/((1+$N$5)^F$7))), 0)), "")</f>
        <v/>
      </c>
      <c r="G9" s="35" t="str">
        <f>IF(C9&lt;&gt;"", (IF('4Inter O&amp;M Entry'!K10="Y", ((($B9*$D9)*((1+$B$5)^G$7))*(1/((1+$N$5)^G$7))), 0)), "")</f>
        <v/>
      </c>
      <c r="H9" s="35" t="str">
        <f>IF(D9&lt;&gt;"", (IF('4Inter O&amp;M Entry'!L10="Y", ((($B9*$D9)*((1+$B$5)^H$7))*(1/((1+$N$5)^H$7))), 0)), "")</f>
        <v/>
      </c>
      <c r="I9" s="35" t="str">
        <f>IF(E9&lt;&gt;"", (IF('4Inter O&amp;M Entry'!M10="Y", ((($B9*$D9)*((1+$B$5)^I$7))*(1/((1+$N$5)^I$7))), 0)), "")</f>
        <v/>
      </c>
      <c r="J9" s="35" t="str">
        <f>IF(F9&lt;&gt;"", (IF('4Inter O&amp;M Entry'!N10="Y", ((($B9*$D9)*((1+$B$5)^J$7))*(1/((1+$N$5)^J$7))), 0)), "")</f>
        <v/>
      </c>
      <c r="K9" s="35" t="str">
        <f>IF(G9&lt;&gt;"", (IF('4Inter O&amp;M Entry'!O10="Y", ((($B9*$D9)*((1+$B$5)^K$7))*(1/((1+$N$5)^K$7))), 0)), "")</f>
        <v/>
      </c>
      <c r="L9" s="35" t="str">
        <f>IF(H9&lt;&gt;"", (IF('4Inter O&amp;M Entry'!P10="Y", ((($B9*$D9)*((1+$B$5)^L$7))*(1/((1+$N$5)^L$7))), 0)), "")</f>
        <v/>
      </c>
      <c r="M9" s="35" t="str">
        <f>IF(I9&lt;&gt;"", (IF('4Inter O&amp;M Entry'!Q10="Y", ((($B9*$D9)*((1+$B$5)^M$7))*(1/((1+$N$5)^M$7))), 0)), "")</f>
        <v/>
      </c>
      <c r="N9" s="35" t="str">
        <f>IF(J9&lt;&gt;"", (IF('4Inter O&amp;M Entry'!R10="Y", ((($B9*$D9)*((1+$B$5)^N$7))*(1/((1+$N$5)^N$7))), 0)), "")</f>
        <v/>
      </c>
    </row>
    <row r="10" spans="1:14">
      <c r="A10" s="31" t="str">
        <f>IF('4Inter O&amp;M Entry'!A11&lt;&gt;"", '4Inter O&amp;M Entry'!A11, "")</f>
        <v/>
      </c>
      <c r="B10" s="35" t="str">
        <f>IF('4Inter O&amp;M Entry'!B11&lt;&gt;"", '4Inter O&amp;M Entry'!B11, "")</f>
        <v/>
      </c>
      <c r="C10" s="31" t="str">
        <f>IF('4Inter O&amp;M Entry'!C11&lt;&gt;"", '4Inter O&amp;M Entry'!C11, "")</f>
        <v/>
      </c>
      <c r="D10" s="108" t="str">
        <f>IF('4Inter O&amp;M Entry'!D11&lt;&gt;"", '4Inter O&amp;M Entry'!D11, "")</f>
        <v/>
      </c>
      <c r="E10" s="35" t="str">
        <f>IF(A10&lt;&gt;"", (IF('4Inter O&amp;M Entry'!I11="Y", ((($B10*$D10)*((1+$B$5)^E$7))*(1/((1+$N$5)^E$7))), 0)), "")</f>
        <v/>
      </c>
      <c r="F10" s="35" t="str">
        <f>IF(B10&lt;&gt;"", (IF('4Inter O&amp;M Entry'!J11="Y", ((($B10*$D10)*((1+$B$5)^F$7))*(1/((1+$N$5)^F$7))), 0)), "")</f>
        <v/>
      </c>
      <c r="G10" s="35" t="str">
        <f>IF(C10&lt;&gt;"", (IF('4Inter O&amp;M Entry'!K11="Y", ((($B10*$D10)*((1+$B$5)^G$7))*(1/((1+$N$5)^G$7))), 0)), "")</f>
        <v/>
      </c>
      <c r="H10" s="35" t="str">
        <f>IF(D10&lt;&gt;"", (IF('4Inter O&amp;M Entry'!L11="Y", ((($B10*$D10)*((1+$B$5)^H$7))*(1/((1+$N$5)^H$7))), 0)), "")</f>
        <v/>
      </c>
      <c r="I10" s="35" t="str">
        <f>IF(E10&lt;&gt;"", (IF('4Inter O&amp;M Entry'!M11="Y", ((($B10*$D10)*((1+$B$5)^I$7))*(1/((1+$N$5)^I$7))), 0)), "")</f>
        <v/>
      </c>
      <c r="J10" s="35" t="str">
        <f>IF(F10&lt;&gt;"", (IF('4Inter O&amp;M Entry'!N11="Y", ((($B10*$D10)*((1+$B$5)^J$7))*(1/((1+$N$5)^J$7))), 0)), "")</f>
        <v/>
      </c>
      <c r="K10" s="35" t="str">
        <f>IF(G10&lt;&gt;"", (IF('4Inter O&amp;M Entry'!O11="Y", ((($B10*$D10)*((1+$B$5)^K$7))*(1/((1+$N$5)^K$7))), 0)), "")</f>
        <v/>
      </c>
      <c r="L10" s="35" t="str">
        <f>IF(H10&lt;&gt;"", (IF('4Inter O&amp;M Entry'!P11="Y", ((($B10*$D10)*((1+$B$5)^L$7))*(1/((1+$N$5)^L$7))), 0)), "")</f>
        <v/>
      </c>
      <c r="M10" s="35" t="str">
        <f>IF(I10&lt;&gt;"", (IF('4Inter O&amp;M Entry'!Q11="Y", ((($B10*$D10)*((1+$B$5)^M$7))*(1/((1+$N$5)^M$7))), 0)), "")</f>
        <v/>
      </c>
      <c r="N10" s="35" t="str">
        <f>IF(J10&lt;&gt;"", (IF('4Inter O&amp;M Entry'!R11="Y", ((($B10*$D10)*((1+$B$5)^N$7))*(1/((1+$N$5)^N$7))), 0)), "")</f>
        <v/>
      </c>
    </row>
    <row r="11" spans="1:14">
      <c r="A11" s="31" t="str">
        <f>IF('4Inter O&amp;M Entry'!A12&lt;&gt;"", '4Inter O&amp;M Entry'!A12, "")</f>
        <v/>
      </c>
      <c r="B11" s="35" t="str">
        <f>IF('4Inter O&amp;M Entry'!B12&lt;&gt;"", '4Inter O&amp;M Entry'!B12, "")</f>
        <v/>
      </c>
      <c r="C11" s="31" t="str">
        <f>IF('4Inter O&amp;M Entry'!C12&lt;&gt;"", '4Inter O&amp;M Entry'!C12, "")</f>
        <v/>
      </c>
      <c r="D11" s="108" t="str">
        <f>IF('4Inter O&amp;M Entry'!D12&lt;&gt;"", '4Inter O&amp;M Entry'!D12, "")</f>
        <v/>
      </c>
      <c r="E11" s="35" t="str">
        <f>IF(A11&lt;&gt;"", (IF('4Inter O&amp;M Entry'!I12="Y", ((($B11*$D11)*((1+$B$5)^E$7))*(1/((1+$N$5)^E$7))), 0)), "")</f>
        <v/>
      </c>
      <c r="F11" s="35" t="str">
        <f>IF(B11&lt;&gt;"", (IF('4Inter O&amp;M Entry'!J12="Y", ((($B11*$D11)*((1+$B$5)^F$7))*(1/((1+$N$5)^F$7))), 0)), "")</f>
        <v/>
      </c>
      <c r="G11" s="35" t="str">
        <f>IF(C11&lt;&gt;"", (IF('4Inter O&amp;M Entry'!K12="Y", ((($B11*$D11)*((1+$B$5)^G$7))*(1/((1+$N$5)^G$7))), 0)), "")</f>
        <v/>
      </c>
      <c r="H11" s="35" t="str">
        <f>IF(D11&lt;&gt;"", (IF('4Inter O&amp;M Entry'!L12="Y", ((($B11*$D11)*((1+$B$5)^H$7))*(1/((1+$N$5)^H$7))), 0)), "")</f>
        <v/>
      </c>
      <c r="I11" s="35" t="str">
        <f>IF(E11&lt;&gt;"", (IF('4Inter O&amp;M Entry'!M12="Y", ((($B11*$D11)*((1+$B$5)^I$7))*(1/((1+$N$5)^I$7))), 0)), "")</f>
        <v/>
      </c>
      <c r="J11" s="35" t="str">
        <f>IF(F11&lt;&gt;"", (IF('4Inter O&amp;M Entry'!N12="Y", ((($B11*$D11)*((1+$B$5)^J$7))*(1/((1+$N$5)^J$7))), 0)), "")</f>
        <v/>
      </c>
      <c r="K11" s="35" t="str">
        <f>IF(G11&lt;&gt;"", (IF('4Inter O&amp;M Entry'!O12="Y", ((($B11*$D11)*((1+$B$5)^K$7))*(1/((1+$N$5)^K$7))), 0)), "")</f>
        <v/>
      </c>
      <c r="L11" s="35" t="str">
        <f>IF(H11&lt;&gt;"", (IF('4Inter O&amp;M Entry'!P12="Y", ((($B11*$D11)*((1+$B$5)^L$7))*(1/((1+$N$5)^L$7))), 0)), "")</f>
        <v/>
      </c>
      <c r="M11" s="35" t="str">
        <f>IF(I11&lt;&gt;"", (IF('4Inter O&amp;M Entry'!Q12="Y", ((($B11*$D11)*((1+$B$5)^M$7))*(1/((1+$N$5)^M$7))), 0)), "")</f>
        <v/>
      </c>
      <c r="N11" s="35" t="str">
        <f>IF(J11&lt;&gt;"", (IF('4Inter O&amp;M Entry'!R12="Y", ((($B11*$D11)*((1+$B$5)^N$7))*(1/((1+$N$5)^N$7))), 0)), "")</f>
        <v/>
      </c>
    </row>
    <row r="12" spans="1:14">
      <c r="A12" s="31" t="str">
        <f>IF('4Inter O&amp;M Entry'!A13&lt;&gt;"", '4Inter O&amp;M Entry'!A13, "")</f>
        <v/>
      </c>
      <c r="B12" s="35" t="str">
        <f>IF('4Inter O&amp;M Entry'!B13&lt;&gt;"", '4Inter O&amp;M Entry'!B13, "")</f>
        <v/>
      </c>
      <c r="C12" s="31" t="str">
        <f>IF('4Inter O&amp;M Entry'!C13&lt;&gt;"", '4Inter O&amp;M Entry'!C13, "")</f>
        <v/>
      </c>
      <c r="D12" s="108" t="str">
        <f>IF('4Inter O&amp;M Entry'!D13&lt;&gt;"", '4Inter O&amp;M Entry'!D13, "")</f>
        <v/>
      </c>
      <c r="E12" s="35" t="str">
        <f>IF(A12&lt;&gt;"", (IF('4Inter O&amp;M Entry'!I13="Y", ((($B12*$D12)*((1+$B$5)^E$7))*(1/((1+$N$5)^E$7))), 0)), "")</f>
        <v/>
      </c>
      <c r="F12" s="35" t="str">
        <f>IF(B12&lt;&gt;"", (IF('4Inter O&amp;M Entry'!J13="Y", ((($B12*$D12)*((1+$B$5)^F$7))*(1/((1+$N$5)^F$7))), 0)), "")</f>
        <v/>
      </c>
      <c r="G12" s="35" t="str">
        <f>IF(C12&lt;&gt;"", (IF('4Inter O&amp;M Entry'!K13="Y", ((($B12*$D12)*((1+$B$5)^G$7))*(1/((1+$N$5)^G$7))), 0)), "")</f>
        <v/>
      </c>
      <c r="H12" s="35" t="str">
        <f>IF(D12&lt;&gt;"", (IF('4Inter O&amp;M Entry'!L13="Y", ((($B12*$D12)*((1+$B$5)^H$7))*(1/((1+$N$5)^H$7))), 0)), "")</f>
        <v/>
      </c>
      <c r="I12" s="35" t="str">
        <f>IF(E12&lt;&gt;"", (IF('4Inter O&amp;M Entry'!M13="Y", ((($B12*$D12)*((1+$B$5)^I$7))*(1/((1+$N$5)^I$7))), 0)), "")</f>
        <v/>
      </c>
      <c r="J12" s="35" t="str">
        <f>IF(F12&lt;&gt;"", (IF('4Inter O&amp;M Entry'!N13="Y", ((($B12*$D12)*((1+$B$5)^J$7))*(1/((1+$N$5)^J$7))), 0)), "")</f>
        <v/>
      </c>
      <c r="K12" s="35" t="str">
        <f>IF(G12&lt;&gt;"", (IF('4Inter O&amp;M Entry'!O13="Y", ((($B12*$D12)*((1+$B$5)^K$7))*(1/((1+$N$5)^K$7))), 0)), "")</f>
        <v/>
      </c>
      <c r="L12" s="35" t="str">
        <f>IF(H12&lt;&gt;"", (IF('4Inter O&amp;M Entry'!P13="Y", ((($B12*$D12)*((1+$B$5)^L$7))*(1/((1+$N$5)^L$7))), 0)), "")</f>
        <v/>
      </c>
      <c r="M12" s="35" t="str">
        <f>IF(I12&lt;&gt;"", (IF('4Inter O&amp;M Entry'!Q13="Y", ((($B12*$D12)*((1+$B$5)^M$7))*(1/((1+$N$5)^M$7))), 0)), "")</f>
        <v/>
      </c>
      <c r="N12" s="35" t="str">
        <f>IF(J12&lt;&gt;"", (IF('4Inter O&amp;M Entry'!R13="Y", ((($B12*$D12)*((1+$B$5)^N$7))*(1/((1+$N$5)^N$7))), 0)), "")</f>
        <v/>
      </c>
    </row>
    <row r="13" spans="1:14">
      <c r="A13" s="31" t="str">
        <f>IF('4Inter O&amp;M Entry'!A14&lt;&gt;"", '4Inter O&amp;M Entry'!A14, "")</f>
        <v/>
      </c>
      <c r="B13" s="35" t="str">
        <f>IF('4Inter O&amp;M Entry'!B14&lt;&gt;"", '4Inter O&amp;M Entry'!B14, "")</f>
        <v/>
      </c>
      <c r="C13" s="31" t="str">
        <f>IF('4Inter O&amp;M Entry'!C14&lt;&gt;"", '4Inter O&amp;M Entry'!C14, "")</f>
        <v/>
      </c>
      <c r="D13" s="108" t="str">
        <f>IF('4Inter O&amp;M Entry'!D14&lt;&gt;"", '4Inter O&amp;M Entry'!D14, "")</f>
        <v/>
      </c>
      <c r="E13" s="35" t="str">
        <f>IF(A13&lt;&gt;"", (IF('4Inter O&amp;M Entry'!I14="Y", ((($B13*$D13)*((1+$B$5)^E$7))*(1/((1+$N$5)^E$7))), 0)), "")</f>
        <v/>
      </c>
      <c r="F13" s="35" t="str">
        <f>IF(B13&lt;&gt;"", (IF('4Inter O&amp;M Entry'!J14="Y", ((($B13*$D13)*((1+$B$5)^F$7))*(1/((1+$N$5)^F$7))), 0)), "")</f>
        <v/>
      </c>
      <c r="G13" s="35" t="str">
        <f>IF(C13&lt;&gt;"", (IF('4Inter O&amp;M Entry'!K14="Y", ((($B13*$D13)*((1+$B$5)^G$7))*(1/((1+$N$5)^G$7))), 0)), "")</f>
        <v/>
      </c>
      <c r="H13" s="35" t="str">
        <f>IF(D13&lt;&gt;"", (IF('4Inter O&amp;M Entry'!L14="Y", ((($B13*$D13)*((1+$B$5)^H$7))*(1/((1+$N$5)^H$7))), 0)), "")</f>
        <v/>
      </c>
      <c r="I13" s="35" t="str">
        <f>IF(E13&lt;&gt;"", (IF('4Inter O&amp;M Entry'!M14="Y", ((($B13*$D13)*((1+$B$5)^I$7))*(1/((1+$N$5)^I$7))), 0)), "")</f>
        <v/>
      </c>
      <c r="J13" s="35" t="str">
        <f>IF(F13&lt;&gt;"", (IF('4Inter O&amp;M Entry'!N14="Y", ((($B13*$D13)*((1+$B$5)^J$7))*(1/((1+$N$5)^J$7))), 0)), "")</f>
        <v/>
      </c>
      <c r="K13" s="35" t="str">
        <f>IF(G13&lt;&gt;"", (IF('4Inter O&amp;M Entry'!O14="Y", ((($B13*$D13)*((1+$B$5)^K$7))*(1/((1+$N$5)^K$7))), 0)), "")</f>
        <v/>
      </c>
      <c r="L13" s="35" t="str">
        <f>IF(H13&lt;&gt;"", (IF('4Inter O&amp;M Entry'!P14="Y", ((($B13*$D13)*((1+$B$5)^L$7))*(1/((1+$N$5)^L$7))), 0)), "")</f>
        <v/>
      </c>
      <c r="M13" s="35" t="str">
        <f>IF(I13&lt;&gt;"", (IF('4Inter O&amp;M Entry'!Q14="Y", ((($B13*$D13)*((1+$B$5)^M$7))*(1/((1+$N$5)^M$7))), 0)), "")</f>
        <v/>
      </c>
      <c r="N13" s="35" t="str">
        <f>IF(J13&lt;&gt;"", (IF('4Inter O&amp;M Entry'!R14="Y", ((($B13*$D13)*((1+$B$5)^N$7))*(1/((1+$N$5)^N$7))), 0)), "")</f>
        <v/>
      </c>
    </row>
    <row r="14" spans="1:14">
      <c r="A14" s="31" t="str">
        <f>IF('4Inter O&amp;M Entry'!A15&lt;&gt;"", '4Inter O&amp;M Entry'!A15, "")</f>
        <v/>
      </c>
      <c r="B14" s="35" t="str">
        <f>IF('4Inter O&amp;M Entry'!B15&lt;&gt;"", '4Inter O&amp;M Entry'!B15, "")</f>
        <v/>
      </c>
      <c r="C14" s="31" t="str">
        <f>IF('4Inter O&amp;M Entry'!C15&lt;&gt;"", '4Inter O&amp;M Entry'!C15, "")</f>
        <v/>
      </c>
      <c r="D14" s="108" t="str">
        <f>IF('4Inter O&amp;M Entry'!D15&lt;&gt;"", '4Inter O&amp;M Entry'!D15, "")</f>
        <v/>
      </c>
      <c r="E14" s="35" t="str">
        <f>IF(A14&lt;&gt;"", (IF('4Inter O&amp;M Entry'!I15="Y", ((($B14*$D14)*((1+$B$5)^E$7))*(1/((1+$N$5)^E$7))), 0)), "")</f>
        <v/>
      </c>
      <c r="F14" s="35" t="str">
        <f>IF(B14&lt;&gt;"", (IF('4Inter O&amp;M Entry'!J15="Y", ((($B14*$D14)*((1+$B$5)^F$7))*(1/((1+$N$5)^F$7))), 0)), "")</f>
        <v/>
      </c>
      <c r="G14" s="35" t="str">
        <f>IF(C14&lt;&gt;"", (IF('4Inter O&amp;M Entry'!K15="Y", ((($B14*$D14)*((1+$B$5)^G$7))*(1/((1+$N$5)^G$7))), 0)), "")</f>
        <v/>
      </c>
      <c r="H14" s="35" t="str">
        <f>IF(D14&lt;&gt;"", (IF('4Inter O&amp;M Entry'!L15="Y", ((($B14*$D14)*((1+$B$5)^H$7))*(1/((1+$N$5)^H$7))), 0)), "")</f>
        <v/>
      </c>
      <c r="I14" s="35" t="str">
        <f>IF(E14&lt;&gt;"", (IF('4Inter O&amp;M Entry'!M15="Y", ((($B14*$D14)*((1+$B$5)^I$7))*(1/((1+$N$5)^I$7))), 0)), "")</f>
        <v/>
      </c>
      <c r="J14" s="35" t="str">
        <f>IF(F14&lt;&gt;"", (IF('4Inter O&amp;M Entry'!N15="Y", ((($B14*$D14)*((1+$B$5)^J$7))*(1/((1+$N$5)^J$7))), 0)), "")</f>
        <v/>
      </c>
      <c r="K14" s="35" t="str">
        <f>IF(G14&lt;&gt;"", (IF('4Inter O&amp;M Entry'!O15="Y", ((($B14*$D14)*((1+$B$5)^K$7))*(1/((1+$N$5)^K$7))), 0)), "")</f>
        <v/>
      </c>
      <c r="L14" s="35" t="str">
        <f>IF(H14&lt;&gt;"", (IF('4Inter O&amp;M Entry'!P15="Y", ((($B14*$D14)*((1+$B$5)^L$7))*(1/((1+$N$5)^L$7))), 0)), "")</f>
        <v/>
      </c>
      <c r="M14" s="35" t="str">
        <f>IF(I14&lt;&gt;"", (IF('4Inter O&amp;M Entry'!Q15="Y", ((($B14*$D14)*((1+$B$5)^M$7))*(1/((1+$N$5)^M$7))), 0)), "")</f>
        <v/>
      </c>
      <c r="N14" s="35" t="str">
        <f>IF(J14&lt;&gt;"", (IF('4Inter O&amp;M Entry'!R15="Y", ((($B14*$D14)*((1+$B$5)^N$7))*(1/((1+$N$5)^N$7))), 0)), "")</f>
        <v/>
      </c>
    </row>
    <row r="15" spans="1:14">
      <c r="A15" s="31" t="str">
        <f>IF('4Inter O&amp;M Entry'!A16&lt;&gt;"", '4Inter O&amp;M Entry'!A16, "")</f>
        <v/>
      </c>
      <c r="B15" s="35" t="str">
        <f>IF('4Inter O&amp;M Entry'!B16&lt;&gt;"", '4Inter O&amp;M Entry'!B16, "")</f>
        <v/>
      </c>
      <c r="C15" s="31" t="str">
        <f>IF('4Inter O&amp;M Entry'!C16&lt;&gt;"", '4Inter O&amp;M Entry'!C16, "")</f>
        <v/>
      </c>
      <c r="D15" s="108" t="str">
        <f>IF('4Inter O&amp;M Entry'!D16&lt;&gt;"", '4Inter O&amp;M Entry'!D16, "")</f>
        <v/>
      </c>
      <c r="E15" s="35" t="str">
        <f>IF(A15&lt;&gt;"", (IF('4Inter O&amp;M Entry'!I16="Y", ((($B15*$D15)*((1+$B$5)^E$7))*(1/((1+$N$5)^E$7))), 0)), "")</f>
        <v/>
      </c>
      <c r="F15" s="35" t="str">
        <f>IF(B15&lt;&gt;"", (IF('4Inter O&amp;M Entry'!J16="Y", ((($B15*$D15)*((1+$B$5)^F$7))*(1/((1+$N$5)^F$7))), 0)), "")</f>
        <v/>
      </c>
      <c r="G15" s="35" t="str">
        <f>IF(C15&lt;&gt;"", (IF('4Inter O&amp;M Entry'!K16="Y", ((($B15*$D15)*((1+$B$5)^G$7))*(1/((1+$N$5)^G$7))), 0)), "")</f>
        <v/>
      </c>
      <c r="H15" s="35" t="str">
        <f>IF(D15&lt;&gt;"", (IF('4Inter O&amp;M Entry'!L16="Y", ((($B15*$D15)*((1+$B$5)^H$7))*(1/((1+$N$5)^H$7))), 0)), "")</f>
        <v/>
      </c>
      <c r="I15" s="35" t="str">
        <f>IF(E15&lt;&gt;"", (IF('4Inter O&amp;M Entry'!M16="Y", ((($B15*$D15)*((1+$B$5)^I$7))*(1/((1+$N$5)^I$7))), 0)), "")</f>
        <v/>
      </c>
      <c r="J15" s="35" t="str">
        <f>IF(F15&lt;&gt;"", (IF('4Inter O&amp;M Entry'!N16="Y", ((($B15*$D15)*((1+$B$5)^J$7))*(1/((1+$N$5)^J$7))), 0)), "")</f>
        <v/>
      </c>
      <c r="K15" s="35" t="str">
        <f>IF(G15&lt;&gt;"", (IF('4Inter O&amp;M Entry'!O16="Y", ((($B15*$D15)*((1+$B$5)^K$7))*(1/((1+$N$5)^K$7))), 0)), "")</f>
        <v/>
      </c>
      <c r="L15" s="35" t="str">
        <f>IF(H15&lt;&gt;"", (IF('4Inter O&amp;M Entry'!P16="Y", ((($B15*$D15)*((1+$B$5)^L$7))*(1/((1+$N$5)^L$7))), 0)), "")</f>
        <v/>
      </c>
      <c r="M15" s="35" t="str">
        <f>IF(I15&lt;&gt;"", (IF('4Inter O&amp;M Entry'!Q16="Y", ((($B15*$D15)*((1+$B$5)^M$7))*(1/((1+$N$5)^M$7))), 0)), "")</f>
        <v/>
      </c>
      <c r="N15" s="35" t="str">
        <f>IF(J15&lt;&gt;"", (IF('4Inter O&amp;M Entry'!R16="Y", ((($B15*$D15)*((1+$B$5)^N$7))*(1/((1+$N$5)^N$7))), 0)), "")</f>
        <v/>
      </c>
    </row>
    <row r="16" spans="1:14">
      <c r="A16" s="31" t="str">
        <f>IF('4Inter O&amp;M Entry'!A17&lt;&gt;"", '4Inter O&amp;M Entry'!A17, "")</f>
        <v/>
      </c>
      <c r="B16" s="35" t="str">
        <f>IF('4Inter O&amp;M Entry'!B17&lt;&gt;"", '4Inter O&amp;M Entry'!B17, "")</f>
        <v/>
      </c>
      <c r="C16" s="31" t="str">
        <f>IF('4Inter O&amp;M Entry'!C17&lt;&gt;"", '4Inter O&amp;M Entry'!C17, "")</f>
        <v/>
      </c>
      <c r="D16" s="108" t="str">
        <f>IF('4Inter O&amp;M Entry'!D17&lt;&gt;"", '4Inter O&amp;M Entry'!D17, "")</f>
        <v/>
      </c>
      <c r="E16" s="35" t="str">
        <f>IF(A16&lt;&gt;"", (IF('4Inter O&amp;M Entry'!I17="Y", ((($B16*$D16)*((1+$B$5)^E$7))*(1/((1+$N$5)^E$7))), 0)), "")</f>
        <v/>
      </c>
      <c r="F16" s="35" t="str">
        <f>IF(B16&lt;&gt;"", (IF('4Inter O&amp;M Entry'!J17="Y", ((($B16*$D16)*((1+$B$5)^F$7))*(1/((1+$N$5)^F$7))), 0)), "")</f>
        <v/>
      </c>
      <c r="G16" s="35" t="str">
        <f>IF(C16&lt;&gt;"", (IF('4Inter O&amp;M Entry'!K17="Y", ((($B16*$D16)*((1+$B$5)^G$7))*(1/((1+$N$5)^G$7))), 0)), "")</f>
        <v/>
      </c>
      <c r="H16" s="35" t="str">
        <f>IF(D16&lt;&gt;"", (IF('4Inter O&amp;M Entry'!L17="Y", ((($B16*$D16)*((1+$B$5)^H$7))*(1/((1+$N$5)^H$7))), 0)), "")</f>
        <v/>
      </c>
      <c r="I16" s="35" t="str">
        <f>IF(E16&lt;&gt;"", (IF('4Inter O&amp;M Entry'!M17="Y", ((($B16*$D16)*((1+$B$5)^I$7))*(1/((1+$N$5)^I$7))), 0)), "")</f>
        <v/>
      </c>
      <c r="J16" s="35" t="str">
        <f>IF(F16&lt;&gt;"", (IF('4Inter O&amp;M Entry'!N17="Y", ((($B16*$D16)*((1+$B$5)^J$7))*(1/((1+$N$5)^J$7))), 0)), "")</f>
        <v/>
      </c>
      <c r="K16" s="35" t="str">
        <f>IF(G16&lt;&gt;"", (IF('4Inter O&amp;M Entry'!O17="Y", ((($B16*$D16)*((1+$B$5)^K$7))*(1/((1+$N$5)^K$7))), 0)), "")</f>
        <v/>
      </c>
      <c r="L16" s="35" t="str">
        <f>IF(H16&lt;&gt;"", (IF('4Inter O&amp;M Entry'!P17="Y", ((($B16*$D16)*((1+$B$5)^L$7))*(1/((1+$N$5)^L$7))), 0)), "")</f>
        <v/>
      </c>
      <c r="M16" s="35" t="str">
        <f>IF(I16&lt;&gt;"", (IF('4Inter O&amp;M Entry'!Q17="Y", ((($B16*$D16)*((1+$B$5)^M$7))*(1/((1+$N$5)^M$7))), 0)), "")</f>
        <v/>
      </c>
      <c r="N16" s="35" t="str">
        <f>IF(J16&lt;&gt;"", (IF('4Inter O&amp;M Entry'!R17="Y", ((($B16*$D16)*((1+$B$5)^N$7))*(1/((1+$N$5)^N$7))), 0)), "")</f>
        <v/>
      </c>
    </row>
    <row r="17" spans="1:14">
      <c r="A17" s="31" t="str">
        <f>IF('4Inter O&amp;M Entry'!A18&lt;&gt;"", '4Inter O&amp;M Entry'!A18, "")</f>
        <v/>
      </c>
      <c r="B17" s="35" t="str">
        <f>IF('4Inter O&amp;M Entry'!B18&lt;&gt;"", '4Inter O&amp;M Entry'!B18, "")</f>
        <v/>
      </c>
      <c r="C17" s="31" t="str">
        <f>IF('4Inter O&amp;M Entry'!C18&lt;&gt;"", '4Inter O&amp;M Entry'!C18, "")</f>
        <v/>
      </c>
      <c r="D17" s="108" t="str">
        <f>IF('4Inter O&amp;M Entry'!D18&lt;&gt;"", '4Inter O&amp;M Entry'!D18, "")</f>
        <v/>
      </c>
      <c r="E17" s="35" t="str">
        <f>IF(A17&lt;&gt;"", (IF('4Inter O&amp;M Entry'!I18="Y", ((($B17*$D17)*((1+$B$5)^E$7))*(1/((1+$N$5)^E$7))), 0)), "")</f>
        <v/>
      </c>
      <c r="F17" s="35" t="str">
        <f>IF(B17&lt;&gt;"", (IF('4Inter O&amp;M Entry'!J18="Y", ((($B17*$D17)*((1+$B$5)^F$7))*(1/((1+$N$5)^F$7))), 0)), "")</f>
        <v/>
      </c>
      <c r="G17" s="35" t="str">
        <f>IF(C17&lt;&gt;"", (IF('4Inter O&amp;M Entry'!K18="Y", ((($B17*$D17)*((1+$B$5)^G$7))*(1/((1+$N$5)^G$7))), 0)), "")</f>
        <v/>
      </c>
      <c r="H17" s="35" t="str">
        <f>IF(D17&lt;&gt;"", (IF('4Inter O&amp;M Entry'!L18="Y", ((($B17*$D17)*((1+$B$5)^H$7))*(1/((1+$N$5)^H$7))), 0)), "")</f>
        <v/>
      </c>
      <c r="I17" s="35" t="str">
        <f>IF(E17&lt;&gt;"", (IF('4Inter O&amp;M Entry'!M18="Y", ((($B17*$D17)*((1+$B$5)^I$7))*(1/((1+$N$5)^I$7))), 0)), "")</f>
        <v/>
      </c>
      <c r="J17" s="35" t="str">
        <f>IF(F17&lt;&gt;"", (IF('4Inter O&amp;M Entry'!N18="Y", ((($B17*$D17)*((1+$B$5)^J$7))*(1/((1+$N$5)^J$7))), 0)), "")</f>
        <v/>
      </c>
      <c r="K17" s="35" t="str">
        <f>IF(G17&lt;&gt;"", (IF('4Inter O&amp;M Entry'!O18="Y", ((($B17*$D17)*((1+$B$5)^K$7))*(1/((1+$N$5)^K$7))), 0)), "")</f>
        <v/>
      </c>
      <c r="L17" s="35" t="str">
        <f>IF(H17&lt;&gt;"", (IF('4Inter O&amp;M Entry'!P18="Y", ((($B17*$D17)*((1+$B$5)^L$7))*(1/((1+$N$5)^L$7))), 0)), "")</f>
        <v/>
      </c>
      <c r="M17" s="35" t="str">
        <f>IF(I17&lt;&gt;"", (IF('4Inter O&amp;M Entry'!Q18="Y", ((($B17*$D17)*((1+$B$5)^M$7))*(1/((1+$N$5)^M$7))), 0)), "")</f>
        <v/>
      </c>
      <c r="N17" s="35" t="str">
        <f>IF(J17&lt;&gt;"", (IF('4Inter O&amp;M Entry'!R18="Y", ((($B17*$D17)*((1+$B$5)^N$7))*(1/((1+$N$5)^N$7))), 0)), "")</f>
        <v/>
      </c>
    </row>
    <row r="18" spans="1:14">
      <c r="A18" s="31" t="str">
        <f>IF('4Inter O&amp;M Entry'!A19&lt;&gt;"", '4Inter O&amp;M Entry'!A19, "")</f>
        <v/>
      </c>
      <c r="B18" s="35" t="str">
        <f>IF('4Inter O&amp;M Entry'!B19&lt;&gt;"", '4Inter O&amp;M Entry'!B19, "")</f>
        <v/>
      </c>
      <c r="C18" s="31" t="str">
        <f>IF('4Inter O&amp;M Entry'!C19&lt;&gt;"", '4Inter O&amp;M Entry'!C19, "")</f>
        <v/>
      </c>
      <c r="D18" s="108" t="str">
        <f>IF('4Inter O&amp;M Entry'!D19&lt;&gt;"", '4Inter O&amp;M Entry'!D19, "")</f>
        <v/>
      </c>
      <c r="E18" s="35" t="str">
        <f>IF(A18&lt;&gt;"", (IF('4Inter O&amp;M Entry'!I19="Y", ((($B18*$D18)*((1+$B$5)^E$7))*(1/((1+$N$5)^E$7))), 0)), "")</f>
        <v/>
      </c>
      <c r="F18" s="35" t="str">
        <f>IF(B18&lt;&gt;"", (IF('4Inter O&amp;M Entry'!J19="Y", ((($B18*$D18)*((1+$B$5)^F$7))*(1/((1+$N$5)^F$7))), 0)), "")</f>
        <v/>
      </c>
      <c r="G18" s="35" t="str">
        <f>IF(C18&lt;&gt;"", (IF('4Inter O&amp;M Entry'!K19="Y", ((($B18*$D18)*((1+$B$5)^G$7))*(1/((1+$N$5)^G$7))), 0)), "")</f>
        <v/>
      </c>
      <c r="H18" s="35" t="str">
        <f>IF(D18&lt;&gt;"", (IF('4Inter O&amp;M Entry'!L19="Y", ((($B18*$D18)*((1+$B$5)^H$7))*(1/((1+$N$5)^H$7))), 0)), "")</f>
        <v/>
      </c>
      <c r="I18" s="35" t="str">
        <f>IF(E18&lt;&gt;"", (IF('4Inter O&amp;M Entry'!M19="Y", ((($B18*$D18)*((1+$B$5)^I$7))*(1/((1+$N$5)^I$7))), 0)), "")</f>
        <v/>
      </c>
      <c r="J18" s="35" t="str">
        <f>IF(F18&lt;&gt;"", (IF('4Inter O&amp;M Entry'!N19="Y", ((($B18*$D18)*((1+$B$5)^J$7))*(1/((1+$N$5)^J$7))), 0)), "")</f>
        <v/>
      </c>
      <c r="K18" s="35" t="str">
        <f>IF(G18&lt;&gt;"", (IF('4Inter O&amp;M Entry'!O19="Y", ((($B18*$D18)*((1+$B$5)^K$7))*(1/((1+$N$5)^K$7))), 0)), "")</f>
        <v/>
      </c>
      <c r="L18" s="35" t="str">
        <f>IF(H18&lt;&gt;"", (IF('4Inter O&amp;M Entry'!P19="Y", ((($B18*$D18)*((1+$B$5)^L$7))*(1/((1+$N$5)^L$7))), 0)), "")</f>
        <v/>
      </c>
      <c r="M18" s="35" t="str">
        <f>IF(I18&lt;&gt;"", (IF('4Inter O&amp;M Entry'!Q19="Y", ((($B18*$D18)*((1+$B$5)^M$7))*(1/((1+$N$5)^M$7))), 0)), "")</f>
        <v/>
      </c>
      <c r="N18" s="35" t="str">
        <f>IF(J18&lt;&gt;"", (IF('4Inter O&amp;M Entry'!R19="Y", ((($B18*$D18)*((1+$B$5)^N$7))*(1/((1+$N$5)^N$7))), 0)), "")</f>
        <v/>
      </c>
    </row>
    <row r="19" spans="1:14">
      <c r="A19" s="31" t="str">
        <f>IF('4Inter O&amp;M Entry'!A20&lt;&gt;"", '4Inter O&amp;M Entry'!A20, "")</f>
        <v/>
      </c>
      <c r="B19" s="35" t="str">
        <f>IF('4Inter O&amp;M Entry'!B20&lt;&gt;"", '4Inter O&amp;M Entry'!B20, "")</f>
        <v/>
      </c>
      <c r="C19" s="31" t="str">
        <f>IF('4Inter O&amp;M Entry'!C20&lt;&gt;"", '4Inter O&amp;M Entry'!C20, "")</f>
        <v/>
      </c>
      <c r="D19" s="108" t="str">
        <f>IF('4Inter O&amp;M Entry'!D20&lt;&gt;"", '4Inter O&amp;M Entry'!D20, "")</f>
        <v/>
      </c>
      <c r="E19" s="35" t="str">
        <f>IF(A19&lt;&gt;"", (IF('4Inter O&amp;M Entry'!I20="Y", ((($B19*$D19)*((1+$B$5)^E$7))*(1/((1+$N$5)^E$7))), 0)), "")</f>
        <v/>
      </c>
      <c r="F19" s="35" t="str">
        <f>IF(B19&lt;&gt;"", (IF('4Inter O&amp;M Entry'!J20="Y", ((($B19*$D19)*((1+$B$5)^F$7))*(1/((1+$N$5)^F$7))), 0)), "")</f>
        <v/>
      </c>
      <c r="G19" s="35" t="str">
        <f>IF(C19&lt;&gt;"", (IF('4Inter O&amp;M Entry'!K20="Y", ((($B19*$D19)*((1+$B$5)^G$7))*(1/((1+$N$5)^G$7))), 0)), "")</f>
        <v/>
      </c>
      <c r="H19" s="35" t="str">
        <f>IF(D19&lt;&gt;"", (IF('4Inter O&amp;M Entry'!L20="Y", ((($B19*$D19)*((1+$B$5)^H$7))*(1/((1+$N$5)^H$7))), 0)), "")</f>
        <v/>
      </c>
      <c r="I19" s="35" t="str">
        <f>IF(E19&lt;&gt;"", (IF('4Inter O&amp;M Entry'!M20="Y", ((($B19*$D19)*((1+$B$5)^I$7))*(1/((1+$N$5)^I$7))), 0)), "")</f>
        <v/>
      </c>
      <c r="J19" s="35" t="str">
        <f>IF(F19&lt;&gt;"", (IF('4Inter O&amp;M Entry'!N20="Y", ((($B19*$D19)*((1+$B$5)^J$7))*(1/((1+$N$5)^J$7))), 0)), "")</f>
        <v/>
      </c>
      <c r="K19" s="35" t="str">
        <f>IF(G19&lt;&gt;"", (IF('4Inter O&amp;M Entry'!O20="Y", ((($B19*$D19)*((1+$B$5)^K$7))*(1/((1+$N$5)^K$7))), 0)), "")</f>
        <v/>
      </c>
      <c r="L19" s="35" t="str">
        <f>IF(H19&lt;&gt;"", (IF('4Inter O&amp;M Entry'!P20="Y", ((($B19*$D19)*((1+$B$5)^L$7))*(1/((1+$N$5)^L$7))), 0)), "")</f>
        <v/>
      </c>
      <c r="M19" s="35" t="str">
        <f>IF(I19&lt;&gt;"", (IF('4Inter O&amp;M Entry'!Q20="Y", ((($B19*$D19)*((1+$B$5)^M$7))*(1/((1+$N$5)^M$7))), 0)), "")</f>
        <v/>
      </c>
      <c r="N19" s="35" t="str">
        <f>IF(J19&lt;&gt;"", (IF('4Inter O&amp;M Entry'!R20="Y", ((($B19*$D19)*((1+$B$5)^N$7))*(1/((1+$N$5)^N$7))), 0)), "")</f>
        <v/>
      </c>
    </row>
    <row r="20" spans="1:14">
      <c r="D20" s="2" t="s">
        <v>74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  <row r="21" spans="1:14">
      <c r="M21" s="2" t="s">
        <v>57</v>
      </c>
      <c r="N21" s="28">
        <f>'4Inter O&amp;M 1-10'!E20+'4Inter O&amp;M 1-10'!F20+'4Inter O&amp;M 1-10'!G20+'4Inter O&amp;M 1-10'!H20+'4Inter O&amp;M 1-10'!I20+'4Inter O&amp;M 1-10'!J20+'4Inter O&amp;M 1-10'!K20+'4Inter O&amp;M 1-10'!L20+'4Inter O&amp;M 1-10'!M20+'4Inter O&amp;M 1-10'!N20+'4Inter O&amp;M 11-20'!E20+'4Inter O&amp;M 11-20'!F20+'4Inter O&amp;M 11-20'!G20+'4Inter O&amp;M 11-20'!H20+'4Inter O&amp;M 11-20'!I20+'4Inter O&amp;M 11-20'!J20+'4Inter O&amp;M 11-20'!K20+'4Inter O&amp;M 11-20'!L20+'4Inter O&amp;M 11-20'!M20+'4Inter O&amp;M 11-20'!N20</f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2:E42"/>
  <sheetViews>
    <sheetView topLeftCell="A5" workbookViewId="0">
      <selection activeCell="A9" sqref="A9:D22"/>
    </sheetView>
  </sheetViews>
  <sheetFormatPr defaultRowHeight="15.75"/>
  <cols>
    <col min="1" max="1" width="54.7109375" style="1" customWidth="1"/>
    <col min="2" max="3" width="18.28515625" style="1" customWidth="1"/>
    <col min="4" max="4" width="14.7109375" style="1" customWidth="1"/>
    <col min="5" max="5" width="28.140625" style="1" customWidth="1"/>
    <col min="6" max="16384" width="9.140625" style="1"/>
  </cols>
  <sheetData>
    <row r="2" spans="1:5">
      <c r="A2" s="137" t="s">
        <v>174</v>
      </c>
      <c r="B2" s="138"/>
      <c r="C2" s="138"/>
      <c r="D2" s="138"/>
      <c r="E2" s="139"/>
    </row>
    <row r="3" spans="1:5">
      <c r="A3" s="140">
        <f>Input!B4</f>
        <v>0</v>
      </c>
      <c r="B3" s="141"/>
      <c r="C3" s="141"/>
      <c r="D3" s="141"/>
      <c r="E3" s="142"/>
    </row>
    <row r="4" spans="1:5">
      <c r="A4" s="140">
        <f>Input!B5</f>
        <v>0</v>
      </c>
      <c r="B4" s="141"/>
      <c r="C4" s="141"/>
      <c r="D4" s="141"/>
      <c r="E4" s="142"/>
    </row>
    <row r="5" spans="1:5">
      <c r="A5" s="144" t="s">
        <v>21</v>
      </c>
      <c r="B5" s="145"/>
      <c r="C5" s="145"/>
      <c r="D5" s="145"/>
      <c r="E5" s="146"/>
    </row>
    <row r="6" spans="1:5">
      <c r="A6" s="13" t="s">
        <v>3</v>
      </c>
      <c r="B6" s="143"/>
      <c r="C6" s="143"/>
      <c r="D6" s="143"/>
      <c r="E6" s="143"/>
    </row>
    <row r="7" spans="1:5">
      <c r="A7" s="11" t="s">
        <v>65</v>
      </c>
      <c r="B7" s="81"/>
      <c r="C7" s="9"/>
      <c r="D7" s="9"/>
      <c r="E7" s="10"/>
    </row>
    <row r="8" spans="1:5" ht="18.75">
      <c r="A8" s="12" t="s">
        <v>4</v>
      </c>
      <c r="B8" s="12" t="s">
        <v>34</v>
      </c>
      <c r="C8" s="12" t="s">
        <v>5</v>
      </c>
      <c r="D8" s="12" t="s">
        <v>1</v>
      </c>
      <c r="E8" s="12" t="s">
        <v>2</v>
      </c>
    </row>
    <row r="9" spans="1:5">
      <c r="A9" s="82"/>
      <c r="B9" s="81"/>
      <c r="C9" s="83"/>
      <c r="D9" s="84"/>
      <c r="E9" s="3">
        <f>B9*D9</f>
        <v>0</v>
      </c>
    </row>
    <row r="10" spans="1:5">
      <c r="A10" s="82"/>
      <c r="B10" s="81"/>
      <c r="C10" s="83"/>
      <c r="D10" s="84"/>
      <c r="E10" s="3">
        <f t="shared" ref="E10:E37" si="0">B10*D10</f>
        <v>0</v>
      </c>
    </row>
    <row r="11" spans="1:5">
      <c r="A11" s="82"/>
      <c r="B11" s="81"/>
      <c r="C11" s="83"/>
      <c r="D11" s="84"/>
      <c r="E11" s="3">
        <f t="shared" si="0"/>
        <v>0</v>
      </c>
    </row>
    <row r="12" spans="1:5">
      <c r="A12" s="82"/>
      <c r="B12" s="81"/>
      <c r="C12" s="83"/>
      <c r="D12" s="84"/>
      <c r="E12" s="3">
        <f t="shared" si="0"/>
        <v>0</v>
      </c>
    </row>
    <row r="13" spans="1:5">
      <c r="A13" s="85"/>
      <c r="B13" s="81"/>
      <c r="C13" s="83"/>
      <c r="D13" s="84"/>
      <c r="E13" s="3">
        <f t="shared" si="0"/>
        <v>0</v>
      </c>
    </row>
    <row r="14" spans="1:5">
      <c r="A14" s="82"/>
      <c r="B14" s="81"/>
      <c r="C14" s="83"/>
      <c r="D14" s="84"/>
      <c r="E14" s="3">
        <f t="shared" si="0"/>
        <v>0</v>
      </c>
    </row>
    <row r="15" spans="1:5">
      <c r="A15" s="82"/>
      <c r="B15" s="81"/>
      <c r="C15" s="83"/>
      <c r="D15" s="84"/>
      <c r="E15" s="3">
        <f t="shared" si="0"/>
        <v>0</v>
      </c>
    </row>
    <row r="16" spans="1:5">
      <c r="A16" s="82"/>
      <c r="B16" s="81"/>
      <c r="C16" s="83"/>
      <c r="D16" s="84"/>
      <c r="E16" s="3">
        <f t="shared" si="0"/>
        <v>0</v>
      </c>
    </row>
    <row r="17" spans="1:5">
      <c r="A17" s="82"/>
      <c r="B17" s="81"/>
      <c r="C17" s="83"/>
      <c r="D17" s="84"/>
      <c r="E17" s="3">
        <f t="shared" si="0"/>
        <v>0</v>
      </c>
    </row>
    <row r="18" spans="1:5">
      <c r="A18" s="82"/>
      <c r="B18" s="81"/>
      <c r="C18" s="83"/>
      <c r="D18" s="84"/>
      <c r="E18" s="3">
        <f t="shared" si="0"/>
        <v>0</v>
      </c>
    </row>
    <row r="19" spans="1:5">
      <c r="A19" s="82"/>
      <c r="B19" s="81"/>
      <c r="C19" s="83"/>
      <c r="D19" s="84"/>
      <c r="E19" s="3">
        <f t="shared" si="0"/>
        <v>0</v>
      </c>
    </row>
    <row r="20" spans="1:5">
      <c r="A20" s="82"/>
      <c r="B20" s="81"/>
      <c r="C20" s="83"/>
      <c r="D20" s="84"/>
      <c r="E20" s="3">
        <f t="shared" si="0"/>
        <v>0</v>
      </c>
    </row>
    <row r="21" spans="1:5">
      <c r="A21" s="82"/>
      <c r="B21" s="81"/>
      <c r="C21" s="83"/>
      <c r="D21" s="84"/>
      <c r="E21" s="3">
        <f t="shared" si="0"/>
        <v>0</v>
      </c>
    </row>
    <row r="22" spans="1:5">
      <c r="A22" s="82"/>
      <c r="B22" s="81"/>
      <c r="C22" s="83"/>
      <c r="D22" s="84"/>
      <c r="E22" s="3">
        <f t="shared" si="0"/>
        <v>0</v>
      </c>
    </row>
    <row r="23" spans="1:5">
      <c r="A23" s="82"/>
      <c r="B23" s="81"/>
      <c r="C23" s="83"/>
      <c r="D23" s="84"/>
      <c r="E23" s="3">
        <f t="shared" si="0"/>
        <v>0</v>
      </c>
    </row>
    <row r="24" spans="1:5">
      <c r="A24" s="82"/>
      <c r="B24" s="81"/>
      <c r="C24" s="83"/>
      <c r="D24" s="84"/>
      <c r="E24" s="3">
        <f t="shared" si="0"/>
        <v>0</v>
      </c>
    </row>
    <row r="25" spans="1:5">
      <c r="A25" s="82"/>
      <c r="B25" s="81"/>
      <c r="C25" s="83"/>
      <c r="D25" s="84"/>
      <c r="E25" s="3">
        <f t="shared" si="0"/>
        <v>0</v>
      </c>
    </row>
    <row r="26" spans="1:5">
      <c r="A26" s="82"/>
      <c r="B26" s="81"/>
      <c r="C26" s="83"/>
      <c r="D26" s="84"/>
      <c r="E26" s="3">
        <f t="shared" si="0"/>
        <v>0</v>
      </c>
    </row>
    <row r="27" spans="1:5">
      <c r="A27" s="82"/>
      <c r="B27" s="81"/>
      <c r="C27" s="83"/>
      <c r="D27" s="84"/>
      <c r="E27" s="3">
        <f t="shared" si="0"/>
        <v>0</v>
      </c>
    </row>
    <row r="28" spans="1:5">
      <c r="A28" s="82"/>
      <c r="B28" s="81"/>
      <c r="C28" s="83"/>
      <c r="D28" s="84"/>
      <c r="E28" s="3">
        <f t="shared" si="0"/>
        <v>0</v>
      </c>
    </row>
    <row r="29" spans="1:5">
      <c r="A29" s="82"/>
      <c r="B29" s="81"/>
      <c r="C29" s="83"/>
      <c r="D29" s="84"/>
      <c r="E29" s="3">
        <f t="shared" si="0"/>
        <v>0</v>
      </c>
    </row>
    <row r="30" spans="1:5">
      <c r="A30" s="82"/>
      <c r="B30" s="81"/>
      <c r="C30" s="83"/>
      <c r="D30" s="84"/>
      <c r="E30" s="3">
        <f t="shared" si="0"/>
        <v>0</v>
      </c>
    </row>
    <row r="31" spans="1:5">
      <c r="A31" s="82"/>
      <c r="B31" s="81"/>
      <c r="C31" s="83"/>
      <c r="D31" s="84"/>
      <c r="E31" s="3">
        <f t="shared" si="0"/>
        <v>0</v>
      </c>
    </row>
    <row r="32" spans="1:5">
      <c r="A32" s="82"/>
      <c r="B32" s="81"/>
      <c r="C32" s="83"/>
      <c r="D32" s="84"/>
      <c r="E32" s="3">
        <f t="shared" si="0"/>
        <v>0</v>
      </c>
    </row>
    <row r="33" spans="1:5">
      <c r="A33" s="82"/>
      <c r="B33" s="81"/>
      <c r="C33" s="83"/>
      <c r="D33" s="84"/>
      <c r="E33" s="3">
        <f t="shared" si="0"/>
        <v>0</v>
      </c>
    </row>
    <row r="34" spans="1:5">
      <c r="A34" s="82"/>
      <c r="B34" s="81"/>
      <c r="C34" s="83"/>
      <c r="D34" s="84"/>
      <c r="E34" s="3">
        <f t="shared" si="0"/>
        <v>0</v>
      </c>
    </row>
    <row r="35" spans="1:5">
      <c r="A35" s="82"/>
      <c r="B35" s="81"/>
      <c r="C35" s="83"/>
      <c r="D35" s="84"/>
      <c r="E35" s="3">
        <f t="shared" si="0"/>
        <v>0</v>
      </c>
    </row>
    <row r="36" spans="1:5">
      <c r="A36" s="82"/>
      <c r="B36" s="81"/>
      <c r="C36" s="83"/>
      <c r="D36" s="84"/>
      <c r="E36" s="3">
        <f t="shared" si="0"/>
        <v>0</v>
      </c>
    </row>
    <row r="37" spans="1:5" ht="16.5" thickBot="1">
      <c r="A37" s="82"/>
      <c r="B37" s="81"/>
      <c r="C37" s="86"/>
      <c r="D37" s="84"/>
      <c r="E37" s="3">
        <f t="shared" si="0"/>
        <v>0</v>
      </c>
    </row>
    <row r="38" spans="1:5" ht="17.25" thickBot="1">
      <c r="A38" s="52" t="s">
        <v>35</v>
      </c>
      <c r="D38" s="2" t="s">
        <v>8</v>
      </c>
      <c r="E38" s="4">
        <f>SUM(E9:E37)</f>
        <v>0</v>
      </c>
    </row>
    <row r="39" spans="1:5" ht="16.5" thickBot="1">
      <c r="D39" s="2" t="s">
        <v>29</v>
      </c>
      <c r="E39" s="5">
        <f>E38*$B$42</f>
        <v>0</v>
      </c>
    </row>
    <row r="40" spans="1:5" ht="16.5" thickBot="1">
      <c r="D40" s="2" t="s">
        <v>30</v>
      </c>
      <c r="E40" s="5">
        <f>B7</f>
        <v>0</v>
      </c>
    </row>
    <row r="41" spans="1:5" ht="16.5" thickBot="1">
      <c r="D41" s="2" t="s">
        <v>9</v>
      </c>
      <c r="E41" s="5">
        <f>SUM(E38:E40)</f>
        <v>0</v>
      </c>
    </row>
    <row r="42" spans="1:5" hidden="1">
      <c r="A42" s="1" t="s">
        <v>28</v>
      </c>
      <c r="B42" s="42">
        <v>0.1</v>
      </c>
    </row>
  </sheetData>
  <sheetProtection sheet="1" objects="1" scenarios="1"/>
  <mergeCells count="5">
    <mergeCell ref="A2:E2"/>
    <mergeCell ref="A3:E3"/>
    <mergeCell ref="A4:E4"/>
    <mergeCell ref="A5:E5"/>
    <mergeCell ref="B6:E6"/>
  </mergeCells>
  <dataValidations count="1">
    <dataValidation type="list" allowBlank="1" showInputMessage="1" showErrorMessage="1" sqref="B6:E6">
      <formula1>Input!B6:B11</formula1>
    </dataValidation>
  </dataValidations>
  <printOptions horizontalCentered="1"/>
  <pageMargins left="0.5" right="0.5" top="0.5" bottom="0.5" header="0.3" footer="0.3"/>
  <pageSetup scale="8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37"/>
  <sheetViews>
    <sheetView zoomScale="50" zoomScaleNormal="50" workbookViewId="0">
      <pane xSplit="4" ySplit="8" topLeftCell="I9" activePane="bottomRight" state="frozen"/>
      <selection pane="topRight" activeCell="E1" sqref="E1"/>
      <selection pane="bottomLeft" activeCell="A8" sqref="A8"/>
      <selection pane="bottomRight" activeCell="AC9" sqref="AC9:AC34"/>
    </sheetView>
  </sheetViews>
  <sheetFormatPr defaultRowHeight="15.75"/>
  <cols>
    <col min="1" max="1" width="38.42578125" style="1" customWidth="1"/>
    <col min="2" max="4" width="12.7109375" style="1" customWidth="1"/>
    <col min="5" max="8" width="14.7109375" style="1" hidden="1" customWidth="1"/>
    <col min="9" max="9" width="14.7109375" style="1" customWidth="1"/>
    <col min="10" max="29" width="8.7109375" style="1" customWidth="1"/>
    <col min="30" max="16384" width="9.140625" style="1"/>
  </cols>
  <sheetData>
    <row r="1" spans="1:29">
      <c r="A1" s="150" t="s">
        <v>22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</row>
    <row r="3" spans="1:29">
      <c r="A3" s="2" t="s">
        <v>3</v>
      </c>
      <c r="B3" s="149">
        <f>'5Capital Costs'!B6</f>
        <v>0</v>
      </c>
      <c r="C3" s="149"/>
      <c r="D3" s="149"/>
      <c r="E3" s="149"/>
      <c r="F3" s="149"/>
      <c r="G3" s="149"/>
      <c r="H3" s="149"/>
      <c r="I3" s="149"/>
      <c r="J3" s="149"/>
      <c r="K3" s="149"/>
    </row>
    <row r="5" spans="1:29">
      <c r="A5" s="7" t="s">
        <v>42</v>
      </c>
      <c r="B5" s="7"/>
      <c r="C5" s="7"/>
      <c r="D5" s="7"/>
      <c r="E5" s="7"/>
      <c r="F5" s="7"/>
      <c r="G5" s="7"/>
      <c r="H5" s="7"/>
      <c r="I5" s="7"/>
    </row>
    <row r="7" spans="1:29">
      <c r="A7" s="14"/>
      <c r="B7" s="15"/>
      <c r="C7" s="15"/>
      <c r="D7" s="15"/>
      <c r="E7" s="32"/>
      <c r="F7" s="32"/>
      <c r="G7" s="32"/>
      <c r="H7" s="32"/>
      <c r="I7" s="32"/>
      <c r="J7" s="147" t="s">
        <v>6</v>
      </c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8"/>
    </row>
    <row r="8" spans="1:29" ht="47.25">
      <c r="A8" s="24" t="s">
        <v>4</v>
      </c>
      <c r="B8" s="17" t="s">
        <v>0</v>
      </c>
      <c r="C8" s="17" t="s">
        <v>5</v>
      </c>
      <c r="D8" s="17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54" t="s">
        <v>37</v>
      </c>
      <c r="J8" s="17">
        <v>1</v>
      </c>
      <c r="K8" s="17">
        <v>2</v>
      </c>
      <c r="L8" s="17">
        <v>3</v>
      </c>
      <c r="M8" s="17">
        <v>4</v>
      </c>
      <c r="N8" s="17">
        <v>5</v>
      </c>
      <c r="O8" s="17">
        <v>6</v>
      </c>
      <c r="P8" s="17">
        <v>7</v>
      </c>
      <c r="Q8" s="17">
        <v>8</v>
      </c>
      <c r="R8" s="17">
        <v>9</v>
      </c>
      <c r="S8" s="17">
        <v>10</v>
      </c>
      <c r="T8" s="17">
        <v>11</v>
      </c>
      <c r="U8" s="17">
        <v>12</v>
      </c>
      <c r="V8" s="17">
        <v>13</v>
      </c>
      <c r="W8" s="17">
        <v>14</v>
      </c>
      <c r="X8" s="17">
        <v>15</v>
      </c>
      <c r="Y8" s="17">
        <v>16</v>
      </c>
      <c r="Z8" s="17">
        <v>17</v>
      </c>
      <c r="AA8" s="17">
        <v>18</v>
      </c>
      <c r="AB8" s="17">
        <v>19</v>
      </c>
      <c r="AC8" s="18">
        <v>20</v>
      </c>
    </row>
    <row r="9" spans="1:29">
      <c r="A9" s="29">
        <f>'5Capital Costs'!A9</f>
        <v>0</v>
      </c>
      <c r="B9" s="44">
        <f>'5Capital Costs'!B9</f>
        <v>0</v>
      </c>
      <c r="C9" s="43">
        <f>'5Capital Costs'!C9</f>
        <v>0</v>
      </c>
      <c r="D9" s="45">
        <f>'5Capital Costs'!D9</f>
        <v>0</v>
      </c>
      <c r="E9" s="53" t="str">
        <f>IF(N9="Y", "Y", (IF(M9="Y", "Y", (IF(L9="Y", "Y", (IF(K9="Y", "Y", (IF(J9="Y", "Y", " ")))))))))</f>
        <v xml:space="preserve"> </v>
      </c>
      <c r="F9" s="53" t="str">
        <f>IF(S9="Y", "Y", (IF(R9="Y", "Y", (IF(Q9="Y", "Y", (IF(P9="Y", "Y", (IF(O9="Y", "Y", " ")))))))))</f>
        <v xml:space="preserve"> </v>
      </c>
      <c r="G9" s="53" t="str">
        <f>IF(X9="Y", "Y", (IF(W9="Y", "Y", (IF(V9="Y", "Y", (IF(U9="Y", "Y", (IF(T9="Y", "Y", " ")))))))))</f>
        <v xml:space="preserve"> </v>
      </c>
      <c r="H9" s="53" t="str">
        <f>IF(AC9="Y", "Y", (IF(AB9="Y", "Y", (IF(AA9="Y", "Y", (IF(Z9="Y", "Y", (IF(Y9="Y", "Y", " ")))))))))</f>
        <v xml:space="preserve"> </v>
      </c>
      <c r="I9" s="53" t="str">
        <f>IF(H9="Y", "Y", (IF(G9="Y", "Y", (IF(F9="Y", "Y", (IF(E9="Y", "Y", " ")))))))</f>
        <v xml:space="preserve"> </v>
      </c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8"/>
    </row>
    <row r="10" spans="1:29">
      <c r="A10" s="29">
        <f>'5Capital Costs'!A10</f>
        <v>0</v>
      </c>
      <c r="B10" s="44">
        <f>'5Capital Costs'!B10</f>
        <v>0</v>
      </c>
      <c r="C10" s="43">
        <f>'5Capital Costs'!C10</f>
        <v>0</v>
      </c>
      <c r="D10" s="45">
        <f>'5Capital Costs'!D10</f>
        <v>0</v>
      </c>
      <c r="E10" s="53" t="str">
        <f t="shared" ref="E10:E37" si="0">IF(N10="Y", "Y", (IF(M10="Y", "Y", (IF(L10="Y", "Y", (IF(K10="Y", "Y", (IF(J10="Y", "Y", " ")))))))))</f>
        <v xml:space="preserve"> </v>
      </c>
      <c r="F10" s="53" t="str">
        <f t="shared" ref="F10:F37" si="1">IF(S10="Y", "Y", (IF(R10="Y", "Y", (IF(Q10="Y", "Y", (IF(P10="Y", "Y", (IF(O10="Y", "Y", " ")))))))))</f>
        <v xml:space="preserve"> </v>
      </c>
      <c r="G10" s="53" t="str">
        <f t="shared" ref="G10:G37" si="2">IF(X10="Y", "Y", (IF(W10="Y", "Y", (IF(V10="Y", "Y", (IF(U10="Y", "Y", (IF(T10="Y", "Y", " ")))))))))</f>
        <v xml:space="preserve"> </v>
      </c>
      <c r="H10" s="53" t="str">
        <f t="shared" ref="H10:H37" si="3">IF(AC10="Y", "Y", (IF(AB10="Y", "Y", (IF(AA10="Y", "Y", (IF(Z10="Y", "Y", (IF(Y10="Y", "Y", " ")))))))))</f>
        <v xml:space="preserve"> </v>
      </c>
      <c r="I10" s="53" t="str">
        <f t="shared" ref="I10:I37" si="4">IF(H10="Y", "Y", (IF(G10="Y", "Y", (IF(F10="Y", "Y", (IF(E10="Y", "Y", " ")))))))</f>
        <v xml:space="preserve"> </v>
      </c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8"/>
    </row>
    <row r="11" spans="1:29">
      <c r="A11" s="29">
        <f>'5Capital Costs'!A11</f>
        <v>0</v>
      </c>
      <c r="B11" s="44">
        <f>'5Capital Costs'!B11</f>
        <v>0</v>
      </c>
      <c r="C11" s="43">
        <f>'5Capital Costs'!C11</f>
        <v>0</v>
      </c>
      <c r="D11" s="45">
        <f>'5Capital Costs'!D11</f>
        <v>0</v>
      </c>
      <c r="E11" s="53" t="str">
        <f t="shared" si="0"/>
        <v xml:space="preserve"> </v>
      </c>
      <c r="F11" s="53" t="str">
        <f t="shared" si="1"/>
        <v xml:space="preserve"> </v>
      </c>
      <c r="G11" s="53" t="str">
        <f t="shared" si="2"/>
        <v xml:space="preserve"> </v>
      </c>
      <c r="H11" s="53" t="str">
        <f t="shared" si="3"/>
        <v xml:space="preserve"> </v>
      </c>
      <c r="I11" s="53" t="str">
        <f t="shared" si="4"/>
        <v xml:space="preserve"> 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8"/>
    </row>
    <row r="12" spans="1:29">
      <c r="A12" s="29">
        <f>'5Capital Costs'!A12</f>
        <v>0</v>
      </c>
      <c r="B12" s="44">
        <f>'5Capital Costs'!B12</f>
        <v>0</v>
      </c>
      <c r="C12" s="43">
        <f>'5Capital Costs'!C12</f>
        <v>0</v>
      </c>
      <c r="D12" s="45">
        <f>'5Capital Costs'!D12</f>
        <v>0</v>
      </c>
      <c r="E12" s="53" t="str">
        <f t="shared" si="0"/>
        <v xml:space="preserve"> </v>
      </c>
      <c r="F12" s="53" t="str">
        <f t="shared" si="1"/>
        <v xml:space="preserve"> </v>
      </c>
      <c r="G12" s="53" t="str">
        <f t="shared" si="2"/>
        <v xml:space="preserve"> </v>
      </c>
      <c r="H12" s="53" t="str">
        <f t="shared" si="3"/>
        <v xml:space="preserve"> </v>
      </c>
      <c r="I12" s="53" t="str">
        <f t="shared" si="4"/>
        <v xml:space="preserve"> </v>
      </c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8"/>
    </row>
    <row r="13" spans="1:29">
      <c r="A13" s="29">
        <f>'5Capital Costs'!A13</f>
        <v>0</v>
      </c>
      <c r="B13" s="44">
        <f>'5Capital Costs'!B13</f>
        <v>0</v>
      </c>
      <c r="C13" s="43">
        <f>'5Capital Costs'!C13</f>
        <v>0</v>
      </c>
      <c r="D13" s="45">
        <f>'5Capital Costs'!D13</f>
        <v>0</v>
      </c>
      <c r="E13" s="53" t="str">
        <f t="shared" si="0"/>
        <v xml:space="preserve"> </v>
      </c>
      <c r="F13" s="53" t="str">
        <f t="shared" si="1"/>
        <v xml:space="preserve"> </v>
      </c>
      <c r="G13" s="53" t="str">
        <f t="shared" si="2"/>
        <v xml:space="preserve"> </v>
      </c>
      <c r="H13" s="53" t="str">
        <f t="shared" si="3"/>
        <v xml:space="preserve"> </v>
      </c>
      <c r="I13" s="53" t="str">
        <f t="shared" si="4"/>
        <v xml:space="preserve"> </v>
      </c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8"/>
    </row>
    <row r="14" spans="1:29">
      <c r="A14" s="29">
        <f>'5Capital Costs'!A14</f>
        <v>0</v>
      </c>
      <c r="B14" s="44">
        <f>'5Capital Costs'!B14</f>
        <v>0</v>
      </c>
      <c r="C14" s="43">
        <f>'5Capital Costs'!C14</f>
        <v>0</v>
      </c>
      <c r="D14" s="45">
        <f>'5Capital Costs'!D14</f>
        <v>0</v>
      </c>
      <c r="E14" s="53" t="str">
        <f t="shared" si="0"/>
        <v xml:space="preserve"> </v>
      </c>
      <c r="F14" s="53" t="str">
        <f t="shared" si="1"/>
        <v xml:space="preserve"> </v>
      </c>
      <c r="G14" s="53" t="str">
        <f t="shared" si="2"/>
        <v xml:space="preserve"> </v>
      </c>
      <c r="H14" s="53" t="str">
        <f t="shared" si="3"/>
        <v xml:space="preserve"> </v>
      </c>
      <c r="I14" s="53" t="str">
        <f t="shared" si="4"/>
        <v xml:space="preserve"> </v>
      </c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8"/>
    </row>
    <row r="15" spans="1:29">
      <c r="A15" s="29">
        <f>'5Capital Costs'!A15</f>
        <v>0</v>
      </c>
      <c r="B15" s="44">
        <f>'5Capital Costs'!B15</f>
        <v>0</v>
      </c>
      <c r="C15" s="43">
        <f>'5Capital Costs'!C15</f>
        <v>0</v>
      </c>
      <c r="D15" s="45">
        <f>'5Capital Costs'!D15</f>
        <v>0</v>
      </c>
      <c r="E15" s="53" t="str">
        <f t="shared" si="0"/>
        <v xml:space="preserve"> </v>
      </c>
      <c r="F15" s="53" t="str">
        <f t="shared" si="1"/>
        <v xml:space="preserve"> </v>
      </c>
      <c r="G15" s="53" t="str">
        <f t="shared" si="2"/>
        <v xml:space="preserve"> </v>
      </c>
      <c r="H15" s="53" t="str">
        <f t="shared" si="3"/>
        <v xml:space="preserve"> </v>
      </c>
      <c r="I15" s="53" t="str">
        <f t="shared" si="4"/>
        <v xml:space="preserve"> 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8"/>
    </row>
    <row r="16" spans="1:29">
      <c r="A16" s="29">
        <f>'5Capital Costs'!A16</f>
        <v>0</v>
      </c>
      <c r="B16" s="44">
        <f>'5Capital Costs'!B16</f>
        <v>0</v>
      </c>
      <c r="C16" s="43">
        <f>'5Capital Costs'!C16</f>
        <v>0</v>
      </c>
      <c r="D16" s="45">
        <f>'5Capital Costs'!D16</f>
        <v>0</v>
      </c>
      <c r="E16" s="53" t="str">
        <f t="shared" si="0"/>
        <v xml:space="preserve"> </v>
      </c>
      <c r="F16" s="53" t="str">
        <f t="shared" si="1"/>
        <v xml:space="preserve"> </v>
      </c>
      <c r="G16" s="53" t="str">
        <f t="shared" si="2"/>
        <v xml:space="preserve"> </v>
      </c>
      <c r="H16" s="53" t="str">
        <f t="shared" si="3"/>
        <v xml:space="preserve"> </v>
      </c>
      <c r="I16" s="53" t="str">
        <f t="shared" si="4"/>
        <v xml:space="preserve"> </v>
      </c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8"/>
    </row>
    <row r="17" spans="1:29">
      <c r="A17" s="29">
        <f>'5Capital Costs'!A17</f>
        <v>0</v>
      </c>
      <c r="B17" s="44">
        <f>'5Capital Costs'!B17</f>
        <v>0</v>
      </c>
      <c r="C17" s="43">
        <f>'5Capital Costs'!C17</f>
        <v>0</v>
      </c>
      <c r="D17" s="45">
        <f>'5Capital Costs'!D17</f>
        <v>0</v>
      </c>
      <c r="E17" s="53" t="str">
        <f t="shared" si="0"/>
        <v xml:space="preserve"> </v>
      </c>
      <c r="F17" s="53" t="str">
        <f t="shared" si="1"/>
        <v xml:space="preserve"> </v>
      </c>
      <c r="G17" s="53" t="str">
        <f t="shared" si="2"/>
        <v xml:space="preserve"> </v>
      </c>
      <c r="H17" s="53" t="str">
        <f t="shared" si="3"/>
        <v xml:space="preserve"> </v>
      </c>
      <c r="I17" s="53" t="str">
        <f t="shared" si="4"/>
        <v xml:space="preserve"> 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8"/>
    </row>
    <row r="18" spans="1:29">
      <c r="A18" s="29">
        <f>'5Capital Costs'!A18</f>
        <v>0</v>
      </c>
      <c r="B18" s="44">
        <f>'5Capital Costs'!B18</f>
        <v>0</v>
      </c>
      <c r="C18" s="43">
        <f>'5Capital Costs'!C18</f>
        <v>0</v>
      </c>
      <c r="D18" s="45">
        <f>'5Capital Costs'!D18</f>
        <v>0</v>
      </c>
      <c r="E18" s="53" t="str">
        <f t="shared" si="0"/>
        <v xml:space="preserve"> </v>
      </c>
      <c r="F18" s="53" t="str">
        <f t="shared" si="1"/>
        <v xml:space="preserve"> </v>
      </c>
      <c r="G18" s="53" t="str">
        <f t="shared" si="2"/>
        <v xml:space="preserve"> </v>
      </c>
      <c r="H18" s="53" t="str">
        <f t="shared" si="3"/>
        <v xml:space="preserve"> </v>
      </c>
      <c r="I18" s="53" t="str">
        <f t="shared" si="4"/>
        <v xml:space="preserve"> </v>
      </c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8"/>
    </row>
    <row r="19" spans="1:29">
      <c r="A19" s="29">
        <f>'5Capital Costs'!A19</f>
        <v>0</v>
      </c>
      <c r="B19" s="44">
        <f>'5Capital Costs'!B19</f>
        <v>0</v>
      </c>
      <c r="C19" s="43">
        <f>'5Capital Costs'!C19</f>
        <v>0</v>
      </c>
      <c r="D19" s="45">
        <f>'5Capital Costs'!D19</f>
        <v>0</v>
      </c>
      <c r="E19" s="53" t="str">
        <f t="shared" si="0"/>
        <v xml:space="preserve"> </v>
      </c>
      <c r="F19" s="53" t="str">
        <f t="shared" si="1"/>
        <v xml:space="preserve"> </v>
      </c>
      <c r="G19" s="53" t="str">
        <f t="shared" si="2"/>
        <v xml:space="preserve"> </v>
      </c>
      <c r="H19" s="53" t="str">
        <f t="shared" si="3"/>
        <v xml:space="preserve"> </v>
      </c>
      <c r="I19" s="53" t="str">
        <f t="shared" si="4"/>
        <v xml:space="preserve"> </v>
      </c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8"/>
    </row>
    <row r="20" spans="1:29">
      <c r="A20" s="29">
        <f>'5Capital Costs'!A20</f>
        <v>0</v>
      </c>
      <c r="B20" s="44">
        <f>'5Capital Costs'!B20</f>
        <v>0</v>
      </c>
      <c r="C20" s="43">
        <f>'5Capital Costs'!C20</f>
        <v>0</v>
      </c>
      <c r="D20" s="45">
        <f>'5Capital Costs'!D20</f>
        <v>0</v>
      </c>
      <c r="E20" s="53" t="str">
        <f t="shared" si="0"/>
        <v xml:space="preserve"> </v>
      </c>
      <c r="F20" s="53" t="str">
        <f t="shared" si="1"/>
        <v xml:space="preserve"> </v>
      </c>
      <c r="G20" s="53" t="str">
        <f t="shared" si="2"/>
        <v xml:space="preserve"> </v>
      </c>
      <c r="H20" s="53" t="str">
        <f t="shared" si="3"/>
        <v xml:space="preserve"> </v>
      </c>
      <c r="I20" s="53" t="str">
        <f t="shared" si="4"/>
        <v xml:space="preserve"> </v>
      </c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8"/>
    </row>
    <row r="21" spans="1:29">
      <c r="A21" s="29">
        <f>'5Capital Costs'!A21</f>
        <v>0</v>
      </c>
      <c r="B21" s="44">
        <f>'5Capital Costs'!B21</f>
        <v>0</v>
      </c>
      <c r="C21" s="43">
        <f>'5Capital Costs'!C21</f>
        <v>0</v>
      </c>
      <c r="D21" s="45">
        <f>'5Capital Costs'!D21</f>
        <v>0</v>
      </c>
      <c r="E21" s="53" t="str">
        <f t="shared" si="0"/>
        <v xml:space="preserve"> </v>
      </c>
      <c r="F21" s="53" t="str">
        <f t="shared" si="1"/>
        <v xml:space="preserve"> </v>
      </c>
      <c r="G21" s="53" t="str">
        <f t="shared" si="2"/>
        <v xml:space="preserve"> </v>
      </c>
      <c r="H21" s="53" t="str">
        <f t="shared" si="3"/>
        <v xml:space="preserve"> </v>
      </c>
      <c r="I21" s="53" t="str">
        <f t="shared" si="4"/>
        <v xml:space="preserve"> 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8"/>
    </row>
    <row r="22" spans="1:29">
      <c r="A22" s="29">
        <f>'5Capital Costs'!A22</f>
        <v>0</v>
      </c>
      <c r="B22" s="44">
        <f>'5Capital Costs'!B22</f>
        <v>0</v>
      </c>
      <c r="C22" s="43">
        <f>'5Capital Costs'!C22</f>
        <v>0</v>
      </c>
      <c r="D22" s="45">
        <f>'5Capital Costs'!D22</f>
        <v>0</v>
      </c>
      <c r="E22" s="53" t="str">
        <f t="shared" si="0"/>
        <v xml:space="preserve"> </v>
      </c>
      <c r="F22" s="53" t="str">
        <f t="shared" si="1"/>
        <v xml:space="preserve"> </v>
      </c>
      <c r="G22" s="53" t="str">
        <f t="shared" si="2"/>
        <v xml:space="preserve"> </v>
      </c>
      <c r="H22" s="53" t="str">
        <f t="shared" si="3"/>
        <v xml:space="preserve"> </v>
      </c>
      <c r="I22" s="53" t="str">
        <f t="shared" si="4"/>
        <v xml:space="preserve"> </v>
      </c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8"/>
    </row>
    <row r="23" spans="1:29">
      <c r="A23" s="29">
        <f>'5Capital Costs'!A23</f>
        <v>0</v>
      </c>
      <c r="B23" s="44">
        <f>'5Capital Costs'!B23</f>
        <v>0</v>
      </c>
      <c r="C23" s="43">
        <f>'5Capital Costs'!C23</f>
        <v>0</v>
      </c>
      <c r="D23" s="45">
        <f>'5Capital Costs'!D23</f>
        <v>0</v>
      </c>
      <c r="E23" s="53" t="str">
        <f t="shared" si="0"/>
        <v xml:space="preserve"> </v>
      </c>
      <c r="F23" s="53" t="str">
        <f t="shared" si="1"/>
        <v xml:space="preserve"> </v>
      </c>
      <c r="G23" s="53" t="str">
        <f t="shared" si="2"/>
        <v xml:space="preserve"> </v>
      </c>
      <c r="H23" s="53" t="str">
        <f t="shared" si="3"/>
        <v xml:space="preserve"> </v>
      </c>
      <c r="I23" s="53" t="str">
        <f t="shared" si="4"/>
        <v xml:space="preserve"> </v>
      </c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8"/>
    </row>
    <row r="24" spans="1:29">
      <c r="A24" s="29">
        <f>'5Capital Costs'!A24</f>
        <v>0</v>
      </c>
      <c r="B24" s="44">
        <f>'5Capital Costs'!B24</f>
        <v>0</v>
      </c>
      <c r="C24" s="43">
        <f>'5Capital Costs'!C24</f>
        <v>0</v>
      </c>
      <c r="D24" s="45">
        <f>'5Capital Costs'!D24</f>
        <v>0</v>
      </c>
      <c r="E24" s="53" t="str">
        <f t="shared" si="0"/>
        <v xml:space="preserve"> </v>
      </c>
      <c r="F24" s="53" t="str">
        <f t="shared" si="1"/>
        <v xml:space="preserve"> </v>
      </c>
      <c r="G24" s="53" t="str">
        <f t="shared" si="2"/>
        <v xml:space="preserve"> </v>
      </c>
      <c r="H24" s="53" t="str">
        <f t="shared" si="3"/>
        <v xml:space="preserve"> </v>
      </c>
      <c r="I24" s="53" t="str">
        <f t="shared" si="4"/>
        <v xml:space="preserve"> 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8"/>
    </row>
    <row r="25" spans="1:29">
      <c r="A25" s="29">
        <f>'5Capital Costs'!A25</f>
        <v>0</v>
      </c>
      <c r="B25" s="44">
        <f>'5Capital Costs'!B25</f>
        <v>0</v>
      </c>
      <c r="C25" s="43">
        <f>'5Capital Costs'!C25</f>
        <v>0</v>
      </c>
      <c r="D25" s="45">
        <f>'5Capital Costs'!D25</f>
        <v>0</v>
      </c>
      <c r="E25" s="53" t="str">
        <f t="shared" si="0"/>
        <v xml:space="preserve"> </v>
      </c>
      <c r="F25" s="53" t="str">
        <f t="shared" si="1"/>
        <v xml:space="preserve"> </v>
      </c>
      <c r="G25" s="53" t="str">
        <f t="shared" si="2"/>
        <v xml:space="preserve"> </v>
      </c>
      <c r="H25" s="53" t="str">
        <f t="shared" si="3"/>
        <v xml:space="preserve"> </v>
      </c>
      <c r="I25" s="53" t="str">
        <f t="shared" si="4"/>
        <v xml:space="preserve"> </v>
      </c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8"/>
    </row>
    <row r="26" spans="1:29">
      <c r="A26" s="29">
        <f>'5Capital Costs'!A26</f>
        <v>0</v>
      </c>
      <c r="B26" s="44">
        <f>'5Capital Costs'!B26</f>
        <v>0</v>
      </c>
      <c r="C26" s="43">
        <f>'5Capital Costs'!C26</f>
        <v>0</v>
      </c>
      <c r="D26" s="45">
        <f>'5Capital Costs'!D26</f>
        <v>0</v>
      </c>
      <c r="E26" s="53" t="str">
        <f t="shared" si="0"/>
        <v xml:space="preserve"> </v>
      </c>
      <c r="F26" s="53" t="str">
        <f t="shared" si="1"/>
        <v xml:space="preserve"> </v>
      </c>
      <c r="G26" s="53" t="str">
        <f t="shared" si="2"/>
        <v xml:space="preserve"> </v>
      </c>
      <c r="H26" s="53" t="str">
        <f t="shared" si="3"/>
        <v xml:space="preserve"> </v>
      </c>
      <c r="I26" s="53" t="str">
        <f t="shared" si="4"/>
        <v xml:space="preserve"> 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8"/>
    </row>
    <row r="27" spans="1:29">
      <c r="A27" s="29">
        <f>'5Capital Costs'!A27</f>
        <v>0</v>
      </c>
      <c r="B27" s="44">
        <f>'5Capital Costs'!B27</f>
        <v>0</v>
      </c>
      <c r="C27" s="43">
        <f>'5Capital Costs'!C27</f>
        <v>0</v>
      </c>
      <c r="D27" s="45">
        <f>'5Capital Costs'!D27</f>
        <v>0</v>
      </c>
      <c r="E27" s="53" t="str">
        <f t="shared" si="0"/>
        <v xml:space="preserve"> </v>
      </c>
      <c r="F27" s="53" t="str">
        <f t="shared" si="1"/>
        <v xml:space="preserve"> </v>
      </c>
      <c r="G27" s="53" t="str">
        <f t="shared" si="2"/>
        <v xml:space="preserve"> </v>
      </c>
      <c r="H27" s="53" t="str">
        <f t="shared" si="3"/>
        <v xml:space="preserve"> </v>
      </c>
      <c r="I27" s="53" t="str">
        <f t="shared" si="4"/>
        <v xml:space="preserve"> </v>
      </c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8"/>
    </row>
    <row r="28" spans="1:29">
      <c r="A28" s="29">
        <f>'5Capital Costs'!A28</f>
        <v>0</v>
      </c>
      <c r="B28" s="44">
        <f>'5Capital Costs'!B28</f>
        <v>0</v>
      </c>
      <c r="C28" s="43">
        <f>'5Capital Costs'!C28</f>
        <v>0</v>
      </c>
      <c r="D28" s="45">
        <f>'5Capital Costs'!D28</f>
        <v>0</v>
      </c>
      <c r="E28" s="53" t="str">
        <f t="shared" si="0"/>
        <v xml:space="preserve"> </v>
      </c>
      <c r="F28" s="53" t="str">
        <f t="shared" si="1"/>
        <v xml:space="preserve"> </v>
      </c>
      <c r="G28" s="53" t="str">
        <f t="shared" si="2"/>
        <v xml:space="preserve"> </v>
      </c>
      <c r="H28" s="53" t="str">
        <f t="shared" si="3"/>
        <v xml:space="preserve"> </v>
      </c>
      <c r="I28" s="53" t="str">
        <f t="shared" si="4"/>
        <v xml:space="preserve"> </v>
      </c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8"/>
    </row>
    <row r="29" spans="1:29">
      <c r="A29" s="29">
        <f>'5Capital Costs'!A29</f>
        <v>0</v>
      </c>
      <c r="B29" s="44">
        <f>'5Capital Costs'!B29</f>
        <v>0</v>
      </c>
      <c r="C29" s="43">
        <f>'5Capital Costs'!C29</f>
        <v>0</v>
      </c>
      <c r="D29" s="45">
        <f>'5Capital Costs'!D29</f>
        <v>0</v>
      </c>
      <c r="E29" s="53" t="str">
        <f t="shared" si="0"/>
        <v xml:space="preserve"> </v>
      </c>
      <c r="F29" s="53" t="str">
        <f t="shared" si="1"/>
        <v xml:space="preserve"> </v>
      </c>
      <c r="G29" s="53" t="str">
        <f t="shared" si="2"/>
        <v xml:space="preserve"> </v>
      </c>
      <c r="H29" s="53" t="str">
        <f t="shared" si="3"/>
        <v xml:space="preserve"> </v>
      </c>
      <c r="I29" s="53" t="str">
        <f t="shared" si="4"/>
        <v xml:space="preserve"> </v>
      </c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8"/>
    </row>
    <row r="30" spans="1:29">
      <c r="A30" s="29">
        <f>'5Capital Costs'!A30</f>
        <v>0</v>
      </c>
      <c r="B30" s="44">
        <f>'5Capital Costs'!B30</f>
        <v>0</v>
      </c>
      <c r="C30" s="43">
        <f>'5Capital Costs'!C30</f>
        <v>0</v>
      </c>
      <c r="D30" s="45">
        <f>'5Capital Costs'!D30</f>
        <v>0</v>
      </c>
      <c r="E30" s="53" t="str">
        <f t="shared" si="0"/>
        <v xml:space="preserve"> </v>
      </c>
      <c r="F30" s="53" t="str">
        <f t="shared" si="1"/>
        <v xml:space="preserve"> </v>
      </c>
      <c r="G30" s="53" t="str">
        <f t="shared" si="2"/>
        <v xml:space="preserve"> </v>
      </c>
      <c r="H30" s="53" t="str">
        <f t="shared" si="3"/>
        <v xml:space="preserve"> </v>
      </c>
      <c r="I30" s="53" t="str">
        <f t="shared" si="4"/>
        <v xml:space="preserve"> </v>
      </c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8"/>
    </row>
    <row r="31" spans="1:29">
      <c r="A31" s="29">
        <f>'5Capital Costs'!A31</f>
        <v>0</v>
      </c>
      <c r="B31" s="44">
        <f>'5Capital Costs'!B31</f>
        <v>0</v>
      </c>
      <c r="C31" s="43">
        <f>'5Capital Costs'!C31</f>
        <v>0</v>
      </c>
      <c r="D31" s="45">
        <f>'5Capital Costs'!D31</f>
        <v>0</v>
      </c>
      <c r="E31" s="53" t="str">
        <f t="shared" si="0"/>
        <v xml:space="preserve"> </v>
      </c>
      <c r="F31" s="53" t="str">
        <f t="shared" si="1"/>
        <v xml:space="preserve"> </v>
      </c>
      <c r="G31" s="53" t="str">
        <f t="shared" si="2"/>
        <v xml:space="preserve"> </v>
      </c>
      <c r="H31" s="53" t="str">
        <f t="shared" si="3"/>
        <v xml:space="preserve"> </v>
      </c>
      <c r="I31" s="53" t="str">
        <f t="shared" si="4"/>
        <v xml:space="preserve"> </v>
      </c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8"/>
    </row>
    <row r="32" spans="1:29">
      <c r="A32" s="29">
        <f>'5Capital Costs'!A32</f>
        <v>0</v>
      </c>
      <c r="B32" s="44">
        <f>'5Capital Costs'!B32</f>
        <v>0</v>
      </c>
      <c r="C32" s="43">
        <f>'5Capital Costs'!C32</f>
        <v>0</v>
      </c>
      <c r="D32" s="45">
        <f>'5Capital Costs'!D32</f>
        <v>0</v>
      </c>
      <c r="E32" s="53" t="str">
        <f t="shared" si="0"/>
        <v xml:space="preserve"> </v>
      </c>
      <c r="F32" s="53" t="str">
        <f t="shared" si="1"/>
        <v xml:space="preserve"> </v>
      </c>
      <c r="G32" s="53" t="str">
        <f t="shared" si="2"/>
        <v xml:space="preserve"> </v>
      </c>
      <c r="H32" s="53" t="str">
        <f t="shared" si="3"/>
        <v xml:space="preserve"> </v>
      </c>
      <c r="I32" s="53" t="str">
        <f t="shared" si="4"/>
        <v xml:space="preserve"> </v>
      </c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8"/>
    </row>
    <row r="33" spans="1:29">
      <c r="A33" s="29">
        <f>'5Capital Costs'!A33</f>
        <v>0</v>
      </c>
      <c r="B33" s="44">
        <f>'5Capital Costs'!B33</f>
        <v>0</v>
      </c>
      <c r="C33" s="43">
        <f>'5Capital Costs'!C33</f>
        <v>0</v>
      </c>
      <c r="D33" s="45">
        <f>'5Capital Costs'!D33</f>
        <v>0</v>
      </c>
      <c r="E33" s="53" t="str">
        <f t="shared" si="0"/>
        <v xml:space="preserve"> </v>
      </c>
      <c r="F33" s="53" t="str">
        <f t="shared" si="1"/>
        <v xml:space="preserve"> </v>
      </c>
      <c r="G33" s="53" t="str">
        <f t="shared" si="2"/>
        <v xml:space="preserve"> </v>
      </c>
      <c r="H33" s="53" t="str">
        <f t="shared" si="3"/>
        <v xml:space="preserve"> </v>
      </c>
      <c r="I33" s="53" t="str">
        <f t="shared" si="4"/>
        <v xml:space="preserve"> </v>
      </c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8"/>
    </row>
    <row r="34" spans="1:29">
      <c r="A34" s="29">
        <f>'5Capital Costs'!A34</f>
        <v>0</v>
      </c>
      <c r="B34" s="44">
        <f>'5Capital Costs'!B34</f>
        <v>0</v>
      </c>
      <c r="C34" s="43">
        <f>'5Capital Costs'!C34</f>
        <v>0</v>
      </c>
      <c r="D34" s="45">
        <f>'5Capital Costs'!D34</f>
        <v>0</v>
      </c>
      <c r="E34" s="53" t="str">
        <f t="shared" si="0"/>
        <v xml:space="preserve"> </v>
      </c>
      <c r="F34" s="53" t="str">
        <f t="shared" si="1"/>
        <v xml:space="preserve"> </v>
      </c>
      <c r="G34" s="53" t="str">
        <f t="shared" si="2"/>
        <v xml:space="preserve"> </v>
      </c>
      <c r="H34" s="53" t="str">
        <f t="shared" si="3"/>
        <v xml:space="preserve"> </v>
      </c>
      <c r="I34" s="53" t="str">
        <f t="shared" si="4"/>
        <v xml:space="preserve"> </v>
      </c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8"/>
    </row>
    <row r="35" spans="1:29">
      <c r="A35" s="29">
        <f>'5Capital Costs'!A35</f>
        <v>0</v>
      </c>
      <c r="B35" s="44">
        <f>'5Capital Costs'!B35</f>
        <v>0</v>
      </c>
      <c r="C35" s="43">
        <f>'5Capital Costs'!C35</f>
        <v>0</v>
      </c>
      <c r="D35" s="45">
        <f>'5Capital Costs'!D35</f>
        <v>0</v>
      </c>
      <c r="E35" s="53" t="str">
        <f t="shared" si="0"/>
        <v xml:space="preserve"> </v>
      </c>
      <c r="F35" s="53" t="str">
        <f t="shared" si="1"/>
        <v xml:space="preserve"> </v>
      </c>
      <c r="G35" s="53" t="str">
        <f t="shared" si="2"/>
        <v xml:space="preserve"> </v>
      </c>
      <c r="H35" s="53" t="str">
        <f t="shared" si="3"/>
        <v xml:space="preserve"> </v>
      </c>
      <c r="I35" s="53" t="str">
        <f t="shared" si="4"/>
        <v xml:space="preserve"> </v>
      </c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8"/>
    </row>
    <row r="36" spans="1:29">
      <c r="A36" s="29">
        <f>'5Capital Costs'!A36</f>
        <v>0</v>
      </c>
      <c r="B36" s="44">
        <f>'5Capital Costs'!B36</f>
        <v>0</v>
      </c>
      <c r="C36" s="43">
        <f>'5Capital Costs'!C36</f>
        <v>0</v>
      </c>
      <c r="D36" s="45">
        <f>'5Capital Costs'!D36</f>
        <v>0</v>
      </c>
      <c r="E36" s="53" t="str">
        <f t="shared" si="0"/>
        <v xml:space="preserve"> </v>
      </c>
      <c r="F36" s="53" t="str">
        <f t="shared" si="1"/>
        <v xml:space="preserve"> </v>
      </c>
      <c r="G36" s="53" t="str">
        <f t="shared" si="2"/>
        <v xml:space="preserve"> </v>
      </c>
      <c r="H36" s="53" t="str">
        <f t="shared" si="3"/>
        <v xml:space="preserve"> </v>
      </c>
      <c r="I36" s="53" t="str">
        <f t="shared" si="4"/>
        <v xml:space="preserve"> </v>
      </c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8"/>
    </row>
    <row r="37" spans="1:29">
      <c r="A37" s="29">
        <f>'5Capital Costs'!A37</f>
        <v>0</v>
      </c>
      <c r="B37" s="44">
        <f>'5Capital Costs'!B37</f>
        <v>0</v>
      </c>
      <c r="C37" s="43">
        <f>'5Capital Costs'!C37</f>
        <v>0</v>
      </c>
      <c r="D37" s="45">
        <f>'5Capital Costs'!D37</f>
        <v>0</v>
      </c>
      <c r="E37" s="53" t="str">
        <f t="shared" si="0"/>
        <v xml:space="preserve"> </v>
      </c>
      <c r="F37" s="53" t="str">
        <f t="shared" si="1"/>
        <v xml:space="preserve"> </v>
      </c>
      <c r="G37" s="53" t="str">
        <f t="shared" si="2"/>
        <v xml:space="preserve"> </v>
      </c>
      <c r="H37" s="53" t="str">
        <f t="shared" si="3"/>
        <v xml:space="preserve"> </v>
      </c>
      <c r="I37" s="53" t="str">
        <f t="shared" si="4"/>
        <v xml:space="preserve"> 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8"/>
    </row>
  </sheetData>
  <mergeCells count="3">
    <mergeCell ref="A1:AC1"/>
    <mergeCell ref="B3:K3"/>
    <mergeCell ref="J7:AC7"/>
  </mergeCells>
  <dataValidations count="1">
    <dataValidation type="list" allowBlank="1" showInputMessage="1" showErrorMessage="1" sqref="B3:K3">
      <formula1>Input!B6:B11</formula1>
    </dataValidation>
  </dataValidations>
  <pageMargins left="0.7" right="0.7" top="0.75" bottom="0.75" header="0.3" footer="0.3"/>
  <pageSetup scale="76" fitToWidth="4" orientation="landscape" r:id="rId1"/>
  <headerFooter>
    <oddHeader>&amp;C&amp;D
&amp;F</oddHeader>
    <oddFooter>&amp;L&amp;A&amp;RPage &amp;P of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175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'5Capital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'Replace Costs - Results 1-5'!A5</f>
        <v>Current Inflation Rate based on Construction Cost Index:</v>
      </c>
      <c r="B5" s="69">
        <f>'Replace Costs - Results 1-5'!B5</f>
        <v>2.0671834625323047E-2</v>
      </c>
      <c r="C5" s="67"/>
      <c r="D5" s="67"/>
      <c r="E5" s="70" t="s">
        <v>43</v>
      </c>
      <c r="F5" s="72">
        <f>'Replace Costs - Results 1-5'!F5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5" t="s">
        <v>44</v>
      </c>
      <c r="F6" s="156"/>
      <c r="G6" s="156"/>
      <c r="H6" s="156"/>
      <c r="I6" s="157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</v>
      </c>
      <c r="F7" s="26">
        <v>2</v>
      </c>
      <c r="G7" s="26">
        <v>3</v>
      </c>
      <c r="H7" s="26">
        <v>4</v>
      </c>
      <c r="I7" s="26">
        <v>5</v>
      </c>
    </row>
    <row r="8" spans="1:9">
      <c r="A8" s="29" t="str">
        <f>IF('5Capital Costs'!A9&lt;&gt;"", '5Capital Costs'!A9, "")</f>
        <v/>
      </c>
      <c r="B8" s="3" t="str">
        <f>IF('5Capital Costs'!B9&lt;&gt;"", '5Capital Costs'!B9, "")</f>
        <v/>
      </c>
      <c r="C8" s="46" t="str">
        <f>IF('5Capital Costs'!C9&lt;&gt;"", '5Capital Costs'!C9, "")</f>
        <v/>
      </c>
      <c r="D8" s="47" t="str">
        <f>IF('5Capital Costs'!D9&lt;&gt;"", '5Capital Costs'!D9, "")</f>
        <v/>
      </c>
      <c r="E8" s="27" t="str">
        <f>IF($A8&lt;&gt;"", (IF('5Replacement Costs - Entry'!J9="Y",((($B8*$D8)*((1+$B$5)^E$7))*(1/((1+$F$5)^E$7))),0)), "")</f>
        <v/>
      </c>
      <c r="F8" s="27" t="str">
        <f>IF($A8&lt;&gt;"", (IF('5Replacement Costs - Entry'!K9="Y",((($B8*$D8)*((1+$B$5)^F$7))*(1/((1+$F$5)^F$7))),0)), "")</f>
        <v/>
      </c>
      <c r="G8" s="27" t="str">
        <f>IF($A8&lt;&gt;"", (IF('5Replacement Costs - Entry'!L9="Y",((($B8*$D8)*((1+$B$5)^G$7))*(1/((1+$F$5)^G$7))),0)), "")</f>
        <v/>
      </c>
      <c r="H8" s="27" t="str">
        <f>IF($A8&lt;&gt;"", (IF('5Replacement Costs - Entry'!M9="Y",((($B8*$D8)*((1+$B$5)^H$7))*(1/((1+$F$5)^H$7))),0)), "")</f>
        <v/>
      </c>
      <c r="I8" s="27" t="str">
        <f>IF($A8&lt;&gt;"", (IF('5Replacement Costs - Entry'!N9="Y",((($B8*$D8)*((1+$B$5)^I$7))*(1/((1+$F$5)^I$7))),0)), "")</f>
        <v/>
      </c>
    </row>
    <row r="9" spans="1:9">
      <c r="A9" s="29" t="str">
        <f>IF('5Capital Costs'!A10&lt;&gt;"", '5Capital Costs'!A10, "")</f>
        <v/>
      </c>
      <c r="B9" s="3" t="str">
        <f>IF('5Capital Costs'!B10&lt;&gt;"", '5Capital Costs'!B10, "")</f>
        <v/>
      </c>
      <c r="C9" s="46" t="str">
        <f>IF('5Capital Costs'!C10&lt;&gt;"", '5Capital Costs'!C10, "")</f>
        <v/>
      </c>
      <c r="D9" s="47" t="str">
        <f>IF('5Capital Costs'!D10&lt;&gt;"", '5Capital Costs'!D10, "")</f>
        <v/>
      </c>
      <c r="E9" s="27" t="str">
        <f>IF($A9&lt;&gt;"", (IF('5Replacement Costs - Entry'!J10="Y",((($B9*$D9)*((1+$B$5)^E$7))*(1/((1+$F$5)^E$7))),0)), "")</f>
        <v/>
      </c>
      <c r="F9" s="27" t="str">
        <f>IF($A9&lt;&gt;"", (IF('5Replacement Costs - Entry'!K10="Y",((($B9*$D9)*((1+$B$5)^F$7))*(1/((1+$F$5)^F$7))),0)), "")</f>
        <v/>
      </c>
      <c r="G9" s="27" t="str">
        <f>IF($A9&lt;&gt;"", (IF('5Replacement Costs - Entry'!L10="Y",((($B9*$D9)*((1+$B$5)^G$7))*(1/((1+$F$5)^G$7))),0)), "")</f>
        <v/>
      </c>
      <c r="H9" s="27" t="str">
        <f>IF($A9&lt;&gt;"", (IF('5Replacement Costs - Entry'!M10="Y",((($B9*$D9)*((1+$B$5)^H$7))*(1/((1+$F$5)^H$7))),0)), "")</f>
        <v/>
      </c>
      <c r="I9" s="27" t="str">
        <f>IF($A9&lt;&gt;"", (IF('5Replacement Costs - Entry'!N10="Y",((($B9*$D9)*((1+$B$5)^I$7))*(1/((1+$F$5)^I$7))),0)), "")</f>
        <v/>
      </c>
    </row>
    <row r="10" spans="1:9">
      <c r="A10" s="29" t="str">
        <f>IF('5Capital Costs'!A11&lt;&gt;"", '5Capital Costs'!A11, "")</f>
        <v/>
      </c>
      <c r="B10" s="3" t="str">
        <f>IF('5Capital Costs'!B11&lt;&gt;"", '5Capital Costs'!B11, "")</f>
        <v/>
      </c>
      <c r="C10" s="46" t="str">
        <f>IF('5Capital Costs'!C11&lt;&gt;"", '5Capital Costs'!C11, "")</f>
        <v/>
      </c>
      <c r="D10" s="47" t="str">
        <f>IF('5Capital Costs'!D11&lt;&gt;"", '5Capital Costs'!D11, "")</f>
        <v/>
      </c>
      <c r="E10" s="27" t="str">
        <f>IF($A10&lt;&gt;"", (IF('5Replacement Costs - Entry'!J11="Y",((($B10*$D10)*((1+$B$5)^E$7))*(1/((1+$F$5)^E$7))),0)), "")</f>
        <v/>
      </c>
      <c r="F10" s="27" t="str">
        <f>IF($A10&lt;&gt;"", (IF('5Replacement Costs - Entry'!K11="Y",((($B10*$D10)*((1+$B$5)^F$7))*(1/((1+$F$5)^F$7))),0)), "")</f>
        <v/>
      </c>
      <c r="G10" s="27" t="str">
        <f>IF($A10&lt;&gt;"", (IF('5Replacement Costs - Entry'!L11="Y",((($B10*$D10)*((1+$B$5)^G$7))*(1/((1+$F$5)^G$7))),0)), "")</f>
        <v/>
      </c>
      <c r="H10" s="27" t="str">
        <f>IF($A10&lt;&gt;"", (IF('5Replacement Costs - Entry'!M11="Y",((($B10*$D10)*((1+$B$5)^H$7))*(1/((1+$F$5)^H$7))),0)), "")</f>
        <v/>
      </c>
      <c r="I10" s="27" t="str">
        <f>IF($A10&lt;&gt;"", (IF('5Replacement Costs - Entry'!N11="Y",((($B10*$D10)*((1+$B$5)^I$7))*(1/((1+$F$5)^I$7))),0)), "")</f>
        <v/>
      </c>
    </row>
    <row r="11" spans="1:9">
      <c r="A11" s="29" t="str">
        <f>IF('5Capital Costs'!A12&lt;&gt;"", '5Capital Costs'!A12, "")</f>
        <v/>
      </c>
      <c r="B11" s="3" t="str">
        <f>IF('5Capital Costs'!B12&lt;&gt;"", '5Capital Costs'!B12, "")</f>
        <v/>
      </c>
      <c r="C11" s="46" t="str">
        <f>IF('5Capital Costs'!C12&lt;&gt;"", '5Capital Costs'!C12, "")</f>
        <v/>
      </c>
      <c r="D11" s="47" t="str">
        <f>IF('5Capital Costs'!D12&lt;&gt;"", '5Capital Costs'!D12, "")</f>
        <v/>
      </c>
      <c r="E11" s="27" t="str">
        <f>IF($A11&lt;&gt;"", (IF('5Replacement Costs - Entry'!J12="Y",((($B11*$D11)*((1+$B$5)^E$7))*(1/((1+$F$5)^E$7))),0)), "")</f>
        <v/>
      </c>
      <c r="F11" s="27" t="str">
        <f>IF($A11&lt;&gt;"", (IF('5Replacement Costs - Entry'!K12="Y",((($B11*$D11)*((1+$B$5)^F$7))*(1/((1+$F$5)^F$7))),0)), "")</f>
        <v/>
      </c>
      <c r="G11" s="27" t="str">
        <f>IF($A11&lt;&gt;"", (IF('5Replacement Costs - Entry'!L12="Y",((($B11*$D11)*((1+$B$5)^G$7))*(1/((1+$F$5)^G$7))),0)), "")</f>
        <v/>
      </c>
      <c r="H11" s="27" t="str">
        <f>IF($A11&lt;&gt;"", (IF('5Replacement Costs - Entry'!M12="Y",((($B11*$D11)*((1+$B$5)^H$7))*(1/((1+$F$5)^H$7))),0)), "")</f>
        <v/>
      </c>
      <c r="I11" s="27" t="str">
        <f>IF($A11&lt;&gt;"", (IF('5Replacement Costs - Entry'!N12="Y",((($B11*$D11)*((1+$B$5)^I$7))*(1/((1+$F$5)^I$7))),0)), "")</f>
        <v/>
      </c>
    </row>
    <row r="12" spans="1:9">
      <c r="A12" s="29" t="str">
        <f>IF('5Capital Costs'!A13&lt;&gt;"", '5Capital Costs'!A13, "")</f>
        <v/>
      </c>
      <c r="B12" s="3" t="str">
        <f>IF('5Capital Costs'!B13&lt;&gt;"", '5Capital Costs'!B13, "")</f>
        <v/>
      </c>
      <c r="C12" s="46" t="str">
        <f>IF('5Capital Costs'!C13&lt;&gt;"", '5Capital Costs'!C13, "")</f>
        <v/>
      </c>
      <c r="D12" s="47" t="str">
        <f>IF('5Capital Costs'!D13&lt;&gt;"", '5Capital Costs'!D13, "")</f>
        <v/>
      </c>
      <c r="E12" s="27" t="str">
        <f>IF($A12&lt;&gt;"", (IF('5Replacement Costs - Entry'!J13="Y",((($B12*$D12)*((1+$B$5)^E$7))*(1/((1+$F$5)^E$7))),0)), "")</f>
        <v/>
      </c>
      <c r="F12" s="27" t="str">
        <f>IF($A12&lt;&gt;"", (IF('5Replacement Costs - Entry'!K13="Y",((($B12*$D12)*((1+$B$5)^F$7))*(1/((1+$F$5)^F$7))),0)), "")</f>
        <v/>
      </c>
      <c r="G12" s="27" t="str">
        <f>IF($A12&lt;&gt;"", (IF('5Replacement Costs - Entry'!L13="Y",((($B12*$D12)*((1+$B$5)^G$7))*(1/((1+$F$5)^G$7))),0)), "")</f>
        <v/>
      </c>
      <c r="H12" s="27" t="str">
        <f>IF($A12&lt;&gt;"", (IF('5Replacement Costs - Entry'!M13="Y",((($B12*$D12)*((1+$B$5)^H$7))*(1/((1+$F$5)^H$7))),0)), "")</f>
        <v/>
      </c>
      <c r="I12" s="27" t="str">
        <f>IF($A12&lt;&gt;"", (IF('5Replacement Costs - Entry'!N13="Y",((($B12*$D12)*((1+$B$5)^I$7))*(1/((1+$F$5)^I$7))),0)), "")</f>
        <v/>
      </c>
    </row>
    <row r="13" spans="1:9">
      <c r="A13" s="29" t="str">
        <f>IF('5Capital Costs'!A14&lt;&gt;"", '5Capital Costs'!A14, "")</f>
        <v/>
      </c>
      <c r="B13" s="3" t="str">
        <f>IF('5Capital Costs'!B14&lt;&gt;"", '5Capital Costs'!B14, "")</f>
        <v/>
      </c>
      <c r="C13" s="46" t="str">
        <f>IF('5Capital Costs'!C14&lt;&gt;"", '5Capital Costs'!C14, "")</f>
        <v/>
      </c>
      <c r="D13" s="47" t="str">
        <f>IF('5Capital Costs'!D14&lt;&gt;"", '5Capital Costs'!D14, "")</f>
        <v/>
      </c>
      <c r="E13" s="27" t="str">
        <f>IF($A13&lt;&gt;"", (IF('5Replacement Costs - Entry'!J14="Y",((($B13*$D13)*((1+$B$5)^E$7))*(1/((1+$F$5)^E$7))),0)), "")</f>
        <v/>
      </c>
      <c r="F13" s="27" t="str">
        <f>IF($A13&lt;&gt;"", (IF('5Replacement Costs - Entry'!K14="Y",((($B13*$D13)*((1+$B$5)^F$7))*(1/((1+$F$5)^F$7))),0)), "")</f>
        <v/>
      </c>
      <c r="G13" s="27" t="str">
        <f>IF($A13&lt;&gt;"", (IF('5Replacement Costs - Entry'!L14="Y",((($B13*$D13)*((1+$B$5)^G$7))*(1/((1+$F$5)^G$7))),0)), "")</f>
        <v/>
      </c>
      <c r="H13" s="27" t="str">
        <f>IF($A13&lt;&gt;"", (IF('5Replacement Costs - Entry'!M14="Y",((($B13*$D13)*((1+$B$5)^H$7))*(1/((1+$F$5)^H$7))),0)), "")</f>
        <v/>
      </c>
      <c r="I13" s="27" t="str">
        <f>IF($A13&lt;&gt;"", (IF('5Replacement Costs - Entry'!N14="Y",((($B13*$D13)*((1+$B$5)^I$7))*(1/((1+$F$5)^I$7))),0)), "")</f>
        <v/>
      </c>
    </row>
    <row r="14" spans="1:9">
      <c r="A14" s="29" t="str">
        <f>IF('5Capital Costs'!A15&lt;&gt;"", '5Capital Costs'!A15, "")</f>
        <v/>
      </c>
      <c r="B14" s="3" t="str">
        <f>IF('5Capital Costs'!B15&lt;&gt;"", '5Capital Costs'!B15, "")</f>
        <v/>
      </c>
      <c r="C14" s="46" t="str">
        <f>IF('5Capital Costs'!C15&lt;&gt;"", '5Capital Costs'!C15, "")</f>
        <v/>
      </c>
      <c r="D14" s="47" t="str">
        <f>IF('5Capital Costs'!D15&lt;&gt;"", '5Capital Costs'!D15, "")</f>
        <v/>
      </c>
      <c r="E14" s="27" t="str">
        <f>IF($A14&lt;&gt;"", (IF('5Replacement Costs - Entry'!J15="Y",((($B14*$D14)*((1+$B$5)^E$7))*(1/((1+$F$5)^E$7))),0)), "")</f>
        <v/>
      </c>
      <c r="F14" s="27" t="str">
        <f>IF($A14&lt;&gt;"", (IF('5Replacement Costs - Entry'!K15="Y",((($B14*$D14)*((1+$B$5)^F$7))*(1/((1+$F$5)^F$7))),0)), "")</f>
        <v/>
      </c>
      <c r="G14" s="27" t="str">
        <f>IF($A14&lt;&gt;"", (IF('5Replacement Costs - Entry'!L15="Y",((($B14*$D14)*((1+$B$5)^G$7))*(1/((1+$F$5)^G$7))),0)), "")</f>
        <v/>
      </c>
      <c r="H14" s="27" t="str">
        <f>IF($A14&lt;&gt;"", (IF('5Replacement Costs - Entry'!M15="Y",((($B14*$D14)*((1+$B$5)^H$7))*(1/((1+$F$5)^H$7))),0)), "")</f>
        <v/>
      </c>
      <c r="I14" s="27" t="str">
        <f>IF($A14&lt;&gt;"", (IF('5Replacement Costs - Entry'!N15="Y",((($B14*$D14)*((1+$B$5)^I$7))*(1/((1+$F$5)^I$7))),0)), "")</f>
        <v/>
      </c>
    </row>
    <row r="15" spans="1:9">
      <c r="A15" s="29" t="str">
        <f>IF('5Capital Costs'!A16&lt;&gt;"", '5Capital Costs'!A16, "")</f>
        <v/>
      </c>
      <c r="B15" s="3" t="str">
        <f>IF('5Capital Costs'!B16&lt;&gt;"", '5Capital Costs'!B16, "")</f>
        <v/>
      </c>
      <c r="C15" s="46" t="str">
        <f>IF('5Capital Costs'!C16&lt;&gt;"", '5Capital Costs'!C16, "")</f>
        <v/>
      </c>
      <c r="D15" s="47" t="str">
        <f>IF('5Capital Costs'!D16&lt;&gt;"", '5Capital Costs'!D16, "")</f>
        <v/>
      </c>
      <c r="E15" s="27" t="str">
        <f>IF($A15&lt;&gt;"", (IF('5Replacement Costs - Entry'!J16="Y",((($B15*$D15)*((1+$B$5)^E$7))*(1/((1+$F$5)^E$7))),0)), "")</f>
        <v/>
      </c>
      <c r="F15" s="27" t="str">
        <f>IF($A15&lt;&gt;"", (IF('5Replacement Costs - Entry'!K16="Y",((($B15*$D15)*((1+$B$5)^F$7))*(1/((1+$F$5)^F$7))),0)), "")</f>
        <v/>
      </c>
      <c r="G15" s="27" t="str">
        <f>IF($A15&lt;&gt;"", (IF('5Replacement Costs - Entry'!L16="Y",((($B15*$D15)*((1+$B$5)^G$7))*(1/((1+$F$5)^G$7))),0)), "")</f>
        <v/>
      </c>
      <c r="H15" s="27" t="str">
        <f>IF($A15&lt;&gt;"", (IF('5Replacement Costs - Entry'!M16="Y",((($B15*$D15)*((1+$B$5)^H$7))*(1/((1+$F$5)^H$7))),0)), "")</f>
        <v/>
      </c>
      <c r="I15" s="27" t="str">
        <f>IF($A15&lt;&gt;"", (IF('5Replacement Costs - Entry'!N16="Y",((($B15*$D15)*((1+$B$5)^I$7))*(1/((1+$F$5)^I$7))),0)), "")</f>
        <v/>
      </c>
    </row>
    <row r="16" spans="1:9">
      <c r="A16" s="29" t="str">
        <f>IF('5Capital Costs'!A17&lt;&gt;"", '5Capital Costs'!A17, "")</f>
        <v/>
      </c>
      <c r="B16" s="3" t="str">
        <f>IF('5Capital Costs'!B17&lt;&gt;"", '5Capital Costs'!B17, "")</f>
        <v/>
      </c>
      <c r="C16" s="46" t="str">
        <f>IF('5Capital Costs'!C17&lt;&gt;"", '5Capital Costs'!C17, "")</f>
        <v/>
      </c>
      <c r="D16" s="47" t="str">
        <f>IF('5Capital Costs'!D17&lt;&gt;"", '5Capital Costs'!D17, "")</f>
        <v/>
      </c>
      <c r="E16" s="27" t="str">
        <f>IF($A16&lt;&gt;"", (IF('5Replacement Costs - Entry'!J17="Y",((($B16*$D16)*((1+$B$5)^E$7))*(1/((1+$F$5)^E$7))),0)), "")</f>
        <v/>
      </c>
      <c r="F16" s="27" t="str">
        <f>IF($A16&lt;&gt;"", (IF('5Replacement Costs - Entry'!K17="Y",((($B16*$D16)*((1+$B$5)^F$7))*(1/((1+$F$5)^F$7))),0)), "")</f>
        <v/>
      </c>
      <c r="G16" s="27" t="str">
        <f>IF($A16&lt;&gt;"", (IF('5Replacement Costs - Entry'!L17="Y",((($B16*$D16)*((1+$B$5)^G$7))*(1/((1+$F$5)^G$7))),0)), "")</f>
        <v/>
      </c>
      <c r="H16" s="27" t="str">
        <f>IF($A16&lt;&gt;"", (IF('5Replacement Costs - Entry'!M17="Y",((($B16*$D16)*((1+$B$5)^H$7))*(1/((1+$F$5)^H$7))),0)), "")</f>
        <v/>
      </c>
      <c r="I16" s="27" t="str">
        <f>IF($A16&lt;&gt;"", (IF('5Replacement Costs - Entry'!N17="Y",((($B16*$D16)*((1+$B$5)^I$7))*(1/((1+$F$5)^I$7))),0)), "")</f>
        <v/>
      </c>
    </row>
    <row r="17" spans="1:9">
      <c r="A17" s="29" t="str">
        <f>IF('5Capital Costs'!A18&lt;&gt;"", '5Capital Costs'!A18, "")</f>
        <v/>
      </c>
      <c r="B17" s="3" t="str">
        <f>IF('5Capital Costs'!B18&lt;&gt;"", '5Capital Costs'!B18, "")</f>
        <v/>
      </c>
      <c r="C17" s="46" t="str">
        <f>IF('5Capital Costs'!C18&lt;&gt;"", '5Capital Costs'!C18, "")</f>
        <v/>
      </c>
      <c r="D17" s="47" t="str">
        <f>IF('5Capital Costs'!D18&lt;&gt;"", '5Capital Costs'!D18, "")</f>
        <v/>
      </c>
      <c r="E17" s="27" t="str">
        <f>IF($A17&lt;&gt;"", (IF('5Replacement Costs - Entry'!J18="Y",((($B17*$D17)*((1+$B$5)^E$7))*(1/((1+$F$5)^E$7))),0)), "")</f>
        <v/>
      </c>
      <c r="F17" s="27" t="str">
        <f>IF($A17&lt;&gt;"", (IF('5Replacement Costs - Entry'!K18="Y",((($B17*$D17)*((1+$B$5)^F$7))*(1/((1+$F$5)^F$7))),0)), "")</f>
        <v/>
      </c>
      <c r="G17" s="27" t="str">
        <f>IF($A17&lt;&gt;"", (IF('5Replacement Costs - Entry'!L18="Y",((($B17*$D17)*((1+$B$5)^G$7))*(1/((1+$F$5)^G$7))),0)), "")</f>
        <v/>
      </c>
      <c r="H17" s="27" t="str">
        <f>IF($A17&lt;&gt;"", (IF('5Replacement Costs - Entry'!M18="Y",((($B17*$D17)*((1+$B$5)^H$7))*(1/((1+$F$5)^H$7))),0)), "")</f>
        <v/>
      </c>
      <c r="I17" s="27" t="str">
        <f>IF($A17&lt;&gt;"", (IF('5Replacement Costs - Entry'!N18="Y",((($B17*$D17)*((1+$B$5)^I$7))*(1/((1+$F$5)^I$7))),0)), "")</f>
        <v/>
      </c>
    </row>
    <row r="18" spans="1:9">
      <c r="A18" s="29" t="str">
        <f>IF('5Capital Costs'!A19&lt;&gt;"", '5Capital Costs'!A19, "")</f>
        <v/>
      </c>
      <c r="B18" s="3" t="str">
        <f>IF('5Capital Costs'!B19&lt;&gt;"", '5Capital Costs'!B19, "")</f>
        <v/>
      </c>
      <c r="C18" s="46" t="str">
        <f>IF('5Capital Costs'!C19&lt;&gt;"", '5Capital Costs'!C19, "")</f>
        <v/>
      </c>
      <c r="D18" s="47" t="str">
        <f>IF('5Capital Costs'!D19&lt;&gt;"", '5Capital Costs'!D19, "")</f>
        <v/>
      </c>
      <c r="E18" s="27" t="str">
        <f>IF($A18&lt;&gt;"", (IF('5Replacement Costs - Entry'!J19="Y",((($B18*$D18)*((1+$B$5)^E$7))*(1/((1+$F$5)^E$7))),0)), "")</f>
        <v/>
      </c>
      <c r="F18" s="27" t="str">
        <f>IF($A18&lt;&gt;"", (IF('5Replacement Costs - Entry'!K19="Y",((($B18*$D18)*((1+$B$5)^F$7))*(1/((1+$F$5)^F$7))),0)), "")</f>
        <v/>
      </c>
      <c r="G18" s="27" t="str">
        <f>IF($A18&lt;&gt;"", (IF('5Replacement Costs - Entry'!L19="Y",((($B18*$D18)*((1+$B$5)^G$7))*(1/((1+$F$5)^G$7))),0)), "")</f>
        <v/>
      </c>
      <c r="H18" s="27" t="str">
        <f>IF($A18&lt;&gt;"", (IF('5Replacement Costs - Entry'!M19="Y",((($B18*$D18)*((1+$B$5)^H$7))*(1/((1+$F$5)^H$7))),0)), "")</f>
        <v/>
      </c>
      <c r="I18" s="27" t="str">
        <f>IF($A18&lt;&gt;"", (IF('5Replacement Costs - Entry'!N19="Y",((($B18*$D18)*((1+$B$5)^I$7))*(1/((1+$F$5)^I$7))),0)), "")</f>
        <v/>
      </c>
    </row>
    <row r="19" spans="1:9">
      <c r="A19" s="29" t="str">
        <f>IF('5Capital Costs'!A20&lt;&gt;"", '5Capital Costs'!A20, "")</f>
        <v/>
      </c>
      <c r="B19" s="3" t="str">
        <f>IF('5Capital Costs'!B20&lt;&gt;"", '5Capital Costs'!B20, "")</f>
        <v/>
      </c>
      <c r="C19" s="46" t="str">
        <f>IF('5Capital Costs'!C20&lt;&gt;"", '5Capital Costs'!C20, "")</f>
        <v/>
      </c>
      <c r="D19" s="47" t="str">
        <f>IF('5Capital Costs'!D20&lt;&gt;"", '5Capital Costs'!D20, "")</f>
        <v/>
      </c>
      <c r="E19" s="27" t="str">
        <f>IF($A19&lt;&gt;"", (IF('5Replacement Costs - Entry'!J20="Y",((($B19*$D19)*((1+$B$5)^E$7))*(1/((1+$F$5)^E$7))),0)), "")</f>
        <v/>
      </c>
      <c r="F19" s="27" t="str">
        <f>IF($A19&lt;&gt;"", (IF('5Replacement Costs - Entry'!K20="Y",((($B19*$D19)*((1+$B$5)^F$7))*(1/((1+$F$5)^F$7))),0)), "")</f>
        <v/>
      </c>
      <c r="G19" s="27" t="str">
        <f>IF($A19&lt;&gt;"", (IF('5Replacement Costs - Entry'!L20="Y",((($B19*$D19)*((1+$B$5)^G$7))*(1/((1+$F$5)^G$7))),0)), "")</f>
        <v/>
      </c>
      <c r="H19" s="27" t="str">
        <f>IF($A19&lt;&gt;"", (IF('5Replacement Costs - Entry'!M20="Y",((($B19*$D19)*((1+$B$5)^H$7))*(1/((1+$F$5)^H$7))),0)), "")</f>
        <v/>
      </c>
      <c r="I19" s="27" t="str">
        <f>IF($A19&lt;&gt;"", (IF('5Replacement Costs - Entry'!N20="Y",((($B19*$D19)*((1+$B$5)^I$7))*(1/((1+$F$5)^I$7))),0)), "")</f>
        <v/>
      </c>
    </row>
    <row r="20" spans="1:9">
      <c r="A20" s="29" t="str">
        <f>IF('5Capital Costs'!A21&lt;&gt;"", '5Capital Costs'!A21, "")</f>
        <v/>
      </c>
      <c r="B20" s="3" t="str">
        <f>IF('5Capital Costs'!B21&lt;&gt;"", '5Capital Costs'!B21, "")</f>
        <v/>
      </c>
      <c r="C20" s="46" t="str">
        <f>IF('5Capital Costs'!C21&lt;&gt;"", '5Capital Costs'!C21, "")</f>
        <v/>
      </c>
      <c r="D20" s="47" t="str">
        <f>IF('5Capital Costs'!D21&lt;&gt;"", '5Capital Costs'!D21, "")</f>
        <v/>
      </c>
      <c r="E20" s="27" t="str">
        <f>IF($A20&lt;&gt;"", (IF('5Replacement Costs - Entry'!J21="Y",((($B20*$D20)*((1+$B$5)^E$7))*(1/((1+$F$5)^E$7))),0)), "")</f>
        <v/>
      </c>
      <c r="F20" s="27" t="str">
        <f>IF($A20&lt;&gt;"", (IF('5Replacement Costs - Entry'!K21="Y",((($B20*$D20)*((1+$B$5)^F$7))*(1/((1+$F$5)^F$7))),0)), "")</f>
        <v/>
      </c>
      <c r="G20" s="27" t="str">
        <f>IF($A20&lt;&gt;"", (IF('5Replacement Costs - Entry'!L21="Y",((($B20*$D20)*((1+$B$5)^G$7))*(1/((1+$F$5)^G$7))),0)), "")</f>
        <v/>
      </c>
      <c r="H20" s="27" t="str">
        <f>IF($A20&lt;&gt;"", (IF('5Replacement Costs - Entry'!M21="Y",((($B20*$D20)*((1+$B$5)^H$7))*(1/((1+$F$5)^H$7))),0)), "")</f>
        <v/>
      </c>
      <c r="I20" s="27" t="str">
        <f>IF($A20&lt;&gt;"", (IF('5Replacement Costs - Entry'!N21="Y",((($B20*$D20)*((1+$B$5)^I$7))*(1/((1+$F$5)^I$7))),0)), "")</f>
        <v/>
      </c>
    </row>
    <row r="21" spans="1:9">
      <c r="A21" s="29" t="str">
        <f>IF('5Capital Costs'!A22&lt;&gt;"", '5Capital Costs'!A22, "")</f>
        <v/>
      </c>
      <c r="B21" s="3" t="str">
        <f>IF('5Capital Costs'!B22&lt;&gt;"", '5Capital Costs'!B22, "")</f>
        <v/>
      </c>
      <c r="C21" s="46" t="str">
        <f>IF('5Capital Costs'!C22&lt;&gt;"", '5Capital Costs'!C22, "")</f>
        <v/>
      </c>
      <c r="D21" s="47" t="str">
        <f>IF('5Capital Costs'!D22&lt;&gt;"", '5Capital Costs'!D22, "")</f>
        <v/>
      </c>
      <c r="E21" s="27" t="str">
        <f>IF($A21&lt;&gt;"", (IF('5Replacement Costs - Entry'!J22="Y",((($B21*$D21)*((1+$B$5)^E$7))*(1/((1+$F$5)^E$7))),0)), "")</f>
        <v/>
      </c>
      <c r="F21" s="27" t="str">
        <f>IF($A21&lt;&gt;"", (IF('5Replacement Costs - Entry'!K22="Y",((($B21*$D21)*((1+$B$5)^F$7))*(1/((1+$F$5)^F$7))),0)), "")</f>
        <v/>
      </c>
      <c r="G21" s="27" t="str">
        <f>IF($A21&lt;&gt;"", (IF('5Replacement Costs - Entry'!L22="Y",((($B21*$D21)*((1+$B$5)^G$7))*(1/((1+$F$5)^G$7))),0)), "")</f>
        <v/>
      </c>
      <c r="H21" s="27" t="str">
        <f>IF($A21&lt;&gt;"", (IF('5Replacement Costs - Entry'!M22="Y",((($B21*$D21)*((1+$B$5)^H$7))*(1/((1+$F$5)^H$7))),0)), "")</f>
        <v/>
      </c>
      <c r="I21" s="27" t="str">
        <f>IF($A21&lt;&gt;"", (IF('5Replacement Costs - Entry'!N22="Y",((($B21*$D21)*((1+$B$5)^I$7))*(1/((1+$F$5)^I$7))),0)), "")</f>
        <v/>
      </c>
    </row>
    <row r="22" spans="1:9">
      <c r="A22" s="29" t="str">
        <f>IF('5Capital Costs'!A23&lt;&gt;"", '5Capital Costs'!A23, "")</f>
        <v/>
      </c>
      <c r="B22" s="3" t="str">
        <f>IF('5Capital Costs'!B23&lt;&gt;"", '5Capital Costs'!B23, "")</f>
        <v/>
      </c>
      <c r="C22" s="46" t="str">
        <f>IF('5Capital Costs'!C23&lt;&gt;"", '5Capital Costs'!C23, "")</f>
        <v/>
      </c>
      <c r="D22" s="47" t="str">
        <f>IF('5Capital Costs'!D23&lt;&gt;"", '5Capital Costs'!D23, "")</f>
        <v/>
      </c>
      <c r="E22" s="27" t="str">
        <f>IF($A22&lt;&gt;"", (IF('5Replacement Costs - Entry'!J23="Y",((($B22*$D22)*((1+$B$5)^E$7))*(1/((1+$F$5)^E$7))),0)), "")</f>
        <v/>
      </c>
      <c r="F22" s="27" t="str">
        <f>IF($A22&lt;&gt;"", (IF('5Replacement Costs - Entry'!K23="Y",((($B22*$D22)*((1+$B$5)^F$7))*(1/((1+$F$5)^F$7))),0)), "")</f>
        <v/>
      </c>
      <c r="G22" s="27" t="str">
        <f>IF($A22&lt;&gt;"", (IF('5Replacement Costs - Entry'!L23="Y",((($B22*$D22)*((1+$B$5)^G$7))*(1/((1+$F$5)^G$7))),0)), "")</f>
        <v/>
      </c>
      <c r="H22" s="27" t="str">
        <f>IF($A22&lt;&gt;"", (IF('5Replacement Costs - Entry'!M23="Y",((($B22*$D22)*((1+$B$5)^H$7))*(1/((1+$F$5)^H$7))),0)), "")</f>
        <v/>
      </c>
      <c r="I22" s="27" t="str">
        <f>IF($A22&lt;&gt;"", (IF('5Replacement Costs - Entry'!N23="Y",((($B22*$D22)*((1+$B$5)^I$7))*(1/((1+$F$5)^I$7))),0)), "")</f>
        <v/>
      </c>
    </row>
    <row r="23" spans="1:9">
      <c r="A23" s="29" t="str">
        <f>IF('5Capital Costs'!A24&lt;&gt;"", '5Capital Costs'!A24, "")</f>
        <v/>
      </c>
      <c r="B23" s="3" t="str">
        <f>IF('5Capital Costs'!B24&lt;&gt;"", '5Capital Costs'!B24, "")</f>
        <v/>
      </c>
      <c r="C23" s="46" t="str">
        <f>IF('5Capital Costs'!C24&lt;&gt;"", '5Capital Costs'!C24, "")</f>
        <v/>
      </c>
      <c r="D23" s="47" t="str">
        <f>IF('5Capital Costs'!D24&lt;&gt;"", '5Capital Costs'!D24, "")</f>
        <v/>
      </c>
      <c r="E23" s="27" t="str">
        <f>IF($A23&lt;&gt;"", (IF('5Replacement Costs - Entry'!J24="Y",((($B23*$D23)*((1+$B$5)^E$7))*(1/((1+$F$5)^E$7))),0)), "")</f>
        <v/>
      </c>
      <c r="F23" s="27" t="str">
        <f>IF($A23&lt;&gt;"", (IF('5Replacement Costs - Entry'!K24="Y",((($B23*$D23)*((1+$B$5)^F$7))*(1/((1+$F$5)^F$7))),0)), "")</f>
        <v/>
      </c>
      <c r="G23" s="27" t="str">
        <f>IF($A23&lt;&gt;"", (IF('5Replacement Costs - Entry'!L24="Y",((($B23*$D23)*((1+$B$5)^G$7))*(1/((1+$F$5)^G$7))),0)), "")</f>
        <v/>
      </c>
      <c r="H23" s="27" t="str">
        <f>IF($A23&lt;&gt;"", (IF('5Replacement Costs - Entry'!M24="Y",((($B23*$D23)*((1+$B$5)^H$7))*(1/((1+$F$5)^H$7))),0)), "")</f>
        <v/>
      </c>
      <c r="I23" s="27" t="str">
        <f>IF($A23&lt;&gt;"", (IF('5Replacement Costs - Entry'!N24="Y",((($B23*$D23)*((1+$B$5)^I$7))*(1/((1+$F$5)^I$7))),0)), "")</f>
        <v/>
      </c>
    </row>
    <row r="24" spans="1:9">
      <c r="A24" s="29" t="str">
        <f>IF('5Capital Costs'!A25&lt;&gt;"", '5Capital Costs'!A25, "")</f>
        <v/>
      </c>
      <c r="B24" s="3" t="str">
        <f>IF('5Capital Costs'!B25&lt;&gt;"", '5Capital Costs'!B25, "")</f>
        <v/>
      </c>
      <c r="C24" s="46" t="str">
        <f>IF('5Capital Costs'!C25&lt;&gt;"", '5Capital Costs'!C25, "")</f>
        <v/>
      </c>
      <c r="D24" s="47" t="str">
        <f>IF('5Capital Costs'!D25&lt;&gt;"", '5Capital Costs'!D25, "")</f>
        <v/>
      </c>
      <c r="E24" s="27" t="str">
        <f>IF($A24&lt;&gt;"", (IF('5Replacement Costs - Entry'!J25="Y",((($B24*$D24)*((1+$B$5)^E$7))*(1/((1+$F$5)^E$7))),0)), "")</f>
        <v/>
      </c>
      <c r="F24" s="27" t="str">
        <f>IF($A24&lt;&gt;"", (IF('5Replacement Costs - Entry'!K25="Y",((($B24*$D24)*((1+$B$5)^F$7))*(1/((1+$F$5)^F$7))),0)), "")</f>
        <v/>
      </c>
      <c r="G24" s="27" t="str">
        <f>IF($A24&lt;&gt;"", (IF('5Replacement Costs - Entry'!L25="Y",((($B24*$D24)*((1+$B$5)^G$7))*(1/((1+$F$5)^G$7))),0)), "")</f>
        <v/>
      </c>
      <c r="H24" s="27" t="str">
        <f>IF($A24&lt;&gt;"", (IF('5Replacement Costs - Entry'!M25="Y",((($B24*$D24)*((1+$B$5)^H$7))*(1/((1+$F$5)^H$7))),0)), "")</f>
        <v/>
      </c>
      <c r="I24" s="27" t="str">
        <f>IF($A24&lt;&gt;"", (IF('5Replacement Costs - Entry'!N25="Y",((($B24*$D24)*((1+$B$5)^I$7))*(1/((1+$F$5)^I$7))),0)), "")</f>
        <v/>
      </c>
    </row>
    <row r="25" spans="1:9">
      <c r="A25" s="29" t="str">
        <f>IF('5Capital Costs'!A26&lt;&gt;"", '5Capital Costs'!A26, "")</f>
        <v/>
      </c>
      <c r="B25" s="3" t="str">
        <f>IF('5Capital Costs'!B26&lt;&gt;"", '5Capital Costs'!B26, "")</f>
        <v/>
      </c>
      <c r="C25" s="46" t="str">
        <f>IF('5Capital Costs'!C26&lt;&gt;"", '5Capital Costs'!C26, "")</f>
        <v/>
      </c>
      <c r="D25" s="47" t="str">
        <f>IF('5Capital Costs'!D26&lt;&gt;"", '5Capital Costs'!D26, "")</f>
        <v/>
      </c>
      <c r="E25" s="27" t="str">
        <f>IF($A25&lt;&gt;"", (IF('5Replacement Costs - Entry'!J26="Y",((($B25*$D25)*((1+$B$5)^E$7))*(1/((1+$F$5)^E$7))),0)), "")</f>
        <v/>
      </c>
      <c r="F25" s="27" t="str">
        <f>IF($A25&lt;&gt;"", (IF('5Replacement Costs - Entry'!K26="Y",((($B25*$D25)*((1+$B$5)^F$7))*(1/((1+$F$5)^F$7))),0)), "")</f>
        <v/>
      </c>
      <c r="G25" s="27" t="str">
        <f>IF($A25&lt;&gt;"", (IF('5Replacement Costs - Entry'!L26="Y",((($B25*$D25)*((1+$B$5)^G$7))*(1/((1+$F$5)^G$7))),0)), "")</f>
        <v/>
      </c>
      <c r="H25" s="27" t="str">
        <f>IF($A25&lt;&gt;"", (IF('5Replacement Costs - Entry'!M26="Y",((($B25*$D25)*((1+$B$5)^H$7))*(1/((1+$F$5)^H$7))),0)), "")</f>
        <v/>
      </c>
      <c r="I25" s="27" t="str">
        <f>IF($A25&lt;&gt;"", (IF('5Replacement Costs - Entry'!N26="Y",((($B25*$D25)*((1+$B$5)^I$7))*(1/((1+$F$5)^I$7))),0)), "")</f>
        <v/>
      </c>
    </row>
    <row r="26" spans="1:9">
      <c r="A26" s="29" t="str">
        <f>IF('5Capital Costs'!A27&lt;&gt;"", '5Capital Costs'!A27, "")</f>
        <v/>
      </c>
      <c r="B26" s="3" t="str">
        <f>IF('5Capital Costs'!B27&lt;&gt;"", '5Capital Costs'!B27, "")</f>
        <v/>
      </c>
      <c r="C26" s="46" t="str">
        <f>IF('5Capital Costs'!C27&lt;&gt;"", '5Capital Costs'!C27, "")</f>
        <v/>
      </c>
      <c r="D26" s="47" t="str">
        <f>IF('5Capital Costs'!D27&lt;&gt;"", '5Capital Costs'!D27, "")</f>
        <v/>
      </c>
      <c r="E26" s="27" t="str">
        <f>IF($A26&lt;&gt;"", (IF('5Replacement Costs - Entry'!J27="Y",((($B26*$D26)*((1+$B$5)^E$7))*(1/((1+$F$5)^E$7))),0)), "")</f>
        <v/>
      </c>
      <c r="F26" s="27" t="str">
        <f>IF($A26&lt;&gt;"", (IF('5Replacement Costs - Entry'!K27="Y",((($B26*$D26)*((1+$B$5)^F$7))*(1/((1+$F$5)^F$7))),0)), "")</f>
        <v/>
      </c>
      <c r="G26" s="27" t="str">
        <f>IF($A26&lt;&gt;"", (IF('5Replacement Costs - Entry'!L27="Y",((($B26*$D26)*((1+$B$5)^G$7))*(1/((1+$F$5)^G$7))),0)), "")</f>
        <v/>
      </c>
      <c r="H26" s="27" t="str">
        <f>IF($A26&lt;&gt;"", (IF('5Replacement Costs - Entry'!M27="Y",((($B26*$D26)*((1+$B$5)^H$7))*(1/((1+$F$5)^H$7))),0)), "")</f>
        <v/>
      </c>
      <c r="I26" s="27" t="str">
        <f>IF($A26&lt;&gt;"", (IF('5Replacement Costs - Entry'!N27="Y",((($B26*$D26)*((1+$B$5)^I$7))*(1/((1+$F$5)^I$7))),0)), "")</f>
        <v/>
      </c>
    </row>
    <row r="27" spans="1:9">
      <c r="A27" s="29" t="str">
        <f>IF('5Capital Costs'!A28&lt;&gt;"", '5Capital Costs'!A28, "")</f>
        <v/>
      </c>
      <c r="B27" s="3" t="str">
        <f>IF('5Capital Costs'!B28&lt;&gt;"", '5Capital Costs'!B28, "")</f>
        <v/>
      </c>
      <c r="C27" s="46" t="str">
        <f>IF('5Capital Costs'!C28&lt;&gt;"", '5Capital Costs'!C28, "")</f>
        <v/>
      </c>
      <c r="D27" s="47" t="str">
        <f>IF('5Capital Costs'!D28&lt;&gt;"", '5Capital Costs'!D28, "")</f>
        <v/>
      </c>
      <c r="E27" s="27" t="str">
        <f>IF($A27&lt;&gt;"", (IF('5Replacement Costs - Entry'!J28="Y",((($B27*$D27)*((1+$B$5)^E$7))*(1/((1+$F$5)^E$7))),0)), "")</f>
        <v/>
      </c>
      <c r="F27" s="27" t="str">
        <f>IF($A27&lt;&gt;"", (IF('5Replacement Costs - Entry'!K28="Y",((($B27*$D27)*((1+$B$5)^F$7))*(1/((1+$F$5)^F$7))),0)), "")</f>
        <v/>
      </c>
      <c r="G27" s="27" t="str">
        <f>IF($A27&lt;&gt;"", (IF('5Replacement Costs - Entry'!L28="Y",((($B27*$D27)*((1+$B$5)^G$7))*(1/((1+$F$5)^G$7))),0)), "")</f>
        <v/>
      </c>
      <c r="H27" s="27" t="str">
        <f>IF($A27&lt;&gt;"", (IF('5Replacement Costs - Entry'!M28="Y",((($B27*$D27)*((1+$B$5)^H$7))*(1/((1+$F$5)^H$7))),0)), "")</f>
        <v/>
      </c>
      <c r="I27" s="27" t="str">
        <f>IF($A27&lt;&gt;"", (IF('5Replacement Costs - Entry'!N28="Y",((($B27*$D27)*((1+$B$5)^I$7))*(1/((1+$F$5)^I$7))),0)), "")</f>
        <v/>
      </c>
    </row>
    <row r="28" spans="1:9">
      <c r="A28" s="29" t="str">
        <f>IF('5Capital Costs'!A29&lt;&gt;"", '5Capital Costs'!A29, "")</f>
        <v/>
      </c>
      <c r="B28" s="3" t="str">
        <f>IF('5Capital Costs'!B29&lt;&gt;"", '5Capital Costs'!B29, "")</f>
        <v/>
      </c>
      <c r="C28" s="46" t="str">
        <f>IF('5Capital Costs'!C29&lt;&gt;"", '5Capital Costs'!C29, "")</f>
        <v/>
      </c>
      <c r="D28" s="47" t="str">
        <f>IF('5Capital Costs'!D29&lt;&gt;"", '5Capital Costs'!D29, "")</f>
        <v/>
      </c>
      <c r="E28" s="27" t="str">
        <f>IF($A28&lt;&gt;"", (IF('5Replacement Costs - Entry'!J29="Y",((($B28*$D28)*((1+$B$5)^E$7))*(1/((1+$F$5)^E$7))),0)), "")</f>
        <v/>
      </c>
      <c r="F28" s="27" t="str">
        <f>IF($A28&lt;&gt;"", (IF('5Replacement Costs - Entry'!K29="Y",((($B28*$D28)*((1+$B$5)^F$7))*(1/((1+$F$5)^F$7))),0)), "")</f>
        <v/>
      </c>
      <c r="G28" s="27" t="str">
        <f>IF($A28&lt;&gt;"", (IF('5Replacement Costs - Entry'!L29="Y",((($B28*$D28)*((1+$B$5)^G$7))*(1/((1+$F$5)^G$7))),0)), "")</f>
        <v/>
      </c>
      <c r="H28" s="27" t="str">
        <f>IF($A28&lt;&gt;"", (IF('5Replacement Costs - Entry'!M29="Y",((($B28*$D28)*((1+$B$5)^H$7))*(1/((1+$F$5)^H$7))),0)), "")</f>
        <v/>
      </c>
      <c r="I28" s="27" t="str">
        <f>IF($A28&lt;&gt;"", (IF('5Replacement Costs - Entry'!N29="Y",((($B28*$D28)*((1+$B$5)^I$7))*(1/((1+$F$5)^I$7))),0)), "")</f>
        <v/>
      </c>
    </row>
    <row r="29" spans="1:9">
      <c r="A29" s="29" t="str">
        <f>IF('5Capital Costs'!A30&lt;&gt;"", '5Capital Costs'!A30, "")</f>
        <v/>
      </c>
      <c r="B29" s="3" t="str">
        <f>IF('5Capital Costs'!B30&lt;&gt;"", '5Capital Costs'!B30, "")</f>
        <v/>
      </c>
      <c r="C29" s="46" t="str">
        <f>IF('5Capital Costs'!C30&lt;&gt;"", '5Capital Costs'!C30, "")</f>
        <v/>
      </c>
      <c r="D29" s="47" t="str">
        <f>IF('5Capital Costs'!D30&lt;&gt;"", '5Capital Costs'!D30, "")</f>
        <v/>
      </c>
      <c r="E29" s="27" t="str">
        <f>IF($A29&lt;&gt;"", (IF('5Replacement Costs - Entry'!J30="Y",((($B29*$D29)*((1+$B$5)^E$7))*(1/((1+$F$5)^E$7))),0)), "")</f>
        <v/>
      </c>
      <c r="F29" s="27" t="str">
        <f>IF($A29&lt;&gt;"", (IF('5Replacement Costs - Entry'!K30="Y",((($B29*$D29)*((1+$B$5)^F$7))*(1/((1+$F$5)^F$7))),0)), "")</f>
        <v/>
      </c>
      <c r="G29" s="27" t="str">
        <f>IF($A29&lt;&gt;"", (IF('5Replacement Costs - Entry'!L30="Y",((($B29*$D29)*((1+$B$5)^G$7))*(1/((1+$F$5)^G$7))),0)), "")</f>
        <v/>
      </c>
      <c r="H29" s="27" t="str">
        <f>IF($A29&lt;&gt;"", (IF('5Replacement Costs - Entry'!M30="Y",((($B29*$D29)*((1+$B$5)^H$7))*(1/((1+$F$5)^H$7))),0)), "")</f>
        <v/>
      </c>
      <c r="I29" s="27" t="str">
        <f>IF($A29&lt;&gt;"", (IF('5Replacement Costs - Entry'!N30="Y",((($B29*$D29)*((1+$B$5)^I$7))*(1/((1+$F$5)^I$7))),0)), "")</f>
        <v/>
      </c>
    </row>
    <row r="30" spans="1:9">
      <c r="A30" s="29" t="str">
        <f>IF('5Capital Costs'!A31&lt;&gt;"", '5Capital Costs'!A31, "")</f>
        <v/>
      </c>
      <c r="B30" s="3" t="str">
        <f>IF('5Capital Costs'!B31&lt;&gt;"", '5Capital Costs'!B31, "")</f>
        <v/>
      </c>
      <c r="C30" s="46" t="str">
        <f>IF('5Capital Costs'!C31&lt;&gt;"", '5Capital Costs'!C31, "")</f>
        <v/>
      </c>
      <c r="D30" s="47" t="str">
        <f>IF('5Capital Costs'!D31&lt;&gt;"", '5Capital Costs'!D31, "")</f>
        <v/>
      </c>
      <c r="E30" s="27" t="str">
        <f>IF($A30&lt;&gt;"", (IF('5Replacement Costs - Entry'!J31="Y",((($B30*$D30)*((1+$B$5)^E$7))*(1/((1+$F$5)^E$7))),0)), "")</f>
        <v/>
      </c>
      <c r="F30" s="27" t="str">
        <f>IF($A30&lt;&gt;"", (IF('5Replacement Costs - Entry'!K31="Y",((($B30*$D30)*((1+$B$5)^F$7))*(1/((1+$F$5)^F$7))),0)), "")</f>
        <v/>
      </c>
      <c r="G30" s="27" t="str">
        <f>IF($A30&lt;&gt;"", (IF('5Replacement Costs - Entry'!L31="Y",((($B30*$D30)*((1+$B$5)^G$7))*(1/((1+$F$5)^G$7))),0)), "")</f>
        <v/>
      </c>
      <c r="H30" s="27" t="str">
        <f>IF($A30&lt;&gt;"", (IF('5Replacement Costs - Entry'!M31="Y",((($B30*$D30)*((1+$B$5)^H$7))*(1/((1+$F$5)^H$7))),0)), "")</f>
        <v/>
      </c>
      <c r="I30" s="27" t="str">
        <f>IF($A30&lt;&gt;"", (IF('5Replacement Costs - Entry'!N31="Y",((($B30*$D30)*((1+$B$5)^I$7))*(1/((1+$F$5)^I$7))),0)), "")</f>
        <v/>
      </c>
    </row>
    <row r="31" spans="1:9">
      <c r="A31" s="29" t="str">
        <f>IF('5Capital Costs'!A32&lt;&gt;"", '5Capital Costs'!A32, "")</f>
        <v/>
      </c>
      <c r="B31" s="3" t="str">
        <f>IF('5Capital Costs'!B32&lt;&gt;"", '5Capital Costs'!B32, "")</f>
        <v/>
      </c>
      <c r="C31" s="46" t="str">
        <f>IF('5Capital Costs'!C32&lt;&gt;"", '5Capital Costs'!C32, "")</f>
        <v/>
      </c>
      <c r="D31" s="47" t="str">
        <f>IF('5Capital Costs'!D32&lt;&gt;"", '5Capital Costs'!D32, "")</f>
        <v/>
      </c>
      <c r="E31" s="27" t="str">
        <f>IF($A31&lt;&gt;"", (IF('5Replacement Costs - Entry'!J32="Y",((($B31*$D31)*((1+$B$5)^E$7))*(1/((1+$F$5)^E$7))),0)), "")</f>
        <v/>
      </c>
      <c r="F31" s="27" t="str">
        <f>IF($A31&lt;&gt;"", (IF('5Replacement Costs - Entry'!K32="Y",((($B31*$D31)*((1+$B$5)^F$7))*(1/((1+$F$5)^F$7))),0)), "")</f>
        <v/>
      </c>
      <c r="G31" s="27" t="str">
        <f>IF($A31&lt;&gt;"", (IF('5Replacement Costs - Entry'!L32="Y",((($B31*$D31)*((1+$B$5)^G$7))*(1/((1+$F$5)^G$7))),0)), "")</f>
        <v/>
      </c>
      <c r="H31" s="27" t="str">
        <f>IF($A31&lt;&gt;"", (IF('5Replacement Costs - Entry'!M32="Y",((($B31*$D31)*((1+$B$5)^H$7))*(1/((1+$F$5)^H$7))),0)), "")</f>
        <v/>
      </c>
      <c r="I31" s="27" t="str">
        <f>IF($A31&lt;&gt;"", (IF('5Replacement Costs - Entry'!N32="Y",((($B31*$D31)*((1+$B$5)^I$7))*(1/((1+$F$5)^I$7))),0)), "")</f>
        <v/>
      </c>
    </row>
    <row r="32" spans="1:9">
      <c r="A32" s="29" t="str">
        <f>IF('5Capital Costs'!A33&lt;&gt;"", '5Capital Costs'!A33, "")</f>
        <v/>
      </c>
      <c r="B32" s="3" t="str">
        <f>IF('5Capital Costs'!B33&lt;&gt;"", '5Capital Costs'!B33, "")</f>
        <v/>
      </c>
      <c r="C32" s="46" t="str">
        <f>IF('5Capital Costs'!C33&lt;&gt;"", '5Capital Costs'!C33, "")</f>
        <v/>
      </c>
      <c r="D32" s="47" t="str">
        <f>IF('5Capital Costs'!D33&lt;&gt;"", '5Capital Costs'!D33, "")</f>
        <v/>
      </c>
      <c r="E32" s="27" t="str">
        <f>IF($A32&lt;&gt;"", (IF('5Replacement Costs - Entry'!J33="Y",((($B32*$D32)*((1+$B$5)^E$7))*(1/((1+$F$5)^E$7))),0)), "")</f>
        <v/>
      </c>
      <c r="F32" s="27" t="str">
        <f>IF($A32&lt;&gt;"", (IF('5Replacement Costs - Entry'!K33="Y",((($B32*$D32)*((1+$B$5)^F$7))*(1/((1+$F$5)^F$7))),0)), "")</f>
        <v/>
      </c>
      <c r="G32" s="27" t="str">
        <f>IF($A32&lt;&gt;"", (IF('5Replacement Costs - Entry'!L33="Y",((($B32*$D32)*((1+$B$5)^G$7))*(1/((1+$F$5)^G$7))),0)), "")</f>
        <v/>
      </c>
      <c r="H32" s="27" t="str">
        <f>IF($A32&lt;&gt;"", (IF('5Replacement Costs - Entry'!M33="Y",((($B32*$D32)*((1+$B$5)^H$7))*(1/((1+$F$5)^H$7))),0)), "")</f>
        <v/>
      </c>
      <c r="I32" s="27" t="str">
        <f>IF($A32&lt;&gt;"", (IF('5Replacement Costs - Entry'!N33="Y",((($B32*$D32)*((1+$B$5)^I$7))*(1/((1+$F$5)^I$7))),0)), "")</f>
        <v/>
      </c>
    </row>
    <row r="33" spans="1:9">
      <c r="A33" s="29" t="str">
        <f>IF('5Capital Costs'!A34&lt;&gt;"", '5Capital Costs'!A34, "")</f>
        <v/>
      </c>
      <c r="B33" s="3" t="str">
        <f>IF('5Capital Costs'!B34&lt;&gt;"", '5Capital Costs'!B34, "")</f>
        <v/>
      </c>
      <c r="C33" s="46" t="str">
        <f>IF('5Capital Costs'!C34&lt;&gt;"", '5Capital Costs'!C34, "")</f>
        <v/>
      </c>
      <c r="D33" s="47" t="str">
        <f>IF('5Capital Costs'!D34&lt;&gt;"", '5Capital Costs'!D34, "")</f>
        <v/>
      </c>
      <c r="E33" s="27" t="str">
        <f>IF($A33&lt;&gt;"", (IF('5Replacement Costs - Entry'!J34="Y",((($B33*$D33)*((1+$B$5)^E$7))*(1/((1+$F$5)^E$7))),0)), "")</f>
        <v/>
      </c>
      <c r="F33" s="27" t="str">
        <f>IF($A33&lt;&gt;"", (IF('5Replacement Costs - Entry'!K34="Y",((($B33*$D33)*((1+$B$5)^F$7))*(1/((1+$F$5)^F$7))),0)), "")</f>
        <v/>
      </c>
      <c r="G33" s="27" t="str">
        <f>IF($A33&lt;&gt;"", (IF('5Replacement Costs - Entry'!L34="Y",((($B33*$D33)*((1+$B$5)^G$7))*(1/((1+$F$5)^G$7))),0)), "")</f>
        <v/>
      </c>
      <c r="H33" s="27" t="str">
        <f>IF($A33&lt;&gt;"", (IF('5Replacement Costs - Entry'!M34="Y",((($B33*$D33)*((1+$B$5)^H$7))*(1/((1+$F$5)^H$7))),0)), "")</f>
        <v/>
      </c>
      <c r="I33" s="27" t="str">
        <f>IF($A33&lt;&gt;"", (IF('5Replacement Costs - Entry'!N34="Y",((($B33*$D33)*((1+$B$5)^I$7))*(1/((1+$F$5)^I$7))),0)), "")</f>
        <v/>
      </c>
    </row>
    <row r="34" spans="1:9">
      <c r="A34" s="29" t="str">
        <f>IF('5Capital Costs'!A35&lt;&gt;"", '5Capital Costs'!A35, "")</f>
        <v/>
      </c>
      <c r="B34" s="3" t="str">
        <f>IF('5Capital Costs'!B35&lt;&gt;"", '5Capital Costs'!B35, "")</f>
        <v/>
      </c>
      <c r="C34" s="46" t="str">
        <f>IF('5Capital Costs'!C35&lt;&gt;"", '5Capital Costs'!C35, "")</f>
        <v/>
      </c>
      <c r="D34" s="47" t="str">
        <f>IF('5Capital Costs'!D35&lt;&gt;"", '5Capital Costs'!D35, "")</f>
        <v/>
      </c>
      <c r="E34" s="27" t="str">
        <f>IF($A34&lt;&gt;"", (IF('5Replacement Costs - Entry'!J35="Y",((($B34*$D34)*((1+$B$5)^E$7))*(1/((1+$F$5)^E$7))),0)), "")</f>
        <v/>
      </c>
      <c r="F34" s="27" t="str">
        <f>IF($A34&lt;&gt;"", (IF('5Replacement Costs - Entry'!K35="Y",((($B34*$D34)*((1+$B$5)^F$7))*(1/((1+$F$5)^F$7))),0)), "")</f>
        <v/>
      </c>
      <c r="G34" s="27" t="str">
        <f>IF($A34&lt;&gt;"", (IF('5Replacement Costs - Entry'!L35="Y",((($B34*$D34)*((1+$B$5)^G$7))*(1/((1+$F$5)^G$7))),0)), "")</f>
        <v/>
      </c>
      <c r="H34" s="27" t="str">
        <f>IF($A34&lt;&gt;"", (IF('5Replacement Costs - Entry'!M35="Y",((($B34*$D34)*((1+$B$5)^H$7))*(1/((1+$F$5)^H$7))),0)), "")</f>
        <v/>
      </c>
      <c r="I34" s="27" t="str">
        <f>IF($A34&lt;&gt;"", (IF('5Replacement Costs - Entry'!N35="Y",((($B34*$D34)*((1+$B$5)^I$7))*(1/((1+$F$5)^I$7))),0)), "")</f>
        <v/>
      </c>
    </row>
    <row r="35" spans="1:9">
      <c r="A35" s="29" t="str">
        <f>IF('5Capital Costs'!A36&lt;&gt;"", '5Capital Costs'!A36, "")</f>
        <v/>
      </c>
      <c r="B35" s="3" t="str">
        <f>IF('5Capital Costs'!B36&lt;&gt;"", '5Capital Costs'!B36, "")</f>
        <v/>
      </c>
      <c r="C35" s="46" t="str">
        <f>IF('5Capital Costs'!C36&lt;&gt;"", '5Capital Costs'!C36, "")</f>
        <v/>
      </c>
      <c r="D35" s="47" t="str">
        <f>IF('5Capital Costs'!D36&lt;&gt;"", '5Capital Costs'!D36, "")</f>
        <v/>
      </c>
      <c r="E35" s="27" t="str">
        <f>IF($A35&lt;&gt;"", (IF('5Replacement Costs - Entry'!J36="Y",((($B35*$D35)*((1+$B$5)^E$7))*(1/((1+$F$5)^E$7))),0)), "")</f>
        <v/>
      </c>
      <c r="F35" s="27" t="str">
        <f>IF($A35&lt;&gt;"", (IF('5Replacement Costs - Entry'!K36="Y",((($B35*$D35)*((1+$B$5)^F$7))*(1/((1+$F$5)^F$7))),0)), "")</f>
        <v/>
      </c>
      <c r="G35" s="27" t="str">
        <f>IF($A35&lt;&gt;"", (IF('5Replacement Costs - Entry'!L36="Y",((($B35*$D35)*((1+$B$5)^G$7))*(1/((1+$F$5)^G$7))),0)), "")</f>
        <v/>
      </c>
      <c r="H35" s="27" t="str">
        <f>IF($A35&lt;&gt;"", (IF('5Replacement Costs - Entry'!M36="Y",((($B35*$D35)*((1+$B$5)^H$7))*(1/((1+$F$5)^H$7))),0)), "")</f>
        <v/>
      </c>
      <c r="I35" s="27" t="str">
        <f>IF($A35&lt;&gt;"", (IF('5Replacement Costs - Entry'!N36="Y",((($B35*$D35)*((1+$B$5)^I$7))*(1/((1+$F$5)^I$7))),0)), "")</f>
        <v/>
      </c>
    </row>
    <row r="36" spans="1:9">
      <c r="A36" s="29" t="str">
        <f>IF('5Capital Costs'!A37&lt;&gt;"", '5Capital Costs'!A37, "")</f>
        <v/>
      </c>
      <c r="B36" s="3" t="str">
        <f>IF('5Capital Costs'!B37&lt;&gt;"", '5Capital Costs'!B37, "")</f>
        <v/>
      </c>
      <c r="C36" s="46" t="str">
        <f>IF('5Capital Costs'!C37&lt;&gt;"", '5Capital Costs'!C37, "")</f>
        <v/>
      </c>
      <c r="D36" s="47" t="str">
        <f>IF('5Capital Costs'!D37&lt;&gt;"", '5Capital Costs'!D37, "")</f>
        <v/>
      </c>
      <c r="E36" s="27" t="str">
        <f>IF($A36&lt;&gt;"", (IF('5Replacement Costs - Entry'!J37="Y",((($B36*$D36)*((1+$B$5)^E$7))*(1/((1+$F$5)^E$7))),0)), "")</f>
        <v/>
      </c>
      <c r="F36" s="27" t="str">
        <f>IF($A36&lt;&gt;"", (IF('5Replacement Costs - Entry'!K37="Y",((($B36*$D36)*((1+$B$5)^F$7))*(1/((1+$F$5)^F$7))),0)), "")</f>
        <v/>
      </c>
      <c r="G36" s="27" t="str">
        <f>IF($A36&lt;&gt;"", (IF('5Replacement Costs - Entry'!L37="Y",((($B36*$D36)*((1+$B$5)^G$7))*(1/((1+$F$5)^G$7))),0)), "")</f>
        <v/>
      </c>
      <c r="H36" s="27" t="str">
        <f>IF($A36&lt;&gt;"", (IF('5Replacement Costs - Entry'!M37="Y",((($B36*$D36)*((1+$B$5)^H$7))*(1/((1+$F$5)^H$7))),0)), "")</f>
        <v/>
      </c>
      <c r="I36" s="27" t="str">
        <f>IF($A36&lt;&gt;"", (IF('5Replacement Costs - Entry'!N37="Y",((($B36*$D36)*((1+$B$5)^I$7))*(1/((1+$F$5)^I$7))),0)), "")</f>
        <v/>
      </c>
    </row>
    <row r="37" spans="1:9">
      <c r="A37" s="23"/>
      <c r="B37" s="23"/>
      <c r="C37" s="23"/>
      <c r="D37" s="36" t="s">
        <v>49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5" fitToWidth="4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176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6">
        <f>'5Capital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74" t="str">
        <f>'5Replace Costs - Results 1-5'!A5</f>
        <v>Current Inflation Rate based on Construction Cost Index:</v>
      </c>
      <c r="B5" s="75">
        <f>'5Replace Costs - Results 1-5'!B5</f>
        <v>2.0671834625323047E-2</v>
      </c>
      <c r="C5" s="73"/>
      <c r="D5" s="73"/>
      <c r="E5" s="70" t="s">
        <v>43</v>
      </c>
      <c r="F5" s="72">
        <f>'5Replace Costs - Results 1-5'!F5</f>
        <v>4.8750000000000002E-2</v>
      </c>
      <c r="G5" s="48"/>
      <c r="H5" s="48"/>
      <c r="I5" s="49"/>
    </row>
    <row r="6" spans="1:9">
      <c r="A6" s="38"/>
      <c r="B6" s="41"/>
      <c r="C6" s="41"/>
      <c r="D6" s="41"/>
      <c r="E6" s="155" t="s">
        <v>44</v>
      </c>
      <c r="F6" s="156"/>
      <c r="G6" s="156"/>
      <c r="H6" s="156"/>
      <c r="I6" s="157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6</v>
      </c>
      <c r="F7" s="26">
        <v>7</v>
      </c>
      <c r="G7" s="26">
        <v>8</v>
      </c>
      <c r="H7" s="26">
        <v>9</v>
      </c>
      <c r="I7" s="26">
        <v>10</v>
      </c>
    </row>
    <row r="8" spans="1:9">
      <c r="A8" s="29" t="str">
        <f>IF('5Capital Costs'!A9&lt;&gt;"", '5Capital Costs'!A9, "")</f>
        <v/>
      </c>
      <c r="B8" s="3" t="str">
        <f>IF('5Capital Costs'!B9&lt;&gt;"", '5Capital Costs'!B9, "")</f>
        <v/>
      </c>
      <c r="C8" s="46" t="str">
        <f>IF('5Capital Costs'!C9&lt;&gt;"", '5Capital Costs'!C9, "")</f>
        <v/>
      </c>
      <c r="D8" s="47" t="str">
        <f>IF('5Capital Costs'!D9&lt;&gt;"", '5Capital Costs'!D9, "")</f>
        <v/>
      </c>
      <c r="E8" s="27" t="str">
        <f>IF($A8&lt;&gt;"", (IF('5Replacement Costs - Entry'!O9="Y",((($B8*$D8)*((1+$B$5)^E$7))*(1/((1+$F$5)^E$7))),0)), "")</f>
        <v/>
      </c>
      <c r="F8" s="27" t="str">
        <f>IF($A8&lt;&gt;"", (IF('5Replacement Costs - Entry'!P9="Y",((($B8*$D8)*((1+$B$5)^F$7))*(1/((1+$F$5)^F$7))),0)), "")</f>
        <v/>
      </c>
      <c r="G8" s="27" t="str">
        <f>IF($A8&lt;&gt;"", (IF('5Replacement Costs - Entry'!Q9="Y",((($B8*$D8)*((1+$B$5)^G$7))*(1/((1+$F$5)^G$7))),0)), "")</f>
        <v/>
      </c>
      <c r="H8" s="27" t="str">
        <f>IF($A8&lt;&gt;"", (IF('5Replacement Costs - Entry'!R9="Y",((($B8*$D8)*((1+$B$5)^H$7))*(1/((1+$F$5)^H$7))),0)), "")</f>
        <v/>
      </c>
      <c r="I8" s="27" t="str">
        <f>IF($A8&lt;&gt;"", (IF('5Replacement Costs - Entry'!S9="Y",((($B8*$D8)*((1+$B$5)^I$7))*(1/((1+$F$5)^I$7))),0)), "")</f>
        <v/>
      </c>
    </row>
    <row r="9" spans="1:9">
      <c r="A9" s="29" t="str">
        <f>IF('5Capital Costs'!A10&lt;&gt;"", '5Capital Costs'!A10, "")</f>
        <v/>
      </c>
      <c r="B9" s="3" t="str">
        <f>IF('5Capital Costs'!B10&lt;&gt;"", '5Capital Costs'!B10, "")</f>
        <v/>
      </c>
      <c r="C9" s="46" t="str">
        <f>IF('5Capital Costs'!C10&lt;&gt;"", '5Capital Costs'!C10, "")</f>
        <v/>
      </c>
      <c r="D9" s="47" t="str">
        <f>IF('5Capital Costs'!D10&lt;&gt;"", '5Capital Costs'!D10, "")</f>
        <v/>
      </c>
      <c r="E9" s="27" t="str">
        <f>IF($A9&lt;&gt;"", (IF('5Replacement Costs - Entry'!O10="Y",((($B9*$D9)*((1+$B$5)^E$7))*(1/((1+$F$5)^E$7))),0)), "")</f>
        <v/>
      </c>
      <c r="F9" s="27" t="str">
        <f>IF($A9&lt;&gt;"", (IF('5Replacement Costs - Entry'!P10="Y",((($B9*$D9)*((1+$B$5)^F$7))*(1/((1+$F$5)^F$7))),0)), "")</f>
        <v/>
      </c>
      <c r="G9" s="27" t="str">
        <f>IF($A9&lt;&gt;"", (IF('5Replacement Costs - Entry'!Q10="Y",((($B9*$D9)*((1+$B$5)^G$7))*(1/((1+$F$5)^G$7))),0)), "")</f>
        <v/>
      </c>
      <c r="H9" s="27" t="str">
        <f>IF($A9&lt;&gt;"", (IF('5Replacement Costs - Entry'!R10="Y",((($B9*$D9)*((1+$B$5)^H$7))*(1/((1+$F$5)^H$7))),0)), "")</f>
        <v/>
      </c>
      <c r="I9" s="27" t="str">
        <f>IF($A9&lt;&gt;"", (IF('5Replacement Costs - Entry'!S10="Y",((($B9*$D9)*((1+$B$5)^I$7))*(1/((1+$F$5)^I$7))),0)), "")</f>
        <v/>
      </c>
    </row>
    <row r="10" spans="1:9">
      <c r="A10" s="29" t="str">
        <f>IF('5Capital Costs'!A11&lt;&gt;"", '5Capital Costs'!A11, "")</f>
        <v/>
      </c>
      <c r="B10" s="3" t="str">
        <f>IF('5Capital Costs'!B11&lt;&gt;"", '5Capital Costs'!B11, "")</f>
        <v/>
      </c>
      <c r="C10" s="46" t="str">
        <f>IF('5Capital Costs'!C11&lt;&gt;"", '5Capital Costs'!C11, "")</f>
        <v/>
      </c>
      <c r="D10" s="47" t="str">
        <f>IF('5Capital Costs'!D11&lt;&gt;"", '5Capital Costs'!D11, "")</f>
        <v/>
      </c>
      <c r="E10" s="27" t="str">
        <f>IF($A10&lt;&gt;"", (IF('5Replacement Costs - Entry'!O11="Y",((($B10*$D10)*((1+$B$5)^E$7))*(1/((1+$F$5)^E$7))),0)), "")</f>
        <v/>
      </c>
      <c r="F10" s="27" t="str">
        <f>IF($A10&lt;&gt;"", (IF('5Replacement Costs - Entry'!P11="Y",((($B10*$D10)*((1+$B$5)^F$7))*(1/((1+$F$5)^F$7))),0)), "")</f>
        <v/>
      </c>
      <c r="G10" s="27" t="str">
        <f>IF($A10&lt;&gt;"", (IF('5Replacement Costs - Entry'!Q11="Y",((($B10*$D10)*((1+$B$5)^G$7))*(1/((1+$F$5)^G$7))),0)), "")</f>
        <v/>
      </c>
      <c r="H10" s="27" t="str">
        <f>IF($A10&lt;&gt;"", (IF('5Replacement Costs - Entry'!R11="Y",((($B10*$D10)*((1+$B$5)^H$7))*(1/((1+$F$5)^H$7))),0)), "")</f>
        <v/>
      </c>
      <c r="I10" s="27" t="str">
        <f>IF($A10&lt;&gt;"", (IF('5Replacement Costs - Entry'!S11="Y",((($B10*$D10)*((1+$B$5)^I$7))*(1/((1+$F$5)^I$7))),0)), "")</f>
        <v/>
      </c>
    </row>
    <row r="11" spans="1:9">
      <c r="A11" s="29" t="str">
        <f>IF('5Capital Costs'!A12&lt;&gt;"", '5Capital Costs'!A12, "")</f>
        <v/>
      </c>
      <c r="B11" s="3" t="str">
        <f>IF('5Capital Costs'!B12&lt;&gt;"", '5Capital Costs'!B12, "")</f>
        <v/>
      </c>
      <c r="C11" s="46" t="str">
        <f>IF('5Capital Costs'!C12&lt;&gt;"", '5Capital Costs'!C12, "")</f>
        <v/>
      </c>
      <c r="D11" s="47" t="str">
        <f>IF('5Capital Costs'!D12&lt;&gt;"", '5Capital Costs'!D12, "")</f>
        <v/>
      </c>
      <c r="E11" s="27" t="str">
        <f>IF($A11&lt;&gt;"", (IF('5Replacement Costs - Entry'!O12="Y",((($B11*$D11)*((1+$B$5)^E$7))*(1/((1+$F$5)^E$7))),0)), "")</f>
        <v/>
      </c>
      <c r="F11" s="27" t="str">
        <f>IF($A11&lt;&gt;"", (IF('5Replacement Costs - Entry'!P12="Y",((($B11*$D11)*((1+$B$5)^F$7))*(1/((1+$F$5)^F$7))),0)), "")</f>
        <v/>
      </c>
      <c r="G11" s="27" t="str">
        <f>IF($A11&lt;&gt;"", (IF('5Replacement Costs - Entry'!Q12="Y",((($B11*$D11)*((1+$B$5)^G$7))*(1/((1+$F$5)^G$7))),0)), "")</f>
        <v/>
      </c>
      <c r="H11" s="27" t="str">
        <f>IF($A11&lt;&gt;"", (IF('5Replacement Costs - Entry'!R12="Y",((($B11*$D11)*((1+$B$5)^H$7))*(1/((1+$F$5)^H$7))),0)), "")</f>
        <v/>
      </c>
      <c r="I11" s="27" t="str">
        <f>IF($A11&lt;&gt;"", (IF('5Replacement Costs - Entry'!S12="Y",((($B11*$D11)*((1+$B$5)^I$7))*(1/((1+$F$5)^I$7))),0)), "")</f>
        <v/>
      </c>
    </row>
    <row r="12" spans="1:9">
      <c r="A12" s="29" t="str">
        <f>IF('5Capital Costs'!A13&lt;&gt;"", '5Capital Costs'!A13, "")</f>
        <v/>
      </c>
      <c r="B12" s="3" t="str">
        <f>IF('5Capital Costs'!B13&lt;&gt;"", '5Capital Costs'!B13, "")</f>
        <v/>
      </c>
      <c r="C12" s="46" t="str">
        <f>IF('5Capital Costs'!C13&lt;&gt;"", '5Capital Costs'!C13, "")</f>
        <v/>
      </c>
      <c r="D12" s="47" t="str">
        <f>IF('5Capital Costs'!D13&lt;&gt;"", '5Capital Costs'!D13, "")</f>
        <v/>
      </c>
      <c r="E12" s="27" t="str">
        <f>IF($A12&lt;&gt;"", (IF('5Replacement Costs - Entry'!O13="Y",((($B12*$D12)*((1+$B$5)^E$7))*(1/((1+$F$5)^E$7))),0)), "")</f>
        <v/>
      </c>
      <c r="F12" s="27" t="str">
        <f>IF($A12&lt;&gt;"", (IF('5Replacement Costs - Entry'!P13="Y",((($B12*$D12)*((1+$B$5)^F$7))*(1/((1+$F$5)^F$7))),0)), "")</f>
        <v/>
      </c>
      <c r="G12" s="27" t="str">
        <f>IF($A12&lt;&gt;"", (IF('5Replacement Costs - Entry'!Q13="Y",((($B12*$D12)*((1+$B$5)^G$7))*(1/((1+$F$5)^G$7))),0)), "")</f>
        <v/>
      </c>
      <c r="H12" s="27" t="str">
        <f>IF($A12&lt;&gt;"", (IF('5Replacement Costs - Entry'!R13="Y",((($B12*$D12)*((1+$B$5)^H$7))*(1/((1+$F$5)^H$7))),0)), "")</f>
        <v/>
      </c>
      <c r="I12" s="27" t="str">
        <f>IF($A12&lt;&gt;"", (IF('5Replacement Costs - Entry'!S13="Y",((($B12*$D12)*((1+$B$5)^I$7))*(1/((1+$F$5)^I$7))),0)), "")</f>
        <v/>
      </c>
    </row>
    <row r="13" spans="1:9">
      <c r="A13" s="29" t="str">
        <f>IF('5Capital Costs'!A14&lt;&gt;"", '5Capital Costs'!A14, "")</f>
        <v/>
      </c>
      <c r="B13" s="3" t="str">
        <f>IF('5Capital Costs'!B14&lt;&gt;"", '5Capital Costs'!B14, "")</f>
        <v/>
      </c>
      <c r="C13" s="46" t="str">
        <f>IF('5Capital Costs'!C14&lt;&gt;"", '5Capital Costs'!C14, "")</f>
        <v/>
      </c>
      <c r="D13" s="47" t="str">
        <f>IF('5Capital Costs'!D14&lt;&gt;"", '5Capital Costs'!D14, "")</f>
        <v/>
      </c>
      <c r="E13" s="27" t="str">
        <f>IF($A13&lt;&gt;"", (IF('5Replacement Costs - Entry'!O14="Y",((($B13*$D13)*((1+$B$5)^E$7))*(1/((1+$F$5)^E$7))),0)), "")</f>
        <v/>
      </c>
      <c r="F13" s="27" t="str">
        <f>IF($A13&lt;&gt;"", (IF('5Replacement Costs - Entry'!P14="Y",((($B13*$D13)*((1+$B$5)^F$7))*(1/((1+$F$5)^F$7))),0)), "")</f>
        <v/>
      </c>
      <c r="G13" s="27" t="str">
        <f>IF($A13&lt;&gt;"", (IF('5Replacement Costs - Entry'!Q14="Y",((($B13*$D13)*((1+$B$5)^G$7))*(1/((1+$F$5)^G$7))),0)), "")</f>
        <v/>
      </c>
      <c r="H13" s="27" t="str">
        <f>IF($A13&lt;&gt;"", (IF('5Replacement Costs - Entry'!R14="Y",((($B13*$D13)*((1+$B$5)^H$7))*(1/((1+$F$5)^H$7))),0)), "")</f>
        <v/>
      </c>
      <c r="I13" s="27" t="str">
        <f>IF($A13&lt;&gt;"", (IF('5Replacement Costs - Entry'!S14="Y",((($B13*$D13)*((1+$B$5)^I$7))*(1/((1+$F$5)^I$7))),0)), "")</f>
        <v/>
      </c>
    </row>
    <row r="14" spans="1:9">
      <c r="A14" s="29" t="str">
        <f>IF('5Capital Costs'!A15&lt;&gt;"", '5Capital Costs'!A15, "")</f>
        <v/>
      </c>
      <c r="B14" s="3" t="str">
        <f>IF('5Capital Costs'!B15&lt;&gt;"", '5Capital Costs'!B15, "")</f>
        <v/>
      </c>
      <c r="C14" s="46" t="str">
        <f>IF('5Capital Costs'!C15&lt;&gt;"", '5Capital Costs'!C15, "")</f>
        <v/>
      </c>
      <c r="D14" s="47" t="str">
        <f>IF('5Capital Costs'!D15&lt;&gt;"", '5Capital Costs'!D15, "")</f>
        <v/>
      </c>
      <c r="E14" s="27" t="str">
        <f>IF($A14&lt;&gt;"", (IF('5Replacement Costs - Entry'!O15="Y",((($B14*$D14)*((1+$B$5)^E$7))*(1/((1+$F$5)^E$7))),0)), "")</f>
        <v/>
      </c>
      <c r="F14" s="27" t="str">
        <f>IF($A14&lt;&gt;"", (IF('5Replacement Costs - Entry'!P15="Y",((($B14*$D14)*((1+$B$5)^F$7))*(1/((1+$F$5)^F$7))),0)), "")</f>
        <v/>
      </c>
      <c r="G14" s="27" t="str">
        <f>IF($A14&lt;&gt;"", (IF('5Replacement Costs - Entry'!Q15="Y",((($B14*$D14)*((1+$B$5)^G$7))*(1/((1+$F$5)^G$7))),0)), "")</f>
        <v/>
      </c>
      <c r="H14" s="27" t="str">
        <f>IF($A14&lt;&gt;"", (IF('5Replacement Costs - Entry'!R15="Y",((($B14*$D14)*((1+$B$5)^H$7))*(1/((1+$F$5)^H$7))),0)), "")</f>
        <v/>
      </c>
      <c r="I14" s="27" t="str">
        <f>IF($A14&lt;&gt;"", (IF('5Replacement Costs - Entry'!S15="Y",((($B14*$D14)*((1+$B$5)^I$7))*(1/((1+$F$5)^I$7))),0)), "")</f>
        <v/>
      </c>
    </row>
    <row r="15" spans="1:9">
      <c r="A15" s="29" t="str">
        <f>IF('5Capital Costs'!A16&lt;&gt;"", '5Capital Costs'!A16, "")</f>
        <v/>
      </c>
      <c r="B15" s="3" t="str">
        <f>IF('5Capital Costs'!B16&lt;&gt;"", '5Capital Costs'!B16, "")</f>
        <v/>
      </c>
      <c r="C15" s="46" t="str">
        <f>IF('5Capital Costs'!C16&lt;&gt;"", '5Capital Costs'!C16, "")</f>
        <v/>
      </c>
      <c r="D15" s="47" t="str">
        <f>IF('5Capital Costs'!D16&lt;&gt;"", '5Capital Costs'!D16, "")</f>
        <v/>
      </c>
      <c r="E15" s="27" t="str">
        <f>IF($A15&lt;&gt;"", (IF('5Replacement Costs - Entry'!O16="Y",((($B15*$D15)*((1+$B$5)^E$7))*(1/((1+$F$5)^E$7))),0)), "")</f>
        <v/>
      </c>
      <c r="F15" s="27" t="str">
        <f>IF($A15&lt;&gt;"", (IF('5Replacement Costs - Entry'!P16="Y",((($B15*$D15)*((1+$B$5)^F$7))*(1/((1+$F$5)^F$7))),0)), "")</f>
        <v/>
      </c>
      <c r="G15" s="27" t="str">
        <f>IF($A15&lt;&gt;"", (IF('5Replacement Costs - Entry'!Q16="Y",((($B15*$D15)*((1+$B$5)^G$7))*(1/((1+$F$5)^G$7))),0)), "")</f>
        <v/>
      </c>
      <c r="H15" s="27" t="str">
        <f>IF($A15&lt;&gt;"", (IF('5Replacement Costs - Entry'!R16="Y",((($B15*$D15)*((1+$B$5)^H$7))*(1/((1+$F$5)^H$7))),0)), "")</f>
        <v/>
      </c>
      <c r="I15" s="27" t="str">
        <f>IF($A15&lt;&gt;"", (IF('5Replacement Costs - Entry'!S16="Y",((($B15*$D15)*((1+$B$5)^I$7))*(1/((1+$F$5)^I$7))),0)), "")</f>
        <v/>
      </c>
    </row>
    <row r="16" spans="1:9">
      <c r="A16" s="29" t="str">
        <f>IF('5Capital Costs'!A17&lt;&gt;"", '5Capital Costs'!A17, "")</f>
        <v/>
      </c>
      <c r="B16" s="3" t="str">
        <f>IF('5Capital Costs'!B17&lt;&gt;"", '5Capital Costs'!B17, "")</f>
        <v/>
      </c>
      <c r="C16" s="46" t="str">
        <f>IF('5Capital Costs'!C17&lt;&gt;"", '5Capital Costs'!C17, "")</f>
        <v/>
      </c>
      <c r="D16" s="47" t="str">
        <f>IF('5Capital Costs'!D17&lt;&gt;"", '5Capital Costs'!D17, "")</f>
        <v/>
      </c>
      <c r="E16" s="27" t="str">
        <f>IF($A16&lt;&gt;"", (IF('5Replacement Costs - Entry'!O17="Y",((($B16*$D16)*((1+$B$5)^E$7))*(1/((1+$F$5)^E$7))),0)), "")</f>
        <v/>
      </c>
      <c r="F16" s="27" t="str">
        <f>IF($A16&lt;&gt;"", (IF('5Replacement Costs - Entry'!P17="Y",((($B16*$D16)*((1+$B$5)^F$7))*(1/((1+$F$5)^F$7))),0)), "")</f>
        <v/>
      </c>
      <c r="G16" s="27" t="str">
        <f>IF($A16&lt;&gt;"", (IF('5Replacement Costs - Entry'!Q17="Y",((($B16*$D16)*((1+$B$5)^G$7))*(1/((1+$F$5)^G$7))),0)), "")</f>
        <v/>
      </c>
      <c r="H16" s="27" t="str">
        <f>IF($A16&lt;&gt;"", (IF('5Replacement Costs - Entry'!R17="Y",((($B16*$D16)*((1+$B$5)^H$7))*(1/((1+$F$5)^H$7))),0)), "")</f>
        <v/>
      </c>
      <c r="I16" s="27" t="str">
        <f>IF($A16&lt;&gt;"", (IF('5Replacement Costs - Entry'!S17="Y",((($B16*$D16)*((1+$B$5)^I$7))*(1/((1+$F$5)^I$7))),0)), "")</f>
        <v/>
      </c>
    </row>
    <row r="17" spans="1:9">
      <c r="A17" s="29" t="str">
        <f>IF('5Capital Costs'!A18&lt;&gt;"", '5Capital Costs'!A18, "")</f>
        <v/>
      </c>
      <c r="B17" s="3" t="str">
        <f>IF('5Capital Costs'!B18&lt;&gt;"", '5Capital Costs'!B18, "")</f>
        <v/>
      </c>
      <c r="C17" s="46" t="str">
        <f>IF('5Capital Costs'!C18&lt;&gt;"", '5Capital Costs'!C18, "")</f>
        <v/>
      </c>
      <c r="D17" s="47" t="str">
        <f>IF('5Capital Costs'!D18&lt;&gt;"", '5Capital Costs'!D18, "")</f>
        <v/>
      </c>
      <c r="E17" s="27" t="str">
        <f>IF($A17&lt;&gt;"", (IF('5Replacement Costs - Entry'!O18="Y",((($B17*$D17)*((1+$B$5)^E$7))*(1/((1+$F$5)^E$7))),0)), "")</f>
        <v/>
      </c>
      <c r="F17" s="27" t="str">
        <f>IF($A17&lt;&gt;"", (IF('5Replacement Costs - Entry'!P18="Y",((($B17*$D17)*((1+$B$5)^F$7))*(1/((1+$F$5)^F$7))),0)), "")</f>
        <v/>
      </c>
      <c r="G17" s="27" t="str">
        <f>IF($A17&lt;&gt;"", (IF('5Replacement Costs - Entry'!Q18="Y",((($B17*$D17)*((1+$B$5)^G$7))*(1/((1+$F$5)^G$7))),0)), "")</f>
        <v/>
      </c>
      <c r="H17" s="27" t="str">
        <f>IF($A17&lt;&gt;"", (IF('5Replacement Costs - Entry'!R18="Y",((($B17*$D17)*((1+$B$5)^H$7))*(1/((1+$F$5)^H$7))),0)), "")</f>
        <v/>
      </c>
      <c r="I17" s="27" t="str">
        <f>IF($A17&lt;&gt;"", (IF('5Replacement Costs - Entry'!S18="Y",((($B17*$D17)*((1+$B$5)^I$7))*(1/((1+$F$5)^I$7))),0)), "")</f>
        <v/>
      </c>
    </row>
    <row r="18" spans="1:9">
      <c r="A18" s="29" t="str">
        <f>IF('5Capital Costs'!A19&lt;&gt;"", '5Capital Costs'!A19, "")</f>
        <v/>
      </c>
      <c r="B18" s="3" t="str">
        <f>IF('5Capital Costs'!B19&lt;&gt;"", '5Capital Costs'!B19, "")</f>
        <v/>
      </c>
      <c r="C18" s="46" t="str">
        <f>IF('5Capital Costs'!C19&lt;&gt;"", '5Capital Costs'!C19, "")</f>
        <v/>
      </c>
      <c r="D18" s="47" t="str">
        <f>IF('5Capital Costs'!D19&lt;&gt;"", '5Capital Costs'!D19, "")</f>
        <v/>
      </c>
      <c r="E18" s="27" t="str">
        <f>IF($A18&lt;&gt;"", (IF('5Replacement Costs - Entry'!O19="Y",((($B18*$D18)*((1+$B$5)^E$7))*(1/((1+$F$5)^E$7))),0)), "")</f>
        <v/>
      </c>
      <c r="F18" s="27" t="str">
        <f>IF($A18&lt;&gt;"", (IF('5Replacement Costs - Entry'!P19="Y",((($B18*$D18)*((1+$B$5)^F$7))*(1/((1+$F$5)^F$7))),0)), "")</f>
        <v/>
      </c>
      <c r="G18" s="27" t="str">
        <f>IF($A18&lt;&gt;"", (IF('5Replacement Costs - Entry'!Q19="Y",((($B18*$D18)*((1+$B$5)^G$7))*(1/((1+$F$5)^G$7))),0)), "")</f>
        <v/>
      </c>
      <c r="H18" s="27" t="str">
        <f>IF($A18&lt;&gt;"", (IF('5Replacement Costs - Entry'!R19="Y",((($B18*$D18)*((1+$B$5)^H$7))*(1/((1+$F$5)^H$7))),0)), "")</f>
        <v/>
      </c>
      <c r="I18" s="27" t="str">
        <f>IF($A18&lt;&gt;"", (IF('5Replacement Costs - Entry'!S19="Y",((($B18*$D18)*((1+$B$5)^I$7))*(1/((1+$F$5)^I$7))),0)), "")</f>
        <v/>
      </c>
    </row>
    <row r="19" spans="1:9">
      <c r="A19" s="29" t="str">
        <f>IF('5Capital Costs'!A20&lt;&gt;"", '5Capital Costs'!A20, "")</f>
        <v/>
      </c>
      <c r="B19" s="3" t="str">
        <f>IF('5Capital Costs'!B20&lt;&gt;"", '5Capital Costs'!B20, "")</f>
        <v/>
      </c>
      <c r="C19" s="46" t="str">
        <f>IF('5Capital Costs'!C20&lt;&gt;"", '5Capital Costs'!C20, "")</f>
        <v/>
      </c>
      <c r="D19" s="47" t="str">
        <f>IF('5Capital Costs'!D20&lt;&gt;"", '5Capital Costs'!D20, "")</f>
        <v/>
      </c>
      <c r="E19" s="27" t="str">
        <f>IF($A19&lt;&gt;"", (IF('5Replacement Costs - Entry'!O20="Y",((($B19*$D19)*((1+$B$5)^E$7))*(1/((1+$F$5)^E$7))),0)), "")</f>
        <v/>
      </c>
      <c r="F19" s="27" t="str">
        <f>IF($A19&lt;&gt;"", (IF('5Replacement Costs - Entry'!P20="Y",((($B19*$D19)*((1+$B$5)^F$7))*(1/((1+$F$5)^F$7))),0)), "")</f>
        <v/>
      </c>
      <c r="G19" s="27" t="str">
        <f>IF($A19&lt;&gt;"", (IF('5Replacement Costs - Entry'!Q20="Y",((($B19*$D19)*((1+$B$5)^G$7))*(1/((1+$F$5)^G$7))),0)), "")</f>
        <v/>
      </c>
      <c r="H19" s="27" t="str">
        <f>IF($A19&lt;&gt;"", (IF('5Replacement Costs - Entry'!R20="Y",((($B19*$D19)*((1+$B$5)^H$7))*(1/((1+$F$5)^H$7))),0)), "")</f>
        <v/>
      </c>
      <c r="I19" s="27" t="str">
        <f>IF($A19&lt;&gt;"", (IF('5Replacement Costs - Entry'!S20="Y",((($B19*$D19)*((1+$B$5)^I$7))*(1/((1+$F$5)^I$7))),0)), "")</f>
        <v/>
      </c>
    </row>
    <row r="20" spans="1:9">
      <c r="A20" s="29" t="str">
        <f>IF('5Capital Costs'!A21&lt;&gt;"", '5Capital Costs'!A21, "")</f>
        <v/>
      </c>
      <c r="B20" s="3" t="str">
        <f>IF('5Capital Costs'!B21&lt;&gt;"", '5Capital Costs'!B21, "")</f>
        <v/>
      </c>
      <c r="C20" s="46" t="str">
        <f>IF('5Capital Costs'!C21&lt;&gt;"", '5Capital Costs'!C21, "")</f>
        <v/>
      </c>
      <c r="D20" s="47" t="str">
        <f>IF('5Capital Costs'!D21&lt;&gt;"", '5Capital Costs'!D21, "")</f>
        <v/>
      </c>
      <c r="E20" s="27" t="str">
        <f>IF($A20&lt;&gt;"", (IF('5Replacement Costs - Entry'!O21="Y",((($B20*$D20)*((1+$B$5)^E$7))*(1/((1+$F$5)^E$7))),0)), "")</f>
        <v/>
      </c>
      <c r="F20" s="27" t="str">
        <f>IF($A20&lt;&gt;"", (IF('5Replacement Costs - Entry'!P21="Y",((($B20*$D20)*((1+$B$5)^F$7))*(1/((1+$F$5)^F$7))),0)), "")</f>
        <v/>
      </c>
      <c r="G20" s="27" t="str">
        <f>IF($A20&lt;&gt;"", (IF('5Replacement Costs - Entry'!Q21="Y",((($B20*$D20)*((1+$B$5)^G$7))*(1/((1+$F$5)^G$7))),0)), "")</f>
        <v/>
      </c>
      <c r="H20" s="27" t="str">
        <f>IF($A20&lt;&gt;"", (IF('5Replacement Costs - Entry'!R21="Y",((($B20*$D20)*((1+$B$5)^H$7))*(1/((1+$F$5)^H$7))),0)), "")</f>
        <v/>
      </c>
      <c r="I20" s="27" t="str">
        <f>IF($A20&lt;&gt;"", (IF('5Replacement Costs - Entry'!S21="Y",((($B20*$D20)*((1+$B$5)^I$7))*(1/((1+$F$5)^I$7))),0)), "")</f>
        <v/>
      </c>
    </row>
    <row r="21" spans="1:9">
      <c r="A21" s="29" t="str">
        <f>IF('5Capital Costs'!A22&lt;&gt;"", '5Capital Costs'!A22, "")</f>
        <v/>
      </c>
      <c r="B21" s="3" t="str">
        <f>IF('5Capital Costs'!B22&lt;&gt;"", '5Capital Costs'!B22, "")</f>
        <v/>
      </c>
      <c r="C21" s="46" t="str">
        <f>IF('5Capital Costs'!C22&lt;&gt;"", '5Capital Costs'!C22, "")</f>
        <v/>
      </c>
      <c r="D21" s="47" t="str">
        <f>IF('5Capital Costs'!D22&lt;&gt;"", '5Capital Costs'!D22, "")</f>
        <v/>
      </c>
      <c r="E21" s="27" t="str">
        <f>IF($A21&lt;&gt;"", (IF('5Replacement Costs - Entry'!O22="Y",((($B21*$D21)*((1+$B$5)^E$7))*(1/((1+$F$5)^E$7))),0)), "")</f>
        <v/>
      </c>
      <c r="F21" s="27" t="str">
        <f>IF($A21&lt;&gt;"", (IF('5Replacement Costs - Entry'!P22="Y",((($B21*$D21)*((1+$B$5)^F$7))*(1/((1+$F$5)^F$7))),0)), "")</f>
        <v/>
      </c>
      <c r="G21" s="27" t="str">
        <f>IF($A21&lt;&gt;"", (IF('5Replacement Costs - Entry'!Q22="Y",((($B21*$D21)*((1+$B$5)^G$7))*(1/((1+$F$5)^G$7))),0)), "")</f>
        <v/>
      </c>
      <c r="H21" s="27" t="str">
        <f>IF($A21&lt;&gt;"", (IF('5Replacement Costs - Entry'!R22="Y",((($B21*$D21)*((1+$B$5)^H$7))*(1/((1+$F$5)^H$7))),0)), "")</f>
        <v/>
      </c>
      <c r="I21" s="27" t="str">
        <f>IF($A21&lt;&gt;"", (IF('5Replacement Costs - Entry'!S22="Y",((($B21*$D21)*((1+$B$5)^I$7))*(1/((1+$F$5)^I$7))),0)), "")</f>
        <v/>
      </c>
    </row>
    <row r="22" spans="1:9">
      <c r="A22" s="29" t="str">
        <f>IF('5Capital Costs'!A23&lt;&gt;"", '5Capital Costs'!A23, "")</f>
        <v/>
      </c>
      <c r="B22" s="3" t="str">
        <f>IF('5Capital Costs'!B23&lt;&gt;"", '5Capital Costs'!B23, "")</f>
        <v/>
      </c>
      <c r="C22" s="46" t="str">
        <f>IF('5Capital Costs'!C23&lt;&gt;"", '5Capital Costs'!C23, "")</f>
        <v/>
      </c>
      <c r="D22" s="47" t="str">
        <f>IF('5Capital Costs'!D23&lt;&gt;"", '5Capital Costs'!D23, "")</f>
        <v/>
      </c>
      <c r="E22" s="27" t="str">
        <f>IF($A22&lt;&gt;"", (IF('5Replacement Costs - Entry'!O23="Y",((($B22*$D22)*((1+$B$5)^E$7))*(1/((1+$F$5)^E$7))),0)), "")</f>
        <v/>
      </c>
      <c r="F22" s="27" t="str">
        <f>IF($A22&lt;&gt;"", (IF('5Replacement Costs - Entry'!P23="Y",((($B22*$D22)*((1+$B$5)^F$7))*(1/((1+$F$5)^F$7))),0)), "")</f>
        <v/>
      </c>
      <c r="G22" s="27" t="str">
        <f>IF($A22&lt;&gt;"", (IF('5Replacement Costs - Entry'!Q23="Y",((($B22*$D22)*((1+$B$5)^G$7))*(1/((1+$F$5)^G$7))),0)), "")</f>
        <v/>
      </c>
      <c r="H22" s="27" t="str">
        <f>IF($A22&lt;&gt;"", (IF('5Replacement Costs - Entry'!R23="Y",((($B22*$D22)*((1+$B$5)^H$7))*(1/((1+$F$5)^H$7))),0)), "")</f>
        <v/>
      </c>
      <c r="I22" s="27" t="str">
        <f>IF($A22&lt;&gt;"", (IF('5Replacement Costs - Entry'!S23="Y",((($B22*$D22)*((1+$B$5)^I$7))*(1/((1+$F$5)^I$7))),0)), "")</f>
        <v/>
      </c>
    </row>
    <row r="23" spans="1:9">
      <c r="A23" s="29" t="str">
        <f>IF('5Capital Costs'!A24&lt;&gt;"", '5Capital Costs'!A24, "")</f>
        <v/>
      </c>
      <c r="B23" s="3" t="str">
        <f>IF('5Capital Costs'!B24&lt;&gt;"", '5Capital Costs'!B24, "")</f>
        <v/>
      </c>
      <c r="C23" s="46" t="str">
        <f>IF('5Capital Costs'!C24&lt;&gt;"", '5Capital Costs'!C24, "")</f>
        <v/>
      </c>
      <c r="D23" s="47" t="str">
        <f>IF('5Capital Costs'!D24&lt;&gt;"", '5Capital Costs'!D24, "")</f>
        <v/>
      </c>
      <c r="E23" s="27" t="str">
        <f>IF($A23&lt;&gt;"", (IF('5Replacement Costs - Entry'!O24="Y",((($B23*$D23)*((1+$B$5)^E$7))*(1/((1+$F$5)^E$7))),0)), "")</f>
        <v/>
      </c>
      <c r="F23" s="27" t="str">
        <f>IF($A23&lt;&gt;"", (IF('5Replacement Costs - Entry'!P24="Y",((($B23*$D23)*((1+$B$5)^F$7))*(1/((1+$F$5)^F$7))),0)), "")</f>
        <v/>
      </c>
      <c r="G23" s="27" t="str">
        <f>IF($A23&lt;&gt;"", (IF('5Replacement Costs - Entry'!Q24="Y",((($B23*$D23)*((1+$B$5)^G$7))*(1/((1+$F$5)^G$7))),0)), "")</f>
        <v/>
      </c>
      <c r="H23" s="27" t="str">
        <f>IF($A23&lt;&gt;"", (IF('5Replacement Costs - Entry'!R24="Y",((($B23*$D23)*((1+$B$5)^H$7))*(1/((1+$F$5)^H$7))),0)), "")</f>
        <v/>
      </c>
      <c r="I23" s="27" t="str">
        <f>IF($A23&lt;&gt;"", (IF('5Replacement Costs - Entry'!S24="Y",((($B23*$D23)*((1+$B$5)^I$7))*(1/((1+$F$5)^I$7))),0)), "")</f>
        <v/>
      </c>
    </row>
    <row r="24" spans="1:9">
      <c r="A24" s="29" t="str">
        <f>IF('5Capital Costs'!A25&lt;&gt;"", '5Capital Costs'!A25, "")</f>
        <v/>
      </c>
      <c r="B24" s="3" t="str">
        <f>IF('5Capital Costs'!B25&lt;&gt;"", '5Capital Costs'!B25, "")</f>
        <v/>
      </c>
      <c r="C24" s="46" t="str">
        <f>IF('5Capital Costs'!C25&lt;&gt;"", '5Capital Costs'!C25, "")</f>
        <v/>
      </c>
      <c r="D24" s="47" t="str">
        <f>IF('5Capital Costs'!D25&lt;&gt;"", '5Capital Costs'!D25, "")</f>
        <v/>
      </c>
      <c r="E24" s="27" t="str">
        <f>IF($A24&lt;&gt;"", (IF('5Replacement Costs - Entry'!O25="Y",((($B24*$D24)*((1+$B$5)^E$7))*(1/((1+$F$5)^E$7))),0)), "")</f>
        <v/>
      </c>
      <c r="F24" s="27" t="str">
        <f>IF($A24&lt;&gt;"", (IF('5Replacement Costs - Entry'!P25="Y",((($B24*$D24)*((1+$B$5)^F$7))*(1/((1+$F$5)^F$7))),0)), "")</f>
        <v/>
      </c>
      <c r="G24" s="27" t="str">
        <f>IF($A24&lt;&gt;"", (IF('5Replacement Costs - Entry'!Q25="Y",((($B24*$D24)*((1+$B$5)^G$7))*(1/((1+$F$5)^G$7))),0)), "")</f>
        <v/>
      </c>
      <c r="H24" s="27" t="str">
        <f>IF($A24&lt;&gt;"", (IF('5Replacement Costs - Entry'!R25="Y",((($B24*$D24)*((1+$B$5)^H$7))*(1/((1+$F$5)^H$7))),0)), "")</f>
        <v/>
      </c>
      <c r="I24" s="27" t="str">
        <f>IF($A24&lt;&gt;"", (IF('5Replacement Costs - Entry'!S25="Y",((($B24*$D24)*((1+$B$5)^I$7))*(1/((1+$F$5)^I$7))),0)), "")</f>
        <v/>
      </c>
    </row>
    <row r="25" spans="1:9">
      <c r="A25" s="29" t="str">
        <f>IF('5Capital Costs'!A26&lt;&gt;"", '5Capital Costs'!A26, "")</f>
        <v/>
      </c>
      <c r="B25" s="3" t="str">
        <f>IF('5Capital Costs'!B26&lt;&gt;"", '5Capital Costs'!B26, "")</f>
        <v/>
      </c>
      <c r="C25" s="46" t="str">
        <f>IF('5Capital Costs'!C26&lt;&gt;"", '5Capital Costs'!C26, "")</f>
        <v/>
      </c>
      <c r="D25" s="47" t="str">
        <f>IF('5Capital Costs'!D26&lt;&gt;"", '5Capital Costs'!D26, "")</f>
        <v/>
      </c>
      <c r="E25" s="27" t="str">
        <f>IF($A25&lt;&gt;"", (IF('5Replacement Costs - Entry'!O26="Y",((($B25*$D25)*((1+$B$5)^E$7))*(1/((1+$F$5)^E$7))),0)), "")</f>
        <v/>
      </c>
      <c r="F25" s="27" t="str">
        <f>IF($A25&lt;&gt;"", (IF('5Replacement Costs - Entry'!P26="Y",((($B25*$D25)*((1+$B$5)^F$7))*(1/((1+$F$5)^F$7))),0)), "")</f>
        <v/>
      </c>
      <c r="G25" s="27" t="str">
        <f>IF($A25&lt;&gt;"", (IF('5Replacement Costs - Entry'!Q26="Y",((($B25*$D25)*((1+$B$5)^G$7))*(1/((1+$F$5)^G$7))),0)), "")</f>
        <v/>
      </c>
      <c r="H25" s="27" t="str">
        <f>IF($A25&lt;&gt;"", (IF('5Replacement Costs - Entry'!R26="Y",((($B25*$D25)*((1+$B$5)^H$7))*(1/((1+$F$5)^H$7))),0)), "")</f>
        <v/>
      </c>
      <c r="I25" s="27" t="str">
        <f>IF($A25&lt;&gt;"", (IF('5Replacement Costs - Entry'!S26="Y",((($B25*$D25)*((1+$B$5)^I$7))*(1/((1+$F$5)^I$7))),0)), "")</f>
        <v/>
      </c>
    </row>
    <row r="26" spans="1:9">
      <c r="A26" s="29" t="str">
        <f>IF('5Capital Costs'!A27&lt;&gt;"", '5Capital Costs'!A27, "")</f>
        <v/>
      </c>
      <c r="B26" s="3" t="str">
        <f>IF('5Capital Costs'!B27&lt;&gt;"", '5Capital Costs'!B27, "")</f>
        <v/>
      </c>
      <c r="C26" s="46" t="str">
        <f>IF('5Capital Costs'!C27&lt;&gt;"", '5Capital Costs'!C27, "")</f>
        <v/>
      </c>
      <c r="D26" s="47" t="str">
        <f>IF('5Capital Costs'!D27&lt;&gt;"", '5Capital Costs'!D27, "")</f>
        <v/>
      </c>
      <c r="E26" s="27" t="str">
        <f>IF($A26&lt;&gt;"", (IF('5Replacement Costs - Entry'!O27="Y",((($B26*$D26)*((1+$B$5)^E$7))*(1/((1+$F$5)^E$7))),0)), "")</f>
        <v/>
      </c>
      <c r="F26" s="27" t="str">
        <f>IF($A26&lt;&gt;"", (IF('5Replacement Costs - Entry'!P27="Y",((($B26*$D26)*((1+$B$5)^F$7))*(1/((1+$F$5)^F$7))),0)), "")</f>
        <v/>
      </c>
      <c r="G26" s="27" t="str">
        <f>IF($A26&lt;&gt;"", (IF('5Replacement Costs - Entry'!Q27="Y",((($B26*$D26)*((1+$B$5)^G$7))*(1/((1+$F$5)^G$7))),0)), "")</f>
        <v/>
      </c>
      <c r="H26" s="27" t="str">
        <f>IF($A26&lt;&gt;"", (IF('5Replacement Costs - Entry'!R27="Y",((($B26*$D26)*((1+$B$5)^H$7))*(1/((1+$F$5)^H$7))),0)), "")</f>
        <v/>
      </c>
      <c r="I26" s="27" t="str">
        <f>IF($A26&lt;&gt;"", (IF('5Replacement Costs - Entry'!S27="Y",((($B26*$D26)*((1+$B$5)^I$7))*(1/((1+$F$5)^I$7))),0)), "")</f>
        <v/>
      </c>
    </row>
    <row r="27" spans="1:9">
      <c r="A27" s="29" t="str">
        <f>IF('5Capital Costs'!A28&lt;&gt;"", '5Capital Costs'!A28, "")</f>
        <v/>
      </c>
      <c r="B27" s="3" t="str">
        <f>IF('5Capital Costs'!B28&lt;&gt;"", '5Capital Costs'!B28, "")</f>
        <v/>
      </c>
      <c r="C27" s="46" t="str">
        <f>IF('5Capital Costs'!C28&lt;&gt;"", '5Capital Costs'!C28, "")</f>
        <v/>
      </c>
      <c r="D27" s="47" t="str">
        <f>IF('5Capital Costs'!D28&lt;&gt;"", '5Capital Costs'!D28, "")</f>
        <v/>
      </c>
      <c r="E27" s="27" t="str">
        <f>IF($A27&lt;&gt;"", (IF('5Replacement Costs - Entry'!O28="Y",((($B27*$D27)*((1+$B$5)^E$7))*(1/((1+$F$5)^E$7))),0)), "")</f>
        <v/>
      </c>
      <c r="F27" s="27" t="str">
        <f>IF($A27&lt;&gt;"", (IF('5Replacement Costs - Entry'!P28="Y",((($B27*$D27)*((1+$B$5)^F$7))*(1/((1+$F$5)^F$7))),0)), "")</f>
        <v/>
      </c>
      <c r="G27" s="27" t="str">
        <f>IF($A27&lt;&gt;"", (IF('5Replacement Costs - Entry'!Q28="Y",((($B27*$D27)*((1+$B$5)^G$7))*(1/((1+$F$5)^G$7))),0)), "")</f>
        <v/>
      </c>
      <c r="H27" s="27" t="str">
        <f>IF($A27&lt;&gt;"", (IF('5Replacement Costs - Entry'!R28="Y",((($B27*$D27)*((1+$B$5)^H$7))*(1/((1+$F$5)^H$7))),0)), "")</f>
        <v/>
      </c>
      <c r="I27" s="27" t="str">
        <f>IF($A27&lt;&gt;"", (IF('5Replacement Costs - Entry'!S28="Y",((($B27*$D27)*((1+$B$5)^I$7))*(1/((1+$F$5)^I$7))),0)), "")</f>
        <v/>
      </c>
    </row>
    <row r="28" spans="1:9">
      <c r="A28" s="29" t="str">
        <f>IF('5Capital Costs'!A29&lt;&gt;"", '5Capital Costs'!A29, "")</f>
        <v/>
      </c>
      <c r="B28" s="3" t="str">
        <f>IF('5Capital Costs'!B29&lt;&gt;"", '5Capital Costs'!B29, "")</f>
        <v/>
      </c>
      <c r="C28" s="46" t="str">
        <f>IF('5Capital Costs'!C29&lt;&gt;"", '5Capital Costs'!C29, "")</f>
        <v/>
      </c>
      <c r="D28" s="47" t="str">
        <f>IF('5Capital Costs'!D29&lt;&gt;"", '5Capital Costs'!D29, "")</f>
        <v/>
      </c>
      <c r="E28" s="27" t="str">
        <f>IF($A28&lt;&gt;"", (IF('5Replacement Costs - Entry'!O29="Y",((($B28*$D28)*((1+$B$5)^E$7))*(1/((1+$F$5)^E$7))),0)), "")</f>
        <v/>
      </c>
      <c r="F28" s="27" t="str">
        <f>IF($A28&lt;&gt;"", (IF('5Replacement Costs - Entry'!P29="Y",((($B28*$D28)*((1+$B$5)^F$7))*(1/((1+$F$5)^F$7))),0)), "")</f>
        <v/>
      </c>
      <c r="G28" s="27" t="str">
        <f>IF($A28&lt;&gt;"", (IF('5Replacement Costs - Entry'!Q29="Y",((($B28*$D28)*((1+$B$5)^G$7))*(1/((1+$F$5)^G$7))),0)), "")</f>
        <v/>
      </c>
      <c r="H28" s="27" t="str">
        <f>IF($A28&lt;&gt;"", (IF('5Replacement Costs - Entry'!R29="Y",((($B28*$D28)*((1+$B$5)^H$7))*(1/((1+$F$5)^H$7))),0)), "")</f>
        <v/>
      </c>
      <c r="I28" s="27" t="str">
        <f>IF($A28&lt;&gt;"", (IF('5Replacement Costs - Entry'!S29="Y",((($B28*$D28)*((1+$B$5)^I$7))*(1/((1+$F$5)^I$7))),0)), "")</f>
        <v/>
      </c>
    </row>
    <row r="29" spans="1:9">
      <c r="A29" s="29" t="str">
        <f>IF('5Capital Costs'!A30&lt;&gt;"", '5Capital Costs'!A30, "")</f>
        <v/>
      </c>
      <c r="B29" s="3" t="str">
        <f>IF('5Capital Costs'!B30&lt;&gt;"", '5Capital Costs'!B30, "")</f>
        <v/>
      </c>
      <c r="C29" s="46" t="str">
        <f>IF('5Capital Costs'!C30&lt;&gt;"", '5Capital Costs'!C30, "")</f>
        <v/>
      </c>
      <c r="D29" s="47" t="str">
        <f>IF('5Capital Costs'!D30&lt;&gt;"", '5Capital Costs'!D30, "")</f>
        <v/>
      </c>
      <c r="E29" s="27" t="str">
        <f>IF($A29&lt;&gt;"", (IF('5Replacement Costs - Entry'!O30="Y",((($B29*$D29)*((1+$B$5)^E$7))*(1/((1+$F$5)^E$7))),0)), "")</f>
        <v/>
      </c>
      <c r="F29" s="27" t="str">
        <f>IF($A29&lt;&gt;"", (IF('5Replacement Costs - Entry'!P30="Y",((($B29*$D29)*((1+$B$5)^F$7))*(1/((1+$F$5)^F$7))),0)), "")</f>
        <v/>
      </c>
      <c r="G29" s="27" t="str">
        <f>IF($A29&lt;&gt;"", (IF('5Replacement Costs - Entry'!Q30="Y",((($B29*$D29)*((1+$B$5)^G$7))*(1/((1+$F$5)^G$7))),0)), "")</f>
        <v/>
      </c>
      <c r="H29" s="27" t="str">
        <f>IF($A29&lt;&gt;"", (IF('5Replacement Costs - Entry'!R30="Y",((($B29*$D29)*((1+$B$5)^H$7))*(1/((1+$F$5)^H$7))),0)), "")</f>
        <v/>
      </c>
      <c r="I29" s="27" t="str">
        <f>IF($A29&lt;&gt;"", (IF('5Replacement Costs - Entry'!S30="Y",((($B29*$D29)*((1+$B$5)^I$7))*(1/((1+$F$5)^I$7))),0)), "")</f>
        <v/>
      </c>
    </row>
    <row r="30" spans="1:9">
      <c r="A30" s="29" t="str">
        <f>IF('5Capital Costs'!A31&lt;&gt;"", '5Capital Costs'!A31, "")</f>
        <v/>
      </c>
      <c r="B30" s="3" t="str">
        <f>IF('5Capital Costs'!B31&lt;&gt;"", '5Capital Costs'!B31, "")</f>
        <v/>
      </c>
      <c r="C30" s="46" t="str">
        <f>IF('5Capital Costs'!C31&lt;&gt;"", '5Capital Costs'!C31, "")</f>
        <v/>
      </c>
      <c r="D30" s="47" t="str">
        <f>IF('5Capital Costs'!D31&lt;&gt;"", '5Capital Costs'!D31, "")</f>
        <v/>
      </c>
      <c r="E30" s="27" t="str">
        <f>IF($A30&lt;&gt;"", (IF('5Replacement Costs - Entry'!O31="Y",((($B30*$D30)*((1+$B$5)^E$7))*(1/((1+$F$5)^E$7))),0)), "")</f>
        <v/>
      </c>
      <c r="F30" s="27" t="str">
        <f>IF($A30&lt;&gt;"", (IF('5Replacement Costs - Entry'!P31="Y",((($B30*$D30)*((1+$B$5)^F$7))*(1/((1+$F$5)^F$7))),0)), "")</f>
        <v/>
      </c>
      <c r="G30" s="27" t="str">
        <f>IF($A30&lt;&gt;"", (IF('5Replacement Costs - Entry'!Q31="Y",((($B30*$D30)*((1+$B$5)^G$7))*(1/((1+$F$5)^G$7))),0)), "")</f>
        <v/>
      </c>
      <c r="H30" s="27" t="str">
        <f>IF($A30&lt;&gt;"", (IF('5Replacement Costs - Entry'!R31="Y",((($B30*$D30)*((1+$B$5)^H$7))*(1/((1+$F$5)^H$7))),0)), "")</f>
        <v/>
      </c>
      <c r="I30" s="27" t="str">
        <f>IF($A30&lt;&gt;"", (IF('5Replacement Costs - Entry'!S31="Y",((($B30*$D30)*((1+$B$5)^I$7))*(1/((1+$F$5)^I$7))),0)), "")</f>
        <v/>
      </c>
    </row>
    <row r="31" spans="1:9">
      <c r="A31" s="29" t="str">
        <f>IF('5Capital Costs'!A32&lt;&gt;"", '5Capital Costs'!A32, "")</f>
        <v/>
      </c>
      <c r="B31" s="3" t="str">
        <f>IF('5Capital Costs'!B32&lt;&gt;"", '5Capital Costs'!B32, "")</f>
        <v/>
      </c>
      <c r="C31" s="46" t="str">
        <f>IF('5Capital Costs'!C32&lt;&gt;"", '5Capital Costs'!C32, "")</f>
        <v/>
      </c>
      <c r="D31" s="47" t="str">
        <f>IF('5Capital Costs'!D32&lt;&gt;"", '5Capital Costs'!D32, "")</f>
        <v/>
      </c>
      <c r="E31" s="27" t="str">
        <f>IF($A31&lt;&gt;"", (IF('5Replacement Costs - Entry'!O32="Y",((($B31*$D31)*((1+$B$5)^E$7))*(1/((1+$F$5)^E$7))),0)), "")</f>
        <v/>
      </c>
      <c r="F31" s="27" t="str">
        <f>IF($A31&lt;&gt;"", (IF('5Replacement Costs - Entry'!P32="Y",((($B31*$D31)*((1+$B$5)^F$7))*(1/((1+$F$5)^F$7))),0)), "")</f>
        <v/>
      </c>
      <c r="G31" s="27" t="str">
        <f>IF($A31&lt;&gt;"", (IF('5Replacement Costs - Entry'!Q32="Y",((($B31*$D31)*((1+$B$5)^G$7))*(1/((1+$F$5)^G$7))),0)), "")</f>
        <v/>
      </c>
      <c r="H31" s="27" t="str">
        <f>IF($A31&lt;&gt;"", (IF('5Replacement Costs - Entry'!R32="Y",((($B31*$D31)*((1+$B$5)^H$7))*(1/((1+$F$5)^H$7))),0)), "")</f>
        <v/>
      </c>
      <c r="I31" s="27" t="str">
        <f>IF($A31&lt;&gt;"", (IF('5Replacement Costs - Entry'!S32="Y",((($B31*$D31)*((1+$B$5)^I$7))*(1/((1+$F$5)^I$7))),0)), "")</f>
        <v/>
      </c>
    </row>
    <row r="32" spans="1:9">
      <c r="A32" s="29" t="str">
        <f>IF('5Capital Costs'!A33&lt;&gt;"", '5Capital Costs'!A33, "")</f>
        <v/>
      </c>
      <c r="B32" s="3" t="str">
        <f>IF('5Capital Costs'!B33&lt;&gt;"", '5Capital Costs'!B33, "")</f>
        <v/>
      </c>
      <c r="C32" s="46" t="str">
        <f>IF('5Capital Costs'!C33&lt;&gt;"", '5Capital Costs'!C33, "")</f>
        <v/>
      </c>
      <c r="D32" s="47" t="str">
        <f>IF('5Capital Costs'!D33&lt;&gt;"", '5Capital Costs'!D33, "")</f>
        <v/>
      </c>
      <c r="E32" s="27" t="str">
        <f>IF($A32&lt;&gt;"", (IF('5Replacement Costs - Entry'!O33="Y",((($B32*$D32)*((1+$B$5)^E$7))*(1/((1+$F$5)^E$7))),0)), "")</f>
        <v/>
      </c>
      <c r="F32" s="27" t="str">
        <f>IF($A32&lt;&gt;"", (IF('5Replacement Costs - Entry'!P33="Y",((($B32*$D32)*((1+$B$5)^F$7))*(1/((1+$F$5)^F$7))),0)), "")</f>
        <v/>
      </c>
      <c r="G32" s="27" t="str">
        <f>IF($A32&lt;&gt;"", (IF('5Replacement Costs - Entry'!Q33="Y",((($B32*$D32)*((1+$B$5)^G$7))*(1/((1+$F$5)^G$7))),0)), "")</f>
        <v/>
      </c>
      <c r="H32" s="27" t="str">
        <f>IF($A32&lt;&gt;"", (IF('5Replacement Costs - Entry'!R33="Y",((($B32*$D32)*((1+$B$5)^H$7))*(1/((1+$F$5)^H$7))),0)), "")</f>
        <v/>
      </c>
      <c r="I32" s="27" t="str">
        <f>IF($A32&lt;&gt;"", (IF('5Replacement Costs - Entry'!S33="Y",((($B32*$D32)*((1+$B$5)^I$7))*(1/((1+$F$5)^I$7))),0)), "")</f>
        <v/>
      </c>
    </row>
    <row r="33" spans="1:9">
      <c r="A33" s="29" t="str">
        <f>IF('5Capital Costs'!A34&lt;&gt;"", '5Capital Costs'!A34, "")</f>
        <v/>
      </c>
      <c r="B33" s="3" t="str">
        <f>IF('5Capital Costs'!B34&lt;&gt;"", '5Capital Costs'!B34, "")</f>
        <v/>
      </c>
      <c r="C33" s="46" t="str">
        <f>IF('5Capital Costs'!C34&lt;&gt;"", '5Capital Costs'!C34, "")</f>
        <v/>
      </c>
      <c r="D33" s="47" t="str">
        <f>IF('5Capital Costs'!D34&lt;&gt;"", '5Capital Costs'!D34, "")</f>
        <v/>
      </c>
      <c r="E33" s="27" t="str">
        <f>IF($A33&lt;&gt;"", (IF('5Replacement Costs - Entry'!O34="Y",((($B33*$D33)*((1+$B$5)^E$7))*(1/((1+$F$5)^E$7))),0)), "")</f>
        <v/>
      </c>
      <c r="F33" s="27" t="str">
        <f>IF($A33&lt;&gt;"", (IF('5Replacement Costs - Entry'!P34="Y",((($B33*$D33)*((1+$B$5)^F$7))*(1/((1+$F$5)^F$7))),0)), "")</f>
        <v/>
      </c>
      <c r="G33" s="27" t="str">
        <f>IF($A33&lt;&gt;"", (IF('5Replacement Costs - Entry'!Q34="Y",((($B33*$D33)*((1+$B$5)^G$7))*(1/((1+$F$5)^G$7))),0)), "")</f>
        <v/>
      </c>
      <c r="H33" s="27" t="str">
        <f>IF($A33&lt;&gt;"", (IF('5Replacement Costs - Entry'!R34="Y",((($B33*$D33)*((1+$B$5)^H$7))*(1/((1+$F$5)^H$7))),0)), "")</f>
        <v/>
      </c>
      <c r="I33" s="27" t="str">
        <f>IF($A33&lt;&gt;"", (IF('5Replacement Costs - Entry'!S34="Y",((($B33*$D33)*((1+$B$5)^I$7))*(1/((1+$F$5)^I$7))),0)), "")</f>
        <v/>
      </c>
    </row>
    <row r="34" spans="1:9">
      <c r="A34" s="29" t="str">
        <f>IF('5Capital Costs'!A35&lt;&gt;"", '5Capital Costs'!A35, "")</f>
        <v/>
      </c>
      <c r="B34" s="3" t="str">
        <f>IF('5Capital Costs'!B35&lt;&gt;"", '5Capital Costs'!B35, "")</f>
        <v/>
      </c>
      <c r="C34" s="46" t="str">
        <f>IF('5Capital Costs'!C35&lt;&gt;"", '5Capital Costs'!C35, "")</f>
        <v/>
      </c>
      <c r="D34" s="47" t="str">
        <f>IF('5Capital Costs'!D35&lt;&gt;"", '5Capital Costs'!D35, "")</f>
        <v/>
      </c>
      <c r="E34" s="27" t="str">
        <f>IF($A34&lt;&gt;"", (IF('5Replacement Costs - Entry'!O35="Y",((($B34*$D34)*((1+$B$5)^E$7))*(1/((1+$F$5)^E$7))),0)), "")</f>
        <v/>
      </c>
      <c r="F34" s="27" t="str">
        <f>IF($A34&lt;&gt;"", (IF('5Replacement Costs - Entry'!P35="Y",((($B34*$D34)*((1+$B$5)^F$7))*(1/((1+$F$5)^F$7))),0)), "")</f>
        <v/>
      </c>
      <c r="G34" s="27" t="str">
        <f>IF($A34&lt;&gt;"", (IF('5Replacement Costs - Entry'!Q35="Y",((($B34*$D34)*((1+$B$5)^G$7))*(1/((1+$F$5)^G$7))),0)), "")</f>
        <v/>
      </c>
      <c r="H34" s="27" t="str">
        <f>IF($A34&lt;&gt;"", (IF('5Replacement Costs - Entry'!R35="Y",((($B34*$D34)*((1+$B$5)^H$7))*(1/((1+$F$5)^H$7))),0)), "")</f>
        <v/>
      </c>
      <c r="I34" s="27" t="str">
        <f>IF($A34&lt;&gt;"", (IF('5Replacement Costs - Entry'!S35="Y",((($B34*$D34)*((1+$B$5)^I$7))*(1/((1+$F$5)^I$7))),0)), "")</f>
        <v/>
      </c>
    </row>
    <row r="35" spans="1:9">
      <c r="A35" s="29" t="str">
        <f>IF('5Capital Costs'!A36&lt;&gt;"", '5Capital Costs'!A36, "")</f>
        <v/>
      </c>
      <c r="B35" s="3" t="str">
        <f>IF('5Capital Costs'!B36&lt;&gt;"", '5Capital Costs'!B36, "")</f>
        <v/>
      </c>
      <c r="C35" s="46" t="str">
        <f>IF('5Capital Costs'!C36&lt;&gt;"", '5Capital Costs'!C36, "")</f>
        <v/>
      </c>
      <c r="D35" s="47" t="str">
        <f>IF('5Capital Costs'!D36&lt;&gt;"", '5Capital Costs'!D36, "")</f>
        <v/>
      </c>
      <c r="E35" s="27" t="str">
        <f>IF($A35&lt;&gt;"", (IF('5Replacement Costs - Entry'!O36="Y",((($B35*$D35)*((1+$B$5)^E$7))*(1/((1+$F$5)^E$7))),0)), "")</f>
        <v/>
      </c>
      <c r="F35" s="27" t="str">
        <f>IF($A35&lt;&gt;"", (IF('5Replacement Costs - Entry'!P36="Y",((($B35*$D35)*((1+$B$5)^F$7))*(1/((1+$F$5)^F$7))),0)), "")</f>
        <v/>
      </c>
      <c r="G35" s="27" t="str">
        <f>IF($A35&lt;&gt;"", (IF('5Replacement Costs - Entry'!Q36="Y",((($B35*$D35)*((1+$B$5)^G$7))*(1/((1+$F$5)^G$7))),0)), "")</f>
        <v/>
      </c>
      <c r="H35" s="27" t="str">
        <f>IF($A35&lt;&gt;"", (IF('5Replacement Costs - Entry'!R36="Y",((($B35*$D35)*((1+$B$5)^H$7))*(1/((1+$F$5)^H$7))),0)), "")</f>
        <v/>
      </c>
      <c r="I35" s="27" t="str">
        <f>IF($A35&lt;&gt;"", (IF('5Replacement Costs - Entry'!S36="Y",((($B35*$D35)*((1+$B$5)^I$7))*(1/((1+$F$5)^I$7))),0)), "")</f>
        <v/>
      </c>
    </row>
    <row r="36" spans="1:9">
      <c r="A36" s="29" t="str">
        <f>IF('5Capital Costs'!A37&lt;&gt;"", '5Capital Costs'!A37, "")</f>
        <v/>
      </c>
      <c r="B36" s="3" t="str">
        <f>IF('5Capital Costs'!B37&lt;&gt;"", '5Capital Costs'!B37, "")</f>
        <v/>
      </c>
      <c r="C36" s="46" t="str">
        <f>IF('5Capital Costs'!C37&lt;&gt;"", '5Capital Costs'!C37, "")</f>
        <v/>
      </c>
      <c r="D36" s="47" t="str">
        <f>IF('5Capital Costs'!D37&lt;&gt;"", '5Capital Costs'!D37, "")</f>
        <v/>
      </c>
      <c r="E36" s="27" t="str">
        <f>IF($A36&lt;&gt;"", (IF('5Replacement Costs - Entry'!O37="Y",((($B36*$D36)*((1+$B$5)^E$7))*(1/((1+$F$5)^E$7))),0)), "")</f>
        <v/>
      </c>
      <c r="F36" s="27" t="str">
        <f>IF($A36&lt;&gt;"", (IF('5Replacement Costs - Entry'!P37="Y",((($B36*$D36)*((1+$B$5)^F$7))*(1/((1+$F$5)^F$7))),0)), "")</f>
        <v/>
      </c>
      <c r="G36" s="27" t="str">
        <f>IF($A36&lt;&gt;"", (IF('5Replacement Costs - Entry'!Q37="Y",((($B36*$D36)*((1+$B$5)^G$7))*(1/((1+$F$5)^G$7))),0)), "")</f>
        <v/>
      </c>
      <c r="H36" s="27" t="str">
        <f>IF($A36&lt;&gt;"", (IF('5Replacement Costs - Entry'!R37="Y",((($B36*$D36)*((1+$B$5)^H$7))*(1/((1+$F$5)^H$7))),0)), "")</f>
        <v/>
      </c>
      <c r="I36" s="27" t="str">
        <f>IF($A36&lt;&gt;"", (IF('5Replacement Costs - Entry'!S37="Y",((($B36*$D36)*((1+$B$5)^I$7))*(1/((1+$F$5)^I$7))),0)), "")</f>
        <v/>
      </c>
    </row>
    <row r="37" spans="1:9">
      <c r="A37" s="23"/>
      <c r="B37" s="23"/>
      <c r="C37" s="23"/>
      <c r="D37" s="36" t="s">
        <v>50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5" fitToWidth="4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177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'5Capital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'5Replace Costs-Results 6-10'!A5</f>
        <v>Current Inflation Rate based on Construction Cost Index:</v>
      </c>
      <c r="B5" s="69">
        <f>'5Replace Costs-Results 6-10'!B5</f>
        <v>2.0671834625323047E-2</v>
      </c>
      <c r="C5" s="67"/>
      <c r="D5" s="67"/>
      <c r="E5" s="70" t="s">
        <v>43</v>
      </c>
      <c r="F5" s="72">
        <f>'5Replace Costs-Results 6-10'!F5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11</v>
      </c>
      <c r="F7" s="26">
        <v>12</v>
      </c>
      <c r="G7" s="26">
        <v>13</v>
      </c>
      <c r="H7" s="26">
        <v>14</v>
      </c>
      <c r="I7" s="26">
        <v>15</v>
      </c>
    </row>
    <row r="8" spans="1:9">
      <c r="A8" s="29" t="str">
        <f>IF('5Capital Costs'!A9&lt;&gt;"", '5Capital Costs'!A9, "")</f>
        <v/>
      </c>
      <c r="B8" s="3" t="str">
        <f>IF('5Capital Costs'!B9&lt;&gt;"", '5Capital Costs'!B9, "")</f>
        <v/>
      </c>
      <c r="C8" s="46" t="str">
        <f>IF('5Capital Costs'!C9&lt;&gt;"", '5Capital Costs'!C9, "")</f>
        <v/>
      </c>
      <c r="D8" s="47" t="str">
        <f>IF('5Capital Costs'!D9&lt;&gt;"", '5Capital Costs'!D9, "")</f>
        <v/>
      </c>
      <c r="E8" s="27" t="str">
        <f>IF($A8&lt;&gt;"", (IF('5Replacement Costs - Entry'!T9="Y",((($B8*$D8)*((1+$B$5)^E$7))*(1/((1+$F$5)^E$7))),0)), "")</f>
        <v/>
      </c>
      <c r="F8" s="27" t="str">
        <f>IF($A8&lt;&gt;"", (IF('5Replacement Costs - Entry'!U9="Y",((($B8*$D8)*((1+$B$5)^F$7))*(1/((1+$F$5)^F$7))),0)), "")</f>
        <v/>
      </c>
      <c r="G8" s="27" t="str">
        <f>IF($A8&lt;&gt;"", (IF('5Replacement Costs - Entry'!V9="Y",((($B8*$D8)*((1+$B$5)^G$7))*(1/((1+$F$5)^G$7))),0)), "")</f>
        <v/>
      </c>
      <c r="H8" s="27" t="str">
        <f>IF($A8&lt;&gt;"", (IF('5Replacement Costs - Entry'!W9="Y",((($B8*$D8)*((1+$B$5)^H$7))*(1/((1+$F$5)^H$7))),0)), "")</f>
        <v/>
      </c>
      <c r="I8" s="27" t="str">
        <f>IF($A8&lt;&gt;"", (IF('5Replacement Costs - Entry'!X9="Y",((($B8*$D8)*((1+$B$5)^I$7))*(1/((1+$F$5)^I$7))),0)), "")</f>
        <v/>
      </c>
    </row>
    <row r="9" spans="1:9">
      <c r="A9" s="29" t="str">
        <f>IF('5Capital Costs'!A10&lt;&gt;"", '5Capital Costs'!A10, "")</f>
        <v/>
      </c>
      <c r="B9" s="3" t="str">
        <f>IF('5Capital Costs'!B10&lt;&gt;"", '5Capital Costs'!B10, "")</f>
        <v/>
      </c>
      <c r="C9" s="46" t="str">
        <f>IF('5Capital Costs'!C10&lt;&gt;"", '5Capital Costs'!C10, "")</f>
        <v/>
      </c>
      <c r="D9" s="47" t="str">
        <f>IF('5Capital Costs'!D10&lt;&gt;"", '5Capital Costs'!D10, "")</f>
        <v/>
      </c>
      <c r="E9" s="27" t="str">
        <f>IF($A9&lt;&gt;"", (IF('5Replacement Costs - Entry'!T10="Y",((($B9*$D9)*((1+$B$5)^E$7))*(1/((1+$F$5)^E$7))),0)), "")</f>
        <v/>
      </c>
      <c r="F9" s="27" t="str">
        <f>IF($A9&lt;&gt;"", (IF('5Replacement Costs - Entry'!U10="Y",((($B9*$D9)*((1+$B$5)^F$7))*(1/((1+$F$5)^F$7))),0)), "")</f>
        <v/>
      </c>
      <c r="G9" s="27" t="str">
        <f>IF($A9&lt;&gt;"", (IF('5Replacement Costs - Entry'!V10="Y",((($B9*$D9)*((1+$B$5)^G$7))*(1/((1+$F$5)^G$7))),0)), "")</f>
        <v/>
      </c>
      <c r="H9" s="27" t="str">
        <f>IF($A9&lt;&gt;"", (IF('5Replacement Costs - Entry'!W10="Y",((($B9*$D9)*((1+$B$5)^H$7))*(1/((1+$F$5)^H$7))),0)), "")</f>
        <v/>
      </c>
      <c r="I9" s="27" t="str">
        <f>IF($A9&lt;&gt;"", (IF('5Replacement Costs - Entry'!X10="Y",((($B9*$D9)*((1+$B$5)^I$7))*(1/((1+$F$5)^I$7))),0)), "")</f>
        <v/>
      </c>
    </row>
    <row r="10" spans="1:9">
      <c r="A10" s="29" t="str">
        <f>IF('5Capital Costs'!A11&lt;&gt;"", '5Capital Costs'!A11, "")</f>
        <v/>
      </c>
      <c r="B10" s="3" t="str">
        <f>IF('5Capital Costs'!B11&lt;&gt;"", '5Capital Costs'!B11, "")</f>
        <v/>
      </c>
      <c r="C10" s="46" t="str">
        <f>IF('5Capital Costs'!C11&lt;&gt;"", '5Capital Costs'!C11, "")</f>
        <v/>
      </c>
      <c r="D10" s="47" t="str">
        <f>IF('5Capital Costs'!D11&lt;&gt;"", '5Capital Costs'!D11, "")</f>
        <v/>
      </c>
      <c r="E10" s="27" t="str">
        <f>IF($A10&lt;&gt;"", (IF('5Replacement Costs - Entry'!T11="Y",((($B10*$D10)*((1+$B$5)^E$7))*(1/((1+$F$5)^E$7))),0)), "")</f>
        <v/>
      </c>
      <c r="F10" s="27" t="str">
        <f>IF($A10&lt;&gt;"", (IF('5Replacement Costs - Entry'!U11="Y",((($B10*$D10)*((1+$B$5)^F$7))*(1/((1+$F$5)^F$7))),0)), "")</f>
        <v/>
      </c>
      <c r="G10" s="27" t="str">
        <f>IF($A10&lt;&gt;"", (IF('5Replacement Costs - Entry'!V11="Y",((($B10*$D10)*((1+$B$5)^G$7))*(1/((1+$F$5)^G$7))),0)), "")</f>
        <v/>
      </c>
      <c r="H10" s="27" t="str">
        <f>IF($A10&lt;&gt;"", (IF('5Replacement Costs - Entry'!W11="Y",((($B10*$D10)*((1+$B$5)^H$7))*(1/((1+$F$5)^H$7))),0)), "")</f>
        <v/>
      </c>
      <c r="I10" s="27" t="str">
        <f>IF($A10&lt;&gt;"", (IF('5Replacement Costs - Entry'!X11="Y",((($B10*$D10)*((1+$B$5)^I$7))*(1/((1+$F$5)^I$7))),0)), "")</f>
        <v/>
      </c>
    </row>
    <row r="11" spans="1:9">
      <c r="A11" s="29" t="str">
        <f>IF('5Capital Costs'!A12&lt;&gt;"", '5Capital Costs'!A12, "")</f>
        <v/>
      </c>
      <c r="B11" s="3" t="str">
        <f>IF('5Capital Costs'!B12&lt;&gt;"", '5Capital Costs'!B12, "")</f>
        <v/>
      </c>
      <c r="C11" s="46" t="str">
        <f>IF('5Capital Costs'!C12&lt;&gt;"", '5Capital Costs'!C12, "")</f>
        <v/>
      </c>
      <c r="D11" s="47" t="str">
        <f>IF('5Capital Costs'!D12&lt;&gt;"", '5Capital Costs'!D12, "")</f>
        <v/>
      </c>
      <c r="E11" s="27" t="str">
        <f>IF($A11&lt;&gt;"", (IF('5Replacement Costs - Entry'!T12="Y",((($B11*$D11)*((1+$B$5)^E$7))*(1/((1+$F$5)^E$7))),0)), "")</f>
        <v/>
      </c>
      <c r="F11" s="27" t="str">
        <f>IF($A11&lt;&gt;"", (IF('5Replacement Costs - Entry'!U12="Y",((($B11*$D11)*((1+$B$5)^F$7))*(1/((1+$F$5)^F$7))),0)), "")</f>
        <v/>
      </c>
      <c r="G11" s="27" t="str">
        <f>IF($A11&lt;&gt;"", (IF('5Replacement Costs - Entry'!V12="Y",((($B11*$D11)*((1+$B$5)^G$7))*(1/((1+$F$5)^G$7))),0)), "")</f>
        <v/>
      </c>
      <c r="H11" s="27" t="str">
        <f>IF($A11&lt;&gt;"", (IF('5Replacement Costs - Entry'!W12="Y",((($B11*$D11)*((1+$B$5)^H$7))*(1/((1+$F$5)^H$7))),0)), "")</f>
        <v/>
      </c>
      <c r="I11" s="27" t="str">
        <f>IF($A11&lt;&gt;"", (IF('5Replacement Costs - Entry'!X12="Y",((($B11*$D11)*((1+$B$5)^I$7))*(1/((1+$F$5)^I$7))),0)), "")</f>
        <v/>
      </c>
    </row>
    <row r="12" spans="1:9">
      <c r="A12" s="29" t="str">
        <f>IF('5Capital Costs'!A13&lt;&gt;"", '5Capital Costs'!A13, "")</f>
        <v/>
      </c>
      <c r="B12" s="3" t="str">
        <f>IF('5Capital Costs'!B13&lt;&gt;"", '5Capital Costs'!B13, "")</f>
        <v/>
      </c>
      <c r="C12" s="46" t="str">
        <f>IF('5Capital Costs'!C13&lt;&gt;"", '5Capital Costs'!C13, "")</f>
        <v/>
      </c>
      <c r="D12" s="47" t="str">
        <f>IF('5Capital Costs'!D13&lt;&gt;"", '5Capital Costs'!D13, "")</f>
        <v/>
      </c>
      <c r="E12" s="27" t="str">
        <f>IF($A12&lt;&gt;"", (IF('5Replacement Costs - Entry'!T13="Y",((($B12*$D12)*((1+$B$5)^E$7))*(1/((1+$F$5)^E$7))),0)), "")</f>
        <v/>
      </c>
      <c r="F12" s="27" t="str">
        <f>IF($A12&lt;&gt;"", (IF('5Replacement Costs - Entry'!U13="Y",((($B12*$D12)*((1+$B$5)^F$7))*(1/((1+$F$5)^F$7))),0)), "")</f>
        <v/>
      </c>
      <c r="G12" s="27" t="str">
        <f>IF($A12&lt;&gt;"", (IF('5Replacement Costs - Entry'!V13="Y",((($B12*$D12)*((1+$B$5)^G$7))*(1/((1+$F$5)^G$7))),0)), "")</f>
        <v/>
      </c>
      <c r="H12" s="27" t="str">
        <f>IF($A12&lt;&gt;"", (IF('5Replacement Costs - Entry'!W13="Y",((($B12*$D12)*((1+$B$5)^H$7))*(1/((1+$F$5)^H$7))),0)), "")</f>
        <v/>
      </c>
      <c r="I12" s="27" t="str">
        <f>IF($A12&lt;&gt;"", (IF('5Replacement Costs - Entry'!X13="Y",((($B12*$D12)*((1+$B$5)^I$7))*(1/((1+$F$5)^I$7))),0)), "")</f>
        <v/>
      </c>
    </row>
    <row r="13" spans="1:9">
      <c r="A13" s="29" t="str">
        <f>IF('5Capital Costs'!A14&lt;&gt;"", '5Capital Costs'!A14, "")</f>
        <v/>
      </c>
      <c r="B13" s="3" t="str">
        <f>IF('5Capital Costs'!B14&lt;&gt;"", '5Capital Costs'!B14, "")</f>
        <v/>
      </c>
      <c r="C13" s="46" t="str">
        <f>IF('5Capital Costs'!C14&lt;&gt;"", '5Capital Costs'!C14, "")</f>
        <v/>
      </c>
      <c r="D13" s="47" t="str">
        <f>IF('5Capital Costs'!D14&lt;&gt;"", '5Capital Costs'!D14, "")</f>
        <v/>
      </c>
      <c r="E13" s="27" t="str">
        <f>IF($A13&lt;&gt;"", (IF('5Replacement Costs - Entry'!T14="Y",((($B13*$D13)*((1+$B$5)^E$7))*(1/((1+$F$5)^E$7))),0)), "")</f>
        <v/>
      </c>
      <c r="F13" s="27" t="str">
        <f>IF($A13&lt;&gt;"", (IF('5Replacement Costs - Entry'!U14="Y",((($B13*$D13)*((1+$B$5)^F$7))*(1/((1+$F$5)^F$7))),0)), "")</f>
        <v/>
      </c>
      <c r="G13" s="27" t="str">
        <f>IF($A13&lt;&gt;"", (IF('5Replacement Costs - Entry'!V14="Y",((($B13*$D13)*((1+$B$5)^G$7))*(1/((1+$F$5)^G$7))),0)), "")</f>
        <v/>
      </c>
      <c r="H13" s="27" t="str">
        <f>IF($A13&lt;&gt;"", (IF('5Replacement Costs - Entry'!W14="Y",((($B13*$D13)*((1+$B$5)^H$7))*(1/((1+$F$5)^H$7))),0)), "")</f>
        <v/>
      </c>
      <c r="I13" s="27" t="str">
        <f>IF($A13&lt;&gt;"", (IF('5Replacement Costs - Entry'!X14="Y",((($B13*$D13)*((1+$B$5)^I$7))*(1/((1+$F$5)^I$7))),0)), "")</f>
        <v/>
      </c>
    </row>
    <row r="14" spans="1:9">
      <c r="A14" s="29" t="str">
        <f>IF('5Capital Costs'!A15&lt;&gt;"", '5Capital Costs'!A15, "")</f>
        <v/>
      </c>
      <c r="B14" s="3" t="str">
        <f>IF('5Capital Costs'!B15&lt;&gt;"", '5Capital Costs'!B15, "")</f>
        <v/>
      </c>
      <c r="C14" s="46" t="str">
        <f>IF('5Capital Costs'!C15&lt;&gt;"", '5Capital Costs'!C15, "")</f>
        <v/>
      </c>
      <c r="D14" s="47" t="str">
        <f>IF('5Capital Costs'!D15&lt;&gt;"", '5Capital Costs'!D15, "")</f>
        <v/>
      </c>
      <c r="E14" s="27" t="str">
        <f>IF($A14&lt;&gt;"", (IF('5Replacement Costs - Entry'!T15="Y",((($B14*$D14)*((1+$B$5)^E$7))*(1/((1+$F$5)^E$7))),0)), "")</f>
        <v/>
      </c>
      <c r="F14" s="27" t="str">
        <f>IF($A14&lt;&gt;"", (IF('5Replacement Costs - Entry'!U15="Y",((($B14*$D14)*((1+$B$5)^F$7))*(1/((1+$F$5)^F$7))),0)), "")</f>
        <v/>
      </c>
      <c r="G14" s="27" t="str">
        <f>IF($A14&lt;&gt;"", (IF('5Replacement Costs - Entry'!V15="Y",((($B14*$D14)*((1+$B$5)^G$7))*(1/((1+$F$5)^G$7))),0)), "")</f>
        <v/>
      </c>
      <c r="H14" s="27" t="str">
        <f>IF($A14&lt;&gt;"", (IF('5Replacement Costs - Entry'!W15="Y",((($B14*$D14)*((1+$B$5)^H$7))*(1/((1+$F$5)^H$7))),0)), "")</f>
        <v/>
      </c>
      <c r="I14" s="27" t="str">
        <f>IF($A14&lt;&gt;"", (IF('5Replacement Costs - Entry'!X15="Y",((($B14*$D14)*((1+$B$5)^I$7))*(1/((1+$F$5)^I$7))),0)), "")</f>
        <v/>
      </c>
    </row>
    <row r="15" spans="1:9">
      <c r="A15" s="29" t="str">
        <f>IF('5Capital Costs'!A16&lt;&gt;"", '5Capital Costs'!A16, "")</f>
        <v/>
      </c>
      <c r="B15" s="3" t="str">
        <f>IF('5Capital Costs'!B16&lt;&gt;"", '5Capital Costs'!B16, "")</f>
        <v/>
      </c>
      <c r="C15" s="46" t="str">
        <f>IF('5Capital Costs'!C16&lt;&gt;"", '5Capital Costs'!C16, "")</f>
        <v/>
      </c>
      <c r="D15" s="47" t="str">
        <f>IF('5Capital Costs'!D16&lt;&gt;"", '5Capital Costs'!D16, "")</f>
        <v/>
      </c>
      <c r="E15" s="27" t="str">
        <f>IF($A15&lt;&gt;"", (IF('5Replacement Costs - Entry'!T16="Y",((($B15*$D15)*((1+$B$5)^E$7))*(1/((1+$F$5)^E$7))),0)), "")</f>
        <v/>
      </c>
      <c r="F15" s="27" t="str">
        <f>IF($A15&lt;&gt;"", (IF('5Replacement Costs - Entry'!U16="Y",((($B15*$D15)*((1+$B$5)^F$7))*(1/((1+$F$5)^F$7))),0)), "")</f>
        <v/>
      </c>
      <c r="G15" s="27" t="str">
        <f>IF($A15&lt;&gt;"", (IF('5Replacement Costs - Entry'!V16="Y",((($B15*$D15)*((1+$B$5)^G$7))*(1/((1+$F$5)^G$7))),0)), "")</f>
        <v/>
      </c>
      <c r="H15" s="27" t="str">
        <f>IF($A15&lt;&gt;"", (IF('5Replacement Costs - Entry'!W16="Y",((($B15*$D15)*((1+$B$5)^H$7))*(1/((1+$F$5)^H$7))),0)), "")</f>
        <v/>
      </c>
      <c r="I15" s="27" t="str">
        <f>IF($A15&lt;&gt;"", (IF('5Replacement Costs - Entry'!X16="Y",((($B15*$D15)*((1+$B$5)^I$7))*(1/((1+$F$5)^I$7))),0)), "")</f>
        <v/>
      </c>
    </row>
    <row r="16" spans="1:9">
      <c r="A16" s="29" t="str">
        <f>IF('5Capital Costs'!A17&lt;&gt;"", '5Capital Costs'!A17, "")</f>
        <v/>
      </c>
      <c r="B16" s="3" t="str">
        <f>IF('5Capital Costs'!B17&lt;&gt;"", '5Capital Costs'!B17, "")</f>
        <v/>
      </c>
      <c r="C16" s="46" t="str">
        <f>IF('5Capital Costs'!C17&lt;&gt;"", '5Capital Costs'!C17, "")</f>
        <v/>
      </c>
      <c r="D16" s="47" t="str">
        <f>IF('5Capital Costs'!D17&lt;&gt;"", '5Capital Costs'!D17, "")</f>
        <v/>
      </c>
      <c r="E16" s="27" t="str">
        <f>IF($A16&lt;&gt;"", (IF('5Replacement Costs - Entry'!T17="Y",((($B16*$D16)*((1+$B$5)^E$7))*(1/((1+$F$5)^E$7))),0)), "")</f>
        <v/>
      </c>
      <c r="F16" s="27" t="str">
        <f>IF($A16&lt;&gt;"", (IF('5Replacement Costs - Entry'!U17="Y",((($B16*$D16)*((1+$B$5)^F$7))*(1/((1+$F$5)^F$7))),0)), "")</f>
        <v/>
      </c>
      <c r="G16" s="27" t="str">
        <f>IF($A16&lt;&gt;"", (IF('5Replacement Costs - Entry'!V17="Y",((($B16*$D16)*((1+$B$5)^G$7))*(1/((1+$F$5)^G$7))),0)), "")</f>
        <v/>
      </c>
      <c r="H16" s="27" t="str">
        <f>IF($A16&lt;&gt;"", (IF('5Replacement Costs - Entry'!W17="Y",((($B16*$D16)*((1+$B$5)^H$7))*(1/((1+$F$5)^H$7))),0)), "")</f>
        <v/>
      </c>
      <c r="I16" s="27" t="str">
        <f>IF($A16&lt;&gt;"", (IF('5Replacement Costs - Entry'!X17="Y",((($B16*$D16)*((1+$B$5)^I$7))*(1/((1+$F$5)^I$7))),0)), "")</f>
        <v/>
      </c>
    </row>
    <row r="17" spans="1:9">
      <c r="A17" s="29" t="str">
        <f>IF('5Capital Costs'!A18&lt;&gt;"", '5Capital Costs'!A18, "")</f>
        <v/>
      </c>
      <c r="B17" s="3" t="str">
        <f>IF('5Capital Costs'!B18&lt;&gt;"", '5Capital Costs'!B18, "")</f>
        <v/>
      </c>
      <c r="C17" s="46" t="str">
        <f>IF('5Capital Costs'!C18&lt;&gt;"", '5Capital Costs'!C18, "")</f>
        <v/>
      </c>
      <c r="D17" s="47" t="str">
        <f>IF('5Capital Costs'!D18&lt;&gt;"", '5Capital Costs'!D18, "")</f>
        <v/>
      </c>
      <c r="E17" s="27" t="str">
        <f>IF($A17&lt;&gt;"", (IF('5Replacement Costs - Entry'!T18="Y",((($B17*$D17)*((1+$B$5)^E$7))*(1/((1+$F$5)^E$7))),0)), "")</f>
        <v/>
      </c>
      <c r="F17" s="27" t="str">
        <f>IF($A17&lt;&gt;"", (IF('5Replacement Costs - Entry'!U18="Y",((($B17*$D17)*((1+$B$5)^F$7))*(1/((1+$F$5)^F$7))),0)), "")</f>
        <v/>
      </c>
      <c r="G17" s="27" t="str">
        <f>IF($A17&lt;&gt;"", (IF('5Replacement Costs - Entry'!V18="Y",((($B17*$D17)*((1+$B$5)^G$7))*(1/((1+$F$5)^G$7))),0)), "")</f>
        <v/>
      </c>
      <c r="H17" s="27" t="str">
        <f>IF($A17&lt;&gt;"", (IF('5Replacement Costs - Entry'!W18="Y",((($B17*$D17)*((1+$B$5)^H$7))*(1/((1+$F$5)^H$7))),0)), "")</f>
        <v/>
      </c>
      <c r="I17" s="27" t="str">
        <f>IF($A17&lt;&gt;"", (IF('5Replacement Costs - Entry'!X18="Y",((($B17*$D17)*((1+$B$5)^I$7))*(1/((1+$F$5)^I$7))),0)), "")</f>
        <v/>
      </c>
    </row>
    <row r="18" spans="1:9">
      <c r="A18" s="29" t="str">
        <f>IF('5Capital Costs'!A19&lt;&gt;"", '5Capital Costs'!A19, "")</f>
        <v/>
      </c>
      <c r="B18" s="3" t="str">
        <f>IF('5Capital Costs'!B19&lt;&gt;"", '5Capital Costs'!B19, "")</f>
        <v/>
      </c>
      <c r="C18" s="46" t="str">
        <f>IF('5Capital Costs'!C19&lt;&gt;"", '5Capital Costs'!C19, "")</f>
        <v/>
      </c>
      <c r="D18" s="47" t="str">
        <f>IF('5Capital Costs'!D19&lt;&gt;"", '5Capital Costs'!D19, "")</f>
        <v/>
      </c>
      <c r="E18" s="27" t="str">
        <f>IF($A18&lt;&gt;"", (IF('5Replacement Costs - Entry'!T19="Y",((($B18*$D18)*((1+$B$5)^E$7))*(1/((1+$F$5)^E$7))),0)), "")</f>
        <v/>
      </c>
      <c r="F18" s="27" t="str">
        <f>IF($A18&lt;&gt;"", (IF('5Replacement Costs - Entry'!U19="Y",((($B18*$D18)*((1+$B$5)^F$7))*(1/((1+$F$5)^F$7))),0)), "")</f>
        <v/>
      </c>
      <c r="G18" s="27" t="str">
        <f>IF($A18&lt;&gt;"", (IF('5Replacement Costs - Entry'!V19="Y",((($B18*$D18)*((1+$B$5)^G$7))*(1/((1+$F$5)^G$7))),0)), "")</f>
        <v/>
      </c>
      <c r="H18" s="27" t="str">
        <f>IF($A18&lt;&gt;"", (IF('5Replacement Costs - Entry'!W19="Y",((($B18*$D18)*((1+$B$5)^H$7))*(1/((1+$F$5)^H$7))),0)), "")</f>
        <v/>
      </c>
      <c r="I18" s="27" t="str">
        <f>IF($A18&lt;&gt;"", (IF('5Replacement Costs - Entry'!X19="Y",((($B18*$D18)*((1+$B$5)^I$7))*(1/((1+$F$5)^I$7))),0)), "")</f>
        <v/>
      </c>
    </row>
    <row r="19" spans="1:9">
      <c r="A19" s="29" t="str">
        <f>IF('5Capital Costs'!A20&lt;&gt;"", '5Capital Costs'!A20, "")</f>
        <v/>
      </c>
      <c r="B19" s="3" t="str">
        <f>IF('5Capital Costs'!B20&lt;&gt;"", '5Capital Costs'!B20, "")</f>
        <v/>
      </c>
      <c r="C19" s="46" t="str">
        <f>IF('5Capital Costs'!C20&lt;&gt;"", '5Capital Costs'!C20, "")</f>
        <v/>
      </c>
      <c r="D19" s="47" t="str">
        <f>IF('5Capital Costs'!D20&lt;&gt;"", '5Capital Costs'!D20, "")</f>
        <v/>
      </c>
      <c r="E19" s="27" t="str">
        <f>IF($A19&lt;&gt;"", (IF('5Replacement Costs - Entry'!T20="Y",((($B19*$D19)*((1+$B$5)^E$7))*(1/((1+$F$5)^E$7))),0)), "")</f>
        <v/>
      </c>
      <c r="F19" s="27" t="str">
        <f>IF($A19&lt;&gt;"", (IF('5Replacement Costs - Entry'!U20="Y",((($B19*$D19)*((1+$B$5)^F$7))*(1/((1+$F$5)^F$7))),0)), "")</f>
        <v/>
      </c>
      <c r="G19" s="27" t="str">
        <f>IF($A19&lt;&gt;"", (IF('5Replacement Costs - Entry'!V20="Y",((($B19*$D19)*((1+$B$5)^G$7))*(1/((1+$F$5)^G$7))),0)), "")</f>
        <v/>
      </c>
      <c r="H19" s="27" t="str">
        <f>IF($A19&lt;&gt;"", (IF('5Replacement Costs - Entry'!W20="Y",((($B19*$D19)*((1+$B$5)^H$7))*(1/((1+$F$5)^H$7))),0)), "")</f>
        <v/>
      </c>
      <c r="I19" s="27" t="str">
        <f>IF($A19&lt;&gt;"", (IF('5Replacement Costs - Entry'!X20="Y",((($B19*$D19)*((1+$B$5)^I$7))*(1/((1+$F$5)^I$7))),0)), "")</f>
        <v/>
      </c>
    </row>
    <row r="20" spans="1:9">
      <c r="A20" s="29" t="str">
        <f>IF('5Capital Costs'!A21&lt;&gt;"", '5Capital Costs'!A21, "")</f>
        <v/>
      </c>
      <c r="B20" s="3" t="str">
        <f>IF('5Capital Costs'!B21&lt;&gt;"", '5Capital Costs'!B21, "")</f>
        <v/>
      </c>
      <c r="C20" s="46" t="str">
        <f>IF('5Capital Costs'!C21&lt;&gt;"", '5Capital Costs'!C21, "")</f>
        <v/>
      </c>
      <c r="D20" s="47" t="str">
        <f>IF('5Capital Costs'!D21&lt;&gt;"", '5Capital Costs'!D21, "")</f>
        <v/>
      </c>
      <c r="E20" s="27" t="str">
        <f>IF($A20&lt;&gt;"", (IF('5Replacement Costs - Entry'!T21="Y",((($B20*$D20)*((1+$B$5)^E$7))*(1/((1+$F$5)^E$7))),0)), "")</f>
        <v/>
      </c>
      <c r="F20" s="27" t="str">
        <f>IF($A20&lt;&gt;"", (IF('5Replacement Costs - Entry'!U21="Y",((($B20*$D20)*((1+$B$5)^F$7))*(1/((1+$F$5)^F$7))),0)), "")</f>
        <v/>
      </c>
      <c r="G20" s="27" t="str">
        <f>IF($A20&lt;&gt;"", (IF('5Replacement Costs - Entry'!V21="Y",((($B20*$D20)*((1+$B$5)^G$7))*(1/((1+$F$5)^G$7))),0)), "")</f>
        <v/>
      </c>
      <c r="H20" s="27" t="str">
        <f>IF($A20&lt;&gt;"", (IF('5Replacement Costs - Entry'!W21="Y",((($B20*$D20)*((1+$B$5)^H$7))*(1/((1+$F$5)^H$7))),0)), "")</f>
        <v/>
      </c>
      <c r="I20" s="27" t="str">
        <f>IF($A20&lt;&gt;"", (IF('5Replacement Costs - Entry'!X21="Y",((($B20*$D20)*((1+$B$5)^I$7))*(1/((1+$F$5)^I$7))),0)), "")</f>
        <v/>
      </c>
    </row>
    <row r="21" spans="1:9">
      <c r="A21" s="29" t="str">
        <f>IF('5Capital Costs'!A22&lt;&gt;"", '5Capital Costs'!A22, "")</f>
        <v/>
      </c>
      <c r="B21" s="3" t="str">
        <f>IF('5Capital Costs'!B22&lt;&gt;"", '5Capital Costs'!B22, "")</f>
        <v/>
      </c>
      <c r="C21" s="46" t="str">
        <f>IF('5Capital Costs'!C22&lt;&gt;"", '5Capital Costs'!C22, "")</f>
        <v/>
      </c>
      <c r="D21" s="47" t="str">
        <f>IF('5Capital Costs'!D22&lt;&gt;"", '5Capital Costs'!D22, "")</f>
        <v/>
      </c>
      <c r="E21" s="27" t="str">
        <f>IF($A21&lt;&gt;"", (IF('5Replacement Costs - Entry'!T22="Y",((($B21*$D21)*((1+$B$5)^E$7))*(1/((1+$F$5)^E$7))),0)), "")</f>
        <v/>
      </c>
      <c r="F21" s="27" t="str">
        <f>IF($A21&lt;&gt;"", (IF('5Replacement Costs - Entry'!U22="Y",((($B21*$D21)*((1+$B$5)^F$7))*(1/((1+$F$5)^F$7))),0)), "")</f>
        <v/>
      </c>
      <c r="G21" s="27" t="str">
        <f>IF($A21&lt;&gt;"", (IF('5Replacement Costs - Entry'!V22="Y",((($B21*$D21)*((1+$B$5)^G$7))*(1/((1+$F$5)^G$7))),0)), "")</f>
        <v/>
      </c>
      <c r="H21" s="27" t="str">
        <f>IF($A21&lt;&gt;"", (IF('5Replacement Costs - Entry'!W22="Y",((($B21*$D21)*((1+$B$5)^H$7))*(1/((1+$F$5)^H$7))),0)), "")</f>
        <v/>
      </c>
      <c r="I21" s="27" t="str">
        <f>IF($A21&lt;&gt;"", (IF('5Replacement Costs - Entry'!X22="Y",((($B21*$D21)*((1+$B$5)^I$7))*(1/((1+$F$5)^I$7))),0)), "")</f>
        <v/>
      </c>
    </row>
    <row r="22" spans="1:9">
      <c r="A22" s="29" t="str">
        <f>IF('5Capital Costs'!A23&lt;&gt;"", '5Capital Costs'!A23, "")</f>
        <v/>
      </c>
      <c r="B22" s="3" t="str">
        <f>IF('5Capital Costs'!B23&lt;&gt;"", '5Capital Costs'!B23, "")</f>
        <v/>
      </c>
      <c r="C22" s="46" t="str">
        <f>IF('5Capital Costs'!C23&lt;&gt;"", '5Capital Costs'!C23, "")</f>
        <v/>
      </c>
      <c r="D22" s="47" t="str">
        <f>IF('5Capital Costs'!D23&lt;&gt;"", '5Capital Costs'!D23, "")</f>
        <v/>
      </c>
      <c r="E22" s="27" t="str">
        <f>IF($A22&lt;&gt;"", (IF('5Replacement Costs - Entry'!T23="Y",((($B22*$D22)*((1+$B$5)^E$7))*(1/((1+$F$5)^E$7))),0)), "")</f>
        <v/>
      </c>
      <c r="F22" s="27" t="str">
        <f>IF($A22&lt;&gt;"", (IF('5Replacement Costs - Entry'!U23="Y",((($B22*$D22)*((1+$B$5)^F$7))*(1/((1+$F$5)^F$7))),0)), "")</f>
        <v/>
      </c>
      <c r="G22" s="27" t="str">
        <f>IF($A22&lt;&gt;"", (IF('5Replacement Costs - Entry'!V23="Y",((($B22*$D22)*((1+$B$5)^G$7))*(1/((1+$F$5)^G$7))),0)), "")</f>
        <v/>
      </c>
      <c r="H22" s="27" t="str">
        <f>IF($A22&lt;&gt;"", (IF('5Replacement Costs - Entry'!W23="Y",((($B22*$D22)*((1+$B$5)^H$7))*(1/((1+$F$5)^H$7))),0)), "")</f>
        <v/>
      </c>
      <c r="I22" s="27" t="str">
        <f>IF($A22&lt;&gt;"", (IF('5Replacement Costs - Entry'!X23="Y",((($B22*$D22)*((1+$B$5)^I$7))*(1/((1+$F$5)^I$7))),0)), "")</f>
        <v/>
      </c>
    </row>
    <row r="23" spans="1:9">
      <c r="A23" s="29" t="str">
        <f>IF('5Capital Costs'!A24&lt;&gt;"", '5Capital Costs'!A24, "")</f>
        <v/>
      </c>
      <c r="B23" s="3" t="str">
        <f>IF('5Capital Costs'!B24&lt;&gt;"", '5Capital Costs'!B24, "")</f>
        <v/>
      </c>
      <c r="C23" s="46" t="str">
        <f>IF('5Capital Costs'!C24&lt;&gt;"", '5Capital Costs'!C24, "")</f>
        <v/>
      </c>
      <c r="D23" s="47" t="str">
        <f>IF('5Capital Costs'!D24&lt;&gt;"", '5Capital Costs'!D24, "")</f>
        <v/>
      </c>
      <c r="E23" s="27" t="str">
        <f>IF($A23&lt;&gt;"", (IF('5Replacement Costs - Entry'!T24="Y",((($B23*$D23)*((1+$B$5)^E$7))*(1/((1+$F$5)^E$7))),0)), "")</f>
        <v/>
      </c>
      <c r="F23" s="27" t="str">
        <f>IF($A23&lt;&gt;"", (IF('5Replacement Costs - Entry'!U24="Y",((($B23*$D23)*((1+$B$5)^F$7))*(1/((1+$F$5)^F$7))),0)), "")</f>
        <v/>
      </c>
      <c r="G23" s="27" t="str">
        <f>IF($A23&lt;&gt;"", (IF('5Replacement Costs - Entry'!V24="Y",((($B23*$D23)*((1+$B$5)^G$7))*(1/((1+$F$5)^G$7))),0)), "")</f>
        <v/>
      </c>
      <c r="H23" s="27" t="str">
        <f>IF($A23&lt;&gt;"", (IF('5Replacement Costs - Entry'!W24="Y",((($B23*$D23)*((1+$B$5)^H$7))*(1/((1+$F$5)^H$7))),0)), "")</f>
        <v/>
      </c>
      <c r="I23" s="27" t="str">
        <f>IF($A23&lt;&gt;"", (IF('5Replacement Costs - Entry'!X24="Y",((($B23*$D23)*((1+$B$5)^I$7))*(1/((1+$F$5)^I$7))),0)), "")</f>
        <v/>
      </c>
    </row>
    <row r="24" spans="1:9">
      <c r="A24" s="29" t="str">
        <f>IF('5Capital Costs'!A25&lt;&gt;"", '5Capital Costs'!A25, "")</f>
        <v/>
      </c>
      <c r="B24" s="3" t="str">
        <f>IF('5Capital Costs'!B25&lt;&gt;"", '5Capital Costs'!B25, "")</f>
        <v/>
      </c>
      <c r="C24" s="46" t="str">
        <f>IF('5Capital Costs'!C25&lt;&gt;"", '5Capital Costs'!C25, "")</f>
        <v/>
      </c>
      <c r="D24" s="47" t="str">
        <f>IF('5Capital Costs'!D25&lt;&gt;"", '5Capital Costs'!D25, "")</f>
        <v/>
      </c>
      <c r="E24" s="27" t="str">
        <f>IF($A24&lt;&gt;"", (IF('5Replacement Costs - Entry'!T25="Y",((($B24*$D24)*((1+$B$5)^E$7))*(1/((1+$F$5)^E$7))),0)), "")</f>
        <v/>
      </c>
      <c r="F24" s="27" t="str">
        <f>IF($A24&lt;&gt;"", (IF('5Replacement Costs - Entry'!U25="Y",((($B24*$D24)*((1+$B$5)^F$7))*(1/((1+$F$5)^F$7))),0)), "")</f>
        <v/>
      </c>
      <c r="G24" s="27" t="str">
        <f>IF($A24&lt;&gt;"", (IF('5Replacement Costs - Entry'!V25="Y",((($B24*$D24)*((1+$B$5)^G$7))*(1/((1+$F$5)^G$7))),0)), "")</f>
        <v/>
      </c>
      <c r="H24" s="27" t="str">
        <f>IF($A24&lt;&gt;"", (IF('5Replacement Costs - Entry'!W25="Y",((($B24*$D24)*((1+$B$5)^H$7))*(1/((1+$F$5)^H$7))),0)), "")</f>
        <v/>
      </c>
      <c r="I24" s="27" t="str">
        <f>IF($A24&lt;&gt;"", (IF('5Replacement Costs - Entry'!X25="Y",((($B24*$D24)*((1+$B$5)^I$7))*(1/((1+$F$5)^I$7))),0)), "")</f>
        <v/>
      </c>
    </row>
    <row r="25" spans="1:9">
      <c r="A25" s="29" t="str">
        <f>IF('5Capital Costs'!A26&lt;&gt;"", '5Capital Costs'!A26, "")</f>
        <v/>
      </c>
      <c r="B25" s="3" t="str">
        <f>IF('5Capital Costs'!B26&lt;&gt;"", '5Capital Costs'!B26, "")</f>
        <v/>
      </c>
      <c r="C25" s="46" t="str">
        <f>IF('5Capital Costs'!C26&lt;&gt;"", '5Capital Costs'!C26, "")</f>
        <v/>
      </c>
      <c r="D25" s="47" t="str">
        <f>IF('5Capital Costs'!D26&lt;&gt;"", '5Capital Costs'!D26, "")</f>
        <v/>
      </c>
      <c r="E25" s="27" t="str">
        <f>IF($A25&lt;&gt;"", (IF('5Replacement Costs - Entry'!T26="Y",((($B25*$D25)*((1+$B$5)^E$7))*(1/((1+$F$5)^E$7))),0)), "")</f>
        <v/>
      </c>
      <c r="F25" s="27" t="str">
        <f>IF($A25&lt;&gt;"", (IF('5Replacement Costs - Entry'!U26="Y",((($B25*$D25)*((1+$B$5)^F$7))*(1/((1+$F$5)^F$7))),0)), "")</f>
        <v/>
      </c>
      <c r="G25" s="27" t="str">
        <f>IF($A25&lt;&gt;"", (IF('5Replacement Costs - Entry'!V26="Y",((($B25*$D25)*((1+$B$5)^G$7))*(1/((1+$F$5)^G$7))),0)), "")</f>
        <v/>
      </c>
      <c r="H25" s="27" t="str">
        <f>IF($A25&lt;&gt;"", (IF('5Replacement Costs - Entry'!W26="Y",((($B25*$D25)*((1+$B$5)^H$7))*(1/((1+$F$5)^H$7))),0)), "")</f>
        <v/>
      </c>
      <c r="I25" s="27" t="str">
        <f>IF($A25&lt;&gt;"", (IF('5Replacement Costs - Entry'!X26="Y",((($B25*$D25)*((1+$B$5)^I$7))*(1/((1+$F$5)^I$7))),0)), "")</f>
        <v/>
      </c>
    </row>
    <row r="26" spans="1:9">
      <c r="A26" s="29" t="str">
        <f>IF('5Capital Costs'!A27&lt;&gt;"", '5Capital Costs'!A27, "")</f>
        <v/>
      </c>
      <c r="B26" s="3" t="str">
        <f>IF('5Capital Costs'!B27&lt;&gt;"", '5Capital Costs'!B27, "")</f>
        <v/>
      </c>
      <c r="C26" s="46" t="str">
        <f>IF('5Capital Costs'!C27&lt;&gt;"", '5Capital Costs'!C27, "")</f>
        <v/>
      </c>
      <c r="D26" s="47" t="str">
        <f>IF('5Capital Costs'!D27&lt;&gt;"", '5Capital Costs'!D27, "")</f>
        <v/>
      </c>
      <c r="E26" s="27" t="str">
        <f>IF($A26&lt;&gt;"", (IF('5Replacement Costs - Entry'!T27="Y",((($B26*$D26)*((1+$B$5)^E$7))*(1/((1+$F$5)^E$7))),0)), "")</f>
        <v/>
      </c>
      <c r="F26" s="27" t="str">
        <f>IF($A26&lt;&gt;"", (IF('5Replacement Costs - Entry'!U27="Y",((($B26*$D26)*((1+$B$5)^F$7))*(1/((1+$F$5)^F$7))),0)), "")</f>
        <v/>
      </c>
      <c r="G26" s="27" t="str">
        <f>IF($A26&lt;&gt;"", (IF('5Replacement Costs - Entry'!V27="Y",((($B26*$D26)*((1+$B$5)^G$7))*(1/((1+$F$5)^G$7))),0)), "")</f>
        <v/>
      </c>
      <c r="H26" s="27" t="str">
        <f>IF($A26&lt;&gt;"", (IF('5Replacement Costs - Entry'!W27="Y",((($B26*$D26)*((1+$B$5)^H$7))*(1/((1+$F$5)^H$7))),0)), "")</f>
        <v/>
      </c>
      <c r="I26" s="27" t="str">
        <f>IF($A26&lt;&gt;"", (IF('5Replacement Costs - Entry'!X27="Y",((($B26*$D26)*((1+$B$5)^I$7))*(1/((1+$F$5)^I$7))),0)), "")</f>
        <v/>
      </c>
    </row>
    <row r="27" spans="1:9">
      <c r="A27" s="29" t="str">
        <f>IF('5Capital Costs'!A28&lt;&gt;"", '5Capital Costs'!A28, "")</f>
        <v/>
      </c>
      <c r="B27" s="3" t="str">
        <f>IF('5Capital Costs'!B28&lt;&gt;"", '5Capital Costs'!B28, "")</f>
        <v/>
      </c>
      <c r="C27" s="46" t="str">
        <f>IF('5Capital Costs'!C28&lt;&gt;"", '5Capital Costs'!C28, "")</f>
        <v/>
      </c>
      <c r="D27" s="47" t="str">
        <f>IF('5Capital Costs'!D28&lt;&gt;"", '5Capital Costs'!D28, "")</f>
        <v/>
      </c>
      <c r="E27" s="27" t="str">
        <f>IF($A27&lt;&gt;"", (IF('5Replacement Costs - Entry'!T28="Y",((($B27*$D27)*((1+$B$5)^E$7))*(1/((1+$F$5)^E$7))),0)), "")</f>
        <v/>
      </c>
      <c r="F27" s="27" t="str">
        <f>IF($A27&lt;&gt;"", (IF('5Replacement Costs - Entry'!U28="Y",((($B27*$D27)*((1+$B$5)^F$7))*(1/((1+$F$5)^F$7))),0)), "")</f>
        <v/>
      </c>
      <c r="G27" s="27" t="str">
        <f>IF($A27&lt;&gt;"", (IF('5Replacement Costs - Entry'!V28="Y",((($B27*$D27)*((1+$B$5)^G$7))*(1/((1+$F$5)^G$7))),0)), "")</f>
        <v/>
      </c>
      <c r="H27" s="27" t="str">
        <f>IF($A27&lt;&gt;"", (IF('5Replacement Costs - Entry'!W28="Y",((($B27*$D27)*((1+$B$5)^H$7))*(1/((1+$F$5)^H$7))),0)), "")</f>
        <v/>
      </c>
      <c r="I27" s="27" t="str">
        <f>IF($A27&lt;&gt;"", (IF('5Replacement Costs - Entry'!X28="Y",((($B27*$D27)*((1+$B$5)^I$7))*(1/((1+$F$5)^I$7))),0)), "")</f>
        <v/>
      </c>
    </row>
    <row r="28" spans="1:9">
      <c r="A28" s="29" t="str">
        <f>IF('5Capital Costs'!A29&lt;&gt;"", '5Capital Costs'!A29, "")</f>
        <v/>
      </c>
      <c r="B28" s="3" t="str">
        <f>IF('5Capital Costs'!B29&lt;&gt;"", '5Capital Costs'!B29, "")</f>
        <v/>
      </c>
      <c r="C28" s="46" t="str">
        <f>IF('5Capital Costs'!C29&lt;&gt;"", '5Capital Costs'!C29, "")</f>
        <v/>
      </c>
      <c r="D28" s="47" t="str">
        <f>IF('5Capital Costs'!D29&lt;&gt;"", '5Capital Costs'!D29, "")</f>
        <v/>
      </c>
      <c r="E28" s="27" t="str">
        <f>IF($A28&lt;&gt;"", (IF('5Replacement Costs - Entry'!T29="Y",((($B28*$D28)*((1+$B$5)^E$7))*(1/((1+$F$5)^E$7))),0)), "")</f>
        <v/>
      </c>
      <c r="F28" s="27" t="str">
        <f>IF($A28&lt;&gt;"", (IF('5Replacement Costs - Entry'!U29="Y",((($B28*$D28)*((1+$B$5)^F$7))*(1/((1+$F$5)^F$7))),0)), "")</f>
        <v/>
      </c>
      <c r="G28" s="27" t="str">
        <f>IF($A28&lt;&gt;"", (IF('5Replacement Costs - Entry'!V29="Y",((($B28*$D28)*((1+$B$5)^G$7))*(1/((1+$F$5)^G$7))),0)), "")</f>
        <v/>
      </c>
      <c r="H28" s="27" t="str">
        <f>IF($A28&lt;&gt;"", (IF('5Replacement Costs - Entry'!W29="Y",((($B28*$D28)*((1+$B$5)^H$7))*(1/((1+$F$5)^H$7))),0)), "")</f>
        <v/>
      </c>
      <c r="I28" s="27" t="str">
        <f>IF($A28&lt;&gt;"", (IF('5Replacement Costs - Entry'!X29="Y",((($B28*$D28)*((1+$B$5)^I$7))*(1/((1+$F$5)^I$7))),0)), "")</f>
        <v/>
      </c>
    </row>
    <row r="29" spans="1:9">
      <c r="A29" s="29" t="str">
        <f>IF('5Capital Costs'!A30&lt;&gt;"", '5Capital Costs'!A30, "")</f>
        <v/>
      </c>
      <c r="B29" s="3" t="str">
        <f>IF('5Capital Costs'!B30&lt;&gt;"", '5Capital Costs'!B30, "")</f>
        <v/>
      </c>
      <c r="C29" s="46" t="str">
        <f>IF('5Capital Costs'!C30&lt;&gt;"", '5Capital Costs'!C30, "")</f>
        <v/>
      </c>
      <c r="D29" s="47" t="str">
        <f>IF('5Capital Costs'!D30&lt;&gt;"", '5Capital Costs'!D30, "")</f>
        <v/>
      </c>
      <c r="E29" s="27" t="str">
        <f>IF($A29&lt;&gt;"", (IF('5Replacement Costs - Entry'!T30="Y",((($B29*$D29)*((1+$B$5)^E$7))*(1/((1+$F$5)^E$7))),0)), "")</f>
        <v/>
      </c>
      <c r="F29" s="27" t="str">
        <f>IF($A29&lt;&gt;"", (IF('5Replacement Costs - Entry'!U30="Y",((($B29*$D29)*((1+$B$5)^F$7))*(1/((1+$F$5)^F$7))),0)), "")</f>
        <v/>
      </c>
      <c r="G29" s="27" t="str">
        <f>IF($A29&lt;&gt;"", (IF('5Replacement Costs - Entry'!V30="Y",((($B29*$D29)*((1+$B$5)^G$7))*(1/((1+$F$5)^G$7))),0)), "")</f>
        <v/>
      </c>
      <c r="H29" s="27" t="str">
        <f>IF($A29&lt;&gt;"", (IF('5Replacement Costs - Entry'!W30="Y",((($B29*$D29)*((1+$B$5)^H$7))*(1/((1+$F$5)^H$7))),0)), "")</f>
        <v/>
      </c>
      <c r="I29" s="27" t="str">
        <f>IF($A29&lt;&gt;"", (IF('5Replacement Costs - Entry'!X30="Y",((($B29*$D29)*((1+$B$5)^I$7))*(1/((1+$F$5)^I$7))),0)), "")</f>
        <v/>
      </c>
    </row>
    <row r="30" spans="1:9">
      <c r="A30" s="29" t="str">
        <f>IF('5Capital Costs'!A31&lt;&gt;"", '5Capital Costs'!A31, "")</f>
        <v/>
      </c>
      <c r="B30" s="3" t="str">
        <f>IF('5Capital Costs'!B31&lt;&gt;"", '5Capital Costs'!B31, "")</f>
        <v/>
      </c>
      <c r="C30" s="46" t="str">
        <f>IF('5Capital Costs'!C31&lt;&gt;"", '5Capital Costs'!C31, "")</f>
        <v/>
      </c>
      <c r="D30" s="47" t="str">
        <f>IF('5Capital Costs'!D31&lt;&gt;"", '5Capital Costs'!D31, "")</f>
        <v/>
      </c>
      <c r="E30" s="27" t="str">
        <f>IF($A30&lt;&gt;"", (IF('5Replacement Costs - Entry'!T31="Y",((($B30*$D30)*((1+$B$5)^E$7))*(1/((1+$F$5)^E$7))),0)), "")</f>
        <v/>
      </c>
      <c r="F30" s="27" t="str">
        <f>IF($A30&lt;&gt;"", (IF('5Replacement Costs - Entry'!U31="Y",((($B30*$D30)*((1+$B$5)^F$7))*(1/((1+$F$5)^F$7))),0)), "")</f>
        <v/>
      </c>
      <c r="G30" s="27" t="str">
        <f>IF($A30&lt;&gt;"", (IF('5Replacement Costs - Entry'!V31="Y",((($B30*$D30)*((1+$B$5)^G$7))*(1/((1+$F$5)^G$7))),0)), "")</f>
        <v/>
      </c>
      <c r="H30" s="27" t="str">
        <f>IF($A30&lt;&gt;"", (IF('5Replacement Costs - Entry'!W31="Y",((($B30*$D30)*((1+$B$5)^H$7))*(1/((1+$F$5)^H$7))),0)), "")</f>
        <v/>
      </c>
      <c r="I30" s="27" t="str">
        <f>IF($A30&lt;&gt;"", (IF('5Replacement Costs - Entry'!X31="Y",((($B30*$D30)*((1+$B$5)^I$7))*(1/((1+$F$5)^I$7))),0)), "")</f>
        <v/>
      </c>
    </row>
    <row r="31" spans="1:9">
      <c r="A31" s="29" t="str">
        <f>IF('5Capital Costs'!A32&lt;&gt;"", '5Capital Costs'!A32, "")</f>
        <v/>
      </c>
      <c r="B31" s="3" t="str">
        <f>IF('5Capital Costs'!B32&lt;&gt;"", '5Capital Costs'!B32, "")</f>
        <v/>
      </c>
      <c r="C31" s="46" t="str">
        <f>IF('5Capital Costs'!C32&lt;&gt;"", '5Capital Costs'!C32, "")</f>
        <v/>
      </c>
      <c r="D31" s="47" t="str">
        <f>IF('5Capital Costs'!D32&lt;&gt;"", '5Capital Costs'!D32, "")</f>
        <v/>
      </c>
      <c r="E31" s="27" t="str">
        <f>IF($A31&lt;&gt;"", (IF('5Replacement Costs - Entry'!T32="Y",((($B31*$D31)*((1+$B$5)^E$7))*(1/((1+$F$5)^E$7))),0)), "")</f>
        <v/>
      </c>
      <c r="F31" s="27" t="str">
        <f>IF($A31&lt;&gt;"", (IF('5Replacement Costs - Entry'!U32="Y",((($B31*$D31)*((1+$B$5)^F$7))*(1/((1+$F$5)^F$7))),0)), "")</f>
        <v/>
      </c>
      <c r="G31" s="27" t="str">
        <f>IF($A31&lt;&gt;"", (IF('5Replacement Costs - Entry'!V32="Y",((($B31*$D31)*((1+$B$5)^G$7))*(1/((1+$F$5)^G$7))),0)), "")</f>
        <v/>
      </c>
      <c r="H31" s="27" t="str">
        <f>IF($A31&lt;&gt;"", (IF('5Replacement Costs - Entry'!W32="Y",((($B31*$D31)*((1+$B$5)^H$7))*(1/((1+$F$5)^H$7))),0)), "")</f>
        <v/>
      </c>
      <c r="I31" s="27" t="str">
        <f>IF($A31&lt;&gt;"", (IF('5Replacement Costs - Entry'!X32="Y",((($B31*$D31)*((1+$B$5)^I$7))*(1/((1+$F$5)^I$7))),0)), "")</f>
        <v/>
      </c>
    </row>
    <row r="32" spans="1:9">
      <c r="A32" s="29" t="str">
        <f>IF('5Capital Costs'!A33&lt;&gt;"", '5Capital Costs'!A33, "")</f>
        <v/>
      </c>
      <c r="B32" s="3" t="str">
        <f>IF('5Capital Costs'!B33&lt;&gt;"", '5Capital Costs'!B33, "")</f>
        <v/>
      </c>
      <c r="C32" s="46" t="str">
        <f>IF('5Capital Costs'!C33&lt;&gt;"", '5Capital Costs'!C33, "")</f>
        <v/>
      </c>
      <c r="D32" s="47" t="str">
        <f>IF('5Capital Costs'!D33&lt;&gt;"", '5Capital Costs'!D33, "")</f>
        <v/>
      </c>
      <c r="E32" s="27" t="str">
        <f>IF($A32&lt;&gt;"", (IF('5Replacement Costs - Entry'!T33="Y",((($B32*$D32)*((1+$B$5)^E$7))*(1/((1+$F$5)^E$7))),0)), "")</f>
        <v/>
      </c>
      <c r="F32" s="27" t="str">
        <f>IF($A32&lt;&gt;"", (IF('5Replacement Costs - Entry'!U33="Y",((($B32*$D32)*((1+$B$5)^F$7))*(1/((1+$F$5)^F$7))),0)), "")</f>
        <v/>
      </c>
      <c r="G32" s="27" t="str">
        <f>IF($A32&lt;&gt;"", (IF('5Replacement Costs - Entry'!V33="Y",((($B32*$D32)*((1+$B$5)^G$7))*(1/((1+$F$5)^G$7))),0)), "")</f>
        <v/>
      </c>
      <c r="H32" s="27" t="str">
        <f>IF($A32&lt;&gt;"", (IF('5Replacement Costs - Entry'!W33="Y",((($B32*$D32)*((1+$B$5)^H$7))*(1/((1+$F$5)^H$7))),0)), "")</f>
        <v/>
      </c>
      <c r="I32" s="27" t="str">
        <f>IF($A32&lt;&gt;"", (IF('5Replacement Costs - Entry'!X33="Y",((($B32*$D32)*((1+$B$5)^I$7))*(1/((1+$F$5)^I$7))),0)), "")</f>
        <v/>
      </c>
    </row>
    <row r="33" spans="1:9">
      <c r="A33" s="29" t="str">
        <f>IF('5Capital Costs'!A34&lt;&gt;"", '5Capital Costs'!A34, "")</f>
        <v/>
      </c>
      <c r="B33" s="3" t="str">
        <f>IF('5Capital Costs'!B34&lt;&gt;"", '5Capital Costs'!B34, "")</f>
        <v/>
      </c>
      <c r="C33" s="46" t="str">
        <f>IF('5Capital Costs'!C34&lt;&gt;"", '5Capital Costs'!C34, "")</f>
        <v/>
      </c>
      <c r="D33" s="47" t="str">
        <f>IF('5Capital Costs'!D34&lt;&gt;"", '5Capital Costs'!D34, "")</f>
        <v/>
      </c>
      <c r="E33" s="27" t="str">
        <f>IF($A33&lt;&gt;"", (IF('5Replacement Costs - Entry'!T34="Y",((($B33*$D33)*((1+$B$5)^E$7))*(1/((1+$F$5)^E$7))),0)), "")</f>
        <v/>
      </c>
      <c r="F33" s="27" t="str">
        <f>IF($A33&lt;&gt;"", (IF('5Replacement Costs - Entry'!U34="Y",((($B33*$D33)*((1+$B$5)^F$7))*(1/((1+$F$5)^F$7))),0)), "")</f>
        <v/>
      </c>
      <c r="G33" s="27" t="str">
        <f>IF($A33&lt;&gt;"", (IF('5Replacement Costs - Entry'!V34="Y",((($B33*$D33)*((1+$B$5)^G$7))*(1/((1+$F$5)^G$7))),0)), "")</f>
        <v/>
      </c>
      <c r="H33" s="27" t="str">
        <f>IF($A33&lt;&gt;"", (IF('5Replacement Costs - Entry'!W34="Y",((($B33*$D33)*((1+$B$5)^H$7))*(1/((1+$F$5)^H$7))),0)), "")</f>
        <v/>
      </c>
      <c r="I33" s="27" t="str">
        <f>IF($A33&lt;&gt;"", (IF('5Replacement Costs - Entry'!X34="Y",((($B33*$D33)*((1+$B$5)^I$7))*(1/((1+$F$5)^I$7))),0)), "")</f>
        <v/>
      </c>
    </row>
    <row r="34" spans="1:9">
      <c r="A34" s="29" t="str">
        <f>IF('5Capital Costs'!A35&lt;&gt;"", '5Capital Costs'!A35, "")</f>
        <v/>
      </c>
      <c r="B34" s="3" t="str">
        <f>IF('5Capital Costs'!B35&lt;&gt;"", '5Capital Costs'!B35, "")</f>
        <v/>
      </c>
      <c r="C34" s="46" t="str">
        <f>IF('5Capital Costs'!C35&lt;&gt;"", '5Capital Costs'!C35, "")</f>
        <v/>
      </c>
      <c r="D34" s="47" t="str">
        <f>IF('5Capital Costs'!D35&lt;&gt;"", '5Capital Costs'!D35, "")</f>
        <v/>
      </c>
      <c r="E34" s="27" t="str">
        <f>IF($A34&lt;&gt;"", (IF('5Replacement Costs - Entry'!T35="Y",((($B34*$D34)*((1+$B$5)^E$7))*(1/((1+$F$5)^E$7))),0)), "")</f>
        <v/>
      </c>
      <c r="F34" s="27" t="str">
        <f>IF($A34&lt;&gt;"", (IF('5Replacement Costs - Entry'!U35="Y",((($B34*$D34)*((1+$B$5)^F$7))*(1/((1+$F$5)^F$7))),0)), "")</f>
        <v/>
      </c>
      <c r="G34" s="27" t="str">
        <f>IF($A34&lt;&gt;"", (IF('5Replacement Costs - Entry'!V35="Y",((($B34*$D34)*((1+$B$5)^G$7))*(1/((1+$F$5)^G$7))),0)), "")</f>
        <v/>
      </c>
      <c r="H34" s="27" t="str">
        <f>IF($A34&lt;&gt;"", (IF('5Replacement Costs - Entry'!W35="Y",((($B34*$D34)*((1+$B$5)^H$7))*(1/((1+$F$5)^H$7))),0)), "")</f>
        <v/>
      </c>
      <c r="I34" s="27" t="str">
        <f>IF($A34&lt;&gt;"", (IF('5Replacement Costs - Entry'!X35="Y",((($B34*$D34)*((1+$B$5)^I$7))*(1/((1+$F$5)^I$7))),0)), "")</f>
        <v/>
      </c>
    </row>
    <row r="35" spans="1:9">
      <c r="A35" s="29" t="str">
        <f>IF('5Capital Costs'!A36&lt;&gt;"", '5Capital Costs'!A36, "")</f>
        <v/>
      </c>
      <c r="B35" s="3" t="str">
        <f>IF('5Capital Costs'!B36&lt;&gt;"", '5Capital Costs'!B36, "")</f>
        <v/>
      </c>
      <c r="C35" s="46" t="str">
        <f>IF('5Capital Costs'!C36&lt;&gt;"", '5Capital Costs'!C36, "")</f>
        <v/>
      </c>
      <c r="D35" s="47" t="str">
        <f>IF('5Capital Costs'!D36&lt;&gt;"", '5Capital Costs'!D36, "")</f>
        <v/>
      </c>
      <c r="E35" s="27" t="str">
        <f>IF($A35&lt;&gt;"", (IF('5Replacement Costs - Entry'!T36="Y",((($B35*$D35)*((1+$B$5)^E$7))*(1/((1+$F$5)^E$7))),0)), "")</f>
        <v/>
      </c>
      <c r="F35" s="27" t="str">
        <f>IF($A35&lt;&gt;"", (IF('5Replacement Costs - Entry'!U36="Y",((($B35*$D35)*((1+$B$5)^F$7))*(1/((1+$F$5)^F$7))),0)), "")</f>
        <v/>
      </c>
      <c r="G35" s="27" t="str">
        <f>IF($A35&lt;&gt;"", (IF('5Replacement Costs - Entry'!V36="Y",((($B35*$D35)*((1+$B$5)^G$7))*(1/((1+$F$5)^G$7))),0)), "")</f>
        <v/>
      </c>
      <c r="H35" s="27" t="str">
        <f>IF($A35&lt;&gt;"", (IF('5Replacement Costs - Entry'!W36="Y",((($B35*$D35)*((1+$B$5)^H$7))*(1/((1+$F$5)^H$7))),0)), "")</f>
        <v/>
      </c>
      <c r="I35" s="27" t="str">
        <f>IF($A35&lt;&gt;"", (IF('5Replacement Costs - Entry'!X36="Y",((($B35*$D35)*((1+$B$5)^I$7))*(1/((1+$F$5)^I$7))),0)), "")</f>
        <v/>
      </c>
    </row>
    <row r="36" spans="1:9">
      <c r="A36" s="29" t="str">
        <f>IF('5Capital Costs'!A37&lt;&gt;"", '5Capital Costs'!A37, "")</f>
        <v/>
      </c>
      <c r="B36" s="3" t="str">
        <f>IF('5Capital Costs'!B37&lt;&gt;"", '5Capital Costs'!B37, "")</f>
        <v/>
      </c>
      <c r="C36" s="46" t="str">
        <f>IF('5Capital Costs'!C37&lt;&gt;"", '5Capital Costs'!C37, "")</f>
        <v/>
      </c>
      <c r="D36" s="47" t="str">
        <f>IF('5Capital Costs'!D37&lt;&gt;"", '5Capital Costs'!D37, "")</f>
        <v/>
      </c>
      <c r="E36" s="27" t="str">
        <f>IF($A36&lt;&gt;"", (IF('5Replacement Costs - Entry'!T37="Y",((($B36*$D36)*((1+$B$5)^E$7))*(1/((1+$F$5)^E$7))),0)), "")</f>
        <v/>
      </c>
      <c r="F36" s="27" t="str">
        <f>IF($A36&lt;&gt;"", (IF('5Replacement Costs - Entry'!U37="Y",((($B36*$D36)*((1+$B$5)^F$7))*(1/((1+$F$5)^F$7))),0)), "")</f>
        <v/>
      </c>
      <c r="G36" s="27" t="str">
        <f>IF($A36&lt;&gt;"", (IF('5Replacement Costs - Entry'!V37="Y",((($B36*$D36)*((1+$B$5)^G$7))*(1/((1+$F$5)^G$7))),0)), "")</f>
        <v/>
      </c>
      <c r="H36" s="27" t="str">
        <f>IF($A36&lt;&gt;"", (IF('5Replacement Costs - Entry'!W37="Y",((($B36*$D36)*((1+$B$5)^H$7))*(1/((1+$F$5)^H$7))),0)), "")</f>
        <v/>
      </c>
      <c r="I36" s="27" t="str">
        <f>IF($A36&lt;&gt;"", (IF('5Replacement Costs - Entry'!X37="Y",((($B36*$D36)*((1+$B$5)^I$7))*(1/((1+$F$5)^I$7))),0)), "")</f>
        <v/>
      </c>
    </row>
    <row r="37" spans="1:9">
      <c r="A37" s="23"/>
      <c r="B37" s="23"/>
      <c r="C37" s="23"/>
      <c r="D37" s="36" t="s">
        <v>47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178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'5Capital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'5Replace Costs-Results 11-15'!A5</f>
        <v>Current Inflation Rate based on Construction Cost Index:</v>
      </c>
      <c r="B5" s="69">
        <f>'5Replace Costs-Results 11-15'!B5</f>
        <v>2.0671834625323047E-2</v>
      </c>
      <c r="C5" s="67"/>
      <c r="D5" s="67"/>
      <c r="E5" s="70" t="s">
        <v>43</v>
      </c>
      <c r="F5" s="72">
        <f>'5Replace Costs-Results 11-15'!F5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16</v>
      </c>
      <c r="F7" s="26">
        <v>17</v>
      </c>
      <c r="G7" s="26">
        <v>18</v>
      </c>
      <c r="H7" s="26">
        <v>19</v>
      </c>
      <c r="I7" s="26">
        <v>20</v>
      </c>
    </row>
    <row r="8" spans="1:9">
      <c r="A8" s="29" t="str">
        <f>IF('5Capital Costs'!A9&lt;&gt;"", '5Capital Costs'!A9, "")</f>
        <v/>
      </c>
      <c r="B8" s="3" t="str">
        <f>IF('5Capital Costs'!B9&lt;&gt;"", '5Capital Costs'!B9, "")</f>
        <v/>
      </c>
      <c r="C8" s="46" t="str">
        <f>IF('5Capital Costs'!C9&lt;&gt;"", '5Capital Costs'!C9, "")</f>
        <v/>
      </c>
      <c r="D8" s="47" t="str">
        <f>IF('5Capital Costs'!D9&lt;&gt;"", '5Capital Costs'!D9, "")</f>
        <v/>
      </c>
      <c r="E8" s="27" t="str">
        <f>IF($A8&lt;&gt;"", (IF('5Replacement Costs - Entry'!Y9="Y",((($B8*$D8)*((1+$B$5)^E$7))*(1/((1+$F$5)^E$7))),0)), "")</f>
        <v/>
      </c>
      <c r="F8" s="27" t="str">
        <f>IF($A8&lt;&gt;"", (IF('5Replacement Costs - Entry'!Z9="Y",((($B8*$D8)*((1+$B$5)^F$7))*(1/((1+$F$5)^F$7))),0)), "")</f>
        <v/>
      </c>
      <c r="G8" s="27" t="str">
        <f>IF($A8&lt;&gt;"", (IF('5Replacement Costs - Entry'!AA9="Y",((($B8*$D8)*((1+$B$5)^G$7))*(1/((1+$F$5)^G$7))),0)), "")</f>
        <v/>
      </c>
      <c r="H8" s="27" t="str">
        <f>IF($A8&lt;&gt;"", (IF('5Replacement Costs - Entry'!AB9="Y",((($B8*$D8)*((1+$B$5)^H$7))*(1/((1+$F$5)^H$7))),0)), "")</f>
        <v/>
      </c>
      <c r="I8" s="27" t="str">
        <f>IF($A8&lt;&gt;"", (IF('5Replacement Costs - Entry'!AC9="Y",((($B8*$D8)*((1+$B$5)^I$7))*(1/((1+$F$5)^I$7))),0)), "")</f>
        <v/>
      </c>
    </row>
    <row r="9" spans="1:9">
      <c r="A9" s="29" t="str">
        <f>IF('5Capital Costs'!A10&lt;&gt;"", '5Capital Costs'!A10, "")</f>
        <v/>
      </c>
      <c r="B9" s="3" t="str">
        <f>IF('5Capital Costs'!B10&lt;&gt;"", '5Capital Costs'!B10, "")</f>
        <v/>
      </c>
      <c r="C9" s="46" t="str">
        <f>IF('5Capital Costs'!C10&lt;&gt;"", '5Capital Costs'!C10, "")</f>
        <v/>
      </c>
      <c r="D9" s="47" t="str">
        <f>IF('5Capital Costs'!D10&lt;&gt;"", '5Capital Costs'!D10, "")</f>
        <v/>
      </c>
      <c r="E9" s="27" t="str">
        <f>IF($A9&lt;&gt;"", (IF('5Replacement Costs - Entry'!Y10="Y",((($B9*$D9)*((1+$B$5)^E$7))*(1/((1+$F$5)^E$7))),0)), "")</f>
        <v/>
      </c>
      <c r="F9" s="27" t="str">
        <f>IF($A9&lt;&gt;"", (IF('5Replacement Costs - Entry'!Z10="Y",((($B9*$D9)*((1+$B$5)^F$7))*(1/((1+$F$5)^F$7))),0)), "")</f>
        <v/>
      </c>
      <c r="G9" s="27" t="str">
        <f>IF($A9&lt;&gt;"", (IF('5Replacement Costs - Entry'!AA10="Y",((($B9*$D9)*((1+$B$5)^G$7))*(1/((1+$F$5)^G$7))),0)), "")</f>
        <v/>
      </c>
      <c r="H9" s="27" t="str">
        <f>IF($A9&lt;&gt;"", (IF('5Replacement Costs - Entry'!AB10="Y",((($B9*$D9)*((1+$B$5)^H$7))*(1/((1+$F$5)^H$7))),0)), "")</f>
        <v/>
      </c>
      <c r="I9" s="27" t="str">
        <f>IF($A9&lt;&gt;"", (IF('5Replacement Costs - Entry'!AC10="Y",((($B9*$D9)*((1+$B$5)^I$7))*(1/((1+$F$5)^I$7))),0)), "")</f>
        <v/>
      </c>
    </row>
    <row r="10" spans="1:9">
      <c r="A10" s="29" t="str">
        <f>IF('5Capital Costs'!A11&lt;&gt;"", '5Capital Costs'!A11, "")</f>
        <v/>
      </c>
      <c r="B10" s="3" t="str">
        <f>IF('5Capital Costs'!B11&lt;&gt;"", '5Capital Costs'!B11, "")</f>
        <v/>
      </c>
      <c r="C10" s="46" t="str">
        <f>IF('5Capital Costs'!C11&lt;&gt;"", '5Capital Costs'!C11, "")</f>
        <v/>
      </c>
      <c r="D10" s="47" t="str">
        <f>IF('5Capital Costs'!D11&lt;&gt;"", '5Capital Costs'!D11, "")</f>
        <v/>
      </c>
      <c r="E10" s="27" t="str">
        <f>IF($A10&lt;&gt;"", (IF('5Replacement Costs - Entry'!Y11="Y",((($B10*$D10)*((1+$B$5)^E$7))*(1/((1+$F$5)^E$7))),0)), "")</f>
        <v/>
      </c>
      <c r="F10" s="27" t="str">
        <f>IF($A10&lt;&gt;"", (IF('5Replacement Costs - Entry'!Z11="Y",((($B10*$D10)*((1+$B$5)^F$7))*(1/((1+$F$5)^F$7))),0)), "")</f>
        <v/>
      </c>
      <c r="G10" s="27" t="str">
        <f>IF($A10&lt;&gt;"", (IF('5Replacement Costs - Entry'!AA11="Y",((($B10*$D10)*((1+$B$5)^G$7))*(1/((1+$F$5)^G$7))),0)), "")</f>
        <v/>
      </c>
      <c r="H10" s="27" t="str">
        <f>IF($A10&lt;&gt;"", (IF('5Replacement Costs - Entry'!AB11="Y",((($B10*$D10)*((1+$B$5)^H$7))*(1/((1+$F$5)^H$7))),0)), "")</f>
        <v/>
      </c>
      <c r="I10" s="27" t="str">
        <f>IF($A10&lt;&gt;"", (IF('5Replacement Costs - Entry'!AC11="Y",((($B10*$D10)*((1+$B$5)^I$7))*(1/((1+$F$5)^I$7))),0)), "")</f>
        <v/>
      </c>
    </row>
    <row r="11" spans="1:9">
      <c r="A11" s="29" t="str">
        <f>IF('5Capital Costs'!A12&lt;&gt;"", '5Capital Costs'!A12, "")</f>
        <v/>
      </c>
      <c r="B11" s="3" t="str">
        <f>IF('5Capital Costs'!B12&lt;&gt;"", '5Capital Costs'!B12, "")</f>
        <v/>
      </c>
      <c r="C11" s="46" t="str">
        <f>IF('5Capital Costs'!C12&lt;&gt;"", '5Capital Costs'!C12, "")</f>
        <v/>
      </c>
      <c r="D11" s="47" t="str">
        <f>IF('5Capital Costs'!D12&lt;&gt;"", '5Capital Costs'!D12, "")</f>
        <v/>
      </c>
      <c r="E11" s="27" t="str">
        <f>IF($A11&lt;&gt;"", (IF('5Replacement Costs - Entry'!Y12="Y",((($B11*$D11)*((1+$B$5)^E$7))*(1/((1+$F$5)^E$7))),0)), "")</f>
        <v/>
      </c>
      <c r="F11" s="27" t="str">
        <f>IF($A11&lt;&gt;"", (IF('5Replacement Costs - Entry'!Z12="Y",((($B11*$D11)*((1+$B$5)^F$7))*(1/((1+$F$5)^F$7))),0)), "")</f>
        <v/>
      </c>
      <c r="G11" s="27" t="str">
        <f>IF($A11&lt;&gt;"", (IF('5Replacement Costs - Entry'!AA12="Y",((($B11*$D11)*((1+$B$5)^G$7))*(1/((1+$F$5)^G$7))),0)), "")</f>
        <v/>
      </c>
      <c r="H11" s="27" t="str">
        <f>IF($A11&lt;&gt;"", (IF('5Replacement Costs - Entry'!AB12="Y",((($B11*$D11)*((1+$B$5)^H$7))*(1/((1+$F$5)^H$7))),0)), "")</f>
        <v/>
      </c>
      <c r="I11" s="27" t="str">
        <f>IF($A11&lt;&gt;"", (IF('5Replacement Costs - Entry'!AC12="Y",((($B11*$D11)*((1+$B$5)^I$7))*(1/((1+$F$5)^I$7))),0)), "")</f>
        <v/>
      </c>
    </row>
    <row r="12" spans="1:9">
      <c r="A12" s="29" t="str">
        <f>IF('5Capital Costs'!A13&lt;&gt;"", '5Capital Costs'!A13, "")</f>
        <v/>
      </c>
      <c r="B12" s="3" t="str">
        <f>IF('5Capital Costs'!B13&lt;&gt;"", '5Capital Costs'!B13, "")</f>
        <v/>
      </c>
      <c r="C12" s="46" t="str">
        <f>IF('5Capital Costs'!C13&lt;&gt;"", '5Capital Costs'!C13, "")</f>
        <v/>
      </c>
      <c r="D12" s="47" t="str">
        <f>IF('5Capital Costs'!D13&lt;&gt;"", '5Capital Costs'!D13, "")</f>
        <v/>
      </c>
      <c r="E12" s="27" t="str">
        <f>IF($A12&lt;&gt;"", (IF('5Replacement Costs - Entry'!Y13="Y",((($B12*$D12)*((1+$B$5)^E$7))*(1/((1+$F$5)^E$7))),0)), "")</f>
        <v/>
      </c>
      <c r="F12" s="27" t="str">
        <f>IF($A12&lt;&gt;"", (IF('5Replacement Costs - Entry'!Z13="Y",((($B12*$D12)*((1+$B$5)^F$7))*(1/((1+$F$5)^F$7))),0)), "")</f>
        <v/>
      </c>
      <c r="G12" s="27" t="str">
        <f>IF($A12&lt;&gt;"", (IF('5Replacement Costs - Entry'!AA13="Y",((($B12*$D12)*((1+$B$5)^G$7))*(1/((1+$F$5)^G$7))),0)), "")</f>
        <v/>
      </c>
      <c r="H12" s="27" t="str">
        <f>IF($A12&lt;&gt;"", (IF('5Replacement Costs - Entry'!AB13="Y",((($B12*$D12)*((1+$B$5)^H$7))*(1/((1+$F$5)^H$7))),0)), "")</f>
        <v/>
      </c>
      <c r="I12" s="27" t="str">
        <f>IF($A12&lt;&gt;"", (IF('5Replacement Costs - Entry'!AC13="Y",((($B12*$D12)*((1+$B$5)^I$7))*(1/((1+$F$5)^I$7))),0)), "")</f>
        <v/>
      </c>
    </row>
    <row r="13" spans="1:9">
      <c r="A13" s="29" t="str">
        <f>IF('5Capital Costs'!A14&lt;&gt;"", '5Capital Costs'!A14, "")</f>
        <v/>
      </c>
      <c r="B13" s="3" t="str">
        <f>IF('5Capital Costs'!B14&lt;&gt;"", '5Capital Costs'!B14, "")</f>
        <v/>
      </c>
      <c r="C13" s="46" t="str">
        <f>IF('5Capital Costs'!C14&lt;&gt;"", '5Capital Costs'!C14, "")</f>
        <v/>
      </c>
      <c r="D13" s="47" t="str">
        <f>IF('5Capital Costs'!D14&lt;&gt;"", '5Capital Costs'!D14, "")</f>
        <v/>
      </c>
      <c r="E13" s="27" t="str">
        <f>IF($A13&lt;&gt;"", (IF('5Replacement Costs - Entry'!Y14="Y",((($B13*$D13)*((1+$B$5)^E$7))*(1/((1+$F$5)^E$7))),0)), "")</f>
        <v/>
      </c>
      <c r="F13" s="27" t="str">
        <f>IF($A13&lt;&gt;"", (IF('5Replacement Costs - Entry'!Z14="Y",((($B13*$D13)*((1+$B$5)^F$7))*(1/((1+$F$5)^F$7))),0)), "")</f>
        <v/>
      </c>
      <c r="G13" s="27" t="str">
        <f>IF($A13&lt;&gt;"", (IF('5Replacement Costs - Entry'!AA14="Y",((($B13*$D13)*((1+$B$5)^G$7))*(1/((1+$F$5)^G$7))),0)), "")</f>
        <v/>
      </c>
      <c r="H13" s="27" t="str">
        <f>IF($A13&lt;&gt;"", (IF('5Replacement Costs - Entry'!AB14="Y",((($B13*$D13)*((1+$B$5)^H$7))*(1/((1+$F$5)^H$7))),0)), "")</f>
        <v/>
      </c>
      <c r="I13" s="27" t="str">
        <f>IF($A13&lt;&gt;"", (IF('5Replacement Costs - Entry'!AC14="Y",((($B13*$D13)*((1+$B$5)^I$7))*(1/((1+$F$5)^I$7))),0)), "")</f>
        <v/>
      </c>
    </row>
    <row r="14" spans="1:9">
      <c r="A14" s="29" t="str">
        <f>IF('5Capital Costs'!A15&lt;&gt;"", '5Capital Costs'!A15, "")</f>
        <v/>
      </c>
      <c r="B14" s="3" t="str">
        <f>IF('5Capital Costs'!B15&lt;&gt;"", '5Capital Costs'!B15, "")</f>
        <v/>
      </c>
      <c r="C14" s="46" t="str">
        <f>IF('5Capital Costs'!C15&lt;&gt;"", '5Capital Costs'!C15, "")</f>
        <v/>
      </c>
      <c r="D14" s="47" t="str">
        <f>IF('5Capital Costs'!D15&lt;&gt;"", '5Capital Costs'!D15, "")</f>
        <v/>
      </c>
      <c r="E14" s="27" t="str">
        <f>IF($A14&lt;&gt;"", (IF('5Replacement Costs - Entry'!Y15="Y",((($B14*$D14)*((1+$B$5)^E$7))*(1/((1+$F$5)^E$7))),0)), "")</f>
        <v/>
      </c>
      <c r="F14" s="27" t="str">
        <f>IF($A14&lt;&gt;"", (IF('5Replacement Costs - Entry'!Z15="Y",((($B14*$D14)*((1+$B$5)^F$7))*(1/((1+$F$5)^F$7))),0)), "")</f>
        <v/>
      </c>
      <c r="G14" s="27" t="str">
        <f>IF($A14&lt;&gt;"", (IF('5Replacement Costs - Entry'!AA15="Y",((($B14*$D14)*((1+$B$5)^G$7))*(1/((1+$F$5)^G$7))),0)), "")</f>
        <v/>
      </c>
      <c r="H14" s="27" t="str">
        <f>IF($A14&lt;&gt;"", (IF('5Replacement Costs - Entry'!AB15="Y",((($B14*$D14)*((1+$B$5)^H$7))*(1/((1+$F$5)^H$7))),0)), "")</f>
        <v/>
      </c>
      <c r="I14" s="27" t="str">
        <f>IF($A14&lt;&gt;"", (IF('5Replacement Costs - Entry'!AC15="Y",((($B14*$D14)*((1+$B$5)^I$7))*(1/((1+$F$5)^I$7))),0)), "")</f>
        <v/>
      </c>
    </row>
    <row r="15" spans="1:9">
      <c r="A15" s="29" t="str">
        <f>IF('5Capital Costs'!A16&lt;&gt;"", '5Capital Costs'!A16, "")</f>
        <v/>
      </c>
      <c r="B15" s="3" t="str">
        <f>IF('5Capital Costs'!B16&lt;&gt;"", '5Capital Costs'!B16, "")</f>
        <v/>
      </c>
      <c r="C15" s="46" t="str">
        <f>IF('5Capital Costs'!C16&lt;&gt;"", '5Capital Costs'!C16, "")</f>
        <v/>
      </c>
      <c r="D15" s="47" t="str">
        <f>IF('5Capital Costs'!D16&lt;&gt;"", '5Capital Costs'!D16, "")</f>
        <v/>
      </c>
      <c r="E15" s="27" t="str">
        <f>IF($A15&lt;&gt;"", (IF('5Replacement Costs - Entry'!Y16="Y",((($B15*$D15)*((1+$B$5)^E$7))*(1/((1+$F$5)^E$7))),0)), "")</f>
        <v/>
      </c>
      <c r="F15" s="27" t="str">
        <f>IF($A15&lt;&gt;"", (IF('5Replacement Costs - Entry'!Z16="Y",((($B15*$D15)*((1+$B$5)^F$7))*(1/((1+$F$5)^F$7))),0)), "")</f>
        <v/>
      </c>
      <c r="G15" s="27" t="str">
        <f>IF($A15&lt;&gt;"", (IF('5Replacement Costs - Entry'!AA16="Y",((($B15*$D15)*((1+$B$5)^G$7))*(1/((1+$F$5)^G$7))),0)), "")</f>
        <v/>
      </c>
      <c r="H15" s="27" t="str">
        <f>IF($A15&lt;&gt;"", (IF('5Replacement Costs - Entry'!AB16="Y",((($B15*$D15)*((1+$B$5)^H$7))*(1/((1+$F$5)^H$7))),0)), "")</f>
        <v/>
      </c>
      <c r="I15" s="27" t="str">
        <f>IF($A15&lt;&gt;"", (IF('5Replacement Costs - Entry'!AC16="Y",((($B15*$D15)*((1+$B$5)^I$7))*(1/((1+$F$5)^I$7))),0)), "")</f>
        <v/>
      </c>
    </row>
    <row r="16" spans="1:9">
      <c r="A16" s="29" t="str">
        <f>IF('5Capital Costs'!A17&lt;&gt;"", '5Capital Costs'!A17, "")</f>
        <v/>
      </c>
      <c r="B16" s="3" t="str">
        <f>IF('5Capital Costs'!B17&lt;&gt;"", '5Capital Costs'!B17, "")</f>
        <v/>
      </c>
      <c r="C16" s="46" t="str">
        <f>IF('5Capital Costs'!C17&lt;&gt;"", '5Capital Costs'!C17, "")</f>
        <v/>
      </c>
      <c r="D16" s="47" t="str">
        <f>IF('5Capital Costs'!D17&lt;&gt;"", '5Capital Costs'!D17, "")</f>
        <v/>
      </c>
      <c r="E16" s="27" t="str">
        <f>IF($A16&lt;&gt;"", (IF('5Replacement Costs - Entry'!Y17="Y",((($B16*$D16)*((1+$B$5)^E$7))*(1/((1+$F$5)^E$7))),0)), "")</f>
        <v/>
      </c>
      <c r="F16" s="27" t="str">
        <f>IF($A16&lt;&gt;"", (IF('5Replacement Costs - Entry'!Z17="Y",((($B16*$D16)*((1+$B$5)^F$7))*(1/((1+$F$5)^F$7))),0)), "")</f>
        <v/>
      </c>
      <c r="G16" s="27" t="str">
        <f>IF($A16&lt;&gt;"", (IF('5Replacement Costs - Entry'!AA17="Y",((($B16*$D16)*((1+$B$5)^G$7))*(1/((1+$F$5)^G$7))),0)), "")</f>
        <v/>
      </c>
      <c r="H16" s="27" t="str">
        <f>IF($A16&lt;&gt;"", (IF('5Replacement Costs - Entry'!AB17="Y",((($B16*$D16)*((1+$B$5)^H$7))*(1/((1+$F$5)^H$7))),0)), "")</f>
        <v/>
      </c>
      <c r="I16" s="27" t="str">
        <f>IF($A16&lt;&gt;"", (IF('5Replacement Costs - Entry'!AC17="Y",((($B16*$D16)*((1+$B$5)^I$7))*(1/((1+$F$5)^I$7))),0)), "")</f>
        <v/>
      </c>
    </row>
    <row r="17" spans="1:9">
      <c r="A17" s="29" t="str">
        <f>IF('5Capital Costs'!A18&lt;&gt;"", '5Capital Costs'!A18, "")</f>
        <v/>
      </c>
      <c r="B17" s="3" t="str">
        <f>IF('5Capital Costs'!B18&lt;&gt;"", '5Capital Costs'!B18, "")</f>
        <v/>
      </c>
      <c r="C17" s="46" t="str">
        <f>IF('5Capital Costs'!C18&lt;&gt;"", '5Capital Costs'!C18, "")</f>
        <v/>
      </c>
      <c r="D17" s="47" t="str">
        <f>IF('5Capital Costs'!D18&lt;&gt;"", '5Capital Costs'!D18, "")</f>
        <v/>
      </c>
      <c r="E17" s="27" t="str">
        <f>IF($A17&lt;&gt;"", (IF('5Replacement Costs - Entry'!Y18="Y",((($B17*$D17)*((1+$B$5)^E$7))*(1/((1+$F$5)^E$7))),0)), "")</f>
        <v/>
      </c>
      <c r="F17" s="27" t="str">
        <f>IF($A17&lt;&gt;"", (IF('5Replacement Costs - Entry'!Z18="Y",((($B17*$D17)*((1+$B$5)^F$7))*(1/((1+$F$5)^F$7))),0)), "")</f>
        <v/>
      </c>
      <c r="G17" s="27" t="str">
        <f>IF($A17&lt;&gt;"", (IF('5Replacement Costs - Entry'!AA18="Y",((($B17*$D17)*((1+$B$5)^G$7))*(1/((1+$F$5)^G$7))),0)), "")</f>
        <v/>
      </c>
      <c r="H17" s="27" t="str">
        <f>IF($A17&lt;&gt;"", (IF('5Replacement Costs - Entry'!AB18="Y",((($B17*$D17)*((1+$B$5)^H$7))*(1/((1+$F$5)^H$7))),0)), "")</f>
        <v/>
      </c>
      <c r="I17" s="27" t="str">
        <f>IF($A17&lt;&gt;"", (IF('5Replacement Costs - Entry'!AC18="Y",((($B17*$D17)*((1+$B$5)^I$7))*(1/((1+$F$5)^I$7))),0)), "")</f>
        <v/>
      </c>
    </row>
    <row r="18" spans="1:9">
      <c r="A18" s="29" t="str">
        <f>IF('5Capital Costs'!A19&lt;&gt;"", '5Capital Costs'!A19, "")</f>
        <v/>
      </c>
      <c r="B18" s="3" t="str">
        <f>IF('5Capital Costs'!B19&lt;&gt;"", '5Capital Costs'!B19, "")</f>
        <v/>
      </c>
      <c r="C18" s="46" t="str">
        <f>IF('5Capital Costs'!C19&lt;&gt;"", '5Capital Costs'!C19, "")</f>
        <v/>
      </c>
      <c r="D18" s="47" t="str">
        <f>IF('5Capital Costs'!D19&lt;&gt;"", '5Capital Costs'!D19, "")</f>
        <v/>
      </c>
      <c r="E18" s="27" t="str">
        <f>IF($A18&lt;&gt;"", (IF('5Replacement Costs - Entry'!Y19="Y",((($B18*$D18)*((1+$B$5)^E$7))*(1/((1+$F$5)^E$7))),0)), "")</f>
        <v/>
      </c>
      <c r="F18" s="27" t="str">
        <f>IF($A18&lt;&gt;"", (IF('5Replacement Costs - Entry'!Z19="Y",((($B18*$D18)*((1+$B$5)^F$7))*(1/((1+$F$5)^F$7))),0)), "")</f>
        <v/>
      </c>
      <c r="G18" s="27" t="str">
        <f>IF($A18&lt;&gt;"", (IF('5Replacement Costs - Entry'!AA19="Y",((($B18*$D18)*((1+$B$5)^G$7))*(1/((1+$F$5)^G$7))),0)), "")</f>
        <v/>
      </c>
      <c r="H18" s="27" t="str">
        <f>IF($A18&lt;&gt;"", (IF('5Replacement Costs - Entry'!AB19="Y",((($B18*$D18)*((1+$B$5)^H$7))*(1/((1+$F$5)^H$7))),0)), "")</f>
        <v/>
      </c>
      <c r="I18" s="27" t="str">
        <f>IF($A18&lt;&gt;"", (IF('5Replacement Costs - Entry'!AC19="Y",((($B18*$D18)*((1+$B$5)^I$7))*(1/((1+$F$5)^I$7))),0)), "")</f>
        <v/>
      </c>
    </row>
    <row r="19" spans="1:9">
      <c r="A19" s="29" t="str">
        <f>IF('5Capital Costs'!A20&lt;&gt;"", '5Capital Costs'!A20, "")</f>
        <v/>
      </c>
      <c r="B19" s="3" t="str">
        <f>IF('5Capital Costs'!B20&lt;&gt;"", '5Capital Costs'!B20, "")</f>
        <v/>
      </c>
      <c r="C19" s="46" t="str">
        <f>IF('5Capital Costs'!C20&lt;&gt;"", '5Capital Costs'!C20, "")</f>
        <v/>
      </c>
      <c r="D19" s="47" t="str">
        <f>IF('5Capital Costs'!D20&lt;&gt;"", '5Capital Costs'!D20, "")</f>
        <v/>
      </c>
      <c r="E19" s="27" t="str">
        <f>IF($A19&lt;&gt;"", (IF('5Replacement Costs - Entry'!Y20="Y",((($B19*$D19)*((1+$B$5)^E$7))*(1/((1+$F$5)^E$7))),0)), "")</f>
        <v/>
      </c>
      <c r="F19" s="27" t="str">
        <f>IF($A19&lt;&gt;"", (IF('5Replacement Costs - Entry'!Z20="Y",((($B19*$D19)*((1+$B$5)^F$7))*(1/((1+$F$5)^F$7))),0)), "")</f>
        <v/>
      </c>
      <c r="G19" s="27" t="str">
        <f>IF($A19&lt;&gt;"", (IF('5Replacement Costs - Entry'!AA20="Y",((($B19*$D19)*((1+$B$5)^G$7))*(1/((1+$F$5)^G$7))),0)), "")</f>
        <v/>
      </c>
      <c r="H19" s="27" t="str">
        <f>IF($A19&lt;&gt;"", (IF('5Replacement Costs - Entry'!AB20="Y",((($B19*$D19)*((1+$B$5)^H$7))*(1/((1+$F$5)^H$7))),0)), "")</f>
        <v/>
      </c>
      <c r="I19" s="27" t="str">
        <f>IF($A19&lt;&gt;"", (IF('5Replacement Costs - Entry'!AC20="Y",((($B19*$D19)*((1+$B$5)^I$7))*(1/((1+$F$5)^I$7))),0)), "")</f>
        <v/>
      </c>
    </row>
    <row r="20" spans="1:9">
      <c r="A20" s="29" t="str">
        <f>IF('5Capital Costs'!A21&lt;&gt;"", '5Capital Costs'!A21, "")</f>
        <v/>
      </c>
      <c r="B20" s="3" t="str">
        <f>IF('5Capital Costs'!B21&lt;&gt;"", '5Capital Costs'!B21, "")</f>
        <v/>
      </c>
      <c r="C20" s="46" t="str">
        <f>IF('5Capital Costs'!C21&lt;&gt;"", '5Capital Costs'!C21, "")</f>
        <v/>
      </c>
      <c r="D20" s="47" t="str">
        <f>IF('5Capital Costs'!D21&lt;&gt;"", '5Capital Costs'!D21, "")</f>
        <v/>
      </c>
      <c r="E20" s="27" t="str">
        <f>IF($A20&lt;&gt;"", (IF('5Replacement Costs - Entry'!Y21="Y",((($B20*$D20)*((1+$B$5)^E$7))*(1/((1+$F$5)^E$7))),0)), "")</f>
        <v/>
      </c>
      <c r="F20" s="27" t="str">
        <f>IF($A20&lt;&gt;"", (IF('5Replacement Costs - Entry'!Z21="Y",((($B20*$D20)*((1+$B$5)^F$7))*(1/((1+$F$5)^F$7))),0)), "")</f>
        <v/>
      </c>
      <c r="G20" s="27" t="str">
        <f>IF($A20&lt;&gt;"", (IF('5Replacement Costs - Entry'!AA21="Y",((($B20*$D20)*((1+$B$5)^G$7))*(1/((1+$F$5)^G$7))),0)), "")</f>
        <v/>
      </c>
      <c r="H20" s="27" t="str">
        <f>IF($A20&lt;&gt;"", (IF('5Replacement Costs - Entry'!AB21="Y",((($B20*$D20)*((1+$B$5)^H$7))*(1/((1+$F$5)^H$7))),0)), "")</f>
        <v/>
      </c>
      <c r="I20" s="27" t="str">
        <f>IF($A20&lt;&gt;"", (IF('5Replacement Costs - Entry'!AC21="Y",((($B20*$D20)*((1+$B$5)^I$7))*(1/((1+$F$5)^I$7))),0)), "")</f>
        <v/>
      </c>
    </row>
    <row r="21" spans="1:9">
      <c r="A21" s="29" t="str">
        <f>IF('5Capital Costs'!A22&lt;&gt;"", '5Capital Costs'!A22, "")</f>
        <v/>
      </c>
      <c r="B21" s="3" t="str">
        <f>IF('5Capital Costs'!B22&lt;&gt;"", '5Capital Costs'!B22, "")</f>
        <v/>
      </c>
      <c r="C21" s="46" t="str">
        <f>IF('5Capital Costs'!C22&lt;&gt;"", '5Capital Costs'!C22, "")</f>
        <v/>
      </c>
      <c r="D21" s="47" t="str">
        <f>IF('5Capital Costs'!D22&lt;&gt;"", '5Capital Costs'!D22, "")</f>
        <v/>
      </c>
      <c r="E21" s="27" t="str">
        <f>IF($A21&lt;&gt;"", (IF('5Replacement Costs - Entry'!Y22="Y",((($B21*$D21)*((1+$B$5)^E$7))*(1/((1+$F$5)^E$7))),0)), "")</f>
        <v/>
      </c>
      <c r="F21" s="27" t="str">
        <f>IF($A21&lt;&gt;"", (IF('5Replacement Costs - Entry'!Z22="Y",((($B21*$D21)*((1+$B$5)^F$7))*(1/((1+$F$5)^F$7))),0)), "")</f>
        <v/>
      </c>
      <c r="G21" s="27" t="str">
        <f>IF($A21&lt;&gt;"", (IF('5Replacement Costs - Entry'!AA22="Y",((($B21*$D21)*((1+$B$5)^G$7))*(1/((1+$F$5)^G$7))),0)), "")</f>
        <v/>
      </c>
      <c r="H21" s="27" t="str">
        <f>IF($A21&lt;&gt;"", (IF('5Replacement Costs - Entry'!AB22="Y",((($B21*$D21)*((1+$B$5)^H$7))*(1/((1+$F$5)^H$7))),0)), "")</f>
        <v/>
      </c>
      <c r="I21" s="27" t="str">
        <f>IF($A21&lt;&gt;"", (IF('5Replacement Costs - Entry'!AC22="Y",((($B21*$D21)*((1+$B$5)^I$7))*(1/((1+$F$5)^I$7))),0)), "")</f>
        <v/>
      </c>
    </row>
    <row r="22" spans="1:9">
      <c r="A22" s="29" t="str">
        <f>IF('5Capital Costs'!A23&lt;&gt;"", '5Capital Costs'!A23, "")</f>
        <v/>
      </c>
      <c r="B22" s="3" t="str">
        <f>IF('5Capital Costs'!B23&lt;&gt;"", '5Capital Costs'!B23, "")</f>
        <v/>
      </c>
      <c r="C22" s="46" t="str">
        <f>IF('5Capital Costs'!C23&lt;&gt;"", '5Capital Costs'!C23, "")</f>
        <v/>
      </c>
      <c r="D22" s="47" t="str">
        <f>IF('5Capital Costs'!D23&lt;&gt;"", '5Capital Costs'!D23, "")</f>
        <v/>
      </c>
      <c r="E22" s="27" t="str">
        <f>IF($A22&lt;&gt;"", (IF('5Replacement Costs - Entry'!Y23="Y",((($B22*$D22)*((1+$B$5)^E$7))*(1/((1+$F$5)^E$7))),0)), "")</f>
        <v/>
      </c>
      <c r="F22" s="27" t="str">
        <f>IF($A22&lt;&gt;"", (IF('5Replacement Costs - Entry'!Z23="Y",((($B22*$D22)*((1+$B$5)^F$7))*(1/((1+$F$5)^F$7))),0)), "")</f>
        <v/>
      </c>
      <c r="G22" s="27" t="str">
        <f>IF($A22&lt;&gt;"", (IF('5Replacement Costs - Entry'!AA23="Y",((($B22*$D22)*((1+$B$5)^G$7))*(1/((1+$F$5)^G$7))),0)), "")</f>
        <v/>
      </c>
      <c r="H22" s="27" t="str">
        <f>IF($A22&lt;&gt;"", (IF('5Replacement Costs - Entry'!AB23="Y",((($B22*$D22)*((1+$B$5)^H$7))*(1/((1+$F$5)^H$7))),0)), "")</f>
        <v/>
      </c>
      <c r="I22" s="27" t="str">
        <f>IF($A22&lt;&gt;"", (IF('5Replacement Costs - Entry'!AC23="Y",((($B22*$D22)*((1+$B$5)^I$7))*(1/((1+$F$5)^I$7))),0)), "")</f>
        <v/>
      </c>
    </row>
    <row r="23" spans="1:9">
      <c r="A23" s="29" t="str">
        <f>IF('5Capital Costs'!A24&lt;&gt;"", '5Capital Costs'!A24, "")</f>
        <v/>
      </c>
      <c r="B23" s="3" t="str">
        <f>IF('5Capital Costs'!B24&lt;&gt;"", '5Capital Costs'!B24, "")</f>
        <v/>
      </c>
      <c r="C23" s="46" t="str">
        <f>IF('5Capital Costs'!C24&lt;&gt;"", '5Capital Costs'!C24, "")</f>
        <v/>
      </c>
      <c r="D23" s="47" t="str">
        <f>IF('5Capital Costs'!D24&lt;&gt;"", '5Capital Costs'!D24, "")</f>
        <v/>
      </c>
      <c r="E23" s="27" t="str">
        <f>IF($A23&lt;&gt;"", (IF('5Replacement Costs - Entry'!Y24="Y",((($B23*$D23)*((1+$B$5)^E$7))*(1/((1+$F$5)^E$7))),0)), "")</f>
        <v/>
      </c>
      <c r="F23" s="27" t="str">
        <f>IF($A23&lt;&gt;"", (IF('5Replacement Costs - Entry'!Z24="Y",((($B23*$D23)*((1+$B$5)^F$7))*(1/((1+$F$5)^F$7))),0)), "")</f>
        <v/>
      </c>
      <c r="G23" s="27" t="str">
        <f>IF($A23&lt;&gt;"", (IF('5Replacement Costs - Entry'!AA24="Y",((($B23*$D23)*((1+$B$5)^G$7))*(1/((1+$F$5)^G$7))),0)), "")</f>
        <v/>
      </c>
      <c r="H23" s="27" t="str">
        <f>IF($A23&lt;&gt;"", (IF('5Replacement Costs - Entry'!AB24="Y",((($B23*$D23)*((1+$B$5)^H$7))*(1/((1+$F$5)^H$7))),0)), "")</f>
        <v/>
      </c>
      <c r="I23" s="27" t="str">
        <f>IF($A23&lt;&gt;"", (IF('5Replacement Costs - Entry'!AC24="Y",((($B23*$D23)*((1+$B$5)^I$7))*(1/((1+$F$5)^I$7))),0)), "")</f>
        <v/>
      </c>
    </row>
    <row r="24" spans="1:9">
      <c r="A24" s="29" t="str">
        <f>IF('5Capital Costs'!A25&lt;&gt;"", '5Capital Costs'!A25, "")</f>
        <v/>
      </c>
      <c r="B24" s="3" t="str">
        <f>IF('5Capital Costs'!B25&lt;&gt;"", '5Capital Costs'!B25, "")</f>
        <v/>
      </c>
      <c r="C24" s="46" t="str">
        <f>IF('5Capital Costs'!C25&lt;&gt;"", '5Capital Costs'!C25, "")</f>
        <v/>
      </c>
      <c r="D24" s="47" t="str">
        <f>IF('5Capital Costs'!D25&lt;&gt;"", '5Capital Costs'!D25, "")</f>
        <v/>
      </c>
      <c r="E24" s="27" t="str">
        <f>IF($A24&lt;&gt;"", (IF('5Replacement Costs - Entry'!Y25="Y",((($B24*$D24)*((1+$B$5)^E$7))*(1/((1+$F$5)^E$7))),0)), "")</f>
        <v/>
      </c>
      <c r="F24" s="27" t="str">
        <f>IF($A24&lt;&gt;"", (IF('5Replacement Costs - Entry'!Z25="Y",((($B24*$D24)*((1+$B$5)^F$7))*(1/((1+$F$5)^F$7))),0)), "")</f>
        <v/>
      </c>
      <c r="G24" s="27" t="str">
        <f>IF($A24&lt;&gt;"", (IF('5Replacement Costs - Entry'!AA25="Y",((($B24*$D24)*((1+$B$5)^G$7))*(1/((1+$F$5)^G$7))),0)), "")</f>
        <v/>
      </c>
      <c r="H24" s="27" t="str">
        <f>IF($A24&lt;&gt;"", (IF('5Replacement Costs - Entry'!AB25="Y",((($B24*$D24)*((1+$B$5)^H$7))*(1/((1+$F$5)^H$7))),0)), "")</f>
        <v/>
      </c>
      <c r="I24" s="27" t="str">
        <f>IF($A24&lt;&gt;"", (IF('5Replacement Costs - Entry'!AC25="Y",((($B24*$D24)*((1+$B$5)^I$7))*(1/((1+$F$5)^I$7))),0)), "")</f>
        <v/>
      </c>
    </row>
    <row r="25" spans="1:9">
      <c r="A25" s="29" t="str">
        <f>IF('5Capital Costs'!A26&lt;&gt;"", '5Capital Costs'!A26, "")</f>
        <v/>
      </c>
      <c r="B25" s="3" t="str">
        <f>IF('5Capital Costs'!B26&lt;&gt;"", '5Capital Costs'!B26, "")</f>
        <v/>
      </c>
      <c r="C25" s="46" t="str">
        <f>IF('5Capital Costs'!C26&lt;&gt;"", '5Capital Costs'!C26, "")</f>
        <v/>
      </c>
      <c r="D25" s="47" t="str">
        <f>IF('5Capital Costs'!D26&lt;&gt;"", '5Capital Costs'!D26, "")</f>
        <v/>
      </c>
      <c r="E25" s="27" t="str">
        <f>IF($A25&lt;&gt;"", (IF('5Replacement Costs - Entry'!Y26="Y",((($B25*$D25)*((1+$B$5)^E$7))*(1/((1+$F$5)^E$7))),0)), "")</f>
        <v/>
      </c>
      <c r="F25" s="27" t="str">
        <f>IF($A25&lt;&gt;"", (IF('5Replacement Costs - Entry'!Z26="Y",((($B25*$D25)*((1+$B$5)^F$7))*(1/((1+$F$5)^F$7))),0)), "")</f>
        <v/>
      </c>
      <c r="G25" s="27" t="str">
        <f>IF($A25&lt;&gt;"", (IF('5Replacement Costs - Entry'!AA26="Y",((($B25*$D25)*((1+$B$5)^G$7))*(1/((1+$F$5)^G$7))),0)), "")</f>
        <v/>
      </c>
      <c r="H25" s="27" t="str">
        <f>IF($A25&lt;&gt;"", (IF('5Replacement Costs - Entry'!AB26="Y",((($B25*$D25)*((1+$B$5)^H$7))*(1/((1+$F$5)^H$7))),0)), "")</f>
        <v/>
      </c>
      <c r="I25" s="27" t="str">
        <f>IF($A25&lt;&gt;"", (IF('5Replacement Costs - Entry'!AC26="Y",((($B25*$D25)*((1+$B$5)^I$7))*(1/((1+$F$5)^I$7))),0)), "")</f>
        <v/>
      </c>
    </row>
    <row r="26" spans="1:9">
      <c r="A26" s="29" t="str">
        <f>IF('5Capital Costs'!A27&lt;&gt;"", '5Capital Costs'!A27, "")</f>
        <v/>
      </c>
      <c r="B26" s="3" t="str">
        <f>IF('5Capital Costs'!B27&lt;&gt;"", '5Capital Costs'!B27, "")</f>
        <v/>
      </c>
      <c r="C26" s="46" t="str">
        <f>IF('5Capital Costs'!C27&lt;&gt;"", '5Capital Costs'!C27, "")</f>
        <v/>
      </c>
      <c r="D26" s="47" t="str">
        <f>IF('5Capital Costs'!D27&lt;&gt;"", '5Capital Costs'!D27, "")</f>
        <v/>
      </c>
      <c r="E26" s="27" t="str">
        <f>IF($A26&lt;&gt;"", (IF('5Replacement Costs - Entry'!Y27="Y",((($B26*$D26)*((1+$B$5)^E$7))*(1/((1+$F$5)^E$7))),0)), "")</f>
        <v/>
      </c>
      <c r="F26" s="27" t="str">
        <f>IF($A26&lt;&gt;"", (IF('5Replacement Costs - Entry'!Z27="Y",((($B26*$D26)*((1+$B$5)^F$7))*(1/((1+$F$5)^F$7))),0)), "")</f>
        <v/>
      </c>
      <c r="G26" s="27" t="str">
        <f>IF($A26&lt;&gt;"", (IF('5Replacement Costs - Entry'!AA27="Y",((($B26*$D26)*((1+$B$5)^G$7))*(1/((1+$F$5)^G$7))),0)), "")</f>
        <v/>
      </c>
      <c r="H26" s="27" t="str">
        <f>IF($A26&lt;&gt;"", (IF('5Replacement Costs - Entry'!AB27="Y",((($B26*$D26)*((1+$B$5)^H$7))*(1/((1+$F$5)^H$7))),0)), "")</f>
        <v/>
      </c>
      <c r="I26" s="27" t="str">
        <f>IF($A26&lt;&gt;"", (IF('5Replacement Costs - Entry'!AC27="Y",((($B26*$D26)*((1+$B$5)^I$7))*(1/((1+$F$5)^I$7))),0)), "")</f>
        <v/>
      </c>
    </row>
    <row r="27" spans="1:9">
      <c r="A27" s="29" t="str">
        <f>IF('5Capital Costs'!A28&lt;&gt;"", '5Capital Costs'!A28, "")</f>
        <v/>
      </c>
      <c r="B27" s="3" t="str">
        <f>IF('5Capital Costs'!B28&lt;&gt;"", '5Capital Costs'!B28, "")</f>
        <v/>
      </c>
      <c r="C27" s="46" t="str">
        <f>IF('5Capital Costs'!C28&lt;&gt;"", '5Capital Costs'!C28, "")</f>
        <v/>
      </c>
      <c r="D27" s="47" t="str">
        <f>IF('5Capital Costs'!D28&lt;&gt;"", '5Capital Costs'!D28, "")</f>
        <v/>
      </c>
      <c r="E27" s="27" t="str">
        <f>IF($A27&lt;&gt;"", (IF('5Replacement Costs - Entry'!Y28="Y",((($B27*$D27)*((1+$B$5)^E$7))*(1/((1+$F$5)^E$7))),0)), "")</f>
        <v/>
      </c>
      <c r="F27" s="27" t="str">
        <f>IF($A27&lt;&gt;"", (IF('5Replacement Costs - Entry'!Z28="Y",((($B27*$D27)*((1+$B$5)^F$7))*(1/((1+$F$5)^F$7))),0)), "")</f>
        <v/>
      </c>
      <c r="G27" s="27" t="str">
        <f>IF($A27&lt;&gt;"", (IF('5Replacement Costs - Entry'!AA28="Y",((($B27*$D27)*((1+$B$5)^G$7))*(1/((1+$F$5)^G$7))),0)), "")</f>
        <v/>
      </c>
      <c r="H27" s="27" t="str">
        <f>IF($A27&lt;&gt;"", (IF('5Replacement Costs - Entry'!AB28="Y",((($B27*$D27)*((1+$B$5)^H$7))*(1/((1+$F$5)^H$7))),0)), "")</f>
        <v/>
      </c>
      <c r="I27" s="27" t="str">
        <f>IF($A27&lt;&gt;"", (IF('5Replacement Costs - Entry'!AC28="Y",((($B27*$D27)*((1+$B$5)^I$7))*(1/((1+$F$5)^I$7))),0)), "")</f>
        <v/>
      </c>
    </row>
    <row r="28" spans="1:9">
      <c r="A28" s="29" t="str">
        <f>IF('5Capital Costs'!A29&lt;&gt;"", '5Capital Costs'!A29, "")</f>
        <v/>
      </c>
      <c r="B28" s="3" t="str">
        <f>IF('5Capital Costs'!B29&lt;&gt;"", '5Capital Costs'!B29, "")</f>
        <v/>
      </c>
      <c r="C28" s="46" t="str">
        <f>IF('5Capital Costs'!C29&lt;&gt;"", '5Capital Costs'!C29, "")</f>
        <v/>
      </c>
      <c r="D28" s="47" t="str">
        <f>IF('5Capital Costs'!D29&lt;&gt;"", '5Capital Costs'!D29, "")</f>
        <v/>
      </c>
      <c r="E28" s="27" t="str">
        <f>IF($A28&lt;&gt;"", (IF('5Replacement Costs - Entry'!Y29="Y",((($B28*$D28)*((1+$B$5)^E$7))*(1/((1+$F$5)^E$7))),0)), "")</f>
        <v/>
      </c>
      <c r="F28" s="27" t="str">
        <f>IF($A28&lt;&gt;"", (IF('5Replacement Costs - Entry'!Z29="Y",((($B28*$D28)*((1+$B$5)^F$7))*(1/((1+$F$5)^F$7))),0)), "")</f>
        <v/>
      </c>
      <c r="G28" s="27" t="str">
        <f>IF($A28&lt;&gt;"", (IF('5Replacement Costs - Entry'!AA29="Y",((($B28*$D28)*((1+$B$5)^G$7))*(1/((1+$F$5)^G$7))),0)), "")</f>
        <v/>
      </c>
      <c r="H28" s="27" t="str">
        <f>IF($A28&lt;&gt;"", (IF('5Replacement Costs - Entry'!AB29="Y",((($B28*$D28)*((1+$B$5)^H$7))*(1/((1+$F$5)^H$7))),0)), "")</f>
        <v/>
      </c>
      <c r="I28" s="27" t="str">
        <f>IF($A28&lt;&gt;"", (IF('5Replacement Costs - Entry'!AC29="Y",((($B28*$D28)*((1+$B$5)^I$7))*(1/((1+$F$5)^I$7))),0)), "")</f>
        <v/>
      </c>
    </row>
    <row r="29" spans="1:9">
      <c r="A29" s="29" t="str">
        <f>IF('5Capital Costs'!A30&lt;&gt;"", '5Capital Costs'!A30, "")</f>
        <v/>
      </c>
      <c r="B29" s="3" t="str">
        <f>IF('5Capital Costs'!B30&lt;&gt;"", '5Capital Costs'!B30, "")</f>
        <v/>
      </c>
      <c r="C29" s="46" t="str">
        <f>IF('5Capital Costs'!C30&lt;&gt;"", '5Capital Costs'!C30, "")</f>
        <v/>
      </c>
      <c r="D29" s="47" t="str">
        <f>IF('5Capital Costs'!D30&lt;&gt;"", '5Capital Costs'!D30, "")</f>
        <v/>
      </c>
      <c r="E29" s="27" t="str">
        <f>IF($A29&lt;&gt;"", (IF('5Replacement Costs - Entry'!Y30="Y",((($B29*$D29)*((1+$B$5)^E$7))*(1/((1+$F$5)^E$7))),0)), "")</f>
        <v/>
      </c>
      <c r="F29" s="27" t="str">
        <f>IF($A29&lt;&gt;"", (IF('5Replacement Costs - Entry'!Z30="Y",((($B29*$D29)*((1+$B$5)^F$7))*(1/((1+$F$5)^F$7))),0)), "")</f>
        <v/>
      </c>
      <c r="G29" s="27" t="str">
        <f>IF($A29&lt;&gt;"", (IF('5Replacement Costs - Entry'!AA30="Y",((($B29*$D29)*((1+$B$5)^G$7))*(1/((1+$F$5)^G$7))),0)), "")</f>
        <v/>
      </c>
      <c r="H29" s="27" t="str">
        <f>IF($A29&lt;&gt;"", (IF('5Replacement Costs - Entry'!AB30="Y",((($B29*$D29)*((1+$B$5)^H$7))*(1/((1+$F$5)^H$7))),0)), "")</f>
        <v/>
      </c>
      <c r="I29" s="27" t="str">
        <f>IF($A29&lt;&gt;"", (IF('5Replacement Costs - Entry'!AC30="Y",((($B29*$D29)*((1+$B$5)^I$7))*(1/((1+$F$5)^I$7))),0)), "")</f>
        <v/>
      </c>
    </row>
    <row r="30" spans="1:9">
      <c r="A30" s="29" t="str">
        <f>IF('5Capital Costs'!A31&lt;&gt;"", '5Capital Costs'!A31, "")</f>
        <v/>
      </c>
      <c r="B30" s="3" t="str">
        <f>IF('5Capital Costs'!B31&lt;&gt;"", '5Capital Costs'!B31, "")</f>
        <v/>
      </c>
      <c r="C30" s="46" t="str">
        <f>IF('5Capital Costs'!C31&lt;&gt;"", '5Capital Costs'!C31, "")</f>
        <v/>
      </c>
      <c r="D30" s="47" t="str">
        <f>IF('5Capital Costs'!D31&lt;&gt;"", '5Capital Costs'!D31, "")</f>
        <v/>
      </c>
      <c r="E30" s="27" t="str">
        <f>IF($A30&lt;&gt;"", (IF('5Replacement Costs - Entry'!Y31="Y",((($B30*$D30)*((1+$B$5)^E$7))*(1/((1+$F$5)^E$7))),0)), "")</f>
        <v/>
      </c>
      <c r="F30" s="27" t="str">
        <f>IF($A30&lt;&gt;"", (IF('5Replacement Costs - Entry'!Z31="Y",((($B30*$D30)*((1+$B$5)^F$7))*(1/((1+$F$5)^F$7))),0)), "")</f>
        <v/>
      </c>
      <c r="G30" s="27" t="str">
        <f>IF($A30&lt;&gt;"", (IF('5Replacement Costs - Entry'!AA31="Y",((($B30*$D30)*((1+$B$5)^G$7))*(1/((1+$F$5)^G$7))),0)), "")</f>
        <v/>
      </c>
      <c r="H30" s="27" t="str">
        <f>IF($A30&lt;&gt;"", (IF('5Replacement Costs - Entry'!AB31="Y",((($B30*$D30)*((1+$B$5)^H$7))*(1/((1+$F$5)^H$7))),0)), "")</f>
        <v/>
      </c>
      <c r="I30" s="27" t="str">
        <f>IF($A30&lt;&gt;"", (IF('5Replacement Costs - Entry'!AC31="Y",((($B30*$D30)*((1+$B$5)^I$7))*(1/((1+$F$5)^I$7))),0)), "")</f>
        <v/>
      </c>
    </row>
    <row r="31" spans="1:9">
      <c r="A31" s="29" t="str">
        <f>IF('5Capital Costs'!A32&lt;&gt;"", '5Capital Costs'!A32, "")</f>
        <v/>
      </c>
      <c r="B31" s="3" t="str">
        <f>IF('5Capital Costs'!B32&lt;&gt;"", '5Capital Costs'!B32, "")</f>
        <v/>
      </c>
      <c r="C31" s="46" t="str">
        <f>IF('5Capital Costs'!C32&lt;&gt;"", '5Capital Costs'!C32, "")</f>
        <v/>
      </c>
      <c r="D31" s="47" t="str">
        <f>IF('5Capital Costs'!D32&lt;&gt;"", '5Capital Costs'!D32, "")</f>
        <v/>
      </c>
      <c r="E31" s="27" t="str">
        <f>IF($A31&lt;&gt;"", (IF('5Replacement Costs - Entry'!Y32="Y",((($B31*$D31)*((1+$B$5)^E$7))*(1/((1+$F$5)^E$7))),0)), "")</f>
        <v/>
      </c>
      <c r="F31" s="27" t="str">
        <f>IF($A31&lt;&gt;"", (IF('5Replacement Costs - Entry'!Z32="Y",((($B31*$D31)*((1+$B$5)^F$7))*(1/((1+$F$5)^F$7))),0)), "")</f>
        <v/>
      </c>
      <c r="G31" s="27" t="str">
        <f>IF($A31&lt;&gt;"", (IF('5Replacement Costs - Entry'!AA32="Y",((($B31*$D31)*((1+$B$5)^G$7))*(1/((1+$F$5)^G$7))),0)), "")</f>
        <v/>
      </c>
      <c r="H31" s="27" t="str">
        <f>IF($A31&lt;&gt;"", (IF('5Replacement Costs - Entry'!AB32="Y",((($B31*$D31)*((1+$B$5)^H$7))*(1/((1+$F$5)^H$7))),0)), "")</f>
        <v/>
      </c>
      <c r="I31" s="27" t="str">
        <f>IF($A31&lt;&gt;"", (IF('5Replacement Costs - Entry'!AC32="Y",((($B31*$D31)*((1+$B$5)^I$7))*(1/((1+$F$5)^I$7))),0)), "")</f>
        <v/>
      </c>
    </row>
    <row r="32" spans="1:9">
      <c r="A32" s="29" t="str">
        <f>IF('5Capital Costs'!A33&lt;&gt;"", '5Capital Costs'!A33, "")</f>
        <v/>
      </c>
      <c r="B32" s="3" t="str">
        <f>IF('5Capital Costs'!B33&lt;&gt;"", '5Capital Costs'!B33, "")</f>
        <v/>
      </c>
      <c r="C32" s="46" t="str">
        <f>IF('5Capital Costs'!C33&lt;&gt;"", '5Capital Costs'!C33, "")</f>
        <v/>
      </c>
      <c r="D32" s="47" t="str">
        <f>IF('5Capital Costs'!D33&lt;&gt;"", '5Capital Costs'!D33, "")</f>
        <v/>
      </c>
      <c r="E32" s="27" t="str">
        <f>IF($A32&lt;&gt;"", (IF('5Replacement Costs - Entry'!Y33="Y",((($B32*$D32)*((1+$B$5)^E$7))*(1/((1+$F$5)^E$7))),0)), "")</f>
        <v/>
      </c>
      <c r="F32" s="27" t="str">
        <f>IF($A32&lt;&gt;"", (IF('5Replacement Costs - Entry'!Z33="Y",((($B32*$D32)*((1+$B$5)^F$7))*(1/((1+$F$5)^F$7))),0)), "")</f>
        <v/>
      </c>
      <c r="G32" s="27" t="str">
        <f>IF($A32&lt;&gt;"", (IF('5Replacement Costs - Entry'!AA33="Y",((($B32*$D32)*((1+$B$5)^G$7))*(1/((1+$F$5)^G$7))),0)), "")</f>
        <v/>
      </c>
      <c r="H32" s="27" t="str">
        <f>IF($A32&lt;&gt;"", (IF('5Replacement Costs - Entry'!AB33="Y",((($B32*$D32)*((1+$B$5)^H$7))*(1/((1+$F$5)^H$7))),0)), "")</f>
        <v/>
      </c>
      <c r="I32" s="27" t="str">
        <f>IF($A32&lt;&gt;"", (IF('5Replacement Costs - Entry'!AC33="Y",((($B32*$D32)*((1+$B$5)^I$7))*(1/((1+$F$5)^I$7))),0)), "")</f>
        <v/>
      </c>
    </row>
    <row r="33" spans="1:9">
      <c r="A33" s="29" t="str">
        <f>IF('5Capital Costs'!A34&lt;&gt;"", '5Capital Costs'!A34, "")</f>
        <v/>
      </c>
      <c r="B33" s="3" t="str">
        <f>IF('5Capital Costs'!B34&lt;&gt;"", '5Capital Costs'!B34, "")</f>
        <v/>
      </c>
      <c r="C33" s="46" t="str">
        <f>IF('5Capital Costs'!C34&lt;&gt;"", '5Capital Costs'!C34, "")</f>
        <v/>
      </c>
      <c r="D33" s="47" t="str">
        <f>IF('5Capital Costs'!D34&lt;&gt;"", '5Capital Costs'!D34, "")</f>
        <v/>
      </c>
      <c r="E33" s="27" t="str">
        <f>IF($A33&lt;&gt;"", (IF('5Replacement Costs - Entry'!Y34="Y",((($B33*$D33)*((1+$B$5)^E$7))*(1/((1+$F$5)^E$7))),0)), "")</f>
        <v/>
      </c>
      <c r="F33" s="27" t="str">
        <f>IF($A33&lt;&gt;"", (IF('5Replacement Costs - Entry'!Z34="Y",((($B33*$D33)*((1+$B$5)^F$7))*(1/((1+$F$5)^F$7))),0)), "")</f>
        <v/>
      </c>
      <c r="G33" s="27" t="str">
        <f>IF($A33&lt;&gt;"", (IF('5Replacement Costs - Entry'!AA34="Y",((($B33*$D33)*((1+$B$5)^G$7))*(1/((1+$F$5)^G$7))),0)), "")</f>
        <v/>
      </c>
      <c r="H33" s="27" t="str">
        <f>IF($A33&lt;&gt;"", (IF('5Replacement Costs - Entry'!AB34="Y",((($B33*$D33)*((1+$B$5)^H$7))*(1/((1+$F$5)^H$7))),0)), "")</f>
        <v/>
      </c>
      <c r="I33" s="27" t="str">
        <f>IF($A33&lt;&gt;"", (IF('5Replacement Costs - Entry'!AC34="Y",((($B33*$D33)*((1+$B$5)^I$7))*(1/((1+$F$5)^I$7))),0)), "")</f>
        <v/>
      </c>
    </row>
    <row r="34" spans="1:9">
      <c r="A34" s="29" t="str">
        <f>IF('5Capital Costs'!A35&lt;&gt;"", '5Capital Costs'!A35, "")</f>
        <v/>
      </c>
      <c r="B34" s="3" t="str">
        <f>IF('5Capital Costs'!B35&lt;&gt;"", '5Capital Costs'!B35, "")</f>
        <v/>
      </c>
      <c r="C34" s="46" t="str">
        <f>IF('5Capital Costs'!C35&lt;&gt;"", '5Capital Costs'!C35, "")</f>
        <v/>
      </c>
      <c r="D34" s="47" t="str">
        <f>IF('5Capital Costs'!D35&lt;&gt;"", '5Capital Costs'!D35, "")</f>
        <v/>
      </c>
      <c r="E34" s="27" t="str">
        <f>IF($A34&lt;&gt;"", (IF('5Replacement Costs - Entry'!Y35="Y",((($B34*$D34)*((1+$B$5)^E$7))*(1/((1+$F$5)^E$7))),0)), "")</f>
        <v/>
      </c>
      <c r="F34" s="27" t="str">
        <f>IF($A34&lt;&gt;"", (IF('5Replacement Costs - Entry'!Z35="Y",((($B34*$D34)*((1+$B$5)^F$7))*(1/((1+$F$5)^F$7))),0)), "")</f>
        <v/>
      </c>
      <c r="G34" s="27" t="str">
        <f>IF($A34&lt;&gt;"", (IF('5Replacement Costs - Entry'!AA35="Y",((($B34*$D34)*((1+$B$5)^G$7))*(1/((1+$F$5)^G$7))),0)), "")</f>
        <v/>
      </c>
      <c r="H34" s="27" t="str">
        <f>IF($A34&lt;&gt;"", (IF('5Replacement Costs - Entry'!AB35="Y",((($B34*$D34)*((1+$B$5)^H$7))*(1/((1+$F$5)^H$7))),0)), "")</f>
        <v/>
      </c>
      <c r="I34" s="27" t="str">
        <f>IF($A34&lt;&gt;"", (IF('5Replacement Costs - Entry'!AC35="Y",((($B34*$D34)*((1+$B$5)^I$7))*(1/((1+$F$5)^I$7))),0)), "")</f>
        <v/>
      </c>
    </row>
    <row r="35" spans="1:9">
      <c r="A35" s="29" t="str">
        <f>IF('5Capital Costs'!A36&lt;&gt;"", '5Capital Costs'!A36, "")</f>
        <v/>
      </c>
      <c r="B35" s="3" t="str">
        <f>IF('5Capital Costs'!B36&lt;&gt;"", '5Capital Costs'!B36, "")</f>
        <v/>
      </c>
      <c r="C35" s="46" t="str">
        <f>IF('5Capital Costs'!C36&lt;&gt;"", '5Capital Costs'!C36, "")</f>
        <v/>
      </c>
      <c r="D35" s="47" t="str">
        <f>IF('5Capital Costs'!D36&lt;&gt;"", '5Capital Costs'!D36, "")</f>
        <v/>
      </c>
      <c r="E35" s="27" t="str">
        <f>IF($A35&lt;&gt;"", (IF('5Replacement Costs - Entry'!Y36="Y",((($B35*$D35)*((1+$B$5)^E$7))*(1/((1+$F$5)^E$7))),0)), "")</f>
        <v/>
      </c>
      <c r="F35" s="27" t="str">
        <f>IF($A35&lt;&gt;"", (IF('5Replacement Costs - Entry'!Z36="Y",((($B35*$D35)*((1+$B$5)^F$7))*(1/((1+$F$5)^F$7))),0)), "")</f>
        <v/>
      </c>
      <c r="G35" s="27" t="str">
        <f>IF($A35&lt;&gt;"", (IF('5Replacement Costs - Entry'!AA36="Y",((($B35*$D35)*((1+$B$5)^G$7))*(1/((1+$F$5)^G$7))),0)), "")</f>
        <v/>
      </c>
      <c r="H35" s="27" t="str">
        <f>IF($A35&lt;&gt;"", (IF('5Replacement Costs - Entry'!AB36="Y",((($B35*$D35)*((1+$B$5)^H$7))*(1/((1+$F$5)^H$7))),0)), "")</f>
        <v/>
      </c>
      <c r="I35" s="27" t="str">
        <f>IF($A35&lt;&gt;"", (IF('5Replacement Costs - Entry'!AC36="Y",((($B35*$D35)*((1+$B$5)^I$7))*(1/((1+$F$5)^I$7))),0)), "")</f>
        <v/>
      </c>
    </row>
    <row r="36" spans="1:9">
      <c r="A36" s="29" t="str">
        <f>IF('5Capital Costs'!A37&lt;&gt;"", '5Capital Costs'!A37, "")</f>
        <v/>
      </c>
      <c r="B36" s="3" t="str">
        <f>IF('5Capital Costs'!B37&lt;&gt;"", '5Capital Costs'!B37, "")</f>
        <v/>
      </c>
      <c r="C36" s="46" t="str">
        <f>IF('5Capital Costs'!C37&lt;&gt;"", '5Capital Costs'!C37, "")</f>
        <v/>
      </c>
      <c r="D36" s="47" t="str">
        <f>IF('5Capital Costs'!D37&lt;&gt;"", '5Capital Costs'!D37, "")</f>
        <v/>
      </c>
      <c r="E36" s="27" t="str">
        <f>IF($A36&lt;&gt;"", (IF('5Replacement Costs - Entry'!Y37="Y",((($B36*$D36)*((1+$B$5)^E$7))*(1/((1+$F$5)^E$7))),0)), "")</f>
        <v/>
      </c>
      <c r="F36" s="27" t="str">
        <f>IF($A36&lt;&gt;"", (IF('5Replacement Costs - Entry'!Z37="Y",((($B36*$D36)*((1+$B$5)^F$7))*(1/((1+$F$5)^F$7))),0)), "")</f>
        <v/>
      </c>
      <c r="G36" s="27" t="str">
        <f>IF($A36&lt;&gt;"", (IF('5Replacement Costs - Entry'!AA37="Y",((($B36*$D36)*((1+$B$5)^G$7))*(1/((1+$F$5)^G$7))),0)), "")</f>
        <v/>
      </c>
      <c r="H36" s="27" t="str">
        <f>IF($A36&lt;&gt;"", (IF('5Replacement Costs - Entry'!AB37="Y",((($B36*$D36)*((1+$B$5)^H$7))*(1/((1+$F$5)^H$7))),0)), "")</f>
        <v/>
      </c>
      <c r="I36" s="27" t="str">
        <f>IF($A36&lt;&gt;"", (IF('5Replacement Costs - Entry'!AC37="Y",((($B36*$D36)*((1+$B$5)^I$7))*(1/((1+$F$5)^I$7))),0)), "")</f>
        <v/>
      </c>
    </row>
    <row r="37" spans="1:9">
      <c r="A37" s="23"/>
      <c r="B37" s="23"/>
      <c r="C37" s="23"/>
      <c r="D37" s="36" t="s">
        <v>46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38" spans="1:9">
      <c r="H38" s="2" t="s">
        <v>45</v>
      </c>
      <c r="I38" s="28">
        <f>'5Replace Costs - Results 1-5'!E37+'5Replace Costs - Results 1-5'!F37+'5Replace Costs - Results 1-5'!G37+'5Replace Costs - Results 1-5'!H37+'5Replace Costs - Results 1-5'!I37+'5Replace Costs-Results 6-10'!E37+'5Replace Costs-Results 6-10'!F37+'5Replace Costs-Results 6-10'!G37+'5Replace Costs-Results 6-10'!H37+'5Replace Costs-Results 6-10'!I37+'5Replace Costs-Results 11-15'!E37+'5Replace Costs-Results 11-15'!F37+'5Replace Costs-Results 11-15'!G37+'5Replace Costs-Results 11-15'!H37+'5Replace Costs-Results 11-15'!I37+'5Replace Costs-Results 16-20'!E37+'5Replace Costs-Results 16-20'!F37+'5Replace Costs-Results 16-20'!G37+'5Replace Costs-Results 16-20'!H37+'5Replace Costs-Results 16-20'!I37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6" fitToWidth="4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selection activeCell="D9" sqref="A9:D12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4" width="9.7109375" style="1" customWidth="1"/>
    <col min="15" max="16384" width="9.140625" style="1"/>
  </cols>
  <sheetData>
    <row r="1" spans="1:14">
      <c r="A1" s="137" t="s">
        <v>179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'5Capital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144" t="s">
        <v>61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6"/>
    </row>
    <row r="6" spans="1:14">
      <c r="A6" s="74" t="str">
        <f>'4Yearly O&amp;M Costs 1-10'!A6</f>
        <v>Current Inflation Rate Based on Municipal Cost Index:</v>
      </c>
      <c r="B6" s="75">
        <f>'4Yearly O&amp;M Costs 1-10'!B6</f>
        <v>2.7598896044158234E-2</v>
      </c>
      <c r="C6" s="91"/>
      <c r="D6" s="91"/>
      <c r="E6" s="96"/>
      <c r="G6" s="96"/>
      <c r="H6" s="96"/>
      <c r="I6" s="96"/>
      <c r="J6" s="96"/>
      <c r="K6" s="96"/>
      <c r="L6" s="96"/>
      <c r="M6" s="96" t="s">
        <v>43</v>
      </c>
      <c r="N6" s="101">
        <f>'Replace Costs-Results 16-20'!F5</f>
        <v>4.8750000000000002E-2</v>
      </c>
    </row>
    <row r="7" spans="1:14">
      <c r="A7" s="74"/>
      <c r="B7" s="75"/>
      <c r="C7" s="91"/>
      <c r="D7" s="91"/>
      <c r="E7" s="151" t="s">
        <v>53</v>
      </c>
      <c r="F7" s="147"/>
      <c r="G7" s="147"/>
      <c r="H7" s="147"/>
      <c r="I7" s="147"/>
      <c r="J7" s="147"/>
      <c r="K7" s="147"/>
      <c r="L7" s="147"/>
      <c r="M7" s="147"/>
      <c r="N7" s="148"/>
    </row>
    <row r="8" spans="1:14">
      <c r="A8" s="12" t="s">
        <v>4</v>
      </c>
      <c r="B8" s="12" t="s">
        <v>0</v>
      </c>
      <c r="C8" s="12" t="s">
        <v>5</v>
      </c>
      <c r="D8" s="12" t="s">
        <v>1</v>
      </c>
      <c r="E8" s="39">
        <v>1</v>
      </c>
      <c r="F8" s="39">
        <v>2</v>
      </c>
      <c r="G8" s="39">
        <v>3</v>
      </c>
      <c r="H8" s="39">
        <v>4</v>
      </c>
      <c r="I8" s="39">
        <v>5</v>
      </c>
      <c r="J8" s="39">
        <v>6</v>
      </c>
      <c r="K8" s="39">
        <v>7</v>
      </c>
      <c r="L8" s="39">
        <v>8</v>
      </c>
      <c r="M8" s="39">
        <v>9</v>
      </c>
      <c r="N8" s="39">
        <v>10</v>
      </c>
    </row>
    <row r="9" spans="1:14">
      <c r="A9" s="97"/>
      <c r="B9" s="81"/>
      <c r="C9" s="86"/>
      <c r="D9" s="89"/>
      <c r="E9" s="34" t="str">
        <f t="shared" ref="E9:N24" si="0">IF($A9&lt;&gt;"", (($B9*$D9)*((1+$B$6)^E$8)*(1/((1+$N$6)^E$8))), "")</f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7"/>
      <c r="B10" s="81"/>
      <c r="C10" s="86"/>
      <c r="D10" s="89"/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7"/>
      <c r="B11" s="81"/>
      <c r="C11" s="86"/>
      <c r="D11" s="89"/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7"/>
      <c r="B12" s="81"/>
      <c r="C12" s="84"/>
      <c r="D12" s="89"/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7"/>
      <c r="B13" s="83"/>
      <c r="C13" s="86"/>
      <c r="D13" s="89"/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7"/>
      <c r="B14" s="83"/>
      <c r="C14" s="86"/>
      <c r="D14" s="89"/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7"/>
      <c r="B15" s="81"/>
      <c r="C15" s="86"/>
      <c r="D15" s="89"/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7"/>
      <c r="B16" s="81"/>
      <c r="C16" s="86"/>
      <c r="D16" s="90"/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7"/>
      <c r="B17" s="81"/>
      <c r="C17" s="86"/>
      <c r="D17" s="90"/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7"/>
      <c r="B18" s="81"/>
      <c r="C18" s="86"/>
      <c r="D18" s="90"/>
      <c r="E18" s="34" t="str">
        <f t="shared" si="0"/>
        <v/>
      </c>
      <c r="F18" s="34" t="str">
        <f t="shared" si="0"/>
        <v/>
      </c>
      <c r="G18" s="34" t="str">
        <f t="shared" si="0"/>
        <v/>
      </c>
      <c r="H18" s="34" t="str">
        <f t="shared" si="0"/>
        <v/>
      </c>
      <c r="I18" s="34" t="str">
        <f t="shared" si="0"/>
        <v/>
      </c>
      <c r="J18" s="34" t="str">
        <f t="shared" si="0"/>
        <v/>
      </c>
      <c r="K18" s="34" t="str">
        <f t="shared" si="0"/>
        <v/>
      </c>
      <c r="L18" s="34" t="str">
        <f t="shared" si="0"/>
        <v/>
      </c>
      <c r="M18" s="34" t="str">
        <f t="shared" si="0"/>
        <v/>
      </c>
      <c r="N18" s="35" t="str">
        <f t="shared" si="0"/>
        <v/>
      </c>
    </row>
    <row r="19" spans="1:14">
      <c r="A19" s="97"/>
      <c r="B19" s="81"/>
      <c r="C19" s="86"/>
      <c r="D19" s="90"/>
      <c r="E19" s="34" t="str">
        <f t="shared" si="0"/>
        <v/>
      </c>
      <c r="F19" s="34" t="str">
        <f t="shared" si="0"/>
        <v/>
      </c>
      <c r="G19" s="34" t="str">
        <f t="shared" si="0"/>
        <v/>
      </c>
      <c r="H19" s="34" t="str">
        <f t="shared" si="0"/>
        <v/>
      </c>
      <c r="I19" s="34" t="str">
        <f t="shared" si="0"/>
        <v/>
      </c>
      <c r="J19" s="34" t="str">
        <f t="shared" si="0"/>
        <v/>
      </c>
      <c r="K19" s="34" t="str">
        <f t="shared" si="0"/>
        <v/>
      </c>
      <c r="L19" s="34" t="str">
        <f t="shared" si="0"/>
        <v/>
      </c>
      <c r="M19" s="34" t="str">
        <f t="shared" si="0"/>
        <v/>
      </c>
      <c r="N19" s="35" t="str">
        <f t="shared" si="0"/>
        <v/>
      </c>
    </row>
    <row r="20" spans="1:14">
      <c r="A20" s="97"/>
      <c r="B20" s="81"/>
      <c r="C20" s="86"/>
      <c r="D20" s="90"/>
      <c r="E20" s="34" t="str">
        <f t="shared" si="0"/>
        <v/>
      </c>
      <c r="F20" s="34" t="str">
        <f t="shared" si="0"/>
        <v/>
      </c>
      <c r="G20" s="34" t="str">
        <f t="shared" si="0"/>
        <v/>
      </c>
      <c r="H20" s="34" t="str">
        <f t="shared" si="0"/>
        <v/>
      </c>
      <c r="I20" s="34" t="str">
        <f t="shared" si="0"/>
        <v/>
      </c>
      <c r="J20" s="34" t="str">
        <f t="shared" si="0"/>
        <v/>
      </c>
      <c r="K20" s="34" t="str">
        <f t="shared" si="0"/>
        <v/>
      </c>
      <c r="L20" s="34" t="str">
        <f t="shared" si="0"/>
        <v/>
      </c>
      <c r="M20" s="34" t="str">
        <f t="shared" si="0"/>
        <v/>
      </c>
      <c r="N20" s="35" t="str">
        <f t="shared" si="0"/>
        <v/>
      </c>
    </row>
    <row r="21" spans="1:14">
      <c r="A21" s="97"/>
      <c r="B21" s="81"/>
      <c r="C21" s="86"/>
      <c r="D21" s="90"/>
      <c r="E21" s="34" t="str">
        <f t="shared" si="0"/>
        <v/>
      </c>
      <c r="F21" s="34" t="str">
        <f t="shared" si="0"/>
        <v/>
      </c>
      <c r="G21" s="34" t="str">
        <f t="shared" si="0"/>
        <v/>
      </c>
      <c r="H21" s="34" t="str">
        <f t="shared" si="0"/>
        <v/>
      </c>
      <c r="I21" s="34" t="str">
        <f t="shared" si="0"/>
        <v/>
      </c>
      <c r="J21" s="34" t="str">
        <f t="shared" si="0"/>
        <v/>
      </c>
      <c r="K21" s="34" t="str">
        <f t="shared" si="0"/>
        <v/>
      </c>
      <c r="L21" s="34" t="str">
        <f t="shared" si="0"/>
        <v/>
      </c>
      <c r="M21" s="34" t="str">
        <f t="shared" si="0"/>
        <v/>
      </c>
      <c r="N21" s="35" t="str">
        <f t="shared" si="0"/>
        <v/>
      </c>
    </row>
    <row r="22" spans="1:14">
      <c r="A22" s="97"/>
      <c r="B22" s="81"/>
      <c r="C22" s="86"/>
      <c r="D22" s="90"/>
      <c r="E22" s="34" t="str">
        <f t="shared" si="0"/>
        <v/>
      </c>
      <c r="F22" s="34" t="str">
        <f t="shared" si="0"/>
        <v/>
      </c>
      <c r="G22" s="34" t="str">
        <f t="shared" si="0"/>
        <v/>
      </c>
      <c r="H22" s="34" t="str">
        <f t="shared" si="0"/>
        <v/>
      </c>
      <c r="I22" s="34" t="str">
        <f t="shared" si="0"/>
        <v/>
      </c>
      <c r="J22" s="34" t="str">
        <f t="shared" si="0"/>
        <v/>
      </c>
      <c r="K22" s="34" t="str">
        <f t="shared" si="0"/>
        <v/>
      </c>
      <c r="L22" s="34" t="str">
        <f t="shared" si="0"/>
        <v/>
      </c>
      <c r="M22" s="34" t="str">
        <f t="shared" si="0"/>
        <v/>
      </c>
      <c r="N22" s="35" t="str">
        <f t="shared" si="0"/>
        <v/>
      </c>
    </row>
    <row r="23" spans="1:14">
      <c r="A23" s="97"/>
      <c r="B23" s="81"/>
      <c r="C23" s="86"/>
      <c r="D23" s="90"/>
      <c r="E23" s="34" t="str">
        <f t="shared" si="0"/>
        <v/>
      </c>
      <c r="F23" s="34" t="str">
        <f t="shared" si="0"/>
        <v/>
      </c>
      <c r="G23" s="34" t="str">
        <f t="shared" si="0"/>
        <v/>
      </c>
      <c r="H23" s="34" t="str">
        <f t="shared" si="0"/>
        <v/>
      </c>
      <c r="I23" s="34" t="str">
        <f t="shared" si="0"/>
        <v/>
      </c>
      <c r="J23" s="34" t="str">
        <f t="shared" si="0"/>
        <v/>
      </c>
      <c r="K23" s="34" t="str">
        <f t="shared" si="0"/>
        <v/>
      </c>
      <c r="L23" s="34" t="str">
        <f t="shared" si="0"/>
        <v/>
      </c>
      <c r="M23" s="34" t="str">
        <f t="shared" si="0"/>
        <v/>
      </c>
      <c r="N23" s="35" t="str">
        <f t="shared" si="0"/>
        <v/>
      </c>
    </row>
    <row r="24" spans="1:14">
      <c r="A24" s="97"/>
      <c r="B24" s="81"/>
      <c r="C24" s="86"/>
      <c r="D24" s="90"/>
      <c r="E24" s="34" t="str">
        <f t="shared" si="0"/>
        <v/>
      </c>
      <c r="F24" s="34" t="str">
        <f t="shared" si="0"/>
        <v/>
      </c>
      <c r="G24" s="34" t="str">
        <f t="shared" si="0"/>
        <v/>
      </c>
      <c r="H24" s="34" t="str">
        <f t="shared" si="0"/>
        <v/>
      </c>
      <c r="I24" s="34" t="str">
        <f t="shared" si="0"/>
        <v/>
      </c>
      <c r="J24" s="34" t="str">
        <f t="shared" si="0"/>
        <v/>
      </c>
      <c r="K24" s="34" t="str">
        <f t="shared" si="0"/>
        <v/>
      </c>
      <c r="L24" s="34" t="str">
        <f t="shared" si="0"/>
        <v/>
      </c>
      <c r="M24" s="34" t="str">
        <f t="shared" si="0"/>
        <v/>
      </c>
      <c r="N24" s="35" t="str">
        <f t="shared" si="0"/>
        <v/>
      </c>
    </row>
    <row r="25" spans="1:14">
      <c r="A25" s="97"/>
      <c r="B25" s="81"/>
      <c r="C25" s="86"/>
      <c r="D25" s="90"/>
      <c r="E25" s="34" t="str">
        <f t="shared" ref="E25:N31" si="1">IF($A25&lt;&gt;"", (($B25*$D25)*((1+$B$6)^E$8)*(1/((1+$N$6)^E$8))), "")</f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7"/>
      <c r="B26" s="81"/>
      <c r="C26" s="86"/>
      <c r="D26" s="90"/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7"/>
      <c r="B27" s="81"/>
      <c r="C27" s="86"/>
      <c r="D27" s="90"/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7"/>
      <c r="B28" s="81"/>
      <c r="C28" s="86"/>
      <c r="D28" s="90"/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7"/>
      <c r="B29" s="81"/>
      <c r="C29" s="86"/>
      <c r="D29" s="90"/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7"/>
      <c r="B30" s="81"/>
      <c r="C30" s="86"/>
      <c r="D30" s="90"/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7"/>
      <c r="B31" s="81"/>
      <c r="C31" s="86"/>
      <c r="D31" s="90"/>
      <c r="E31" s="34" t="str">
        <f t="shared" si="1"/>
        <v/>
      </c>
      <c r="F31" s="34" t="str">
        <f t="shared" si="1"/>
        <v/>
      </c>
      <c r="G31" s="34" t="str">
        <f t="shared" si="1"/>
        <v/>
      </c>
      <c r="H31" s="34" t="str">
        <f t="shared" si="1"/>
        <v/>
      </c>
      <c r="I31" s="34" t="str">
        <f t="shared" si="1"/>
        <v/>
      </c>
      <c r="J31" s="34" t="str">
        <f t="shared" si="1"/>
        <v/>
      </c>
      <c r="K31" s="34" t="str">
        <f t="shared" si="1"/>
        <v/>
      </c>
      <c r="L31" s="34" t="str">
        <f t="shared" si="1"/>
        <v/>
      </c>
      <c r="M31" s="34" t="str">
        <f t="shared" si="1"/>
        <v/>
      </c>
      <c r="N31" s="35" t="str">
        <f t="shared" si="1"/>
        <v/>
      </c>
    </row>
    <row r="32" spans="1:14">
      <c r="A32" s="9"/>
      <c r="B32" s="23"/>
      <c r="C32" s="23"/>
      <c r="D32" s="37" t="s">
        <v>54</v>
      </c>
      <c r="E32" s="28">
        <f>SUM(E9:E31)</f>
        <v>0</v>
      </c>
      <c r="F32" s="28">
        <f t="shared" ref="F32:N32" si="2">SUM(F9:F31)</f>
        <v>0</v>
      </c>
      <c r="G32" s="28">
        <f t="shared" si="2"/>
        <v>0</v>
      </c>
      <c r="H32" s="28">
        <f t="shared" si="2"/>
        <v>0</v>
      </c>
      <c r="I32" s="28">
        <f t="shared" si="2"/>
        <v>0</v>
      </c>
      <c r="J32" s="28">
        <f t="shared" si="2"/>
        <v>0</v>
      </c>
      <c r="K32" s="28">
        <f t="shared" si="2"/>
        <v>0</v>
      </c>
      <c r="L32" s="28">
        <f t="shared" si="2"/>
        <v>0</v>
      </c>
      <c r="M32" s="28">
        <f t="shared" si="2"/>
        <v>0</v>
      </c>
      <c r="N32" s="28">
        <f t="shared" si="2"/>
        <v>0</v>
      </c>
    </row>
    <row r="35" spans="1:2" hidden="1">
      <c r="A35" s="6" t="s">
        <v>7</v>
      </c>
      <c r="B35" s="33">
        <v>4.8750000000000002E-2</v>
      </c>
    </row>
  </sheetData>
  <sheetProtection sheet="1" objects="1" scenarios="1"/>
  <mergeCells count="6">
    <mergeCell ref="E7:N7"/>
    <mergeCell ref="A1:N1"/>
    <mergeCell ref="A2:N2"/>
    <mergeCell ref="A3:N3"/>
    <mergeCell ref="A4:N4"/>
    <mergeCell ref="A5:N5"/>
  </mergeCells>
  <printOptions horizontalCentered="1"/>
  <pageMargins left="0.5" right="0.5" top="0.5" bottom="0.5" header="0.3" footer="0.3"/>
  <pageSetup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N34"/>
  <sheetViews>
    <sheetView workbookViewId="0">
      <selection activeCell="A2" sqref="A2:N2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3" width="9.7109375" style="1" customWidth="1"/>
    <col min="14" max="14" width="12.7109375" style="1" customWidth="1"/>
    <col min="15" max="16384" width="9.140625" style="1"/>
  </cols>
  <sheetData>
    <row r="1" spans="1:14">
      <c r="A1" s="137" t="s">
        <v>180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'5Capital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'5Yearly O&amp;M Costs 1-10'!A6</f>
        <v>Current Inflation Rate Based on Municipal Cost Index:</v>
      </c>
      <c r="B5" s="75">
        <f>'5Yearly O&amp;M Costs 1-10'!B6</f>
        <v>2.7598896044158234E-2</v>
      </c>
      <c r="C5" s="91"/>
      <c r="D5" s="91"/>
      <c r="E5" s="96"/>
      <c r="G5" s="96"/>
      <c r="H5" s="96"/>
      <c r="I5" s="96"/>
      <c r="J5" s="96"/>
      <c r="K5" s="96"/>
      <c r="L5" s="96"/>
      <c r="M5" s="96" t="s">
        <v>43</v>
      </c>
      <c r="N5" s="101">
        <f>'Replace Costs-Results 16-20'!F5</f>
        <v>4.8750000000000002E-2</v>
      </c>
    </row>
    <row r="6" spans="1:14">
      <c r="A6" s="74"/>
      <c r="B6" s="75"/>
      <c r="C6" s="91"/>
      <c r="D6" s="91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2" t="s">
        <v>4</v>
      </c>
      <c r="B7" s="12" t="s">
        <v>0</v>
      </c>
      <c r="C7" s="12" t="s">
        <v>5</v>
      </c>
      <c r="D7" s="12" t="s">
        <v>1</v>
      </c>
      <c r="E7" s="39">
        <v>11</v>
      </c>
      <c r="F7" s="39">
        <v>12</v>
      </c>
      <c r="G7" s="39">
        <v>13</v>
      </c>
      <c r="H7" s="39">
        <v>14</v>
      </c>
      <c r="I7" s="39">
        <v>15</v>
      </c>
      <c r="J7" s="39">
        <v>16</v>
      </c>
      <c r="K7" s="39">
        <v>17</v>
      </c>
      <c r="L7" s="39">
        <v>18</v>
      </c>
      <c r="M7" s="39">
        <v>19</v>
      </c>
      <c r="N7" s="39">
        <v>20</v>
      </c>
    </row>
    <row r="8" spans="1:14">
      <c r="A8" s="98" t="str">
        <f>IF('5Yearly O&amp;M Costs 1-10'!A9&lt;&gt;"", '5Yearly O&amp;M Costs 1-10'!A9, "")</f>
        <v/>
      </c>
      <c r="B8" s="113" t="str">
        <f>IF('5Yearly O&amp;M Costs 1-10'!B9&lt;&gt;"", '5Yearly O&amp;M Costs 1-10'!B9, "")</f>
        <v/>
      </c>
      <c r="C8" s="98" t="str">
        <f>IF('5Yearly O&amp;M Costs 1-10'!C9&lt;&gt;"", '5Yearly O&amp;M Costs 1-10'!C9, "")</f>
        <v/>
      </c>
      <c r="D8" s="109" t="str">
        <f>IF('5Yearly O&amp;M Costs 1-10'!D9&lt;&gt;"", '5Yearly O&amp;M Costs 1-10'!D9, "")</f>
        <v/>
      </c>
      <c r="E8" s="34" t="str">
        <f t="shared" ref="E8:N23" si="0">IF($A8&lt;&gt;"", (($B8*$D8)*((1+$B$5)^E$7)*(1/((1+$N$5)^E$7))), "")</f>
        <v/>
      </c>
      <c r="F8" s="34" t="str">
        <f t="shared" si="0"/>
        <v/>
      </c>
      <c r="G8" s="34" t="str">
        <f t="shared" si="0"/>
        <v/>
      </c>
      <c r="H8" s="34" t="str">
        <f t="shared" si="0"/>
        <v/>
      </c>
      <c r="I8" s="34" t="str">
        <f t="shared" si="0"/>
        <v/>
      </c>
      <c r="J8" s="34" t="str">
        <f t="shared" si="0"/>
        <v/>
      </c>
      <c r="K8" s="34" t="str">
        <f t="shared" si="0"/>
        <v/>
      </c>
      <c r="L8" s="34" t="str">
        <f t="shared" si="0"/>
        <v/>
      </c>
      <c r="M8" s="34" t="str">
        <f t="shared" si="0"/>
        <v/>
      </c>
      <c r="N8" s="35" t="str">
        <f t="shared" si="0"/>
        <v/>
      </c>
    </row>
    <row r="9" spans="1:14">
      <c r="A9" s="98" t="str">
        <f>IF('5Yearly O&amp;M Costs 1-10'!A10&lt;&gt;"", '5Yearly O&amp;M Costs 1-10'!A10, "")</f>
        <v/>
      </c>
      <c r="B9" s="113" t="str">
        <f>IF('5Yearly O&amp;M Costs 1-10'!B10&lt;&gt;"", '5Yearly O&amp;M Costs 1-10'!B10, "")</f>
        <v/>
      </c>
      <c r="C9" s="98" t="str">
        <f>IF('5Yearly O&amp;M Costs 1-10'!C10&lt;&gt;"", '5Yearly O&amp;M Costs 1-10'!C10, "")</f>
        <v/>
      </c>
      <c r="D9" s="109" t="str">
        <f>IF('5Yearly O&amp;M Costs 1-10'!D10&lt;&gt;"", '5Yearly O&amp;M Costs 1-10'!D10, "")</f>
        <v/>
      </c>
      <c r="E9" s="34" t="str">
        <f t="shared" si="0"/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8" t="str">
        <f>IF('5Yearly O&amp;M Costs 1-10'!A11&lt;&gt;"", '5Yearly O&amp;M Costs 1-10'!A11, "")</f>
        <v/>
      </c>
      <c r="B10" s="113" t="str">
        <f>IF('5Yearly O&amp;M Costs 1-10'!B11&lt;&gt;"", '5Yearly O&amp;M Costs 1-10'!B11, "")</f>
        <v/>
      </c>
      <c r="C10" s="98" t="str">
        <f>IF('5Yearly O&amp;M Costs 1-10'!C11&lt;&gt;"", '5Yearly O&amp;M Costs 1-10'!C11, "")</f>
        <v/>
      </c>
      <c r="D10" s="109" t="str">
        <f>IF('5Yearly O&amp;M Costs 1-10'!D11&lt;&gt;"", '5Yearly O&amp;M Costs 1-10'!D11, "")</f>
        <v/>
      </c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8" t="str">
        <f>IF('5Yearly O&amp;M Costs 1-10'!A12&lt;&gt;"", '5Yearly O&amp;M Costs 1-10'!A12, "")</f>
        <v/>
      </c>
      <c r="B11" s="113" t="str">
        <f>IF('5Yearly O&amp;M Costs 1-10'!B12&lt;&gt;"", '5Yearly O&amp;M Costs 1-10'!B12, "")</f>
        <v/>
      </c>
      <c r="C11" s="98" t="str">
        <f>IF('5Yearly O&amp;M Costs 1-10'!C12&lt;&gt;"", '5Yearly O&amp;M Costs 1-10'!C12, "")</f>
        <v/>
      </c>
      <c r="D11" s="109" t="str">
        <f>IF('5Yearly O&amp;M Costs 1-10'!D12&lt;&gt;"", '5Yearly O&amp;M Costs 1-10'!D12, "")</f>
        <v/>
      </c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8" t="str">
        <f>IF('5Yearly O&amp;M Costs 1-10'!A13&lt;&gt;"", '5Yearly O&amp;M Costs 1-10'!A13, "")</f>
        <v/>
      </c>
      <c r="B12" s="113" t="str">
        <f>IF('5Yearly O&amp;M Costs 1-10'!B13&lt;&gt;"", '5Yearly O&amp;M Costs 1-10'!B13, "")</f>
        <v/>
      </c>
      <c r="C12" s="98" t="str">
        <f>IF('5Yearly O&amp;M Costs 1-10'!C13&lt;&gt;"", '5Yearly O&amp;M Costs 1-10'!C13, "")</f>
        <v/>
      </c>
      <c r="D12" s="109" t="str">
        <f>IF('5Yearly O&amp;M Costs 1-10'!D13&lt;&gt;"", '5Yearly O&amp;M Costs 1-10'!D13, "")</f>
        <v/>
      </c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8" t="str">
        <f>IF('5Yearly O&amp;M Costs 1-10'!A14&lt;&gt;"", '5Yearly O&amp;M Costs 1-10'!A14, "")</f>
        <v/>
      </c>
      <c r="B13" s="113" t="str">
        <f>IF('5Yearly O&amp;M Costs 1-10'!B14&lt;&gt;"", '5Yearly O&amp;M Costs 1-10'!B14, "")</f>
        <v/>
      </c>
      <c r="C13" s="98" t="str">
        <f>IF('5Yearly O&amp;M Costs 1-10'!C14&lt;&gt;"", '5Yearly O&amp;M Costs 1-10'!C14, "")</f>
        <v/>
      </c>
      <c r="D13" s="109" t="str">
        <f>IF('5Yearly O&amp;M Costs 1-10'!D14&lt;&gt;"", '5Yearly O&amp;M Costs 1-10'!D14, "")</f>
        <v/>
      </c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8" t="str">
        <f>IF('5Yearly O&amp;M Costs 1-10'!A15&lt;&gt;"", '5Yearly O&amp;M Costs 1-10'!A15, "")</f>
        <v/>
      </c>
      <c r="B14" s="113" t="str">
        <f>IF('5Yearly O&amp;M Costs 1-10'!B15&lt;&gt;"", '5Yearly O&amp;M Costs 1-10'!B15, "")</f>
        <v/>
      </c>
      <c r="C14" s="98" t="str">
        <f>IF('5Yearly O&amp;M Costs 1-10'!C15&lt;&gt;"", '5Yearly O&amp;M Costs 1-10'!C15, "")</f>
        <v/>
      </c>
      <c r="D14" s="109" t="str">
        <f>IF('5Yearly O&amp;M Costs 1-10'!D15&lt;&gt;"", '5Yearly O&amp;M Costs 1-10'!D15, "")</f>
        <v/>
      </c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8" t="str">
        <f>IF('5Yearly O&amp;M Costs 1-10'!A16&lt;&gt;"", '5Yearly O&amp;M Costs 1-10'!A16, "")</f>
        <v/>
      </c>
      <c r="B15" s="113" t="str">
        <f>IF('5Yearly O&amp;M Costs 1-10'!B16&lt;&gt;"", '5Yearly O&amp;M Costs 1-10'!B16, "")</f>
        <v/>
      </c>
      <c r="C15" s="98" t="str">
        <f>IF('5Yearly O&amp;M Costs 1-10'!C16&lt;&gt;"", '5Yearly O&amp;M Costs 1-10'!C16, "")</f>
        <v/>
      </c>
      <c r="D15" s="109" t="str">
        <f>IF('5Yearly O&amp;M Costs 1-10'!D16&lt;&gt;"", '5Yearly O&amp;M Costs 1-10'!D16, "")</f>
        <v/>
      </c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8" t="str">
        <f>IF('5Yearly O&amp;M Costs 1-10'!A17&lt;&gt;"", '5Yearly O&amp;M Costs 1-10'!A17, "")</f>
        <v/>
      </c>
      <c r="B16" s="113" t="str">
        <f>IF('5Yearly O&amp;M Costs 1-10'!B17&lt;&gt;"", '5Yearly O&amp;M Costs 1-10'!B17, "")</f>
        <v/>
      </c>
      <c r="C16" s="98" t="str">
        <f>IF('5Yearly O&amp;M Costs 1-10'!C17&lt;&gt;"", '5Yearly O&amp;M Costs 1-10'!C17, "")</f>
        <v/>
      </c>
      <c r="D16" s="109" t="str">
        <f>IF('5Yearly O&amp;M Costs 1-10'!D17&lt;&gt;"", '5Yearly O&amp;M Costs 1-10'!D17, "")</f>
        <v/>
      </c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8" t="str">
        <f>IF('5Yearly O&amp;M Costs 1-10'!A18&lt;&gt;"", '5Yearly O&amp;M Costs 1-10'!A18, "")</f>
        <v/>
      </c>
      <c r="B17" s="113" t="str">
        <f>IF('5Yearly O&amp;M Costs 1-10'!B18&lt;&gt;"", '5Yearly O&amp;M Costs 1-10'!B18, "")</f>
        <v/>
      </c>
      <c r="C17" s="98" t="str">
        <f>IF('5Yearly O&amp;M Costs 1-10'!C18&lt;&gt;"", '5Yearly O&amp;M Costs 1-10'!C18, "")</f>
        <v/>
      </c>
      <c r="D17" s="109" t="str">
        <f>IF('5Yearly O&amp;M Costs 1-10'!D18&lt;&gt;"", '5Yearly O&amp;M Costs 1-10'!D18, "")</f>
        <v/>
      </c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8" t="str">
        <f>IF('5Yearly O&amp;M Costs 1-10'!A19&lt;&gt;"", '5Yearly O&amp;M Costs 1-10'!A19, "")</f>
        <v/>
      </c>
      <c r="B18" s="113" t="str">
        <f>IF('5Yearly O&amp;M Costs 1-10'!B19&lt;&gt;"", '5Yearly O&amp;M Costs 1-10'!B19, "")</f>
        <v/>
      </c>
      <c r="C18" s="98" t="str">
        <f>IF('5Yearly O&amp;M Costs 1-10'!C19&lt;&gt;"", '5Yearly O&amp;M Costs 1-10'!C19, "")</f>
        <v/>
      </c>
      <c r="D18" s="109" t="str">
        <f>IF('5Yearly O&amp;M Costs 1-10'!D19&lt;&gt;"", '5Yearly O&amp;M Costs 1-10'!D19, "")</f>
        <v/>
      </c>
      <c r="E18" s="34" t="str">
        <f t="shared" si="0"/>
        <v/>
      </c>
      <c r="F18" s="34" t="str">
        <f t="shared" si="0"/>
        <v/>
      </c>
      <c r="G18" s="34" t="str">
        <f t="shared" si="0"/>
        <v/>
      </c>
      <c r="H18" s="34" t="str">
        <f t="shared" si="0"/>
        <v/>
      </c>
      <c r="I18" s="34" t="str">
        <f t="shared" si="0"/>
        <v/>
      </c>
      <c r="J18" s="34" t="str">
        <f t="shared" si="0"/>
        <v/>
      </c>
      <c r="K18" s="34" t="str">
        <f t="shared" si="0"/>
        <v/>
      </c>
      <c r="L18" s="34" t="str">
        <f t="shared" si="0"/>
        <v/>
      </c>
      <c r="M18" s="34" t="str">
        <f t="shared" si="0"/>
        <v/>
      </c>
      <c r="N18" s="35" t="str">
        <f t="shared" si="0"/>
        <v/>
      </c>
    </row>
    <row r="19" spans="1:14">
      <c r="A19" s="98" t="str">
        <f>IF('5Yearly O&amp;M Costs 1-10'!A20&lt;&gt;"", '5Yearly O&amp;M Costs 1-10'!A20, "")</f>
        <v/>
      </c>
      <c r="B19" s="113" t="str">
        <f>IF('5Yearly O&amp;M Costs 1-10'!B20&lt;&gt;"", '5Yearly O&amp;M Costs 1-10'!B20, "")</f>
        <v/>
      </c>
      <c r="C19" s="98" t="str">
        <f>IF('5Yearly O&amp;M Costs 1-10'!C20&lt;&gt;"", '5Yearly O&amp;M Costs 1-10'!C20, "")</f>
        <v/>
      </c>
      <c r="D19" s="109" t="str">
        <f>IF('5Yearly O&amp;M Costs 1-10'!D20&lt;&gt;"", '5Yearly O&amp;M Costs 1-10'!D20, "")</f>
        <v/>
      </c>
      <c r="E19" s="34" t="str">
        <f t="shared" si="0"/>
        <v/>
      </c>
      <c r="F19" s="34" t="str">
        <f t="shared" si="0"/>
        <v/>
      </c>
      <c r="G19" s="34" t="str">
        <f t="shared" si="0"/>
        <v/>
      </c>
      <c r="H19" s="34" t="str">
        <f t="shared" si="0"/>
        <v/>
      </c>
      <c r="I19" s="34" t="str">
        <f t="shared" si="0"/>
        <v/>
      </c>
      <c r="J19" s="34" t="str">
        <f t="shared" si="0"/>
        <v/>
      </c>
      <c r="K19" s="34" t="str">
        <f t="shared" si="0"/>
        <v/>
      </c>
      <c r="L19" s="34" t="str">
        <f t="shared" si="0"/>
        <v/>
      </c>
      <c r="M19" s="34" t="str">
        <f t="shared" si="0"/>
        <v/>
      </c>
      <c r="N19" s="35" t="str">
        <f t="shared" si="0"/>
        <v/>
      </c>
    </row>
    <row r="20" spans="1:14">
      <c r="A20" s="98" t="str">
        <f>IF('5Yearly O&amp;M Costs 1-10'!A21&lt;&gt;"", '5Yearly O&amp;M Costs 1-10'!A21, "")</f>
        <v/>
      </c>
      <c r="B20" s="113" t="str">
        <f>IF('5Yearly O&amp;M Costs 1-10'!B21&lt;&gt;"", '5Yearly O&amp;M Costs 1-10'!B21, "")</f>
        <v/>
      </c>
      <c r="C20" s="98" t="str">
        <f>IF('5Yearly O&amp;M Costs 1-10'!C21&lt;&gt;"", '5Yearly O&amp;M Costs 1-10'!C21, "")</f>
        <v/>
      </c>
      <c r="D20" s="109" t="str">
        <f>IF('5Yearly O&amp;M Costs 1-10'!D21&lt;&gt;"", '5Yearly O&amp;M Costs 1-10'!D21, "")</f>
        <v/>
      </c>
      <c r="E20" s="34" t="str">
        <f t="shared" si="0"/>
        <v/>
      </c>
      <c r="F20" s="34" t="str">
        <f t="shared" si="0"/>
        <v/>
      </c>
      <c r="G20" s="34" t="str">
        <f t="shared" si="0"/>
        <v/>
      </c>
      <c r="H20" s="34" t="str">
        <f t="shared" si="0"/>
        <v/>
      </c>
      <c r="I20" s="34" t="str">
        <f t="shared" si="0"/>
        <v/>
      </c>
      <c r="J20" s="34" t="str">
        <f t="shared" si="0"/>
        <v/>
      </c>
      <c r="K20" s="34" t="str">
        <f t="shared" si="0"/>
        <v/>
      </c>
      <c r="L20" s="34" t="str">
        <f t="shared" si="0"/>
        <v/>
      </c>
      <c r="M20" s="34" t="str">
        <f t="shared" si="0"/>
        <v/>
      </c>
      <c r="N20" s="35" t="str">
        <f t="shared" si="0"/>
        <v/>
      </c>
    </row>
    <row r="21" spans="1:14">
      <c r="A21" s="98" t="str">
        <f>IF('5Yearly O&amp;M Costs 1-10'!A22&lt;&gt;"", '5Yearly O&amp;M Costs 1-10'!A22, "")</f>
        <v/>
      </c>
      <c r="B21" s="113" t="str">
        <f>IF('5Yearly O&amp;M Costs 1-10'!B22&lt;&gt;"", '5Yearly O&amp;M Costs 1-10'!B22, "")</f>
        <v/>
      </c>
      <c r="C21" s="98" t="str">
        <f>IF('5Yearly O&amp;M Costs 1-10'!C22&lt;&gt;"", '5Yearly O&amp;M Costs 1-10'!C22, "")</f>
        <v/>
      </c>
      <c r="D21" s="109" t="str">
        <f>IF('5Yearly O&amp;M Costs 1-10'!D22&lt;&gt;"", '5Yearly O&amp;M Costs 1-10'!D22, "")</f>
        <v/>
      </c>
      <c r="E21" s="34" t="str">
        <f t="shared" si="0"/>
        <v/>
      </c>
      <c r="F21" s="34" t="str">
        <f t="shared" si="0"/>
        <v/>
      </c>
      <c r="G21" s="34" t="str">
        <f t="shared" si="0"/>
        <v/>
      </c>
      <c r="H21" s="34" t="str">
        <f t="shared" si="0"/>
        <v/>
      </c>
      <c r="I21" s="34" t="str">
        <f t="shared" si="0"/>
        <v/>
      </c>
      <c r="J21" s="34" t="str">
        <f t="shared" si="0"/>
        <v/>
      </c>
      <c r="K21" s="34" t="str">
        <f t="shared" si="0"/>
        <v/>
      </c>
      <c r="L21" s="34" t="str">
        <f t="shared" si="0"/>
        <v/>
      </c>
      <c r="M21" s="34" t="str">
        <f t="shared" si="0"/>
        <v/>
      </c>
      <c r="N21" s="35" t="str">
        <f t="shared" si="0"/>
        <v/>
      </c>
    </row>
    <row r="22" spans="1:14">
      <c r="A22" s="98" t="str">
        <f>IF('5Yearly O&amp;M Costs 1-10'!A23&lt;&gt;"", '5Yearly O&amp;M Costs 1-10'!A23, "")</f>
        <v/>
      </c>
      <c r="B22" s="113" t="str">
        <f>IF('5Yearly O&amp;M Costs 1-10'!B23&lt;&gt;"", '5Yearly O&amp;M Costs 1-10'!B23, "")</f>
        <v/>
      </c>
      <c r="C22" s="98" t="str">
        <f>IF('5Yearly O&amp;M Costs 1-10'!C23&lt;&gt;"", '5Yearly O&amp;M Costs 1-10'!C23, "")</f>
        <v/>
      </c>
      <c r="D22" s="109" t="str">
        <f>IF('5Yearly O&amp;M Costs 1-10'!D23&lt;&gt;"", '5Yearly O&amp;M Costs 1-10'!D23, "")</f>
        <v/>
      </c>
      <c r="E22" s="34" t="str">
        <f t="shared" si="0"/>
        <v/>
      </c>
      <c r="F22" s="34" t="str">
        <f t="shared" si="0"/>
        <v/>
      </c>
      <c r="G22" s="34" t="str">
        <f t="shared" si="0"/>
        <v/>
      </c>
      <c r="H22" s="34" t="str">
        <f t="shared" si="0"/>
        <v/>
      </c>
      <c r="I22" s="34" t="str">
        <f t="shared" si="0"/>
        <v/>
      </c>
      <c r="J22" s="34" t="str">
        <f t="shared" si="0"/>
        <v/>
      </c>
      <c r="K22" s="34" t="str">
        <f t="shared" si="0"/>
        <v/>
      </c>
      <c r="L22" s="34" t="str">
        <f t="shared" si="0"/>
        <v/>
      </c>
      <c r="M22" s="34" t="str">
        <f t="shared" si="0"/>
        <v/>
      </c>
      <c r="N22" s="35" t="str">
        <f t="shared" si="0"/>
        <v/>
      </c>
    </row>
    <row r="23" spans="1:14">
      <c r="A23" s="98" t="str">
        <f>IF('5Yearly O&amp;M Costs 1-10'!A24&lt;&gt;"", '5Yearly O&amp;M Costs 1-10'!A24, "")</f>
        <v/>
      </c>
      <c r="B23" s="113" t="str">
        <f>IF('5Yearly O&amp;M Costs 1-10'!B24&lt;&gt;"", '5Yearly O&amp;M Costs 1-10'!B24, "")</f>
        <v/>
      </c>
      <c r="C23" s="98" t="str">
        <f>IF('5Yearly O&amp;M Costs 1-10'!C24&lt;&gt;"", '5Yearly O&amp;M Costs 1-10'!C24, "")</f>
        <v/>
      </c>
      <c r="D23" s="109" t="str">
        <f>IF('5Yearly O&amp;M Costs 1-10'!D24&lt;&gt;"", '5Yearly O&amp;M Costs 1-10'!D24, "")</f>
        <v/>
      </c>
      <c r="E23" s="34" t="str">
        <f t="shared" si="0"/>
        <v/>
      </c>
      <c r="F23" s="34" t="str">
        <f t="shared" si="0"/>
        <v/>
      </c>
      <c r="G23" s="34" t="str">
        <f t="shared" si="0"/>
        <v/>
      </c>
      <c r="H23" s="34" t="str">
        <f t="shared" si="0"/>
        <v/>
      </c>
      <c r="I23" s="34" t="str">
        <f t="shared" si="0"/>
        <v/>
      </c>
      <c r="J23" s="34" t="str">
        <f t="shared" si="0"/>
        <v/>
      </c>
      <c r="K23" s="34" t="str">
        <f t="shared" si="0"/>
        <v/>
      </c>
      <c r="L23" s="34" t="str">
        <f t="shared" si="0"/>
        <v/>
      </c>
      <c r="M23" s="34" t="str">
        <f t="shared" si="0"/>
        <v/>
      </c>
      <c r="N23" s="35" t="str">
        <f t="shared" si="0"/>
        <v/>
      </c>
    </row>
    <row r="24" spans="1:14">
      <c r="A24" s="98" t="str">
        <f>IF('5Yearly O&amp;M Costs 1-10'!A25&lt;&gt;"", '5Yearly O&amp;M Costs 1-10'!A25, "")</f>
        <v/>
      </c>
      <c r="B24" s="113" t="str">
        <f>IF('5Yearly O&amp;M Costs 1-10'!B25&lt;&gt;"", '5Yearly O&amp;M Costs 1-10'!B25, "")</f>
        <v/>
      </c>
      <c r="C24" s="98" t="str">
        <f>IF('5Yearly O&amp;M Costs 1-10'!C25&lt;&gt;"", '5Yearly O&amp;M Costs 1-10'!C25, "")</f>
        <v/>
      </c>
      <c r="D24" s="109" t="str">
        <f>IF('5Yearly O&amp;M Costs 1-10'!D25&lt;&gt;"", '5Yearly O&amp;M Costs 1-10'!D25, "")</f>
        <v/>
      </c>
      <c r="E24" s="34" t="str">
        <f t="shared" ref="E24:N30" si="1">IF($A24&lt;&gt;"", (($B24*$D24)*((1+$B$5)^E$7)*(1/((1+$N$5)^E$7))), "")</f>
        <v/>
      </c>
      <c r="F24" s="34" t="str">
        <f t="shared" si="1"/>
        <v/>
      </c>
      <c r="G24" s="34" t="str">
        <f t="shared" si="1"/>
        <v/>
      </c>
      <c r="H24" s="34" t="str">
        <f t="shared" si="1"/>
        <v/>
      </c>
      <c r="I24" s="34" t="str">
        <f t="shared" si="1"/>
        <v/>
      </c>
      <c r="J24" s="34" t="str">
        <f t="shared" si="1"/>
        <v/>
      </c>
      <c r="K24" s="34" t="str">
        <f t="shared" si="1"/>
        <v/>
      </c>
      <c r="L24" s="34" t="str">
        <f t="shared" si="1"/>
        <v/>
      </c>
      <c r="M24" s="34" t="str">
        <f t="shared" si="1"/>
        <v/>
      </c>
      <c r="N24" s="35" t="str">
        <f t="shared" si="1"/>
        <v/>
      </c>
    </row>
    <row r="25" spans="1:14">
      <c r="A25" s="98" t="str">
        <f>IF('5Yearly O&amp;M Costs 1-10'!A26&lt;&gt;"", '5Yearly O&amp;M Costs 1-10'!A26, "")</f>
        <v/>
      </c>
      <c r="B25" s="113" t="str">
        <f>IF('5Yearly O&amp;M Costs 1-10'!B26&lt;&gt;"", '5Yearly O&amp;M Costs 1-10'!B26, "")</f>
        <v/>
      </c>
      <c r="C25" s="98" t="str">
        <f>IF('5Yearly O&amp;M Costs 1-10'!C26&lt;&gt;"", '5Yearly O&amp;M Costs 1-10'!C26, "")</f>
        <v/>
      </c>
      <c r="D25" s="109" t="str">
        <f>IF('5Yearly O&amp;M Costs 1-10'!D26&lt;&gt;"", '5Yearly O&amp;M Costs 1-10'!D26, "")</f>
        <v/>
      </c>
      <c r="E25" s="34" t="str">
        <f t="shared" si="1"/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8" t="str">
        <f>IF('5Yearly O&amp;M Costs 1-10'!A27&lt;&gt;"", '5Yearly O&amp;M Costs 1-10'!A27, "")</f>
        <v/>
      </c>
      <c r="B26" s="113" t="str">
        <f>IF('5Yearly O&amp;M Costs 1-10'!B27&lt;&gt;"", '5Yearly O&amp;M Costs 1-10'!B27, "")</f>
        <v/>
      </c>
      <c r="C26" s="98" t="str">
        <f>IF('5Yearly O&amp;M Costs 1-10'!C27&lt;&gt;"", '5Yearly O&amp;M Costs 1-10'!C27, "")</f>
        <v/>
      </c>
      <c r="D26" s="109" t="str">
        <f>IF('5Yearly O&amp;M Costs 1-10'!D27&lt;&gt;"", '5Yearly O&amp;M Costs 1-10'!D27, "")</f>
        <v/>
      </c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8" t="str">
        <f>IF('5Yearly O&amp;M Costs 1-10'!A28&lt;&gt;"", '5Yearly O&amp;M Costs 1-10'!A28, "")</f>
        <v/>
      </c>
      <c r="B27" s="113" t="str">
        <f>IF('5Yearly O&amp;M Costs 1-10'!B28&lt;&gt;"", '5Yearly O&amp;M Costs 1-10'!B28, "")</f>
        <v/>
      </c>
      <c r="C27" s="98" t="str">
        <f>IF('5Yearly O&amp;M Costs 1-10'!C28&lt;&gt;"", '5Yearly O&amp;M Costs 1-10'!C28, "")</f>
        <v/>
      </c>
      <c r="D27" s="109" t="str">
        <f>IF('5Yearly O&amp;M Costs 1-10'!D28&lt;&gt;"", '5Yearly O&amp;M Costs 1-10'!D28, "")</f>
        <v/>
      </c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8" t="str">
        <f>IF('5Yearly O&amp;M Costs 1-10'!A29&lt;&gt;"", '5Yearly O&amp;M Costs 1-10'!A29, "")</f>
        <v/>
      </c>
      <c r="B28" s="113" t="str">
        <f>IF('5Yearly O&amp;M Costs 1-10'!B29&lt;&gt;"", '5Yearly O&amp;M Costs 1-10'!B29, "")</f>
        <v/>
      </c>
      <c r="C28" s="98" t="str">
        <f>IF('5Yearly O&amp;M Costs 1-10'!C29&lt;&gt;"", '5Yearly O&amp;M Costs 1-10'!C29, "")</f>
        <v/>
      </c>
      <c r="D28" s="109" t="str">
        <f>IF('5Yearly O&amp;M Costs 1-10'!D29&lt;&gt;"", '5Yearly O&amp;M Costs 1-10'!D29, "")</f>
        <v/>
      </c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8" t="str">
        <f>IF('5Yearly O&amp;M Costs 1-10'!A30&lt;&gt;"", '5Yearly O&amp;M Costs 1-10'!A30, "")</f>
        <v/>
      </c>
      <c r="B29" s="113" t="str">
        <f>IF('5Yearly O&amp;M Costs 1-10'!B30&lt;&gt;"", '5Yearly O&amp;M Costs 1-10'!B30, "")</f>
        <v/>
      </c>
      <c r="C29" s="98" t="str">
        <f>IF('5Yearly O&amp;M Costs 1-10'!C30&lt;&gt;"", '5Yearly O&amp;M Costs 1-10'!C30, "")</f>
        <v/>
      </c>
      <c r="D29" s="109" t="str">
        <f>IF('5Yearly O&amp;M Costs 1-10'!D30&lt;&gt;"", '5Yearly O&amp;M Costs 1-10'!D30, "")</f>
        <v/>
      </c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8" t="str">
        <f>IF('5Yearly O&amp;M Costs 1-10'!A31&lt;&gt;"", '5Yearly O&amp;M Costs 1-10'!A31, "")</f>
        <v/>
      </c>
      <c r="B30" s="113" t="str">
        <f>IF('5Yearly O&amp;M Costs 1-10'!B31&lt;&gt;"", '5Yearly O&amp;M Costs 1-10'!B31, "")</f>
        <v/>
      </c>
      <c r="C30" s="98" t="str">
        <f>IF('5Yearly O&amp;M Costs 1-10'!C31&lt;&gt;"", '5Yearly O&amp;M Costs 1-10'!C31, "")</f>
        <v/>
      </c>
      <c r="D30" s="109" t="str">
        <f>IF('5Yearly O&amp;M Costs 1-10'!D31&lt;&gt;"", '5Yearly O&amp;M Costs 1-10'!D31, "")</f>
        <v/>
      </c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"/>
      <c r="B31" s="23"/>
      <c r="C31" s="23"/>
      <c r="D31" s="37" t="s">
        <v>55</v>
      </c>
      <c r="E31" s="28">
        <f>SUM(E8:E30)</f>
        <v>0</v>
      </c>
      <c r="F31" s="28">
        <f t="shared" ref="F31:N31" si="2">SUM(F8:F30)</f>
        <v>0</v>
      </c>
      <c r="G31" s="28">
        <f t="shared" si="2"/>
        <v>0</v>
      </c>
      <c r="H31" s="28">
        <f t="shared" si="2"/>
        <v>0</v>
      </c>
      <c r="I31" s="28">
        <f t="shared" si="2"/>
        <v>0</v>
      </c>
      <c r="J31" s="28">
        <f t="shared" si="2"/>
        <v>0</v>
      </c>
      <c r="K31" s="28">
        <f t="shared" si="2"/>
        <v>0</v>
      </c>
      <c r="L31" s="28">
        <f t="shared" si="2"/>
        <v>0</v>
      </c>
      <c r="M31" s="28">
        <f t="shared" si="2"/>
        <v>0</v>
      </c>
      <c r="N31" s="28">
        <f t="shared" si="2"/>
        <v>0</v>
      </c>
    </row>
    <row r="32" spans="1:14">
      <c r="M32" s="2" t="s">
        <v>56</v>
      </c>
      <c r="N32" s="28">
        <f>'5Yearly O&amp;M Costs 1-10'!E32+'5Yearly O&amp;M Costs 1-10'!F32+'5Yearly O&amp;M Costs 1-10'!G32+'5Yearly O&amp;M Costs 1-10'!H32+'5Yearly O&amp;M Costs 1-10'!I32+'5Yearly O&amp;M Costs 1-10'!J32+'5Yearly O&amp;M Costs 1-10'!K32+'5Yearly O&amp;M Costs 1-10'!L32+'5Yearly O&amp;M Costs 1-10'!M32+'5Yearly O&amp;M Costs 1-10'!N32+'5Yearly O&amp;M Costs 11-20'!E31+'5Yearly O&amp;M Costs 11-20'!F31+'5Yearly O&amp;M Costs 11-20'!G31+'5Yearly O&amp;M Costs 11-20'!H31+'5Yearly O&amp;M Costs 11-20'!I31+'5Yearly O&amp;M Costs 11-20'!J31+'5Yearly O&amp;M Costs 11-20'!K31+'5Yearly O&amp;M Costs 11-20'!L31+'5Yearly O&amp;M Costs 11-20'!M31+'5Yearly O&amp;M Costs 11-20'!N31</f>
        <v>0</v>
      </c>
    </row>
    <row r="34" spans="1:2" hidden="1">
      <c r="A34" s="6" t="s">
        <v>7</v>
      </c>
      <c r="B34" s="33">
        <v>4.8750000000000002E-2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5" bottom="0.5" header="0.3" footer="0.3"/>
  <pageSetup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20"/>
  <sheetViews>
    <sheetView zoomScaleNormal="100" workbookViewId="0">
      <pane xSplit="4" ySplit="8" topLeftCell="R9" activePane="bottomRight" state="frozen"/>
      <selection pane="topRight" activeCell="E1" sqref="E1"/>
      <selection pane="bottomLeft" activeCell="A8" sqref="A8"/>
      <selection pane="bottomRight" activeCell="A9" sqref="A9:AB12"/>
    </sheetView>
  </sheetViews>
  <sheetFormatPr defaultRowHeight="15.75"/>
  <cols>
    <col min="1" max="1" width="38.42578125" style="1" customWidth="1"/>
    <col min="2" max="4" width="12.7109375" style="1" customWidth="1"/>
    <col min="5" max="5" width="13.28515625" style="1" hidden="1" customWidth="1"/>
    <col min="6" max="6" width="13.5703125" style="1" hidden="1" customWidth="1"/>
    <col min="7" max="7" width="13.85546875" style="1" hidden="1" customWidth="1"/>
    <col min="8" max="8" width="13.7109375" style="1" hidden="1" customWidth="1"/>
    <col min="9" max="28" width="8.7109375" style="1" customWidth="1"/>
    <col min="29" max="16384" width="9.140625" style="1"/>
  </cols>
  <sheetData>
    <row r="1" spans="1:28">
      <c r="A1" s="150" t="s">
        <v>67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3" spans="1:28">
      <c r="A3" s="2" t="s">
        <v>3</v>
      </c>
      <c r="B3" s="149">
        <f>'5Capital Costs'!B6</f>
        <v>0</v>
      </c>
      <c r="C3" s="149"/>
      <c r="D3" s="149"/>
      <c r="E3" s="149"/>
      <c r="F3" s="149"/>
      <c r="G3" s="149"/>
      <c r="H3" s="149"/>
      <c r="I3" s="149"/>
      <c r="J3" s="149"/>
    </row>
    <row r="5" spans="1:28">
      <c r="A5" s="7" t="s">
        <v>42</v>
      </c>
      <c r="B5" s="7"/>
      <c r="C5" s="7"/>
      <c r="D5" s="7"/>
      <c r="E5" s="7"/>
      <c r="F5" s="7"/>
      <c r="G5" s="7"/>
      <c r="H5" s="7"/>
    </row>
    <row r="7" spans="1:28">
      <c r="A7" s="14"/>
      <c r="B7" s="15"/>
      <c r="C7" s="15"/>
      <c r="D7" s="15"/>
      <c r="E7" s="32"/>
      <c r="F7" s="32"/>
      <c r="G7" s="32"/>
      <c r="H7" s="32"/>
      <c r="I7" s="147" t="s">
        <v>68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8"/>
    </row>
    <row r="8" spans="1:28" ht="62.25" customHeight="1">
      <c r="A8" s="94" t="s">
        <v>4</v>
      </c>
      <c r="B8" s="92" t="s">
        <v>0</v>
      </c>
      <c r="C8" s="92" t="s">
        <v>5</v>
      </c>
      <c r="D8" s="92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92">
        <v>1</v>
      </c>
      <c r="J8" s="92">
        <v>2</v>
      </c>
      <c r="K8" s="92">
        <v>3</v>
      </c>
      <c r="L8" s="92">
        <v>4</v>
      </c>
      <c r="M8" s="92">
        <v>5</v>
      </c>
      <c r="N8" s="92">
        <v>6</v>
      </c>
      <c r="O8" s="92">
        <v>7</v>
      </c>
      <c r="P8" s="92">
        <v>8</v>
      </c>
      <c r="Q8" s="92">
        <v>9</v>
      </c>
      <c r="R8" s="92">
        <v>10</v>
      </c>
      <c r="S8" s="92">
        <v>11</v>
      </c>
      <c r="T8" s="92">
        <v>12</v>
      </c>
      <c r="U8" s="92">
        <v>13</v>
      </c>
      <c r="V8" s="92">
        <v>14</v>
      </c>
      <c r="W8" s="92">
        <v>15</v>
      </c>
      <c r="X8" s="92">
        <v>16</v>
      </c>
      <c r="Y8" s="92">
        <v>17</v>
      </c>
      <c r="Z8" s="92">
        <v>18</v>
      </c>
      <c r="AA8" s="92">
        <v>19</v>
      </c>
      <c r="AB8" s="93">
        <v>20</v>
      </c>
    </row>
    <row r="9" spans="1:28">
      <c r="A9" s="103"/>
      <c r="B9" s="104"/>
      <c r="C9" s="103"/>
      <c r="D9" s="111"/>
      <c r="E9" s="102"/>
      <c r="F9" s="102"/>
      <c r="G9" s="102"/>
      <c r="H9" s="102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8"/>
    </row>
    <row r="10" spans="1:28">
      <c r="A10" s="103"/>
      <c r="B10" s="104"/>
      <c r="C10" s="103"/>
      <c r="D10" s="111"/>
      <c r="E10" s="102"/>
      <c r="F10" s="102"/>
      <c r="G10" s="102"/>
      <c r="H10" s="102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8"/>
    </row>
    <row r="11" spans="1:28">
      <c r="A11" s="103"/>
      <c r="B11" s="104"/>
      <c r="C11" s="103"/>
      <c r="D11" s="111"/>
      <c r="E11" s="102"/>
      <c r="F11" s="102"/>
      <c r="G11" s="102"/>
      <c r="H11" s="102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8"/>
    </row>
    <row r="12" spans="1:28">
      <c r="A12" s="103"/>
      <c r="B12" s="110"/>
      <c r="C12" s="103"/>
      <c r="D12" s="111"/>
      <c r="E12" s="102"/>
      <c r="F12" s="102"/>
      <c r="G12" s="102"/>
      <c r="H12" s="102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8"/>
    </row>
    <row r="13" spans="1:28">
      <c r="A13" s="103"/>
      <c r="B13" s="104"/>
      <c r="C13" s="103"/>
      <c r="D13" s="111"/>
      <c r="E13" s="102" t="str">
        <f t="shared" ref="E13:E20" si="0">IF(M13="Y", "Y", (IF(L13="Y", "Y", (IF(K13="Y", "Y", (IF(J13="Y", "Y", (IF(I13="Y", "Y", " ")))))))))</f>
        <v xml:space="preserve"> </v>
      </c>
      <c r="F13" s="102" t="str">
        <f t="shared" ref="F13:F20" si="1">IF(R13="Y", "Y", (IF(Q13="Y", "Y", (IF(P13="Y", "Y", (IF(O13="Y", "Y", (IF(N13="Y", "Y", " ")))))))))</f>
        <v xml:space="preserve"> </v>
      </c>
      <c r="G13" s="102" t="str">
        <f t="shared" ref="G13:G20" si="2">IF(W13="Y", "Y", (IF(V13="Y", "Y", (IF(U13="Y", "Y", (IF(T13="Y", "Y", (IF(S13="Y", "Y", " ")))))))))</f>
        <v xml:space="preserve"> </v>
      </c>
      <c r="H13" s="102" t="str">
        <f t="shared" ref="H13:H20" si="3">IF(AB13="Y", "Y", (IF(AA13="Y", "Y", (IF(Z13="Y", "Y", (IF(Y13="Y", "Y", (IF(X13="Y", "Y", " ")))))))))</f>
        <v xml:space="preserve"> </v>
      </c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8"/>
    </row>
    <row r="14" spans="1:28">
      <c r="A14" s="103"/>
      <c r="B14" s="104"/>
      <c r="C14" s="103"/>
      <c r="D14" s="111"/>
      <c r="E14" s="102" t="str">
        <f t="shared" si="0"/>
        <v xml:space="preserve"> </v>
      </c>
      <c r="F14" s="102" t="str">
        <f t="shared" si="1"/>
        <v xml:space="preserve"> </v>
      </c>
      <c r="G14" s="102" t="str">
        <f t="shared" si="2"/>
        <v xml:space="preserve"> </v>
      </c>
      <c r="H14" s="102" t="str">
        <f t="shared" si="3"/>
        <v xml:space="preserve"> </v>
      </c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8"/>
    </row>
    <row r="15" spans="1:28">
      <c r="A15" s="103"/>
      <c r="B15" s="104"/>
      <c r="C15" s="103"/>
      <c r="D15" s="111"/>
      <c r="E15" s="102" t="str">
        <f t="shared" si="0"/>
        <v xml:space="preserve"> </v>
      </c>
      <c r="F15" s="102" t="str">
        <f t="shared" si="1"/>
        <v xml:space="preserve"> </v>
      </c>
      <c r="G15" s="102" t="str">
        <f t="shared" si="2"/>
        <v xml:space="preserve"> </v>
      </c>
      <c r="H15" s="102" t="str">
        <f t="shared" si="3"/>
        <v xml:space="preserve"> </v>
      </c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8"/>
    </row>
    <row r="16" spans="1:28">
      <c r="A16" s="103"/>
      <c r="B16" s="104"/>
      <c r="C16" s="103"/>
      <c r="D16" s="111"/>
      <c r="E16" s="102" t="str">
        <f t="shared" si="0"/>
        <v xml:space="preserve"> </v>
      </c>
      <c r="F16" s="102" t="str">
        <f t="shared" si="1"/>
        <v xml:space="preserve"> </v>
      </c>
      <c r="G16" s="102" t="str">
        <f t="shared" si="2"/>
        <v xml:space="preserve"> </v>
      </c>
      <c r="H16" s="102" t="str">
        <f t="shared" si="3"/>
        <v xml:space="preserve"> </v>
      </c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8"/>
    </row>
    <row r="17" spans="1:28">
      <c r="A17" s="103"/>
      <c r="B17" s="104"/>
      <c r="C17" s="103"/>
      <c r="D17" s="111"/>
      <c r="E17" s="102" t="str">
        <f t="shared" si="0"/>
        <v xml:space="preserve"> </v>
      </c>
      <c r="F17" s="102" t="str">
        <f t="shared" si="1"/>
        <v xml:space="preserve"> </v>
      </c>
      <c r="G17" s="102" t="str">
        <f t="shared" si="2"/>
        <v xml:space="preserve"> </v>
      </c>
      <c r="H17" s="102" t="str">
        <f t="shared" si="3"/>
        <v xml:space="preserve"> </v>
      </c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8"/>
    </row>
    <row r="18" spans="1:28">
      <c r="A18" s="103"/>
      <c r="B18" s="104"/>
      <c r="C18" s="103"/>
      <c r="D18" s="111"/>
      <c r="E18" s="102" t="str">
        <f t="shared" si="0"/>
        <v xml:space="preserve"> </v>
      </c>
      <c r="F18" s="102" t="str">
        <f t="shared" si="1"/>
        <v xml:space="preserve"> </v>
      </c>
      <c r="G18" s="102" t="str">
        <f t="shared" si="2"/>
        <v xml:space="preserve"> </v>
      </c>
      <c r="H18" s="102" t="str">
        <f t="shared" si="3"/>
        <v xml:space="preserve"> </v>
      </c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8"/>
    </row>
    <row r="19" spans="1:28">
      <c r="A19" s="103"/>
      <c r="B19" s="104"/>
      <c r="C19" s="103"/>
      <c r="D19" s="111"/>
      <c r="E19" s="102" t="str">
        <f t="shared" si="0"/>
        <v xml:space="preserve"> </v>
      </c>
      <c r="F19" s="102" t="str">
        <f t="shared" si="1"/>
        <v xml:space="preserve"> </v>
      </c>
      <c r="G19" s="102" t="str">
        <f t="shared" si="2"/>
        <v xml:space="preserve"> </v>
      </c>
      <c r="H19" s="102" t="str">
        <f t="shared" si="3"/>
        <v xml:space="preserve"> </v>
      </c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8"/>
    </row>
    <row r="20" spans="1:28">
      <c r="A20" s="103"/>
      <c r="B20" s="104"/>
      <c r="C20" s="103"/>
      <c r="D20" s="111"/>
      <c r="E20" s="102" t="str">
        <f t="shared" si="0"/>
        <v xml:space="preserve"> </v>
      </c>
      <c r="F20" s="102" t="str">
        <f t="shared" si="1"/>
        <v xml:space="preserve"> </v>
      </c>
      <c r="G20" s="102" t="str">
        <f t="shared" si="2"/>
        <v xml:space="preserve"> </v>
      </c>
      <c r="H20" s="102" t="str">
        <f t="shared" si="3"/>
        <v xml:space="preserve"> 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8"/>
    </row>
  </sheetData>
  <sheetProtection sheet="1" objects="1" scenarios="1"/>
  <mergeCells count="3">
    <mergeCell ref="A1:AB1"/>
    <mergeCell ref="B3:J3"/>
    <mergeCell ref="I7:AB7"/>
  </mergeCells>
  <dataValidations count="1">
    <dataValidation type="list" allowBlank="1" showInputMessage="1" showErrorMessage="1" sqref="B3:J3">
      <formula1>Input!B6:B11</formula1>
    </dataValidation>
  </dataValidations>
  <pageMargins left="0.7" right="0.7" top="0.75" bottom="0.75" header="0.3" footer="0.3"/>
  <pageSetup scale="76" fitToWidth="4" orientation="landscape" r:id="rId1"/>
  <headerFooter>
    <oddHeader>&amp;C&amp;D
&amp;F</oddHeader>
    <oddFooter>&amp;L&amp;A&amp;RPage &amp;P of 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>
  <dimension ref="A1:N20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181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'5Capital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'5Yearly O&amp;M Costs 11-20'!A5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</v>
      </c>
      <c r="F7" s="12">
        <v>2</v>
      </c>
      <c r="G7" s="12">
        <v>3</v>
      </c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12">
        <v>9</v>
      </c>
      <c r="N7" s="12">
        <v>10</v>
      </c>
    </row>
    <row r="8" spans="1:14">
      <c r="A8" s="31" t="str">
        <f>IF('5Inter O&amp;M Entry'!A9&lt;&gt;"", '5Inter O&amp;M Entry'!A9, "")</f>
        <v/>
      </c>
      <c r="B8" s="35" t="str">
        <f>IF('5Inter O&amp;M Entry'!B9&lt;&gt;"", '5Inter O&amp;M Entry'!B9, "")</f>
        <v/>
      </c>
      <c r="C8" s="31" t="str">
        <f>IF('5Inter O&amp;M Entry'!C9&lt;&gt;"", '5Inter O&amp;M Entry'!C9, "")</f>
        <v/>
      </c>
      <c r="D8" s="108" t="str">
        <f>IF('5Inter O&amp;M Entry'!D9&lt;&gt;"", '5Inter O&amp;M Entry'!D9, "")</f>
        <v/>
      </c>
      <c r="E8" s="35" t="str">
        <f>IF($A8&lt;&gt;"", (IF('5Inter O&amp;M Entry'!I9="Y", ((($B8*$D8)*((1+$B$5)^E$7))*(1/((1+$N$5)^E$7))), 0)), "")</f>
        <v/>
      </c>
      <c r="F8" s="35" t="str">
        <f>IF($A8&lt;&gt;"", (IF('5Inter O&amp;M Entry'!J9="Y", ((($B8*$D8)*((1+$B$5)^F$7))*(1/((1+$N$5)^F$7))), 0)), "")</f>
        <v/>
      </c>
      <c r="G8" s="35" t="str">
        <f>IF($A8&lt;&gt;"", (IF('5Inter O&amp;M Entry'!K9="Y", ((($B8*$D8)*((1+$B$5)^G$7))*(1/((1+$N$5)^G$7))), 0)), "")</f>
        <v/>
      </c>
      <c r="H8" s="35" t="str">
        <f>IF($A8&lt;&gt;"", (IF('5Inter O&amp;M Entry'!L9="Y", ((($B8*$D8)*((1+$B$5)^H$7))*(1/((1+$N$5)^H$7))), 0)), "")</f>
        <v/>
      </c>
      <c r="I8" s="35" t="str">
        <f>IF($A8&lt;&gt;"", (IF('5Inter O&amp;M Entry'!M9="Y", ((($B8*$D8)*((1+$B$5)^I$7))*(1/((1+$N$5)^I$7))), 0)), "")</f>
        <v/>
      </c>
      <c r="J8" s="35" t="str">
        <f>IF($A8&lt;&gt;"", (IF('5Inter O&amp;M Entry'!N9="Y", ((($B8*$D8)*((1+$B$5)^J$7))*(1/((1+$N$5)^J$7))), 0)), "")</f>
        <v/>
      </c>
      <c r="K8" s="35" t="str">
        <f>IF($A8&lt;&gt;"", (IF('5Inter O&amp;M Entry'!O9="Y", ((($B8*$D8)*((1+$B$5)^K$7))*(1/((1+$N$5)^K$7))), 0)), "")</f>
        <v/>
      </c>
      <c r="L8" s="35" t="str">
        <f>IF($A8&lt;&gt;"", (IF('5Inter O&amp;M Entry'!P9="Y", ((($B8*$D8)*((1+$B$5)^L$7))*(1/((1+$N$5)^L$7))), 0)), "")</f>
        <v/>
      </c>
      <c r="M8" s="35" t="str">
        <f>IF($A8&lt;&gt;"", (IF('5Inter O&amp;M Entry'!Q9="Y", ((($B8*$D8)*((1+$B$5)^M$7))*(1/((1+$N$5)^M$7))), 0)), "")</f>
        <v/>
      </c>
      <c r="N8" s="35" t="str">
        <f>IF($A8&lt;&gt;"", (IF('5Inter O&amp;M Entry'!R9="Y", ((($B8*$D8)*((1+$B$5)^N$7))*(1/((1+$N$5)^N$7))), 0)), "")</f>
        <v/>
      </c>
    </row>
    <row r="9" spans="1:14">
      <c r="A9" s="31" t="str">
        <f>IF('5Inter O&amp;M Entry'!A10&lt;&gt;"", '5Inter O&amp;M Entry'!A10, "")</f>
        <v/>
      </c>
      <c r="B9" s="35" t="str">
        <f>IF('5Inter O&amp;M Entry'!B10&lt;&gt;"", '5Inter O&amp;M Entry'!B10, "")</f>
        <v/>
      </c>
      <c r="C9" s="31" t="str">
        <f>IF('5Inter O&amp;M Entry'!C10&lt;&gt;"", '5Inter O&amp;M Entry'!C10, "")</f>
        <v/>
      </c>
      <c r="D9" s="108" t="str">
        <f>IF('5Inter O&amp;M Entry'!D10&lt;&gt;"", '5Inter O&amp;M Entry'!D10, "")</f>
        <v/>
      </c>
      <c r="E9" s="35" t="str">
        <f>IF($A9&lt;&gt;"", (IF('5Inter O&amp;M Entry'!I10="Y", ((($B9*$D9)*((1+$B$5)^E$7))*(1/((1+$N$5)^E$7))), 0)), "")</f>
        <v/>
      </c>
      <c r="F9" s="35" t="str">
        <f>IF($A9&lt;&gt;"", (IF('5Inter O&amp;M Entry'!J10="Y", ((($B9*$D9)*((1+$B$5)^F$7))*(1/((1+$N$5)^F$7))), 0)), "")</f>
        <v/>
      </c>
      <c r="G9" s="35" t="str">
        <f>IF($A9&lt;&gt;"", (IF('5Inter O&amp;M Entry'!K10="Y", ((($B9*$D9)*((1+$B$5)^G$7))*(1/((1+$N$5)^G$7))), 0)), "")</f>
        <v/>
      </c>
      <c r="H9" s="35" t="str">
        <f>IF($A9&lt;&gt;"", (IF('5Inter O&amp;M Entry'!L10="Y", ((($B9*$D9)*((1+$B$5)^H$7))*(1/((1+$N$5)^H$7))), 0)), "")</f>
        <v/>
      </c>
      <c r="I9" s="35" t="str">
        <f>IF($A9&lt;&gt;"", (IF('5Inter O&amp;M Entry'!M10="Y", ((($B9*$D9)*((1+$B$5)^I$7))*(1/((1+$N$5)^I$7))), 0)), "")</f>
        <v/>
      </c>
      <c r="J9" s="35" t="str">
        <f>IF($A9&lt;&gt;"", (IF('5Inter O&amp;M Entry'!N10="Y", ((($B9*$D9)*((1+$B$5)^J$7))*(1/((1+$N$5)^J$7))), 0)), "")</f>
        <v/>
      </c>
      <c r="K9" s="35" t="str">
        <f>IF($A9&lt;&gt;"", (IF('5Inter O&amp;M Entry'!O10="Y", ((($B9*$D9)*((1+$B$5)^K$7))*(1/((1+$N$5)^K$7))), 0)), "")</f>
        <v/>
      </c>
      <c r="L9" s="35" t="str">
        <f>IF($A9&lt;&gt;"", (IF('5Inter O&amp;M Entry'!P10="Y", ((($B9*$D9)*((1+$B$5)^L$7))*(1/((1+$N$5)^L$7))), 0)), "")</f>
        <v/>
      </c>
      <c r="M9" s="35" t="str">
        <f>IF($A9&lt;&gt;"", (IF('5Inter O&amp;M Entry'!Q10="Y", ((($B9*$D9)*((1+$B$5)^M$7))*(1/((1+$N$5)^M$7))), 0)), "")</f>
        <v/>
      </c>
      <c r="N9" s="35" t="str">
        <f>IF($A9&lt;&gt;"", (IF('5Inter O&amp;M Entry'!R10="Y", ((($B9*$D9)*((1+$B$5)^N$7))*(1/((1+$N$5)^N$7))), 0)), "")</f>
        <v/>
      </c>
    </row>
    <row r="10" spans="1:14">
      <c r="A10" s="31" t="str">
        <f>IF('5Inter O&amp;M Entry'!A11&lt;&gt;"", '5Inter O&amp;M Entry'!A11, "")</f>
        <v/>
      </c>
      <c r="B10" s="35" t="str">
        <f>IF('5Inter O&amp;M Entry'!B11&lt;&gt;"", '5Inter O&amp;M Entry'!B11, "")</f>
        <v/>
      </c>
      <c r="C10" s="31" t="str">
        <f>IF('5Inter O&amp;M Entry'!C11&lt;&gt;"", '5Inter O&amp;M Entry'!C11, "")</f>
        <v/>
      </c>
      <c r="D10" s="108" t="str">
        <f>IF('5Inter O&amp;M Entry'!D11&lt;&gt;"", '5Inter O&amp;M Entry'!D11, "")</f>
        <v/>
      </c>
      <c r="E10" s="35" t="str">
        <f>IF($A10&lt;&gt;"", (IF('5Inter O&amp;M Entry'!I11="Y", ((($B10*$D10)*((1+$B$5)^E$7))*(1/((1+$N$5)^E$7))), 0)), "")</f>
        <v/>
      </c>
      <c r="F10" s="35" t="str">
        <f>IF($A10&lt;&gt;"", (IF('5Inter O&amp;M Entry'!J11="Y", ((($B10*$D10)*((1+$B$5)^F$7))*(1/((1+$N$5)^F$7))), 0)), "")</f>
        <v/>
      </c>
      <c r="G10" s="35" t="str">
        <f>IF($A10&lt;&gt;"", (IF('5Inter O&amp;M Entry'!K11="Y", ((($B10*$D10)*((1+$B$5)^G$7))*(1/((1+$N$5)^G$7))), 0)), "")</f>
        <v/>
      </c>
      <c r="H10" s="35" t="str">
        <f>IF($A10&lt;&gt;"", (IF('5Inter O&amp;M Entry'!L11="Y", ((($B10*$D10)*((1+$B$5)^H$7))*(1/((1+$N$5)^H$7))), 0)), "")</f>
        <v/>
      </c>
      <c r="I10" s="35" t="str">
        <f>IF($A10&lt;&gt;"", (IF('5Inter O&amp;M Entry'!M11="Y", ((($B10*$D10)*((1+$B$5)^I$7))*(1/((1+$N$5)^I$7))), 0)), "")</f>
        <v/>
      </c>
      <c r="J10" s="35" t="str">
        <f>IF($A10&lt;&gt;"", (IF('5Inter O&amp;M Entry'!N11="Y", ((($B10*$D10)*((1+$B$5)^J$7))*(1/((1+$N$5)^J$7))), 0)), "")</f>
        <v/>
      </c>
      <c r="K10" s="35" t="str">
        <f>IF($A10&lt;&gt;"", (IF('5Inter O&amp;M Entry'!O11="Y", ((($B10*$D10)*((1+$B$5)^K$7))*(1/((1+$N$5)^K$7))), 0)), "")</f>
        <v/>
      </c>
      <c r="L10" s="35" t="str">
        <f>IF($A10&lt;&gt;"", (IF('5Inter O&amp;M Entry'!P11="Y", ((($B10*$D10)*((1+$B$5)^L$7))*(1/((1+$N$5)^L$7))), 0)), "")</f>
        <v/>
      </c>
      <c r="M10" s="35" t="str">
        <f>IF($A10&lt;&gt;"", (IF('5Inter O&amp;M Entry'!Q11="Y", ((($B10*$D10)*((1+$B$5)^M$7))*(1/((1+$N$5)^M$7))), 0)), "")</f>
        <v/>
      </c>
      <c r="N10" s="35" t="str">
        <f>IF($A10&lt;&gt;"", (IF('5Inter O&amp;M Entry'!R11="Y", ((($B10*$D10)*((1+$B$5)^N$7))*(1/((1+$N$5)^N$7))), 0)), "")</f>
        <v/>
      </c>
    </row>
    <row r="11" spans="1:14">
      <c r="A11" s="31" t="str">
        <f>IF('5Inter O&amp;M Entry'!A12&lt;&gt;"", '5Inter O&amp;M Entry'!A12, "")</f>
        <v/>
      </c>
      <c r="B11" s="35" t="str">
        <f>IF('5Inter O&amp;M Entry'!B12&lt;&gt;"", '5Inter O&amp;M Entry'!B12, "")</f>
        <v/>
      </c>
      <c r="C11" s="31" t="str">
        <f>IF('5Inter O&amp;M Entry'!C12&lt;&gt;"", '5Inter O&amp;M Entry'!C12, "")</f>
        <v/>
      </c>
      <c r="D11" s="108" t="str">
        <f>IF('5Inter O&amp;M Entry'!D12&lt;&gt;"", '5Inter O&amp;M Entry'!D12, "")</f>
        <v/>
      </c>
      <c r="E11" s="35" t="str">
        <f>IF($A11&lt;&gt;"", (IF('5Inter O&amp;M Entry'!I12="Y", ((($B11*$D11)*((1+$B$5)^E$7))*(1/((1+$N$5)^E$7))), 0)), "")</f>
        <v/>
      </c>
      <c r="F11" s="35" t="str">
        <f>IF($A11&lt;&gt;"", (IF('5Inter O&amp;M Entry'!J12="Y", ((($B11*$D11)*((1+$B$5)^F$7))*(1/((1+$N$5)^F$7))), 0)), "")</f>
        <v/>
      </c>
      <c r="G11" s="35" t="str">
        <f>IF($A11&lt;&gt;"", (IF('5Inter O&amp;M Entry'!K12="Y", ((($B11*$D11)*((1+$B$5)^G$7))*(1/((1+$N$5)^G$7))), 0)), "")</f>
        <v/>
      </c>
      <c r="H11" s="35" t="str">
        <f>IF($A11&lt;&gt;"", (IF('5Inter O&amp;M Entry'!L12="Y", ((($B11*$D11)*((1+$B$5)^H$7))*(1/((1+$N$5)^H$7))), 0)), "")</f>
        <v/>
      </c>
      <c r="I11" s="35" t="str">
        <f>IF($A11&lt;&gt;"", (IF('5Inter O&amp;M Entry'!M12="Y", ((($B11*$D11)*((1+$B$5)^I$7))*(1/((1+$N$5)^I$7))), 0)), "")</f>
        <v/>
      </c>
      <c r="J11" s="35" t="str">
        <f>IF($A11&lt;&gt;"", (IF('5Inter O&amp;M Entry'!N12="Y", ((($B11*$D11)*((1+$B$5)^J$7))*(1/((1+$N$5)^J$7))), 0)), "")</f>
        <v/>
      </c>
      <c r="K11" s="35" t="str">
        <f>IF($A11&lt;&gt;"", (IF('5Inter O&amp;M Entry'!O12="Y", ((($B11*$D11)*((1+$B$5)^K$7))*(1/((1+$N$5)^K$7))), 0)), "")</f>
        <v/>
      </c>
      <c r="L11" s="35" t="str">
        <f>IF($A11&lt;&gt;"", (IF('5Inter O&amp;M Entry'!P12="Y", ((($B11*$D11)*((1+$B$5)^L$7))*(1/((1+$N$5)^L$7))), 0)), "")</f>
        <v/>
      </c>
      <c r="M11" s="35" t="str">
        <f>IF($A11&lt;&gt;"", (IF('5Inter O&amp;M Entry'!Q12="Y", ((($B11*$D11)*((1+$B$5)^M$7))*(1/((1+$N$5)^M$7))), 0)), "")</f>
        <v/>
      </c>
      <c r="N11" s="35" t="str">
        <f>IF($A11&lt;&gt;"", (IF('5Inter O&amp;M Entry'!R12="Y", ((($B11*$D11)*((1+$B$5)^N$7))*(1/((1+$N$5)^N$7))), 0)), "")</f>
        <v/>
      </c>
    </row>
    <row r="12" spans="1:14">
      <c r="A12" s="31" t="str">
        <f>IF('5Inter O&amp;M Entry'!A13&lt;&gt;"", '5Inter O&amp;M Entry'!A13, "")</f>
        <v/>
      </c>
      <c r="B12" s="35" t="str">
        <f>IF('5Inter O&amp;M Entry'!B13&lt;&gt;"", '5Inter O&amp;M Entry'!B13, "")</f>
        <v/>
      </c>
      <c r="C12" s="31" t="str">
        <f>IF('5Inter O&amp;M Entry'!C13&lt;&gt;"", '5Inter O&amp;M Entry'!C13, "")</f>
        <v/>
      </c>
      <c r="D12" s="108" t="str">
        <f>IF('5Inter O&amp;M Entry'!D13&lt;&gt;"", '5Inter O&amp;M Entry'!D13, "")</f>
        <v/>
      </c>
      <c r="E12" s="35" t="str">
        <f>IF($A12&lt;&gt;"", (IF('5Inter O&amp;M Entry'!I13="Y", ((($B12*$D12)*((1+$B$5)^E$7))*(1/((1+$N$5)^E$7))), 0)), "")</f>
        <v/>
      </c>
      <c r="F12" s="35" t="str">
        <f>IF($A12&lt;&gt;"", (IF('5Inter O&amp;M Entry'!J13="Y", ((($B12*$D12)*((1+$B$5)^F$7))*(1/((1+$N$5)^F$7))), 0)), "")</f>
        <v/>
      </c>
      <c r="G12" s="35" t="str">
        <f>IF($A12&lt;&gt;"", (IF('5Inter O&amp;M Entry'!K13="Y", ((($B12*$D12)*((1+$B$5)^G$7))*(1/((1+$N$5)^G$7))), 0)), "")</f>
        <v/>
      </c>
      <c r="H12" s="35" t="str">
        <f>IF($A12&lt;&gt;"", (IF('5Inter O&amp;M Entry'!L13="Y", ((($B12*$D12)*((1+$B$5)^H$7))*(1/((1+$N$5)^H$7))), 0)), "")</f>
        <v/>
      </c>
      <c r="I12" s="35" t="str">
        <f>IF($A12&lt;&gt;"", (IF('5Inter O&amp;M Entry'!M13="Y", ((($B12*$D12)*((1+$B$5)^I$7))*(1/((1+$N$5)^I$7))), 0)), "")</f>
        <v/>
      </c>
      <c r="J12" s="35" t="str">
        <f>IF($A12&lt;&gt;"", (IF('5Inter O&amp;M Entry'!N13="Y", ((($B12*$D12)*((1+$B$5)^J$7))*(1/((1+$N$5)^J$7))), 0)), "")</f>
        <v/>
      </c>
      <c r="K12" s="35" t="str">
        <f>IF($A12&lt;&gt;"", (IF('5Inter O&amp;M Entry'!O13="Y", ((($B12*$D12)*((1+$B$5)^K$7))*(1/((1+$N$5)^K$7))), 0)), "")</f>
        <v/>
      </c>
      <c r="L12" s="35" t="str">
        <f>IF($A12&lt;&gt;"", (IF('5Inter O&amp;M Entry'!P13="Y", ((($B12*$D12)*((1+$B$5)^L$7))*(1/((1+$N$5)^L$7))), 0)), "")</f>
        <v/>
      </c>
      <c r="M12" s="35" t="str">
        <f>IF($A12&lt;&gt;"", (IF('5Inter O&amp;M Entry'!Q13="Y", ((($B12*$D12)*((1+$B$5)^M$7))*(1/((1+$N$5)^M$7))), 0)), "")</f>
        <v/>
      </c>
      <c r="N12" s="35" t="str">
        <f>IF($A12&lt;&gt;"", (IF('5Inter O&amp;M Entry'!R13="Y", ((($B12*$D12)*((1+$B$5)^N$7))*(1/((1+$N$5)^N$7))), 0)), "")</f>
        <v/>
      </c>
    </row>
    <row r="13" spans="1:14">
      <c r="A13" s="31" t="str">
        <f>IF('5Inter O&amp;M Entry'!A14&lt;&gt;"", '5Inter O&amp;M Entry'!A14, "")</f>
        <v/>
      </c>
      <c r="B13" s="35" t="str">
        <f>IF('5Inter O&amp;M Entry'!B14&lt;&gt;"", '5Inter O&amp;M Entry'!B14, "")</f>
        <v/>
      </c>
      <c r="C13" s="31" t="str">
        <f>IF('5Inter O&amp;M Entry'!C14&lt;&gt;"", '5Inter O&amp;M Entry'!C14, "")</f>
        <v/>
      </c>
      <c r="D13" s="108" t="str">
        <f>IF('5Inter O&amp;M Entry'!D14&lt;&gt;"", '5Inter O&amp;M Entry'!D14, "")</f>
        <v/>
      </c>
      <c r="E13" s="35" t="str">
        <f>IF($A13&lt;&gt;"", (IF('5Inter O&amp;M Entry'!I14="Y", ((($B13*$D13)*((1+$B$5)^E$7))*(1/((1+$N$5)^E$7))), 0)), "")</f>
        <v/>
      </c>
      <c r="F13" s="35" t="str">
        <f>IF($A13&lt;&gt;"", (IF('5Inter O&amp;M Entry'!J14="Y", ((($B13*$D13)*((1+$B$5)^F$7))*(1/((1+$N$5)^F$7))), 0)), "")</f>
        <v/>
      </c>
      <c r="G13" s="35" t="str">
        <f>IF($A13&lt;&gt;"", (IF('5Inter O&amp;M Entry'!K14="Y", ((($B13*$D13)*((1+$B$5)^G$7))*(1/((1+$N$5)^G$7))), 0)), "")</f>
        <v/>
      </c>
      <c r="H13" s="35" t="str">
        <f>IF($A13&lt;&gt;"", (IF('5Inter O&amp;M Entry'!L14="Y", ((($B13*$D13)*((1+$B$5)^H$7))*(1/((1+$N$5)^H$7))), 0)), "")</f>
        <v/>
      </c>
      <c r="I13" s="35" t="str">
        <f>IF($A13&lt;&gt;"", (IF('5Inter O&amp;M Entry'!M14="Y", ((($B13*$D13)*((1+$B$5)^I$7))*(1/((1+$N$5)^I$7))), 0)), "")</f>
        <v/>
      </c>
      <c r="J13" s="35" t="str">
        <f>IF($A13&lt;&gt;"", (IF('5Inter O&amp;M Entry'!N14="Y", ((($B13*$D13)*((1+$B$5)^J$7))*(1/((1+$N$5)^J$7))), 0)), "")</f>
        <v/>
      </c>
      <c r="K13" s="35" t="str">
        <f>IF($A13&lt;&gt;"", (IF('5Inter O&amp;M Entry'!O14="Y", ((($B13*$D13)*((1+$B$5)^K$7))*(1/((1+$N$5)^K$7))), 0)), "")</f>
        <v/>
      </c>
      <c r="L13" s="35" t="str">
        <f>IF($A13&lt;&gt;"", (IF('5Inter O&amp;M Entry'!P14="Y", ((($B13*$D13)*((1+$B$5)^L$7))*(1/((1+$N$5)^L$7))), 0)), "")</f>
        <v/>
      </c>
      <c r="M13" s="35" t="str">
        <f>IF($A13&lt;&gt;"", (IF('5Inter O&amp;M Entry'!Q14="Y", ((($B13*$D13)*((1+$B$5)^M$7))*(1/((1+$N$5)^M$7))), 0)), "")</f>
        <v/>
      </c>
      <c r="N13" s="35" t="str">
        <f>IF($A13&lt;&gt;"", (IF('5Inter O&amp;M Entry'!R14="Y", ((($B13*$D13)*((1+$B$5)^N$7))*(1/((1+$N$5)^N$7))), 0)), "")</f>
        <v/>
      </c>
    </row>
    <row r="14" spans="1:14">
      <c r="A14" s="31" t="str">
        <f>IF('5Inter O&amp;M Entry'!A15&lt;&gt;"", '5Inter O&amp;M Entry'!A15, "")</f>
        <v/>
      </c>
      <c r="B14" s="35" t="str">
        <f>IF('5Inter O&amp;M Entry'!B15&lt;&gt;"", '5Inter O&amp;M Entry'!B15, "")</f>
        <v/>
      </c>
      <c r="C14" s="31" t="str">
        <f>IF('5Inter O&amp;M Entry'!C15&lt;&gt;"", '5Inter O&amp;M Entry'!C15, "")</f>
        <v/>
      </c>
      <c r="D14" s="108" t="str">
        <f>IF('5Inter O&amp;M Entry'!D15&lt;&gt;"", '5Inter O&amp;M Entry'!D15, "")</f>
        <v/>
      </c>
      <c r="E14" s="35" t="str">
        <f>IF($A14&lt;&gt;"", (IF('5Inter O&amp;M Entry'!I15="Y", ((($B14*$D14)*((1+$B$5)^E$7))*(1/((1+$N$5)^E$7))), 0)), "")</f>
        <v/>
      </c>
      <c r="F14" s="35" t="str">
        <f>IF($A14&lt;&gt;"", (IF('5Inter O&amp;M Entry'!J15="Y", ((($B14*$D14)*((1+$B$5)^F$7))*(1/((1+$N$5)^F$7))), 0)), "")</f>
        <v/>
      </c>
      <c r="G14" s="35" t="str">
        <f>IF($A14&lt;&gt;"", (IF('5Inter O&amp;M Entry'!K15="Y", ((($B14*$D14)*((1+$B$5)^G$7))*(1/((1+$N$5)^G$7))), 0)), "")</f>
        <v/>
      </c>
      <c r="H14" s="35" t="str">
        <f>IF($A14&lt;&gt;"", (IF('5Inter O&amp;M Entry'!L15="Y", ((($B14*$D14)*((1+$B$5)^H$7))*(1/((1+$N$5)^H$7))), 0)), "")</f>
        <v/>
      </c>
      <c r="I14" s="35" t="str">
        <f>IF($A14&lt;&gt;"", (IF('5Inter O&amp;M Entry'!M15="Y", ((($B14*$D14)*((1+$B$5)^I$7))*(1/((1+$N$5)^I$7))), 0)), "")</f>
        <v/>
      </c>
      <c r="J14" s="35" t="str">
        <f>IF($A14&lt;&gt;"", (IF('5Inter O&amp;M Entry'!N15="Y", ((($B14*$D14)*((1+$B$5)^J$7))*(1/((1+$N$5)^J$7))), 0)), "")</f>
        <v/>
      </c>
      <c r="K14" s="35" t="str">
        <f>IF($A14&lt;&gt;"", (IF('5Inter O&amp;M Entry'!O15="Y", ((($B14*$D14)*((1+$B$5)^K$7))*(1/((1+$N$5)^K$7))), 0)), "")</f>
        <v/>
      </c>
      <c r="L14" s="35" t="str">
        <f>IF($A14&lt;&gt;"", (IF('5Inter O&amp;M Entry'!P15="Y", ((($B14*$D14)*((1+$B$5)^L$7))*(1/((1+$N$5)^L$7))), 0)), "")</f>
        <v/>
      </c>
      <c r="M14" s="35" t="str">
        <f>IF($A14&lt;&gt;"", (IF('5Inter O&amp;M Entry'!Q15="Y", ((($B14*$D14)*((1+$B$5)^M$7))*(1/((1+$N$5)^M$7))), 0)), "")</f>
        <v/>
      </c>
      <c r="N14" s="35" t="str">
        <f>IF($A14&lt;&gt;"", (IF('5Inter O&amp;M Entry'!R15="Y", ((($B14*$D14)*((1+$B$5)^N$7))*(1/((1+$N$5)^N$7))), 0)), "")</f>
        <v/>
      </c>
    </row>
    <row r="15" spans="1:14">
      <c r="A15" s="31" t="str">
        <f>IF('5Inter O&amp;M Entry'!A16&lt;&gt;"", '5Inter O&amp;M Entry'!A16, "")</f>
        <v/>
      </c>
      <c r="B15" s="35" t="str">
        <f>IF('5Inter O&amp;M Entry'!B16&lt;&gt;"", '5Inter O&amp;M Entry'!B16, "")</f>
        <v/>
      </c>
      <c r="C15" s="31" t="str">
        <f>IF('5Inter O&amp;M Entry'!C16&lt;&gt;"", '5Inter O&amp;M Entry'!C16, "")</f>
        <v/>
      </c>
      <c r="D15" s="108" t="str">
        <f>IF('5Inter O&amp;M Entry'!D16&lt;&gt;"", '5Inter O&amp;M Entry'!D16, "")</f>
        <v/>
      </c>
      <c r="E15" s="35" t="str">
        <f>IF($A15&lt;&gt;"", (IF('5Inter O&amp;M Entry'!I16="Y", ((($B15*$D15)*((1+$B$5)^E$7))*(1/((1+$N$5)^E$7))), 0)), "")</f>
        <v/>
      </c>
      <c r="F15" s="35" t="str">
        <f>IF($A15&lt;&gt;"", (IF('5Inter O&amp;M Entry'!J16="Y", ((($B15*$D15)*((1+$B$5)^F$7))*(1/((1+$N$5)^F$7))), 0)), "")</f>
        <v/>
      </c>
      <c r="G15" s="35" t="str">
        <f>IF($A15&lt;&gt;"", (IF('5Inter O&amp;M Entry'!K16="Y", ((($B15*$D15)*((1+$B$5)^G$7))*(1/((1+$N$5)^G$7))), 0)), "")</f>
        <v/>
      </c>
      <c r="H15" s="35" t="str">
        <f>IF($A15&lt;&gt;"", (IF('5Inter O&amp;M Entry'!L16="Y", ((($B15*$D15)*((1+$B$5)^H$7))*(1/((1+$N$5)^H$7))), 0)), "")</f>
        <v/>
      </c>
      <c r="I15" s="35" t="str">
        <f>IF($A15&lt;&gt;"", (IF('5Inter O&amp;M Entry'!M16="Y", ((($B15*$D15)*((1+$B$5)^I$7))*(1/((1+$N$5)^I$7))), 0)), "")</f>
        <v/>
      </c>
      <c r="J15" s="35" t="str">
        <f>IF($A15&lt;&gt;"", (IF('5Inter O&amp;M Entry'!N16="Y", ((($B15*$D15)*((1+$B$5)^J$7))*(1/((1+$N$5)^J$7))), 0)), "")</f>
        <v/>
      </c>
      <c r="K15" s="35" t="str">
        <f>IF($A15&lt;&gt;"", (IF('5Inter O&amp;M Entry'!O16="Y", ((($B15*$D15)*((1+$B$5)^K$7))*(1/((1+$N$5)^K$7))), 0)), "")</f>
        <v/>
      </c>
      <c r="L15" s="35" t="str">
        <f>IF($A15&lt;&gt;"", (IF('5Inter O&amp;M Entry'!P16="Y", ((($B15*$D15)*((1+$B$5)^L$7))*(1/((1+$N$5)^L$7))), 0)), "")</f>
        <v/>
      </c>
      <c r="M15" s="35" t="str">
        <f>IF($A15&lt;&gt;"", (IF('5Inter O&amp;M Entry'!Q16="Y", ((($B15*$D15)*((1+$B$5)^M$7))*(1/((1+$N$5)^M$7))), 0)), "")</f>
        <v/>
      </c>
      <c r="N15" s="35" t="str">
        <f>IF($A15&lt;&gt;"", (IF('5Inter O&amp;M Entry'!R16="Y", ((($B15*$D15)*((1+$B$5)^N$7))*(1/((1+$N$5)^N$7))), 0)), "")</f>
        <v/>
      </c>
    </row>
    <row r="16" spans="1:14">
      <c r="A16" s="31" t="str">
        <f>IF('5Inter O&amp;M Entry'!A17&lt;&gt;"", '5Inter O&amp;M Entry'!A17, "")</f>
        <v/>
      </c>
      <c r="B16" s="35" t="str">
        <f>IF('5Inter O&amp;M Entry'!B17&lt;&gt;"", '5Inter O&amp;M Entry'!B17, "")</f>
        <v/>
      </c>
      <c r="C16" s="31" t="str">
        <f>IF('5Inter O&amp;M Entry'!C17&lt;&gt;"", '5Inter O&amp;M Entry'!C17, "")</f>
        <v/>
      </c>
      <c r="D16" s="108" t="str">
        <f>IF('5Inter O&amp;M Entry'!D17&lt;&gt;"", '5Inter O&amp;M Entry'!D17, "")</f>
        <v/>
      </c>
      <c r="E16" s="35" t="str">
        <f>IF($A16&lt;&gt;"", (IF('5Inter O&amp;M Entry'!I17="Y", ((($B16*$D16)*((1+$B$5)^E$7))*(1/((1+$N$5)^E$7))), 0)), "")</f>
        <v/>
      </c>
      <c r="F16" s="35" t="str">
        <f>IF($A16&lt;&gt;"", (IF('5Inter O&amp;M Entry'!J17="Y", ((($B16*$D16)*((1+$B$5)^F$7))*(1/((1+$N$5)^F$7))), 0)), "")</f>
        <v/>
      </c>
      <c r="G16" s="35" t="str">
        <f>IF($A16&lt;&gt;"", (IF('5Inter O&amp;M Entry'!K17="Y", ((($B16*$D16)*((1+$B$5)^G$7))*(1/((1+$N$5)^G$7))), 0)), "")</f>
        <v/>
      </c>
      <c r="H16" s="35" t="str">
        <f>IF($A16&lt;&gt;"", (IF('5Inter O&amp;M Entry'!L17="Y", ((($B16*$D16)*((1+$B$5)^H$7))*(1/((1+$N$5)^H$7))), 0)), "")</f>
        <v/>
      </c>
      <c r="I16" s="35" t="str">
        <f>IF($A16&lt;&gt;"", (IF('5Inter O&amp;M Entry'!M17="Y", ((($B16*$D16)*((1+$B$5)^I$7))*(1/((1+$N$5)^I$7))), 0)), "")</f>
        <v/>
      </c>
      <c r="J16" s="35" t="str">
        <f>IF($A16&lt;&gt;"", (IF('5Inter O&amp;M Entry'!N17="Y", ((($B16*$D16)*((1+$B$5)^J$7))*(1/((1+$N$5)^J$7))), 0)), "")</f>
        <v/>
      </c>
      <c r="K16" s="35" t="str">
        <f>IF($A16&lt;&gt;"", (IF('5Inter O&amp;M Entry'!O17="Y", ((($B16*$D16)*((1+$B$5)^K$7))*(1/((1+$N$5)^K$7))), 0)), "")</f>
        <v/>
      </c>
      <c r="L16" s="35" t="str">
        <f>IF($A16&lt;&gt;"", (IF('5Inter O&amp;M Entry'!P17="Y", ((($B16*$D16)*((1+$B$5)^L$7))*(1/((1+$N$5)^L$7))), 0)), "")</f>
        <v/>
      </c>
      <c r="M16" s="35" t="str">
        <f>IF($A16&lt;&gt;"", (IF('5Inter O&amp;M Entry'!Q17="Y", ((($B16*$D16)*((1+$B$5)^M$7))*(1/((1+$N$5)^M$7))), 0)), "")</f>
        <v/>
      </c>
      <c r="N16" s="35" t="str">
        <f>IF($A16&lt;&gt;"", (IF('5Inter O&amp;M Entry'!R17="Y", ((($B16*$D16)*((1+$B$5)^N$7))*(1/((1+$N$5)^N$7))), 0)), "")</f>
        <v/>
      </c>
    </row>
    <row r="17" spans="1:14">
      <c r="A17" s="31" t="str">
        <f>IF('5Inter O&amp;M Entry'!A18&lt;&gt;"", '5Inter O&amp;M Entry'!A18, "")</f>
        <v/>
      </c>
      <c r="B17" s="35" t="str">
        <f>IF('5Inter O&amp;M Entry'!B18&lt;&gt;"", '5Inter O&amp;M Entry'!B18, "")</f>
        <v/>
      </c>
      <c r="C17" s="31" t="str">
        <f>IF('5Inter O&amp;M Entry'!C18&lt;&gt;"", '5Inter O&amp;M Entry'!C18, "")</f>
        <v/>
      </c>
      <c r="D17" s="108" t="str">
        <f>IF('5Inter O&amp;M Entry'!D18&lt;&gt;"", '5Inter O&amp;M Entry'!D18, "")</f>
        <v/>
      </c>
      <c r="E17" s="35" t="str">
        <f>IF($A17&lt;&gt;"", (IF('5Inter O&amp;M Entry'!I18="Y", ((($B17*$D17)*((1+$B$5)^E$7))*(1/((1+$N$5)^E$7))), 0)), "")</f>
        <v/>
      </c>
      <c r="F17" s="35" t="str">
        <f>IF($A17&lt;&gt;"", (IF('5Inter O&amp;M Entry'!J18="Y", ((($B17*$D17)*((1+$B$5)^F$7))*(1/((1+$N$5)^F$7))), 0)), "")</f>
        <v/>
      </c>
      <c r="G17" s="35" t="str">
        <f>IF($A17&lt;&gt;"", (IF('5Inter O&amp;M Entry'!K18="Y", ((($B17*$D17)*((1+$B$5)^G$7))*(1/((1+$N$5)^G$7))), 0)), "")</f>
        <v/>
      </c>
      <c r="H17" s="35" t="str">
        <f>IF($A17&lt;&gt;"", (IF('5Inter O&amp;M Entry'!L18="Y", ((($B17*$D17)*((1+$B$5)^H$7))*(1/((1+$N$5)^H$7))), 0)), "")</f>
        <v/>
      </c>
      <c r="I17" s="35" t="str">
        <f>IF($A17&lt;&gt;"", (IF('5Inter O&amp;M Entry'!M18="Y", ((($B17*$D17)*((1+$B$5)^I$7))*(1/((1+$N$5)^I$7))), 0)), "")</f>
        <v/>
      </c>
      <c r="J17" s="35" t="str">
        <f>IF($A17&lt;&gt;"", (IF('5Inter O&amp;M Entry'!N18="Y", ((($B17*$D17)*((1+$B$5)^J$7))*(1/((1+$N$5)^J$7))), 0)), "")</f>
        <v/>
      </c>
      <c r="K17" s="35" t="str">
        <f>IF($A17&lt;&gt;"", (IF('5Inter O&amp;M Entry'!O18="Y", ((($B17*$D17)*((1+$B$5)^K$7))*(1/((1+$N$5)^K$7))), 0)), "")</f>
        <v/>
      </c>
      <c r="L17" s="35" t="str">
        <f>IF($A17&lt;&gt;"", (IF('5Inter O&amp;M Entry'!P18="Y", ((($B17*$D17)*((1+$B$5)^L$7))*(1/((1+$N$5)^L$7))), 0)), "")</f>
        <v/>
      </c>
      <c r="M17" s="35" t="str">
        <f>IF($A17&lt;&gt;"", (IF('5Inter O&amp;M Entry'!Q18="Y", ((($B17*$D17)*((1+$B$5)^M$7))*(1/((1+$N$5)^M$7))), 0)), "")</f>
        <v/>
      </c>
      <c r="N17" s="35" t="str">
        <f>IF($A17&lt;&gt;"", (IF('5Inter O&amp;M Entry'!R18="Y", ((($B17*$D17)*((1+$B$5)^N$7))*(1/((1+$N$5)^N$7))), 0)), "")</f>
        <v/>
      </c>
    </row>
    <row r="18" spans="1:14">
      <c r="A18" s="31" t="str">
        <f>IF('5Inter O&amp;M Entry'!A19&lt;&gt;"", '5Inter O&amp;M Entry'!A19, "")</f>
        <v/>
      </c>
      <c r="B18" s="35" t="str">
        <f>IF('5Inter O&amp;M Entry'!B19&lt;&gt;"", '5Inter O&amp;M Entry'!B19, "")</f>
        <v/>
      </c>
      <c r="C18" s="31" t="str">
        <f>IF('5Inter O&amp;M Entry'!C19&lt;&gt;"", '5Inter O&amp;M Entry'!C19, "")</f>
        <v/>
      </c>
      <c r="D18" s="108" t="str">
        <f>IF('5Inter O&amp;M Entry'!D19&lt;&gt;"", '5Inter O&amp;M Entry'!D19, "")</f>
        <v/>
      </c>
      <c r="E18" s="35" t="str">
        <f>IF($A18&lt;&gt;"", (IF('5Inter O&amp;M Entry'!I19="Y", ((($B18*$D18)*((1+$B$5)^E$7))*(1/((1+$N$5)^E$7))), 0)), "")</f>
        <v/>
      </c>
      <c r="F18" s="35" t="str">
        <f>IF($A18&lt;&gt;"", (IF('5Inter O&amp;M Entry'!J19="Y", ((($B18*$D18)*((1+$B$5)^F$7))*(1/((1+$N$5)^F$7))), 0)), "")</f>
        <v/>
      </c>
      <c r="G18" s="35" t="str">
        <f>IF($A18&lt;&gt;"", (IF('5Inter O&amp;M Entry'!K19="Y", ((($B18*$D18)*((1+$B$5)^G$7))*(1/((1+$N$5)^G$7))), 0)), "")</f>
        <v/>
      </c>
      <c r="H18" s="35" t="str">
        <f>IF($A18&lt;&gt;"", (IF('5Inter O&amp;M Entry'!L19="Y", ((($B18*$D18)*((1+$B$5)^H$7))*(1/((1+$N$5)^H$7))), 0)), "")</f>
        <v/>
      </c>
      <c r="I18" s="35" t="str">
        <f>IF($A18&lt;&gt;"", (IF('5Inter O&amp;M Entry'!M19="Y", ((($B18*$D18)*((1+$B$5)^I$7))*(1/((1+$N$5)^I$7))), 0)), "")</f>
        <v/>
      </c>
      <c r="J18" s="35" t="str">
        <f>IF($A18&lt;&gt;"", (IF('5Inter O&amp;M Entry'!N19="Y", ((($B18*$D18)*((1+$B$5)^J$7))*(1/((1+$N$5)^J$7))), 0)), "")</f>
        <v/>
      </c>
      <c r="K18" s="35" t="str">
        <f>IF($A18&lt;&gt;"", (IF('5Inter O&amp;M Entry'!O19="Y", ((($B18*$D18)*((1+$B$5)^K$7))*(1/((1+$N$5)^K$7))), 0)), "")</f>
        <v/>
      </c>
      <c r="L18" s="35" t="str">
        <f>IF($A18&lt;&gt;"", (IF('5Inter O&amp;M Entry'!P19="Y", ((($B18*$D18)*((1+$B$5)^L$7))*(1/((1+$N$5)^L$7))), 0)), "")</f>
        <v/>
      </c>
      <c r="M18" s="35" t="str">
        <f>IF($A18&lt;&gt;"", (IF('5Inter O&amp;M Entry'!Q19="Y", ((($B18*$D18)*((1+$B$5)^M$7))*(1/((1+$N$5)^M$7))), 0)), "")</f>
        <v/>
      </c>
      <c r="N18" s="35" t="str">
        <f>IF($A18&lt;&gt;"", (IF('5Inter O&amp;M Entry'!R19="Y", ((($B18*$D18)*((1+$B$5)^N$7))*(1/((1+$N$5)^N$7))), 0)), "")</f>
        <v/>
      </c>
    </row>
    <row r="19" spans="1:14">
      <c r="A19" s="31" t="str">
        <f>IF('5Inter O&amp;M Entry'!A20&lt;&gt;"", '5Inter O&amp;M Entry'!A20, "")</f>
        <v/>
      </c>
      <c r="B19" s="35" t="str">
        <f>IF('5Inter O&amp;M Entry'!B20&lt;&gt;"", '5Inter O&amp;M Entry'!B20, "")</f>
        <v/>
      </c>
      <c r="C19" s="31" t="str">
        <f>IF('5Inter O&amp;M Entry'!C20&lt;&gt;"", '5Inter O&amp;M Entry'!C20, "")</f>
        <v/>
      </c>
      <c r="D19" s="108" t="str">
        <f>IF('5Inter O&amp;M Entry'!D20&lt;&gt;"", '5Inter O&amp;M Entry'!D20, "")</f>
        <v/>
      </c>
      <c r="E19" s="35" t="str">
        <f>IF($A19&lt;&gt;"", (IF('5Inter O&amp;M Entry'!I20="Y", ((($B19*$D19)*((1+$B$5)^E$7))*(1/((1+$N$5)^E$7))), 0)), "")</f>
        <v/>
      </c>
      <c r="F19" s="35" t="str">
        <f>IF($A19&lt;&gt;"", (IF('5Inter O&amp;M Entry'!J20="Y", ((($B19*$D19)*((1+$B$5)^F$7))*(1/((1+$N$5)^F$7))), 0)), "")</f>
        <v/>
      </c>
      <c r="G19" s="35" t="str">
        <f>IF($A19&lt;&gt;"", (IF('5Inter O&amp;M Entry'!K20="Y", ((($B19*$D19)*((1+$B$5)^G$7))*(1/((1+$N$5)^G$7))), 0)), "")</f>
        <v/>
      </c>
      <c r="H19" s="35" t="str">
        <f>IF($A19&lt;&gt;"", (IF('5Inter O&amp;M Entry'!L20="Y", ((($B19*$D19)*((1+$B$5)^H$7))*(1/((1+$N$5)^H$7))), 0)), "")</f>
        <v/>
      </c>
      <c r="I19" s="35" t="str">
        <f>IF($A19&lt;&gt;"", (IF('5Inter O&amp;M Entry'!M20="Y", ((($B19*$D19)*((1+$B$5)^I$7))*(1/((1+$N$5)^I$7))), 0)), "")</f>
        <v/>
      </c>
      <c r="J19" s="35" t="str">
        <f>IF($A19&lt;&gt;"", (IF('5Inter O&amp;M Entry'!N20="Y", ((($B19*$D19)*((1+$B$5)^J$7))*(1/((1+$N$5)^J$7))), 0)), "")</f>
        <v/>
      </c>
      <c r="K19" s="35" t="str">
        <f>IF($A19&lt;&gt;"", (IF('5Inter O&amp;M Entry'!O20="Y", ((($B19*$D19)*((1+$B$5)^K$7))*(1/((1+$N$5)^K$7))), 0)), "")</f>
        <v/>
      </c>
      <c r="L19" s="35" t="str">
        <f>IF($A19&lt;&gt;"", (IF('5Inter O&amp;M Entry'!P20="Y", ((($B19*$D19)*((1+$B$5)^L$7))*(1/((1+$N$5)^L$7))), 0)), "")</f>
        <v/>
      </c>
      <c r="M19" s="35" t="str">
        <f>IF($A19&lt;&gt;"", (IF('5Inter O&amp;M Entry'!Q20="Y", ((($B19*$D19)*((1+$B$5)^M$7))*(1/((1+$N$5)^M$7))), 0)), "")</f>
        <v/>
      </c>
      <c r="N19" s="35" t="str">
        <f>IF($A19&lt;&gt;"", (IF('5Inter O&amp;M Entry'!R20="Y", ((($B19*$D19)*((1+$B$5)^N$7))*(1/((1+$N$5)^N$7))), 0)), "")</f>
        <v/>
      </c>
    </row>
    <row r="20" spans="1:14">
      <c r="D20" s="2" t="s">
        <v>73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N21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182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'5Capital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'5Inter O&amp;M 1-10'!A5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11</v>
      </c>
      <c r="F7" s="12">
        <v>12</v>
      </c>
      <c r="G7" s="12">
        <v>13</v>
      </c>
      <c r="H7" s="12">
        <v>14</v>
      </c>
      <c r="I7" s="12">
        <v>15</v>
      </c>
      <c r="J7" s="12">
        <v>16</v>
      </c>
      <c r="K7" s="12">
        <v>17</v>
      </c>
      <c r="L7" s="12">
        <v>18</v>
      </c>
      <c r="M7" s="12">
        <v>19</v>
      </c>
      <c r="N7" s="12">
        <v>20</v>
      </c>
    </row>
    <row r="8" spans="1:14">
      <c r="A8" s="31" t="str">
        <f>IF('5Inter O&amp;M Entry'!A9&lt;&gt;"", '5Inter O&amp;M Entry'!A9, "")</f>
        <v/>
      </c>
      <c r="B8" s="35" t="str">
        <f>IF('5Inter O&amp;M Entry'!B9&lt;&gt;"", '5Inter O&amp;M Entry'!B9, "")</f>
        <v/>
      </c>
      <c r="C8" s="31" t="str">
        <f>IF('5Inter O&amp;M Entry'!C9&lt;&gt;"", '5Inter O&amp;M Entry'!C9, "")</f>
        <v/>
      </c>
      <c r="D8" s="108" t="str">
        <f>IF('5Inter O&amp;M Entry'!D9&lt;&gt;"", '5Inter O&amp;M Entry'!D9, "")</f>
        <v/>
      </c>
      <c r="E8" s="35" t="str">
        <f>IF(A8&lt;&gt;"", (IF('5Inter O&amp;M Entry'!I9="Y", ((($B8*$D8)*((1+$B$5)^E$7))*(1/((1+$N$5)^E$7))), 0)), "")</f>
        <v/>
      </c>
      <c r="F8" s="35" t="str">
        <f>IF(B8&lt;&gt;"", (IF('5Inter O&amp;M Entry'!J9="Y", ((($B8*$D8)*((1+$B$5)^F$7))*(1/((1+$N$5)^F$7))), 0)), "")</f>
        <v/>
      </c>
      <c r="G8" s="35" t="str">
        <f>IF(C8&lt;&gt;"", (IF('5Inter O&amp;M Entry'!K9="Y", ((($B8*$D8)*((1+$B$5)^G$7))*(1/((1+$N$5)^G$7))), 0)), "")</f>
        <v/>
      </c>
      <c r="H8" s="35" t="str">
        <f>IF(D8&lt;&gt;"", (IF('5Inter O&amp;M Entry'!L9="Y", ((($B8*$D8)*((1+$B$5)^H$7))*(1/((1+$N$5)^H$7))), 0)), "")</f>
        <v/>
      </c>
      <c r="I8" s="35" t="str">
        <f>IF(E8&lt;&gt;"", (IF('5Inter O&amp;M Entry'!M9="Y", ((($B8*$D8)*((1+$B$5)^I$7))*(1/((1+$N$5)^I$7))), 0)), "")</f>
        <v/>
      </c>
      <c r="J8" s="35" t="str">
        <f>IF(F8&lt;&gt;"", (IF('5Inter O&amp;M Entry'!N9="Y", ((($B8*$D8)*((1+$B$5)^J$7))*(1/((1+$N$5)^J$7))), 0)), "")</f>
        <v/>
      </c>
      <c r="K8" s="35" t="str">
        <f>IF(G8&lt;&gt;"", (IF('5Inter O&amp;M Entry'!O9="Y", ((($B8*$D8)*((1+$B$5)^K$7))*(1/((1+$N$5)^K$7))), 0)), "")</f>
        <v/>
      </c>
      <c r="L8" s="35" t="str">
        <f>IF(H8&lt;&gt;"", (IF('5Inter O&amp;M Entry'!P9="Y", ((($B8*$D8)*((1+$B$5)^L$7))*(1/((1+$N$5)^L$7))), 0)), "")</f>
        <v/>
      </c>
      <c r="M8" s="35" t="str">
        <f>IF(I8&lt;&gt;"", (IF('5Inter O&amp;M Entry'!Q9="Y", ((($B8*$D8)*((1+$B$5)^M$7))*(1/((1+$N$5)^M$7))), 0)), "")</f>
        <v/>
      </c>
      <c r="N8" s="35" t="str">
        <f>IF(J8&lt;&gt;"", (IF('5Inter O&amp;M Entry'!R9="Y", ((($B8*$D8)*((1+$B$5)^N$7))*(1/((1+$N$5)^N$7))), 0)), "")</f>
        <v/>
      </c>
    </row>
    <row r="9" spans="1:14">
      <c r="A9" s="31" t="str">
        <f>IF('5Inter O&amp;M Entry'!A10&lt;&gt;"", '5Inter O&amp;M Entry'!A10, "")</f>
        <v/>
      </c>
      <c r="B9" s="35" t="str">
        <f>IF('5Inter O&amp;M Entry'!B10&lt;&gt;"", '5Inter O&amp;M Entry'!B10, "")</f>
        <v/>
      </c>
      <c r="C9" s="31" t="str">
        <f>IF('5Inter O&amp;M Entry'!C10&lt;&gt;"", '5Inter O&amp;M Entry'!C10, "")</f>
        <v/>
      </c>
      <c r="D9" s="108" t="str">
        <f>IF('5Inter O&amp;M Entry'!D10&lt;&gt;"", '5Inter O&amp;M Entry'!D10, "")</f>
        <v/>
      </c>
      <c r="E9" s="35" t="str">
        <f>IF(A9&lt;&gt;"", (IF('5Inter O&amp;M Entry'!I10="Y", ((($B9*$D9)*((1+$B$5)^E$7))*(1/((1+$N$5)^E$7))), 0)), "")</f>
        <v/>
      </c>
      <c r="F9" s="35" t="str">
        <f>IF(B9&lt;&gt;"", (IF('5Inter O&amp;M Entry'!J10="Y", ((($B9*$D9)*((1+$B$5)^F$7))*(1/((1+$N$5)^F$7))), 0)), "")</f>
        <v/>
      </c>
      <c r="G9" s="35" t="str">
        <f>IF(C9&lt;&gt;"", (IF('5Inter O&amp;M Entry'!K10="Y", ((($B9*$D9)*((1+$B$5)^G$7))*(1/((1+$N$5)^G$7))), 0)), "")</f>
        <v/>
      </c>
      <c r="H9" s="35" t="str">
        <f>IF(D9&lt;&gt;"", (IF('5Inter O&amp;M Entry'!L10="Y", ((($B9*$D9)*((1+$B$5)^H$7))*(1/((1+$N$5)^H$7))), 0)), "")</f>
        <v/>
      </c>
      <c r="I9" s="35" t="str">
        <f>IF(E9&lt;&gt;"", (IF('5Inter O&amp;M Entry'!M10="Y", ((($B9*$D9)*((1+$B$5)^I$7))*(1/((1+$N$5)^I$7))), 0)), "")</f>
        <v/>
      </c>
      <c r="J9" s="35" t="str">
        <f>IF(F9&lt;&gt;"", (IF('5Inter O&amp;M Entry'!N10="Y", ((($B9*$D9)*((1+$B$5)^J$7))*(1/((1+$N$5)^J$7))), 0)), "")</f>
        <v/>
      </c>
      <c r="K9" s="35" t="str">
        <f>IF(G9&lt;&gt;"", (IF('5Inter O&amp;M Entry'!O10="Y", ((($B9*$D9)*((1+$B$5)^K$7))*(1/((1+$N$5)^K$7))), 0)), "")</f>
        <v/>
      </c>
      <c r="L9" s="35" t="str">
        <f>IF(H9&lt;&gt;"", (IF('5Inter O&amp;M Entry'!P10="Y", ((($B9*$D9)*((1+$B$5)^L$7))*(1/((1+$N$5)^L$7))), 0)), "")</f>
        <v/>
      </c>
      <c r="M9" s="35" t="str">
        <f>IF(I9&lt;&gt;"", (IF('5Inter O&amp;M Entry'!Q10="Y", ((($B9*$D9)*((1+$B$5)^M$7))*(1/((1+$N$5)^M$7))), 0)), "")</f>
        <v/>
      </c>
      <c r="N9" s="35" t="str">
        <f>IF(J9&lt;&gt;"", (IF('5Inter O&amp;M Entry'!R10="Y", ((($B9*$D9)*((1+$B$5)^N$7))*(1/((1+$N$5)^N$7))), 0)), "")</f>
        <v/>
      </c>
    </row>
    <row r="10" spans="1:14">
      <c r="A10" s="31" t="str">
        <f>IF('5Inter O&amp;M Entry'!A11&lt;&gt;"", '5Inter O&amp;M Entry'!A11, "")</f>
        <v/>
      </c>
      <c r="B10" s="35" t="str">
        <f>IF('5Inter O&amp;M Entry'!B11&lt;&gt;"", '5Inter O&amp;M Entry'!B11, "")</f>
        <v/>
      </c>
      <c r="C10" s="31" t="str">
        <f>IF('5Inter O&amp;M Entry'!C11&lt;&gt;"", '5Inter O&amp;M Entry'!C11, "")</f>
        <v/>
      </c>
      <c r="D10" s="108" t="str">
        <f>IF('5Inter O&amp;M Entry'!D11&lt;&gt;"", '5Inter O&amp;M Entry'!D11, "")</f>
        <v/>
      </c>
      <c r="E10" s="35" t="str">
        <f>IF(A10&lt;&gt;"", (IF('5Inter O&amp;M Entry'!I11="Y", ((($B10*$D10)*((1+$B$5)^E$7))*(1/((1+$N$5)^E$7))), 0)), "")</f>
        <v/>
      </c>
      <c r="F10" s="35" t="str">
        <f>IF(B10&lt;&gt;"", (IF('5Inter O&amp;M Entry'!J11="Y", ((($B10*$D10)*((1+$B$5)^F$7))*(1/((1+$N$5)^F$7))), 0)), "")</f>
        <v/>
      </c>
      <c r="G10" s="35" t="str">
        <f>IF(C10&lt;&gt;"", (IF('5Inter O&amp;M Entry'!K11="Y", ((($B10*$D10)*((1+$B$5)^G$7))*(1/((1+$N$5)^G$7))), 0)), "")</f>
        <v/>
      </c>
      <c r="H10" s="35" t="str">
        <f>IF(D10&lt;&gt;"", (IF('5Inter O&amp;M Entry'!L11="Y", ((($B10*$D10)*((1+$B$5)^H$7))*(1/((1+$N$5)^H$7))), 0)), "")</f>
        <v/>
      </c>
      <c r="I10" s="35" t="str">
        <f>IF(E10&lt;&gt;"", (IF('5Inter O&amp;M Entry'!M11="Y", ((($B10*$D10)*((1+$B$5)^I$7))*(1/((1+$N$5)^I$7))), 0)), "")</f>
        <v/>
      </c>
      <c r="J10" s="35" t="str">
        <f>IF(F10&lt;&gt;"", (IF('5Inter O&amp;M Entry'!N11="Y", ((($B10*$D10)*((1+$B$5)^J$7))*(1/((1+$N$5)^J$7))), 0)), "")</f>
        <v/>
      </c>
      <c r="K10" s="35" t="str">
        <f>IF(G10&lt;&gt;"", (IF('5Inter O&amp;M Entry'!O11="Y", ((($B10*$D10)*((1+$B$5)^K$7))*(1/((1+$N$5)^K$7))), 0)), "")</f>
        <v/>
      </c>
      <c r="L10" s="35" t="str">
        <f>IF(H10&lt;&gt;"", (IF('5Inter O&amp;M Entry'!P11="Y", ((($B10*$D10)*((1+$B$5)^L$7))*(1/((1+$N$5)^L$7))), 0)), "")</f>
        <v/>
      </c>
      <c r="M10" s="35" t="str">
        <f>IF(I10&lt;&gt;"", (IF('5Inter O&amp;M Entry'!Q11="Y", ((($B10*$D10)*((1+$B$5)^M$7))*(1/((1+$N$5)^M$7))), 0)), "")</f>
        <v/>
      </c>
      <c r="N10" s="35" t="str">
        <f>IF(J10&lt;&gt;"", (IF('5Inter O&amp;M Entry'!R11="Y", ((($B10*$D10)*((1+$B$5)^N$7))*(1/((1+$N$5)^N$7))), 0)), "")</f>
        <v/>
      </c>
    </row>
    <row r="11" spans="1:14">
      <c r="A11" s="31" t="str">
        <f>IF('5Inter O&amp;M Entry'!A12&lt;&gt;"", '5Inter O&amp;M Entry'!A12, "")</f>
        <v/>
      </c>
      <c r="B11" s="35" t="str">
        <f>IF('5Inter O&amp;M Entry'!B12&lt;&gt;"", '5Inter O&amp;M Entry'!B12, "")</f>
        <v/>
      </c>
      <c r="C11" s="31" t="str">
        <f>IF('5Inter O&amp;M Entry'!C12&lt;&gt;"", '5Inter O&amp;M Entry'!C12, "")</f>
        <v/>
      </c>
      <c r="D11" s="108" t="str">
        <f>IF('5Inter O&amp;M Entry'!D12&lt;&gt;"", '5Inter O&amp;M Entry'!D12, "")</f>
        <v/>
      </c>
      <c r="E11" s="35" t="str">
        <f>IF(A11&lt;&gt;"", (IF('5Inter O&amp;M Entry'!I12="Y", ((($B11*$D11)*((1+$B$5)^E$7))*(1/((1+$N$5)^E$7))), 0)), "")</f>
        <v/>
      </c>
      <c r="F11" s="35" t="str">
        <f>IF(B11&lt;&gt;"", (IF('5Inter O&amp;M Entry'!J12="Y", ((($B11*$D11)*((1+$B$5)^F$7))*(1/((1+$N$5)^F$7))), 0)), "")</f>
        <v/>
      </c>
      <c r="G11" s="35" t="str">
        <f>IF(C11&lt;&gt;"", (IF('5Inter O&amp;M Entry'!K12="Y", ((($B11*$D11)*((1+$B$5)^G$7))*(1/((1+$N$5)^G$7))), 0)), "")</f>
        <v/>
      </c>
      <c r="H11" s="35" t="str">
        <f>IF(D11&lt;&gt;"", (IF('5Inter O&amp;M Entry'!L12="Y", ((($B11*$D11)*((1+$B$5)^H$7))*(1/((1+$N$5)^H$7))), 0)), "")</f>
        <v/>
      </c>
      <c r="I11" s="35" t="str">
        <f>IF(E11&lt;&gt;"", (IF('5Inter O&amp;M Entry'!M12="Y", ((($B11*$D11)*((1+$B$5)^I$7))*(1/((1+$N$5)^I$7))), 0)), "")</f>
        <v/>
      </c>
      <c r="J11" s="35" t="str">
        <f>IF(F11&lt;&gt;"", (IF('5Inter O&amp;M Entry'!N12="Y", ((($B11*$D11)*((1+$B$5)^J$7))*(1/((1+$N$5)^J$7))), 0)), "")</f>
        <v/>
      </c>
      <c r="K11" s="35" t="str">
        <f>IF(G11&lt;&gt;"", (IF('5Inter O&amp;M Entry'!O12="Y", ((($B11*$D11)*((1+$B$5)^K$7))*(1/((1+$N$5)^K$7))), 0)), "")</f>
        <v/>
      </c>
      <c r="L11" s="35" t="str">
        <f>IF(H11&lt;&gt;"", (IF('5Inter O&amp;M Entry'!P12="Y", ((($B11*$D11)*((1+$B$5)^L$7))*(1/((1+$N$5)^L$7))), 0)), "")</f>
        <v/>
      </c>
      <c r="M11" s="35" t="str">
        <f>IF(I11&lt;&gt;"", (IF('5Inter O&amp;M Entry'!Q12="Y", ((($B11*$D11)*((1+$B$5)^M$7))*(1/((1+$N$5)^M$7))), 0)), "")</f>
        <v/>
      </c>
      <c r="N11" s="35" t="str">
        <f>IF(J11&lt;&gt;"", (IF('5Inter O&amp;M Entry'!R12="Y", ((($B11*$D11)*((1+$B$5)^N$7))*(1/((1+$N$5)^N$7))), 0)), "")</f>
        <v/>
      </c>
    </row>
    <row r="12" spans="1:14">
      <c r="A12" s="31" t="str">
        <f>IF('5Inter O&amp;M Entry'!A13&lt;&gt;"", '5Inter O&amp;M Entry'!A13, "")</f>
        <v/>
      </c>
      <c r="B12" s="35" t="str">
        <f>IF('5Inter O&amp;M Entry'!B13&lt;&gt;"", '5Inter O&amp;M Entry'!B13, "")</f>
        <v/>
      </c>
      <c r="C12" s="31" t="str">
        <f>IF('5Inter O&amp;M Entry'!C13&lt;&gt;"", '5Inter O&amp;M Entry'!C13, "")</f>
        <v/>
      </c>
      <c r="D12" s="108" t="str">
        <f>IF('5Inter O&amp;M Entry'!D13&lt;&gt;"", '5Inter O&amp;M Entry'!D13, "")</f>
        <v/>
      </c>
      <c r="E12" s="35" t="str">
        <f>IF(A12&lt;&gt;"", (IF('5Inter O&amp;M Entry'!I13="Y", ((($B12*$D12)*((1+$B$5)^E$7))*(1/((1+$N$5)^E$7))), 0)), "")</f>
        <v/>
      </c>
      <c r="F12" s="35" t="str">
        <f>IF(B12&lt;&gt;"", (IF('5Inter O&amp;M Entry'!J13="Y", ((($B12*$D12)*((1+$B$5)^F$7))*(1/((1+$N$5)^F$7))), 0)), "")</f>
        <v/>
      </c>
      <c r="G12" s="35" t="str">
        <f>IF(C12&lt;&gt;"", (IF('5Inter O&amp;M Entry'!K13="Y", ((($B12*$D12)*((1+$B$5)^G$7))*(1/((1+$N$5)^G$7))), 0)), "")</f>
        <v/>
      </c>
      <c r="H12" s="35" t="str">
        <f>IF(D12&lt;&gt;"", (IF('5Inter O&amp;M Entry'!L13="Y", ((($B12*$D12)*((1+$B$5)^H$7))*(1/((1+$N$5)^H$7))), 0)), "")</f>
        <v/>
      </c>
      <c r="I12" s="35" t="str">
        <f>IF(E12&lt;&gt;"", (IF('5Inter O&amp;M Entry'!M13="Y", ((($B12*$D12)*((1+$B$5)^I$7))*(1/((1+$N$5)^I$7))), 0)), "")</f>
        <v/>
      </c>
      <c r="J12" s="35" t="str">
        <f>IF(F12&lt;&gt;"", (IF('5Inter O&amp;M Entry'!N13="Y", ((($B12*$D12)*((1+$B$5)^J$7))*(1/((1+$N$5)^J$7))), 0)), "")</f>
        <v/>
      </c>
      <c r="K12" s="35" t="str">
        <f>IF(G12&lt;&gt;"", (IF('5Inter O&amp;M Entry'!O13="Y", ((($B12*$D12)*((1+$B$5)^K$7))*(1/((1+$N$5)^K$7))), 0)), "")</f>
        <v/>
      </c>
      <c r="L12" s="35" t="str">
        <f>IF(H12&lt;&gt;"", (IF('5Inter O&amp;M Entry'!P13="Y", ((($B12*$D12)*((1+$B$5)^L$7))*(1/((1+$N$5)^L$7))), 0)), "")</f>
        <v/>
      </c>
      <c r="M12" s="35" t="str">
        <f>IF(I12&lt;&gt;"", (IF('5Inter O&amp;M Entry'!Q13="Y", ((($B12*$D12)*((1+$B$5)^M$7))*(1/((1+$N$5)^M$7))), 0)), "")</f>
        <v/>
      </c>
      <c r="N12" s="35" t="str">
        <f>IF(J12&lt;&gt;"", (IF('5Inter O&amp;M Entry'!R13="Y", ((($B12*$D12)*((1+$B$5)^N$7))*(1/((1+$N$5)^N$7))), 0)), "")</f>
        <v/>
      </c>
    </row>
    <row r="13" spans="1:14">
      <c r="A13" s="31" t="str">
        <f>IF('5Inter O&amp;M Entry'!A14&lt;&gt;"", '5Inter O&amp;M Entry'!A14, "")</f>
        <v/>
      </c>
      <c r="B13" s="35" t="str">
        <f>IF('5Inter O&amp;M Entry'!B14&lt;&gt;"", '5Inter O&amp;M Entry'!B14, "")</f>
        <v/>
      </c>
      <c r="C13" s="31" t="str">
        <f>IF('5Inter O&amp;M Entry'!C14&lt;&gt;"", '5Inter O&amp;M Entry'!C14, "")</f>
        <v/>
      </c>
      <c r="D13" s="108" t="str">
        <f>IF('5Inter O&amp;M Entry'!D14&lt;&gt;"", '5Inter O&amp;M Entry'!D14, "")</f>
        <v/>
      </c>
      <c r="E13" s="35" t="str">
        <f>IF(A13&lt;&gt;"", (IF('5Inter O&amp;M Entry'!I14="Y", ((($B13*$D13)*((1+$B$5)^E$7))*(1/((1+$N$5)^E$7))), 0)), "")</f>
        <v/>
      </c>
      <c r="F13" s="35" t="str">
        <f>IF(B13&lt;&gt;"", (IF('5Inter O&amp;M Entry'!J14="Y", ((($B13*$D13)*((1+$B$5)^F$7))*(1/((1+$N$5)^F$7))), 0)), "")</f>
        <v/>
      </c>
      <c r="G13" s="35" t="str">
        <f>IF(C13&lt;&gt;"", (IF('5Inter O&amp;M Entry'!K14="Y", ((($B13*$D13)*((1+$B$5)^G$7))*(1/((1+$N$5)^G$7))), 0)), "")</f>
        <v/>
      </c>
      <c r="H13" s="35" t="str">
        <f>IF(D13&lt;&gt;"", (IF('5Inter O&amp;M Entry'!L14="Y", ((($B13*$D13)*((1+$B$5)^H$7))*(1/((1+$N$5)^H$7))), 0)), "")</f>
        <v/>
      </c>
      <c r="I13" s="35" t="str">
        <f>IF(E13&lt;&gt;"", (IF('5Inter O&amp;M Entry'!M14="Y", ((($B13*$D13)*((1+$B$5)^I$7))*(1/((1+$N$5)^I$7))), 0)), "")</f>
        <v/>
      </c>
      <c r="J13" s="35" t="str">
        <f>IF(F13&lt;&gt;"", (IF('5Inter O&amp;M Entry'!N14="Y", ((($B13*$D13)*((1+$B$5)^J$7))*(1/((1+$N$5)^J$7))), 0)), "")</f>
        <v/>
      </c>
      <c r="K13" s="35" t="str">
        <f>IF(G13&lt;&gt;"", (IF('5Inter O&amp;M Entry'!O14="Y", ((($B13*$D13)*((1+$B$5)^K$7))*(1/((1+$N$5)^K$7))), 0)), "")</f>
        <v/>
      </c>
      <c r="L13" s="35" t="str">
        <f>IF(H13&lt;&gt;"", (IF('5Inter O&amp;M Entry'!P14="Y", ((($B13*$D13)*((1+$B$5)^L$7))*(1/((1+$N$5)^L$7))), 0)), "")</f>
        <v/>
      </c>
      <c r="M13" s="35" t="str">
        <f>IF(I13&lt;&gt;"", (IF('5Inter O&amp;M Entry'!Q14="Y", ((($B13*$D13)*((1+$B$5)^M$7))*(1/((1+$N$5)^M$7))), 0)), "")</f>
        <v/>
      </c>
      <c r="N13" s="35" t="str">
        <f>IF(J13&lt;&gt;"", (IF('5Inter O&amp;M Entry'!R14="Y", ((($B13*$D13)*((1+$B$5)^N$7))*(1/((1+$N$5)^N$7))), 0)), "")</f>
        <v/>
      </c>
    </row>
    <row r="14" spans="1:14">
      <c r="A14" s="31" t="str">
        <f>IF('5Inter O&amp;M Entry'!A15&lt;&gt;"", '5Inter O&amp;M Entry'!A15, "")</f>
        <v/>
      </c>
      <c r="B14" s="35" t="str">
        <f>IF('5Inter O&amp;M Entry'!B15&lt;&gt;"", '5Inter O&amp;M Entry'!B15, "")</f>
        <v/>
      </c>
      <c r="C14" s="31" t="str">
        <f>IF('5Inter O&amp;M Entry'!C15&lt;&gt;"", '5Inter O&amp;M Entry'!C15, "")</f>
        <v/>
      </c>
      <c r="D14" s="108" t="str">
        <f>IF('5Inter O&amp;M Entry'!D15&lt;&gt;"", '5Inter O&amp;M Entry'!D15, "")</f>
        <v/>
      </c>
      <c r="E14" s="35" t="str">
        <f>IF(A14&lt;&gt;"", (IF('5Inter O&amp;M Entry'!I15="Y", ((($B14*$D14)*((1+$B$5)^E$7))*(1/((1+$N$5)^E$7))), 0)), "")</f>
        <v/>
      </c>
      <c r="F14" s="35" t="str">
        <f>IF(B14&lt;&gt;"", (IF('5Inter O&amp;M Entry'!J15="Y", ((($B14*$D14)*((1+$B$5)^F$7))*(1/((1+$N$5)^F$7))), 0)), "")</f>
        <v/>
      </c>
      <c r="G14" s="35" t="str">
        <f>IF(C14&lt;&gt;"", (IF('5Inter O&amp;M Entry'!K15="Y", ((($B14*$D14)*((1+$B$5)^G$7))*(1/((1+$N$5)^G$7))), 0)), "")</f>
        <v/>
      </c>
      <c r="H14" s="35" t="str">
        <f>IF(D14&lt;&gt;"", (IF('5Inter O&amp;M Entry'!L15="Y", ((($B14*$D14)*((1+$B$5)^H$7))*(1/((1+$N$5)^H$7))), 0)), "")</f>
        <v/>
      </c>
      <c r="I14" s="35" t="str">
        <f>IF(E14&lt;&gt;"", (IF('5Inter O&amp;M Entry'!M15="Y", ((($B14*$D14)*((1+$B$5)^I$7))*(1/((1+$N$5)^I$7))), 0)), "")</f>
        <v/>
      </c>
      <c r="J14" s="35" t="str">
        <f>IF(F14&lt;&gt;"", (IF('5Inter O&amp;M Entry'!N15="Y", ((($B14*$D14)*((1+$B$5)^J$7))*(1/((1+$N$5)^J$7))), 0)), "")</f>
        <v/>
      </c>
      <c r="K14" s="35" t="str">
        <f>IF(G14&lt;&gt;"", (IF('5Inter O&amp;M Entry'!O15="Y", ((($B14*$D14)*((1+$B$5)^K$7))*(1/((1+$N$5)^K$7))), 0)), "")</f>
        <v/>
      </c>
      <c r="L14" s="35" t="str">
        <f>IF(H14&lt;&gt;"", (IF('5Inter O&amp;M Entry'!P15="Y", ((($B14*$D14)*((1+$B$5)^L$7))*(1/((1+$N$5)^L$7))), 0)), "")</f>
        <v/>
      </c>
      <c r="M14" s="35" t="str">
        <f>IF(I14&lt;&gt;"", (IF('5Inter O&amp;M Entry'!Q15="Y", ((($B14*$D14)*((1+$B$5)^M$7))*(1/((1+$N$5)^M$7))), 0)), "")</f>
        <v/>
      </c>
      <c r="N14" s="35" t="str">
        <f>IF(J14&lt;&gt;"", (IF('5Inter O&amp;M Entry'!R15="Y", ((($B14*$D14)*((1+$B$5)^N$7))*(1/((1+$N$5)^N$7))), 0)), "")</f>
        <v/>
      </c>
    </row>
    <row r="15" spans="1:14">
      <c r="A15" s="31" t="str">
        <f>IF('5Inter O&amp;M Entry'!A16&lt;&gt;"", '5Inter O&amp;M Entry'!A16, "")</f>
        <v/>
      </c>
      <c r="B15" s="35" t="str">
        <f>IF('5Inter O&amp;M Entry'!B16&lt;&gt;"", '5Inter O&amp;M Entry'!B16, "")</f>
        <v/>
      </c>
      <c r="C15" s="31" t="str">
        <f>IF('5Inter O&amp;M Entry'!C16&lt;&gt;"", '5Inter O&amp;M Entry'!C16, "")</f>
        <v/>
      </c>
      <c r="D15" s="108" t="str">
        <f>IF('5Inter O&amp;M Entry'!D16&lt;&gt;"", '5Inter O&amp;M Entry'!D16, "")</f>
        <v/>
      </c>
      <c r="E15" s="35" t="str">
        <f>IF(A15&lt;&gt;"", (IF('5Inter O&amp;M Entry'!I16="Y", ((($B15*$D15)*((1+$B$5)^E$7))*(1/((1+$N$5)^E$7))), 0)), "")</f>
        <v/>
      </c>
      <c r="F15" s="35" t="str">
        <f>IF(B15&lt;&gt;"", (IF('5Inter O&amp;M Entry'!J16="Y", ((($B15*$D15)*((1+$B$5)^F$7))*(1/((1+$N$5)^F$7))), 0)), "")</f>
        <v/>
      </c>
      <c r="G15" s="35" t="str">
        <f>IF(C15&lt;&gt;"", (IF('5Inter O&amp;M Entry'!K16="Y", ((($B15*$D15)*((1+$B$5)^G$7))*(1/((1+$N$5)^G$7))), 0)), "")</f>
        <v/>
      </c>
      <c r="H15" s="35" t="str">
        <f>IF(D15&lt;&gt;"", (IF('5Inter O&amp;M Entry'!L16="Y", ((($B15*$D15)*((1+$B$5)^H$7))*(1/((1+$N$5)^H$7))), 0)), "")</f>
        <v/>
      </c>
      <c r="I15" s="35" t="str">
        <f>IF(E15&lt;&gt;"", (IF('5Inter O&amp;M Entry'!M16="Y", ((($B15*$D15)*((1+$B$5)^I$7))*(1/((1+$N$5)^I$7))), 0)), "")</f>
        <v/>
      </c>
      <c r="J15" s="35" t="str">
        <f>IF(F15&lt;&gt;"", (IF('5Inter O&amp;M Entry'!N16="Y", ((($B15*$D15)*((1+$B$5)^J$7))*(1/((1+$N$5)^J$7))), 0)), "")</f>
        <v/>
      </c>
      <c r="K15" s="35" t="str">
        <f>IF(G15&lt;&gt;"", (IF('5Inter O&amp;M Entry'!O16="Y", ((($B15*$D15)*((1+$B$5)^K$7))*(1/((1+$N$5)^K$7))), 0)), "")</f>
        <v/>
      </c>
      <c r="L15" s="35" t="str">
        <f>IF(H15&lt;&gt;"", (IF('5Inter O&amp;M Entry'!P16="Y", ((($B15*$D15)*((1+$B$5)^L$7))*(1/((1+$N$5)^L$7))), 0)), "")</f>
        <v/>
      </c>
      <c r="M15" s="35" t="str">
        <f>IF(I15&lt;&gt;"", (IF('5Inter O&amp;M Entry'!Q16="Y", ((($B15*$D15)*((1+$B$5)^M$7))*(1/((1+$N$5)^M$7))), 0)), "")</f>
        <v/>
      </c>
      <c r="N15" s="35" t="str">
        <f>IF(J15&lt;&gt;"", (IF('5Inter O&amp;M Entry'!R16="Y", ((($B15*$D15)*((1+$B$5)^N$7))*(1/((1+$N$5)^N$7))), 0)), "")</f>
        <v/>
      </c>
    </row>
    <row r="16" spans="1:14">
      <c r="A16" s="31" t="str">
        <f>IF('5Inter O&amp;M Entry'!A17&lt;&gt;"", '5Inter O&amp;M Entry'!A17, "")</f>
        <v/>
      </c>
      <c r="B16" s="35" t="str">
        <f>IF('5Inter O&amp;M Entry'!B17&lt;&gt;"", '5Inter O&amp;M Entry'!B17, "")</f>
        <v/>
      </c>
      <c r="C16" s="31" t="str">
        <f>IF('5Inter O&amp;M Entry'!C17&lt;&gt;"", '5Inter O&amp;M Entry'!C17, "")</f>
        <v/>
      </c>
      <c r="D16" s="108" t="str">
        <f>IF('5Inter O&amp;M Entry'!D17&lt;&gt;"", '5Inter O&amp;M Entry'!D17, "")</f>
        <v/>
      </c>
      <c r="E16" s="35" t="str">
        <f>IF(A16&lt;&gt;"", (IF('5Inter O&amp;M Entry'!I17="Y", ((($B16*$D16)*((1+$B$5)^E$7))*(1/((1+$N$5)^E$7))), 0)), "")</f>
        <v/>
      </c>
      <c r="F16" s="35" t="str">
        <f>IF(B16&lt;&gt;"", (IF('5Inter O&amp;M Entry'!J17="Y", ((($B16*$D16)*((1+$B$5)^F$7))*(1/((1+$N$5)^F$7))), 0)), "")</f>
        <v/>
      </c>
      <c r="G16" s="35" t="str">
        <f>IF(C16&lt;&gt;"", (IF('5Inter O&amp;M Entry'!K17="Y", ((($B16*$D16)*((1+$B$5)^G$7))*(1/((1+$N$5)^G$7))), 0)), "")</f>
        <v/>
      </c>
      <c r="H16" s="35" t="str">
        <f>IF(D16&lt;&gt;"", (IF('5Inter O&amp;M Entry'!L17="Y", ((($B16*$D16)*((1+$B$5)^H$7))*(1/((1+$N$5)^H$7))), 0)), "")</f>
        <v/>
      </c>
      <c r="I16" s="35" t="str">
        <f>IF(E16&lt;&gt;"", (IF('5Inter O&amp;M Entry'!M17="Y", ((($B16*$D16)*((1+$B$5)^I$7))*(1/((1+$N$5)^I$7))), 0)), "")</f>
        <v/>
      </c>
      <c r="J16" s="35" t="str">
        <f>IF(F16&lt;&gt;"", (IF('5Inter O&amp;M Entry'!N17="Y", ((($B16*$D16)*((1+$B$5)^J$7))*(1/((1+$N$5)^J$7))), 0)), "")</f>
        <v/>
      </c>
      <c r="K16" s="35" t="str">
        <f>IF(G16&lt;&gt;"", (IF('5Inter O&amp;M Entry'!O17="Y", ((($B16*$D16)*((1+$B$5)^K$7))*(1/((1+$N$5)^K$7))), 0)), "")</f>
        <v/>
      </c>
      <c r="L16" s="35" t="str">
        <f>IF(H16&lt;&gt;"", (IF('5Inter O&amp;M Entry'!P17="Y", ((($B16*$D16)*((1+$B$5)^L$7))*(1/((1+$N$5)^L$7))), 0)), "")</f>
        <v/>
      </c>
      <c r="M16" s="35" t="str">
        <f>IF(I16&lt;&gt;"", (IF('5Inter O&amp;M Entry'!Q17="Y", ((($B16*$D16)*((1+$B$5)^M$7))*(1/((1+$N$5)^M$7))), 0)), "")</f>
        <v/>
      </c>
      <c r="N16" s="35" t="str">
        <f>IF(J16&lt;&gt;"", (IF('5Inter O&amp;M Entry'!R17="Y", ((($B16*$D16)*((1+$B$5)^N$7))*(1/((1+$N$5)^N$7))), 0)), "")</f>
        <v/>
      </c>
    </row>
    <row r="17" spans="1:14">
      <c r="A17" s="31" t="str">
        <f>IF('5Inter O&amp;M Entry'!A18&lt;&gt;"", '5Inter O&amp;M Entry'!A18, "")</f>
        <v/>
      </c>
      <c r="B17" s="35" t="str">
        <f>IF('5Inter O&amp;M Entry'!B18&lt;&gt;"", '5Inter O&amp;M Entry'!B18, "")</f>
        <v/>
      </c>
      <c r="C17" s="31" t="str">
        <f>IF('5Inter O&amp;M Entry'!C18&lt;&gt;"", '5Inter O&amp;M Entry'!C18, "")</f>
        <v/>
      </c>
      <c r="D17" s="108" t="str">
        <f>IF('5Inter O&amp;M Entry'!D18&lt;&gt;"", '5Inter O&amp;M Entry'!D18, "")</f>
        <v/>
      </c>
      <c r="E17" s="35" t="str">
        <f>IF(A17&lt;&gt;"", (IF('5Inter O&amp;M Entry'!I18="Y", ((($B17*$D17)*((1+$B$5)^E$7))*(1/((1+$N$5)^E$7))), 0)), "")</f>
        <v/>
      </c>
      <c r="F17" s="35" t="str">
        <f>IF(B17&lt;&gt;"", (IF('5Inter O&amp;M Entry'!J18="Y", ((($B17*$D17)*((1+$B$5)^F$7))*(1/((1+$N$5)^F$7))), 0)), "")</f>
        <v/>
      </c>
      <c r="G17" s="35" t="str">
        <f>IF(C17&lt;&gt;"", (IF('5Inter O&amp;M Entry'!K18="Y", ((($B17*$D17)*((1+$B$5)^G$7))*(1/((1+$N$5)^G$7))), 0)), "")</f>
        <v/>
      </c>
      <c r="H17" s="35" t="str">
        <f>IF(D17&lt;&gt;"", (IF('5Inter O&amp;M Entry'!L18="Y", ((($B17*$D17)*((1+$B$5)^H$7))*(1/((1+$N$5)^H$7))), 0)), "")</f>
        <v/>
      </c>
      <c r="I17" s="35" t="str">
        <f>IF(E17&lt;&gt;"", (IF('5Inter O&amp;M Entry'!M18="Y", ((($B17*$D17)*((1+$B$5)^I$7))*(1/((1+$N$5)^I$7))), 0)), "")</f>
        <v/>
      </c>
      <c r="J17" s="35" t="str">
        <f>IF(F17&lt;&gt;"", (IF('5Inter O&amp;M Entry'!N18="Y", ((($B17*$D17)*((1+$B$5)^J$7))*(1/((1+$N$5)^J$7))), 0)), "")</f>
        <v/>
      </c>
      <c r="K17" s="35" t="str">
        <f>IF(G17&lt;&gt;"", (IF('5Inter O&amp;M Entry'!O18="Y", ((($B17*$D17)*((1+$B$5)^K$7))*(1/((1+$N$5)^K$7))), 0)), "")</f>
        <v/>
      </c>
      <c r="L17" s="35" t="str">
        <f>IF(H17&lt;&gt;"", (IF('5Inter O&amp;M Entry'!P18="Y", ((($B17*$D17)*((1+$B$5)^L$7))*(1/((1+$N$5)^L$7))), 0)), "")</f>
        <v/>
      </c>
      <c r="M17" s="35" t="str">
        <f>IF(I17&lt;&gt;"", (IF('5Inter O&amp;M Entry'!Q18="Y", ((($B17*$D17)*((1+$B$5)^M$7))*(1/((1+$N$5)^M$7))), 0)), "")</f>
        <v/>
      </c>
      <c r="N17" s="35" t="str">
        <f>IF(J17&lt;&gt;"", (IF('5Inter O&amp;M Entry'!R18="Y", ((($B17*$D17)*((1+$B$5)^N$7))*(1/((1+$N$5)^N$7))), 0)), "")</f>
        <v/>
      </c>
    </row>
    <row r="18" spans="1:14">
      <c r="A18" s="31" t="str">
        <f>IF('5Inter O&amp;M Entry'!A19&lt;&gt;"", '5Inter O&amp;M Entry'!A19, "")</f>
        <v/>
      </c>
      <c r="B18" s="35" t="str">
        <f>IF('5Inter O&amp;M Entry'!B19&lt;&gt;"", '5Inter O&amp;M Entry'!B19, "")</f>
        <v/>
      </c>
      <c r="C18" s="31" t="str">
        <f>IF('5Inter O&amp;M Entry'!C19&lt;&gt;"", '5Inter O&amp;M Entry'!C19, "")</f>
        <v/>
      </c>
      <c r="D18" s="108" t="str">
        <f>IF('5Inter O&amp;M Entry'!D19&lt;&gt;"", '5Inter O&amp;M Entry'!D19, "")</f>
        <v/>
      </c>
      <c r="E18" s="35" t="str">
        <f>IF(A18&lt;&gt;"", (IF('5Inter O&amp;M Entry'!I19="Y", ((($B18*$D18)*((1+$B$5)^E$7))*(1/((1+$N$5)^E$7))), 0)), "")</f>
        <v/>
      </c>
      <c r="F18" s="35" t="str">
        <f>IF(B18&lt;&gt;"", (IF('5Inter O&amp;M Entry'!J19="Y", ((($B18*$D18)*((1+$B$5)^F$7))*(1/((1+$N$5)^F$7))), 0)), "")</f>
        <v/>
      </c>
      <c r="G18" s="35" t="str">
        <f>IF(C18&lt;&gt;"", (IF('5Inter O&amp;M Entry'!K19="Y", ((($B18*$D18)*((1+$B$5)^G$7))*(1/((1+$N$5)^G$7))), 0)), "")</f>
        <v/>
      </c>
      <c r="H18" s="35" t="str">
        <f>IF(D18&lt;&gt;"", (IF('5Inter O&amp;M Entry'!L19="Y", ((($B18*$D18)*((1+$B$5)^H$7))*(1/((1+$N$5)^H$7))), 0)), "")</f>
        <v/>
      </c>
      <c r="I18" s="35" t="str">
        <f>IF(E18&lt;&gt;"", (IF('5Inter O&amp;M Entry'!M19="Y", ((($B18*$D18)*((1+$B$5)^I$7))*(1/((1+$N$5)^I$7))), 0)), "")</f>
        <v/>
      </c>
      <c r="J18" s="35" t="str">
        <f>IF(F18&lt;&gt;"", (IF('5Inter O&amp;M Entry'!N19="Y", ((($B18*$D18)*((1+$B$5)^J$7))*(1/((1+$N$5)^J$7))), 0)), "")</f>
        <v/>
      </c>
      <c r="K18" s="35" t="str">
        <f>IF(G18&lt;&gt;"", (IF('5Inter O&amp;M Entry'!O19="Y", ((($B18*$D18)*((1+$B$5)^K$7))*(1/((1+$N$5)^K$7))), 0)), "")</f>
        <v/>
      </c>
      <c r="L18" s="35" t="str">
        <f>IF(H18&lt;&gt;"", (IF('5Inter O&amp;M Entry'!P19="Y", ((($B18*$D18)*((1+$B$5)^L$7))*(1/((1+$N$5)^L$7))), 0)), "")</f>
        <v/>
      </c>
      <c r="M18" s="35" t="str">
        <f>IF(I18&lt;&gt;"", (IF('5Inter O&amp;M Entry'!Q19="Y", ((($B18*$D18)*((1+$B$5)^M$7))*(1/((1+$N$5)^M$7))), 0)), "")</f>
        <v/>
      </c>
      <c r="N18" s="35" t="str">
        <f>IF(J18&lt;&gt;"", (IF('5Inter O&amp;M Entry'!R19="Y", ((($B18*$D18)*((1+$B$5)^N$7))*(1/((1+$N$5)^N$7))), 0)), "")</f>
        <v/>
      </c>
    </row>
    <row r="19" spans="1:14">
      <c r="A19" s="31" t="str">
        <f>IF('5Inter O&amp;M Entry'!A20&lt;&gt;"", '5Inter O&amp;M Entry'!A20, "")</f>
        <v/>
      </c>
      <c r="B19" s="35" t="str">
        <f>IF('5Inter O&amp;M Entry'!B20&lt;&gt;"", '5Inter O&amp;M Entry'!B20, "")</f>
        <v/>
      </c>
      <c r="C19" s="31" t="str">
        <f>IF('5Inter O&amp;M Entry'!C20&lt;&gt;"", '5Inter O&amp;M Entry'!C20, "")</f>
        <v/>
      </c>
      <c r="D19" s="108" t="str">
        <f>IF('5Inter O&amp;M Entry'!D20&lt;&gt;"", '5Inter O&amp;M Entry'!D20, "")</f>
        <v/>
      </c>
      <c r="E19" s="35" t="str">
        <f>IF(A19&lt;&gt;"", (IF('5Inter O&amp;M Entry'!I20="Y", ((($B19*$D19)*((1+$B$5)^E$7))*(1/((1+$N$5)^E$7))), 0)), "")</f>
        <v/>
      </c>
      <c r="F19" s="35" t="str">
        <f>IF(B19&lt;&gt;"", (IF('5Inter O&amp;M Entry'!J20="Y", ((($B19*$D19)*((1+$B$5)^F$7))*(1/((1+$N$5)^F$7))), 0)), "")</f>
        <v/>
      </c>
      <c r="G19" s="35" t="str">
        <f>IF(C19&lt;&gt;"", (IF('5Inter O&amp;M Entry'!K20="Y", ((($B19*$D19)*((1+$B$5)^G$7))*(1/((1+$N$5)^G$7))), 0)), "")</f>
        <v/>
      </c>
      <c r="H19" s="35" t="str">
        <f>IF(D19&lt;&gt;"", (IF('5Inter O&amp;M Entry'!L20="Y", ((($B19*$D19)*((1+$B$5)^H$7))*(1/((1+$N$5)^H$7))), 0)), "")</f>
        <v/>
      </c>
      <c r="I19" s="35" t="str">
        <f>IF(E19&lt;&gt;"", (IF('5Inter O&amp;M Entry'!M20="Y", ((($B19*$D19)*((1+$B$5)^I$7))*(1/((1+$N$5)^I$7))), 0)), "")</f>
        <v/>
      </c>
      <c r="J19" s="35" t="str">
        <f>IF(F19&lt;&gt;"", (IF('5Inter O&amp;M Entry'!N20="Y", ((($B19*$D19)*((1+$B$5)^J$7))*(1/((1+$N$5)^J$7))), 0)), "")</f>
        <v/>
      </c>
      <c r="K19" s="35" t="str">
        <f>IF(G19&lt;&gt;"", (IF('5Inter O&amp;M Entry'!O20="Y", ((($B19*$D19)*((1+$B$5)^K$7))*(1/((1+$N$5)^K$7))), 0)), "")</f>
        <v/>
      </c>
      <c r="L19" s="35" t="str">
        <f>IF(H19&lt;&gt;"", (IF('5Inter O&amp;M Entry'!P20="Y", ((($B19*$D19)*((1+$B$5)^L$7))*(1/((1+$N$5)^L$7))), 0)), "")</f>
        <v/>
      </c>
      <c r="M19" s="35" t="str">
        <f>IF(I19&lt;&gt;"", (IF('5Inter O&amp;M Entry'!Q20="Y", ((($B19*$D19)*((1+$B$5)^M$7))*(1/((1+$N$5)^M$7))), 0)), "")</f>
        <v/>
      </c>
      <c r="N19" s="35" t="str">
        <f>IF(J19&lt;&gt;"", (IF('5Inter O&amp;M Entry'!R20="Y", ((($B19*$D19)*((1+$B$5)^N$7))*(1/((1+$N$5)^N$7))), 0)), "")</f>
        <v/>
      </c>
    </row>
    <row r="20" spans="1:14">
      <c r="D20" s="2" t="s">
        <v>74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  <row r="21" spans="1:14">
      <c r="M21" s="2" t="s">
        <v>57</v>
      </c>
      <c r="N21" s="28">
        <f>'5Inter O&amp;M 1-10'!E20+'5Inter O&amp;M 1-10'!F20+'5Inter O&amp;M 1-10'!G20+'5Inter O&amp;M 1-10'!H20+'5Inter O&amp;M 1-10'!I20+'5Inter O&amp;M 1-10'!J20+'5Inter O&amp;M 1-10'!K20+'5Inter O&amp;M 1-10'!L20+'5Inter O&amp;M 1-10'!M20+'5Inter O&amp;M 1-10'!N20+'5Inter O&amp;M 11-20'!E20+'5Inter O&amp;M 11-20'!F20+'5Inter O&amp;M 11-20'!G20+'5Inter O&amp;M 11-20'!H20+'5Inter O&amp;M 11-20'!I20+'5Inter O&amp;M 11-20'!J20+'5Inter O&amp;M 11-20'!K20+'5Inter O&amp;M 11-20'!L20+'5Inter O&amp;M 11-20'!M20+'5Inter O&amp;M 11-20'!N20</f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2:E42"/>
  <sheetViews>
    <sheetView topLeftCell="A5" workbookViewId="0">
      <selection activeCell="D9" sqref="A9:D22"/>
    </sheetView>
  </sheetViews>
  <sheetFormatPr defaultRowHeight="15.75"/>
  <cols>
    <col min="1" max="1" width="54.7109375" style="1" customWidth="1"/>
    <col min="2" max="3" width="18.28515625" style="1" customWidth="1"/>
    <col min="4" max="4" width="14.7109375" style="1" customWidth="1"/>
    <col min="5" max="5" width="28.140625" style="1" customWidth="1"/>
    <col min="6" max="16384" width="9.140625" style="1"/>
  </cols>
  <sheetData>
    <row r="2" spans="1:5">
      <c r="A2" s="137" t="s">
        <v>183</v>
      </c>
      <c r="B2" s="138"/>
      <c r="C2" s="138"/>
      <c r="D2" s="138"/>
      <c r="E2" s="139"/>
    </row>
    <row r="3" spans="1:5">
      <c r="A3" s="140">
        <f>Input!B4</f>
        <v>0</v>
      </c>
      <c r="B3" s="141"/>
      <c r="C3" s="141"/>
      <c r="D3" s="141"/>
      <c r="E3" s="142"/>
    </row>
    <row r="4" spans="1:5">
      <c r="A4" s="140">
        <f>Input!B5</f>
        <v>0</v>
      </c>
      <c r="B4" s="141"/>
      <c r="C4" s="141"/>
      <c r="D4" s="141"/>
      <c r="E4" s="142"/>
    </row>
    <row r="5" spans="1:5">
      <c r="A5" s="144" t="s">
        <v>36</v>
      </c>
      <c r="B5" s="145"/>
      <c r="C5" s="145"/>
      <c r="D5" s="145"/>
      <c r="E5" s="146"/>
    </row>
    <row r="6" spans="1:5">
      <c r="A6" s="13" t="s">
        <v>3</v>
      </c>
      <c r="B6" s="143"/>
      <c r="C6" s="143"/>
      <c r="D6" s="143"/>
      <c r="E6" s="143"/>
    </row>
    <row r="7" spans="1:5">
      <c r="A7" s="11" t="s">
        <v>65</v>
      </c>
      <c r="B7" s="81"/>
      <c r="C7" s="9"/>
      <c r="D7" s="9"/>
      <c r="E7" s="10"/>
    </row>
    <row r="8" spans="1:5" ht="18.75">
      <c r="A8" s="12" t="s">
        <v>4</v>
      </c>
      <c r="B8" s="12" t="s">
        <v>34</v>
      </c>
      <c r="C8" s="12" t="s">
        <v>5</v>
      </c>
      <c r="D8" s="12" t="s">
        <v>1</v>
      </c>
      <c r="E8" s="12" t="s">
        <v>2</v>
      </c>
    </row>
    <row r="9" spans="1:5">
      <c r="A9" s="82"/>
      <c r="B9" s="81"/>
      <c r="C9" s="83"/>
      <c r="D9" s="84"/>
      <c r="E9" s="3">
        <f>B9*D9</f>
        <v>0</v>
      </c>
    </row>
    <row r="10" spans="1:5">
      <c r="A10" s="82"/>
      <c r="B10" s="81"/>
      <c r="C10" s="83"/>
      <c r="D10" s="84"/>
      <c r="E10" s="3">
        <f t="shared" ref="E10:E37" si="0">B10*D10</f>
        <v>0</v>
      </c>
    </row>
    <row r="11" spans="1:5">
      <c r="A11" s="82"/>
      <c r="B11" s="81"/>
      <c r="C11" s="83"/>
      <c r="D11" s="84"/>
      <c r="E11" s="3">
        <f t="shared" si="0"/>
        <v>0</v>
      </c>
    </row>
    <row r="12" spans="1:5">
      <c r="A12" s="82"/>
      <c r="B12" s="81"/>
      <c r="C12" s="83"/>
      <c r="D12" s="84"/>
      <c r="E12" s="3">
        <f t="shared" si="0"/>
        <v>0</v>
      </c>
    </row>
    <row r="13" spans="1:5">
      <c r="A13" s="85"/>
      <c r="B13" s="81"/>
      <c r="C13" s="83"/>
      <c r="D13" s="84"/>
      <c r="E13" s="3">
        <f t="shared" si="0"/>
        <v>0</v>
      </c>
    </row>
    <row r="14" spans="1:5">
      <c r="A14" s="82"/>
      <c r="B14" s="81"/>
      <c r="C14" s="83"/>
      <c r="D14" s="84"/>
      <c r="E14" s="3">
        <f t="shared" si="0"/>
        <v>0</v>
      </c>
    </row>
    <row r="15" spans="1:5">
      <c r="A15" s="82"/>
      <c r="B15" s="81"/>
      <c r="C15" s="83"/>
      <c r="D15" s="84"/>
      <c r="E15" s="3">
        <f t="shared" si="0"/>
        <v>0</v>
      </c>
    </row>
    <row r="16" spans="1:5">
      <c r="A16" s="82"/>
      <c r="B16" s="81"/>
      <c r="C16" s="83"/>
      <c r="D16" s="84"/>
      <c r="E16" s="3">
        <f t="shared" si="0"/>
        <v>0</v>
      </c>
    </row>
    <row r="17" spans="1:5">
      <c r="A17" s="82"/>
      <c r="B17" s="81"/>
      <c r="C17" s="83"/>
      <c r="D17" s="84"/>
      <c r="E17" s="3">
        <f t="shared" si="0"/>
        <v>0</v>
      </c>
    </row>
    <row r="18" spans="1:5">
      <c r="A18" s="82"/>
      <c r="B18" s="81"/>
      <c r="C18" s="83"/>
      <c r="D18" s="84"/>
      <c r="E18" s="3">
        <f t="shared" si="0"/>
        <v>0</v>
      </c>
    </row>
    <row r="19" spans="1:5">
      <c r="A19" s="82"/>
      <c r="B19" s="81"/>
      <c r="C19" s="83"/>
      <c r="D19" s="84"/>
      <c r="E19" s="3">
        <f t="shared" si="0"/>
        <v>0</v>
      </c>
    </row>
    <row r="20" spans="1:5">
      <c r="A20" s="82"/>
      <c r="B20" s="81"/>
      <c r="C20" s="83"/>
      <c r="D20" s="84"/>
      <c r="E20" s="3">
        <f t="shared" si="0"/>
        <v>0</v>
      </c>
    </row>
    <row r="21" spans="1:5">
      <c r="A21" s="82"/>
      <c r="B21" s="81"/>
      <c r="C21" s="83"/>
      <c r="D21" s="84"/>
      <c r="E21" s="3">
        <f t="shared" si="0"/>
        <v>0</v>
      </c>
    </row>
    <row r="22" spans="1:5">
      <c r="A22" s="82"/>
      <c r="B22" s="81"/>
      <c r="C22" s="83"/>
      <c r="D22" s="84"/>
      <c r="E22" s="3">
        <f t="shared" si="0"/>
        <v>0</v>
      </c>
    </row>
    <row r="23" spans="1:5">
      <c r="A23" s="82"/>
      <c r="B23" s="81"/>
      <c r="C23" s="83"/>
      <c r="D23" s="84"/>
      <c r="E23" s="3">
        <f t="shared" si="0"/>
        <v>0</v>
      </c>
    </row>
    <row r="24" spans="1:5">
      <c r="A24" s="82"/>
      <c r="B24" s="81"/>
      <c r="C24" s="83"/>
      <c r="D24" s="84"/>
      <c r="E24" s="3">
        <f t="shared" si="0"/>
        <v>0</v>
      </c>
    </row>
    <row r="25" spans="1:5">
      <c r="A25" s="82"/>
      <c r="B25" s="81"/>
      <c r="C25" s="83"/>
      <c r="D25" s="84"/>
      <c r="E25" s="3">
        <f t="shared" si="0"/>
        <v>0</v>
      </c>
    </row>
    <row r="26" spans="1:5">
      <c r="A26" s="82"/>
      <c r="B26" s="81"/>
      <c r="C26" s="83"/>
      <c r="D26" s="84"/>
      <c r="E26" s="3">
        <f t="shared" si="0"/>
        <v>0</v>
      </c>
    </row>
    <row r="27" spans="1:5">
      <c r="A27" s="82"/>
      <c r="B27" s="81"/>
      <c r="C27" s="83"/>
      <c r="D27" s="84"/>
      <c r="E27" s="3">
        <f t="shared" si="0"/>
        <v>0</v>
      </c>
    </row>
    <row r="28" spans="1:5">
      <c r="A28" s="82"/>
      <c r="B28" s="81"/>
      <c r="C28" s="83"/>
      <c r="D28" s="84"/>
      <c r="E28" s="3">
        <f t="shared" si="0"/>
        <v>0</v>
      </c>
    </row>
    <row r="29" spans="1:5">
      <c r="A29" s="82"/>
      <c r="B29" s="81"/>
      <c r="C29" s="83"/>
      <c r="D29" s="84"/>
      <c r="E29" s="3">
        <f t="shared" si="0"/>
        <v>0</v>
      </c>
    </row>
    <row r="30" spans="1:5">
      <c r="A30" s="82"/>
      <c r="B30" s="81"/>
      <c r="C30" s="83"/>
      <c r="D30" s="84"/>
      <c r="E30" s="3">
        <f t="shared" si="0"/>
        <v>0</v>
      </c>
    </row>
    <row r="31" spans="1:5">
      <c r="A31" s="82"/>
      <c r="B31" s="81"/>
      <c r="C31" s="83"/>
      <c r="D31" s="84"/>
      <c r="E31" s="3">
        <f t="shared" si="0"/>
        <v>0</v>
      </c>
    </row>
    <row r="32" spans="1:5">
      <c r="A32" s="82"/>
      <c r="B32" s="81"/>
      <c r="C32" s="83"/>
      <c r="D32" s="84"/>
      <c r="E32" s="3">
        <f t="shared" si="0"/>
        <v>0</v>
      </c>
    </row>
    <row r="33" spans="1:5">
      <c r="A33" s="82"/>
      <c r="B33" s="81"/>
      <c r="C33" s="83"/>
      <c r="D33" s="84"/>
      <c r="E33" s="3">
        <f t="shared" si="0"/>
        <v>0</v>
      </c>
    </row>
    <row r="34" spans="1:5">
      <c r="A34" s="82"/>
      <c r="B34" s="81"/>
      <c r="C34" s="83"/>
      <c r="D34" s="84"/>
      <c r="E34" s="3">
        <f t="shared" si="0"/>
        <v>0</v>
      </c>
    </row>
    <row r="35" spans="1:5">
      <c r="A35" s="82"/>
      <c r="B35" s="81"/>
      <c r="C35" s="83"/>
      <c r="D35" s="84"/>
      <c r="E35" s="3">
        <f t="shared" si="0"/>
        <v>0</v>
      </c>
    </row>
    <row r="36" spans="1:5">
      <c r="A36" s="82"/>
      <c r="B36" s="81"/>
      <c r="C36" s="83"/>
      <c r="D36" s="84"/>
      <c r="E36" s="3">
        <f t="shared" si="0"/>
        <v>0</v>
      </c>
    </row>
    <row r="37" spans="1:5" ht="16.5" thickBot="1">
      <c r="A37" s="82"/>
      <c r="B37" s="81"/>
      <c r="C37" s="86"/>
      <c r="D37" s="84"/>
      <c r="E37" s="3">
        <f t="shared" si="0"/>
        <v>0</v>
      </c>
    </row>
    <row r="38" spans="1:5" ht="17.25" thickBot="1">
      <c r="A38" s="52" t="s">
        <v>35</v>
      </c>
      <c r="D38" s="2" t="s">
        <v>8</v>
      </c>
      <c r="E38" s="4">
        <f>SUM(E9:E37)</f>
        <v>0</v>
      </c>
    </row>
    <row r="39" spans="1:5" ht="16.5" thickBot="1">
      <c r="D39" s="2" t="s">
        <v>29</v>
      </c>
      <c r="E39" s="5">
        <f>E38*$B$42</f>
        <v>0</v>
      </c>
    </row>
    <row r="40" spans="1:5" ht="16.5" thickBot="1">
      <c r="D40" s="2" t="s">
        <v>30</v>
      </c>
      <c r="E40" s="5">
        <f>B7</f>
        <v>0</v>
      </c>
    </row>
    <row r="41" spans="1:5" ht="16.5" thickBot="1">
      <c r="D41" s="2" t="s">
        <v>9</v>
      </c>
      <c r="E41" s="5">
        <f>SUM(E38:E40)</f>
        <v>0</v>
      </c>
    </row>
    <row r="42" spans="1:5" hidden="1">
      <c r="A42" s="1" t="s">
        <v>28</v>
      </c>
      <c r="B42" s="42">
        <v>0.1</v>
      </c>
    </row>
  </sheetData>
  <sheetProtection sheet="1" objects="1" scenarios="1"/>
  <mergeCells count="5">
    <mergeCell ref="A2:E2"/>
    <mergeCell ref="A3:E3"/>
    <mergeCell ref="A4:E4"/>
    <mergeCell ref="A5:E5"/>
    <mergeCell ref="B6:E6"/>
  </mergeCells>
  <dataValidations count="1">
    <dataValidation type="list" allowBlank="1" showInputMessage="1" showErrorMessage="1" sqref="B6:E6">
      <formula1>Input!B6:B11</formula1>
    </dataValidation>
  </dataValidations>
  <printOptions horizontalCentered="1"/>
  <pageMargins left="0.5" right="0.5" top="0.5" bottom="0.5" header="0.3" footer="0.3"/>
  <pageSetup scale="8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37"/>
  <sheetViews>
    <sheetView zoomScaleNormal="100" workbookViewId="0">
      <pane xSplit="4" ySplit="8" topLeftCell="E30" activePane="bottomRight" state="frozen"/>
      <selection pane="topRight" activeCell="E1" sqref="E1"/>
      <selection pane="bottomLeft" activeCell="A8" sqref="A8"/>
      <selection pane="bottomRight" activeCell="J9" sqref="J9:AC22"/>
    </sheetView>
  </sheetViews>
  <sheetFormatPr defaultRowHeight="15.75"/>
  <cols>
    <col min="1" max="1" width="38.42578125" style="1" customWidth="1"/>
    <col min="2" max="4" width="12.7109375" style="1" customWidth="1"/>
    <col min="5" max="8" width="14.7109375" style="1" hidden="1" customWidth="1"/>
    <col min="9" max="9" width="14.7109375" style="1" customWidth="1"/>
    <col min="10" max="29" width="8.7109375" style="1" customWidth="1"/>
    <col min="30" max="16384" width="9.140625" style="1"/>
  </cols>
  <sheetData>
    <row r="1" spans="1:29">
      <c r="A1" s="150" t="s">
        <v>22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</row>
    <row r="3" spans="1:29">
      <c r="A3" s="2" t="s">
        <v>3</v>
      </c>
      <c r="B3" s="149">
        <f>'6Capital Costs'!B6</f>
        <v>0</v>
      </c>
      <c r="C3" s="149"/>
      <c r="D3" s="149"/>
      <c r="E3" s="149"/>
      <c r="F3" s="149"/>
      <c r="G3" s="149"/>
      <c r="H3" s="149"/>
      <c r="I3" s="149"/>
      <c r="J3" s="149"/>
      <c r="K3" s="149"/>
    </row>
    <row r="5" spans="1:29">
      <c r="A5" s="7" t="s">
        <v>42</v>
      </c>
      <c r="B5" s="7"/>
      <c r="C5" s="7"/>
      <c r="D5" s="7"/>
      <c r="E5" s="7"/>
      <c r="F5" s="7"/>
      <c r="G5" s="7"/>
      <c r="H5" s="7"/>
      <c r="I5" s="7"/>
    </row>
    <row r="7" spans="1:29">
      <c r="A7" s="14"/>
      <c r="B7" s="15"/>
      <c r="C7" s="15"/>
      <c r="D7" s="15"/>
      <c r="E7" s="32"/>
      <c r="F7" s="32"/>
      <c r="G7" s="32"/>
      <c r="H7" s="32"/>
      <c r="I7" s="32"/>
      <c r="J7" s="147" t="s">
        <v>6</v>
      </c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8"/>
    </row>
    <row r="8" spans="1:29" ht="47.25">
      <c r="A8" s="24" t="s">
        <v>4</v>
      </c>
      <c r="B8" s="17" t="s">
        <v>0</v>
      </c>
      <c r="C8" s="17" t="s">
        <v>5</v>
      </c>
      <c r="D8" s="17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54" t="s">
        <v>37</v>
      </c>
      <c r="J8" s="17">
        <v>1</v>
      </c>
      <c r="K8" s="17">
        <v>2</v>
      </c>
      <c r="L8" s="17">
        <v>3</v>
      </c>
      <c r="M8" s="17">
        <v>4</v>
      </c>
      <c r="N8" s="17">
        <v>5</v>
      </c>
      <c r="O8" s="17">
        <v>6</v>
      </c>
      <c r="P8" s="17">
        <v>7</v>
      </c>
      <c r="Q8" s="17">
        <v>8</v>
      </c>
      <c r="R8" s="17">
        <v>9</v>
      </c>
      <c r="S8" s="17">
        <v>10</v>
      </c>
      <c r="T8" s="17">
        <v>11</v>
      </c>
      <c r="U8" s="17">
        <v>12</v>
      </c>
      <c r="V8" s="17">
        <v>13</v>
      </c>
      <c r="W8" s="17">
        <v>14</v>
      </c>
      <c r="X8" s="17">
        <v>15</v>
      </c>
      <c r="Y8" s="17">
        <v>16</v>
      </c>
      <c r="Z8" s="17">
        <v>17</v>
      </c>
      <c r="AA8" s="17">
        <v>18</v>
      </c>
      <c r="AB8" s="17">
        <v>19</v>
      </c>
      <c r="AC8" s="18">
        <v>20</v>
      </c>
    </row>
    <row r="9" spans="1:29">
      <c r="A9" s="29">
        <f>'6Capital Costs'!A9</f>
        <v>0</v>
      </c>
      <c r="B9" s="44">
        <f>'6Capital Costs'!B9</f>
        <v>0</v>
      </c>
      <c r="C9" s="43">
        <f>'6Capital Costs'!C9</f>
        <v>0</v>
      </c>
      <c r="D9" s="45">
        <f>'6Capital Costs'!D9</f>
        <v>0</v>
      </c>
      <c r="E9" s="53" t="str">
        <f>IF(N9="Y", "Y", (IF(M9="Y", "Y", (IF(L9="Y", "Y", (IF(K9="Y", "Y", (IF(J9="Y", "Y", " ")))))))))</f>
        <v xml:space="preserve"> </v>
      </c>
      <c r="F9" s="53" t="str">
        <f>IF(S9="Y", "Y", (IF(R9="Y", "Y", (IF(Q9="Y", "Y", (IF(P9="Y", "Y", (IF(O9="Y", "Y", " ")))))))))</f>
        <v xml:space="preserve"> </v>
      </c>
      <c r="G9" s="53" t="str">
        <f>IF(X9="Y", "Y", (IF(W9="Y", "Y", (IF(V9="Y", "Y", (IF(U9="Y", "Y", (IF(T9="Y", "Y", " ")))))))))</f>
        <v xml:space="preserve"> </v>
      </c>
      <c r="H9" s="53" t="str">
        <f>IF(AC9="Y", "Y", (IF(AB9="Y", "Y", (IF(AA9="Y", "Y", (IF(Z9="Y", "Y", (IF(Y9="Y", "Y", " ")))))))))</f>
        <v xml:space="preserve"> </v>
      </c>
      <c r="I9" s="53" t="str">
        <f>IF(H9="Y", "Y", (IF(G9="Y", "Y", (IF(F9="Y", "Y", (IF(E9="Y", "Y", " ")))))))</f>
        <v xml:space="preserve"> </v>
      </c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8"/>
    </row>
    <row r="10" spans="1:29">
      <c r="A10" s="29">
        <f>'6Capital Costs'!A10</f>
        <v>0</v>
      </c>
      <c r="B10" s="44">
        <f>'6Capital Costs'!B10</f>
        <v>0</v>
      </c>
      <c r="C10" s="43">
        <f>'6Capital Costs'!C10</f>
        <v>0</v>
      </c>
      <c r="D10" s="45">
        <f>'6Capital Costs'!D10</f>
        <v>0</v>
      </c>
      <c r="E10" s="53" t="str">
        <f t="shared" ref="E10:E37" si="0">IF(N10="Y", "Y", (IF(M10="Y", "Y", (IF(L10="Y", "Y", (IF(K10="Y", "Y", (IF(J10="Y", "Y", " ")))))))))</f>
        <v xml:space="preserve"> </v>
      </c>
      <c r="F10" s="53" t="str">
        <f t="shared" ref="F10:F37" si="1">IF(S10="Y", "Y", (IF(R10="Y", "Y", (IF(Q10="Y", "Y", (IF(P10="Y", "Y", (IF(O10="Y", "Y", " ")))))))))</f>
        <v xml:space="preserve"> </v>
      </c>
      <c r="G10" s="53" t="str">
        <f t="shared" ref="G10:G37" si="2">IF(X10="Y", "Y", (IF(W10="Y", "Y", (IF(V10="Y", "Y", (IF(U10="Y", "Y", (IF(T10="Y", "Y", " ")))))))))</f>
        <v xml:space="preserve"> </v>
      </c>
      <c r="H10" s="53" t="str">
        <f t="shared" ref="H10:H37" si="3">IF(AC10="Y", "Y", (IF(AB10="Y", "Y", (IF(AA10="Y", "Y", (IF(Z10="Y", "Y", (IF(Y10="Y", "Y", " ")))))))))</f>
        <v xml:space="preserve"> </v>
      </c>
      <c r="I10" s="53" t="str">
        <f t="shared" ref="I10:I37" si="4">IF(H10="Y", "Y", (IF(G10="Y", "Y", (IF(F10="Y", "Y", (IF(E10="Y", "Y", " ")))))))</f>
        <v xml:space="preserve"> </v>
      </c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8"/>
    </row>
    <row r="11" spans="1:29">
      <c r="A11" s="29">
        <f>'6Capital Costs'!A11</f>
        <v>0</v>
      </c>
      <c r="B11" s="44">
        <f>'6Capital Costs'!B11</f>
        <v>0</v>
      </c>
      <c r="C11" s="43">
        <f>'6Capital Costs'!C11</f>
        <v>0</v>
      </c>
      <c r="D11" s="45">
        <f>'6Capital Costs'!D11</f>
        <v>0</v>
      </c>
      <c r="E11" s="53" t="str">
        <f t="shared" si="0"/>
        <v xml:space="preserve"> </v>
      </c>
      <c r="F11" s="53" t="str">
        <f t="shared" si="1"/>
        <v xml:space="preserve"> </v>
      </c>
      <c r="G11" s="53" t="str">
        <f t="shared" si="2"/>
        <v xml:space="preserve"> </v>
      </c>
      <c r="H11" s="53" t="str">
        <f t="shared" si="3"/>
        <v xml:space="preserve"> </v>
      </c>
      <c r="I11" s="53" t="str">
        <f t="shared" si="4"/>
        <v xml:space="preserve"> 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8"/>
    </row>
    <row r="12" spans="1:29">
      <c r="A12" s="29">
        <f>'6Capital Costs'!A12</f>
        <v>0</v>
      </c>
      <c r="B12" s="44">
        <f>'6Capital Costs'!B12</f>
        <v>0</v>
      </c>
      <c r="C12" s="43">
        <f>'6Capital Costs'!C12</f>
        <v>0</v>
      </c>
      <c r="D12" s="45">
        <f>'6Capital Costs'!D12</f>
        <v>0</v>
      </c>
      <c r="E12" s="53" t="str">
        <f t="shared" si="0"/>
        <v xml:space="preserve"> </v>
      </c>
      <c r="F12" s="53" t="str">
        <f t="shared" si="1"/>
        <v xml:space="preserve"> </v>
      </c>
      <c r="G12" s="53" t="str">
        <f t="shared" si="2"/>
        <v xml:space="preserve"> </v>
      </c>
      <c r="H12" s="53" t="str">
        <f t="shared" si="3"/>
        <v xml:space="preserve"> </v>
      </c>
      <c r="I12" s="53" t="str">
        <f t="shared" si="4"/>
        <v xml:space="preserve"> </v>
      </c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8"/>
    </row>
    <row r="13" spans="1:29">
      <c r="A13" s="29">
        <f>'6Capital Costs'!A13</f>
        <v>0</v>
      </c>
      <c r="B13" s="44">
        <f>'6Capital Costs'!B13</f>
        <v>0</v>
      </c>
      <c r="C13" s="43">
        <f>'6Capital Costs'!C13</f>
        <v>0</v>
      </c>
      <c r="D13" s="45">
        <f>'6Capital Costs'!D13</f>
        <v>0</v>
      </c>
      <c r="E13" s="53" t="str">
        <f t="shared" si="0"/>
        <v xml:space="preserve"> </v>
      </c>
      <c r="F13" s="53" t="str">
        <f t="shared" si="1"/>
        <v xml:space="preserve"> </v>
      </c>
      <c r="G13" s="53" t="str">
        <f t="shared" si="2"/>
        <v xml:space="preserve"> </v>
      </c>
      <c r="H13" s="53" t="str">
        <f t="shared" si="3"/>
        <v xml:space="preserve"> </v>
      </c>
      <c r="I13" s="53" t="str">
        <f t="shared" si="4"/>
        <v xml:space="preserve"> </v>
      </c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8"/>
    </row>
    <row r="14" spans="1:29">
      <c r="A14" s="29">
        <f>'6Capital Costs'!A14</f>
        <v>0</v>
      </c>
      <c r="B14" s="44">
        <f>'6Capital Costs'!B14</f>
        <v>0</v>
      </c>
      <c r="C14" s="43">
        <f>'6Capital Costs'!C14</f>
        <v>0</v>
      </c>
      <c r="D14" s="45">
        <f>'6Capital Costs'!D14</f>
        <v>0</v>
      </c>
      <c r="E14" s="53" t="str">
        <f t="shared" si="0"/>
        <v xml:space="preserve"> </v>
      </c>
      <c r="F14" s="53" t="str">
        <f t="shared" si="1"/>
        <v xml:space="preserve"> </v>
      </c>
      <c r="G14" s="53" t="str">
        <f t="shared" si="2"/>
        <v xml:space="preserve"> </v>
      </c>
      <c r="H14" s="53" t="str">
        <f t="shared" si="3"/>
        <v xml:space="preserve"> </v>
      </c>
      <c r="I14" s="53" t="str">
        <f t="shared" si="4"/>
        <v xml:space="preserve"> </v>
      </c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8"/>
    </row>
    <row r="15" spans="1:29">
      <c r="A15" s="29">
        <f>'6Capital Costs'!A15</f>
        <v>0</v>
      </c>
      <c r="B15" s="44">
        <f>'6Capital Costs'!B15</f>
        <v>0</v>
      </c>
      <c r="C15" s="43">
        <f>'6Capital Costs'!C15</f>
        <v>0</v>
      </c>
      <c r="D15" s="45">
        <f>'6Capital Costs'!D15</f>
        <v>0</v>
      </c>
      <c r="E15" s="53" t="str">
        <f t="shared" si="0"/>
        <v xml:space="preserve"> </v>
      </c>
      <c r="F15" s="53" t="str">
        <f t="shared" si="1"/>
        <v xml:space="preserve"> </v>
      </c>
      <c r="G15" s="53" t="str">
        <f t="shared" si="2"/>
        <v xml:space="preserve"> </v>
      </c>
      <c r="H15" s="53" t="str">
        <f t="shared" si="3"/>
        <v xml:space="preserve"> </v>
      </c>
      <c r="I15" s="53" t="str">
        <f t="shared" si="4"/>
        <v xml:space="preserve"> 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8"/>
    </row>
    <row r="16" spans="1:29">
      <c r="A16" s="29">
        <f>'6Capital Costs'!A16</f>
        <v>0</v>
      </c>
      <c r="B16" s="44">
        <f>'6Capital Costs'!B16</f>
        <v>0</v>
      </c>
      <c r="C16" s="43">
        <f>'6Capital Costs'!C16</f>
        <v>0</v>
      </c>
      <c r="D16" s="45">
        <f>'6Capital Costs'!D16</f>
        <v>0</v>
      </c>
      <c r="E16" s="53" t="str">
        <f t="shared" si="0"/>
        <v xml:space="preserve"> </v>
      </c>
      <c r="F16" s="53" t="str">
        <f t="shared" si="1"/>
        <v xml:space="preserve"> </v>
      </c>
      <c r="G16" s="53" t="str">
        <f t="shared" si="2"/>
        <v xml:space="preserve"> </v>
      </c>
      <c r="H16" s="53" t="str">
        <f t="shared" si="3"/>
        <v xml:space="preserve"> </v>
      </c>
      <c r="I16" s="53" t="str">
        <f t="shared" si="4"/>
        <v xml:space="preserve"> </v>
      </c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8"/>
    </row>
    <row r="17" spans="1:29">
      <c r="A17" s="29">
        <f>'6Capital Costs'!A17</f>
        <v>0</v>
      </c>
      <c r="B17" s="44">
        <f>'6Capital Costs'!B17</f>
        <v>0</v>
      </c>
      <c r="C17" s="43">
        <f>'6Capital Costs'!C17</f>
        <v>0</v>
      </c>
      <c r="D17" s="45">
        <f>'6Capital Costs'!D17</f>
        <v>0</v>
      </c>
      <c r="E17" s="53" t="str">
        <f t="shared" si="0"/>
        <v xml:space="preserve"> </v>
      </c>
      <c r="F17" s="53" t="str">
        <f t="shared" si="1"/>
        <v xml:space="preserve"> </v>
      </c>
      <c r="G17" s="53" t="str">
        <f t="shared" si="2"/>
        <v xml:space="preserve"> </v>
      </c>
      <c r="H17" s="53" t="str">
        <f t="shared" si="3"/>
        <v xml:space="preserve"> </v>
      </c>
      <c r="I17" s="53" t="str">
        <f t="shared" si="4"/>
        <v xml:space="preserve"> 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8"/>
    </row>
    <row r="18" spans="1:29">
      <c r="A18" s="29">
        <f>'6Capital Costs'!A18</f>
        <v>0</v>
      </c>
      <c r="B18" s="44">
        <f>'6Capital Costs'!B18</f>
        <v>0</v>
      </c>
      <c r="C18" s="43">
        <f>'6Capital Costs'!C18</f>
        <v>0</v>
      </c>
      <c r="D18" s="45">
        <f>'6Capital Costs'!D18</f>
        <v>0</v>
      </c>
      <c r="E18" s="53" t="str">
        <f t="shared" si="0"/>
        <v xml:space="preserve"> </v>
      </c>
      <c r="F18" s="53" t="str">
        <f t="shared" si="1"/>
        <v xml:space="preserve"> </v>
      </c>
      <c r="G18" s="53" t="str">
        <f t="shared" si="2"/>
        <v xml:space="preserve"> </v>
      </c>
      <c r="H18" s="53" t="str">
        <f t="shared" si="3"/>
        <v xml:space="preserve"> </v>
      </c>
      <c r="I18" s="53" t="str">
        <f t="shared" si="4"/>
        <v xml:space="preserve"> </v>
      </c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8"/>
    </row>
    <row r="19" spans="1:29">
      <c r="A19" s="29">
        <f>'6Capital Costs'!A19</f>
        <v>0</v>
      </c>
      <c r="B19" s="44">
        <f>'6Capital Costs'!B19</f>
        <v>0</v>
      </c>
      <c r="C19" s="43">
        <f>'6Capital Costs'!C19</f>
        <v>0</v>
      </c>
      <c r="D19" s="45">
        <f>'6Capital Costs'!D19</f>
        <v>0</v>
      </c>
      <c r="E19" s="53" t="str">
        <f t="shared" si="0"/>
        <v xml:space="preserve"> </v>
      </c>
      <c r="F19" s="53" t="str">
        <f t="shared" si="1"/>
        <v xml:space="preserve"> </v>
      </c>
      <c r="G19" s="53" t="str">
        <f t="shared" si="2"/>
        <v xml:space="preserve"> </v>
      </c>
      <c r="H19" s="53" t="str">
        <f t="shared" si="3"/>
        <v xml:space="preserve"> </v>
      </c>
      <c r="I19" s="53" t="str">
        <f t="shared" si="4"/>
        <v xml:space="preserve"> </v>
      </c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8"/>
    </row>
    <row r="20" spans="1:29">
      <c r="A20" s="29">
        <f>'6Capital Costs'!A20</f>
        <v>0</v>
      </c>
      <c r="B20" s="44">
        <f>'6Capital Costs'!B20</f>
        <v>0</v>
      </c>
      <c r="C20" s="43">
        <f>'6Capital Costs'!C20</f>
        <v>0</v>
      </c>
      <c r="D20" s="45">
        <f>'6Capital Costs'!D20</f>
        <v>0</v>
      </c>
      <c r="E20" s="53" t="str">
        <f t="shared" si="0"/>
        <v xml:space="preserve"> </v>
      </c>
      <c r="F20" s="53" t="str">
        <f t="shared" si="1"/>
        <v xml:space="preserve"> </v>
      </c>
      <c r="G20" s="53" t="str">
        <f t="shared" si="2"/>
        <v xml:space="preserve"> </v>
      </c>
      <c r="H20" s="53" t="str">
        <f t="shared" si="3"/>
        <v xml:space="preserve"> </v>
      </c>
      <c r="I20" s="53" t="str">
        <f t="shared" si="4"/>
        <v xml:space="preserve"> </v>
      </c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8"/>
    </row>
    <row r="21" spans="1:29">
      <c r="A21" s="29">
        <f>'6Capital Costs'!A21</f>
        <v>0</v>
      </c>
      <c r="B21" s="44">
        <f>'6Capital Costs'!B21</f>
        <v>0</v>
      </c>
      <c r="C21" s="43">
        <f>'6Capital Costs'!C21</f>
        <v>0</v>
      </c>
      <c r="D21" s="45">
        <f>'6Capital Costs'!D21</f>
        <v>0</v>
      </c>
      <c r="E21" s="53" t="str">
        <f t="shared" si="0"/>
        <v xml:space="preserve"> </v>
      </c>
      <c r="F21" s="53" t="str">
        <f t="shared" si="1"/>
        <v xml:space="preserve"> </v>
      </c>
      <c r="G21" s="53" t="str">
        <f t="shared" si="2"/>
        <v xml:space="preserve"> </v>
      </c>
      <c r="H21" s="53" t="str">
        <f t="shared" si="3"/>
        <v xml:space="preserve"> </v>
      </c>
      <c r="I21" s="53" t="str">
        <f t="shared" si="4"/>
        <v xml:space="preserve"> 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8"/>
    </row>
    <row r="22" spans="1:29">
      <c r="A22" s="29">
        <f>'6Capital Costs'!A22</f>
        <v>0</v>
      </c>
      <c r="B22" s="44">
        <f>'6Capital Costs'!B22</f>
        <v>0</v>
      </c>
      <c r="C22" s="43">
        <f>'6Capital Costs'!C22</f>
        <v>0</v>
      </c>
      <c r="D22" s="45">
        <f>'6Capital Costs'!D22</f>
        <v>0</v>
      </c>
      <c r="E22" s="53" t="str">
        <f t="shared" si="0"/>
        <v xml:space="preserve"> </v>
      </c>
      <c r="F22" s="53" t="str">
        <f t="shared" si="1"/>
        <v xml:space="preserve"> </v>
      </c>
      <c r="G22" s="53" t="str">
        <f t="shared" si="2"/>
        <v xml:space="preserve"> </v>
      </c>
      <c r="H22" s="53" t="str">
        <f t="shared" si="3"/>
        <v xml:space="preserve"> </v>
      </c>
      <c r="I22" s="53" t="str">
        <f t="shared" si="4"/>
        <v xml:space="preserve"> </v>
      </c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8"/>
    </row>
    <row r="23" spans="1:29">
      <c r="A23" s="29">
        <f>'6Capital Costs'!A23</f>
        <v>0</v>
      </c>
      <c r="B23" s="44">
        <f>'6Capital Costs'!B23</f>
        <v>0</v>
      </c>
      <c r="C23" s="43">
        <f>'6Capital Costs'!C23</f>
        <v>0</v>
      </c>
      <c r="D23" s="45">
        <f>'6Capital Costs'!D23</f>
        <v>0</v>
      </c>
      <c r="E23" s="53" t="str">
        <f t="shared" si="0"/>
        <v xml:space="preserve"> </v>
      </c>
      <c r="F23" s="53" t="str">
        <f t="shared" si="1"/>
        <v xml:space="preserve"> </v>
      </c>
      <c r="G23" s="53" t="str">
        <f t="shared" si="2"/>
        <v xml:space="preserve"> </v>
      </c>
      <c r="H23" s="53" t="str">
        <f t="shared" si="3"/>
        <v xml:space="preserve"> </v>
      </c>
      <c r="I23" s="53" t="str">
        <f t="shared" si="4"/>
        <v xml:space="preserve"> </v>
      </c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8"/>
    </row>
    <row r="24" spans="1:29">
      <c r="A24" s="29">
        <f>'6Capital Costs'!A24</f>
        <v>0</v>
      </c>
      <c r="B24" s="44">
        <f>'6Capital Costs'!B24</f>
        <v>0</v>
      </c>
      <c r="C24" s="43">
        <f>'6Capital Costs'!C24</f>
        <v>0</v>
      </c>
      <c r="D24" s="45">
        <f>'6Capital Costs'!D24</f>
        <v>0</v>
      </c>
      <c r="E24" s="53" t="str">
        <f t="shared" si="0"/>
        <v xml:space="preserve"> </v>
      </c>
      <c r="F24" s="53" t="str">
        <f t="shared" si="1"/>
        <v xml:space="preserve"> </v>
      </c>
      <c r="G24" s="53" t="str">
        <f t="shared" si="2"/>
        <v xml:space="preserve"> </v>
      </c>
      <c r="H24" s="53" t="str">
        <f t="shared" si="3"/>
        <v xml:space="preserve"> </v>
      </c>
      <c r="I24" s="53" t="str">
        <f t="shared" si="4"/>
        <v xml:space="preserve"> 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8"/>
    </row>
    <row r="25" spans="1:29">
      <c r="A25" s="29">
        <f>'6Capital Costs'!A25</f>
        <v>0</v>
      </c>
      <c r="B25" s="44">
        <f>'6Capital Costs'!B25</f>
        <v>0</v>
      </c>
      <c r="C25" s="43">
        <f>'6Capital Costs'!C25</f>
        <v>0</v>
      </c>
      <c r="D25" s="45">
        <f>'6Capital Costs'!D25</f>
        <v>0</v>
      </c>
      <c r="E25" s="53" t="str">
        <f t="shared" si="0"/>
        <v xml:space="preserve"> </v>
      </c>
      <c r="F25" s="53" t="str">
        <f t="shared" si="1"/>
        <v xml:space="preserve"> </v>
      </c>
      <c r="G25" s="53" t="str">
        <f t="shared" si="2"/>
        <v xml:space="preserve"> </v>
      </c>
      <c r="H25" s="53" t="str">
        <f t="shared" si="3"/>
        <v xml:space="preserve"> </v>
      </c>
      <c r="I25" s="53" t="str">
        <f t="shared" si="4"/>
        <v xml:space="preserve"> </v>
      </c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8"/>
    </row>
    <row r="26" spans="1:29">
      <c r="A26" s="29">
        <f>'6Capital Costs'!A26</f>
        <v>0</v>
      </c>
      <c r="B26" s="44">
        <f>'6Capital Costs'!B26</f>
        <v>0</v>
      </c>
      <c r="C26" s="43">
        <f>'6Capital Costs'!C26</f>
        <v>0</v>
      </c>
      <c r="D26" s="45">
        <f>'6Capital Costs'!D26</f>
        <v>0</v>
      </c>
      <c r="E26" s="53" t="str">
        <f t="shared" si="0"/>
        <v xml:space="preserve"> </v>
      </c>
      <c r="F26" s="53" t="str">
        <f t="shared" si="1"/>
        <v xml:space="preserve"> </v>
      </c>
      <c r="G26" s="53" t="str">
        <f t="shared" si="2"/>
        <v xml:space="preserve"> </v>
      </c>
      <c r="H26" s="53" t="str">
        <f t="shared" si="3"/>
        <v xml:space="preserve"> </v>
      </c>
      <c r="I26" s="53" t="str">
        <f t="shared" si="4"/>
        <v xml:space="preserve"> 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8"/>
    </row>
    <row r="27" spans="1:29">
      <c r="A27" s="29">
        <f>'6Capital Costs'!A27</f>
        <v>0</v>
      </c>
      <c r="B27" s="44">
        <f>'6Capital Costs'!B27</f>
        <v>0</v>
      </c>
      <c r="C27" s="43">
        <f>'6Capital Costs'!C27</f>
        <v>0</v>
      </c>
      <c r="D27" s="45">
        <f>'6Capital Costs'!D27</f>
        <v>0</v>
      </c>
      <c r="E27" s="53" t="str">
        <f t="shared" si="0"/>
        <v xml:space="preserve"> </v>
      </c>
      <c r="F27" s="53" t="str">
        <f t="shared" si="1"/>
        <v xml:space="preserve"> </v>
      </c>
      <c r="G27" s="53" t="str">
        <f t="shared" si="2"/>
        <v xml:space="preserve"> </v>
      </c>
      <c r="H27" s="53" t="str">
        <f t="shared" si="3"/>
        <v xml:space="preserve"> </v>
      </c>
      <c r="I27" s="53" t="str">
        <f t="shared" si="4"/>
        <v xml:space="preserve"> </v>
      </c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8"/>
    </row>
    <row r="28" spans="1:29">
      <c r="A28" s="29">
        <f>'6Capital Costs'!A28</f>
        <v>0</v>
      </c>
      <c r="B28" s="44">
        <f>'6Capital Costs'!B28</f>
        <v>0</v>
      </c>
      <c r="C28" s="43">
        <f>'6Capital Costs'!C28</f>
        <v>0</v>
      </c>
      <c r="D28" s="45">
        <f>'6Capital Costs'!D28</f>
        <v>0</v>
      </c>
      <c r="E28" s="53" t="str">
        <f t="shared" si="0"/>
        <v xml:space="preserve"> </v>
      </c>
      <c r="F28" s="53" t="str">
        <f t="shared" si="1"/>
        <v xml:space="preserve"> </v>
      </c>
      <c r="G28" s="53" t="str">
        <f t="shared" si="2"/>
        <v xml:space="preserve"> </v>
      </c>
      <c r="H28" s="53" t="str">
        <f t="shared" si="3"/>
        <v xml:space="preserve"> </v>
      </c>
      <c r="I28" s="53" t="str">
        <f t="shared" si="4"/>
        <v xml:space="preserve"> </v>
      </c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8"/>
    </row>
    <row r="29" spans="1:29">
      <c r="A29" s="29">
        <f>'6Capital Costs'!A29</f>
        <v>0</v>
      </c>
      <c r="B29" s="44">
        <f>'6Capital Costs'!B29</f>
        <v>0</v>
      </c>
      <c r="C29" s="43">
        <f>'6Capital Costs'!C29</f>
        <v>0</v>
      </c>
      <c r="D29" s="45">
        <f>'6Capital Costs'!D29</f>
        <v>0</v>
      </c>
      <c r="E29" s="53" t="str">
        <f t="shared" si="0"/>
        <v xml:space="preserve"> </v>
      </c>
      <c r="F29" s="53" t="str">
        <f t="shared" si="1"/>
        <v xml:space="preserve"> </v>
      </c>
      <c r="G29" s="53" t="str">
        <f t="shared" si="2"/>
        <v xml:space="preserve"> </v>
      </c>
      <c r="H29" s="53" t="str">
        <f t="shared" si="3"/>
        <v xml:space="preserve"> </v>
      </c>
      <c r="I29" s="53" t="str">
        <f t="shared" si="4"/>
        <v xml:space="preserve"> </v>
      </c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8"/>
    </row>
    <row r="30" spans="1:29">
      <c r="A30" s="29">
        <f>'6Capital Costs'!A30</f>
        <v>0</v>
      </c>
      <c r="B30" s="44">
        <f>'6Capital Costs'!B30</f>
        <v>0</v>
      </c>
      <c r="C30" s="43">
        <f>'6Capital Costs'!C30</f>
        <v>0</v>
      </c>
      <c r="D30" s="45">
        <f>'6Capital Costs'!D30</f>
        <v>0</v>
      </c>
      <c r="E30" s="53" t="str">
        <f t="shared" si="0"/>
        <v xml:space="preserve"> </v>
      </c>
      <c r="F30" s="53" t="str">
        <f t="shared" si="1"/>
        <v xml:space="preserve"> </v>
      </c>
      <c r="G30" s="53" t="str">
        <f t="shared" si="2"/>
        <v xml:space="preserve"> </v>
      </c>
      <c r="H30" s="53" t="str">
        <f t="shared" si="3"/>
        <v xml:space="preserve"> </v>
      </c>
      <c r="I30" s="53" t="str">
        <f t="shared" si="4"/>
        <v xml:space="preserve"> </v>
      </c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8"/>
    </row>
    <row r="31" spans="1:29">
      <c r="A31" s="29">
        <f>'6Capital Costs'!A31</f>
        <v>0</v>
      </c>
      <c r="B31" s="44">
        <f>'6Capital Costs'!B31</f>
        <v>0</v>
      </c>
      <c r="C31" s="43">
        <f>'6Capital Costs'!C31</f>
        <v>0</v>
      </c>
      <c r="D31" s="45">
        <f>'6Capital Costs'!D31</f>
        <v>0</v>
      </c>
      <c r="E31" s="53" t="str">
        <f t="shared" si="0"/>
        <v xml:space="preserve"> </v>
      </c>
      <c r="F31" s="53" t="str">
        <f t="shared" si="1"/>
        <v xml:space="preserve"> </v>
      </c>
      <c r="G31" s="53" t="str">
        <f t="shared" si="2"/>
        <v xml:space="preserve"> </v>
      </c>
      <c r="H31" s="53" t="str">
        <f t="shared" si="3"/>
        <v xml:space="preserve"> </v>
      </c>
      <c r="I31" s="53" t="str">
        <f t="shared" si="4"/>
        <v xml:space="preserve"> </v>
      </c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8"/>
    </row>
    <row r="32" spans="1:29">
      <c r="A32" s="29">
        <f>'6Capital Costs'!A32</f>
        <v>0</v>
      </c>
      <c r="B32" s="44">
        <f>'6Capital Costs'!B32</f>
        <v>0</v>
      </c>
      <c r="C32" s="43">
        <f>'6Capital Costs'!C32</f>
        <v>0</v>
      </c>
      <c r="D32" s="45">
        <f>'6Capital Costs'!D32</f>
        <v>0</v>
      </c>
      <c r="E32" s="53" t="str">
        <f t="shared" si="0"/>
        <v xml:space="preserve"> </v>
      </c>
      <c r="F32" s="53" t="str">
        <f t="shared" si="1"/>
        <v xml:space="preserve"> </v>
      </c>
      <c r="G32" s="53" t="str">
        <f t="shared" si="2"/>
        <v xml:space="preserve"> </v>
      </c>
      <c r="H32" s="53" t="str">
        <f t="shared" si="3"/>
        <v xml:space="preserve"> </v>
      </c>
      <c r="I32" s="53" t="str">
        <f t="shared" si="4"/>
        <v xml:space="preserve"> </v>
      </c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8"/>
    </row>
    <row r="33" spans="1:29">
      <c r="A33" s="29">
        <f>'6Capital Costs'!A33</f>
        <v>0</v>
      </c>
      <c r="B33" s="44">
        <f>'6Capital Costs'!B33</f>
        <v>0</v>
      </c>
      <c r="C33" s="43">
        <f>'6Capital Costs'!C33</f>
        <v>0</v>
      </c>
      <c r="D33" s="45">
        <f>'6Capital Costs'!D33</f>
        <v>0</v>
      </c>
      <c r="E33" s="53" t="str">
        <f t="shared" si="0"/>
        <v xml:space="preserve"> </v>
      </c>
      <c r="F33" s="53" t="str">
        <f t="shared" si="1"/>
        <v xml:space="preserve"> </v>
      </c>
      <c r="G33" s="53" t="str">
        <f t="shared" si="2"/>
        <v xml:space="preserve"> </v>
      </c>
      <c r="H33" s="53" t="str">
        <f t="shared" si="3"/>
        <v xml:space="preserve"> </v>
      </c>
      <c r="I33" s="53" t="str">
        <f t="shared" si="4"/>
        <v xml:space="preserve"> </v>
      </c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8"/>
    </row>
    <row r="34" spans="1:29">
      <c r="A34" s="29">
        <f>'6Capital Costs'!A34</f>
        <v>0</v>
      </c>
      <c r="B34" s="44">
        <f>'6Capital Costs'!B34</f>
        <v>0</v>
      </c>
      <c r="C34" s="43">
        <f>'6Capital Costs'!C34</f>
        <v>0</v>
      </c>
      <c r="D34" s="45">
        <f>'6Capital Costs'!D34</f>
        <v>0</v>
      </c>
      <c r="E34" s="53" t="str">
        <f t="shared" si="0"/>
        <v xml:space="preserve"> </v>
      </c>
      <c r="F34" s="53" t="str">
        <f t="shared" si="1"/>
        <v xml:space="preserve"> </v>
      </c>
      <c r="G34" s="53" t="str">
        <f t="shared" si="2"/>
        <v xml:space="preserve"> </v>
      </c>
      <c r="H34" s="53" t="str">
        <f t="shared" si="3"/>
        <v xml:space="preserve"> </v>
      </c>
      <c r="I34" s="53" t="str">
        <f t="shared" si="4"/>
        <v xml:space="preserve"> </v>
      </c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8"/>
    </row>
    <row r="35" spans="1:29">
      <c r="A35" s="29">
        <f>'6Capital Costs'!A35</f>
        <v>0</v>
      </c>
      <c r="B35" s="44">
        <f>'6Capital Costs'!B35</f>
        <v>0</v>
      </c>
      <c r="C35" s="43">
        <f>'6Capital Costs'!C35</f>
        <v>0</v>
      </c>
      <c r="D35" s="45">
        <f>'6Capital Costs'!D35</f>
        <v>0</v>
      </c>
      <c r="E35" s="53" t="str">
        <f t="shared" si="0"/>
        <v xml:space="preserve"> </v>
      </c>
      <c r="F35" s="53" t="str">
        <f t="shared" si="1"/>
        <v xml:space="preserve"> </v>
      </c>
      <c r="G35" s="53" t="str">
        <f t="shared" si="2"/>
        <v xml:space="preserve"> </v>
      </c>
      <c r="H35" s="53" t="str">
        <f t="shared" si="3"/>
        <v xml:space="preserve"> </v>
      </c>
      <c r="I35" s="53" t="str">
        <f t="shared" si="4"/>
        <v xml:space="preserve"> </v>
      </c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8"/>
    </row>
    <row r="36" spans="1:29">
      <c r="A36" s="29">
        <f>'6Capital Costs'!A36</f>
        <v>0</v>
      </c>
      <c r="B36" s="44">
        <f>'6Capital Costs'!B36</f>
        <v>0</v>
      </c>
      <c r="C36" s="43">
        <f>'6Capital Costs'!C36</f>
        <v>0</v>
      </c>
      <c r="D36" s="45">
        <f>'6Capital Costs'!D36</f>
        <v>0</v>
      </c>
      <c r="E36" s="53" t="str">
        <f t="shared" si="0"/>
        <v xml:space="preserve"> </v>
      </c>
      <c r="F36" s="53" t="str">
        <f t="shared" si="1"/>
        <v xml:space="preserve"> </v>
      </c>
      <c r="G36" s="53" t="str">
        <f t="shared" si="2"/>
        <v xml:space="preserve"> </v>
      </c>
      <c r="H36" s="53" t="str">
        <f t="shared" si="3"/>
        <v xml:space="preserve"> </v>
      </c>
      <c r="I36" s="53" t="str">
        <f t="shared" si="4"/>
        <v xml:space="preserve"> </v>
      </c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8"/>
    </row>
    <row r="37" spans="1:29">
      <c r="A37" s="29">
        <f>'6Capital Costs'!A37</f>
        <v>0</v>
      </c>
      <c r="B37" s="44">
        <f>'6Capital Costs'!B37</f>
        <v>0</v>
      </c>
      <c r="C37" s="43">
        <f>'6Capital Costs'!C37</f>
        <v>0</v>
      </c>
      <c r="D37" s="45">
        <f>'6Capital Costs'!D37</f>
        <v>0</v>
      </c>
      <c r="E37" s="53" t="str">
        <f t="shared" si="0"/>
        <v xml:space="preserve"> </v>
      </c>
      <c r="F37" s="53" t="str">
        <f t="shared" si="1"/>
        <v xml:space="preserve"> </v>
      </c>
      <c r="G37" s="53" t="str">
        <f t="shared" si="2"/>
        <v xml:space="preserve"> </v>
      </c>
      <c r="H37" s="53" t="str">
        <f t="shared" si="3"/>
        <v xml:space="preserve"> </v>
      </c>
      <c r="I37" s="53" t="str">
        <f t="shared" si="4"/>
        <v xml:space="preserve"> 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8"/>
    </row>
  </sheetData>
  <sheetProtection sheet="1" objects="1" scenarios="1"/>
  <mergeCells count="3">
    <mergeCell ref="A1:AC1"/>
    <mergeCell ref="B3:K3"/>
    <mergeCell ref="J7:AC7"/>
  </mergeCells>
  <dataValidations count="1">
    <dataValidation type="list" allowBlank="1" showInputMessage="1" showErrorMessage="1" sqref="B3:K3">
      <formula1>Input!B6:B11</formula1>
    </dataValidation>
  </dataValidations>
  <pageMargins left="0.7" right="0.7" top="0.75" bottom="0.75" header="0.3" footer="0.3"/>
  <pageSetup scale="76" fitToWidth="4" orientation="landscape" r:id="rId1"/>
  <headerFooter>
    <oddHeader>&amp;C&amp;D
&amp;F</oddHeader>
    <oddFooter>&amp;L&amp;A&amp;RPage &amp;P of 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184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'6Capital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'Replace Costs - Results 1-5'!A5</f>
        <v>Current Inflation Rate based on Construction Cost Index:</v>
      </c>
      <c r="B5" s="69">
        <f>'Replace Costs - Results 1-5'!B5</f>
        <v>2.0671834625323047E-2</v>
      </c>
      <c r="C5" s="67"/>
      <c r="D5" s="67"/>
      <c r="E5" s="70" t="s">
        <v>43</v>
      </c>
      <c r="F5" s="72">
        <f>'Replace Costs - Results 1-5'!F5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</v>
      </c>
      <c r="F7" s="26">
        <v>2</v>
      </c>
      <c r="G7" s="26">
        <v>3</v>
      </c>
      <c r="H7" s="26">
        <v>4</v>
      </c>
      <c r="I7" s="26">
        <v>5</v>
      </c>
    </row>
    <row r="8" spans="1:9">
      <c r="A8" s="29" t="str">
        <f>IF('5Capital Costs'!A9&lt;&gt;"", '5Capital Costs'!A9, "")</f>
        <v/>
      </c>
      <c r="B8" s="3" t="str">
        <f>IF('5Capital Costs'!B9&lt;&gt;"", '5Capital Costs'!B9, "")</f>
        <v/>
      </c>
      <c r="C8" s="46" t="str">
        <f>IF('5Capital Costs'!C9&lt;&gt;"", '5Capital Costs'!C9, "")</f>
        <v/>
      </c>
      <c r="D8" s="47" t="str">
        <f>IF('5Capital Costs'!D9&lt;&gt;"", '5Capital Costs'!D9, "")</f>
        <v/>
      </c>
      <c r="E8" s="27" t="str">
        <f>IF($A8&lt;&gt;"", (IF('6Replacement Costs - Entry'!J9="Y",((($B8*$D8)*((1+$B$5)^E$7))*(1/((1+$F$5)^E$7))),0)), "")</f>
        <v/>
      </c>
      <c r="F8" s="27" t="str">
        <f>IF($A8&lt;&gt;"", (IF('6Replacement Costs - Entry'!K9="Y",((($B8*$D8)*((1+$B$5)^F$7))*(1/((1+$F$5)^F$7))),0)), "")</f>
        <v/>
      </c>
      <c r="G8" s="27" t="str">
        <f>IF($A8&lt;&gt;"", (IF('6Replacement Costs - Entry'!L9="Y",((($B8*$D8)*((1+$B$5)^G$7))*(1/((1+$F$5)^G$7))),0)), "")</f>
        <v/>
      </c>
      <c r="H8" s="27" t="str">
        <f>IF($A8&lt;&gt;"", (IF('6Replacement Costs - Entry'!M9="Y",((($B8*$D8)*((1+$B$5)^H$7))*(1/((1+$F$5)^H$7))),0)), "")</f>
        <v/>
      </c>
      <c r="I8" s="27" t="str">
        <f>IF($A8&lt;&gt;"", (IF('6Replacement Costs - Entry'!N9="Y",((($B8*$D8)*((1+$B$5)^I$7))*(1/((1+$F$5)^I$7))),0)), "")</f>
        <v/>
      </c>
    </row>
    <row r="9" spans="1:9">
      <c r="A9" s="29" t="str">
        <f>IF('5Capital Costs'!A10&lt;&gt;"", '5Capital Costs'!A10, "")</f>
        <v/>
      </c>
      <c r="B9" s="3" t="str">
        <f>IF('5Capital Costs'!B10&lt;&gt;"", '5Capital Costs'!B10, "")</f>
        <v/>
      </c>
      <c r="C9" s="46" t="str">
        <f>IF('5Capital Costs'!C10&lt;&gt;"", '5Capital Costs'!C10, "")</f>
        <v/>
      </c>
      <c r="D9" s="47" t="str">
        <f>IF('5Capital Costs'!D10&lt;&gt;"", '5Capital Costs'!D10, "")</f>
        <v/>
      </c>
      <c r="E9" s="27" t="str">
        <f>IF($A9&lt;&gt;"", (IF('6Replacement Costs - Entry'!J10="Y",((($B9*$D9)*((1+$B$5)^E$7))*(1/((1+$F$5)^E$7))),0)), "")</f>
        <v/>
      </c>
      <c r="F9" s="27" t="str">
        <f>IF($A9&lt;&gt;"", (IF('6Replacement Costs - Entry'!K10="Y",((($B9*$D9)*((1+$B$5)^F$7))*(1/((1+$F$5)^F$7))),0)), "")</f>
        <v/>
      </c>
      <c r="G9" s="27" t="str">
        <f>IF($A9&lt;&gt;"", (IF('6Replacement Costs - Entry'!L10="Y",((($B9*$D9)*((1+$B$5)^G$7))*(1/((1+$F$5)^G$7))),0)), "")</f>
        <v/>
      </c>
      <c r="H9" s="27" t="str">
        <f>IF($A9&lt;&gt;"", (IF('6Replacement Costs - Entry'!M10="Y",((($B9*$D9)*((1+$B$5)^H$7))*(1/((1+$F$5)^H$7))),0)), "")</f>
        <v/>
      </c>
      <c r="I9" s="27" t="str">
        <f>IF($A9&lt;&gt;"", (IF('6Replacement Costs - Entry'!N10="Y",((($B9*$D9)*((1+$B$5)^I$7))*(1/((1+$F$5)^I$7))),0)), "")</f>
        <v/>
      </c>
    </row>
    <row r="10" spans="1:9">
      <c r="A10" s="29" t="str">
        <f>IF('5Capital Costs'!A11&lt;&gt;"", '5Capital Costs'!A11, "")</f>
        <v/>
      </c>
      <c r="B10" s="3" t="str">
        <f>IF('5Capital Costs'!B11&lt;&gt;"", '5Capital Costs'!B11, "")</f>
        <v/>
      </c>
      <c r="C10" s="46" t="str">
        <f>IF('5Capital Costs'!C11&lt;&gt;"", '5Capital Costs'!C11, "")</f>
        <v/>
      </c>
      <c r="D10" s="47" t="str">
        <f>IF('5Capital Costs'!D11&lt;&gt;"", '5Capital Costs'!D11, "")</f>
        <v/>
      </c>
      <c r="E10" s="27" t="str">
        <f>IF($A10&lt;&gt;"", (IF('6Replacement Costs - Entry'!J11="Y",((($B10*$D10)*((1+$B$5)^E$7))*(1/((1+$F$5)^E$7))),0)), "")</f>
        <v/>
      </c>
      <c r="F10" s="27" t="str">
        <f>IF($A10&lt;&gt;"", (IF('6Replacement Costs - Entry'!K11="Y",((($B10*$D10)*((1+$B$5)^F$7))*(1/((1+$F$5)^F$7))),0)), "")</f>
        <v/>
      </c>
      <c r="G10" s="27" t="str">
        <f>IF($A10&lt;&gt;"", (IF('6Replacement Costs - Entry'!L11="Y",((($B10*$D10)*((1+$B$5)^G$7))*(1/((1+$F$5)^G$7))),0)), "")</f>
        <v/>
      </c>
      <c r="H10" s="27" t="str">
        <f>IF($A10&lt;&gt;"", (IF('6Replacement Costs - Entry'!M11="Y",((($B10*$D10)*((1+$B$5)^H$7))*(1/((1+$F$5)^H$7))),0)), "")</f>
        <v/>
      </c>
      <c r="I10" s="27" t="str">
        <f>IF($A10&lt;&gt;"", (IF('6Replacement Costs - Entry'!N11="Y",((($B10*$D10)*((1+$B$5)^I$7))*(1/((1+$F$5)^I$7))),0)), "")</f>
        <v/>
      </c>
    </row>
    <row r="11" spans="1:9">
      <c r="A11" s="29" t="str">
        <f>IF('5Capital Costs'!A12&lt;&gt;"", '5Capital Costs'!A12, "")</f>
        <v/>
      </c>
      <c r="B11" s="3" t="str">
        <f>IF('5Capital Costs'!B12&lt;&gt;"", '5Capital Costs'!B12, "")</f>
        <v/>
      </c>
      <c r="C11" s="46" t="str">
        <f>IF('5Capital Costs'!C12&lt;&gt;"", '5Capital Costs'!C12, "")</f>
        <v/>
      </c>
      <c r="D11" s="47" t="str">
        <f>IF('5Capital Costs'!D12&lt;&gt;"", '5Capital Costs'!D12, "")</f>
        <v/>
      </c>
      <c r="E11" s="27" t="str">
        <f>IF($A11&lt;&gt;"", (IF('6Replacement Costs - Entry'!J12="Y",((($B11*$D11)*((1+$B$5)^E$7))*(1/((1+$F$5)^E$7))),0)), "")</f>
        <v/>
      </c>
      <c r="F11" s="27" t="str">
        <f>IF($A11&lt;&gt;"", (IF('6Replacement Costs - Entry'!K12="Y",((($B11*$D11)*((1+$B$5)^F$7))*(1/((1+$F$5)^F$7))),0)), "")</f>
        <v/>
      </c>
      <c r="G11" s="27" t="str">
        <f>IF($A11&lt;&gt;"", (IF('6Replacement Costs - Entry'!L12="Y",((($B11*$D11)*((1+$B$5)^G$7))*(1/((1+$F$5)^G$7))),0)), "")</f>
        <v/>
      </c>
      <c r="H11" s="27" t="str">
        <f>IF($A11&lt;&gt;"", (IF('6Replacement Costs - Entry'!M12="Y",((($B11*$D11)*((1+$B$5)^H$7))*(1/((1+$F$5)^H$7))),0)), "")</f>
        <v/>
      </c>
      <c r="I11" s="27" t="str">
        <f>IF($A11&lt;&gt;"", (IF('6Replacement Costs - Entry'!N12="Y",((($B11*$D11)*((1+$B$5)^I$7))*(1/((1+$F$5)^I$7))),0)), "")</f>
        <v/>
      </c>
    </row>
    <row r="12" spans="1:9">
      <c r="A12" s="29" t="str">
        <f>IF('5Capital Costs'!A13&lt;&gt;"", '5Capital Costs'!A13, "")</f>
        <v/>
      </c>
      <c r="B12" s="3" t="str">
        <f>IF('5Capital Costs'!B13&lt;&gt;"", '5Capital Costs'!B13, "")</f>
        <v/>
      </c>
      <c r="C12" s="46" t="str">
        <f>IF('5Capital Costs'!C13&lt;&gt;"", '5Capital Costs'!C13, "")</f>
        <v/>
      </c>
      <c r="D12" s="47" t="str">
        <f>IF('5Capital Costs'!D13&lt;&gt;"", '5Capital Costs'!D13, "")</f>
        <v/>
      </c>
      <c r="E12" s="27" t="str">
        <f>IF($A12&lt;&gt;"", (IF('6Replacement Costs - Entry'!J13="Y",((($B12*$D12)*((1+$B$5)^E$7))*(1/((1+$F$5)^E$7))),0)), "")</f>
        <v/>
      </c>
      <c r="F12" s="27" t="str">
        <f>IF($A12&lt;&gt;"", (IF('6Replacement Costs - Entry'!K13="Y",((($B12*$D12)*((1+$B$5)^F$7))*(1/((1+$F$5)^F$7))),0)), "")</f>
        <v/>
      </c>
      <c r="G12" s="27" t="str">
        <f>IF($A12&lt;&gt;"", (IF('6Replacement Costs - Entry'!L13="Y",((($B12*$D12)*((1+$B$5)^G$7))*(1/((1+$F$5)^G$7))),0)), "")</f>
        <v/>
      </c>
      <c r="H12" s="27" t="str">
        <f>IF($A12&lt;&gt;"", (IF('6Replacement Costs - Entry'!M13="Y",((($B12*$D12)*((1+$B$5)^H$7))*(1/((1+$F$5)^H$7))),0)), "")</f>
        <v/>
      </c>
      <c r="I12" s="27" t="str">
        <f>IF($A12&lt;&gt;"", (IF('6Replacement Costs - Entry'!N13="Y",((($B12*$D12)*((1+$B$5)^I$7))*(1/((1+$F$5)^I$7))),0)), "")</f>
        <v/>
      </c>
    </row>
    <row r="13" spans="1:9">
      <c r="A13" s="29" t="str">
        <f>IF('5Capital Costs'!A14&lt;&gt;"", '5Capital Costs'!A14, "")</f>
        <v/>
      </c>
      <c r="B13" s="3" t="str">
        <f>IF('5Capital Costs'!B14&lt;&gt;"", '5Capital Costs'!B14, "")</f>
        <v/>
      </c>
      <c r="C13" s="46" t="str">
        <f>IF('5Capital Costs'!C14&lt;&gt;"", '5Capital Costs'!C14, "")</f>
        <v/>
      </c>
      <c r="D13" s="47" t="str">
        <f>IF('5Capital Costs'!D14&lt;&gt;"", '5Capital Costs'!D14, "")</f>
        <v/>
      </c>
      <c r="E13" s="27" t="str">
        <f>IF($A13&lt;&gt;"", (IF('6Replacement Costs - Entry'!J14="Y",((($B13*$D13)*((1+$B$5)^E$7))*(1/((1+$F$5)^E$7))),0)), "")</f>
        <v/>
      </c>
      <c r="F13" s="27" t="str">
        <f>IF($A13&lt;&gt;"", (IF('6Replacement Costs - Entry'!K14="Y",((($B13*$D13)*((1+$B$5)^F$7))*(1/((1+$F$5)^F$7))),0)), "")</f>
        <v/>
      </c>
      <c r="G13" s="27" t="str">
        <f>IF($A13&lt;&gt;"", (IF('6Replacement Costs - Entry'!L14="Y",((($B13*$D13)*((1+$B$5)^G$7))*(1/((1+$F$5)^G$7))),0)), "")</f>
        <v/>
      </c>
      <c r="H13" s="27" t="str">
        <f>IF($A13&lt;&gt;"", (IF('6Replacement Costs - Entry'!M14="Y",((($B13*$D13)*((1+$B$5)^H$7))*(1/((1+$F$5)^H$7))),0)), "")</f>
        <v/>
      </c>
      <c r="I13" s="27" t="str">
        <f>IF($A13&lt;&gt;"", (IF('6Replacement Costs - Entry'!N14="Y",((($B13*$D13)*((1+$B$5)^I$7))*(1/((1+$F$5)^I$7))),0)), "")</f>
        <v/>
      </c>
    </row>
    <row r="14" spans="1:9">
      <c r="A14" s="29" t="str">
        <f>IF('5Capital Costs'!A15&lt;&gt;"", '5Capital Costs'!A15, "")</f>
        <v/>
      </c>
      <c r="B14" s="3" t="str">
        <f>IF('5Capital Costs'!B15&lt;&gt;"", '5Capital Costs'!B15, "")</f>
        <v/>
      </c>
      <c r="C14" s="46" t="str">
        <f>IF('5Capital Costs'!C15&lt;&gt;"", '5Capital Costs'!C15, "")</f>
        <v/>
      </c>
      <c r="D14" s="47" t="str">
        <f>IF('5Capital Costs'!D15&lt;&gt;"", '5Capital Costs'!D15, "")</f>
        <v/>
      </c>
      <c r="E14" s="27" t="str">
        <f>IF($A14&lt;&gt;"", (IF('6Replacement Costs - Entry'!J15="Y",((($B14*$D14)*((1+$B$5)^E$7))*(1/((1+$F$5)^E$7))),0)), "")</f>
        <v/>
      </c>
      <c r="F14" s="27" t="str">
        <f>IF($A14&lt;&gt;"", (IF('6Replacement Costs - Entry'!K15="Y",((($B14*$D14)*((1+$B$5)^F$7))*(1/((1+$F$5)^F$7))),0)), "")</f>
        <v/>
      </c>
      <c r="G14" s="27" t="str">
        <f>IF($A14&lt;&gt;"", (IF('6Replacement Costs - Entry'!L15="Y",((($B14*$D14)*((1+$B$5)^G$7))*(1/((1+$F$5)^G$7))),0)), "")</f>
        <v/>
      </c>
      <c r="H14" s="27" t="str">
        <f>IF($A14&lt;&gt;"", (IF('6Replacement Costs - Entry'!M15="Y",((($B14*$D14)*((1+$B$5)^H$7))*(1/((1+$F$5)^H$7))),0)), "")</f>
        <v/>
      </c>
      <c r="I14" s="27" t="str">
        <f>IF($A14&lt;&gt;"", (IF('6Replacement Costs - Entry'!N15="Y",((($B14*$D14)*((1+$B$5)^I$7))*(1/((1+$F$5)^I$7))),0)), "")</f>
        <v/>
      </c>
    </row>
    <row r="15" spans="1:9">
      <c r="A15" s="29" t="str">
        <f>IF('5Capital Costs'!A16&lt;&gt;"", '5Capital Costs'!A16, "")</f>
        <v/>
      </c>
      <c r="B15" s="3" t="str">
        <f>IF('5Capital Costs'!B16&lt;&gt;"", '5Capital Costs'!B16, "")</f>
        <v/>
      </c>
      <c r="C15" s="46" t="str">
        <f>IF('5Capital Costs'!C16&lt;&gt;"", '5Capital Costs'!C16, "")</f>
        <v/>
      </c>
      <c r="D15" s="47" t="str">
        <f>IF('5Capital Costs'!D16&lt;&gt;"", '5Capital Costs'!D16, "")</f>
        <v/>
      </c>
      <c r="E15" s="27" t="str">
        <f>IF($A15&lt;&gt;"", (IF('6Replacement Costs - Entry'!J16="Y",((($B15*$D15)*((1+$B$5)^E$7))*(1/((1+$F$5)^E$7))),0)), "")</f>
        <v/>
      </c>
      <c r="F15" s="27" t="str">
        <f>IF($A15&lt;&gt;"", (IF('6Replacement Costs - Entry'!K16="Y",((($B15*$D15)*((1+$B$5)^F$7))*(1/((1+$F$5)^F$7))),0)), "")</f>
        <v/>
      </c>
      <c r="G15" s="27" t="str">
        <f>IF($A15&lt;&gt;"", (IF('6Replacement Costs - Entry'!L16="Y",((($B15*$D15)*((1+$B$5)^G$7))*(1/((1+$F$5)^G$7))),0)), "")</f>
        <v/>
      </c>
      <c r="H15" s="27" t="str">
        <f>IF($A15&lt;&gt;"", (IF('6Replacement Costs - Entry'!M16="Y",((($B15*$D15)*((1+$B$5)^H$7))*(1/((1+$F$5)^H$7))),0)), "")</f>
        <v/>
      </c>
      <c r="I15" s="27" t="str">
        <f>IF($A15&lt;&gt;"", (IF('6Replacement Costs - Entry'!N16="Y",((($B15*$D15)*((1+$B$5)^I$7))*(1/((1+$F$5)^I$7))),0)), "")</f>
        <v/>
      </c>
    </row>
    <row r="16" spans="1:9">
      <c r="A16" s="29" t="str">
        <f>IF('5Capital Costs'!A17&lt;&gt;"", '5Capital Costs'!A17, "")</f>
        <v/>
      </c>
      <c r="B16" s="3" t="str">
        <f>IF('5Capital Costs'!B17&lt;&gt;"", '5Capital Costs'!B17, "")</f>
        <v/>
      </c>
      <c r="C16" s="46" t="str">
        <f>IF('5Capital Costs'!C17&lt;&gt;"", '5Capital Costs'!C17, "")</f>
        <v/>
      </c>
      <c r="D16" s="47" t="str">
        <f>IF('5Capital Costs'!D17&lt;&gt;"", '5Capital Costs'!D17, "")</f>
        <v/>
      </c>
      <c r="E16" s="27" t="str">
        <f>IF($A16&lt;&gt;"", (IF('6Replacement Costs - Entry'!J17="Y",((($B16*$D16)*((1+$B$5)^E$7))*(1/((1+$F$5)^E$7))),0)), "")</f>
        <v/>
      </c>
      <c r="F16" s="27" t="str">
        <f>IF($A16&lt;&gt;"", (IF('6Replacement Costs - Entry'!K17="Y",((($B16*$D16)*((1+$B$5)^F$7))*(1/((1+$F$5)^F$7))),0)), "")</f>
        <v/>
      </c>
      <c r="G16" s="27" t="str">
        <f>IF($A16&lt;&gt;"", (IF('6Replacement Costs - Entry'!L17="Y",((($B16*$D16)*((1+$B$5)^G$7))*(1/((1+$F$5)^G$7))),0)), "")</f>
        <v/>
      </c>
      <c r="H16" s="27" t="str">
        <f>IF($A16&lt;&gt;"", (IF('6Replacement Costs - Entry'!M17="Y",((($B16*$D16)*((1+$B$5)^H$7))*(1/((1+$F$5)^H$7))),0)), "")</f>
        <v/>
      </c>
      <c r="I16" s="27" t="str">
        <f>IF($A16&lt;&gt;"", (IF('6Replacement Costs - Entry'!N17="Y",((($B16*$D16)*((1+$B$5)^I$7))*(1/((1+$F$5)^I$7))),0)), "")</f>
        <v/>
      </c>
    </row>
    <row r="17" spans="1:9">
      <c r="A17" s="29" t="str">
        <f>IF('5Capital Costs'!A18&lt;&gt;"", '5Capital Costs'!A18, "")</f>
        <v/>
      </c>
      <c r="B17" s="3" t="str">
        <f>IF('5Capital Costs'!B18&lt;&gt;"", '5Capital Costs'!B18, "")</f>
        <v/>
      </c>
      <c r="C17" s="46" t="str">
        <f>IF('5Capital Costs'!C18&lt;&gt;"", '5Capital Costs'!C18, "")</f>
        <v/>
      </c>
      <c r="D17" s="47" t="str">
        <f>IF('5Capital Costs'!D18&lt;&gt;"", '5Capital Costs'!D18, "")</f>
        <v/>
      </c>
      <c r="E17" s="27" t="str">
        <f>IF($A17&lt;&gt;"", (IF('6Replacement Costs - Entry'!J18="Y",((($B17*$D17)*((1+$B$5)^E$7))*(1/((1+$F$5)^E$7))),0)), "")</f>
        <v/>
      </c>
      <c r="F17" s="27" t="str">
        <f>IF($A17&lt;&gt;"", (IF('6Replacement Costs - Entry'!K18="Y",((($B17*$D17)*((1+$B$5)^F$7))*(1/((1+$F$5)^F$7))),0)), "")</f>
        <v/>
      </c>
      <c r="G17" s="27" t="str">
        <f>IF($A17&lt;&gt;"", (IF('6Replacement Costs - Entry'!L18="Y",((($B17*$D17)*((1+$B$5)^G$7))*(1/((1+$F$5)^G$7))),0)), "")</f>
        <v/>
      </c>
      <c r="H17" s="27" t="str">
        <f>IF($A17&lt;&gt;"", (IF('6Replacement Costs - Entry'!M18="Y",((($B17*$D17)*((1+$B$5)^H$7))*(1/((1+$F$5)^H$7))),0)), "")</f>
        <v/>
      </c>
      <c r="I17" s="27" t="str">
        <f>IF($A17&lt;&gt;"", (IF('6Replacement Costs - Entry'!N18="Y",((($B17*$D17)*((1+$B$5)^I$7))*(1/((1+$F$5)^I$7))),0)), "")</f>
        <v/>
      </c>
    </row>
    <row r="18" spans="1:9">
      <c r="A18" s="29" t="str">
        <f>IF('5Capital Costs'!A19&lt;&gt;"", '5Capital Costs'!A19, "")</f>
        <v/>
      </c>
      <c r="B18" s="3" t="str">
        <f>IF('5Capital Costs'!B19&lt;&gt;"", '5Capital Costs'!B19, "")</f>
        <v/>
      </c>
      <c r="C18" s="46" t="str">
        <f>IF('5Capital Costs'!C19&lt;&gt;"", '5Capital Costs'!C19, "")</f>
        <v/>
      </c>
      <c r="D18" s="47" t="str">
        <f>IF('5Capital Costs'!D19&lt;&gt;"", '5Capital Costs'!D19, "")</f>
        <v/>
      </c>
      <c r="E18" s="27" t="str">
        <f>IF($A18&lt;&gt;"", (IF('6Replacement Costs - Entry'!J19="Y",((($B18*$D18)*((1+$B$5)^E$7))*(1/((1+$F$5)^E$7))),0)), "")</f>
        <v/>
      </c>
      <c r="F18" s="27" t="str">
        <f>IF($A18&lt;&gt;"", (IF('6Replacement Costs - Entry'!K19="Y",((($B18*$D18)*((1+$B$5)^F$7))*(1/((1+$F$5)^F$7))),0)), "")</f>
        <v/>
      </c>
      <c r="G18" s="27" t="str">
        <f>IF($A18&lt;&gt;"", (IF('6Replacement Costs - Entry'!L19="Y",((($B18*$D18)*((1+$B$5)^G$7))*(1/((1+$F$5)^G$7))),0)), "")</f>
        <v/>
      </c>
      <c r="H18" s="27" t="str">
        <f>IF($A18&lt;&gt;"", (IF('6Replacement Costs - Entry'!M19="Y",((($B18*$D18)*((1+$B$5)^H$7))*(1/((1+$F$5)^H$7))),0)), "")</f>
        <v/>
      </c>
      <c r="I18" s="27" t="str">
        <f>IF($A18&lt;&gt;"", (IF('6Replacement Costs - Entry'!N19="Y",((($B18*$D18)*((1+$B$5)^I$7))*(1/((1+$F$5)^I$7))),0)), "")</f>
        <v/>
      </c>
    </row>
    <row r="19" spans="1:9">
      <c r="A19" s="29" t="str">
        <f>IF('5Capital Costs'!A20&lt;&gt;"", '5Capital Costs'!A20, "")</f>
        <v/>
      </c>
      <c r="B19" s="3" t="str">
        <f>IF('5Capital Costs'!B20&lt;&gt;"", '5Capital Costs'!B20, "")</f>
        <v/>
      </c>
      <c r="C19" s="46" t="str">
        <f>IF('5Capital Costs'!C20&lt;&gt;"", '5Capital Costs'!C20, "")</f>
        <v/>
      </c>
      <c r="D19" s="47" t="str">
        <f>IF('5Capital Costs'!D20&lt;&gt;"", '5Capital Costs'!D20, "")</f>
        <v/>
      </c>
      <c r="E19" s="27" t="str">
        <f>IF($A19&lt;&gt;"", (IF('6Replacement Costs - Entry'!J20="Y",((($B19*$D19)*((1+$B$5)^E$7))*(1/((1+$F$5)^E$7))),0)), "")</f>
        <v/>
      </c>
      <c r="F19" s="27" t="str">
        <f>IF($A19&lt;&gt;"", (IF('6Replacement Costs - Entry'!K20="Y",((($B19*$D19)*((1+$B$5)^F$7))*(1/((1+$F$5)^F$7))),0)), "")</f>
        <v/>
      </c>
      <c r="G19" s="27" t="str">
        <f>IF($A19&lt;&gt;"", (IF('6Replacement Costs - Entry'!L20="Y",((($B19*$D19)*((1+$B$5)^G$7))*(1/((1+$F$5)^G$7))),0)), "")</f>
        <v/>
      </c>
      <c r="H19" s="27" t="str">
        <f>IF($A19&lt;&gt;"", (IF('6Replacement Costs - Entry'!M20="Y",((($B19*$D19)*((1+$B$5)^H$7))*(1/((1+$F$5)^H$7))),0)), "")</f>
        <v/>
      </c>
      <c r="I19" s="27" t="str">
        <f>IF($A19&lt;&gt;"", (IF('6Replacement Costs - Entry'!N20="Y",((($B19*$D19)*((1+$B$5)^I$7))*(1/((1+$F$5)^I$7))),0)), "")</f>
        <v/>
      </c>
    </row>
    <row r="20" spans="1:9">
      <c r="A20" s="29" t="str">
        <f>IF('5Capital Costs'!A21&lt;&gt;"", '5Capital Costs'!A21, "")</f>
        <v/>
      </c>
      <c r="B20" s="3" t="str">
        <f>IF('5Capital Costs'!B21&lt;&gt;"", '5Capital Costs'!B21, "")</f>
        <v/>
      </c>
      <c r="C20" s="46" t="str">
        <f>IF('5Capital Costs'!C21&lt;&gt;"", '5Capital Costs'!C21, "")</f>
        <v/>
      </c>
      <c r="D20" s="47" t="str">
        <f>IF('5Capital Costs'!D21&lt;&gt;"", '5Capital Costs'!D21, "")</f>
        <v/>
      </c>
      <c r="E20" s="27" t="str">
        <f>IF($A20&lt;&gt;"", (IF('6Replacement Costs - Entry'!J21="Y",((($B20*$D20)*((1+$B$5)^E$7))*(1/((1+$F$5)^E$7))),0)), "")</f>
        <v/>
      </c>
      <c r="F20" s="27" t="str">
        <f>IF($A20&lt;&gt;"", (IF('6Replacement Costs - Entry'!K21="Y",((($B20*$D20)*((1+$B$5)^F$7))*(1/((1+$F$5)^F$7))),0)), "")</f>
        <v/>
      </c>
      <c r="G20" s="27" t="str">
        <f>IF($A20&lt;&gt;"", (IF('6Replacement Costs - Entry'!L21="Y",((($B20*$D20)*((1+$B$5)^G$7))*(1/((1+$F$5)^G$7))),0)), "")</f>
        <v/>
      </c>
      <c r="H20" s="27" t="str">
        <f>IF($A20&lt;&gt;"", (IF('6Replacement Costs - Entry'!M21="Y",((($B20*$D20)*((1+$B$5)^H$7))*(1/((1+$F$5)^H$7))),0)), "")</f>
        <v/>
      </c>
      <c r="I20" s="27" t="str">
        <f>IF($A20&lt;&gt;"", (IF('6Replacement Costs - Entry'!N21="Y",((($B20*$D20)*((1+$B$5)^I$7))*(1/((1+$F$5)^I$7))),0)), "")</f>
        <v/>
      </c>
    </row>
    <row r="21" spans="1:9">
      <c r="A21" s="29" t="str">
        <f>IF('5Capital Costs'!A22&lt;&gt;"", '5Capital Costs'!A22, "")</f>
        <v/>
      </c>
      <c r="B21" s="3" t="str">
        <f>IF('5Capital Costs'!B22&lt;&gt;"", '5Capital Costs'!B22, "")</f>
        <v/>
      </c>
      <c r="C21" s="46" t="str">
        <f>IF('5Capital Costs'!C22&lt;&gt;"", '5Capital Costs'!C22, "")</f>
        <v/>
      </c>
      <c r="D21" s="47" t="str">
        <f>IF('5Capital Costs'!D22&lt;&gt;"", '5Capital Costs'!D22, "")</f>
        <v/>
      </c>
      <c r="E21" s="27" t="str">
        <f>IF($A21&lt;&gt;"", (IF('6Replacement Costs - Entry'!J22="Y",((($B21*$D21)*((1+$B$5)^E$7))*(1/((1+$F$5)^E$7))),0)), "")</f>
        <v/>
      </c>
      <c r="F21" s="27" t="str">
        <f>IF($A21&lt;&gt;"", (IF('6Replacement Costs - Entry'!K22="Y",((($B21*$D21)*((1+$B$5)^F$7))*(1/((1+$F$5)^F$7))),0)), "")</f>
        <v/>
      </c>
      <c r="G21" s="27" t="str">
        <f>IF($A21&lt;&gt;"", (IF('6Replacement Costs - Entry'!L22="Y",((($B21*$D21)*((1+$B$5)^G$7))*(1/((1+$F$5)^G$7))),0)), "")</f>
        <v/>
      </c>
      <c r="H21" s="27" t="str">
        <f>IF($A21&lt;&gt;"", (IF('6Replacement Costs - Entry'!M22="Y",((($B21*$D21)*((1+$B$5)^H$7))*(1/((1+$F$5)^H$7))),0)), "")</f>
        <v/>
      </c>
      <c r="I21" s="27" t="str">
        <f>IF($A21&lt;&gt;"", (IF('6Replacement Costs - Entry'!N22="Y",((($B21*$D21)*((1+$B$5)^I$7))*(1/((1+$F$5)^I$7))),0)), "")</f>
        <v/>
      </c>
    </row>
    <row r="22" spans="1:9">
      <c r="A22" s="29" t="str">
        <f>IF('5Capital Costs'!A23&lt;&gt;"", '5Capital Costs'!A23, "")</f>
        <v/>
      </c>
      <c r="B22" s="3" t="str">
        <f>IF('5Capital Costs'!B23&lt;&gt;"", '5Capital Costs'!B23, "")</f>
        <v/>
      </c>
      <c r="C22" s="46" t="str">
        <f>IF('5Capital Costs'!C23&lt;&gt;"", '5Capital Costs'!C23, "")</f>
        <v/>
      </c>
      <c r="D22" s="47" t="str">
        <f>IF('5Capital Costs'!D23&lt;&gt;"", '5Capital Costs'!D23, "")</f>
        <v/>
      </c>
      <c r="E22" s="27" t="str">
        <f>IF($A22&lt;&gt;"", (IF('6Replacement Costs - Entry'!J23="Y",((($B22*$D22)*((1+$B$5)^E$7))*(1/((1+$F$5)^E$7))),0)), "")</f>
        <v/>
      </c>
      <c r="F22" s="27" t="str">
        <f>IF($A22&lt;&gt;"", (IF('6Replacement Costs - Entry'!K23="Y",((($B22*$D22)*((1+$B$5)^F$7))*(1/((1+$F$5)^F$7))),0)), "")</f>
        <v/>
      </c>
      <c r="G22" s="27" t="str">
        <f>IF($A22&lt;&gt;"", (IF('6Replacement Costs - Entry'!L23="Y",((($B22*$D22)*((1+$B$5)^G$7))*(1/((1+$F$5)^G$7))),0)), "")</f>
        <v/>
      </c>
      <c r="H22" s="27" t="str">
        <f>IF($A22&lt;&gt;"", (IF('6Replacement Costs - Entry'!M23="Y",((($B22*$D22)*((1+$B$5)^H$7))*(1/((1+$F$5)^H$7))),0)), "")</f>
        <v/>
      </c>
      <c r="I22" s="27" t="str">
        <f>IF($A22&lt;&gt;"", (IF('6Replacement Costs - Entry'!N23="Y",((($B22*$D22)*((1+$B$5)^I$7))*(1/((1+$F$5)^I$7))),0)), "")</f>
        <v/>
      </c>
    </row>
    <row r="23" spans="1:9">
      <c r="A23" s="29" t="str">
        <f>IF('5Capital Costs'!A24&lt;&gt;"", '5Capital Costs'!A24, "")</f>
        <v/>
      </c>
      <c r="B23" s="3" t="str">
        <f>IF('5Capital Costs'!B24&lt;&gt;"", '5Capital Costs'!B24, "")</f>
        <v/>
      </c>
      <c r="C23" s="46" t="str">
        <f>IF('5Capital Costs'!C24&lt;&gt;"", '5Capital Costs'!C24, "")</f>
        <v/>
      </c>
      <c r="D23" s="47" t="str">
        <f>IF('5Capital Costs'!D24&lt;&gt;"", '5Capital Costs'!D24, "")</f>
        <v/>
      </c>
      <c r="E23" s="27" t="str">
        <f>IF($A23&lt;&gt;"", (IF('6Replacement Costs - Entry'!J24="Y",((($B23*$D23)*((1+$B$5)^E$7))*(1/((1+$F$5)^E$7))),0)), "")</f>
        <v/>
      </c>
      <c r="F23" s="27" t="str">
        <f>IF($A23&lt;&gt;"", (IF('6Replacement Costs - Entry'!K24="Y",((($B23*$D23)*((1+$B$5)^F$7))*(1/((1+$F$5)^F$7))),0)), "")</f>
        <v/>
      </c>
      <c r="G23" s="27" t="str">
        <f>IF($A23&lt;&gt;"", (IF('6Replacement Costs - Entry'!L24="Y",((($B23*$D23)*((1+$B$5)^G$7))*(1/((1+$F$5)^G$7))),0)), "")</f>
        <v/>
      </c>
      <c r="H23" s="27" t="str">
        <f>IF($A23&lt;&gt;"", (IF('6Replacement Costs - Entry'!M24="Y",((($B23*$D23)*((1+$B$5)^H$7))*(1/((1+$F$5)^H$7))),0)), "")</f>
        <v/>
      </c>
      <c r="I23" s="27" t="str">
        <f>IF($A23&lt;&gt;"", (IF('6Replacement Costs - Entry'!N24="Y",((($B23*$D23)*((1+$B$5)^I$7))*(1/((1+$F$5)^I$7))),0)), "")</f>
        <v/>
      </c>
    </row>
    <row r="24" spans="1:9">
      <c r="A24" s="29" t="str">
        <f>IF('5Capital Costs'!A25&lt;&gt;"", '5Capital Costs'!A25, "")</f>
        <v/>
      </c>
      <c r="B24" s="3" t="str">
        <f>IF('5Capital Costs'!B25&lt;&gt;"", '5Capital Costs'!B25, "")</f>
        <v/>
      </c>
      <c r="C24" s="46" t="str">
        <f>IF('5Capital Costs'!C25&lt;&gt;"", '5Capital Costs'!C25, "")</f>
        <v/>
      </c>
      <c r="D24" s="47" t="str">
        <f>IF('5Capital Costs'!D25&lt;&gt;"", '5Capital Costs'!D25, "")</f>
        <v/>
      </c>
      <c r="E24" s="27" t="str">
        <f>IF($A24&lt;&gt;"", (IF('6Replacement Costs - Entry'!J25="Y",((($B24*$D24)*((1+$B$5)^E$7))*(1/((1+$F$5)^E$7))),0)), "")</f>
        <v/>
      </c>
      <c r="F24" s="27" t="str">
        <f>IF($A24&lt;&gt;"", (IF('6Replacement Costs - Entry'!K25="Y",((($B24*$D24)*((1+$B$5)^F$7))*(1/((1+$F$5)^F$7))),0)), "")</f>
        <v/>
      </c>
      <c r="G24" s="27" t="str">
        <f>IF($A24&lt;&gt;"", (IF('6Replacement Costs - Entry'!L25="Y",((($B24*$D24)*((1+$B$5)^G$7))*(1/((1+$F$5)^G$7))),0)), "")</f>
        <v/>
      </c>
      <c r="H24" s="27" t="str">
        <f>IF($A24&lt;&gt;"", (IF('6Replacement Costs - Entry'!M25="Y",((($B24*$D24)*((1+$B$5)^H$7))*(1/((1+$F$5)^H$7))),0)), "")</f>
        <v/>
      </c>
      <c r="I24" s="27" t="str">
        <f>IF($A24&lt;&gt;"", (IF('6Replacement Costs - Entry'!N25="Y",((($B24*$D24)*((1+$B$5)^I$7))*(1/((1+$F$5)^I$7))),0)), "")</f>
        <v/>
      </c>
    </row>
    <row r="25" spans="1:9">
      <c r="A25" s="29" t="str">
        <f>IF('5Capital Costs'!A26&lt;&gt;"", '5Capital Costs'!A26, "")</f>
        <v/>
      </c>
      <c r="B25" s="3" t="str">
        <f>IF('5Capital Costs'!B26&lt;&gt;"", '5Capital Costs'!B26, "")</f>
        <v/>
      </c>
      <c r="C25" s="46" t="str">
        <f>IF('5Capital Costs'!C26&lt;&gt;"", '5Capital Costs'!C26, "")</f>
        <v/>
      </c>
      <c r="D25" s="47" t="str">
        <f>IF('5Capital Costs'!D26&lt;&gt;"", '5Capital Costs'!D26, "")</f>
        <v/>
      </c>
      <c r="E25" s="27" t="str">
        <f>IF($A25&lt;&gt;"", (IF('6Replacement Costs - Entry'!J26="Y",((($B25*$D25)*((1+$B$5)^E$7))*(1/((1+$F$5)^E$7))),0)), "")</f>
        <v/>
      </c>
      <c r="F25" s="27" t="str">
        <f>IF($A25&lt;&gt;"", (IF('6Replacement Costs - Entry'!K26="Y",((($B25*$D25)*((1+$B$5)^F$7))*(1/((1+$F$5)^F$7))),0)), "")</f>
        <v/>
      </c>
      <c r="G25" s="27" t="str">
        <f>IF($A25&lt;&gt;"", (IF('6Replacement Costs - Entry'!L26="Y",((($B25*$D25)*((1+$B$5)^G$7))*(1/((1+$F$5)^G$7))),0)), "")</f>
        <v/>
      </c>
      <c r="H25" s="27" t="str">
        <f>IF($A25&lt;&gt;"", (IF('6Replacement Costs - Entry'!M26="Y",((($B25*$D25)*((1+$B$5)^H$7))*(1/((1+$F$5)^H$7))),0)), "")</f>
        <v/>
      </c>
      <c r="I25" s="27" t="str">
        <f>IF($A25&lt;&gt;"", (IF('6Replacement Costs - Entry'!N26="Y",((($B25*$D25)*((1+$B$5)^I$7))*(1/((1+$F$5)^I$7))),0)), "")</f>
        <v/>
      </c>
    </row>
    <row r="26" spans="1:9">
      <c r="A26" s="29" t="str">
        <f>IF('5Capital Costs'!A27&lt;&gt;"", '5Capital Costs'!A27, "")</f>
        <v/>
      </c>
      <c r="B26" s="3" t="str">
        <f>IF('5Capital Costs'!B27&lt;&gt;"", '5Capital Costs'!B27, "")</f>
        <v/>
      </c>
      <c r="C26" s="46" t="str">
        <f>IF('5Capital Costs'!C27&lt;&gt;"", '5Capital Costs'!C27, "")</f>
        <v/>
      </c>
      <c r="D26" s="47" t="str">
        <f>IF('5Capital Costs'!D27&lt;&gt;"", '5Capital Costs'!D27, "")</f>
        <v/>
      </c>
      <c r="E26" s="27" t="str">
        <f>IF($A26&lt;&gt;"", (IF('6Replacement Costs - Entry'!J27="Y",((($B26*$D26)*((1+$B$5)^E$7))*(1/((1+$F$5)^E$7))),0)), "")</f>
        <v/>
      </c>
      <c r="F26" s="27" t="str">
        <f>IF($A26&lt;&gt;"", (IF('6Replacement Costs - Entry'!K27="Y",((($B26*$D26)*((1+$B$5)^F$7))*(1/((1+$F$5)^F$7))),0)), "")</f>
        <v/>
      </c>
      <c r="G26" s="27" t="str">
        <f>IF($A26&lt;&gt;"", (IF('6Replacement Costs - Entry'!L27="Y",((($B26*$D26)*((1+$B$5)^G$7))*(1/((1+$F$5)^G$7))),0)), "")</f>
        <v/>
      </c>
      <c r="H26" s="27" t="str">
        <f>IF($A26&lt;&gt;"", (IF('6Replacement Costs - Entry'!M27="Y",((($B26*$D26)*((1+$B$5)^H$7))*(1/((1+$F$5)^H$7))),0)), "")</f>
        <v/>
      </c>
      <c r="I26" s="27" t="str">
        <f>IF($A26&lt;&gt;"", (IF('6Replacement Costs - Entry'!N27="Y",((($B26*$D26)*((1+$B$5)^I$7))*(1/((1+$F$5)^I$7))),0)), "")</f>
        <v/>
      </c>
    </row>
    <row r="27" spans="1:9">
      <c r="A27" s="29" t="str">
        <f>IF('5Capital Costs'!A28&lt;&gt;"", '5Capital Costs'!A28, "")</f>
        <v/>
      </c>
      <c r="B27" s="3" t="str">
        <f>IF('5Capital Costs'!B28&lt;&gt;"", '5Capital Costs'!B28, "")</f>
        <v/>
      </c>
      <c r="C27" s="46" t="str">
        <f>IF('5Capital Costs'!C28&lt;&gt;"", '5Capital Costs'!C28, "")</f>
        <v/>
      </c>
      <c r="D27" s="47" t="str">
        <f>IF('5Capital Costs'!D28&lt;&gt;"", '5Capital Costs'!D28, "")</f>
        <v/>
      </c>
      <c r="E27" s="27" t="str">
        <f>IF($A27&lt;&gt;"", (IF('6Replacement Costs - Entry'!J28="Y",((($B27*$D27)*((1+$B$5)^E$7))*(1/((1+$F$5)^E$7))),0)), "")</f>
        <v/>
      </c>
      <c r="F27" s="27" t="str">
        <f>IF($A27&lt;&gt;"", (IF('6Replacement Costs - Entry'!K28="Y",((($B27*$D27)*((1+$B$5)^F$7))*(1/((1+$F$5)^F$7))),0)), "")</f>
        <v/>
      </c>
      <c r="G27" s="27" t="str">
        <f>IF($A27&lt;&gt;"", (IF('6Replacement Costs - Entry'!L28="Y",((($B27*$D27)*((1+$B$5)^G$7))*(1/((1+$F$5)^G$7))),0)), "")</f>
        <v/>
      </c>
      <c r="H27" s="27" t="str">
        <f>IF($A27&lt;&gt;"", (IF('6Replacement Costs - Entry'!M28="Y",((($B27*$D27)*((1+$B$5)^H$7))*(1/((1+$F$5)^H$7))),0)), "")</f>
        <v/>
      </c>
      <c r="I27" s="27" t="str">
        <f>IF($A27&lt;&gt;"", (IF('6Replacement Costs - Entry'!N28="Y",((($B27*$D27)*((1+$B$5)^I$7))*(1/((1+$F$5)^I$7))),0)), "")</f>
        <v/>
      </c>
    </row>
    <row r="28" spans="1:9">
      <c r="A28" s="29" t="str">
        <f>IF('5Capital Costs'!A29&lt;&gt;"", '5Capital Costs'!A29, "")</f>
        <v/>
      </c>
      <c r="B28" s="3" t="str">
        <f>IF('5Capital Costs'!B29&lt;&gt;"", '5Capital Costs'!B29, "")</f>
        <v/>
      </c>
      <c r="C28" s="46" t="str">
        <f>IF('5Capital Costs'!C29&lt;&gt;"", '5Capital Costs'!C29, "")</f>
        <v/>
      </c>
      <c r="D28" s="47" t="str">
        <f>IF('5Capital Costs'!D29&lt;&gt;"", '5Capital Costs'!D29, "")</f>
        <v/>
      </c>
      <c r="E28" s="27" t="str">
        <f>IF($A28&lt;&gt;"", (IF('6Replacement Costs - Entry'!J29="Y",((($B28*$D28)*((1+$B$5)^E$7))*(1/((1+$F$5)^E$7))),0)), "")</f>
        <v/>
      </c>
      <c r="F28" s="27" t="str">
        <f>IF($A28&lt;&gt;"", (IF('6Replacement Costs - Entry'!K29="Y",((($B28*$D28)*((1+$B$5)^F$7))*(1/((1+$F$5)^F$7))),0)), "")</f>
        <v/>
      </c>
      <c r="G28" s="27" t="str">
        <f>IF($A28&lt;&gt;"", (IF('6Replacement Costs - Entry'!L29="Y",((($B28*$D28)*((1+$B$5)^G$7))*(1/((1+$F$5)^G$7))),0)), "")</f>
        <v/>
      </c>
      <c r="H28" s="27" t="str">
        <f>IF($A28&lt;&gt;"", (IF('6Replacement Costs - Entry'!M29="Y",((($B28*$D28)*((1+$B$5)^H$7))*(1/((1+$F$5)^H$7))),0)), "")</f>
        <v/>
      </c>
      <c r="I28" s="27" t="str">
        <f>IF($A28&lt;&gt;"", (IF('6Replacement Costs - Entry'!N29="Y",((($B28*$D28)*((1+$B$5)^I$7))*(1/((1+$F$5)^I$7))),0)), "")</f>
        <v/>
      </c>
    </row>
    <row r="29" spans="1:9">
      <c r="A29" s="29" t="str">
        <f>IF('5Capital Costs'!A30&lt;&gt;"", '5Capital Costs'!A30, "")</f>
        <v/>
      </c>
      <c r="B29" s="3" t="str">
        <f>IF('5Capital Costs'!B30&lt;&gt;"", '5Capital Costs'!B30, "")</f>
        <v/>
      </c>
      <c r="C29" s="46" t="str">
        <f>IF('5Capital Costs'!C30&lt;&gt;"", '5Capital Costs'!C30, "")</f>
        <v/>
      </c>
      <c r="D29" s="47" t="str">
        <f>IF('5Capital Costs'!D30&lt;&gt;"", '5Capital Costs'!D30, "")</f>
        <v/>
      </c>
      <c r="E29" s="27" t="str">
        <f>IF($A29&lt;&gt;"", (IF('6Replacement Costs - Entry'!J30="Y",((($B29*$D29)*((1+$B$5)^E$7))*(1/((1+$F$5)^E$7))),0)), "")</f>
        <v/>
      </c>
      <c r="F29" s="27" t="str">
        <f>IF($A29&lt;&gt;"", (IF('6Replacement Costs - Entry'!K30="Y",((($B29*$D29)*((1+$B$5)^F$7))*(1/((1+$F$5)^F$7))),0)), "")</f>
        <v/>
      </c>
      <c r="G29" s="27" t="str">
        <f>IF($A29&lt;&gt;"", (IF('6Replacement Costs - Entry'!L30="Y",((($B29*$D29)*((1+$B$5)^G$7))*(1/((1+$F$5)^G$7))),0)), "")</f>
        <v/>
      </c>
      <c r="H29" s="27" t="str">
        <f>IF($A29&lt;&gt;"", (IF('6Replacement Costs - Entry'!M30="Y",((($B29*$D29)*((1+$B$5)^H$7))*(1/((1+$F$5)^H$7))),0)), "")</f>
        <v/>
      </c>
      <c r="I29" s="27" t="str">
        <f>IF($A29&lt;&gt;"", (IF('6Replacement Costs - Entry'!N30="Y",((($B29*$D29)*((1+$B$5)^I$7))*(1/((1+$F$5)^I$7))),0)), "")</f>
        <v/>
      </c>
    </row>
    <row r="30" spans="1:9">
      <c r="A30" s="29" t="str">
        <f>IF('5Capital Costs'!A31&lt;&gt;"", '5Capital Costs'!A31, "")</f>
        <v/>
      </c>
      <c r="B30" s="3" t="str">
        <f>IF('5Capital Costs'!B31&lt;&gt;"", '5Capital Costs'!B31, "")</f>
        <v/>
      </c>
      <c r="C30" s="46" t="str">
        <f>IF('5Capital Costs'!C31&lt;&gt;"", '5Capital Costs'!C31, "")</f>
        <v/>
      </c>
      <c r="D30" s="47" t="str">
        <f>IF('5Capital Costs'!D31&lt;&gt;"", '5Capital Costs'!D31, "")</f>
        <v/>
      </c>
      <c r="E30" s="27" t="str">
        <f>IF($A30&lt;&gt;"", (IF('6Replacement Costs - Entry'!J31="Y",((($B30*$D30)*((1+$B$5)^E$7))*(1/((1+$F$5)^E$7))),0)), "")</f>
        <v/>
      </c>
      <c r="F30" s="27" t="str">
        <f>IF($A30&lt;&gt;"", (IF('6Replacement Costs - Entry'!K31="Y",((($B30*$D30)*((1+$B$5)^F$7))*(1/((1+$F$5)^F$7))),0)), "")</f>
        <v/>
      </c>
      <c r="G30" s="27" t="str">
        <f>IF($A30&lt;&gt;"", (IF('6Replacement Costs - Entry'!L31="Y",((($B30*$D30)*((1+$B$5)^G$7))*(1/((1+$F$5)^G$7))),0)), "")</f>
        <v/>
      </c>
      <c r="H30" s="27" t="str">
        <f>IF($A30&lt;&gt;"", (IF('6Replacement Costs - Entry'!M31="Y",((($B30*$D30)*((1+$B$5)^H$7))*(1/((1+$F$5)^H$7))),0)), "")</f>
        <v/>
      </c>
      <c r="I30" s="27" t="str">
        <f>IF($A30&lt;&gt;"", (IF('6Replacement Costs - Entry'!N31="Y",((($B30*$D30)*((1+$B$5)^I$7))*(1/((1+$F$5)^I$7))),0)), "")</f>
        <v/>
      </c>
    </row>
    <row r="31" spans="1:9">
      <c r="A31" s="29" t="str">
        <f>IF('5Capital Costs'!A32&lt;&gt;"", '5Capital Costs'!A32, "")</f>
        <v/>
      </c>
      <c r="B31" s="3" t="str">
        <f>IF('5Capital Costs'!B32&lt;&gt;"", '5Capital Costs'!B32, "")</f>
        <v/>
      </c>
      <c r="C31" s="46" t="str">
        <f>IF('5Capital Costs'!C32&lt;&gt;"", '5Capital Costs'!C32, "")</f>
        <v/>
      </c>
      <c r="D31" s="47" t="str">
        <f>IF('5Capital Costs'!D32&lt;&gt;"", '5Capital Costs'!D32, "")</f>
        <v/>
      </c>
      <c r="E31" s="27" t="str">
        <f>IF($A31&lt;&gt;"", (IF('6Replacement Costs - Entry'!J32="Y",((($B31*$D31)*((1+$B$5)^E$7))*(1/((1+$F$5)^E$7))),0)), "")</f>
        <v/>
      </c>
      <c r="F31" s="27" t="str">
        <f>IF($A31&lt;&gt;"", (IF('6Replacement Costs - Entry'!K32="Y",((($B31*$D31)*((1+$B$5)^F$7))*(1/((1+$F$5)^F$7))),0)), "")</f>
        <v/>
      </c>
      <c r="G31" s="27" t="str">
        <f>IF($A31&lt;&gt;"", (IF('6Replacement Costs - Entry'!L32="Y",((($B31*$D31)*((1+$B$5)^G$7))*(1/((1+$F$5)^G$7))),0)), "")</f>
        <v/>
      </c>
      <c r="H31" s="27" t="str">
        <f>IF($A31&lt;&gt;"", (IF('6Replacement Costs - Entry'!M32="Y",((($B31*$D31)*((1+$B$5)^H$7))*(1/((1+$F$5)^H$7))),0)), "")</f>
        <v/>
      </c>
      <c r="I31" s="27" t="str">
        <f>IF($A31&lt;&gt;"", (IF('6Replacement Costs - Entry'!N32="Y",((($B31*$D31)*((1+$B$5)^I$7))*(1/((1+$F$5)^I$7))),0)), "")</f>
        <v/>
      </c>
    </row>
    <row r="32" spans="1:9">
      <c r="A32" s="29" t="str">
        <f>IF('5Capital Costs'!A33&lt;&gt;"", '5Capital Costs'!A33, "")</f>
        <v/>
      </c>
      <c r="B32" s="3" t="str">
        <f>IF('5Capital Costs'!B33&lt;&gt;"", '5Capital Costs'!B33, "")</f>
        <v/>
      </c>
      <c r="C32" s="46" t="str">
        <f>IF('5Capital Costs'!C33&lt;&gt;"", '5Capital Costs'!C33, "")</f>
        <v/>
      </c>
      <c r="D32" s="47" t="str">
        <f>IF('5Capital Costs'!D33&lt;&gt;"", '5Capital Costs'!D33, "")</f>
        <v/>
      </c>
      <c r="E32" s="27" t="str">
        <f>IF($A32&lt;&gt;"", (IF('6Replacement Costs - Entry'!J33="Y",((($B32*$D32)*((1+$B$5)^E$7))*(1/((1+$F$5)^E$7))),0)), "")</f>
        <v/>
      </c>
      <c r="F32" s="27" t="str">
        <f>IF($A32&lt;&gt;"", (IF('6Replacement Costs - Entry'!K33="Y",((($B32*$D32)*((1+$B$5)^F$7))*(1/((1+$F$5)^F$7))),0)), "")</f>
        <v/>
      </c>
      <c r="G32" s="27" t="str">
        <f>IF($A32&lt;&gt;"", (IF('6Replacement Costs - Entry'!L33="Y",((($B32*$D32)*((1+$B$5)^G$7))*(1/((1+$F$5)^G$7))),0)), "")</f>
        <v/>
      </c>
      <c r="H32" s="27" t="str">
        <f>IF($A32&lt;&gt;"", (IF('6Replacement Costs - Entry'!M33="Y",((($B32*$D32)*((1+$B$5)^H$7))*(1/((1+$F$5)^H$7))),0)), "")</f>
        <v/>
      </c>
      <c r="I32" s="27" t="str">
        <f>IF($A32&lt;&gt;"", (IF('6Replacement Costs - Entry'!N33="Y",((($B32*$D32)*((1+$B$5)^I$7))*(1/((1+$F$5)^I$7))),0)), "")</f>
        <v/>
      </c>
    </row>
    <row r="33" spans="1:9">
      <c r="A33" s="29" t="str">
        <f>IF('5Capital Costs'!A34&lt;&gt;"", '5Capital Costs'!A34, "")</f>
        <v/>
      </c>
      <c r="B33" s="3" t="str">
        <f>IF('5Capital Costs'!B34&lt;&gt;"", '5Capital Costs'!B34, "")</f>
        <v/>
      </c>
      <c r="C33" s="46" t="str">
        <f>IF('5Capital Costs'!C34&lt;&gt;"", '5Capital Costs'!C34, "")</f>
        <v/>
      </c>
      <c r="D33" s="47" t="str">
        <f>IF('5Capital Costs'!D34&lt;&gt;"", '5Capital Costs'!D34, "")</f>
        <v/>
      </c>
      <c r="E33" s="27" t="str">
        <f>IF($A33&lt;&gt;"", (IF('6Replacement Costs - Entry'!J34="Y",((($B33*$D33)*((1+$B$5)^E$7))*(1/((1+$F$5)^E$7))),0)), "")</f>
        <v/>
      </c>
      <c r="F33" s="27" t="str">
        <f>IF($A33&lt;&gt;"", (IF('6Replacement Costs - Entry'!K34="Y",((($B33*$D33)*((1+$B$5)^F$7))*(1/((1+$F$5)^F$7))),0)), "")</f>
        <v/>
      </c>
      <c r="G33" s="27" t="str">
        <f>IF($A33&lt;&gt;"", (IF('6Replacement Costs - Entry'!L34="Y",((($B33*$D33)*((1+$B$5)^G$7))*(1/((1+$F$5)^G$7))),0)), "")</f>
        <v/>
      </c>
      <c r="H33" s="27" t="str">
        <f>IF($A33&lt;&gt;"", (IF('6Replacement Costs - Entry'!M34="Y",((($B33*$D33)*((1+$B$5)^H$7))*(1/((1+$F$5)^H$7))),0)), "")</f>
        <v/>
      </c>
      <c r="I33" s="27" t="str">
        <f>IF($A33&lt;&gt;"", (IF('6Replacement Costs - Entry'!N34="Y",((($B33*$D33)*((1+$B$5)^I$7))*(1/((1+$F$5)^I$7))),0)), "")</f>
        <v/>
      </c>
    </row>
    <row r="34" spans="1:9">
      <c r="A34" s="29" t="str">
        <f>IF('5Capital Costs'!A35&lt;&gt;"", '5Capital Costs'!A35, "")</f>
        <v/>
      </c>
      <c r="B34" s="3" t="str">
        <f>IF('5Capital Costs'!B35&lt;&gt;"", '5Capital Costs'!B35, "")</f>
        <v/>
      </c>
      <c r="C34" s="46" t="str">
        <f>IF('5Capital Costs'!C35&lt;&gt;"", '5Capital Costs'!C35, "")</f>
        <v/>
      </c>
      <c r="D34" s="47" t="str">
        <f>IF('5Capital Costs'!D35&lt;&gt;"", '5Capital Costs'!D35, "")</f>
        <v/>
      </c>
      <c r="E34" s="27" t="str">
        <f>IF($A34&lt;&gt;"", (IF('6Replacement Costs - Entry'!J35="Y",((($B34*$D34)*((1+$B$5)^E$7))*(1/((1+$F$5)^E$7))),0)), "")</f>
        <v/>
      </c>
      <c r="F34" s="27" t="str">
        <f>IF($A34&lt;&gt;"", (IF('6Replacement Costs - Entry'!K35="Y",((($B34*$D34)*((1+$B$5)^F$7))*(1/((1+$F$5)^F$7))),0)), "")</f>
        <v/>
      </c>
      <c r="G34" s="27" t="str">
        <f>IF($A34&lt;&gt;"", (IF('6Replacement Costs - Entry'!L35="Y",((($B34*$D34)*((1+$B$5)^G$7))*(1/((1+$F$5)^G$7))),0)), "")</f>
        <v/>
      </c>
      <c r="H34" s="27" t="str">
        <f>IF($A34&lt;&gt;"", (IF('6Replacement Costs - Entry'!M35="Y",((($B34*$D34)*((1+$B$5)^H$7))*(1/((1+$F$5)^H$7))),0)), "")</f>
        <v/>
      </c>
      <c r="I34" s="27" t="str">
        <f>IF($A34&lt;&gt;"", (IF('6Replacement Costs - Entry'!N35="Y",((($B34*$D34)*((1+$B$5)^I$7))*(1/((1+$F$5)^I$7))),0)), "")</f>
        <v/>
      </c>
    </row>
    <row r="35" spans="1:9">
      <c r="A35" s="29" t="str">
        <f>IF('5Capital Costs'!A36&lt;&gt;"", '5Capital Costs'!A36, "")</f>
        <v/>
      </c>
      <c r="B35" s="3" t="str">
        <f>IF('5Capital Costs'!B36&lt;&gt;"", '5Capital Costs'!B36, "")</f>
        <v/>
      </c>
      <c r="C35" s="46" t="str">
        <f>IF('5Capital Costs'!C36&lt;&gt;"", '5Capital Costs'!C36, "")</f>
        <v/>
      </c>
      <c r="D35" s="47" t="str">
        <f>IF('5Capital Costs'!D36&lt;&gt;"", '5Capital Costs'!D36, "")</f>
        <v/>
      </c>
      <c r="E35" s="27" t="str">
        <f>IF($A35&lt;&gt;"", (IF('6Replacement Costs - Entry'!J36="Y",((($B35*$D35)*((1+$B$5)^E$7))*(1/((1+$F$5)^E$7))),0)), "")</f>
        <v/>
      </c>
      <c r="F35" s="27" t="str">
        <f>IF($A35&lt;&gt;"", (IF('6Replacement Costs - Entry'!K36="Y",((($B35*$D35)*((1+$B$5)^F$7))*(1/((1+$F$5)^F$7))),0)), "")</f>
        <v/>
      </c>
      <c r="G35" s="27" t="str">
        <f>IF($A35&lt;&gt;"", (IF('6Replacement Costs - Entry'!L36="Y",((($B35*$D35)*((1+$B$5)^G$7))*(1/((1+$F$5)^G$7))),0)), "")</f>
        <v/>
      </c>
      <c r="H35" s="27" t="str">
        <f>IF($A35&lt;&gt;"", (IF('6Replacement Costs - Entry'!M36="Y",((($B35*$D35)*((1+$B$5)^H$7))*(1/((1+$F$5)^H$7))),0)), "")</f>
        <v/>
      </c>
      <c r="I35" s="27" t="str">
        <f>IF($A35&lt;&gt;"", (IF('6Replacement Costs - Entry'!N36="Y",((($B35*$D35)*((1+$B$5)^I$7))*(1/((1+$F$5)^I$7))),0)), "")</f>
        <v/>
      </c>
    </row>
    <row r="36" spans="1:9">
      <c r="A36" s="29" t="str">
        <f>IF('5Capital Costs'!A37&lt;&gt;"", '5Capital Costs'!A37, "")</f>
        <v/>
      </c>
      <c r="B36" s="3" t="str">
        <f>IF('5Capital Costs'!B37&lt;&gt;"", '5Capital Costs'!B37, "")</f>
        <v/>
      </c>
      <c r="C36" s="46" t="str">
        <f>IF('5Capital Costs'!C37&lt;&gt;"", '5Capital Costs'!C37, "")</f>
        <v/>
      </c>
      <c r="D36" s="47" t="str">
        <f>IF('5Capital Costs'!D37&lt;&gt;"", '5Capital Costs'!D37, "")</f>
        <v/>
      </c>
      <c r="E36" s="27" t="str">
        <f>IF($A36&lt;&gt;"", (IF('6Replacement Costs - Entry'!J37="Y",((($B36*$D36)*((1+$B$5)^E$7))*(1/((1+$F$5)^E$7))),0)), "")</f>
        <v/>
      </c>
      <c r="F36" s="27" t="str">
        <f>IF($A36&lt;&gt;"", (IF('6Replacement Costs - Entry'!K37="Y",((($B36*$D36)*((1+$B$5)^F$7))*(1/((1+$F$5)^F$7))),0)), "")</f>
        <v/>
      </c>
      <c r="G36" s="27" t="str">
        <f>IF($A36&lt;&gt;"", (IF('6Replacement Costs - Entry'!L37="Y",((($B36*$D36)*((1+$B$5)^G$7))*(1/((1+$F$5)^G$7))),0)), "")</f>
        <v/>
      </c>
      <c r="H36" s="27" t="str">
        <f>IF($A36&lt;&gt;"", (IF('6Replacement Costs - Entry'!M37="Y",((($B36*$D36)*((1+$B$5)^H$7))*(1/((1+$F$5)^H$7))),0)), "")</f>
        <v/>
      </c>
      <c r="I36" s="27" t="str">
        <f>IF($A36&lt;&gt;"", (IF('6Replacement Costs - Entry'!N37="Y",((($B36*$D36)*((1+$B$5)^I$7))*(1/((1+$F$5)^I$7))),0)), "")</f>
        <v/>
      </c>
    </row>
    <row r="37" spans="1:9">
      <c r="A37" s="23"/>
      <c r="B37" s="23"/>
      <c r="C37" s="23"/>
      <c r="D37" s="36" t="s">
        <v>49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185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'6Capital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'6Replace Costs - Results 1-5'!A5</f>
        <v>Current Inflation Rate based on Construction Cost Index:</v>
      </c>
      <c r="B5" s="69">
        <f>'6Replace Costs - Results 1-5'!B5</f>
        <v>2.0671834625323047E-2</v>
      </c>
      <c r="C5" s="67"/>
      <c r="D5" s="67"/>
      <c r="E5" s="70" t="s">
        <v>43</v>
      </c>
      <c r="F5" s="72">
        <f>'6Replace Costs - Results 1-5'!F5</f>
        <v>4.8750000000000002E-2</v>
      </c>
      <c r="G5" s="61"/>
      <c r="H5" s="48"/>
      <c r="I5" s="49"/>
    </row>
    <row r="6" spans="1:9">
      <c r="A6" s="22"/>
      <c r="B6" s="32"/>
      <c r="C6" s="32"/>
      <c r="D6" s="32"/>
      <c r="E6" s="151" t="s">
        <v>23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6</v>
      </c>
      <c r="F7" s="26">
        <v>7</v>
      </c>
      <c r="G7" s="26">
        <v>8</v>
      </c>
      <c r="H7" s="26">
        <v>9</v>
      </c>
      <c r="I7" s="26">
        <v>10</v>
      </c>
    </row>
    <row r="8" spans="1:9">
      <c r="A8" s="29" t="str">
        <f>IF('6Capital Costs'!A9&lt;&gt;"", '6Capital Costs'!A9, "")</f>
        <v/>
      </c>
      <c r="B8" s="3" t="str">
        <f>IF('6Capital Costs'!B9&lt;&gt;"", '6Capital Costs'!B9, "")</f>
        <v/>
      </c>
      <c r="C8" s="46" t="str">
        <f>IF('6Capital Costs'!C9&lt;&gt;"", '6Capital Costs'!C9, "")</f>
        <v/>
      </c>
      <c r="D8" s="47" t="str">
        <f>IF('6Capital Costs'!D9&lt;&gt;"", '6Capital Costs'!D9, "")</f>
        <v/>
      </c>
      <c r="E8" s="27" t="str">
        <f>IF($A8&lt;&gt;"", (IF('6Replacement Costs - Entry'!O9="Y",((($B8*$D8)*((1+$B$5)^E$7))*(1/((1+$F$5)^E$7))),0)), "")</f>
        <v/>
      </c>
      <c r="F8" s="27" t="str">
        <f>IF($A8&lt;&gt;"", (IF('6Replacement Costs - Entry'!P9="Y",((($B8*$D8)*((1+$B$5)^F$7))*(1/((1+$F$5)^F$7))),0)), "")</f>
        <v/>
      </c>
      <c r="G8" s="27" t="str">
        <f>IF($A8&lt;&gt;"", (IF('6Replacement Costs - Entry'!Q9="Y",((($B8*$D8)*((1+$B$5)^G$7))*(1/((1+$F$5)^G$7))),0)), "")</f>
        <v/>
      </c>
      <c r="H8" s="27" t="str">
        <f>IF($A8&lt;&gt;"", (IF('6Replacement Costs - Entry'!R9="Y",((($B8*$D8)*((1+$B$5)^H$7))*(1/((1+$F$5)^H$7))),0)), "")</f>
        <v/>
      </c>
      <c r="I8" s="27" t="str">
        <f>IF($A8&lt;&gt;"", (IF('6Replacement Costs - Entry'!S9="Y",((($B8*$D8)*((1+$B$5)^I$7))*(1/((1+$F$5)^I$7))),0)), "")</f>
        <v/>
      </c>
    </row>
    <row r="9" spans="1:9">
      <c r="A9" s="29" t="str">
        <f>IF('6Capital Costs'!A10&lt;&gt;"", '6Capital Costs'!A10, "")</f>
        <v/>
      </c>
      <c r="B9" s="3" t="str">
        <f>IF('6Capital Costs'!B10&lt;&gt;"", '6Capital Costs'!B10, "")</f>
        <v/>
      </c>
      <c r="C9" s="46" t="str">
        <f>IF('6Capital Costs'!C10&lt;&gt;"", '6Capital Costs'!C10, "")</f>
        <v/>
      </c>
      <c r="D9" s="47" t="str">
        <f>IF('6Capital Costs'!D10&lt;&gt;"", '6Capital Costs'!D10, "")</f>
        <v/>
      </c>
      <c r="E9" s="27" t="str">
        <f>IF($A9&lt;&gt;"", (IF('6Replacement Costs - Entry'!O10="Y",((($B9*$D9)*((1+$B$5)^E$7))*(1/((1+$F$5)^E$7))),0)), "")</f>
        <v/>
      </c>
      <c r="F9" s="27" t="str">
        <f>IF($A9&lt;&gt;"", (IF('6Replacement Costs - Entry'!P10="Y",((($B9*$D9)*((1+$B$5)^F$7))*(1/((1+$F$5)^F$7))),0)), "")</f>
        <v/>
      </c>
      <c r="G9" s="27" t="str">
        <f>IF($A9&lt;&gt;"", (IF('6Replacement Costs - Entry'!Q10="Y",((($B9*$D9)*((1+$B$5)^G$7))*(1/((1+$F$5)^G$7))),0)), "")</f>
        <v/>
      </c>
      <c r="H9" s="27" t="str">
        <f>IF($A9&lt;&gt;"", (IF('6Replacement Costs - Entry'!R10="Y",((($B9*$D9)*((1+$B$5)^H$7))*(1/((1+$F$5)^H$7))),0)), "")</f>
        <v/>
      </c>
      <c r="I9" s="27" t="str">
        <f>IF($A9&lt;&gt;"", (IF('6Replacement Costs - Entry'!S10="Y",((($B9*$D9)*((1+$B$5)^I$7))*(1/((1+$F$5)^I$7))),0)), "")</f>
        <v/>
      </c>
    </row>
    <row r="10" spans="1:9">
      <c r="A10" s="29" t="str">
        <f>IF('6Capital Costs'!A11&lt;&gt;"", '6Capital Costs'!A11, "")</f>
        <v/>
      </c>
      <c r="B10" s="3" t="str">
        <f>IF('6Capital Costs'!B11&lt;&gt;"", '6Capital Costs'!B11, "")</f>
        <v/>
      </c>
      <c r="C10" s="46" t="str">
        <f>IF('6Capital Costs'!C11&lt;&gt;"", '6Capital Costs'!C11, "")</f>
        <v/>
      </c>
      <c r="D10" s="47" t="str">
        <f>IF('6Capital Costs'!D11&lt;&gt;"", '6Capital Costs'!D11, "")</f>
        <v/>
      </c>
      <c r="E10" s="27" t="str">
        <f>IF($A10&lt;&gt;"", (IF('6Replacement Costs - Entry'!O11="Y",((($B10*$D10)*((1+$B$5)^E$7))*(1/((1+$F$5)^E$7))),0)), "")</f>
        <v/>
      </c>
      <c r="F10" s="27" t="str">
        <f>IF($A10&lt;&gt;"", (IF('6Replacement Costs - Entry'!P11="Y",((($B10*$D10)*((1+$B$5)^F$7))*(1/((1+$F$5)^F$7))),0)), "")</f>
        <v/>
      </c>
      <c r="G10" s="27" t="str">
        <f>IF($A10&lt;&gt;"", (IF('6Replacement Costs - Entry'!Q11="Y",((($B10*$D10)*((1+$B$5)^G$7))*(1/((1+$F$5)^G$7))),0)), "")</f>
        <v/>
      </c>
      <c r="H10" s="27" t="str">
        <f>IF($A10&lt;&gt;"", (IF('6Replacement Costs - Entry'!R11="Y",((($B10*$D10)*((1+$B$5)^H$7))*(1/((1+$F$5)^H$7))),0)), "")</f>
        <v/>
      </c>
      <c r="I10" s="27" t="str">
        <f>IF($A10&lt;&gt;"", (IF('6Replacement Costs - Entry'!S11="Y",((($B10*$D10)*((1+$B$5)^I$7))*(1/((1+$F$5)^I$7))),0)), "")</f>
        <v/>
      </c>
    </row>
    <row r="11" spans="1:9">
      <c r="A11" s="29" t="str">
        <f>IF('6Capital Costs'!A12&lt;&gt;"", '6Capital Costs'!A12, "")</f>
        <v/>
      </c>
      <c r="B11" s="3" t="str">
        <f>IF('6Capital Costs'!B12&lt;&gt;"", '6Capital Costs'!B12, "")</f>
        <v/>
      </c>
      <c r="C11" s="46" t="str">
        <f>IF('6Capital Costs'!C12&lt;&gt;"", '6Capital Costs'!C12, "")</f>
        <v/>
      </c>
      <c r="D11" s="47" t="str">
        <f>IF('6Capital Costs'!D12&lt;&gt;"", '6Capital Costs'!D12, "")</f>
        <v/>
      </c>
      <c r="E11" s="27" t="str">
        <f>IF($A11&lt;&gt;"", (IF('6Replacement Costs - Entry'!O12="Y",((($B11*$D11)*((1+$B$5)^E$7))*(1/((1+$F$5)^E$7))),0)), "")</f>
        <v/>
      </c>
      <c r="F11" s="27" t="str">
        <f>IF($A11&lt;&gt;"", (IF('6Replacement Costs - Entry'!P12="Y",((($B11*$D11)*((1+$B$5)^F$7))*(1/((1+$F$5)^F$7))),0)), "")</f>
        <v/>
      </c>
      <c r="G11" s="27" t="str">
        <f>IF($A11&lt;&gt;"", (IF('6Replacement Costs - Entry'!Q12="Y",((($B11*$D11)*((1+$B$5)^G$7))*(1/((1+$F$5)^G$7))),0)), "")</f>
        <v/>
      </c>
      <c r="H11" s="27" t="str">
        <f>IF($A11&lt;&gt;"", (IF('6Replacement Costs - Entry'!R12="Y",((($B11*$D11)*((1+$B$5)^H$7))*(1/((1+$F$5)^H$7))),0)), "")</f>
        <v/>
      </c>
      <c r="I11" s="27" t="str">
        <f>IF($A11&lt;&gt;"", (IF('6Replacement Costs - Entry'!S12="Y",((($B11*$D11)*((1+$B$5)^I$7))*(1/((1+$F$5)^I$7))),0)), "")</f>
        <v/>
      </c>
    </row>
    <row r="12" spans="1:9">
      <c r="A12" s="29" t="str">
        <f>IF('6Capital Costs'!A13&lt;&gt;"", '6Capital Costs'!A13, "")</f>
        <v/>
      </c>
      <c r="B12" s="3" t="str">
        <f>IF('6Capital Costs'!B13&lt;&gt;"", '6Capital Costs'!B13, "")</f>
        <v/>
      </c>
      <c r="C12" s="46" t="str">
        <f>IF('6Capital Costs'!C13&lt;&gt;"", '6Capital Costs'!C13, "")</f>
        <v/>
      </c>
      <c r="D12" s="47" t="str">
        <f>IF('6Capital Costs'!D13&lt;&gt;"", '6Capital Costs'!D13, "")</f>
        <v/>
      </c>
      <c r="E12" s="27" t="str">
        <f>IF($A12&lt;&gt;"", (IF('6Replacement Costs - Entry'!O13="Y",((($B12*$D12)*((1+$B$5)^E$7))*(1/((1+$F$5)^E$7))),0)), "")</f>
        <v/>
      </c>
      <c r="F12" s="27" t="str">
        <f>IF($A12&lt;&gt;"", (IF('6Replacement Costs - Entry'!P13="Y",((($B12*$D12)*((1+$B$5)^F$7))*(1/((1+$F$5)^F$7))),0)), "")</f>
        <v/>
      </c>
      <c r="G12" s="27" t="str">
        <f>IF($A12&lt;&gt;"", (IF('6Replacement Costs - Entry'!Q13="Y",((($B12*$D12)*((1+$B$5)^G$7))*(1/((1+$F$5)^G$7))),0)), "")</f>
        <v/>
      </c>
      <c r="H12" s="27" t="str">
        <f>IF($A12&lt;&gt;"", (IF('6Replacement Costs - Entry'!R13="Y",((($B12*$D12)*((1+$B$5)^H$7))*(1/((1+$F$5)^H$7))),0)), "")</f>
        <v/>
      </c>
      <c r="I12" s="27" t="str">
        <f>IF($A12&lt;&gt;"", (IF('6Replacement Costs - Entry'!S13="Y",((($B12*$D12)*((1+$B$5)^I$7))*(1/((1+$F$5)^I$7))),0)), "")</f>
        <v/>
      </c>
    </row>
    <row r="13" spans="1:9">
      <c r="A13" s="29" t="str">
        <f>IF('6Capital Costs'!A14&lt;&gt;"", '6Capital Costs'!A14, "")</f>
        <v/>
      </c>
      <c r="B13" s="3" t="str">
        <f>IF('6Capital Costs'!B14&lt;&gt;"", '6Capital Costs'!B14, "")</f>
        <v/>
      </c>
      <c r="C13" s="46" t="str">
        <f>IF('6Capital Costs'!C14&lt;&gt;"", '6Capital Costs'!C14, "")</f>
        <v/>
      </c>
      <c r="D13" s="47" t="str">
        <f>IF('6Capital Costs'!D14&lt;&gt;"", '6Capital Costs'!D14, "")</f>
        <v/>
      </c>
      <c r="E13" s="27" t="str">
        <f>IF($A13&lt;&gt;"", (IF('6Replacement Costs - Entry'!O14="Y",((($B13*$D13)*((1+$B$5)^E$7))*(1/((1+$F$5)^E$7))),0)), "")</f>
        <v/>
      </c>
      <c r="F13" s="27" t="str">
        <f>IF($A13&lt;&gt;"", (IF('6Replacement Costs - Entry'!P14="Y",((($B13*$D13)*((1+$B$5)^F$7))*(1/((1+$F$5)^F$7))),0)), "")</f>
        <v/>
      </c>
      <c r="G13" s="27" t="str">
        <f>IF($A13&lt;&gt;"", (IF('6Replacement Costs - Entry'!Q14="Y",((($B13*$D13)*((1+$B$5)^G$7))*(1/((1+$F$5)^G$7))),0)), "")</f>
        <v/>
      </c>
      <c r="H13" s="27" t="str">
        <f>IF($A13&lt;&gt;"", (IF('6Replacement Costs - Entry'!R14="Y",((($B13*$D13)*((1+$B$5)^H$7))*(1/((1+$F$5)^H$7))),0)), "")</f>
        <v/>
      </c>
      <c r="I13" s="27" t="str">
        <f>IF($A13&lt;&gt;"", (IF('6Replacement Costs - Entry'!S14="Y",((($B13*$D13)*((1+$B$5)^I$7))*(1/((1+$F$5)^I$7))),0)), "")</f>
        <v/>
      </c>
    </row>
    <row r="14" spans="1:9">
      <c r="A14" s="29" t="str">
        <f>IF('6Capital Costs'!A15&lt;&gt;"", '6Capital Costs'!A15, "")</f>
        <v/>
      </c>
      <c r="B14" s="3" t="str">
        <f>IF('6Capital Costs'!B15&lt;&gt;"", '6Capital Costs'!B15, "")</f>
        <v/>
      </c>
      <c r="C14" s="46" t="str">
        <f>IF('6Capital Costs'!C15&lt;&gt;"", '6Capital Costs'!C15, "")</f>
        <v/>
      </c>
      <c r="D14" s="47" t="str">
        <f>IF('6Capital Costs'!D15&lt;&gt;"", '6Capital Costs'!D15, "")</f>
        <v/>
      </c>
      <c r="E14" s="27" t="str">
        <f>IF($A14&lt;&gt;"", (IF('6Replacement Costs - Entry'!O15="Y",((($B14*$D14)*((1+$B$5)^E$7))*(1/((1+$F$5)^E$7))),0)), "")</f>
        <v/>
      </c>
      <c r="F14" s="27" t="str">
        <f>IF($A14&lt;&gt;"", (IF('6Replacement Costs - Entry'!P15="Y",((($B14*$D14)*((1+$B$5)^F$7))*(1/((1+$F$5)^F$7))),0)), "")</f>
        <v/>
      </c>
      <c r="G14" s="27" t="str">
        <f>IF($A14&lt;&gt;"", (IF('6Replacement Costs - Entry'!Q15="Y",((($B14*$D14)*((1+$B$5)^G$7))*(1/((1+$F$5)^G$7))),0)), "")</f>
        <v/>
      </c>
      <c r="H14" s="27" t="str">
        <f>IF($A14&lt;&gt;"", (IF('6Replacement Costs - Entry'!R15="Y",((($B14*$D14)*((1+$B$5)^H$7))*(1/((1+$F$5)^H$7))),0)), "")</f>
        <v/>
      </c>
      <c r="I14" s="27" t="str">
        <f>IF($A14&lt;&gt;"", (IF('6Replacement Costs - Entry'!S15="Y",((($B14*$D14)*((1+$B$5)^I$7))*(1/((1+$F$5)^I$7))),0)), "")</f>
        <v/>
      </c>
    </row>
    <row r="15" spans="1:9">
      <c r="A15" s="29" t="str">
        <f>IF('6Capital Costs'!A16&lt;&gt;"", '6Capital Costs'!A16, "")</f>
        <v/>
      </c>
      <c r="B15" s="3" t="str">
        <f>IF('6Capital Costs'!B16&lt;&gt;"", '6Capital Costs'!B16, "")</f>
        <v/>
      </c>
      <c r="C15" s="46" t="str">
        <f>IF('6Capital Costs'!C16&lt;&gt;"", '6Capital Costs'!C16, "")</f>
        <v/>
      </c>
      <c r="D15" s="47" t="str">
        <f>IF('6Capital Costs'!D16&lt;&gt;"", '6Capital Costs'!D16, "")</f>
        <v/>
      </c>
      <c r="E15" s="27" t="str">
        <f>IF($A15&lt;&gt;"", (IF('6Replacement Costs - Entry'!O16="Y",((($B15*$D15)*((1+$B$5)^E$7))*(1/((1+$F$5)^E$7))),0)), "")</f>
        <v/>
      </c>
      <c r="F15" s="27" t="str">
        <f>IF($A15&lt;&gt;"", (IF('6Replacement Costs - Entry'!P16="Y",((($B15*$D15)*((1+$B$5)^F$7))*(1/((1+$F$5)^F$7))),0)), "")</f>
        <v/>
      </c>
      <c r="G15" s="27" t="str">
        <f>IF($A15&lt;&gt;"", (IF('6Replacement Costs - Entry'!Q16="Y",((($B15*$D15)*((1+$B$5)^G$7))*(1/((1+$F$5)^G$7))),0)), "")</f>
        <v/>
      </c>
      <c r="H15" s="27" t="str">
        <f>IF($A15&lt;&gt;"", (IF('6Replacement Costs - Entry'!R16="Y",((($B15*$D15)*((1+$B$5)^H$7))*(1/((1+$F$5)^H$7))),0)), "")</f>
        <v/>
      </c>
      <c r="I15" s="27" t="str">
        <f>IF($A15&lt;&gt;"", (IF('6Replacement Costs - Entry'!S16="Y",((($B15*$D15)*((1+$B$5)^I$7))*(1/((1+$F$5)^I$7))),0)), "")</f>
        <v/>
      </c>
    </row>
    <row r="16" spans="1:9">
      <c r="A16" s="29" t="str">
        <f>IF('6Capital Costs'!A17&lt;&gt;"", '6Capital Costs'!A17, "")</f>
        <v/>
      </c>
      <c r="B16" s="3" t="str">
        <f>IF('6Capital Costs'!B17&lt;&gt;"", '6Capital Costs'!B17, "")</f>
        <v/>
      </c>
      <c r="C16" s="46" t="str">
        <f>IF('6Capital Costs'!C17&lt;&gt;"", '6Capital Costs'!C17, "")</f>
        <v/>
      </c>
      <c r="D16" s="47" t="str">
        <f>IF('6Capital Costs'!D17&lt;&gt;"", '6Capital Costs'!D17, "")</f>
        <v/>
      </c>
      <c r="E16" s="27" t="str">
        <f>IF($A16&lt;&gt;"", (IF('6Replacement Costs - Entry'!O17="Y",((($B16*$D16)*((1+$B$5)^E$7))*(1/((1+$F$5)^E$7))),0)), "")</f>
        <v/>
      </c>
      <c r="F16" s="27" t="str">
        <f>IF($A16&lt;&gt;"", (IF('6Replacement Costs - Entry'!P17="Y",((($B16*$D16)*((1+$B$5)^F$7))*(1/((1+$F$5)^F$7))),0)), "")</f>
        <v/>
      </c>
      <c r="G16" s="27" t="str">
        <f>IF($A16&lt;&gt;"", (IF('6Replacement Costs - Entry'!Q17="Y",((($B16*$D16)*((1+$B$5)^G$7))*(1/((1+$F$5)^G$7))),0)), "")</f>
        <v/>
      </c>
      <c r="H16" s="27" t="str">
        <f>IF($A16&lt;&gt;"", (IF('6Replacement Costs - Entry'!R17="Y",((($B16*$D16)*((1+$B$5)^H$7))*(1/((1+$F$5)^H$7))),0)), "")</f>
        <v/>
      </c>
      <c r="I16" s="27" t="str">
        <f>IF($A16&lt;&gt;"", (IF('6Replacement Costs - Entry'!S17="Y",((($B16*$D16)*((1+$B$5)^I$7))*(1/((1+$F$5)^I$7))),0)), "")</f>
        <v/>
      </c>
    </row>
    <row r="17" spans="1:9">
      <c r="A17" s="29" t="str">
        <f>IF('6Capital Costs'!A18&lt;&gt;"", '6Capital Costs'!A18, "")</f>
        <v/>
      </c>
      <c r="B17" s="3" t="str">
        <f>IF('6Capital Costs'!B18&lt;&gt;"", '6Capital Costs'!B18, "")</f>
        <v/>
      </c>
      <c r="C17" s="46" t="str">
        <f>IF('6Capital Costs'!C18&lt;&gt;"", '6Capital Costs'!C18, "")</f>
        <v/>
      </c>
      <c r="D17" s="47" t="str">
        <f>IF('6Capital Costs'!D18&lt;&gt;"", '6Capital Costs'!D18, "")</f>
        <v/>
      </c>
      <c r="E17" s="27" t="str">
        <f>IF($A17&lt;&gt;"", (IF('6Replacement Costs - Entry'!O18="Y",((($B17*$D17)*((1+$B$5)^E$7))*(1/((1+$F$5)^E$7))),0)), "")</f>
        <v/>
      </c>
      <c r="F17" s="27" t="str">
        <f>IF($A17&lt;&gt;"", (IF('6Replacement Costs - Entry'!P18="Y",((($B17*$D17)*((1+$B$5)^F$7))*(1/((1+$F$5)^F$7))),0)), "")</f>
        <v/>
      </c>
      <c r="G17" s="27" t="str">
        <f>IF($A17&lt;&gt;"", (IF('6Replacement Costs - Entry'!Q18="Y",((($B17*$D17)*((1+$B$5)^G$7))*(1/((1+$F$5)^G$7))),0)), "")</f>
        <v/>
      </c>
      <c r="H17" s="27" t="str">
        <f>IF($A17&lt;&gt;"", (IF('6Replacement Costs - Entry'!R18="Y",((($B17*$D17)*((1+$B$5)^H$7))*(1/((1+$F$5)^H$7))),0)), "")</f>
        <v/>
      </c>
      <c r="I17" s="27" t="str">
        <f>IF($A17&lt;&gt;"", (IF('6Replacement Costs - Entry'!S18="Y",((($B17*$D17)*((1+$B$5)^I$7))*(1/((1+$F$5)^I$7))),0)), "")</f>
        <v/>
      </c>
    </row>
    <row r="18" spans="1:9">
      <c r="A18" s="29" t="str">
        <f>IF('6Capital Costs'!A19&lt;&gt;"", '6Capital Costs'!A19, "")</f>
        <v/>
      </c>
      <c r="B18" s="3" t="str">
        <f>IF('6Capital Costs'!B19&lt;&gt;"", '6Capital Costs'!B19, "")</f>
        <v/>
      </c>
      <c r="C18" s="46" t="str">
        <f>IF('6Capital Costs'!C19&lt;&gt;"", '6Capital Costs'!C19, "")</f>
        <v/>
      </c>
      <c r="D18" s="47" t="str">
        <f>IF('6Capital Costs'!D19&lt;&gt;"", '6Capital Costs'!D19, "")</f>
        <v/>
      </c>
      <c r="E18" s="27" t="str">
        <f>IF($A18&lt;&gt;"", (IF('6Replacement Costs - Entry'!O19="Y",((($B18*$D18)*((1+$B$5)^E$7))*(1/((1+$F$5)^E$7))),0)), "")</f>
        <v/>
      </c>
      <c r="F18" s="27" t="str">
        <f>IF($A18&lt;&gt;"", (IF('6Replacement Costs - Entry'!P19="Y",((($B18*$D18)*((1+$B$5)^F$7))*(1/((1+$F$5)^F$7))),0)), "")</f>
        <v/>
      </c>
      <c r="G18" s="27" t="str">
        <f>IF($A18&lt;&gt;"", (IF('6Replacement Costs - Entry'!Q19="Y",((($B18*$D18)*((1+$B$5)^G$7))*(1/((1+$F$5)^G$7))),0)), "")</f>
        <v/>
      </c>
      <c r="H18" s="27" t="str">
        <f>IF($A18&lt;&gt;"", (IF('6Replacement Costs - Entry'!R19="Y",((($B18*$D18)*((1+$B$5)^H$7))*(1/((1+$F$5)^H$7))),0)), "")</f>
        <v/>
      </c>
      <c r="I18" s="27" t="str">
        <f>IF($A18&lt;&gt;"", (IF('6Replacement Costs - Entry'!S19="Y",((($B18*$D18)*((1+$B$5)^I$7))*(1/((1+$F$5)^I$7))),0)), "")</f>
        <v/>
      </c>
    </row>
    <row r="19" spans="1:9">
      <c r="A19" s="29" t="str">
        <f>IF('6Capital Costs'!A20&lt;&gt;"", '6Capital Costs'!A20, "")</f>
        <v/>
      </c>
      <c r="B19" s="3" t="str">
        <f>IF('6Capital Costs'!B20&lt;&gt;"", '6Capital Costs'!B20, "")</f>
        <v/>
      </c>
      <c r="C19" s="46" t="str">
        <f>IF('6Capital Costs'!C20&lt;&gt;"", '6Capital Costs'!C20, "")</f>
        <v/>
      </c>
      <c r="D19" s="47" t="str">
        <f>IF('6Capital Costs'!D20&lt;&gt;"", '6Capital Costs'!D20, "")</f>
        <v/>
      </c>
      <c r="E19" s="27" t="str">
        <f>IF($A19&lt;&gt;"", (IF('6Replacement Costs - Entry'!O20="Y",((($B19*$D19)*((1+$B$5)^E$7))*(1/((1+$F$5)^E$7))),0)), "")</f>
        <v/>
      </c>
      <c r="F19" s="27" t="str">
        <f>IF($A19&lt;&gt;"", (IF('6Replacement Costs - Entry'!P20="Y",((($B19*$D19)*((1+$B$5)^F$7))*(1/((1+$F$5)^F$7))),0)), "")</f>
        <v/>
      </c>
      <c r="G19" s="27" t="str">
        <f>IF($A19&lt;&gt;"", (IF('6Replacement Costs - Entry'!Q20="Y",((($B19*$D19)*((1+$B$5)^G$7))*(1/((1+$F$5)^G$7))),0)), "")</f>
        <v/>
      </c>
      <c r="H19" s="27" t="str">
        <f>IF($A19&lt;&gt;"", (IF('6Replacement Costs - Entry'!R20="Y",((($B19*$D19)*((1+$B$5)^H$7))*(1/((1+$F$5)^H$7))),0)), "")</f>
        <v/>
      </c>
      <c r="I19" s="27" t="str">
        <f>IF($A19&lt;&gt;"", (IF('6Replacement Costs - Entry'!S20="Y",((($B19*$D19)*((1+$B$5)^I$7))*(1/((1+$F$5)^I$7))),0)), "")</f>
        <v/>
      </c>
    </row>
    <row r="20" spans="1:9">
      <c r="A20" s="29" t="str">
        <f>IF('6Capital Costs'!A21&lt;&gt;"", '6Capital Costs'!A21, "")</f>
        <v/>
      </c>
      <c r="B20" s="3" t="str">
        <f>IF('6Capital Costs'!B21&lt;&gt;"", '6Capital Costs'!B21, "")</f>
        <v/>
      </c>
      <c r="C20" s="46" t="str">
        <f>IF('6Capital Costs'!C21&lt;&gt;"", '6Capital Costs'!C21, "")</f>
        <v/>
      </c>
      <c r="D20" s="47" t="str">
        <f>IF('6Capital Costs'!D21&lt;&gt;"", '6Capital Costs'!D21, "")</f>
        <v/>
      </c>
      <c r="E20" s="27" t="str">
        <f>IF($A20&lt;&gt;"", (IF('6Replacement Costs - Entry'!O21="Y",((($B20*$D20)*((1+$B$5)^E$7))*(1/((1+$F$5)^E$7))),0)), "")</f>
        <v/>
      </c>
      <c r="F20" s="27" t="str">
        <f>IF($A20&lt;&gt;"", (IF('6Replacement Costs - Entry'!P21="Y",((($B20*$D20)*((1+$B$5)^F$7))*(1/((1+$F$5)^F$7))),0)), "")</f>
        <v/>
      </c>
      <c r="G20" s="27" t="str">
        <f>IF($A20&lt;&gt;"", (IF('6Replacement Costs - Entry'!Q21="Y",((($B20*$D20)*((1+$B$5)^G$7))*(1/((1+$F$5)^G$7))),0)), "")</f>
        <v/>
      </c>
      <c r="H20" s="27" t="str">
        <f>IF($A20&lt;&gt;"", (IF('6Replacement Costs - Entry'!R21="Y",((($B20*$D20)*((1+$B$5)^H$7))*(1/((1+$F$5)^H$7))),0)), "")</f>
        <v/>
      </c>
      <c r="I20" s="27" t="str">
        <f>IF($A20&lt;&gt;"", (IF('6Replacement Costs - Entry'!S21="Y",((($B20*$D20)*((1+$B$5)^I$7))*(1/((1+$F$5)^I$7))),0)), "")</f>
        <v/>
      </c>
    </row>
    <row r="21" spans="1:9">
      <c r="A21" s="29" t="str">
        <f>IF('6Capital Costs'!A22&lt;&gt;"", '6Capital Costs'!A22, "")</f>
        <v/>
      </c>
      <c r="B21" s="3" t="str">
        <f>IF('6Capital Costs'!B22&lt;&gt;"", '6Capital Costs'!B22, "")</f>
        <v/>
      </c>
      <c r="C21" s="46" t="str">
        <f>IF('6Capital Costs'!C22&lt;&gt;"", '6Capital Costs'!C22, "")</f>
        <v/>
      </c>
      <c r="D21" s="47" t="str">
        <f>IF('6Capital Costs'!D22&lt;&gt;"", '6Capital Costs'!D22, "")</f>
        <v/>
      </c>
      <c r="E21" s="27" t="str">
        <f>IF($A21&lt;&gt;"", (IF('6Replacement Costs - Entry'!O22="Y",((($B21*$D21)*((1+$B$5)^E$7))*(1/((1+$F$5)^E$7))),0)), "")</f>
        <v/>
      </c>
      <c r="F21" s="27" t="str">
        <f>IF($A21&lt;&gt;"", (IF('6Replacement Costs - Entry'!P22="Y",((($B21*$D21)*((1+$B$5)^F$7))*(1/((1+$F$5)^F$7))),0)), "")</f>
        <v/>
      </c>
      <c r="G21" s="27" t="str">
        <f>IF($A21&lt;&gt;"", (IF('6Replacement Costs - Entry'!Q22="Y",((($B21*$D21)*((1+$B$5)^G$7))*(1/((1+$F$5)^G$7))),0)), "")</f>
        <v/>
      </c>
      <c r="H21" s="27" t="str">
        <f>IF($A21&lt;&gt;"", (IF('6Replacement Costs - Entry'!R22="Y",((($B21*$D21)*((1+$B$5)^H$7))*(1/((1+$F$5)^H$7))),0)), "")</f>
        <v/>
      </c>
      <c r="I21" s="27" t="str">
        <f>IF($A21&lt;&gt;"", (IF('6Replacement Costs - Entry'!S22="Y",((($B21*$D21)*((1+$B$5)^I$7))*(1/((1+$F$5)^I$7))),0)), "")</f>
        <v/>
      </c>
    </row>
    <row r="22" spans="1:9">
      <c r="A22" s="29" t="str">
        <f>IF('6Capital Costs'!A23&lt;&gt;"", '6Capital Costs'!A23, "")</f>
        <v/>
      </c>
      <c r="B22" s="3" t="str">
        <f>IF('6Capital Costs'!B23&lt;&gt;"", '6Capital Costs'!B23, "")</f>
        <v/>
      </c>
      <c r="C22" s="46" t="str">
        <f>IF('6Capital Costs'!C23&lt;&gt;"", '6Capital Costs'!C23, "")</f>
        <v/>
      </c>
      <c r="D22" s="47" t="str">
        <f>IF('6Capital Costs'!D23&lt;&gt;"", '6Capital Costs'!D23, "")</f>
        <v/>
      </c>
      <c r="E22" s="27" t="str">
        <f>IF($A22&lt;&gt;"", (IF('6Replacement Costs - Entry'!O23="Y",((($B22*$D22)*((1+$B$5)^E$7))*(1/((1+$F$5)^E$7))),0)), "")</f>
        <v/>
      </c>
      <c r="F22" s="27" t="str">
        <f>IF($A22&lt;&gt;"", (IF('6Replacement Costs - Entry'!P23="Y",((($B22*$D22)*((1+$B$5)^F$7))*(1/((1+$F$5)^F$7))),0)), "")</f>
        <v/>
      </c>
      <c r="G22" s="27" t="str">
        <f>IF($A22&lt;&gt;"", (IF('6Replacement Costs - Entry'!Q23="Y",((($B22*$D22)*((1+$B$5)^G$7))*(1/((1+$F$5)^G$7))),0)), "")</f>
        <v/>
      </c>
      <c r="H22" s="27" t="str">
        <f>IF($A22&lt;&gt;"", (IF('6Replacement Costs - Entry'!R23="Y",((($B22*$D22)*((1+$B$5)^H$7))*(1/((1+$F$5)^H$7))),0)), "")</f>
        <v/>
      </c>
      <c r="I22" s="27" t="str">
        <f>IF($A22&lt;&gt;"", (IF('6Replacement Costs - Entry'!S23="Y",((($B22*$D22)*((1+$B$5)^I$7))*(1/((1+$F$5)^I$7))),0)), "")</f>
        <v/>
      </c>
    </row>
    <row r="23" spans="1:9">
      <c r="A23" s="29" t="str">
        <f>IF('6Capital Costs'!A24&lt;&gt;"", '6Capital Costs'!A24, "")</f>
        <v/>
      </c>
      <c r="B23" s="3" t="str">
        <f>IF('6Capital Costs'!B24&lt;&gt;"", '6Capital Costs'!B24, "")</f>
        <v/>
      </c>
      <c r="C23" s="46" t="str">
        <f>IF('6Capital Costs'!C24&lt;&gt;"", '6Capital Costs'!C24, "")</f>
        <v/>
      </c>
      <c r="D23" s="47" t="str">
        <f>IF('6Capital Costs'!D24&lt;&gt;"", '6Capital Costs'!D24, "")</f>
        <v/>
      </c>
      <c r="E23" s="27" t="str">
        <f>IF($A23&lt;&gt;"", (IF('6Replacement Costs - Entry'!O24="Y",((($B23*$D23)*((1+$B$5)^E$7))*(1/((1+$F$5)^E$7))),0)), "")</f>
        <v/>
      </c>
      <c r="F23" s="27" t="str">
        <f>IF($A23&lt;&gt;"", (IF('6Replacement Costs - Entry'!P24="Y",((($B23*$D23)*((1+$B$5)^F$7))*(1/((1+$F$5)^F$7))),0)), "")</f>
        <v/>
      </c>
      <c r="G23" s="27" t="str">
        <f>IF($A23&lt;&gt;"", (IF('6Replacement Costs - Entry'!Q24="Y",((($B23*$D23)*((1+$B$5)^G$7))*(1/((1+$F$5)^G$7))),0)), "")</f>
        <v/>
      </c>
      <c r="H23" s="27" t="str">
        <f>IF($A23&lt;&gt;"", (IF('6Replacement Costs - Entry'!R24="Y",((($B23*$D23)*((1+$B$5)^H$7))*(1/((1+$F$5)^H$7))),0)), "")</f>
        <v/>
      </c>
      <c r="I23" s="27" t="str">
        <f>IF($A23&lt;&gt;"", (IF('6Replacement Costs - Entry'!S24="Y",((($B23*$D23)*((1+$B$5)^I$7))*(1/((1+$F$5)^I$7))),0)), "")</f>
        <v/>
      </c>
    </row>
    <row r="24" spans="1:9">
      <c r="A24" s="29" t="str">
        <f>IF('6Capital Costs'!A25&lt;&gt;"", '6Capital Costs'!A25, "")</f>
        <v/>
      </c>
      <c r="B24" s="3" t="str">
        <f>IF('6Capital Costs'!B25&lt;&gt;"", '6Capital Costs'!B25, "")</f>
        <v/>
      </c>
      <c r="C24" s="46" t="str">
        <f>IF('6Capital Costs'!C25&lt;&gt;"", '6Capital Costs'!C25, "")</f>
        <v/>
      </c>
      <c r="D24" s="47" t="str">
        <f>IF('6Capital Costs'!D25&lt;&gt;"", '6Capital Costs'!D25, "")</f>
        <v/>
      </c>
      <c r="E24" s="27" t="str">
        <f>IF($A24&lt;&gt;"", (IF('6Replacement Costs - Entry'!O25="Y",((($B24*$D24)*((1+$B$5)^E$7))*(1/((1+$F$5)^E$7))),0)), "")</f>
        <v/>
      </c>
      <c r="F24" s="27" t="str">
        <f>IF($A24&lt;&gt;"", (IF('6Replacement Costs - Entry'!P25="Y",((($B24*$D24)*((1+$B$5)^F$7))*(1/((1+$F$5)^F$7))),0)), "")</f>
        <v/>
      </c>
      <c r="G24" s="27" t="str">
        <f>IF($A24&lt;&gt;"", (IF('6Replacement Costs - Entry'!Q25="Y",((($B24*$D24)*((1+$B$5)^G$7))*(1/((1+$F$5)^G$7))),0)), "")</f>
        <v/>
      </c>
      <c r="H24" s="27" t="str">
        <f>IF($A24&lt;&gt;"", (IF('6Replacement Costs - Entry'!R25="Y",((($B24*$D24)*((1+$B$5)^H$7))*(1/((1+$F$5)^H$7))),0)), "")</f>
        <v/>
      </c>
      <c r="I24" s="27" t="str">
        <f>IF($A24&lt;&gt;"", (IF('6Replacement Costs - Entry'!S25="Y",((($B24*$D24)*((1+$B$5)^I$7))*(1/((1+$F$5)^I$7))),0)), "")</f>
        <v/>
      </c>
    </row>
    <row r="25" spans="1:9">
      <c r="A25" s="29" t="str">
        <f>IF('6Capital Costs'!A26&lt;&gt;"", '6Capital Costs'!A26, "")</f>
        <v/>
      </c>
      <c r="B25" s="3" t="str">
        <f>IF('6Capital Costs'!B26&lt;&gt;"", '6Capital Costs'!B26, "")</f>
        <v/>
      </c>
      <c r="C25" s="46" t="str">
        <f>IF('6Capital Costs'!C26&lt;&gt;"", '6Capital Costs'!C26, "")</f>
        <v/>
      </c>
      <c r="D25" s="47" t="str">
        <f>IF('6Capital Costs'!D26&lt;&gt;"", '6Capital Costs'!D26, "")</f>
        <v/>
      </c>
      <c r="E25" s="27" t="str">
        <f>IF($A25&lt;&gt;"", (IF('6Replacement Costs - Entry'!O26="Y",((($B25*$D25)*((1+$B$5)^E$7))*(1/((1+$F$5)^E$7))),0)), "")</f>
        <v/>
      </c>
      <c r="F25" s="27" t="str">
        <f>IF($A25&lt;&gt;"", (IF('6Replacement Costs - Entry'!P26="Y",((($B25*$D25)*((1+$B$5)^F$7))*(1/((1+$F$5)^F$7))),0)), "")</f>
        <v/>
      </c>
      <c r="G25" s="27" t="str">
        <f>IF($A25&lt;&gt;"", (IF('6Replacement Costs - Entry'!Q26="Y",((($B25*$D25)*((1+$B$5)^G$7))*(1/((1+$F$5)^G$7))),0)), "")</f>
        <v/>
      </c>
      <c r="H25" s="27" t="str">
        <f>IF($A25&lt;&gt;"", (IF('6Replacement Costs - Entry'!R26="Y",((($B25*$D25)*((1+$B$5)^H$7))*(1/((1+$F$5)^H$7))),0)), "")</f>
        <v/>
      </c>
      <c r="I25" s="27" t="str">
        <f>IF($A25&lt;&gt;"", (IF('6Replacement Costs - Entry'!S26="Y",((($B25*$D25)*((1+$B$5)^I$7))*(1/((1+$F$5)^I$7))),0)), "")</f>
        <v/>
      </c>
    </row>
    <row r="26" spans="1:9">
      <c r="A26" s="29" t="str">
        <f>IF('6Capital Costs'!A27&lt;&gt;"", '6Capital Costs'!A27, "")</f>
        <v/>
      </c>
      <c r="B26" s="3" t="str">
        <f>IF('6Capital Costs'!B27&lt;&gt;"", '6Capital Costs'!B27, "")</f>
        <v/>
      </c>
      <c r="C26" s="46" t="str">
        <f>IF('6Capital Costs'!C27&lt;&gt;"", '6Capital Costs'!C27, "")</f>
        <v/>
      </c>
      <c r="D26" s="47" t="str">
        <f>IF('6Capital Costs'!D27&lt;&gt;"", '6Capital Costs'!D27, "")</f>
        <v/>
      </c>
      <c r="E26" s="27" t="str">
        <f>IF($A26&lt;&gt;"", (IF('6Replacement Costs - Entry'!O27="Y",((($B26*$D26)*((1+$B$5)^E$7))*(1/((1+$F$5)^E$7))),0)), "")</f>
        <v/>
      </c>
      <c r="F26" s="27" t="str">
        <f>IF($A26&lt;&gt;"", (IF('6Replacement Costs - Entry'!P27="Y",((($B26*$D26)*((1+$B$5)^F$7))*(1/((1+$F$5)^F$7))),0)), "")</f>
        <v/>
      </c>
      <c r="G26" s="27" t="str">
        <f>IF($A26&lt;&gt;"", (IF('6Replacement Costs - Entry'!Q27="Y",((($B26*$D26)*((1+$B$5)^G$7))*(1/((1+$F$5)^G$7))),0)), "")</f>
        <v/>
      </c>
      <c r="H26" s="27" t="str">
        <f>IF($A26&lt;&gt;"", (IF('6Replacement Costs - Entry'!R27="Y",((($B26*$D26)*((1+$B$5)^H$7))*(1/((1+$F$5)^H$7))),0)), "")</f>
        <v/>
      </c>
      <c r="I26" s="27" t="str">
        <f>IF($A26&lt;&gt;"", (IF('6Replacement Costs - Entry'!S27="Y",((($B26*$D26)*((1+$B$5)^I$7))*(1/((1+$F$5)^I$7))),0)), "")</f>
        <v/>
      </c>
    </row>
    <row r="27" spans="1:9">
      <c r="A27" s="29" t="str">
        <f>IF('6Capital Costs'!A28&lt;&gt;"", '6Capital Costs'!A28, "")</f>
        <v/>
      </c>
      <c r="B27" s="3" t="str">
        <f>IF('6Capital Costs'!B28&lt;&gt;"", '6Capital Costs'!B28, "")</f>
        <v/>
      </c>
      <c r="C27" s="46" t="str">
        <f>IF('6Capital Costs'!C28&lt;&gt;"", '6Capital Costs'!C28, "")</f>
        <v/>
      </c>
      <c r="D27" s="47" t="str">
        <f>IF('6Capital Costs'!D28&lt;&gt;"", '6Capital Costs'!D28, "")</f>
        <v/>
      </c>
      <c r="E27" s="27" t="str">
        <f>IF($A27&lt;&gt;"", (IF('6Replacement Costs - Entry'!O28="Y",((($B27*$D27)*((1+$B$5)^E$7))*(1/((1+$F$5)^E$7))),0)), "")</f>
        <v/>
      </c>
      <c r="F27" s="27" t="str">
        <f>IF($A27&lt;&gt;"", (IF('6Replacement Costs - Entry'!P28="Y",((($B27*$D27)*((1+$B$5)^F$7))*(1/((1+$F$5)^F$7))),0)), "")</f>
        <v/>
      </c>
      <c r="G27" s="27" t="str">
        <f>IF($A27&lt;&gt;"", (IF('6Replacement Costs - Entry'!Q28="Y",((($B27*$D27)*((1+$B$5)^G$7))*(1/((1+$F$5)^G$7))),0)), "")</f>
        <v/>
      </c>
      <c r="H27" s="27" t="str">
        <f>IF($A27&lt;&gt;"", (IF('6Replacement Costs - Entry'!R28="Y",((($B27*$D27)*((1+$B$5)^H$7))*(1/((1+$F$5)^H$7))),0)), "")</f>
        <v/>
      </c>
      <c r="I27" s="27" t="str">
        <f>IF($A27&lt;&gt;"", (IF('6Replacement Costs - Entry'!S28="Y",((($B27*$D27)*((1+$B$5)^I$7))*(1/((1+$F$5)^I$7))),0)), "")</f>
        <v/>
      </c>
    </row>
    <row r="28" spans="1:9">
      <c r="A28" s="29" t="str">
        <f>IF('6Capital Costs'!A29&lt;&gt;"", '6Capital Costs'!A29, "")</f>
        <v/>
      </c>
      <c r="B28" s="3" t="str">
        <f>IF('6Capital Costs'!B29&lt;&gt;"", '6Capital Costs'!B29, "")</f>
        <v/>
      </c>
      <c r="C28" s="46" t="str">
        <f>IF('6Capital Costs'!C29&lt;&gt;"", '6Capital Costs'!C29, "")</f>
        <v/>
      </c>
      <c r="D28" s="47" t="str">
        <f>IF('6Capital Costs'!D29&lt;&gt;"", '6Capital Costs'!D29, "")</f>
        <v/>
      </c>
      <c r="E28" s="27" t="str">
        <f>IF($A28&lt;&gt;"", (IF('6Replacement Costs - Entry'!O29="Y",((($B28*$D28)*((1+$B$5)^E$7))*(1/((1+$F$5)^E$7))),0)), "")</f>
        <v/>
      </c>
      <c r="F28" s="27" t="str">
        <f>IF($A28&lt;&gt;"", (IF('6Replacement Costs - Entry'!P29="Y",((($B28*$D28)*((1+$B$5)^F$7))*(1/((1+$F$5)^F$7))),0)), "")</f>
        <v/>
      </c>
      <c r="G28" s="27" t="str">
        <f>IF($A28&lt;&gt;"", (IF('6Replacement Costs - Entry'!Q29="Y",((($B28*$D28)*((1+$B$5)^G$7))*(1/((1+$F$5)^G$7))),0)), "")</f>
        <v/>
      </c>
      <c r="H28" s="27" t="str">
        <f>IF($A28&lt;&gt;"", (IF('6Replacement Costs - Entry'!R29="Y",((($B28*$D28)*((1+$B$5)^H$7))*(1/((1+$F$5)^H$7))),0)), "")</f>
        <v/>
      </c>
      <c r="I28" s="27" t="str">
        <f>IF($A28&lt;&gt;"", (IF('6Replacement Costs - Entry'!S29="Y",((($B28*$D28)*((1+$B$5)^I$7))*(1/((1+$F$5)^I$7))),0)), "")</f>
        <v/>
      </c>
    </row>
    <row r="29" spans="1:9">
      <c r="A29" s="29" t="str">
        <f>IF('6Capital Costs'!A30&lt;&gt;"", '6Capital Costs'!A30, "")</f>
        <v/>
      </c>
      <c r="B29" s="3" t="str">
        <f>IF('6Capital Costs'!B30&lt;&gt;"", '6Capital Costs'!B30, "")</f>
        <v/>
      </c>
      <c r="C29" s="46" t="str">
        <f>IF('6Capital Costs'!C30&lt;&gt;"", '6Capital Costs'!C30, "")</f>
        <v/>
      </c>
      <c r="D29" s="47" t="str">
        <f>IF('6Capital Costs'!D30&lt;&gt;"", '6Capital Costs'!D30, "")</f>
        <v/>
      </c>
      <c r="E29" s="27" t="str">
        <f>IF($A29&lt;&gt;"", (IF('6Replacement Costs - Entry'!O30="Y",((($B29*$D29)*((1+$B$5)^E$7))*(1/((1+$F$5)^E$7))),0)), "")</f>
        <v/>
      </c>
      <c r="F29" s="27" t="str">
        <f>IF($A29&lt;&gt;"", (IF('6Replacement Costs - Entry'!P30="Y",((($B29*$D29)*((1+$B$5)^F$7))*(1/((1+$F$5)^F$7))),0)), "")</f>
        <v/>
      </c>
      <c r="G29" s="27" t="str">
        <f>IF($A29&lt;&gt;"", (IF('6Replacement Costs - Entry'!Q30="Y",((($B29*$D29)*((1+$B$5)^G$7))*(1/((1+$F$5)^G$7))),0)), "")</f>
        <v/>
      </c>
      <c r="H29" s="27" t="str">
        <f>IF($A29&lt;&gt;"", (IF('6Replacement Costs - Entry'!R30="Y",((($B29*$D29)*((1+$B$5)^H$7))*(1/((1+$F$5)^H$7))),0)), "")</f>
        <v/>
      </c>
      <c r="I29" s="27" t="str">
        <f>IF($A29&lt;&gt;"", (IF('6Replacement Costs - Entry'!S30="Y",((($B29*$D29)*((1+$B$5)^I$7))*(1/((1+$F$5)^I$7))),0)), "")</f>
        <v/>
      </c>
    </row>
    <row r="30" spans="1:9">
      <c r="A30" s="29" t="str">
        <f>IF('6Capital Costs'!A31&lt;&gt;"", '6Capital Costs'!A31, "")</f>
        <v/>
      </c>
      <c r="B30" s="3" t="str">
        <f>IF('6Capital Costs'!B31&lt;&gt;"", '6Capital Costs'!B31, "")</f>
        <v/>
      </c>
      <c r="C30" s="46" t="str">
        <f>IF('6Capital Costs'!C31&lt;&gt;"", '6Capital Costs'!C31, "")</f>
        <v/>
      </c>
      <c r="D30" s="47" t="str">
        <f>IF('6Capital Costs'!D31&lt;&gt;"", '6Capital Costs'!D31, "")</f>
        <v/>
      </c>
      <c r="E30" s="27" t="str">
        <f>IF($A30&lt;&gt;"", (IF('6Replacement Costs - Entry'!O31="Y",((($B30*$D30)*((1+$B$5)^E$7))*(1/((1+$F$5)^E$7))),0)), "")</f>
        <v/>
      </c>
      <c r="F30" s="27" t="str">
        <f>IF($A30&lt;&gt;"", (IF('6Replacement Costs - Entry'!P31="Y",((($B30*$D30)*((1+$B$5)^F$7))*(1/((1+$F$5)^F$7))),0)), "")</f>
        <v/>
      </c>
      <c r="G30" s="27" t="str">
        <f>IF($A30&lt;&gt;"", (IF('6Replacement Costs - Entry'!Q31="Y",((($B30*$D30)*((1+$B$5)^G$7))*(1/((1+$F$5)^G$7))),0)), "")</f>
        <v/>
      </c>
      <c r="H30" s="27" t="str">
        <f>IF($A30&lt;&gt;"", (IF('6Replacement Costs - Entry'!R31="Y",((($B30*$D30)*((1+$B$5)^H$7))*(1/((1+$F$5)^H$7))),0)), "")</f>
        <v/>
      </c>
      <c r="I30" s="27" t="str">
        <f>IF($A30&lt;&gt;"", (IF('6Replacement Costs - Entry'!S31="Y",((($B30*$D30)*((1+$B$5)^I$7))*(1/((1+$F$5)^I$7))),0)), "")</f>
        <v/>
      </c>
    </row>
    <row r="31" spans="1:9">
      <c r="A31" s="29" t="str">
        <f>IF('6Capital Costs'!A32&lt;&gt;"", '6Capital Costs'!A32, "")</f>
        <v/>
      </c>
      <c r="B31" s="3" t="str">
        <f>IF('6Capital Costs'!B32&lt;&gt;"", '6Capital Costs'!B32, "")</f>
        <v/>
      </c>
      <c r="C31" s="46" t="str">
        <f>IF('6Capital Costs'!C32&lt;&gt;"", '6Capital Costs'!C32, "")</f>
        <v/>
      </c>
      <c r="D31" s="47" t="str">
        <f>IF('6Capital Costs'!D32&lt;&gt;"", '6Capital Costs'!D32, "")</f>
        <v/>
      </c>
      <c r="E31" s="27" t="str">
        <f>IF($A31&lt;&gt;"", (IF('6Replacement Costs - Entry'!O32="Y",((($B31*$D31)*((1+$B$5)^E$7))*(1/((1+$F$5)^E$7))),0)), "")</f>
        <v/>
      </c>
      <c r="F31" s="27" t="str">
        <f>IF($A31&lt;&gt;"", (IF('6Replacement Costs - Entry'!P32="Y",((($B31*$D31)*((1+$B$5)^F$7))*(1/((1+$F$5)^F$7))),0)), "")</f>
        <v/>
      </c>
      <c r="G31" s="27" t="str">
        <f>IF($A31&lt;&gt;"", (IF('6Replacement Costs - Entry'!Q32="Y",((($B31*$D31)*((1+$B$5)^G$7))*(1/((1+$F$5)^G$7))),0)), "")</f>
        <v/>
      </c>
      <c r="H31" s="27" t="str">
        <f>IF($A31&lt;&gt;"", (IF('6Replacement Costs - Entry'!R32="Y",((($B31*$D31)*((1+$B$5)^H$7))*(1/((1+$F$5)^H$7))),0)), "")</f>
        <v/>
      </c>
      <c r="I31" s="27" t="str">
        <f>IF($A31&lt;&gt;"", (IF('6Replacement Costs - Entry'!S32="Y",((($B31*$D31)*((1+$B$5)^I$7))*(1/((1+$F$5)^I$7))),0)), "")</f>
        <v/>
      </c>
    </row>
    <row r="32" spans="1:9">
      <c r="A32" s="29" t="str">
        <f>IF('6Capital Costs'!A33&lt;&gt;"", '6Capital Costs'!A33, "")</f>
        <v/>
      </c>
      <c r="B32" s="3" t="str">
        <f>IF('6Capital Costs'!B33&lt;&gt;"", '6Capital Costs'!B33, "")</f>
        <v/>
      </c>
      <c r="C32" s="46" t="str">
        <f>IF('6Capital Costs'!C33&lt;&gt;"", '6Capital Costs'!C33, "")</f>
        <v/>
      </c>
      <c r="D32" s="47" t="str">
        <f>IF('6Capital Costs'!D33&lt;&gt;"", '6Capital Costs'!D33, "")</f>
        <v/>
      </c>
      <c r="E32" s="27" t="str">
        <f>IF($A32&lt;&gt;"", (IF('6Replacement Costs - Entry'!O33="Y",((($B32*$D32)*((1+$B$5)^E$7))*(1/((1+$F$5)^E$7))),0)), "")</f>
        <v/>
      </c>
      <c r="F32" s="27" t="str">
        <f>IF($A32&lt;&gt;"", (IF('6Replacement Costs - Entry'!P33="Y",((($B32*$D32)*((1+$B$5)^F$7))*(1/((1+$F$5)^F$7))),0)), "")</f>
        <v/>
      </c>
      <c r="G32" s="27" t="str">
        <f>IF($A32&lt;&gt;"", (IF('6Replacement Costs - Entry'!Q33="Y",((($B32*$D32)*((1+$B$5)^G$7))*(1/((1+$F$5)^G$7))),0)), "")</f>
        <v/>
      </c>
      <c r="H32" s="27" t="str">
        <f>IF($A32&lt;&gt;"", (IF('6Replacement Costs - Entry'!R33="Y",((($B32*$D32)*((1+$B$5)^H$7))*(1/((1+$F$5)^H$7))),0)), "")</f>
        <v/>
      </c>
      <c r="I32" s="27" t="str">
        <f>IF($A32&lt;&gt;"", (IF('6Replacement Costs - Entry'!S33="Y",((($B32*$D32)*((1+$B$5)^I$7))*(1/((1+$F$5)^I$7))),0)), "")</f>
        <v/>
      </c>
    </row>
    <row r="33" spans="1:9">
      <c r="A33" s="29" t="str">
        <f>IF('6Capital Costs'!A34&lt;&gt;"", '6Capital Costs'!A34, "")</f>
        <v/>
      </c>
      <c r="B33" s="3" t="str">
        <f>IF('6Capital Costs'!B34&lt;&gt;"", '6Capital Costs'!B34, "")</f>
        <v/>
      </c>
      <c r="C33" s="46" t="str">
        <f>IF('6Capital Costs'!C34&lt;&gt;"", '6Capital Costs'!C34, "")</f>
        <v/>
      </c>
      <c r="D33" s="47" t="str">
        <f>IF('6Capital Costs'!D34&lt;&gt;"", '6Capital Costs'!D34, "")</f>
        <v/>
      </c>
      <c r="E33" s="27" t="str">
        <f>IF($A33&lt;&gt;"", (IF('6Replacement Costs - Entry'!O34="Y",((($B33*$D33)*((1+$B$5)^E$7))*(1/((1+$F$5)^E$7))),0)), "")</f>
        <v/>
      </c>
      <c r="F33" s="27" t="str">
        <f>IF($A33&lt;&gt;"", (IF('6Replacement Costs - Entry'!P34="Y",((($B33*$D33)*((1+$B$5)^F$7))*(1/((1+$F$5)^F$7))),0)), "")</f>
        <v/>
      </c>
      <c r="G33" s="27" t="str">
        <f>IF($A33&lt;&gt;"", (IF('6Replacement Costs - Entry'!Q34="Y",((($B33*$D33)*((1+$B$5)^G$7))*(1/((1+$F$5)^G$7))),0)), "")</f>
        <v/>
      </c>
      <c r="H33" s="27" t="str">
        <f>IF($A33&lt;&gt;"", (IF('6Replacement Costs - Entry'!R34="Y",((($B33*$D33)*((1+$B$5)^H$7))*(1/((1+$F$5)^H$7))),0)), "")</f>
        <v/>
      </c>
      <c r="I33" s="27" t="str">
        <f>IF($A33&lt;&gt;"", (IF('6Replacement Costs - Entry'!S34="Y",((($B33*$D33)*((1+$B$5)^I$7))*(1/((1+$F$5)^I$7))),0)), "")</f>
        <v/>
      </c>
    </row>
    <row r="34" spans="1:9">
      <c r="A34" s="29" t="str">
        <f>IF('6Capital Costs'!A35&lt;&gt;"", '6Capital Costs'!A35, "")</f>
        <v/>
      </c>
      <c r="B34" s="3" t="str">
        <f>IF('6Capital Costs'!B35&lt;&gt;"", '6Capital Costs'!B35, "")</f>
        <v/>
      </c>
      <c r="C34" s="46" t="str">
        <f>IF('6Capital Costs'!C35&lt;&gt;"", '6Capital Costs'!C35, "")</f>
        <v/>
      </c>
      <c r="D34" s="47" t="str">
        <f>IF('6Capital Costs'!D35&lt;&gt;"", '6Capital Costs'!D35, "")</f>
        <v/>
      </c>
      <c r="E34" s="27" t="str">
        <f>IF($A34&lt;&gt;"", (IF('6Replacement Costs - Entry'!O35="Y",((($B34*$D34)*((1+$B$5)^E$7))*(1/((1+$F$5)^E$7))),0)), "")</f>
        <v/>
      </c>
      <c r="F34" s="27" t="str">
        <f>IF($A34&lt;&gt;"", (IF('6Replacement Costs - Entry'!P35="Y",((($B34*$D34)*((1+$B$5)^F$7))*(1/((1+$F$5)^F$7))),0)), "")</f>
        <v/>
      </c>
      <c r="G34" s="27" t="str">
        <f>IF($A34&lt;&gt;"", (IF('6Replacement Costs - Entry'!Q35="Y",((($B34*$D34)*((1+$B$5)^G$7))*(1/((1+$F$5)^G$7))),0)), "")</f>
        <v/>
      </c>
      <c r="H34" s="27" t="str">
        <f>IF($A34&lt;&gt;"", (IF('6Replacement Costs - Entry'!R35="Y",((($B34*$D34)*((1+$B$5)^H$7))*(1/((1+$F$5)^H$7))),0)), "")</f>
        <v/>
      </c>
      <c r="I34" s="27" t="str">
        <f>IF($A34&lt;&gt;"", (IF('6Replacement Costs - Entry'!S35="Y",((($B34*$D34)*((1+$B$5)^I$7))*(1/((1+$F$5)^I$7))),0)), "")</f>
        <v/>
      </c>
    </row>
    <row r="35" spans="1:9">
      <c r="A35" s="29" t="str">
        <f>IF('6Capital Costs'!A36&lt;&gt;"", '6Capital Costs'!A36, "")</f>
        <v/>
      </c>
      <c r="B35" s="3" t="str">
        <f>IF('6Capital Costs'!B36&lt;&gt;"", '6Capital Costs'!B36, "")</f>
        <v/>
      </c>
      <c r="C35" s="46" t="str">
        <f>IF('6Capital Costs'!C36&lt;&gt;"", '6Capital Costs'!C36, "")</f>
        <v/>
      </c>
      <c r="D35" s="47" t="str">
        <f>IF('6Capital Costs'!D36&lt;&gt;"", '6Capital Costs'!D36, "")</f>
        <v/>
      </c>
      <c r="E35" s="27" t="str">
        <f>IF($A35&lt;&gt;"", (IF('6Replacement Costs - Entry'!O36="Y",((($B35*$D35)*((1+$B$5)^E$7))*(1/((1+$F$5)^E$7))),0)), "")</f>
        <v/>
      </c>
      <c r="F35" s="27" t="str">
        <f>IF($A35&lt;&gt;"", (IF('6Replacement Costs - Entry'!P36="Y",((($B35*$D35)*((1+$B$5)^F$7))*(1/((1+$F$5)^F$7))),0)), "")</f>
        <v/>
      </c>
      <c r="G35" s="27" t="str">
        <f>IF($A35&lt;&gt;"", (IF('6Replacement Costs - Entry'!Q36="Y",((($B35*$D35)*((1+$B$5)^G$7))*(1/((1+$F$5)^G$7))),0)), "")</f>
        <v/>
      </c>
      <c r="H35" s="27" t="str">
        <f>IF($A35&lt;&gt;"", (IF('6Replacement Costs - Entry'!R36="Y",((($B35*$D35)*((1+$B$5)^H$7))*(1/((1+$F$5)^H$7))),0)), "")</f>
        <v/>
      </c>
      <c r="I35" s="27" t="str">
        <f>IF($A35&lt;&gt;"", (IF('6Replacement Costs - Entry'!S36="Y",((($B35*$D35)*((1+$B$5)^I$7))*(1/((1+$F$5)^I$7))),0)), "")</f>
        <v/>
      </c>
    </row>
    <row r="36" spans="1:9">
      <c r="A36" s="29" t="str">
        <f>IF('6Capital Costs'!A37&lt;&gt;"", '6Capital Costs'!A37, "")</f>
        <v/>
      </c>
      <c r="B36" s="3" t="str">
        <f>IF('6Capital Costs'!B37&lt;&gt;"", '6Capital Costs'!B37, "")</f>
        <v/>
      </c>
      <c r="C36" s="46" t="str">
        <f>IF('6Capital Costs'!C37&lt;&gt;"", '6Capital Costs'!C37, "")</f>
        <v/>
      </c>
      <c r="D36" s="47" t="str">
        <f>IF('6Capital Costs'!D37&lt;&gt;"", '6Capital Costs'!D37, "")</f>
        <v/>
      </c>
      <c r="E36" s="27" t="str">
        <f>IF($A36&lt;&gt;"", (IF('6Replacement Costs - Entry'!O37="Y",((($B36*$D36)*((1+$B$5)^E$7))*(1/((1+$F$5)^E$7))),0)), "")</f>
        <v/>
      </c>
      <c r="F36" s="27" t="str">
        <f>IF($A36&lt;&gt;"", (IF('6Replacement Costs - Entry'!P37="Y",((($B36*$D36)*((1+$B$5)^F$7))*(1/((1+$F$5)^F$7))),0)), "")</f>
        <v/>
      </c>
      <c r="G36" s="27" t="str">
        <f>IF($A36&lt;&gt;"", (IF('6Replacement Costs - Entry'!Q37="Y",((($B36*$D36)*((1+$B$5)^G$7))*(1/((1+$F$5)^G$7))),0)), "")</f>
        <v/>
      </c>
      <c r="H36" s="27" t="str">
        <f>IF($A36&lt;&gt;"", (IF('6Replacement Costs - Entry'!R37="Y",((($B36*$D36)*((1+$B$5)^H$7))*(1/((1+$F$5)^H$7))),0)), "")</f>
        <v/>
      </c>
      <c r="I36" s="27" t="str">
        <f>IF($A36&lt;&gt;"", (IF('6Replacement Costs - Entry'!S37="Y",((($B36*$D36)*((1+$B$5)^I$7))*(1/((1+$F$5)^I$7))),0)), "")</f>
        <v/>
      </c>
    </row>
    <row r="37" spans="1:9">
      <c r="A37" s="23"/>
      <c r="B37" s="23"/>
      <c r="C37" s="23"/>
      <c r="D37" s="36" t="s">
        <v>48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186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'6Capital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'6Replace Costs-Results 6-10'!A5</f>
        <v>Current Inflation Rate based on Construction Cost Index:</v>
      </c>
      <c r="B5" s="69">
        <f>'6Replace Costs-Results 6-10'!B5</f>
        <v>2.0671834625323047E-2</v>
      </c>
      <c r="C5" s="67"/>
      <c r="D5" s="67"/>
      <c r="E5" s="70" t="s">
        <v>43</v>
      </c>
      <c r="F5" s="72">
        <f>'6Replace Costs-Results 6-10'!F5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11</v>
      </c>
      <c r="F7" s="26">
        <v>12</v>
      </c>
      <c r="G7" s="26">
        <v>13</v>
      </c>
      <c r="H7" s="26">
        <v>14</v>
      </c>
      <c r="I7" s="26">
        <v>15</v>
      </c>
    </row>
    <row r="8" spans="1:9">
      <c r="A8" s="29" t="str">
        <f>IF('6Capital Costs'!A9&lt;&gt;"", '6Capital Costs'!A9, "")</f>
        <v/>
      </c>
      <c r="B8" s="3" t="str">
        <f>IF('6Capital Costs'!B9&lt;&gt;"", '6Capital Costs'!B9, "")</f>
        <v/>
      </c>
      <c r="C8" s="46" t="str">
        <f>IF('6Capital Costs'!C9&lt;&gt;"", '6Capital Costs'!C9, "")</f>
        <v/>
      </c>
      <c r="D8" s="47" t="str">
        <f>IF('6Capital Costs'!D9&lt;&gt;"", '6Capital Costs'!D9, "")</f>
        <v/>
      </c>
      <c r="E8" s="27" t="str">
        <f>IF($A8&lt;&gt;"", (IF('6Replacement Costs - Entry'!T9="Y",((($B8*$D8)*((1+$B$5)^E$7))*(1/((1+$F$5)^E$7))),0)), "")</f>
        <v/>
      </c>
      <c r="F8" s="27" t="str">
        <f>IF($A8&lt;&gt;"", (IF('6Replacement Costs - Entry'!U9="Y",((($B8*$D8)*((1+$B$5)^F$7))*(1/((1+$F$5)^F$7))),0)), "")</f>
        <v/>
      </c>
      <c r="G8" s="27" t="str">
        <f>IF($A8&lt;&gt;"", (IF('6Replacement Costs - Entry'!V9="Y",((($B8*$D8)*((1+$B$5)^G$7))*(1/((1+$F$5)^G$7))),0)), "")</f>
        <v/>
      </c>
      <c r="H8" s="27" t="str">
        <f>IF($A8&lt;&gt;"", (IF('6Replacement Costs - Entry'!W9="Y",((($B8*$D8)*((1+$B$5)^H$7))*(1/((1+$F$5)^H$7))),0)), "")</f>
        <v/>
      </c>
      <c r="I8" s="27" t="str">
        <f>IF($A8&lt;&gt;"", (IF('6Replacement Costs - Entry'!X9="Y",((($B8*$D8)*((1+$B$5)^I$7))*(1/((1+$F$5)^I$7))),0)), "")</f>
        <v/>
      </c>
    </row>
    <row r="9" spans="1:9">
      <c r="A9" s="29" t="str">
        <f>IF('6Capital Costs'!A10&lt;&gt;"", '6Capital Costs'!A10, "")</f>
        <v/>
      </c>
      <c r="B9" s="3" t="str">
        <f>IF('6Capital Costs'!B10&lt;&gt;"", '6Capital Costs'!B10, "")</f>
        <v/>
      </c>
      <c r="C9" s="46" t="str">
        <f>IF('6Capital Costs'!C10&lt;&gt;"", '6Capital Costs'!C10, "")</f>
        <v/>
      </c>
      <c r="D9" s="47" t="str">
        <f>IF('6Capital Costs'!D10&lt;&gt;"", '6Capital Costs'!D10, "")</f>
        <v/>
      </c>
      <c r="E9" s="27" t="str">
        <f>IF($A9&lt;&gt;"", (IF('6Replacement Costs - Entry'!T10="Y",((($B9*$D9)*((1+$B$5)^E$7))*(1/((1+$F$5)^E$7))),0)), "")</f>
        <v/>
      </c>
      <c r="F9" s="27" t="str">
        <f>IF($A9&lt;&gt;"", (IF('6Replacement Costs - Entry'!U10="Y",((($B9*$D9)*((1+$B$5)^F$7))*(1/((1+$F$5)^F$7))),0)), "")</f>
        <v/>
      </c>
      <c r="G9" s="27" t="str">
        <f>IF($A9&lt;&gt;"", (IF('6Replacement Costs - Entry'!V10="Y",((($B9*$D9)*((1+$B$5)^G$7))*(1/((1+$F$5)^G$7))),0)), "")</f>
        <v/>
      </c>
      <c r="H9" s="27" t="str">
        <f>IF($A9&lt;&gt;"", (IF('6Replacement Costs - Entry'!W10="Y",((($B9*$D9)*((1+$B$5)^H$7))*(1/((1+$F$5)^H$7))),0)), "")</f>
        <v/>
      </c>
      <c r="I9" s="27" t="str">
        <f>IF($A9&lt;&gt;"", (IF('6Replacement Costs - Entry'!X10="Y",((($B9*$D9)*((1+$B$5)^I$7))*(1/((1+$F$5)^I$7))),0)), "")</f>
        <v/>
      </c>
    </row>
    <row r="10" spans="1:9">
      <c r="A10" s="29" t="str">
        <f>IF('6Capital Costs'!A11&lt;&gt;"", '6Capital Costs'!A11, "")</f>
        <v/>
      </c>
      <c r="B10" s="3" t="str">
        <f>IF('6Capital Costs'!B11&lt;&gt;"", '6Capital Costs'!B11, "")</f>
        <v/>
      </c>
      <c r="C10" s="46" t="str">
        <f>IF('6Capital Costs'!C11&lt;&gt;"", '6Capital Costs'!C11, "")</f>
        <v/>
      </c>
      <c r="D10" s="47" t="str">
        <f>IF('6Capital Costs'!D11&lt;&gt;"", '6Capital Costs'!D11, "")</f>
        <v/>
      </c>
      <c r="E10" s="27" t="str">
        <f>IF($A10&lt;&gt;"", (IF('6Replacement Costs - Entry'!T11="Y",((($B10*$D10)*((1+$B$5)^E$7))*(1/((1+$F$5)^E$7))),0)), "")</f>
        <v/>
      </c>
      <c r="F10" s="27" t="str">
        <f>IF($A10&lt;&gt;"", (IF('6Replacement Costs - Entry'!U11="Y",((($B10*$D10)*((1+$B$5)^F$7))*(1/((1+$F$5)^F$7))),0)), "")</f>
        <v/>
      </c>
      <c r="G10" s="27" t="str">
        <f>IF($A10&lt;&gt;"", (IF('6Replacement Costs - Entry'!V11="Y",((($B10*$D10)*((1+$B$5)^G$7))*(1/((1+$F$5)^G$7))),0)), "")</f>
        <v/>
      </c>
      <c r="H10" s="27" t="str">
        <f>IF($A10&lt;&gt;"", (IF('6Replacement Costs - Entry'!W11="Y",((($B10*$D10)*((1+$B$5)^H$7))*(1/((1+$F$5)^H$7))),0)), "")</f>
        <v/>
      </c>
      <c r="I10" s="27" t="str">
        <f>IF($A10&lt;&gt;"", (IF('6Replacement Costs - Entry'!X11="Y",((($B10*$D10)*((1+$B$5)^I$7))*(1/((1+$F$5)^I$7))),0)), "")</f>
        <v/>
      </c>
    </row>
    <row r="11" spans="1:9">
      <c r="A11" s="29" t="str">
        <f>IF('6Capital Costs'!A12&lt;&gt;"", '6Capital Costs'!A12, "")</f>
        <v/>
      </c>
      <c r="B11" s="3" t="str">
        <f>IF('6Capital Costs'!B12&lt;&gt;"", '6Capital Costs'!B12, "")</f>
        <v/>
      </c>
      <c r="C11" s="46" t="str">
        <f>IF('6Capital Costs'!C12&lt;&gt;"", '6Capital Costs'!C12, "")</f>
        <v/>
      </c>
      <c r="D11" s="47" t="str">
        <f>IF('6Capital Costs'!D12&lt;&gt;"", '6Capital Costs'!D12, "")</f>
        <v/>
      </c>
      <c r="E11" s="27" t="str">
        <f>IF($A11&lt;&gt;"", (IF('6Replacement Costs - Entry'!T12="Y",((($B11*$D11)*((1+$B$5)^E$7))*(1/((1+$F$5)^E$7))),0)), "")</f>
        <v/>
      </c>
      <c r="F11" s="27" t="str">
        <f>IF($A11&lt;&gt;"", (IF('6Replacement Costs - Entry'!U12="Y",((($B11*$D11)*((1+$B$5)^F$7))*(1/((1+$F$5)^F$7))),0)), "")</f>
        <v/>
      </c>
      <c r="G11" s="27" t="str">
        <f>IF($A11&lt;&gt;"", (IF('6Replacement Costs - Entry'!V12="Y",((($B11*$D11)*((1+$B$5)^G$7))*(1/((1+$F$5)^G$7))),0)), "")</f>
        <v/>
      </c>
      <c r="H11" s="27" t="str">
        <f>IF($A11&lt;&gt;"", (IF('6Replacement Costs - Entry'!W12="Y",((($B11*$D11)*((1+$B$5)^H$7))*(1/((1+$F$5)^H$7))),0)), "")</f>
        <v/>
      </c>
      <c r="I11" s="27" t="str">
        <f>IF($A11&lt;&gt;"", (IF('6Replacement Costs - Entry'!X12="Y",((($B11*$D11)*((1+$B$5)^I$7))*(1/((1+$F$5)^I$7))),0)), "")</f>
        <v/>
      </c>
    </row>
    <row r="12" spans="1:9">
      <c r="A12" s="29" t="str">
        <f>IF('6Capital Costs'!A13&lt;&gt;"", '6Capital Costs'!A13, "")</f>
        <v/>
      </c>
      <c r="B12" s="3" t="str">
        <f>IF('6Capital Costs'!B13&lt;&gt;"", '6Capital Costs'!B13, "")</f>
        <v/>
      </c>
      <c r="C12" s="46" t="str">
        <f>IF('6Capital Costs'!C13&lt;&gt;"", '6Capital Costs'!C13, "")</f>
        <v/>
      </c>
      <c r="D12" s="47" t="str">
        <f>IF('6Capital Costs'!D13&lt;&gt;"", '6Capital Costs'!D13, "")</f>
        <v/>
      </c>
      <c r="E12" s="27" t="str">
        <f>IF($A12&lt;&gt;"", (IF('6Replacement Costs - Entry'!T13="Y",((($B12*$D12)*((1+$B$5)^E$7))*(1/((1+$F$5)^E$7))),0)), "")</f>
        <v/>
      </c>
      <c r="F12" s="27" t="str">
        <f>IF($A12&lt;&gt;"", (IF('6Replacement Costs - Entry'!U13="Y",((($B12*$D12)*((1+$B$5)^F$7))*(1/((1+$F$5)^F$7))),0)), "")</f>
        <v/>
      </c>
      <c r="G12" s="27" t="str">
        <f>IF($A12&lt;&gt;"", (IF('6Replacement Costs - Entry'!V13="Y",((($B12*$D12)*((1+$B$5)^G$7))*(1/((1+$F$5)^G$7))),0)), "")</f>
        <v/>
      </c>
      <c r="H12" s="27" t="str">
        <f>IF($A12&lt;&gt;"", (IF('6Replacement Costs - Entry'!W13="Y",((($B12*$D12)*((1+$B$5)^H$7))*(1/((1+$F$5)^H$7))),0)), "")</f>
        <v/>
      </c>
      <c r="I12" s="27" t="str">
        <f>IF($A12&lt;&gt;"", (IF('6Replacement Costs - Entry'!X13="Y",((($B12*$D12)*((1+$B$5)^I$7))*(1/((1+$F$5)^I$7))),0)), "")</f>
        <v/>
      </c>
    </row>
    <row r="13" spans="1:9">
      <c r="A13" s="29" t="str">
        <f>IF('6Capital Costs'!A14&lt;&gt;"", '6Capital Costs'!A14, "")</f>
        <v/>
      </c>
      <c r="B13" s="3" t="str">
        <f>IF('6Capital Costs'!B14&lt;&gt;"", '6Capital Costs'!B14, "")</f>
        <v/>
      </c>
      <c r="C13" s="46" t="str">
        <f>IF('6Capital Costs'!C14&lt;&gt;"", '6Capital Costs'!C14, "")</f>
        <v/>
      </c>
      <c r="D13" s="47" t="str">
        <f>IF('6Capital Costs'!D14&lt;&gt;"", '6Capital Costs'!D14, "")</f>
        <v/>
      </c>
      <c r="E13" s="27" t="str">
        <f>IF($A13&lt;&gt;"", (IF('6Replacement Costs - Entry'!T14="Y",((($B13*$D13)*((1+$B$5)^E$7))*(1/((1+$F$5)^E$7))),0)), "")</f>
        <v/>
      </c>
      <c r="F13" s="27" t="str">
        <f>IF($A13&lt;&gt;"", (IF('6Replacement Costs - Entry'!U14="Y",((($B13*$D13)*((1+$B$5)^F$7))*(1/((1+$F$5)^F$7))),0)), "")</f>
        <v/>
      </c>
      <c r="G13" s="27" t="str">
        <f>IF($A13&lt;&gt;"", (IF('6Replacement Costs - Entry'!V14="Y",((($B13*$D13)*((1+$B$5)^G$7))*(1/((1+$F$5)^G$7))),0)), "")</f>
        <v/>
      </c>
      <c r="H13" s="27" t="str">
        <f>IF($A13&lt;&gt;"", (IF('6Replacement Costs - Entry'!W14="Y",((($B13*$D13)*((1+$B$5)^H$7))*(1/((1+$F$5)^H$7))),0)), "")</f>
        <v/>
      </c>
      <c r="I13" s="27" t="str">
        <f>IF($A13&lt;&gt;"", (IF('6Replacement Costs - Entry'!X14="Y",((($B13*$D13)*((1+$B$5)^I$7))*(1/((1+$F$5)^I$7))),0)), "")</f>
        <v/>
      </c>
    </row>
    <row r="14" spans="1:9">
      <c r="A14" s="29" t="str">
        <f>IF('6Capital Costs'!A15&lt;&gt;"", '6Capital Costs'!A15, "")</f>
        <v/>
      </c>
      <c r="B14" s="3" t="str">
        <f>IF('6Capital Costs'!B15&lt;&gt;"", '6Capital Costs'!B15, "")</f>
        <v/>
      </c>
      <c r="C14" s="46" t="str">
        <f>IF('6Capital Costs'!C15&lt;&gt;"", '6Capital Costs'!C15, "")</f>
        <v/>
      </c>
      <c r="D14" s="47" t="str">
        <f>IF('6Capital Costs'!D15&lt;&gt;"", '6Capital Costs'!D15, "")</f>
        <v/>
      </c>
      <c r="E14" s="27" t="str">
        <f>IF($A14&lt;&gt;"", (IF('6Replacement Costs - Entry'!T15="Y",((($B14*$D14)*((1+$B$5)^E$7))*(1/((1+$F$5)^E$7))),0)), "")</f>
        <v/>
      </c>
      <c r="F14" s="27" t="str">
        <f>IF($A14&lt;&gt;"", (IF('6Replacement Costs - Entry'!U15="Y",((($B14*$D14)*((1+$B$5)^F$7))*(1/((1+$F$5)^F$7))),0)), "")</f>
        <v/>
      </c>
      <c r="G14" s="27" t="str">
        <f>IF($A14&lt;&gt;"", (IF('6Replacement Costs - Entry'!V15="Y",((($B14*$D14)*((1+$B$5)^G$7))*(1/((1+$F$5)^G$7))),0)), "")</f>
        <v/>
      </c>
      <c r="H14" s="27" t="str">
        <f>IF($A14&lt;&gt;"", (IF('6Replacement Costs - Entry'!W15="Y",((($B14*$D14)*((1+$B$5)^H$7))*(1/((1+$F$5)^H$7))),0)), "")</f>
        <v/>
      </c>
      <c r="I14" s="27" t="str">
        <f>IF($A14&lt;&gt;"", (IF('6Replacement Costs - Entry'!X15="Y",((($B14*$D14)*((1+$B$5)^I$7))*(1/((1+$F$5)^I$7))),0)), "")</f>
        <v/>
      </c>
    </row>
    <row r="15" spans="1:9">
      <c r="A15" s="29" t="str">
        <f>IF('6Capital Costs'!A16&lt;&gt;"", '6Capital Costs'!A16, "")</f>
        <v/>
      </c>
      <c r="B15" s="3" t="str">
        <f>IF('6Capital Costs'!B16&lt;&gt;"", '6Capital Costs'!B16, "")</f>
        <v/>
      </c>
      <c r="C15" s="46" t="str">
        <f>IF('6Capital Costs'!C16&lt;&gt;"", '6Capital Costs'!C16, "")</f>
        <v/>
      </c>
      <c r="D15" s="47" t="str">
        <f>IF('6Capital Costs'!D16&lt;&gt;"", '6Capital Costs'!D16, "")</f>
        <v/>
      </c>
      <c r="E15" s="27" t="str">
        <f>IF($A15&lt;&gt;"", (IF('6Replacement Costs - Entry'!T16="Y",((($B15*$D15)*((1+$B$5)^E$7))*(1/((1+$F$5)^E$7))),0)), "")</f>
        <v/>
      </c>
      <c r="F15" s="27" t="str">
        <f>IF($A15&lt;&gt;"", (IF('6Replacement Costs - Entry'!U16="Y",((($B15*$D15)*((1+$B$5)^F$7))*(1/((1+$F$5)^F$7))),0)), "")</f>
        <v/>
      </c>
      <c r="G15" s="27" t="str">
        <f>IF($A15&lt;&gt;"", (IF('6Replacement Costs - Entry'!V16="Y",((($B15*$D15)*((1+$B$5)^G$7))*(1/((1+$F$5)^G$7))),0)), "")</f>
        <v/>
      </c>
      <c r="H15" s="27" t="str">
        <f>IF($A15&lt;&gt;"", (IF('6Replacement Costs - Entry'!W16="Y",((($B15*$D15)*((1+$B$5)^H$7))*(1/((1+$F$5)^H$7))),0)), "")</f>
        <v/>
      </c>
      <c r="I15" s="27" t="str">
        <f>IF($A15&lt;&gt;"", (IF('6Replacement Costs - Entry'!X16="Y",((($B15*$D15)*((1+$B$5)^I$7))*(1/((1+$F$5)^I$7))),0)), "")</f>
        <v/>
      </c>
    </row>
    <row r="16" spans="1:9">
      <c r="A16" s="29" t="str">
        <f>IF('6Capital Costs'!A17&lt;&gt;"", '6Capital Costs'!A17, "")</f>
        <v/>
      </c>
      <c r="B16" s="3" t="str">
        <f>IF('6Capital Costs'!B17&lt;&gt;"", '6Capital Costs'!B17, "")</f>
        <v/>
      </c>
      <c r="C16" s="46" t="str">
        <f>IF('6Capital Costs'!C17&lt;&gt;"", '6Capital Costs'!C17, "")</f>
        <v/>
      </c>
      <c r="D16" s="47" t="str">
        <f>IF('6Capital Costs'!D17&lt;&gt;"", '6Capital Costs'!D17, "")</f>
        <v/>
      </c>
      <c r="E16" s="27" t="str">
        <f>IF($A16&lt;&gt;"", (IF('6Replacement Costs - Entry'!T17="Y",((($B16*$D16)*((1+$B$5)^E$7))*(1/((1+$F$5)^E$7))),0)), "")</f>
        <v/>
      </c>
      <c r="F16" s="27" t="str">
        <f>IF($A16&lt;&gt;"", (IF('6Replacement Costs - Entry'!U17="Y",((($B16*$D16)*((1+$B$5)^F$7))*(1/((1+$F$5)^F$7))),0)), "")</f>
        <v/>
      </c>
      <c r="G16" s="27" t="str">
        <f>IF($A16&lt;&gt;"", (IF('6Replacement Costs - Entry'!V17="Y",((($B16*$D16)*((1+$B$5)^G$7))*(1/((1+$F$5)^G$7))),0)), "")</f>
        <v/>
      </c>
      <c r="H16" s="27" t="str">
        <f>IF($A16&lt;&gt;"", (IF('6Replacement Costs - Entry'!W17="Y",((($B16*$D16)*((1+$B$5)^H$7))*(1/((1+$F$5)^H$7))),0)), "")</f>
        <v/>
      </c>
      <c r="I16" s="27" t="str">
        <f>IF($A16&lt;&gt;"", (IF('6Replacement Costs - Entry'!X17="Y",((($B16*$D16)*((1+$B$5)^I$7))*(1/((1+$F$5)^I$7))),0)), "")</f>
        <v/>
      </c>
    </row>
    <row r="17" spans="1:9">
      <c r="A17" s="29" t="str">
        <f>IF('6Capital Costs'!A18&lt;&gt;"", '6Capital Costs'!A18, "")</f>
        <v/>
      </c>
      <c r="B17" s="3" t="str">
        <f>IF('6Capital Costs'!B18&lt;&gt;"", '6Capital Costs'!B18, "")</f>
        <v/>
      </c>
      <c r="C17" s="46" t="str">
        <f>IF('6Capital Costs'!C18&lt;&gt;"", '6Capital Costs'!C18, "")</f>
        <v/>
      </c>
      <c r="D17" s="47" t="str">
        <f>IF('6Capital Costs'!D18&lt;&gt;"", '6Capital Costs'!D18, "")</f>
        <v/>
      </c>
      <c r="E17" s="27" t="str">
        <f>IF($A17&lt;&gt;"", (IF('6Replacement Costs - Entry'!T18="Y",((($B17*$D17)*((1+$B$5)^E$7))*(1/((1+$F$5)^E$7))),0)), "")</f>
        <v/>
      </c>
      <c r="F17" s="27" t="str">
        <f>IF($A17&lt;&gt;"", (IF('6Replacement Costs - Entry'!U18="Y",((($B17*$D17)*((1+$B$5)^F$7))*(1/((1+$F$5)^F$7))),0)), "")</f>
        <v/>
      </c>
      <c r="G17" s="27" t="str">
        <f>IF($A17&lt;&gt;"", (IF('6Replacement Costs - Entry'!V18="Y",((($B17*$D17)*((1+$B$5)^G$7))*(1/((1+$F$5)^G$7))),0)), "")</f>
        <v/>
      </c>
      <c r="H17" s="27" t="str">
        <f>IF($A17&lt;&gt;"", (IF('6Replacement Costs - Entry'!W18="Y",((($B17*$D17)*((1+$B$5)^H$7))*(1/((1+$F$5)^H$7))),0)), "")</f>
        <v/>
      </c>
      <c r="I17" s="27" t="str">
        <f>IF($A17&lt;&gt;"", (IF('6Replacement Costs - Entry'!X18="Y",((($B17*$D17)*((1+$B$5)^I$7))*(1/((1+$F$5)^I$7))),0)), "")</f>
        <v/>
      </c>
    </row>
    <row r="18" spans="1:9">
      <c r="A18" s="29" t="str">
        <f>IF('6Capital Costs'!A19&lt;&gt;"", '6Capital Costs'!A19, "")</f>
        <v/>
      </c>
      <c r="B18" s="3" t="str">
        <f>IF('6Capital Costs'!B19&lt;&gt;"", '6Capital Costs'!B19, "")</f>
        <v/>
      </c>
      <c r="C18" s="46" t="str">
        <f>IF('6Capital Costs'!C19&lt;&gt;"", '6Capital Costs'!C19, "")</f>
        <v/>
      </c>
      <c r="D18" s="47" t="str">
        <f>IF('6Capital Costs'!D19&lt;&gt;"", '6Capital Costs'!D19, "")</f>
        <v/>
      </c>
      <c r="E18" s="27" t="str">
        <f>IF($A18&lt;&gt;"", (IF('6Replacement Costs - Entry'!T19="Y",((($B18*$D18)*((1+$B$5)^E$7))*(1/((1+$F$5)^E$7))),0)), "")</f>
        <v/>
      </c>
      <c r="F18" s="27" t="str">
        <f>IF($A18&lt;&gt;"", (IF('6Replacement Costs - Entry'!U19="Y",((($B18*$D18)*((1+$B$5)^F$7))*(1/((1+$F$5)^F$7))),0)), "")</f>
        <v/>
      </c>
      <c r="G18" s="27" t="str">
        <f>IF($A18&lt;&gt;"", (IF('6Replacement Costs - Entry'!V19="Y",((($B18*$D18)*((1+$B$5)^G$7))*(1/((1+$F$5)^G$7))),0)), "")</f>
        <v/>
      </c>
      <c r="H18" s="27" t="str">
        <f>IF($A18&lt;&gt;"", (IF('6Replacement Costs - Entry'!W19="Y",((($B18*$D18)*((1+$B$5)^H$7))*(1/((1+$F$5)^H$7))),0)), "")</f>
        <v/>
      </c>
      <c r="I18" s="27" t="str">
        <f>IF($A18&lt;&gt;"", (IF('6Replacement Costs - Entry'!X19="Y",((($B18*$D18)*((1+$B$5)^I$7))*(1/((1+$F$5)^I$7))),0)), "")</f>
        <v/>
      </c>
    </row>
    <row r="19" spans="1:9">
      <c r="A19" s="29" t="str">
        <f>IF('6Capital Costs'!A20&lt;&gt;"", '6Capital Costs'!A20, "")</f>
        <v/>
      </c>
      <c r="B19" s="3" t="str">
        <f>IF('6Capital Costs'!B20&lt;&gt;"", '6Capital Costs'!B20, "")</f>
        <v/>
      </c>
      <c r="C19" s="46" t="str">
        <f>IF('6Capital Costs'!C20&lt;&gt;"", '6Capital Costs'!C20, "")</f>
        <v/>
      </c>
      <c r="D19" s="47" t="str">
        <f>IF('6Capital Costs'!D20&lt;&gt;"", '6Capital Costs'!D20, "")</f>
        <v/>
      </c>
      <c r="E19" s="27" t="str">
        <f>IF($A19&lt;&gt;"", (IF('6Replacement Costs - Entry'!T20="Y",((($B19*$D19)*((1+$B$5)^E$7))*(1/((1+$F$5)^E$7))),0)), "")</f>
        <v/>
      </c>
      <c r="F19" s="27" t="str">
        <f>IF($A19&lt;&gt;"", (IF('6Replacement Costs - Entry'!U20="Y",((($B19*$D19)*((1+$B$5)^F$7))*(1/((1+$F$5)^F$7))),0)), "")</f>
        <v/>
      </c>
      <c r="G19" s="27" t="str">
        <f>IF($A19&lt;&gt;"", (IF('6Replacement Costs - Entry'!V20="Y",((($B19*$D19)*((1+$B$5)^G$7))*(1/((1+$F$5)^G$7))),0)), "")</f>
        <v/>
      </c>
      <c r="H19" s="27" t="str">
        <f>IF($A19&lt;&gt;"", (IF('6Replacement Costs - Entry'!W20="Y",((($B19*$D19)*((1+$B$5)^H$7))*(1/((1+$F$5)^H$7))),0)), "")</f>
        <v/>
      </c>
      <c r="I19" s="27" t="str">
        <f>IF($A19&lt;&gt;"", (IF('6Replacement Costs - Entry'!X20="Y",((($B19*$D19)*((1+$B$5)^I$7))*(1/((1+$F$5)^I$7))),0)), "")</f>
        <v/>
      </c>
    </row>
    <row r="20" spans="1:9">
      <c r="A20" s="29" t="str">
        <f>IF('6Capital Costs'!A21&lt;&gt;"", '6Capital Costs'!A21, "")</f>
        <v/>
      </c>
      <c r="B20" s="3" t="str">
        <f>IF('6Capital Costs'!B21&lt;&gt;"", '6Capital Costs'!B21, "")</f>
        <v/>
      </c>
      <c r="C20" s="46" t="str">
        <f>IF('6Capital Costs'!C21&lt;&gt;"", '6Capital Costs'!C21, "")</f>
        <v/>
      </c>
      <c r="D20" s="47" t="str">
        <f>IF('6Capital Costs'!D21&lt;&gt;"", '6Capital Costs'!D21, "")</f>
        <v/>
      </c>
      <c r="E20" s="27" t="str">
        <f>IF($A20&lt;&gt;"", (IF('6Replacement Costs - Entry'!T21="Y",((($B20*$D20)*((1+$B$5)^E$7))*(1/((1+$F$5)^E$7))),0)), "")</f>
        <v/>
      </c>
      <c r="F20" s="27" t="str">
        <f>IF($A20&lt;&gt;"", (IF('6Replacement Costs - Entry'!U21="Y",((($B20*$D20)*((1+$B$5)^F$7))*(1/((1+$F$5)^F$7))),0)), "")</f>
        <v/>
      </c>
      <c r="G20" s="27" t="str">
        <f>IF($A20&lt;&gt;"", (IF('6Replacement Costs - Entry'!V21="Y",((($B20*$D20)*((1+$B$5)^G$7))*(1/((1+$F$5)^G$7))),0)), "")</f>
        <v/>
      </c>
      <c r="H20" s="27" t="str">
        <f>IF($A20&lt;&gt;"", (IF('6Replacement Costs - Entry'!W21="Y",((($B20*$D20)*((1+$B$5)^H$7))*(1/((1+$F$5)^H$7))),0)), "")</f>
        <v/>
      </c>
      <c r="I20" s="27" t="str">
        <f>IF($A20&lt;&gt;"", (IF('6Replacement Costs - Entry'!X21="Y",((($B20*$D20)*((1+$B$5)^I$7))*(1/((1+$F$5)^I$7))),0)), "")</f>
        <v/>
      </c>
    </row>
    <row r="21" spans="1:9">
      <c r="A21" s="29" t="str">
        <f>IF('6Capital Costs'!A22&lt;&gt;"", '6Capital Costs'!A22, "")</f>
        <v/>
      </c>
      <c r="B21" s="3" t="str">
        <f>IF('6Capital Costs'!B22&lt;&gt;"", '6Capital Costs'!B22, "")</f>
        <v/>
      </c>
      <c r="C21" s="46" t="str">
        <f>IF('6Capital Costs'!C22&lt;&gt;"", '6Capital Costs'!C22, "")</f>
        <v/>
      </c>
      <c r="D21" s="47" t="str">
        <f>IF('6Capital Costs'!D22&lt;&gt;"", '6Capital Costs'!D22, "")</f>
        <v/>
      </c>
      <c r="E21" s="27" t="str">
        <f>IF($A21&lt;&gt;"", (IF('6Replacement Costs - Entry'!T22="Y",((($B21*$D21)*((1+$B$5)^E$7))*(1/((1+$F$5)^E$7))),0)), "")</f>
        <v/>
      </c>
      <c r="F21" s="27" t="str">
        <f>IF($A21&lt;&gt;"", (IF('6Replacement Costs - Entry'!U22="Y",((($B21*$D21)*((1+$B$5)^F$7))*(1/((1+$F$5)^F$7))),0)), "")</f>
        <v/>
      </c>
      <c r="G21" s="27" t="str">
        <f>IF($A21&lt;&gt;"", (IF('6Replacement Costs - Entry'!V22="Y",((($B21*$D21)*((1+$B$5)^G$7))*(1/((1+$F$5)^G$7))),0)), "")</f>
        <v/>
      </c>
      <c r="H21" s="27" t="str">
        <f>IF($A21&lt;&gt;"", (IF('6Replacement Costs - Entry'!W22="Y",((($B21*$D21)*((1+$B$5)^H$7))*(1/((1+$F$5)^H$7))),0)), "")</f>
        <v/>
      </c>
      <c r="I21" s="27" t="str">
        <f>IF($A21&lt;&gt;"", (IF('6Replacement Costs - Entry'!X22="Y",((($B21*$D21)*((1+$B$5)^I$7))*(1/((1+$F$5)^I$7))),0)), "")</f>
        <v/>
      </c>
    </row>
    <row r="22" spans="1:9">
      <c r="A22" s="29" t="str">
        <f>IF('6Capital Costs'!A23&lt;&gt;"", '6Capital Costs'!A23, "")</f>
        <v/>
      </c>
      <c r="B22" s="3" t="str">
        <f>IF('6Capital Costs'!B23&lt;&gt;"", '6Capital Costs'!B23, "")</f>
        <v/>
      </c>
      <c r="C22" s="46" t="str">
        <f>IF('6Capital Costs'!C23&lt;&gt;"", '6Capital Costs'!C23, "")</f>
        <v/>
      </c>
      <c r="D22" s="47" t="str">
        <f>IF('6Capital Costs'!D23&lt;&gt;"", '6Capital Costs'!D23, "")</f>
        <v/>
      </c>
      <c r="E22" s="27" t="str">
        <f>IF($A22&lt;&gt;"", (IF('6Replacement Costs - Entry'!T23="Y",((($B22*$D22)*((1+$B$5)^E$7))*(1/((1+$F$5)^E$7))),0)), "")</f>
        <v/>
      </c>
      <c r="F22" s="27" t="str">
        <f>IF($A22&lt;&gt;"", (IF('6Replacement Costs - Entry'!U23="Y",((($B22*$D22)*((1+$B$5)^F$7))*(1/((1+$F$5)^F$7))),0)), "")</f>
        <v/>
      </c>
      <c r="G22" s="27" t="str">
        <f>IF($A22&lt;&gt;"", (IF('6Replacement Costs - Entry'!V23="Y",((($B22*$D22)*((1+$B$5)^G$7))*(1/((1+$F$5)^G$7))),0)), "")</f>
        <v/>
      </c>
      <c r="H22" s="27" t="str">
        <f>IF($A22&lt;&gt;"", (IF('6Replacement Costs - Entry'!W23="Y",((($B22*$D22)*((1+$B$5)^H$7))*(1/((1+$F$5)^H$7))),0)), "")</f>
        <v/>
      </c>
      <c r="I22" s="27" t="str">
        <f>IF($A22&lt;&gt;"", (IF('6Replacement Costs - Entry'!X23="Y",((($B22*$D22)*((1+$B$5)^I$7))*(1/((1+$F$5)^I$7))),0)), "")</f>
        <v/>
      </c>
    </row>
    <row r="23" spans="1:9">
      <c r="A23" s="29" t="str">
        <f>IF('6Capital Costs'!A24&lt;&gt;"", '6Capital Costs'!A24, "")</f>
        <v/>
      </c>
      <c r="B23" s="3" t="str">
        <f>IF('6Capital Costs'!B24&lt;&gt;"", '6Capital Costs'!B24, "")</f>
        <v/>
      </c>
      <c r="C23" s="46" t="str">
        <f>IF('6Capital Costs'!C24&lt;&gt;"", '6Capital Costs'!C24, "")</f>
        <v/>
      </c>
      <c r="D23" s="47" t="str">
        <f>IF('6Capital Costs'!D24&lt;&gt;"", '6Capital Costs'!D24, "")</f>
        <v/>
      </c>
      <c r="E23" s="27" t="str">
        <f>IF($A23&lt;&gt;"", (IF('6Replacement Costs - Entry'!T24="Y",((($B23*$D23)*((1+$B$5)^E$7))*(1/((1+$F$5)^E$7))),0)), "")</f>
        <v/>
      </c>
      <c r="F23" s="27" t="str">
        <f>IF($A23&lt;&gt;"", (IF('6Replacement Costs - Entry'!U24="Y",((($B23*$D23)*((1+$B$5)^F$7))*(1/((1+$F$5)^F$7))),0)), "")</f>
        <v/>
      </c>
      <c r="G23" s="27" t="str">
        <f>IF($A23&lt;&gt;"", (IF('6Replacement Costs - Entry'!V24="Y",((($B23*$D23)*((1+$B$5)^G$7))*(1/((1+$F$5)^G$7))),0)), "")</f>
        <v/>
      </c>
      <c r="H23" s="27" t="str">
        <f>IF($A23&lt;&gt;"", (IF('6Replacement Costs - Entry'!W24="Y",((($B23*$D23)*((1+$B$5)^H$7))*(1/((1+$F$5)^H$7))),0)), "")</f>
        <v/>
      </c>
      <c r="I23" s="27" t="str">
        <f>IF($A23&lt;&gt;"", (IF('6Replacement Costs - Entry'!X24="Y",((($B23*$D23)*((1+$B$5)^I$7))*(1/((1+$F$5)^I$7))),0)), "")</f>
        <v/>
      </c>
    </row>
    <row r="24" spans="1:9">
      <c r="A24" s="29" t="str">
        <f>IF('6Capital Costs'!A25&lt;&gt;"", '6Capital Costs'!A25, "")</f>
        <v/>
      </c>
      <c r="B24" s="3" t="str">
        <f>IF('6Capital Costs'!B25&lt;&gt;"", '6Capital Costs'!B25, "")</f>
        <v/>
      </c>
      <c r="C24" s="46" t="str">
        <f>IF('6Capital Costs'!C25&lt;&gt;"", '6Capital Costs'!C25, "")</f>
        <v/>
      </c>
      <c r="D24" s="47" t="str">
        <f>IF('6Capital Costs'!D25&lt;&gt;"", '6Capital Costs'!D25, "")</f>
        <v/>
      </c>
      <c r="E24" s="27" t="str">
        <f>IF($A24&lt;&gt;"", (IF('6Replacement Costs - Entry'!T25="Y",((($B24*$D24)*((1+$B$5)^E$7))*(1/((1+$F$5)^E$7))),0)), "")</f>
        <v/>
      </c>
      <c r="F24" s="27" t="str">
        <f>IF($A24&lt;&gt;"", (IF('6Replacement Costs - Entry'!U25="Y",((($B24*$D24)*((1+$B$5)^F$7))*(1/((1+$F$5)^F$7))),0)), "")</f>
        <v/>
      </c>
      <c r="G24" s="27" t="str">
        <f>IF($A24&lt;&gt;"", (IF('6Replacement Costs - Entry'!V25="Y",((($B24*$D24)*((1+$B$5)^G$7))*(1/((1+$F$5)^G$7))),0)), "")</f>
        <v/>
      </c>
      <c r="H24" s="27" t="str">
        <f>IF($A24&lt;&gt;"", (IF('6Replacement Costs - Entry'!W25="Y",((($B24*$D24)*((1+$B$5)^H$7))*(1/((1+$F$5)^H$7))),0)), "")</f>
        <v/>
      </c>
      <c r="I24" s="27" t="str">
        <f>IF($A24&lt;&gt;"", (IF('6Replacement Costs - Entry'!X25="Y",((($B24*$D24)*((1+$B$5)^I$7))*(1/((1+$F$5)^I$7))),0)), "")</f>
        <v/>
      </c>
    </row>
    <row r="25" spans="1:9">
      <c r="A25" s="29" t="str">
        <f>IF('6Capital Costs'!A26&lt;&gt;"", '6Capital Costs'!A26, "")</f>
        <v/>
      </c>
      <c r="B25" s="3" t="str">
        <f>IF('6Capital Costs'!B26&lt;&gt;"", '6Capital Costs'!B26, "")</f>
        <v/>
      </c>
      <c r="C25" s="46" t="str">
        <f>IF('6Capital Costs'!C26&lt;&gt;"", '6Capital Costs'!C26, "")</f>
        <v/>
      </c>
      <c r="D25" s="47" t="str">
        <f>IF('6Capital Costs'!D26&lt;&gt;"", '6Capital Costs'!D26, "")</f>
        <v/>
      </c>
      <c r="E25" s="27" t="str">
        <f>IF($A25&lt;&gt;"", (IF('6Replacement Costs - Entry'!T26="Y",((($B25*$D25)*((1+$B$5)^E$7))*(1/((1+$F$5)^E$7))),0)), "")</f>
        <v/>
      </c>
      <c r="F25" s="27" t="str">
        <f>IF($A25&lt;&gt;"", (IF('6Replacement Costs - Entry'!U26="Y",((($B25*$D25)*((1+$B$5)^F$7))*(1/((1+$F$5)^F$7))),0)), "")</f>
        <v/>
      </c>
      <c r="G25" s="27" t="str">
        <f>IF($A25&lt;&gt;"", (IF('6Replacement Costs - Entry'!V26="Y",((($B25*$D25)*((1+$B$5)^G$7))*(1/((1+$F$5)^G$7))),0)), "")</f>
        <v/>
      </c>
      <c r="H25" s="27" t="str">
        <f>IF($A25&lt;&gt;"", (IF('6Replacement Costs - Entry'!W26="Y",((($B25*$D25)*((1+$B$5)^H$7))*(1/((1+$F$5)^H$7))),0)), "")</f>
        <v/>
      </c>
      <c r="I25" s="27" t="str">
        <f>IF($A25&lt;&gt;"", (IF('6Replacement Costs - Entry'!X26="Y",((($B25*$D25)*((1+$B$5)^I$7))*(1/((1+$F$5)^I$7))),0)), "")</f>
        <v/>
      </c>
    </row>
    <row r="26" spans="1:9">
      <c r="A26" s="29" t="str">
        <f>IF('6Capital Costs'!A27&lt;&gt;"", '6Capital Costs'!A27, "")</f>
        <v/>
      </c>
      <c r="B26" s="3" t="str">
        <f>IF('6Capital Costs'!B27&lt;&gt;"", '6Capital Costs'!B27, "")</f>
        <v/>
      </c>
      <c r="C26" s="46" t="str">
        <f>IF('6Capital Costs'!C27&lt;&gt;"", '6Capital Costs'!C27, "")</f>
        <v/>
      </c>
      <c r="D26" s="47" t="str">
        <f>IF('6Capital Costs'!D27&lt;&gt;"", '6Capital Costs'!D27, "")</f>
        <v/>
      </c>
      <c r="E26" s="27" t="str">
        <f>IF($A26&lt;&gt;"", (IF('6Replacement Costs - Entry'!T27="Y",((($B26*$D26)*((1+$B$5)^E$7))*(1/((1+$F$5)^E$7))),0)), "")</f>
        <v/>
      </c>
      <c r="F26" s="27" t="str">
        <f>IF($A26&lt;&gt;"", (IF('6Replacement Costs - Entry'!U27="Y",((($B26*$D26)*((1+$B$5)^F$7))*(1/((1+$F$5)^F$7))),0)), "")</f>
        <v/>
      </c>
      <c r="G26" s="27" t="str">
        <f>IF($A26&lt;&gt;"", (IF('6Replacement Costs - Entry'!V27="Y",((($B26*$D26)*((1+$B$5)^G$7))*(1/((1+$F$5)^G$7))),0)), "")</f>
        <v/>
      </c>
      <c r="H26" s="27" t="str">
        <f>IF($A26&lt;&gt;"", (IF('6Replacement Costs - Entry'!W27="Y",((($B26*$D26)*((1+$B$5)^H$7))*(1/((1+$F$5)^H$7))),0)), "")</f>
        <v/>
      </c>
      <c r="I26" s="27" t="str">
        <f>IF($A26&lt;&gt;"", (IF('6Replacement Costs - Entry'!X27="Y",((($B26*$D26)*((1+$B$5)^I$7))*(1/((1+$F$5)^I$7))),0)), "")</f>
        <v/>
      </c>
    </row>
    <row r="27" spans="1:9">
      <c r="A27" s="29" t="str">
        <f>IF('6Capital Costs'!A28&lt;&gt;"", '6Capital Costs'!A28, "")</f>
        <v/>
      </c>
      <c r="B27" s="3" t="str">
        <f>IF('6Capital Costs'!B28&lt;&gt;"", '6Capital Costs'!B28, "")</f>
        <v/>
      </c>
      <c r="C27" s="46" t="str">
        <f>IF('6Capital Costs'!C28&lt;&gt;"", '6Capital Costs'!C28, "")</f>
        <v/>
      </c>
      <c r="D27" s="47" t="str">
        <f>IF('6Capital Costs'!D28&lt;&gt;"", '6Capital Costs'!D28, "")</f>
        <v/>
      </c>
      <c r="E27" s="27" t="str">
        <f>IF($A27&lt;&gt;"", (IF('6Replacement Costs - Entry'!T28="Y",((($B27*$D27)*((1+$B$5)^E$7))*(1/((1+$F$5)^E$7))),0)), "")</f>
        <v/>
      </c>
      <c r="F27" s="27" t="str">
        <f>IF($A27&lt;&gt;"", (IF('6Replacement Costs - Entry'!U28="Y",((($B27*$D27)*((1+$B$5)^F$7))*(1/((1+$F$5)^F$7))),0)), "")</f>
        <v/>
      </c>
      <c r="G27" s="27" t="str">
        <f>IF($A27&lt;&gt;"", (IF('6Replacement Costs - Entry'!V28="Y",((($B27*$D27)*((1+$B$5)^G$7))*(1/((1+$F$5)^G$7))),0)), "")</f>
        <v/>
      </c>
      <c r="H27" s="27" t="str">
        <f>IF($A27&lt;&gt;"", (IF('6Replacement Costs - Entry'!W28="Y",((($B27*$D27)*((1+$B$5)^H$7))*(1/((1+$F$5)^H$7))),0)), "")</f>
        <v/>
      </c>
      <c r="I27" s="27" t="str">
        <f>IF($A27&lt;&gt;"", (IF('6Replacement Costs - Entry'!X28="Y",((($B27*$D27)*((1+$B$5)^I$7))*(1/((1+$F$5)^I$7))),0)), "")</f>
        <v/>
      </c>
    </row>
    <row r="28" spans="1:9">
      <c r="A28" s="29" t="str">
        <f>IF('6Capital Costs'!A29&lt;&gt;"", '6Capital Costs'!A29, "")</f>
        <v/>
      </c>
      <c r="B28" s="3" t="str">
        <f>IF('6Capital Costs'!B29&lt;&gt;"", '6Capital Costs'!B29, "")</f>
        <v/>
      </c>
      <c r="C28" s="46" t="str">
        <f>IF('6Capital Costs'!C29&lt;&gt;"", '6Capital Costs'!C29, "")</f>
        <v/>
      </c>
      <c r="D28" s="47" t="str">
        <f>IF('6Capital Costs'!D29&lt;&gt;"", '6Capital Costs'!D29, "")</f>
        <v/>
      </c>
      <c r="E28" s="27" t="str">
        <f>IF($A28&lt;&gt;"", (IF('6Replacement Costs - Entry'!T29="Y",((($B28*$D28)*((1+$B$5)^E$7))*(1/((1+$F$5)^E$7))),0)), "")</f>
        <v/>
      </c>
      <c r="F28" s="27" t="str">
        <f>IF($A28&lt;&gt;"", (IF('6Replacement Costs - Entry'!U29="Y",((($B28*$D28)*((1+$B$5)^F$7))*(1/((1+$F$5)^F$7))),0)), "")</f>
        <v/>
      </c>
      <c r="G28" s="27" t="str">
        <f>IF($A28&lt;&gt;"", (IF('6Replacement Costs - Entry'!V29="Y",((($B28*$D28)*((1+$B$5)^G$7))*(1/((1+$F$5)^G$7))),0)), "")</f>
        <v/>
      </c>
      <c r="H28" s="27" t="str">
        <f>IF($A28&lt;&gt;"", (IF('6Replacement Costs - Entry'!W29="Y",((($B28*$D28)*((1+$B$5)^H$7))*(1/((1+$F$5)^H$7))),0)), "")</f>
        <v/>
      </c>
      <c r="I28" s="27" t="str">
        <f>IF($A28&lt;&gt;"", (IF('6Replacement Costs - Entry'!X29="Y",((($B28*$D28)*((1+$B$5)^I$7))*(1/((1+$F$5)^I$7))),0)), "")</f>
        <v/>
      </c>
    </row>
    <row r="29" spans="1:9">
      <c r="A29" s="29" t="str">
        <f>IF('6Capital Costs'!A30&lt;&gt;"", '6Capital Costs'!A30, "")</f>
        <v/>
      </c>
      <c r="B29" s="3" t="str">
        <f>IF('6Capital Costs'!B30&lt;&gt;"", '6Capital Costs'!B30, "")</f>
        <v/>
      </c>
      <c r="C29" s="46" t="str">
        <f>IF('6Capital Costs'!C30&lt;&gt;"", '6Capital Costs'!C30, "")</f>
        <v/>
      </c>
      <c r="D29" s="47" t="str">
        <f>IF('6Capital Costs'!D30&lt;&gt;"", '6Capital Costs'!D30, "")</f>
        <v/>
      </c>
      <c r="E29" s="27" t="str">
        <f>IF($A29&lt;&gt;"", (IF('6Replacement Costs - Entry'!T30="Y",((($B29*$D29)*((1+$B$5)^E$7))*(1/((1+$F$5)^E$7))),0)), "")</f>
        <v/>
      </c>
      <c r="F29" s="27" t="str">
        <f>IF($A29&lt;&gt;"", (IF('6Replacement Costs - Entry'!U30="Y",((($B29*$D29)*((1+$B$5)^F$7))*(1/((1+$F$5)^F$7))),0)), "")</f>
        <v/>
      </c>
      <c r="G29" s="27" t="str">
        <f>IF($A29&lt;&gt;"", (IF('6Replacement Costs - Entry'!V30="Y",((($B29*$D29)*((1+$B$5)^G$7))*(1/((1+$F$5)^G$7))),0)), "")</f>
        <v/>
      </c>
      <c r="H29" s="27" t="str">
        <f>IF($A29&lt;&gt;"", (IF('6Replacement Costs - Entry'!W30="Y",((($B29*$D29)*((1+$B$5)^H$7))*(1/((1+$F$5)^H$7))),0)), "")</f>
        <v/>
      </c>
      <c r="I29" s="27" t="str">
        <f>IF($A29&lt;&gt;"", (IF('6Replacement Costs - Entry'!X30="Y",((($B29*$D29)*((1+$B$5)^I$7))*(1/((1+$F$5)^I$7))),0)), "")</f>
        <v/>
      </c>
    </row>
    <row r="30" spans="1:9">
      <c r="A30" s="29" t="str">
        <f>IF('6Capital Costs'!A31&lt;&gt;"", '6Capital Costs'!A31, "")</f>
        <v/>
      </c>
      <c r="B30" s="3" t="str">
        <f>IF('6Capital Costs'!B31&lt;&gt;"", '6Capital Costs'!B31, "")</f>
        <v/>
      </c>
      <c r="C30" s="46" t="str">
        <f>IF('6Capital Costs'!C31&lt;&gt;"", '6Capital Costs'!C31, "")</f>
        <v/>
      </c>
      <c r="D30" s="47" t="str">
        <f>IF('6Capital Costs'!D31&lt;&gt;"", '6Capital Costs'!D31, "")</f>
        <v/>
      </c>
      <c r="E30" s="27" t="str">
        <f>IF($A30&lt;&gt;"", (IF('6Replacement Costs - Entry'!T31="Y",((($B30*$D30)*((1+$B$5)^E$7))*(1/((1+$F$5)^E$7))),0)), "")</f>
        <v/>
      </c>
      <c r="F30" s="27" t="str">
        <f>IF($A30&lt;&gt;"", (IF('6Replacement Costs - Entry'!U31="Y",((($B30*$D30)*((1+$B$5)^F$7))*(1/((1+$F$5)^F$7))),0)), "")</f>
        <v/>
      </c>
      <c r="G30" s="27" t="str">
        <f>IF($A30&lt;&gt;"", (IF('6Replacement Costs - Entry'!V31="Y",((($B30*$D30)*((1+$B$5)^G$7))*(1/((1+$F$5)^G$7))),0)), "")</f>
        <v/>
      </c>
      <c r="H30" s="27" t="str">
        <f>IF($A30&lt;&gt;"", (IF('6Replacement Costs - Entry'!W31="Y",((($B30*$D30)*((1+$B$5)^H$7))*(1/((1+$F$5)^H$7))),0)), "")</f>
        <v/>
      </c>
      <c r="I30" s="27" t="str">
        <f>IF($A30&lt;&gt;"", (IF('6Replacement Costs - Entry'!X31="Y",((($B30*$D30)*((1+$B$5)^I$7))*(1/((1+$F$5)^I$7))),0)), "")</f>
        <v/>
      </c>
    </row>
    <row r="31" spans="1:9">
      <c r="A31" s="29" t="str">
        <f>IF('6Capital Costs'!A32&lt;&gt;"", '6Capital Costs'!A32, "")</f>
        <v/>
      </c>
      <c r="B31" s="3" t="str">
        <f>IF('6Capital Costs'!B32&lt;&gt;"", '6Capital Costs'!B32, "")</f>
        <v/>
      </c>
      <c r="C31" s="46" t="str">
        <f>IF('6Capital Costs'!C32&lt;&gt;"", '6Capital Costs'!C32, "")</f>
        <v/>
      </c>
      <c r="D31" s="47" t="str">
        <f>IF('6Capital Costs'!D32&lt;&gt;"", '6Capital Costs'!D32, "")</f>
        <v/>
      </c>
      <c r="E31" s="27" t="str">
        <f>IF($A31&lt;&gt;"", (IF('6Replacement Costs - Entry'!T32="Y",((($B31*$D31)*((1+$B$5)^E$7))*(1/((1+$F$5)^E$7))),0)), "")</f>
        <v/>
      </c>
      <c r="F31" s="27" t="str">
        <f>IF($A31&lt;&gt;"", (IF('6Replacement Costs - Entry'!U32="Y",((($B31*$D31)*((1+$B$5)^F$7))*(1/((1+$F$5)^F$7))),0)), "")</f>
        <v/>
      </c>
      <c r="G31" s="27" t="str">
        <f>IF($A31&lt;&gt;"", (IF('6Replacement Costs - Entry'!V32="Y",((($B31*$D31)*((1+$B$5)^G$7))*(1/((1+$F$5)^G$7))),0)), "")</f>
        <v/>
      </c>
      <c r="H31" s="27" t="str">
        <f>IF($A31&lt;&gt;"", (IF('6Replacement Costs - Entry'!W32="Y",((($B31*$D31)*((1+$B$5)^H$7))*(1/((1+$F$5)^H$7))),0)), "")</f>
        <v/>
      </c>
      <c r="I31" s="27" t="str">
        <f>IF($A31&lt;&gt;"", (IF('6Replacement Costs - Entry'!X32="Y",((($B31*$D31)*((1+$B$5)^I$7))*(1/((1+$F$5)^I$7))),0)), "")</f>
        <v/>
      </c>
    </row>
    <row r="32" spans="1:9">
      <c r="A32" s="29" t="str">
        <f>IF('6Capital Costs'!A33&lt;&gt;"", '6Capital Costs'!A33, "")</f>
        <v/>
      </c>
      <c r="B32" s="3" t="str">
        <f>IF('6Capital Costs'!B33&lt;&gt;"", '6Capital Costs'!B33, "")</f>
        <v/>
      </c>
      <c r="C32" s="46" t="str">
        <f>IF('6Capital Costs'!C33&lt;&gt;"", '6Capital Costs'!C33, "")</f>
        <v/>
      </c>
      <c r="D32" s="47" t="str">
        <f>IF('6Capital Costs'!D33&lt;&gt;"", '6Capital Costs'!D33, "")</f>
        <v/>
      </c>
      <c r="E32" s="27" t="str">
        <f>IF($A32&lt;&gt;"", (IF('6Replacement Costs - Entry'!T33="Y",((($B32*$D32)*((1+$B$5)^E$7))*(1/((1+$F$5)^E$7))),0)), "")</f>
        <v/>
      </c>
      <c r="F32" s="27" t="str">
        <f>IF($A32&lt;&gt;"", (IF('6Replacement Costs - Entry'!U33="Y",((($B32*$D32)*((1+$B$5)^F$7))*(1/((1+$F$5)^F$7))),0)), "")</f>
        <v/>
      </c>
      <c r="G32" s="27" t="str">
        <f>IF($A32&lt;&gt;"", (IF('6Replacement Costs - Entry'!V33="Y",((($B32*$D32)*((1+$B$5)^G$7))*(1/((1+$F$5)^G$7))),0)), "")</f>
        <v/>
      </c>
      <c r="H32" s="27" t="str">
        <f>IF($A32&lt;&gt;"", (IF('6Replacement Costs - Entry'!W33="Y",((($B32*$D32)*((1+$B$5)^H$7))*(1/((1+$F$5)^H$7))),0)), "")</f>
        <v/>
      </c>
      <c r="I32" s="27" t="str">
        <f>IF($A32&lt;&gt;"", (IF('6Replacement Costs - Entry'!X33="Y",((($B32*$D32)*((1+$B$5)^I$7))*(1/((1+$F$5)^I$7))),0)), "")</f>
        <v/>
      </c>
    </row>
    <row r="33" spans="1:9">
      <c r="A33" s="29" t="str">
        <f>IF('6Capital Costs'!A34&lt;&gt;"", '6Capital Costs'!A34, "")</f>
        <v/>
      </c>
      <c r="B33" s="3" t="str">
        <f>IF('6Capital Costs'!B34&lt;&gt;"", '6Capital Costs'!B34, "")</f>
        <v/>
      </c>
      <c r="C33" s="46" t="str">
        <f>IF('6Capital Costs'!C34&lt;&gt;"", '6Capital Costs'!C34, "")</f>
        <v/>
      </c>
      <c r="D33" s="47" t="str">
        <f>IF('6Capital Costs'!D34&lt;&gt;"", '6Capital Costs'!D34, "")</f>
        <v/>
      </c>
      <c r="E33" s="27" t="str">
        <f>IF($A33&lt;&gt;"", (IF('6Replacement Costs - Entry'!T34="Y",((($B33*$D33)*((1+$B$5)^E$7))*(1/((1+$F$5)^E$7))),0)), "")</f>
        <v/>
      </c>
      <c r="F33" s="27" t="str">
        <f>IF($A33&lt;&gt;"", (IF('6Replacement Costs - Entry'!U34="Y",((($B33*$D33)*((1+$B$5)^F$7))*(1/((1+$F$5)^F$7))),0)), "")</f>
        <v/>
      </c>
      <c r="G33" s="27" t="str">
        <f>IF($A33&lt;&gt;"", (IF('6Replacement Costs - Entry'!V34="Y",((($B33*$D33)*((1+$B$5)^G$7))*(1/((1+$F$5)^G$7))),0)), "")</f>
        <v/>
      </c>
      <c r="H33" s="27" t="str">
        <f>IF($A33&lt;&gt;"", (IF('6Replacement Costs - Entry'!W34="Y",((($B33*$D33)*((1+$B$5)^H$7))*(1/((1+$F$5)^H$7))),0)), "")</f>
        <v/>
      </c>
      <c r="I33" s="27" t="str">
        <f>IF($A33&lt;&gt;"", (IF('6Replacement Costs - Entry'!X34="Y",((($B33*$D33)*((1+$B$5)^I$7))*(1/((1+$F$5)^I$7))),0)), "")</f>
        <v/>
      </c>
    </row>
    <row r="34" spans="1:9">
      <c r="A34" s="29" t="str">
        <f>IF('6Capital Costs'!A35&lt;&gt;"", '6Capital Costs'!A35, "")</f>
        <v/>
      </c>
      <c r="B34" s="3" t="str">
        <f>IF('6Capital Costs'!B35&lt;&gt;"", '6Capital Costs'!B35, "")</f>
        <v/>
      </c>
      <c r="C34" s="46" t="str">
        <f>IF('6Capital Costs'!C35&lt;&gt;"", '6Capital Costs'!C35, "")</f>
        <v/>
      </c>
      <c r="D34" s="47" t="str">
        <f>IF('6Capital Costs'!D35&lt;&gt;"", '6Capital Costs'!D35, "")</f>
        <v/>
      </c>
      <c r="E34" s="27" t="str">
        <f>IF($A34&lt;&gt;"", (IF('6Replacement Costs - Entry'!T35="Y",((($B34*$D34)*((1+$B$5)^E$7))*(1/((1+$F$5)^E$7))),0)), "")</f>
        <v/>
      </c>
      <c r="F34" s="27" t="str">
        <f>IF($A34&lt;&gt;"", (IF('6Replacement Costs - Entry'!U35="Y",((($B34*$D34)*((1+$B$5)^F$7))*(1/((1+$F$5)^F$7))),0)), "")</f>
        <v/>
      </c>
      <c r="G34" s="27" t="str">
        <f>IF($A34&lt;&gt;"", (IF('6Replacement Costs - Entry'!V35="Y",((($B34*$D34)*((1+$B$5)^G$7))*(1/((1+$F$5)^G$7))),0)), "")</f>
        <v/>
      </c>
      <c r="H34" s="27" t="str">
        <f>IF($A34&lt;&gt;"", (IF('6Replacement Costs - Entry'!W35="Y",((($B34*$D34)*((1+$B$5)^H$7))*(1/((1+$F$5)^H$7))),0)), "")</f>
        <v/>
      </c>
      <c r="I34" s="27" t="str">
        <f>IF($A34&lt;&gt;"", (IF('6Replacement Costs - Entry'!X35="Y",((($B34*$D34)*((1+$B$5)^I$7))*(1/((1+$F$5)^I$7))),0)), "")</f>
        <v/>
      </c>
    </row>
    <row r="35" spans="1:9">
      <c r="A35" s="29" t="str">
        <f>IF('6Capital Costs'!A36&lt;&gt;"", '6Capital Costs'!A36, "")</f>
        <v/>
      </c>
      <c r="B35" s="3" t="str">
        <f>IF('6Capital Costs'!B36&lt;&gt;"", '6Capital Costs'!B36, "")</f>
        <v/>
      </c>
      <c r="C35" s="46" t="str">
        <f>IF('6Capital Costs'!C36&lt;&gt;"", '6Capital Costs'!C36, "")</f>
        <v/>
      </c>
      <c r="D35" s="47" t="str">
        <f>IF('6Capital Costs'!D36&lt;&gt;"", '6Capital Costs'!D36, "")</f>
        <v/>
      </c>
      <c r="E35" s="27" t="str">
        <f>IF($A35&lt;&gt;"", (IF('6Replacement Costs - Entry'!T36="Y",((($B35*$D35)*((1+$B$5)^E$7))*(1/((1+$F$5)^E$7))),0)), "")</f>
        <v/>
      </c>
      <c r="F35" s="27" t="str">
        <f>IF($A35&lt;&gt;"", (IF('6Replacement Costs - Entry'!U36="Y",((($B35*$D35)*((1+$B$5)^F$7))*(1/((1+$F$5)^F$7))),0)), "")</f>
        <v/>
      </c>
      <c r="G35" s="27" t="str">
        <f>IF($A35&lt;&gt;"", (IF('6Replacement Costs - Entry'!V36="Y",((($B35*$D35)*((1+$B$5)^G$7))*(1/((1+$F$5)^G$7))),0)), "")</f>
        <v/>
      </c>
      <c r="H35" s="27" t="str">
        <f>IF($A35&lt;&gt;"", (IF('6Replacement Costs - Entry'!W36="Y",((($B35*$D35)*((1+$B$5)^H$7))*(1/((1+$F$5)^H$7))),0)), "")</f>
        <v/>
      </c>
      <c r="I35" s="27" t="str">
        <f>IF($A35&lt;&gt;"", (IF('6Replacement Costs - Entry'!X36="Y",((($B35*$D35)*((1+$B$5)^I$7))*(1/((1+$F$5)^I$7))),0)), "")</f>
        <v/>
      </c>
    </row>
    <row r="36" spans="1:9">
      <c r="A36" s="29" t="str">
        <f>IF('6Capital Costs'!A37&lt;&gt;"", '6Capital Costs'!A37, "")</f>
        <v/>
      </c>
      <c r="B36" s="3" t="str">
        <f>IF('6Capital Costs'!B37&lt;&gt;"", '6Capital Costs'!B37, "")</f>
        <v/>
      </c>
      <c r="C36" s="46" t="str">
        <f>IF('6Capital Costs'!C37&lt;&gt;"", '6Capital Costs'!C37, "")</f>
        <v/>
      </c>
      <c r="D36" s="47" t="str">
        <f>IF('6Capital Costs'!D37&lt;&gt;"", '6Capital Costs'!D37, "")</f>
        <v/>
      </c>
      <c r="E36" s="27" t="str">
        <f>IF($A36&lt;&gt;"", (IF('6Replacement Costs - Entry'!T37="Y",((($B36*$D36)*((1+$B$5)^E$7))*(1/((1+$F$5)^E$7))),0)), "")</f>
        <v/>
      </c>
      <c r="F36" s="27" t="str">
        <f>IF($A36&lt;&gt;"", (IF('6Replacement Costs - Entry'!U37="Y",((($B36*$D36)*((1+$B$5)^F$7))*(1/((1+$F$5)^F$7))),0)), "")</f>
        <v/>
      </c>
      <c r="G36" s="27" t="str">
        <f>IF($A36&lt;&gt;"", (IF('6Replacement Costs - Entry'!V37="Y",((($B36*$D36)*((1+$B$5)^G$7))*(1/((1+$F$5)^G$7))),0)), "")</f>
        <v/>
      </c>
      <c r="H36" s="27" t="str">
        <f>IF($A36&lt;&gt;"", (IF('6Replacement Costs - Entry'!W37="Y",((($B36*$D36)*((1+$B$5)^H$7))*(1/((1+$F$5)^H$7))),0)), "")</f>
        <v/>
      </c>
      <c r="I36" s="27" t="str">
        <f>IF($A36&lt;&gt;"", (IF('6Replacement Costs - Entry'!X37="Y",((($B36*$D36)*((1+$B$5)^I$7))*(1/((1+$F$5)^I$7))),0)), "")</f>
        <v/>
      </c>
    </row>
    <row r="37" spans="1:9">
      <c r="A37" s="23"/>
      <c r="B37" s="23"/>
      <c r="C37" s="23"/>
      <c r="D37" s="36" t="s">
        <v>47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8" fitToWidth="4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zoomScaleNormal="100" workbookViewId="0">
      <selection activeCell="A2" sqref="A2:I2"/>
    </sheetView>
  </sheetViews>
  <sheetFormatPr defaultRowHeight="15.75"/>
  <cols>
    <col min="1" max="1" width="54.7109375" style="1" customWidth="1"/>
    <col min="2" max="9" width="12.7109375" style="1" customWidth="1"/>
    <col min="10" max="16384" width="9.140625" style="1"/>
  </cols>
  <sheetData>
    <row r="1" spans="1:9">
      <c r="A1" s="137" t="s">
        <v>187</v>
      </c>
      <c r="B1" s="138"/>
      <c r="C1" s="138"/>
      <c r="D1" s="138"/>
      <c r="E1" s="138"/>
      <c r="F1" s="138"/>
      <c r="G1" s="138"/>
      <c r="H1" s="138"/>
      <c r="I1" s="139"/>
    </row>
    <row r="2" spans="1:9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2"/>
    </row>
    <row r="3" spans="1:9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2"/>
    </row>
    <row r="4" spans="1:9">
      <c r="A4" s="155">
        <f>'6Capital Costs'!B6</f>
        <v>0</v>
      </c>
      <c r="B4" s="156"/>
      <c r="C4" s="156"/>
      <c r="D4" s="156"/>
      <c r="E4" s="156"/>
      <c r="F4" s="156"/>
      <c r="G4" s="156"/>
      <c r="H4" s="156"/>
      <c r="I4" s="157"/>
    </row>
    <row r="5" spans="1:9">
      <c r="A5" s="68" t="str">
        <f>'6Replace Costs-Results 11-15'!A5</f>
        <v>Current Inflation Rate based on Construction Cost Index:</v>
      </c>
      <c r="B5" s="69">
        <f>'6Replace Costs-Results 11-15'!B5</f>
        <v>2.0671834625323047E-2</v>
      </c>
      <c r="C5" s="67"/>
      <c r="D5" s="67"/>
      <c r="E5" s="70" t="s">
        <v>43</v>
      </c>
      <c r="F5" s="72">
        <f>'6Replace Costs-Results 11-15'!F5</f>
        <v>4.8750000000000002E-2</v>
      </c>
      <c r="G5" s="48"/>
      <c r="H5" s="48"/>
      <c r="I5" s="49"/>
    </row>
    <row r="6" spans="1:9">
      <c r="A6" s="22"/>
      <c r="B6" s="32"/>
      <c r="C6" s="32"/>
      <c r="D6" s="32"/>
      <c r="E6" s="151" t="s">
        <v>44</v>
      </c>
      <c r="F6" s="147"/>
      <c r="G6" s="147"/>
      <c r="H6" s="147"/>
      <c r="I6" s="148"/>
    </row>
    <row r="7" spans="1:9">
      <c r="A7" s="25" t="s">
        <v>4</v>
      </c>
      <c r="B7" s="26" t="s">
        <v>0</v>
      </c>
      <c r="C7" s="26" t="s">
        <v>5</v>
      </c>
      <c r="D7" s="26" t="s">
        <v>1</v>
      </c>
      <c r="E7" s="26">
        <v>16</v>
      </c>
      <c r="F7" s="26">
        <v>17</v>
      </c>
      <c r="G7" s="26">
        <v>18</v>
      </c>
      <c r="H7" s="26">
        <v>19</v>
      </c>
      <c r="I7" s="26">
        <v>20</v>
      </c>
    </row>
    <row r="8" spans="1:9">
      <c r="A8" s="29" t="str">
        <f>IF('6Capital Costs'!A9&lt;&gt;"", '6Capital Costs'!A9, "")</f>
        <v/>
      </c>
      <c r="B8" s="3" t="str">
        <f>IF('6Capital Costs'!B9&lt;&gt;"", '6Capital Costs'!B9, "")</f>
        <v/>
      </c>
      <c r="C8" s="46" t="str">
        <f>IF('6Capital Costs'!C9&lt;&gt;"", '6Capital Costs'!C9, "")</f>
        <v/>
      </c>
      <c r="D8" s="47" t="str">
        <f>IF('6Capital Costs'!D9&lt;&gt;"", '6Capital Costs'!D9, "")</f>
        <v/>
      </c>
      <c r="E8" s="27" t="str">
        <f>IF($A8&lt;&gt;"", (IF('6Replacement Costs - Entry'!Y9="Y",((($B8*$D8)*((1+$B$5)^E$7))*(1/((1+$F$5)^E$7))),0)), "")</f>
        <v/>
      </c>
      <c r="F8" s="27" t="str">
        <f>IF($A8&lt;&gt;"", (IF('6Replacement Costs - Entry'!Z9="Y",((($B8*$D8)*((1+$B$5)^F$7))*(1/((1+$F$5)^F$7))),0)), "")</f>
        <v/>
      </c>
      <c r="G8" s="27" t="str">
        <f>IF($A8&lt;&gt;"", (IF('6Replacement Costs - Entry'!AA9="Y",((($B8*$D8)*((1+$B$5)^G$7))*(1/((1+$F$5)^G$7))),0)), "")</f>
        <v/>
      </c>
      <c r="H8" s="27" t="str">
        <f>IF($A8&lt;&gt;"", (IF('6Replacement Costs - Entry'!AB9="Y",((($B8*$D8)*((1+$B$5)^H$7))*(1/((1+$F$5)^H$7))),0)), "")</f>
        <v/>
      </c>
      <c r="I8" s="27" t="str">
        <f>IF($A8&lt;&gt;"", (IF('6Replacement Costs - Entry'!AC9="Y",((($B8*$D8)*((1+$B$5)^I$7))*(1/((1+$F$5)^I$7))),0)), "")</f>
        <v/>
      </c>
    </row>
    <row r="9" spans="1:9">
      <c r="A9" s="29" t="str">
        <f>IF('6Capital Costs'!A10&lt;&gt;"", '6Capital Costs'!A10, "")</f>
        <v/>
      </c>
      <c r="B9" s="3" t="str">
        <f>IF('6Capital Costs'!B10&lt;&gt;"", '6Capital Costs'!B10, "")</f>
        <v/>
      </c>
      <c r="C9" s="46" t="str">
        <f>IF('6Capital Costs'!C10&lt;&gt;"", '6Capital Costs'!C10, "")</f>
        <v/>
      </c>
      <c r="D9" s="47" t="str">
        <f>IF('6Capital Costs'!D10&lt;&gt;"", '6Capital Costs'!D10, "")</f>
        <v/>
      </c>
      <c r="E9" s="27" t="str">
        <f>IF($A9&lt;&gt;"", (IF('6Replacement Costs - Entry'!Y10="Y",((($B9*$D9)*((1+$B$5)^E$7))*(1/((1+$F$5)^E$7))),0)), "")</f>
        <v/>
      </c>
      <c r="F9" s="27" t="str">
        <f>IF($A9&lt;&gt;"", (IF('6Replacement Costs - Entry'!Z10="Y",((($B9*$D9)*((1+$B$5)^F$7))*(1/((1+$F$5)^F$7))),0)), "")</f>
        <v/>
      </c>
      <c r="G9" s="27" t="str">
        <f>IF($A9&lt;&gt;"", (IF('6Replacement Costs - Entry'!AA10="Y",((($B9*$D9)*((1+$B$5)^G$7))*(1/((1+$F$5)^G$7))),0)), "")</f>
        <v/>
      </c>
      <c r="H9" s="27" t="str">
        <f>IF($A9&lt;&gt;"", (IF('6Replacement Costs - Entry'!AB10="Y",((($B9*$D9)*((1+$B$5)^H$7))*(1/((1+$F$5)^H$7))),0)), "")</f>
        <v/>
      </c>
      <c r="I9" s="27" t="str">
        <f>IF($A9&lt;&gt;"", (IF('6Replacement Costs - Entry'!AC10="Y",((($B9*$D9)*((1+$B$5)^I$7))*(1/((1+$F$5)^I$7))),0)), "")</f>
        <v/>
      </c>
    </row>
    <row r="10" spans="1:9">
      <c r="A10" s="29" t="str">
        <f>IF('6Capital Costs'!A11&lt;&gt;"", '6Capital Costs'!A11, "")</f>
        <v/>
      </c>
      <c r="B10" s="3" t="str">
        <f>IF('6Capital Costs'!B11&lt;&gt;"", '6Capital Costs'!B11, "")</f>
        <v/>
      </c>
      <c r="C10" s="46" t="str">
        <f>IF('6Capital Costs'!C11&lt;&gt;"", '6Capital Costs'!C11, "")</f>
        <v/>
      </c>
      <c r="D10" s="47" t="str">
        <f>IF('6Capital Costs'!D11&lt;&gt;"", '6Capital Costs'!D11, "")</f>
        <v/>
      </c>
      <c r="E10" s="27" t="str">
        <f>IF($A10&lt;&gt;"", (IF('6Replacement Costs - Entry'!Y11="Y",((($B10*$D10)*((1+$B$5)^E$7))*(1/((1+$F$5)^E$7))),0)), "")</f>
        <v/>
      </c>
      <c r="F10" s="27" t="str">
        <f>IF($A10&lt;&gt;"", (IF('6Replacement Costs - Entry'!Z11="Y",((($B10*$D10)*((1+$B$5)^F$7))*(1/((1+$F$5)^F$7))),0)), "")</f>
        <v/>
      </c>
      <c r="G10" s="27" t="str">
        <f>IF($A10&lt;&gt;"", (IF('6Replacement Costs - Entry'!AA11="Y",((($B10*$D10)*((1+$B$5)^G$7))*(1/((1+$F$5)^G$7))),0)), "")</f>
        <v/>
      </c>
      <c r="H10" s="27" t="str">
        <f>IF($A10&lt;&gt;"", (IF('6Replacement Costs - Entry'!AB11="Y",((($B10*$D10)*((1+$B$5)^H$7))*(1/((1+$F$5)^H$7))),0)), "")</f>
        <v/>
      </c>
      <c r="I10" s="27" t="str">
        <f>IF($A10&lt;&gt;"", (IF('6Replacement Costs - Entry'!AC11="Y",((($B10*$D10)*((1+$B$5)^I$7))*(1/((1+$F$5)^I$7))),0)), "")</f>
        <v/>
      </c>
    </row>
    <row r="11" spans="1:9">
      <c r="A11" s="29" t="str">
        <f>IF('6Capital Costs'!A12&lt;&gt;"", '6Capital Costs'!A12, "")</f>
        <v/>
      </c>
      <c r="B11" s="3" t="str">
        <f>IF('6Capital Costs'!B12&lt;&gt;"", '6Capital Costs'!B12, "")</f>
        <v/>
      </c>
      <c r="C11" s="46" t="str">
        <f>IF('6Capital Costs'!C12&lt;&gt;"", '6Capital Costs'!C12, "")</f>
        <v/>
      </c>
      <c r="D11" s="47" t="str">
        <f>IF('6Capital Costs'!D12&lt;&gt;"", '6Capital Costs'!D12, "")</f>
        <v/>
      </c>
      <c r="E11" s="27" t="str">
        <f>IF($A11&lt;&gt;"", (IF('6Replacement Costs - Entry'!Y12="Y",((($B11*$D11)*((1+$B$5)^E$7))*(1/((1+$F$5)^E$7))),0)), "")</f>
        <v/>
      </c>
      <c r="F11" s="27" t="str">
        <f>IF($A11&lt;&gt;"", (IF('6Replacement Costs - Entry'!Z12="Y",((($B11*$D11)*((1+$B$5)^F$7))*(1/((1+$F$5)^F$7))),0)), "")</f>
        <v/>
      </c>
      <c r="G11" s="27" t="str">
        <f>IF($A11&lt;&gt;"", (IF('6Replacement Costs - Entry'!AA12="Y",((($B11*$D11)*((1+$B$5)^G$7))*(1/((1+$F$5)^G$7))),0)), "")</f>
        <v/>
      </c>
      <c r="H11" s="27" t="str">
        <f>IF($A11&lt;&gt;"", (IF('6Replacement Costs - Entry'!AB12="Y",((($B11*$D11)*((1+$B$5)^H$7))*(1/((1+$F$5)^H$7))),0)), "")</f>
        <v/>
      </c>
      <c r="I11" s="27" t="str">
        <f>IF($A11&lt;&gt;"", (IF('6Replacement Costs - Entry'!AC12="Y",((($B11*$D11)*((1+$B$5)^I$7))*(1/((1+$F$5)^I$7))),0)), "")</f>
        <v/>
      </c>
    </row>
    <row r="12" spans="1:9">
      <c r="A12" s="29" t="str">
        <f>IF('6Capital Costs'!A13&lt;&gt;"", '6Capital Costs'!A13, "")</f>
        <v/>
      </c>
      <c r="B12" s="3" t="str">
        <f>IF('6Capital Costs'!B13&lt;&gt;"", '6Capital Costs'!B13, "")</f>
        <v/>
      </c>
      <c r="C12" s="46" t="str">
        <f>IF('6Capital Costs'!C13&lt;&gt;"", '6Capital Costs'!C13, "")</f>
        <v/>
      </c>
      <c r="D12" s="47" t="str">
        <f>IF('6Capital Costs'!D13&lt;&gt;"", '6Capital Costs'!D13, "")</f>
        <v/>
      </c>
      <c r="E12" s="27" t="str">
        <f>IF($A12&lt;&gt;"", (IF('6Replacement Costs - Entry'!Y13="Y",((($B12*$D12)*((1+$B$5)^E$7))*(1/((1+$F$5)^E$7))),0)), "")</f>
        <v/>
      </c>
      <c r="F12" s="27" t="str">
        <f>IF($A12&lt;&gt;"", (IF('6Replacement Costs - Entry'!Z13="Y",((($B12*$D12)*((1+$B$5)^F$7))*(1/((1+$F$5)^F$7))),0)), "")</f>
        <v/>
      </c>
      <c r="G12" s="27" t="str">
        <f>IF($A12&lt;&gt;"", (IF('6Replacement Costs - Entry'!AA13="Y",((($B12*$D12)*((1+$B$5)^G$7))*(1/((1+$F$5)^G$7))),0)), "")</f>
        <v/>
      </c>
      <c r="H12" s="27" t="str">
        <f>IF($A12&lt;&gt;"", (IF('6Replacement Costs - Entry'!AB13="Y",((($B12*$D12)*((1+$B$5)^H$7))*(1/((1+$F$5)^H$7))),0)), "")</f>
        <v/>
      </c>
      <c r="I12" s="27" t="str">
        <f>IF($A12&lt;&gt;"", (IF('6Replacement Costs - Entry'!AC13="Y",((($B12*$D12)*((1+$B$5)^I$7))*(1/((1+$F$5)^I$7))),0)), "")</f>
        <v/>
      </c>
    </row>
    <row r="13" spans="1:9">
      <c r="A13" s="29" t="str">
        <f>IF('6Capital Costs'!A14&lt;&gt;"", '6Capital Costs'!A14, "")</f>
        <v/>
      </c>
      <c r="B13" s="3" t="str">
        <f>IF('6Capital Costs'!B14&lt;&gt;"", '6Capital Costs'!B14, "")</f>
        <v/>
      </c>
      <c r="C13" s="46" t="str">
        <f>IF('6Capital Costs'!C14&lt;&gt;"", '6Capital Costs'!C14, "")</f>
        <v/>
      </c>
      <c r="D13" s="47" t="str">
        <f>IF('6Capital Costs'!D14&lt;&gt;"", '6Capital Costs'!D14, "")</f>
        <v/>
      </c>
      <c r="E13" s="27" t="str">
        <f>IF($A13&lt;&gt;"", (IF('6Replacement Costs - Entry'!Y14="Y",((($B13*$D13)*((1+$B$5)^E$7))*(1/((1+$F$5)^E$7))),0)), "")</f>
        <v/>
      </c>
      <c r="F13" s="27" t="str">
        <f>IF($A13&lt;&gt;"", (IF('6Replacement Costs - Entry'!Z14="Y",((($B13*$D13)*((1+$B$5)^F$7))*(1/((1+$F$5)^F$7))),0)), "")</f>
        <v/>
      </c>
      <c r="G13" s="27" t="str">
        <f>IF($A13&lt;&gt;"", (IF('6Replacement Costs - Entry'!AA14="Y",((($B13*$D13)*((1+$B$5)^G$7))*(1/((1+$F$5)^G$7))),0)), "")</f>
        <v/>
      </c>
      <c r="H13" s="27" t="str">
        <f>IF($A13&lt;&gt;"", (IF('6Replacement Costs - Entry'!AB14="Y",((($B13*$D13)*((1+$B$5)^H$7))*(1/((1+$F$5)^H$7))),0)), "")</f>
        <v/>
      </c>
      <c r="I13" s="27" t="str">
        <f>IF($A13&lt;&gt;"", (IF('6Replacement Costs - Entry'!AC14="Y",((($B13*$D13)*((1+$B$5)^I$7))*(1/((1+$F$5)^I$7))),0)), "")</f>
        <v/>
      </c>
    </row>
    <row r="14" spans="1:9">
      <c r="A14" s="29" t="str">
        <f>IF('6Capital Costs'!A15&lt;&gt;"", '6Capital Costs'!A15, "")</f>
        <v/>
      </c>
      <c r="B14" s="3" t="str">
        <f>IF('6Capital Costs'!B15&lt;&gt;"", '6Capital Costs'!B15, "")</f>
        <v/>
      </c>
      <c r="C14" s="46" t="str">
        <f>IF('6Capital Costs'!C15&lt;&gt;"", '6Capital Costs'!C15, "")</f>
        <v/>
      </c>
      <c r="D14" s="47" t="str">
        <f>IF('6Capital Costs'!D15&lt;&gt;"", '6Capital Costs'!D15, "")</f>
        <v/>
      </c>
      <c r="E14" s="27" t="str">
        <f>IF($A14&lt;&gt;"", (IF('6Replacement Costs - Entry'!Y15="Y",((($B14*$D14)*((1+$B$5)^E$7))*(1/((1+$F$5)^E$7))),0)), "")</f>
        <v/>
      </c>
      <c r="F14" s="27" t="str">
        <f>IF($A14&lt;&gt;"", (IF('6Replacement Costs - Entry'!Z15="Y",((($B14*$D14)*((1+$B$5)^F$7))*(1/((1+$F$5)^F$7))),0)), "")</f>
        <v/>
      </c>
      <c r="G14" s="27" t="str">
        <f>IF($A14&lt;&gt;"", (IF('6Replacement Costs - Entry'!AA15="Y",((($B14*$D14)*((1+$B$5)^G$7))*(1/((1+$F$5)^G$7))),0)), "")</f>
        <v/>
      </c>
      <c r="H14" s="27" t="str">
        <f>IF($A14&lt;&gt;"", (IF('6Replacement Costs - Entry'!AB15="Y",((($B14*$D14)*((1+$B$5)^H$7))*(1/((1+$F$5)^H$7))),0)), "")</f>
        <v/>
      </c>
      <c r="I14" s="27" t="str">
        <f>IF($A14&lt;&gt;"", (IF('6Replacement Costs - Entry'!AC15="Y",((($B14*$D14)*((1+$B$5)^I$7))*(1/((1+$F$5)^I$7))),0)), "")</f>
        <v/>
      </c>
    </row>
    <row r="15" spans="1:9">
      <c r="A15" s="29" t="str">
        <f>IF('6Capital Costs'!A16&lt;&gt;"", '6Capital Costs'!A16, "")</f>
        <v/>
      </c>
      <c r="B15" s="3" t="str">
        <f>IF('6Capital Costs'!B16&lt;&gt;"", '6Capital Costs'!B16, "")</f>
        <v/>
      </c>
      <c r="C15" s="46" t="str">
        <f>IF('6Capital Costs'!C16&lt;&gt;"", '6Capital Costs'!C16, "")</f>
        <v/>
      </c>
      <c r="D15" s="47" t="str">
        <f>IF('6Capital Costs'!D16&lt;&gt;"", '6Capital Costs'!D16, "")</f>
        <v/>
      </c>
      <c r="E15" s="27" t="str">
        <f>IF($A15&lt;&gt;"", (IF('6Replacement Costs - Entry'!Y16="Y",((($B15*$D15)*((1+$B$5)^E$7))*(1/((1+$F$5)^E$7))),0)), "")</f>
        <v/>
      </c>
      <c r="F15" s="27" t="str">
        <f>IF($A15&lt;&gt;"", (IF('6Replacement Costs - Entry'!Z16="Y",((($B15*$D15)*((1+$B$5)^F$7))*(1/((1+$F$5)^F$7))),0)), "")</f>
        <v/>
      </c>
      <c r="G15" s="27" t="str">
        <f>IF($A15&lt;&gt;"", (IF('6Replacement Costs - Entry'!AA16="Y",((($B15*$D15)*((1+$B$5)^G$7))*(1/((1+$F$5)^G$7))),0)), "")</f>
        <v/>
      </c>
      <c r="H15" s="27" t="str">
        <f>IF($A15&lt;&gt;"", (IF('6Replacement Costs - Entry'!AB16="Y",((($B15*$D15)*((1+$B$5)^H$7))*(1/((1+$F$5)^H$7))),0)), "")</f>
        <v/>
      </c>
      <c r="I15" s="27" t="str">
        <f>IF($A15&lt;&gt;"", (IF('6Replacement Costs - Entry'!AC16="Y",((($B15*$D15)*((1+$B$5)^I$7))*(1/((1+$F$5)^I$7))),0)), "")</f>
        <v/>
      </c>
    </row>
    <row r="16" spans="1:9">
      <c r="A16" s="29" t="str">
        <f>IF('6Capital Costs'!A17&lt;&gt;"", '6Capital Costs'!A17, "")</f>
        <v/>
      </c>
      <c r="B16" s="3" t="str">
        <f>IF('6Capital Costs'!B17&lt;&gt;"", '6Capital Costs'!B17, "")</f>
        <v/>
      </c>
      <c r="C16" s="46" t="str">
        <f>IF('6Capital Costs'!C17&lt;&gt;"", '6Capital Costs'!C17, "")</f>
        <v/>
      </c>
      <c r="D16" s="47" t="str">
        <f>IF('6Capital Costs'!D17&lt;&gt;"", '6Capital Costs'!D17, "")</f>
        <v/>
      </c>
      <c r="E16" s="27" t="str">
        <f>IF($A16&lt;&gt;"", (IF('6Replacement Costs - Entry'!Y17="Y",((($B16*$D16)*((1+$B$5)^E$7))*(1/((1+$F$5)^E$7))),0)), "")</f>
        <v/>
      </c>
      <c r="F16" s="27" t="str">
        <f>IF($A16&lt;&gt;"", (IF('6Replacement Costs - Entry'!Z17="Y",((($B16*$D16)*((1+$B$5)^F$7))*(1/((1+$F$5)^F$7))),0)), "")</f>
        <v/>
      </c>
      <c r="G16" s="27" t="str">
        <f>IF($A16&lt;&gt;"", (IF('6Replacement Costs - Entry'!AA17="Y",((($B16*$D16)*((1+$B$5)^G$7))*(1/((1+$F$5)^G$7))),0)), "")</f>
        <v/>
      </c>
      <c r="H16" s="27" t="str">
        <f>IF($A16&lt;&gt;"", (IF('6Replacement Costs - Entry'!AB17="Y",((($B16*$D16)*((1+$B$5)^H$7))*(1/((1+$F$5)^H$7))),0)), "")</f>
        <v/>
      </c>
      <c r="I16" s="27" t="str">
        <f>IF($A16&lt;&gt;"", (IF('6Replacement Costs - Entry'!AC17="Y",((($B16*$D16)*((1+$B$5)^I$7))*(1/((1+$F$5)^I$7))),0)), "")</f>
        <v/>
      </c>
    </row>
    <row r="17" spans="1:9">
      <c r="A17" s="29" t="str">
        <f>IF('6Capital Costs'!A18&lt;&gt;"", '6Capital Costs'!A18, "")</f>
        <v/>
      </c>
      <c r="B17" s="3" t="str">
        <f>IF('6Capital Costs'!B18&lt;&gt;"", '6Capital Costs'!B18, "")</f>
        <v/>
      </c>
      <c r="C17" s="46" t="str">
        <f>IF('6Capital Costs'!C18&lt;&gt;"", '6Capital Costs'!C18, "")</f>
        <v/>
      </c>
      <c r="D17" s="47" t="str">
        <f>IF('6Capital Costs'!D18&lt;&gt;"", '6Capital Costs'!D18, "")</f>
        <v/>
      </c>
      <c r="E17" s="27" t="str">
        <f>IF($A17&lt;&gt;"", (IF('6Replacement Costs - Entry'!Y18="Y",((($B17*$D17)*((1+$B$5)^E$7))*(1/((1+$F$5)^E$7))),0)), "")</f>
        <v/>
      </c>
      <c r="F17" s="27" t="str">
        <f>IF($A17&lt;&gt;"", (IF('6Replacement Costs - Entry'!Z18="Y",((($B17*$D17)*((1+$B$5)^F$7))*(1/((1+$F$5)^F$7))),0)), "")</f>
        <v/>
      </c>
      <c r="G17" s="27" t="str">
        <f>IF($A17&lt;&gt;"", (IF('6Replacement Costs - Entry'!AA18="Y",((($B17*$D17)*((1+$B$5)^G$7))*(1/((1+$F$5)^G$7))),0)), "")</f>
        <v/>
      </c>
      <c r="H17" s="27" t="str">
        <f>IF($A17&lt;&gt;"", (IF('6Replacement Costs - Entry'!AB18="Y",((($B17*$D17)*((1+$B$5)^H$7))*(1/((1+$F$5)^H$7))),0)), "")</f>
        <v/>
      </c>
      <c r="I17" s="27" t="str">
        <f>IF($A17&lt;&gt;"", (IF('6Replacement Costs - Entry'!AC18="Y",((($B17*$D17)*((1+$B$5)^I$7))*(1/((1+$F$5)^I$7))),0)), "")</f>
        <v/>
      </c>
    </row>
    <row r="18" spans="1:9">
      <c r="A18" s="29" t="str">
        <f>IF('6Capital Costs'!A19&lt;&gt;"", '6Capital Costs'!A19, "")</f>
        <v/>
      </c>
      <c r="B18" s="3" t="str">
        <f>IF('6Capital Costs'!B19&lt;&gt;"", '6Capital Costs'!B19, "")</f>
        <v/>
      </c>
      <c r="C18" s="46" t="str">
        <f>IF('6Capital Costs'!C19&lt;&gt;"", '6Capital Costs'!C19, "")</f>
        <v/>
      </c>
      <c r="D18" s="47" t="str">
        <f>IF('6Capital Costs'!D19&lt;&gt;"", '6Capital Costs'!D19, "")</f>
        <v/>
      </c>
      <c r="E18" s="27" t="str">
        <f>IF($A18&lt;&gt;"", (IF('6Replacement Costs - Entry'!Y19="Y",((($B18*$D18)*((1+$B$5)^E$7))*(1/((1+$F$5)^E$7))),0)), "")</f>
        <v/>
      </c>
      <c r="F18" s="27" t="str">
        <f>IF($A18&lt;&gt;"", (IF('6Replacement Costs - Entry'!Z19="Y",((($B18*$D18)*((1+$B$5)^F$7))*(1/((1+$F$5)^F$7))),0)), "")</f>
        <v/>
      </c>
      <c r="G18" s="27" t="str">
        <f>IF($A18&lt;&gt;"", (IF('6Replacement Costs - Entry'!AA19="Y",((($B18*$D18)*((1+$B$5)^G$7))*(1/((1+$F$5)^G$7))),0)), "")</f>
        <v/>
      </c>
      <c r="H18" s="27" t="str">
        <f>IF($A18&lt;&gt;"", (IF('6Replacement Costs - Entry'!AB19="Y",((($B18*$D18)*((1+$B$5)^H$7))*(1/((1+$F$5)^H$7))),0)), "")</f>
        <v/>
      </c>
      <c r="I18" s="27" t="str">
        <f>IF($A18&lt;&gt;"", (IF('6Replacement Costs - Entry'!AC19="Y",((($B18*$D18)*((1+$B$5)^I$7))*(1/((1+$F$5)^I$7))),0)), "")</f>
        <v/>
      </c>
    </row>
    <row r="19" spans="1:9">
      <c r="A19" s="29" t="str">
        <f>IF('6Capital Costs'!A20&lt;&gt;"", '6Capital Costs'!A20, "")</f>
        <v/>
      </c>
      <c r="B19" s="3" t="str">
        <f>IF('6Capital Costs'!B20&lt;&gt;"", '6Capital Costs'!B20, "")</f>
        <v/>
      </c>
      <c r="C19" s="46" t="str">
        <f>IF('6Capital Costs'!C20&lt;&gt;"", '6Capital Costs'!C20, "")</f>
        <v/>
      </c>
      <c r="D19" s="47" t="str">
        <f>IF('6Capital Costs'!D20&lt;&gt;"", '6Capital Costs'!D20, "")</f>
        <v/>
      </c>
      <c r="E19" s="27" t="str">
        <f>IF($A19&lt;&gt;"", (IF('6Replacement Costs - Entry'!Y20="Y",((($B19*$D19)*((1+$B$5)^E$7))*(1/((1+$F$5)^E$7))),0)), "")</f>
        <v/>
      </c>
      <c r="F19" s="27" t="str">
        <f>IF($A19&lt;&gt;"", (IF('6Replacement Costs - Entry'!Z20="Y",((($B19*$D19)*((1+$B$5)^F$7))*(1/((1+$F$5)^F$7))),0)), "")</f>
        <v/>
      </c>
      <c r="G19" s="27" t="str">
        <f>IF($A19&lt;&gt;"", (IF('6Replacement Costs - Entry'!AA20="Y",((($B19*$D19)*((1+$B$5)^G$7))*(1/((1+$F$5)^G$7))),0)), "")</f>
        <v/>
      </c>
      <c r="H19" s="27" t="str">
        <f>IF($A19&lt;&gt;"", (IF('6Replacement Costs - Entry'!AB20="Y",((($B19*$D19)*((1+$B$5)^H$7))*(1/((1+$F$5)^H$7))),0)), "")</f>
        <v/>
      </c>
      <c r="I19" s="27" t="str">
        <f>IF($A19&lt;&gt;"", (IF('6Replacement Costs - Entry'!AC20="Y",((($B19*$D19)*((1+$B$5)^I$7))*(1/((1+$F$5)^I$7))),0)), "")</f>
        <v/>
      </c>
    </row>
    <row r="20" spans="1:9">
      <c r="A20" s="29" t="str">
        <f>IF('6Capital Costs'!A21&lt;&gt;"", '6Capital Costs'!A21, "")</f>
        <v/>
      </c>
      <c r="B20" s="3" t="str">
        <f>IF('6Capital Costs'!B21&lt;&gt;"", '6Capital Costs'!B21, "")</f>
        <v/>
      </c>
      <c r="C20" s="46" t="str">
        <f>IF('6Capital Costs'!C21&lt;&gt;"", '6Capital Costs'!C21, "")</f>
        <v/>
      </c>
      <c r="D20" s="47" t="str">
        <f>IF('6Capital Costs'!D21&lt;&gt;"", '6Capital Costs'!D21, "")</f>
        <v/>
      </c>
      <c r="E20" s="27" t="str">
        <f>IF($A20&lt;&gt;"", (IF('6Replacement Costs - Entry'!Y21="Y",((($B20*$D20)*((1+$B$5)^E$7))*(1/((1+$F$5)^E$7))),0)), "")</f>
        <v/>
      </c>
      <c r="F20" s="27" t="str">
        <f>IF($A20&lt;&gt;"", (IF('6Replacement Costs - Entry'!Z21="Y",((($B20*$D20)*((1+$B$5)^F$7))*(1/((1+$F$5)^F$7))),0)), "")</f>
        <v/>
      </c>
      <c r="G20" s="27" t="str">
        <f>IF($A20&lt;&gt;"", (IF('6Replacement Costs - Entry'!AA21="Y",((($B20*$D20)*((1+$B$5)^G$7))*(1/((1+$F$5)^G$7))),0)), "")</f>
        <v/>
      </c>
      <c r="H20" s="27" t="str">
        <f>IF($A20&lt;&gt;"", (IF('6Replacement Costs - Entry'!AB21="Y",((($B20*$D20)*((1+$B$5)^H$7))*(1/((1+$F$5)^H$7))),0)), "")</f>
        <v/>
      </c>
      <c r="I20" s="27" t="str">
        <f>IF($A20&lt;&gt;"", (IF('6Replacement Costs - Entry'!AC21="Y",((($B20*$D20)*((1+$B$5)^I$7))*(1/((1+$F$5)^I$7))),0)), "")</f>
        <v/>
      </c>
    </row>
    <row r="21" spans="1:9">
      <c r="A21" s="29" t="str">
        <f>IF('6Capital Costs'!A22&lt;&gt;"", '6Capital Costs'!A22, "")</f>
        <v/>
      </c>
      <c r="B21" s="3" t="str">
        <f>IF('6Capital Costs'!B22&lt;&gt;"", '6Capital Costs'!B22, "")</f>
        <v/>
      </c>
      <c r="C21" s="46" t="str">
        <f>IF('6Capital Costs'!C22&lt;&gt;"", '6Capital Costs'!C22, "")</f>
        <v/>
      </c>
      <c r="D21" s="47" t="str">
        <f>IF('6Capital Costs'!D22&lt;&gt;"", '6Capital Costs'!D22, "")</f>
        <v/>
      </c>
      <c r="E21" s="27" t="str">
        <f>IF($A21&lt;&gt;"", (IF('6Replacement Costs - Entry'!Y22="Y",((($B21*$D21)*((1+$B$5)^E$7))*(1/((1+$F$5)^E$7))),0)), "")</f>
        <v/>
      </c>
      <c r="F21" s="27" t="str">
        <f>IF($A21&lt;&gt;"", (IF('6Replacement Costs - Entry'!Z22="Y",((($B21*$D21)*((1+$B$5)^F$7))*(1/((1+$F$5)^F$7))),0)), "")</f>
        <v/>
      </c>
      <c r="G21" s="27" t="str">
        <f>IF($A21&lt;&gt;"", (IF('6Replacement Costs - Entry'!AA22="Y",((($B21*$D21)*((1+$B$5)^G$7))*(1/((1+$F$5)^G$7))),0)), "")</f>
        <v/>
      </c>
      <c r="H21" s="27" t="str">
        <f>IF($A21&lt;&gt;"", (IF('6Replacement Costs - Entry'!AB22="Y",((($B21*$D21)*((1+$B$5)^H$7))*(1/((1+$F$5)^H$7))),0)), "")</f>
        <v/>
      </c>
      <c r="I21" s="27" t="str">
        <f>IF($A21&lt;&gt;"", (IF('6Replacement Costs - Entry'!AC22="Y",((($B21*$D21)*((1+$B$5)^I$7))*(1/((1+$F$5)^I$7))),0)), "")</f>
        <v/>
      </c>
    </row>
    <row r="22" spans="1:9">
      <c r="A22" s="29" t="str">
        <f>IF('6Capital Costs'!A23&lt;&gt;"", '6Capital Costs'!A23, "")</f>
        <v/>
      </c>
      <c r="B22" s="3" t="str">
        <f>IF('6Capital Costs'!B23&lt;&gt;"", '6Capital Costs'!B23, "")</f>
        <v/>
      </c>
      <c r="C22" s="46" t="str">
        <f>IF('6Capital Costs'!C23&lt;&gt;"", '6Capital Costs'!C23, "")</f>
        <v/>
      </c>
      <c r="D22" s="47" t="str">
        <f>IF('6Capital Costs'!D23&lt;&gt;"", '6Capital Costs'!D23, "")</f>
        <v/>
      </c>
      <c r="E22" s="27" t="str">
        <f>IF($A22&lt;&gt;"", (IF('6Replacement Costs - Entry'!Y23="Y",((($B22*$D22)*((1+$B$5)^E$7))*(1/((1+$F$5)^E$7))),0)), "")</f>
        <v/>
      </c>
      <c r="F22" s="27" t="str">
        <f>IF($A22&lt;&gt;"", (IF('6Replacement Costs - Entry'!Z23="Y",((($B22*$D22)*((1+$B$5)^F$7))*(1/((1+$F$5)^F$7))),0)), "")</f>
        <v/>
      </c>
      <c r="G22" s="27" t="str">
        <f>IF($A22&lt;&gt;"", (IF('6Replacement Costs - Entry'!AA23="Y",((($B22*$D22)*((1+$B$5)^G$7))*(1/((1+$F$5)^G$7))),0)), "")</f>
        <v/>
      </c>
      <c r="H22" s="27" t="str">
        <f>IF($A22&lt;&gt;"", (IF('6Replacement Costs - Entry'!AB23="Y",((($B22*$D22)*((1+$B$5)^H$7))*(1/((1+$F$5)^H$7))),0)), "")</f>
        <v/>
      </c>
      <c r="I22" s="27" t="str">
        <f>IF($A22&lt;&gt;"", (IF('6Replacement Costs - Entry'!AC23="Y",((($B22*$D22)*((1+$B$5)^I$7))*(1/((1+$F$5)^I$7))),0)), "")</f>
        <v/>
      </c>
    </row>
    <row r="23" spans="1:9">
      <c r="A23" s="29" t="str">
        <f>IF('6Capital Costs'!A24&lt;&gt;"", '6Capital Costs'!A24, "")</f>
        <v/>
      </c>
      <c r="B23" s="3" t="str">
        <f>IF('6Capital Costs'!B24&lt;&gt;"", '6Capital Costs'!B24, "")</f>
        <v/>
      </c>
      <c r="C23" s="46" t="str">
        <f>IF('6Capital Costs'!C24&lt;&gt;"", '6Capital Costs'!C24, "")</f>
        <v/>
      </c>
      <c r="D23" s="47" t="str">
        <f>IF('6Capital Costs'!D24&lt;&gt;"", '6Capital Costs'!D24, "")</f>
        <v/>
      </c>
      <c r="E23" s="27" t="str">
        <f>IF($A23&lt;&gt;"", (IF('6Replacement Costs - Entry'!Y24="Y",((($B23*$D23)*((1+$B$5)^E$7))*(1/((1+$F$5)^E$7))),0)), "")</f>
        <v/>
      </c>
      <c r="F23" s="27" t="str">
        <f>IF($A23&lt;&gt;"", (IF('6Replacement Costs - Entry'!Z24="Y",((($B23*$D23)*((1+$B$5)^F$7))*(1/((1+$F$5)^F$7))),0)), "")</f>
        <v/>
      </c>
      <c r="G23" s="27" t="str">
        <f>IF($A23&lt;&gt;"", (IF('6Replacement Costs - Entry'!AA24="Y",((($B23*$D23)*((1+$B$5)^G$7))*(1/((1+$F$5)^G$7))),0)), "")</f>
        <v/>
      </c>
      <c r="H23" s="27" t="str">
        <f>IF($A23&lt;&gt;"", (IF('6Replacement Costs - Entry'!AB24="Y",((($B23*$D23)*((1+$B$5)^H$7))*(1/((1+$F$5)^H$7))),0)), "")</f>
        <v/>
      </c>
      <c r="I23" s="27" t="str">
        <f>IF($A23&lt;&gt;"", (IF('6Replacement Costs - Entry'!AC24="Y",((($B23*$D23)*((1+$B$5)^I$7))*(1/((1+$F$5)^I$7))),0)), "")</f>
        <v/>
      </c>
    </row>
    <row r="24" spans="1:9">
      <c r="A24" s="29" t="str">
        <f>IF('6Capital Costs'!A25&lt;&gt;"", '6Capital Costs'!A25, "")</f>
        <v/>
      </c>
      <c r="B24" s="3" t="str">
        <f>IF('6Capital Costs'!B25&lt;&gt;"", '6Capital Costs'!B25, "")</f>
        <v/>
      </c>
      <c r="C24" s="46" t="str">
        <f>IF('6Capital Costs'!C25&lt;&gt;"", '6Capital Costs'!C25, "")</f>
        <v/>
      </c>
      <c r="D24" s="47" t="str">
        <f>IF('6Capital Costs'!D25&lt;&gt;"", '6Capital Costs'!D25, "")</f>
        <v/>
      </c>
      <c r="E24" s="27" t="str">
        <f>IF($A24&lt;&gt;"", (IF('6Replacement Costs - Entry'!Y25="Y",((($B24*$D24)*((1+$B$5)^E$7))*(1/((1+$F$5)^E$7))),0)), "")</f>
        <v/>
      </c>
      <c r="F24" s="27" t="str">
        <f>IF($A24&lt;&gt;"", (IF('6Replacement Costs - Entry'!Z25="Y",((($B24*$D24)*((1+$B$5)^F$7))*(1/((1+$F$5)^F$7))),0)), "")</f>
        <v/>
      </c>
      <c r="G24" s="27" t="str">
        <f>IF($A24&lt;&gt;"", (IF('6Replacement Costs - Entry'!AA25="Y",((($B24*$D24)*((1+$B$5)^G$7))*(1/((1+$F$5)^G$7))),0)), "")</f>
        <v/>
      </c>
      <c r="H24" s="27" t="str">
        <f>IF($A24&lt;&gt;"", (IF('6Replacement Costs - Entry'!AB25="Y",((($B24*$D24)*((1+$B$5)^H$7))*(1/((1+$F$5)^H$7))),0)), "")</f>
        <v/>
      </c>
      <c r="I24" s="27" t="str">
        <f>IF($A24&lt;&gt;"", (IF('6Replacement Costs - Entry'!AC25="Y",((($B24*$D24)*((1+$B$5)^I$7))*(1/((1+$F$5)^I$7))),0)), "")</f>
        <v/>
      </c>
    </row>
    <row r="25" spans="1:9">
      <c r="A25" s="29" t="str">
        <f>IF('6Capital Costs'!A26&lt;&gt;"", '6Capital Costs'!A26, "")</f>
        <v/>
      </c>
      <c r="B25" s="3" t="str">
        <f>IF('6Capital Costs'!B26&lt;&gt;"", '6Capital Costs'!B26, "")</f>
        <v/>
      </c>
      <c r="C25" s="46" t="str">
        <f>IF('6Capital Costs'!C26&lt;&gt;"", '6Capital Costs'!C26, "")</f>
        <v/>
      </c>
      <c r="D25" s="47" t="str">
        <f>IF('6Capital Costs'!D26&lt;&gt;"", '6Capital Costs'!D26, "")</f>
        <v/>
      </c>
      <c r="E25" s="27" t="str">
        <f>IF($A25&lt;&gt;"", (IF('6Replacement Costs - Entry'!Y26="Y",((($B25*$D25)*((1+$B$5)^E$7))*(1/((1+$F$5)^E$7))),0)), "")</f>
        <v/>
      </c>
      <c r="F25" s="27" t="str">
        <f>IF($A25&lt;&gt;"", (IF('6Replacement Costs - Entry'!Z26="Y",((($B25*$D25)*((1+$B$5)^F$7))*(1/((1+$F$5)^F$7))),0)), "")</f>
        <v/>
      </c>
      <c r="G25" s="27" t="str">
        <f>IF($A25&lt;&gt;"", (IF('6Replacement Costs - Entry'!AA26="Y",((($B25*$D25)*((1+$B$5)^G$7))*(1/((1+$F$5)^G$7))),0)), "")</f>
        <v/>
      </c>
      <c r="H25" s="27" t="str">
        <f>IF($A25&lt;&gt;"", (IF('6Replacement Costs - Entry'!AB26="Y",((($B25*$D25)*((1+$B$5)^H$7))*(1/((1+$F$5)^H$7))),0)), "")</f>
        <v/>
      </c>
      <c r="I25" s="27" t="str">
        <f>IF($A25&lt;&gt;"", (IF('6Replacement Costs - Entry'!AC26="Y",((($B25*$D25)*((1+$B$5)^I$7))*(1/((1+$F$5)^I$7))),0)), "")</f>
        <v/>
      </c>
    </row>
    <row r="26" spans="1:9">
      <c r="A26" s="29" t="str">
        <f>IF('6Capital Costs'!A27&lt;&gt;"", '6Capital Costs'!A27, "")</f>
        <v/>
      </c>
      <c r="B26" s="3" t="str">
        <f>IF('6Capital Costs'!B27&lt;&gt;"", '6Capital Costs'!B27, "")</f>
        <v/>
      </c>
      <c r="C26" s="46" t="str">
        <f>IF('6Capital Costs'!C27&lt;&gt;"", '6Capital Costs'!C27, "")</f>
        <v/>
      </c>
      <c r="D26" s="47" t="str">
        <f>IF('6Capital Costs'!D27&lt;&gt;"", '6Capital Costs'!D27, "")</f>
        <v/>
      </c>
      <c r="E26" s="27" t="str">
        <f>IF($A26&lt;&gt;"", (IF('6Replacement Costs - Entry'!Y27="Y",((($B26*$D26)*((1+$B$5)^E$7))*(1/((1+$F$5)^E$7))),0)), "")</f>
        <v/>
      </c>
      <c r="F26" s="27" t="str">
        <f>IF($A26&lt;&gt;"", (IF('6Replacement Costs - Entry'!Z27="Y",((($B26*$D26)*((1+$B$5)^F$7))*(1/((1+$F$5)^F$7))),0)), "")</f>
        <v/>
      </c>
      <c r="G26" s="27" t="str">
        <f>IF($A26&lt;&gt;"", (IF('6Replacement Costs - Entry'!AA27="Y",((($B26*$D26)*((1+$B$5)^G$7))*(1/((1+$F$5)^G$7))),0)), "")</f>
        <v/>
      </c>
      <c r="H26" s="27" t="str">
        <f>IF($A26&lt;&gt;"", (IF('6Replacement Costs - Entry'!AB27="Y",((($B26*$D26)*((1+$B$5)^H$7))*(1/((1+$F$5)^H$7))),0)), "")</f>
        <v/>
      </c>
      <c r="I26" s="27" t="str">
        <f>IF($A26&lt;&gt;"", (IF('6Replacement Costs - Entry'!AC27="Y",((($B26*$D26)*((1+$B$5)^I$7))*(1/((1+$F$5)^I$7))),0)), "")</f>
        <v/>
      </c>
    </row>
    <row r="27" spans="1:9">
      <c r="A27" s="29" t="str">
        <f>IF('6Capital Costs'!A28&lt;&gt;"", '6Capital Costs'!A28, "")</f>
        <v/>
      </c>
      <c r="B27" s="3" t="str">
        <f>IF('6Capital Costs'!B28&lt;&gt;"", '6Capital Costs'!B28, "")</f>
        <v/>
      </c>
      <c r="C27" s="46" t="str">
        <f>IF('6Capital Costs'!C28&lt;&gt;"", '6Capital Costs'!C28, "")</f>
        <v/>
      </c>
      <c r="D27" s="47" t="str">
        <f>IF('6Capital Costs'!D28&lt;&gt;"", '6Capital Costs'!D28, "")</f>
        <v/>
      </c>
      <c r="E27" s="27" t="str">
        <f>IF($A27&lt;&gt;"", (IF('6Replacement Costs - Entry'!Y28="Y",((($B27*$D27)*((1+$B$5)^E$7))*(1/((1+$F$5)^E$7))),0)), "")</f>
        <v/>
      </c>
      <c r="F27" s="27" t="str">
        <f>IF($A27&lt;&gt;"", (IF('6Replacement Costs - Entry'!Z28="Y",((($B27*$D27)*((1+$B$5)^F$7))*(1/((1+$F$5)^F$7))),0)), "")</f>
        <v/>
      </c>
      <c r="G27" s="27" t="str">
        <f>IF($A27&lt;&gt;"", (IF('6Replacement Costs - Entry'!AA28="Y",((($B27*$D27)*((1+$B$5)^G$7))*(1/((1+$F$5)^G$7))),0)), "")</f>
        <v/>
      </c>
      <c r="H27" s="27" t="str">
        <f>IF($A27&lt;&gt;"", (IF('6Replacement Costs - Entry'!AB28="Y",((($B27*$D27)*((1+$B$5)^H$7))*(1/((1+$F$5)^H$7))),0)), "")</f>
        <v/>
      </c>
      <c r="I27" s="27" t="str">
        <f>IF($A27&lt;&gt;"", (IF('6Replacement Costs - Entry'!AC28="Y",((($B27*$D27)*((1+$B$5)^I$7))*(1/((1+$F$5)^I$7))),0)), "")</f>
        <v/>
      </c>
    </row>
    <row r="28" spans="1:9">
      <c r="A28" s="29" t="str">
        <f>IF('6Capital Costs'!A29&lt;&gt;"", '6Capital Costs'!A29, "")</f>
        <v/>
      </c>
      <c r="B28" s="3" t="str">
        <f>IF('6Capital Costs'!B29&lt;&gt;"", '6Capital Costs'!B29, "")</f>
        <v/>
      </c>
      <c r="C28" s="46" t="str">
        <f>IF('6Capital Costs'!C29&lt;&gt;"", '6Capital Costs'!C29, "")</f>
        <v/>
      </c>
      <c r="D28" s="47" t="str">
        <f>IF('6Capital Costs'!D29&lt;&gt;"", '6Capital Costs'!D29, "")</f>
        <v/>
      </c>
      <c r="E28" s="27" t="str">
        <f>IF($A28&lt;&gt;"", (IF('6Replacement Costs - Entry'!Y29="Y",((($B28*$D28)*((1+$B$5)^E$7))*(1/((1+$F$5)^E$7))),0)), "")</f>
        <v/>
      </c>
      <c r="F28" s="27" t="str">
        <f>IF($A28&lt;&gt;"", (IF('6Replacement Costs - Entry'!Z29="Y",((($B28*$D28)*((1+$B$5)^F$7))*(1/((1+$F$5)^F$7))),0)), "")</f>
        <v/>
      </c>
      <c r="G28" s="27" t="str">
        <f>IF($A28&lt;&gt;"", (IF('6Replacement Costs - Entry'!AA29="Y",((($B28*$D28)*((1+$B$5)^G$7))*(1/((1+$F$5)^G$7))),0)), "")</f>
        <v/>
      </c>
      <c r="H28" s="27" t="str">
        <f>IF($A28&lt;&gt;"", (IF('6Replacement Costs - Entry'!AB29="Y",((($B28*$D28)*((1+$B$5)^H$7))*(1/((1+$F$5)^H$7))),0)), "")</f>
        <v/>
      </c>
      <c r="I28" s="27" t="str">
        <f>IF($A28&lt;&gt;"", (IF('6Replacement Costs - Entry'!AC29="Y",((($B28*$D28)*((1+$B$5)^I$7))*(1/((1+$F$5)^I$7))),0)), "")</f>
        <v/>
      </c>
    </row>
    <row r="29" spans="1:9">
      <c r="A29" s="29" t="str">
        <f>IF('6Capital Costs'!A30&lt;&gt;"", '6Capital Costs'!A30, "")</f>
        <v/>
      </c>
      <c r="B29" s="3" t="str">
        <f>IF('6Capital Costs'!B30&lt;&gt;"", '6Capital Costs'!B30, "")</f>
        <v/>
      </c>
      <c r="C29" s="46" t="str">
        <f>IF('6Capital Costs'!C30&lt;&gt;"", '6Capital Costs'!C30, "")</f>
        <v/>
      </c>
      <c r="D29" s="47" t="str">
        <f>IF('6Capital Costs'!D30&lt;&gt;"", '6Capital Costs'!D30, "")</f>
        <v/>
      </c>
      <c r="E29" s="27" t="str">
        <f>IF($A29&lt;&gt;"", (IF('6Replacement Costs - Entry'!Y30="Y",((($B29*$D29)*((1+$B$5)^E$7))*(1/((1+$F$5)^E$7))),0)), "")</f>
        <v/>
      </c>
      <c r="F29" s="27" t="str">
        <f>IF($A29&lt;&gt;"", (IF('6Replacement Costs - Entry'!Z30="Y",((($B29*$D29)*((1+$B$5)^F$7))*(1/((1+$F$5)^F$7))),0)), "")</f>
        <v/>
      </c>
      <c r="G29" s="27" t="str">
        <f>IF($A29&lt;&gt;"", (IF('6Replacement Costs - Entry'!AA30="Y",((($B29*$D29)*((1+$B$5)^G$7))*(1/((1+$F$5)^G$7))),0)), "")</f>
        <v/>
      </c>
      <c r="H29" s="27" t="str">
        <f>IF($A29&lt;&gt;"", (IF('6Replacement Costs - Entry'!AB30="Y",((($B29*$D29)*((1+$B$5)^H$7))*(1/((1+$F$5)^H$7))),0)), "")</f>
        <v/>
      </c>
      <c r="I29" s="27" t="str">
        <f>IF($A29&lt;&gt;"", (IF('6Replacement Costs - Entry'!AC30="Y",((($B29*$D29)*((1+$B$5)^I$7))*(1/((1+$F$5)^I$7))),0)), "")</f>
        <v/>
      </c>
    </row>
    <row r="30" spans="1:9">
      <c r="A30" s="29" t="str">
        <f>IF('6Capital Costs'!A31&lt;&gt;"", '6Capital Costs'!A31, "")</f>
        <v/>
      </c>
      <c r="B30" s="3" t="str">
        <f>IF('6Capital Costs'!B31&lt;&gt;"", '6Capital Costs'!B31, "")</f>
        <v/>
      </c>
      <c r="C30" s="46" t="str">
        <f>IF('6Capital Costs'!C31&lt;&gt;"", '6Capital Costs'!C31, "")</f>
        <v/>
      </c>
      <c r="D30" s="47" t="str">
        <f>IF('6Capital Costs'!D31&lt;&gt;"", '6Capital Costs'!D31, "")</f>
        <v/>
      </c>
      <c r="E30" s="27" t="str">
        <f>IF($A30&lt;&gt;"", (IF('6Replacement Costs - Entry'!Y31="Y",((($B30*$D30)*((1+$B$5)^E$7))*(1/((1+$F$5)^E$7))),0)), "")</f>
        <v/>
      </c>
      <c r="F30" s="27" t="str">
        <f>IF($A30&lt;&gt;"", (IF('6Replacement Costs - Entry'!Z31="Y",((($B30*$D30)*((1+$B$5)^F$7))*(1/((1+$F$5)^F$7))),0)), "")</f>
        <v/>
      </c>
      <c r="G30" s="27" t="str">
        <f>IF($A30&lt;&gt;"", (IF('6Replacement Costs - Entry'!AA31="Y",((($B30*$D30)*((1+$B$5)^G$7))*(1/((1+$F$5)^G$7))),0)), "")</f>
        <v/>
      </c>
      <c r="H30" s="27" t="str">
        <f>IF($A30&lt;&gt;"", (IF('6Replacement Costs - Entry'!AB31="Y",((($B30*$D30)*((1+$B$5)^H$7))*(1/((1+$F$5)^H$7))),0)), "")</f>
        <v/>
      </c>
      <c r="I30" s="27" t="str">
        <f>IF($A30&lt;&gt;"", (IF('6Replacement Costs - Entry'!AC31="Y",((($B30*$D30)*((1+$B$5)^I$7))*(1/((1+$F$5)^I$7))),0)), "")</f>
        <v/>
      </c>
    </row>
    <row r="31" spans="1:9">
      <c r="A31" s="29" t="str">
        <f>IF('6Capital Costs'!A32&lt;&gt;"", '6Capital Costs'!A32, "")</f>
        <v/>
      </c>
      <c r="B31" s="3" t="str">
        <f>IF('6Capital Costs'!B32&lt;&gt;"", '6Capital Costs'!B32, "")</f>
        <v/>
      </c>
      <c r="C31" s="46" t="str">
        <f>IF('6Capital Costs'!C32&lt;&gt;"", '6Capital Costs'!C32, "")</f>
        <v/>
      </c>
      <c r="D31" s="47" t="str">
        <f>IF('6Capital Costs'!D32&lt;&gt;"", '6Capital Costs'!D32, "")</f>
        <v/>
      </c>
      <c r="E31" s="27" t="str">
        <f>IF($A31&lt;&gt;"", (IF('6Replacement Costs - Entry'!Y32="Y",((($B31*$D31)*((1+$B$5)^E$7))*(1/((1+$F$5)^E$7))),0)), "")</f>
        <v/>
      </c>
      <c r="F31" s="27" t="str">
        <f>IF($A31&lt;&gt;"", (IF('6Replacement Costs - Entry'!Z32="Y",((($B31*$D31)*((1+$B$5)^F$7))*(1/((1+$F$5)^F$7))),0)), "")</f>
        <v/>
      </c>
      <c r="G31" s="27" t="str">
        <f>IF($A31&lt;&gt;"", (IF('6Replacement Costs - Entry'!AA32="Y",((($B31*$D31)*((1+$B$5)^G$7))*(1/((1+$F$5)^G$7))),0)), "")</f>
        <v/>
      </c>
      <c r="H31" s="27" t="str">
        <f>IF($A31&lt;&gt;"", (IF('6Replacement Costs - Entry'!AB32="Y",((($B31*$D31)*((1+$B$5)^H$7))*(1/((1+$F$5)^H$7))),0)), "")</f>
        <v/>
      </c>
      <c r="I31" s="27" t="str">
        <f>IF($A31&lt;&gt;"", (IF('6Replacement Costs - Entry'!AC32="Y",((($B31*$D31)*((1+$B$5)^I$7))*(1/((1+$F$5)^I$7))),0)), "")</f>
        <v/>
      </c>
    </row>
    <row r="32" spans="1:9">
      <c r="A32" s="29" t="str">
        <f>IF('6Capital Costs'!A33&lt;&gt;"", '6Capital Costs'!A33, "")</f>
        <v/>
      </c>
      <c r="B32" s="3" t="str">
        <f>IF('6Capital Costs'!B33&lt;&gt;"", '6Capital Costs'!B33, "")</f>
        <v/>
      </c>
      <c r="C32" s="46" t="str">
        <f>IF('6Capital Costs'!C33&lt;&gt;"", '6Capital Costs'!C33, "")</f>
        <v/>
      </c>
      <c r="D32" s="47" t="str">
        <f>IF('6Capital Costs'!D33&lt;&gt;"", '6Capital Costs'!D33, "")</f>
        <v/>
      </c>
      <c r="E32" s="27" t="str">
        <f>IF($A32&lt;&gt;"", (IF('6Replacement Costs - Entry'!Y33="Y",((($B32*$D32)*((1+$B$5)^E$7))*(1/((1+$F$5)^E$7))),0)), "")</f>
        <v/>
      </c>
      <c r="F32" s="27" t="str">
        <f>IF($A32&lt;&gt;"", (IF('6Replacement Costs - Entry'!Z33="Y",((($B32*$D32)*((1+$B$5)^F$7))*(1/((1+$F$5)^F$7))),0)), "")</f>
        <v/>
      </c>
      <c r="G32" s="27" t="str">
        <f>IF($A32&lt;&gt;"", (IF('6Replacement Costs - Entry'!AA33="Y",((($B32*$D32)*((1+$B$5)^G$7))*(1/((1+$F$5)^G$7))),0)), "")</f>
        <v/>
      </c>
      <c r="H32" s="27" t="str">
        <f>IF($A32&lt;&gt;"", (IF('6Replacement Costs - Entry'!AB33="Y",((($B32*$D32)*((1+$B$5)^H$7))*(1/((1+$F$5)^H$7))),0)), "")</f>
        <v/>
      </c>
      <c r="I32" s="27" t="str">
        <f>IF($A32&lt;&gt;"", (IF('6Replacement Costs - Entry'!AC33="Y",((($B32*$D32)*((1+$B$5)^I$7))*(1/((1+$F$5)^I$7))),0)), "")</f>
        <v/>
      </c>
    </row>
    <row r="33" spans="1:9">
      <c r="A33" s="29" t="str">
        <f>IF('6Capital Costs'!A34&lt;&gt;"", '6Capital Costs'!A34, "")</f>
        <v/>
      </c>
      <c r="B33" s="3" t="str">
        <f>IF('6Capital Costs'!B34&lt;&gt;"", '6Capital Costs'!B34, "")</f>
        <v/>
      </c>
      <c r="C33" s="46" t="str">
        <f>IF('6Capital Costs'!C34&lt;&gt;"", '6Capital Costs'!C34, "")</f>
        <v/>
      </c>
      <c r="D33" s="47" t="str">
        <f>IF('6Capital Costs'!D34&lt;&gt;"", '6Capital Costs'!D34, "")</f>
        <v/>
      </c>
      <c r="E33" s="27" t="str">
        <f>IF($A33&lt;&gt;"", (IF('6Replacement Costs - Entry'!Y34="Y",((($B33*$D33)*((1+$B$5)^E$7))*(1/((1+$F$5)^E$7))),0)), "")</f>
        <v/>
      </c>
      <c r="F33" s="27" t="str">
        <f>IF($A33&lt;&gt;"", (IF('6Replacement Costs - Entry'!Z34="Y",((($B33*$D33)*((1+$B$5)^F$7))*(1/((1+$F$5)^F$7))),0)), "")</f>
        <v/>
      </c>
      <c r="G33" s="27" t="str">
        <f>IF($A33&lt;&gt;"", (IF('6Replacement Costs - Entry'!AA34="Y",((($B33*$D33)*((1+$B$5)^G$7))*(1/((1+$F$5)^G$7))),0)), "")</f>
        <v/>
      </c>
      <c r="H33" s="27" t="str">
        <f>IF($A33&lt;&gt;"", (IF('6Replacement Costs - Entry'!AB34="Y",((($B33*$D33)*((1+$B$5)^H$7))*(1/((1+$F$5)^H$7))),0)), "")</f>
        <v/>
      </c>
      <c r="I33" s="27" t="str">
        <f>IF($A33&lt;&gt;"", (IF('6Replacement Costs - Entry'!AC34="Y",((($B33*$D33)*((1+$B$5)^I$7))*(1/((1+$F$5)^I$7))),0)), "")</f>
        <v/>
      </c>
    </row>
    <row r="34" spans="1:9">
      <c r="A34" s="29" t="str">
        <f>IF('6Capital Costs'!A35&lt;&gt;"", '6Capital Costs'!A35, "")</f>
        <v/>
      </c>
      <c r="B34" s="3" t="str">
        <f>IF('6Capital Costs'!B35&lt;&gt;"", '6Capital Costs'!B35, "")</f>
        <v/>
      </c>
      <c r="C34" s="46" t="str">
        <f>IF('6Capital Costs'!C35&lt;&gt;"", '6Capital Costs'!C35, "")</f>
        <v/>
      </c>
      <c r="D34" s="47" t="str">
        <f>IF('6Capital Costs'!D35&lt;&gt;"", '6Capital Costs'!D35, "")</f>
        <v/>
      </c>
      <c r="E34" s="27" t="str">
        <f>IF($A34&lt;&gt;"", (IF('6Replacement Costs - Entry'!Y35="Y",((($B34*$D34)*((1+$B$5)^E$7))*(1/((1+$F$5)^E$7))),0)), "")</f>
        <v/>
      </c>
      <c r="F34" s="27" t="str">
        <f>IF($A34&lt;&gt;"", (IF('6Replacement Costs - Entry'!Z35="Y",((($B34*$D34)*((1+$B$5)^F$7))*(1/((1+$F$5)^F$7))),0)), "")</f>
        <v/>
      </c>
      <c r="G34" s="27" t="str">
        <f>IF($A34&lt;&gt;"", (IF('6Replacement Costs - Entry'!AA35="Y",((($B34*$D34)*((1+$B$5)^G$7))*(1/((1+$F$5)^G$7))),0)), "")</f>
        <v/>
      </c>
      <c r="H34" s="27" t="str">
        <f>IF($A34&lt;&gt;"", (IF('6Replacement Costs - Entry'!AB35="Y",((($B34*$D34)*((1+$B$5)^H$7))*(1/((1+$F$5)^H$7))),0)), "")</f>
        <v/>
      </c>
      <c r="I34" s="27" t="str">
        <f>IF($A34&lt;&gt;"", (IF('6Replacement Costs - Entry'!AC35="Y",((($B34*$D34)*((1+$B$5)^I$7))*(1/((1+$F$5)^I$7))),0)), "")</f>
        <v/>
      </c>
    </row>
    <row r="35" spans="1:9">
      <c r="A35" s="29" t="str">
        <f>IF('6Capital Costs'!A36&lt;&gt;"", '6Capital Costs'!A36, "")</f>
        <v/>
      </c>
      <c r="B35" s="3" t="str">
        <f>IF('6Capital Costs'!B36&lt;&gt;"", '6Capital Costs'!B36, "")</f>
        <v/>
      </c>
      <c r="C35" s="46" t="str">
        <f>IF('6Capital Costs'!C36&lt;&gt;"", '6Capital Costs'!C36, "")</f>
        <v/>
      </c>
      <c r="D35" s="47" t="str">
        <f>IF('6Capital Costs'!D36&lt;&gt;"", '6Capital Costs'!D36, "")</f>
        <v/>
      </c>
      <c r="E35" s="27" t="str">
        <f>IF($A35&lt;&gt;"", (IF('6Replacement Costs - Entry'!Y36="Y",((($B35*$D35)*((1+$B$5)^E$7))*(1/((1+$F$5)^E$7))),0)), "")</f>
        <v/>
      </c>
      <c r="F35" s="27" t="str">
        <f>IF($A35&lt;&gt;"", (IF('6Replacement Costs - Entry'!Z36="Y",((($B35*$D35)*((1+$B$5)^F$7))*(1/((1+$F$5)^F$7))),0)), "")</f>
        <v/>
      </c>
      <c r="G35" s="27" t="str">
        <f>IF($A35&lt;&gt;"", (IF('6Replacement Costs - Entry'!AA36="Y",((($B35*$D35)*((1+$B$5)^G$7))*(1/((1+$F$5)^G$7))),0)), "")</f>
        <v/>
      </c>
      <c r="H35" s="27" t="str">
        <f>IF($A35&lt;&gt;"", (IF('6Replacement Costs - Entry'!AB36="Y",((($B35*$D35)*((1+$B$5)^H$7))*(1/((1+$F$5)^H$7))),0)), "")</f>
        <v/>
      </c>
      <c r="I35" s="27" t="str">
        <f>IF($A35&lt;&gt;"", (IF('6Replacement Costs - Entry'!AC36="Y",((($B35*$D35)*((1+$B$5)^I$7))*(1/((1+$F$5)^I$7))),0)), "")</f>
        <v/>
      </c>
    </row>
    <row r="36" spans="1:9">
      <c r="A36" s="29" t="str">
        <f>IF('6Capital Costs'!A37&lt;&gt;"", '6Capital Costs'!A37, "")</f>
        <v/>
      </c>
      <c r="B36" s="3" t="str">
        <f>IF('6Capital Costs'!B37&lt;&gt;"", '6Capital Costs'!B37, "")</f>
        <v/>
      </c>
      <c r="C36" s="46" t="str">
        <f>IF('6Capital Costs'!C37&lt;&gt;"", '6Capital Costs'!C37, "")</f>
        <v/>
      </c>
      <c r="D36" s="47" t="str">
        <f>IF('6Capital Costs'!D37&lt;&gt;"", '6Capital Costs'!D37, "")</f>
        <v/>
      </c>
      <c r="E36" s="27" t="str">
        <f>IF($A36&lt;&gt;"", (IF('6Replacement Costs - Entry'!Y37="Y",((($B36*$D36)*((1+$B$5)^E$7))*(1/((1+$F$5)^E$7))),0)), "")</f>
        <v/>
      </c>
      <c r="F36" s="27" t="str">
        <f>IF($A36&lt;&gt;"", (IF('6Replacement Costs - Entry'!Z37="Y",((($B36*$D36)*((1+$B$5)^F$7))*(1/((1+$F$5)^F$7))),0)), "")</f>
        <v/>
      </c>
      <c r="G36" s="27" t="str">
        <f>IF($A36&lt;&gt;"", (IF('6Replacement Costs - Entry'!AA37="Y",((($B36*$D36)*((1+$B$5)^G$7))*(1/((1+$F$5)^G$7))),0)), "")</f>
        <v/>
      </c>
      <c r="H36" s="27" t="str">
        <f>IF($A36&lt;&gt;"", (IF('6Replacement Costs - Entry'!AB37="Y",((($B36*$D36)*((1+$B$5)^H$7))*(1/((1+$F$5)^H$7))),0)), "")</f>
        <v/>
      </c>
      <c r="I36" s="27" t="str">
        <f>IF($A36&lt;&gt;"", (IF('6Replacement Costs - Entry'!AC37="Y",((($B36*$D36)*((1+$B$5)^I$7))*(1/((1+$F$5)^I$7))),0)), "")</f>
        <v/>
      </c>
    </row>
    <row r="37" spans="1:9">
      <c r="A37" s="23"/>
      <c r="B37" s="23"/>
      <c r="C37" s="23"/>
      <c r="D37" s="36" t="s">
        <v>46</v>
      </c>
      <c r="E37" s="28">
        <f>SUM(E8:E36)</f>
        <v>0</v>
      </c>
      <c r="F37" s="28">
        <f>SUM(F8:F36)</f>
        <v>0</v>
      </c>
      <c r="G37" s="28">
        <f>SUM(G8:G36)</f>
        <v>0</v>
      </c>
      <c r="H37" s="28">
        <f>SUM(H8:H36)</f>
        <v>0</v>
      </c>
      <c r="I37" s="28">
        <f>SUM(I8:I36)</f>
        <v>0</v>
      </c>
    </row>
    <row r="38" spans="1:9">
      <c r="H38" s="2" t="s">
        <v>45</v>
      </c>
      <c r="I38" s="28">
        <f>'6Replace Costs - Results 1-5'!E37+'6Replace Costs - Results 1-5'!F37+'6Replace Costs - Results 1-5'!G37+'6Replace Costs - Results 1-5'!H37+'6Replace Costs - Results 1-5'!I37+'6Replace Costs-Results 6-10'!E37+'6Replace Costs-Results 6-10'!F37+'6Replace Costs-Results 6-10'!G37+'6Replace Costs-Results 6-10'!H37+'6Replace Costs-Results 6-10'!I37+'6Replace Costs-Results 11-15'!E37+'6Replace Costs-Results 11-15'!F37+'6Replace Costs-Results 11-15'!G37+'6Replace Costs-Results 11-15'!H37+'6Replace Costs-Results 11-15'!I37+'6Replace Costs-Results 16-20'!E37+'6Replace Costs-Results 16-20'!F37+'6Replace Costs-Results 16-20'!G37+'6Replace Costs-Results 16-20'!H37+'6Replace Costs-Results 16-20'!I37</f>
        <v>0</v>
      </c>
    </row>
    <row r="41" spans="1:9">
      <c r="A41" s="6"/>
      <c r="B41" s="21"/>
    </row>
  </sheetData>
  <sheetProtection sheet="1" objects="1" scenarios="1"/>
  <mergeCells count="5">
    <mergeCell ref="A1:I1"/>
    <mergeCell ref="A2:I2"/>
    <mergeCell ref="A3:I3"/>
    <mergeCell ref="E6:I6"/>
    <mergeCell ref="A4:I4"/>
  </mergeCells>
  <pageMargins left="0.7" right="0.7" top="0.75" bottom="0.75" header="0.3" footer="0.3"/>
  <pageSetup scale="76" fitToWidth="4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selection activeCell="D9" sqref="A9:D12"/>
    </sheetView>
  </sheetViews>
  <sheetFormatPr defaultRowHeight="15.75"/>
  <cols>
    <col min="1" max="1" width="50.7109375" style="1" customWidth="1"/>
    <col min="2" max="2" width="11.28515625" style="1" customWidth="1"/>
    <col min="3" max="3" width="11.85546875" style="1" customWidth="1"/>
    <col min="4" max="4" width="10.28515625" style="1" customWidth="1"/>
    <col min="5" max="14" width="9.7109375" style="1" customWidth="1"/>
    <col min="15" max="16384" width="9.140625" style="1"/>
  </cols>
  <sheetData>
    <row r="1" spans="1:14">
      <c r="A1" s="137" t="s">
        <v>188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'Capital Costs'!A3:E3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'Capital Costs'!A4:E4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'6Capital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144" t="s">
        <v>61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6"/>
    </row>
    <row r="6" spans="1:14">
      <c r="A6" s="74" t="str">
        <f>'5Yearly O&amp;M Costs 1-10'!A6</f>
        <v>Current Inflation Rate Based on Municipal Cost Index:</v>
      </c>
      <c r="B6" s="75">
        <f>'5Yearly O&amp;M Costs 1-10'!B6</f>
        <v>2.7598896044158234E-2</v>
      </c>
      <c r="C6" s="91"/>
      <c r="D6" s="91"/>
      <c r="E6" s="96"/>
      <c r="G6" s="96"/>
      <c r="H6" s="96"/>
      <c r="I6" s="96"/>
      <c r="J6" s="96"/>
      <c r="K6" s="96"/>
      <c r="L6" s="96"/>
      <c r="M6" s="96" t="s">
        <v>43</v>
      </c>
      <c r="N6" s="101">
        <f>'Replace Costs-Results 16-20'!F5</f>
        <v>4.8750000000000002E-2</v>
      </c>
    </row>
    <row r="7" spans="1:14">
      <c r="A7" s="74"/>
      <c r="B7" s="75"/>
      <c r="C7" s="91"/>
      <c r="D7" s="91"/>
      <c r="E7" s="151" t="s">
        <v>53</v>
      </c>
      <c r="F7" s="147"/>
      <c r="G7" s="147"/>
      <c r="H7" s="147"/>
      <c r="I7" s="147"/>
      <c r="J7" s="147"/>
      <c r="K7" s="147"/>
      <c r="L7" s="147"/>
      <c r="M7" s="147"/>
      <c r="N7" s="148"/>
    </row>
    <row r="8" spans="1:14">
      <c r="A8" s="12" t="s">
        <v>4</v>
      </c>
      <c r="B8" s="12" t="s">
        <v>0</v>
      </c>
      <c r="C8" s="12" t="s">
        <v>5</v>
      </c>
      <c r="D8" s="12" t="s">
        <v>1</v>
      </c>
      <c r="E8" s="39">
        <v>1</v>
      </c>
      <c r="F8" s="39">
        <v>2</v>
      </c>
      <c r="G8" s="39">
        <v>3</v>
      </c>
      <c r="H8" s="39">
        <v>4</v>
      </c>
      <c r="I8" s="39">
        <v>5</v>
      </c>
      <c r="J8" s="39">
        <v>6</v>
      </c>
      <c r="K8" s="39">
        <v>7</v>
      </c>
      <c r="L8" s="39">
        <v>8</v>
      </c>
      <c r="M8" s="39">
        <v>9</v>
      </c>
      <c r="N8" s="39">
        <v>10</v>
      </c>
    </row>
    <row r="9" spans="1:14">
      <c r="A9" s="97"/>
      <c r="B9" s="81"/>
      <c r="C9" s="86"/>
      <c r="D9" s="89"/>
      <c r="E9" s="34" t="str">
        <f t="shared" ref="E9:N24" si="0">IF($A9&lt;&gt;"", (($B9*$D9)*((1+$B$6)^E$8)*(1/((1+$N$6)^E$8))), "")</f>
        <v/>
      </c>
      <c r="F9" s="34" t="str">
        <f t="shared" si="0"/>
        <v/>
      </c>
      <c r="G9" s="34" t="str">
        <f t="shared" si="0"/>
        <v/>
      </c>
      <c r="H9" s="34" t="str">
        <f t="shared" si="0"/>
        <v/>
      </c>
      <c r="I9" s="34" t="str">
        <f t="shared" si="0"/>
        <v/>
      </c>
      <c r="J9" s="34" t="str">
        <f t="shared" si="0"/>
        <v/>
      </c>
      <c r="K9" s="34" t="str">
        <f t="shared" si="0"/>
        <v/>
      </c>
      <c r="L9" s="34" t="str">
        <f t="shared" si="0"/>
        <v/>
      </c>
      <c r="M9" s="34" t="str">
        <f t="shared" si="0"/>
        <v/>
      </c>
      <c r="N9" s="35" t="str">
        <f t="shared" si="0"/>
        <v/>
      </c>
    </row>
    <row r="10" spans="1:14">
      <c r="A10" s="97"/>
      <c r="B10" s="81"/>
      <c r="C10" s="86"/>
      <c r="D10" s="89"/>
      <c r="E10" s="34" t="str">
        <f t="shared" si="0"/>
        <v/>
      </c>
      <c r="F10" s="34" t="str">
        <f t="shared" si="0"/>
        <v/>
      </c>
      <c r="G10" s="34" t="str">
        <f t="shared" si="0"/>
        <v/>
      </c>
      <c r="H10" s="34" t="str">
        <f t="shared" si="0"/>
        <v/>
      </c>
      <c r="I10" s="34" t="str">
        <f t="shared" si="0"/>
        <v/>
      </c>
      <c r="J10" s="34" t="str">
        <f t="shared" si="0"/>
        <v/>
      </c>
      <c r="K10" s="34" t="str">
        <f t="shared" si="0"/>
        <v/>
      </c>
      <c r="L10" s="34" t="str">
        <f t="shared" si="0"/>
        <v/>
      </c>
      <c r="M10" s="34" t="str">
        <f t="shared" si="0"/>
        <v/>
      </c>
      <c r="N10" s="35" t="str">
        <f t="shared" si="0"/>
        <v/>
      </c>
    </row>
    <row r="11" spans="1:14">
      <c r="A11" s="97"/>
      <c r="B11" s="81"/>
      <c r="C11" s="86"/>
      <c r="D11" s="89"/>
      <c r="E11" s="34" t="str">
        <f t="shared" si="0"/>
        <v/>
      </c>
      <c r="F11" s="34" t="str">
        <f t="shared" si="0"/>
        <v/>
      </c>
      <c r="G11" s="34" t="str">
        <f t="shared" si="0"/>
        <v/>
      </c>
      <c r="H11" s="34" t="str">
        <f t="shared" si="0"/>
        <v/>
      </c>
      <c r="I11" s="34" t="str">
        <f t="shared" si="0"/>
        <v/>
      </c>
      <c r="J11" s="34" t="str">
        <f t="shared" si="0"/>
        <v/>
      </c>
      <c r="K11" s="34" t="str">
        <f t="shared" si="0"/>
        <v/>
      </c>
      <c r="L11" s="34" t="str">
        <f t="shared" si="0"/>
        <v/>
      </c>
      <c r="M11" s="34" t="str">
        <f t="shared" si="0"/>
        <v/>
      </c>
      <c r="N11" s="35" t="str">
        <f t="shared" si="0"/>
        <v/>
      </c>
    </row>
    <row r="12" spans="1:14">
      <c r="A12" s="97"/>
      <c r="B12" s="81"/>
      <c r="C12" s="84"/>
      <c r="D12" s="89"/>
      <c r="E12" s="34" t="str">
        <f t="shared" si="0"/>
        <v/>
      </c>
      <c r="F12" s="34" t="str">
        <f t="shared" si="0"/>
        <v/>
      </c>
      <c r="G12" s="34" t="str">
        <f t="shared" si="0"/>
        <v/>
      </c>
      <c r="H12" s="34" t="str">
        <f t="shared" si="0"/>
        <v/>
      </c>
      <c r="I12" s="34" t="str">
        <f t="shared" si="0"/>
        <v/>
      </c>
      <c r="J12" s="34" t="str">
        <f t="shared" si="0"/>
        <v/>
      </c>
      <c r="K12" s="34" t="str">
        <f t="shared" si="0"/>
        <v/>
      </c>
      <c r="L12" s="34" t="str">
        <f t="shared" si="0"/>
        <v/>
      </c>
      <c r="M12" s="34" t="str">
        <f t="shared" si="0"/>
        <v/>
      </c>
      <c r="N12" s="35" t="str">
        <f t="shared" si="0"/>
        <v/>
      </c>
    </row>
    <row r="13" spans="1:14">
      <c r="A13" s="97"/>
      <c r="B13" s="83"/>
      <c r="C13" s="86"/>
      <c r="D13" s="89"/>
      <c r="E13" s="34" t="str">
        <f t="shared" si="0"/>
        <v/>
      </c>
      <c r="F13" s="34" t="str">
        <f t="shared" si="0"/>
        <v/>
      </c>
      <c r="G13" s="34" t="str">
        <f t="shared" si="0"/>
        <v/>
      </c>
      <c r="H13" s="34" t="str">
        <f t="shared" si="0"/>
        <v/>
      </c>
      <c r="I13" s="34" t="str">
        <f t="shared" si="0"/>
        <v/>
      </c>
      <c r="J13" s="34" t="str">
        <f t="shared" si="0"/>
        <v/>
      </c>
      <c r="K13" s="34" t="str">
        <f t="shared" si="0"/>
        <v/>
      </c>
      <c r="L13" s="34" t="str">
        <f t="shared" si="0"/>
        <v/>
      </c>
      <c r="M13" s="34" t="str">
        <f t="shared" si="0"/>
        <v/>
      </c>
      <c r="N13" s="35" t="str">
        <f t="shared" si="0"/>
        <v/>
      </c>
    </row>
    <row r="14" spans="1:14">
      <c r="A14" s="97"/>
      <c r="B14" s="83"/>
      <c r="C14" s="86"/>
      <c r="D14" s="89"/>
      <c r="E14" s="34" t="str">
        <f t="shared" si="0"/>
        <v/>
      </c>
      <c r="F14" s="34" t="str">
        <f t="shared" si="0"/>
        <v/>
      </c>
      <c r="G14" s="34" t="str">
        <f t="shared" si="0"/>
        <v/>
      </c>
      <c r="H14" s="34" t="str">
        <f t="shared" si="0"/>
        <v/>
      </c>
      <c r="I14" s="34" t="str">
        <f t="shared" si="0"/>
        <v/>
      </c>
      <c r="J14" s="34" t="str">
        <f t="shared" si="0"/>
        <v/>
      </c>
      <c r="K14" s="34" t="str">
        <f t="shared" si="0"/>
        <v/>
      </c>
      <c r="L14" s="34" t="str">
        <f t="shared" si="0"/>
        <v/>
      </c>
      <c r="M14" s="34" t="str">
        <f t="shared" si="0"/>
        <v/>
      </c>
      <c r="N14" s="35" t="str">
        <f t="shared" si="0"/>
        <v/>
      </c>
    </row>
    <row r="15" spans="1:14">
      <c r="A15" s="97"/>
      <c r="B15" s="81"/>
      <c r="C15" s="86"/>
      <c r="D15" s="89"/>
      <c r="E15" s="34" t="str">
        <f t="shared" si="0"/>
        <v/>
      </c>
      <c r="F15" s="34" t="str">
        <f t="shared" si="0"/>
        <v/>
      </c>
      <c r="G15" s="34" t="str">
        <f t="shared" si="0"/>
        <v/>
      </c>
      <c r="H15" s="34" t="str">
        <f t="shared" si="0"/>
        <v/>
      </c>
      <c r="I15" s="34" t="str">
        <f t="shared" si="0"/>
        <v/>
      </c>
      <c r="J15" s="34" t="str">
        <f t="shared" si="0"/>
        <v/>
      </c>
      <c r="K15" s="34" t="str">
        <f t="shared" si="0"/>
        <v/>
      </c>
      <c r="L15" s="34" t="str">
        <f t="shared" si="0"/>
        <v/>
      </c>
      <c r="M15" s="34" t="str">
        <f t="shared" si="0"/>
        <v/>
      </c>
      <c r="N15" s="35" t="str">
        <f t="shared" si="0"/>
        <v/>
      </c>
    </row>
    <row r="16" spans="1:14">
      <c r="A16" s="97"/>
      <c r="B16" s="81"/>
      <c r="C16" s="86"/>
      <c r="D16" s="90"/>
      <c r="E16" s="34" t="str">
        <f t="shared" si="0"/>
        <v/>
      </c>
      <c r="F16" s="34" t="str">
        <f t="shared" si="0"/>
        <v/>
      </c>
      <c r="G16" s="34" t="str">
        <f t="shared" si="0"/>
        <v/>
      </c>
      <c r="H16" s="34" t="str">
        <f t="shared" si="0"/>
        <v/>
      </c>
      <c r="I16" s="34" t="str">
        <f t="shared" si="0"/>
        <v/>
      </c>
      <c r="J16" s="34" t="str">
        <f t="shared" si="0"/>
        <v/>
      </c>
      <c r="K16" s="34" t="str">
        <f t="shared" si="0"/>
        <v/>
      </c>
      <c r="L16" s="34" t="str">
        <f t="shared" si="0"/>
        <v/>
      </c>
      <c r="M16" s="34" t="str">
        <f t="shared" si="0"/>
        <v/>
      </c>
      <c r="N16" s="35" t="str">
        <f t="shared" si="0"/>
        <v/>
      </c>
    </row>
    <row r="17" spans="1:14">
      <c r="A17" s="97"/>
      <c r="B17" s="81"/>
      <c r="C17" s="86"/>
      <c r="D17" s="90"/>
      <c r="E17" s="34" t="str">
        <f t="shared" si="0"/>
        <v/>
      </c>
      <c r="F17" s="34" t="str">
        <f t="shared" si="0"/>
        <v/>
      </c>
      <c r="G17" s="34" t="str">
        <f t="shared" si="0"/>
        <v/>
      </c>
      <c r="H17" s="34" t="str">
        <f t="shared" si="0"/>
        <v/>
      </c>
      <c r="I17" s="34" t="str">
        <f t="shared" si="0"/>
        <v/>
      </c>
      <c r="J17" s="34" t="str">
        <f t="shared" si="0"/>
        <v/>
      </c>
      <c r="K17" s="34" t="str">
        <f t="shared" si="0"/>
        <v/>
      </c>
      <c r="L17" s="34" t="str">
        <f t="shared" si="0"/>
        <v/>
      </c>
      <c r="M17" s="34" t="str">
        <f t="shared" si="0"/>
        <v/>
      </c>
      <c r="N17" s="35" t="str">
        <f t="shared" si="0"/>
        <v/>
      </c>
    </row>
    <row r="18" spans="1:14">
      <c r="A18" s="97"/>
      <c r="B18" s="81"/>
      <c r="C18" s="86"/>
      <c r="D18" s="90"/>
      <c r="E18" s="34" t="str">
        <f t="shared" si="0"/>
        <v/>
      </c>
      <c r="F18" s="34" t="str">
        <f t="shared" si="0"/>
        <v/>
      </c>
      <c r="G18" s="34" t="str">
        <f t="shared" si="0"/>
        <v/>
      </c>
      <c r="H18" s="34" t="str">
        <f t="shared" si="0"/>
        <v/>
      </c>
      <c r="I18" s="34" t="str">
        <f t="shared" si="0"/>
        <v/>
      </c>
      <c r="J18" s="34" t="str">
        <f t="shared" si="0"/>
        <v/>
      </c>
      <c r="K18" s="34" t="str">
        <f t="shared" si="0"/>
        <v/>
      </c>
      <c r="L18" s="34" t="str">
        <f t="shared" si="0"/>
        <v/>
      </c>
      <c r="M18" s="34" t="str">
        <f t="shared" si="0"/>
        <v/>
      </c>
      <c r="N18" s="35" t="str">
        <f t="shared" si="0"/>
        <v/>
      </c>
    </row>
    <row r="19" spans="1:14">
      <c r="A19" s="97"/>
      <c r="B19" s="81"/>
      <c r="C19" s="86"/>
      <c r="D19" s="90"/>
      <c r="E19" s="34" t="str">
        <f t="shared" si="0"/>
        <v/>
      </c>
      <c r="F19" s="34" t="str">
        <f t="shared" si="0"/>
        <v/>
      </c>
      <c r="G19" s="34" t="str">
        <f t="shared" si="0"/>
        <v/>
      </c>
      <c r="H19" s="34" t="str">
        <f t="shared" si="0"/>
        <v/>
      </c>
      <c r="I19" s="34" t="str">
        <f t="shared" si="0"/>
        <v/>
      </c>
      <c r="J19" s="34" t="str">
        <f t="shared" si="0"/>
        <v/>
      </c>
      <c r="K19" s="34" t="str">
        <f t="shared" si="0"/>
        <v/>
      </c>
      <c r="L19" s="34" t="str">
        <f t="shared" si="0"/>
        <v/>
      </c>
      <c r="M19" s="34" t="str">
        <f t="shared" si="0"/>
        <v/>
      </c>
      <c r="N19" s="35" t="str">
        <f t="shared" si="0"/>
        <v/>
      </c>
    </row>
    <row r="20" spans="1:14">
      <c r="A20" s="97"/>
      <c r="B20" s="81"/>
      <c r="C20" s="86"/>
      <c r="D20" s="90"/>
      <c r="E20" s="34" t="str">
        <f t="shared" si="0"/>
        <v/>
      </c>
      <c r="F20" s="34" t="str">
        <f t="shared" si="0"/>
        <v/>
      </c>
      <c r="G20" s="34" t="str">
        <f t="shared" si="0"/>
        <v/>
      </c>
      <c r="H20" s="34" t="str">
        <f t="shared" si="0"/>
        <v/>
      </c>
      <c r="I20" s="34" t="str">
        <f t="shared" si="0"/>
        <v/>
      </c>
      <c r="J20" s="34" t="str">
        <f t="shared" si="0"/>
        <v/>
      </c>
      <c r="K20" s="34" t="str">
        <f t="shared" si="0"/>
        <v/>
      </c>
      <c r="L20" s="34" t="str">
        <f t="shared" si="0"/>
        <v/>
      </c>
      <c r="M20" s="34" t="str">
        <f t="shared" si="0"/>
        <v/>
      </c>
      <c r="N20" s="35" t="str">
        <f t="shared" si="0"/>
        <v/>
      </c>
    </row>
    <row r="21" spans="1:14">
      <c r="A21" s="97"/>
      <c r="B21" s="81"/>
      <c r="C21" s="86"/>
      <c r="D21" s="90"/>
      <c r="E21" s="34" t="str">
        <f t="shared" si="0"/>
        <v/>
      </c>
      <c r="F21" s="34" t="str">
        <f t="shared" si="0"/>
        <v/>
      </c>
      <c r="G21" s="34" t="str">
        <f t="shared" si="0"/>
        <v/>
      </c>
      <c r="H21" s="34" t="str">
        <f t="shared" si="0"/>
        <v/>
      </c>
      <c r="I21" s="34" t="str">
        <f t="shared" si="0"/>
        <v/>
      </c>
      <c r="J21" s="34" t="str">
        <f t="shared" si="0"/>
        <v/>
      </c>
      <c r="K21" s="34" t="str">
        <f t="shared" si="0"/>
        <v/>
      </c>
      <c r="L21" s="34" t="str">
        <f t="shared" si="0"/>
        <v/>
      </c>
      <c r="M21" s="34" t="str">
        <f t="shared" si="0"/>
        <v/>
      </c>
      <c r="N21" s="35" t="str">
        <f t="shared" si="0"/>
        <v/>
      </c>
    </row>
    <row r="22" spans="1:14">
      <c r="A22" s="97"/>
      <c r="B22" s="81"/>
      <c r="C22" s="86"/>
      <c r="D22" s="90"/>
      <c r="E22" s="34" t="str">
        <f t="shared" si="0"/>
        <v/>
      </c>
      <c r="F22" s="34" t="str">
        <f t="shared" si="0"/>
        <v/>
      </c>
      <c r="G22" s="34" t="str">
        <f t="shared" si="0"/>
        <v/>
      </c>
      <c r="H22" s="34" t="str">
        <f t="shared" si="0"/>
        <v/>
      </c>
      <c r="I22" s="34" t="str">
        <f t="shared" si="0"/>
        <v/>
      </c>
      <c r="J22" s="34" t="str">
        <f t="shared" si="0"/>
        <v/>
      </c>
      <c r="K22" s="34" t="str">
        <f t="shared" si="0"/>
        <v/>
      </c>
      <c r="L22" s="34" t="str">
        <f t="shared" si="0"/>
        <v/>
      </c>
      <c r="M22" s="34" t="str">
        <f t="shared" si="0"/>
        <v/>
      </c>
      <c r="N22" s="35" t="str">
        <f t="shared" si="0"/>
        <v/>
      </c>
    </row>
    <row r="23" spans="1:14">
      <c r="A23" s="97"/>
      <c r="B23" s="81"/>
      <c r="C23" s="86"/>
      <c r="D23" s="90"/>
      <c r="E23" s="34" t="str">
        <f t="shared" si="0"/>
        <v/>
      </c>
      <c r="F23" s="34" t="str">
        <f t="shared" si="0"/>
        <v/>
      </c>
      <c r="G23" s="34" t="str">
        <f t="shared" si="0"/>
        <v/>
      </c>
      <c r="H23" s="34" t="str">
        <f t="shared" si="0"/>
        <v/>
      </c>
      <c r="I23" s="34" t="str">
        <f t="shared" si="0"/>
        <v/>
      </c>
      <c r="J23" s="34" t="str">
        <f t="shared" si="0"/>
        <v/>
      </c>
      <c r="K23" s="34" t="str">
        <f t="shared" si="0"/>
        <v/>
      </c>
      <c r="L23" s="34" t="str">
        <f t="shared" si="0"/>
        <v/>
      </c>
      <c r="M23" s="34" t="str">
        <f t="shared" si="0"/>
        <v/>
      </c>
      <c r="N23" s="35" t="str">
        <f t="shared" si="0"/>
        <v/>
      </c>
    </row>
    <row r="24" spans="1:14">
      <c r="A24" s="97"/>
      <c r="B24" s="81"/>
      <c r="C24" s="86"/>
      <c r="D24" s="90"/>
      <c r="E24" s="34" t="str">
        <f t="shared" si="0"/>
        <v/>
      </c>
      <c r="F24" s="34" t="str">
        <f t="shared" si="0"/>
        <v/>
      </c>
      <c r="G24" s="34" t="str">
        <f t="shared" si="0"/>
        <v/>
      </c>
      <c r="H24" s="34" t="str">
        <f t="shared" si="0"/>
        <v/>
      </c>
      <c r="I24" s="34" t="str">
        <f t="shared" si="0"/>
        <v/>
      </c>
      <c r="J24" s="34" t="str">
        <f t="shared" si="0"/>
        <v/>
      </c>
      <c r="K24" s="34" t="str">
        <f t="shared" si="0"/>
        <v/>
      </c>
      <c r="L24" s="34" t="str">
        <f t="shared" si="0"/>
        <v/>
      </c>
      <c r="M24" s="34" t="str">
        <f t="shared" si="0"/>
        <v/>
      </c>
      <c r="N24" s="35" t="str">
        <f t="shared" si="0"/>
        <v/>
      </c>
    </row>
    <row r="25" spans="1:14">
      <c r="A25" s="97"/>
      <c r="B25" s="81"/>
      <c r="C25" s="86"/>
      <c r="D25" s="90"/>
      <c r="E25" s="34" t="str">
        <f t="shared" ref="E25:N31" si="1">IF($A25&lt;&gt;"", (($B25*$D25)*((1+$B$6)^E$8)*(1/((1+$N$6)^E$8))), "")</f>
        <v/>
      </c>
      <c r="F25" s="34" t="str">
        <f t="shared" si="1"/>
        <v/>
      </c>
      <c r="G25" s="34" t="str">
        <f t="shared" si="1"/>
        <v/>
      </c>
      <c r="H25" s="34" t="str">
        <f t="shared" si="1"/>
        <v/>
      </c>
      <c r="I25" s="34" t="str">
        <f t="shared" si="1"/>
        <v/>
      </c>
      <c r="J25" s="34" t="str">
        <f t="shared" si="1"/>
        <v/>
      </c>
      <c r="K25" s="34" t="str">
        <f t="shared" si="1"/>
        <v/>
      </c>
      <c r="L25" s="34" t="str">
        <f t="shared" si="1"/>
        <v/>
      </c>
      <c r="M25" s="34" t="str">
        <f t="shared" si="1"/>
        <v/>
      </c>
      <c r="N25" s="35" t="str">
        <f t="shared" si="1"/>
        <v/>
      </c>
    </row>
    <row r="26" spans="1:14">
      <c r="A26" s="97"/>
      <c r="B26" s="81"/>
      <c r="C26" s="86"/>
      <c r="D26" s="90"/>
      <c r="E26" s="34" t="str">
        <f t="shared" si="1"/>
        <v/>
      </c>
      <c r="F26" s="34" t="str">
        <f t="shared" si="1"/>
        <v/>
      </c>
      <c r="G26" s="34" t="str">
        <f t="shared" si="1"/>
        <v/>
      </c>
      <c r="H26" s="34" t="str">
        <f t="shared" si="1"/>
        <v/>
      </c>
      <c r="I26" s="34" t="str">
        <f t="shared" si="1"/>
        <v/>
      </c>
      <c r="J26" s="34" t="str">
        <f t="shared" si="1"/>
        <v/>
      </c>
      <c r="K26" s="34" t="str">
        <f t="shared" si="1"/>
        <v/>
      </c>
      <c r="L26" s="34" t="str">
        <f t="shared" si="1"/>
        <v/>
      </c>
      <c r="M26" s="34" t="str">
        <f t="shared" si="1"/>
        <v/>
      </c>
      <c r="N26" s="35" t="str">
        <f t="shared" si="1"/>
        <v/>
      </c>
    </row>
    <row r="27" spans="1:14">
      <c r="A27" s="97"/>
      <c r="B27" s="81"/>
      <c r="C27" s="86"/>
      <c r="D27" s="90"/>
      <c r="E27" s="34" t="str">
        <f t="shared" si="1"/>
        <v/>
      </c>
      <c r="F27" s="34" t="str">
        <f t="shared" si="1"/>
        <v/>
      </c>
      <c r="G27" s="34" t="str">
        <f t="shared" si="1"/>
        <v/>
      </c>
      <c r="H27" s="34" t="str">
        <f t="shared" si="1"/>
        <v/>
      </c>
      <c r="I27" s="34" t="str">
        <f t="shared" si="1"/>
        <v/>
      </c>
      <c r="J27" s="34" t="str">
        <f t="shared" si="1"/>
        <v/>
      </c>
      <c r="K27" s="34" t="str">
        <f t="shared" si="1"/>
        <v/>
      </c>
      <c r="L27" s="34" t="str">
        <f t="shared" si="1"/>
        <v/>
      </c>
      <c r="M27" s="34" t="str">
        <f t="shared" si="1"/>
        <v/>
      </c>
      <c r="N27" s="35" t="str">
        <f t="shared" si="1"/>
        <v/>
      </c>
    </row>
    <row r="28" spans="1:14">
      <c r="A28" s="97"/>
      <c r="B28" s="81"/>
      <c r="C28" s="86"/>
      <c r="D28" s="90"/>
      <c r="E28" s="34" t="str">
        <f t="shared" si="1"/>
        <v/>
      </c>
      <c r="F28" s="34" t="str">
        <f t="shared" si="1"/>
        <v/>
      </c>
      <c r="G28" s="34" t="str">
        <f t="shared" si="1"/>
        <v/>
      </c>
      <c r="H28" s="34" t="str">
        <f t="shared" si="1"/>
        <v/>
      </c>
      <c r="I28" s="34" t="str">
        <f t="shared" si="1"/>
        <v/>
      </c>
      <c r="J28" s="34" t="str">
        <f t="shared" si="1"/>
        <v/>
      </c>
      <c r="K28" s="34" t="str">
        <f t="shared" si="1"/>
        <v/>
      </c>
      <c r="L28" s="34" t="str">
        <f t="shared" si="1"/>
        <v/>
      </c>
      <c r="M28" s="34" t="str">
        <f t="shared" si="1"/>
        <v/>
      </c>
      <c r="N28" s="35" t="str">
        <f t="shared" si="1"/>
        <v/>
      </c>
    </row>
    <row r="29" spans="1:14">
      <c r="A29" s="97"/>
      <c r="B29" s="81"/>
      <c r="C29" s="86"/>
      <c r="D29" s="90"/>
      <c r="E29" s="34" t="str">
        <f t="shared" si="1"/>
        <v/>
      </c>
      <c r="F29" s="34" t="str">
        <f t="shared" si="1"/>
        <v/>
      </c>
      <c r="G29" s="34" t="str">
        <f t="shared" si="1"/>
        <v/>
      </c>
      <c r="H29" s="34" t="str">
        <f t="shared" si="1"/>
        <v/>
      </c>
      <c r="I29" s="34" t="str">
        <f t="shared" si="1"/>
        <v/>
      </c>
      <c r="J29" s="34" t="str">
        <f t="shared" si="1"/>
        <v/>
      </c>
      <c r="K29" s="34" t="str">
        <f t="shared" si="1"/>
        <v/>
      </c>
      <c r="L29" s="34" t="str">
        <f t="shared" si="1"/>
        <v/>
      </c>
      <c r="M29" s="34" t="str">
        <f t="shared" si="1"/>
        <v/>
      </c>
      <c r="N29" s="35" t="str">
        <f t="shared" si="1"/>
        <v/>
      </c>
    </row>
    <row r="30" spans="1:14">
      <c r="A30" s="97"/>
      <c r="B30" s="81"/>
      <c r="C30" s="86"/>
      <c r="D30" s="90"/>
      <c r="E30" s="34" t="str">
        <f t="shared" si="1"/>
        <v/>
      </c>
      <c r="F30" s="34" t="str">
        <f t="shared" si="1"/>
        <v/>
      </c>
      <c r="G30" s="34" t="str">
        <f t="shared" si="1"/>
        <v/>
      </c>
      <c r="H30" s="34" t="str">
        <f t="shared" si="1"/>
        <v/>
      </c>
      <c r="I30" s="34" t="str">
        <f t="shared" si="1"/>
        <v/>
      </c>
      <c r="J30" s="34" t="str">
        <f t="shared" si="1"/>
        <v/>
      </c>
      <c r="K30" s="34" t="str">
        <f t="shared" si="1"/>
        <v/>
      </c>
      <c r="L30" s="34" t="str">
        <f t="shared" si="1"/>
        <v/>
      </c>
      <c r="M30" s="34" t="str">
        <f t="shared" si="1"/>
        <v/>
      </c>
      <c r="N30" s="35" t="str">
        <f t="shared" si="1"/>
        <v/>
      </c>
    </row>
    <row r="31" spans="1:14">
      <c r="A31" s="97"/>
      <c r="B31" s="81"/>
      <c r="C31" s="86"/>
      <c r="D31" s="90"/>
      <c r="E31" s="34" t="str">
        <f t="shared" si="1"/>
        <v/>
      </c>
      <c r="F31" s="34" t="str">
        <f t="shared" si="1"/>
        <v/>
      </c>
      <c r="G31" s="34" t="str">
        <f t="shared" si="1"/>
        <v/>
      </c>
      <c r="H31" s="34" t="str">
        <f t="shared" si="1"/>
        <v/>
      </c>
      <c r="I31" s="34" t="str">
        <f t="shared" si="1"/>
        <v/>
      </c>
      <c r="J31" s="34" t="str">
        <f t="shared" si="1"/>
        <v/>
      </c>
      <c r="K31" s="34" t="str">
        <f t="shared" si="1"/>
        <v/>
      </c>
      <c r="L31" s="34" t="str">
        <f t="shared" si="1"/>
        <v/>
      </c>
      <c r="M31" s="34" t="str">
        <f t="shared" si="1"/>
        <v/>
      </c>
      <c r="N31" s="35" t="str">
        <f t="shared" si="1"/>
        <v/>
      </c>
    </row>
    <row r="32" spans="1:14">
      <c r="A32" s="9"/>
      <c r="B32" s="23"/>
      <c r="C32" s="23"/>
      <c r="D32" s="37" t="s">
        <v>54</v>
      </c>
      <c r="E32" s="28">
        <f>SUM(E9:E31)</f>
        <v>0</v>
      </c>
      <c r="F32" s="28">
        <f t="shared" ref="F32:N32" si="2">SUM(F9:F31)</f>
        <v>0</v>
      </c>
      <c r="G32" s="28">
        <f t="shared" si="2"/>
        <v>0</v>
      </c>
      <c r="H32" s="28">
        <f t="shared" si="2"/>
        <v>0</v>
      </c>
      <c r="I32" s="28">
        <f t="shared" si="2"/>
        <v>0</v>
      </c>
      <c r="J32" s="28">
        <f t="shared" si="2"/>
        <v>0</v>
      </c>
      <c r="K32" s="28">
        <f t="shared" si="2"/>
        <v>0</v>
      </c>
      <c r="L32" s="28">
        <f t="shared" si="2"/>
        <v>0</v>
      </c>
      <c r="M32" s="28">
        <f t="shared" si="2"/>
        <v>0</v>
      </c>
      <c r="N32" s="28">
        <f t="shared" si="2"/>
        <v>0</v>
      </c>
    </row>
    <row r="35" spans="1:2" hidden="1">
      <c r="A35" s="6" t="s">
        <v>7</v>
      </c>
      <c r="B35" s="33">
        <v>4.8750000000000002E-2</v>
      </c>
    </row>
  </sheetData>
  <sheetProtection sheet="1" objects="1" scenarios="1"/>
  <mergeCells count="6">
    <mergeCell ref="E7:N7"/>
    <mergeCell ref="A1:N1"/>
    <mergeCell ref="A2:N2"/>
    <mergeCell ref="A3:N3"/>
    <mergeCell ref="A4:N4"/>
    <mergeCell ref="A5:N5"/>
  </mergeCells>
  <printOptions horizontalCentered="1"/>
  <pageMargins left="0.5" right="0.5" top="0.5" bottom="0.5" header="0.3" footer="0.3"/>
  <pageSetup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N34"/>
  <sheetViews>
    <sheetView workbookViewId="0">
      <selection activeCell="A2" sqref="A2:N2"/>
    </sheetView>
  </sheetViews>
  <sheetFormatPr defaultRowHeight="15.75"/>
  <cols>
    <col min="1" max="1" width="50.7109375" style="116" customWidth="1"/>
    <col min="2" max="2" width="11.28515625" style="116" customWidth="1"/>
    <col min="3" max="3" width="11.85546875" style="116" customWidth="1"/>
    <col min="4" max="4" width="10.28515625" style="116" customWidth="1"/>
    <col min="5" max="13" width="9.7109375" style="116" customWidth="1"/>
    <col min="14" max="14" width="12.7109375" style="116" customWidth="1"/>
    <col min="15" max="16384" width="9.140625" style="116"/>
  </cols>
  <sheetData>
    <row r="1" spans="1:14">
      <c r="A1" s="158" t="s">
        <v>189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60"/>
    </row>
    <row r="2" spans="1:14">
      <c r="A2" s="161">
        <f>'Capital Costs'!A3:E3</f>
        <v>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3"/>
    </row>
    <row r="3" spans="1:14">
      <c r="A3" s="161">
        <f>'Capital Costs'!A4:E4</f>
        <v>0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3"/>
    </row>
    <row r="4" spans="1:14">
      <c r="A4" s="164">
        <f>'5Capital Costs'!B6</f>
        <v>0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6"/>
    </row>
    <row r="5" spans="1:14">
      <c r="A5" s="117" t="str">
        <f>'6Yearly O&amp;M Costs 1-10'!A6</f>
        <v>Current Inflation Rate Based on Municipal Cost Index:</v>
      </c>
      <c r="B5" s="118">
        <f>'6Yearly O&amp;M Costs 1-10'!B6</f>
        <v>2.7598896044158234E-2</v>
      </c>
      <c r="C5" s="119"/>
      <c r="D5" s="119"/>
      <c r="E5" s="120"/>
      <c r="G5" s="120"/>
      <c r="H5" s="120"/>
      <c r="I5" s="120"/>
      <c r="J5" s="120"/>
      <c r="K5" s="120"/>
      <c r="L5" s="120"/>
      <c r="M5" s="120" t="s">
        <v>43</v>
      </c>
      <c r="N5" s="121">
        <f>'Replace Costs-Results 16-20'!F5</f>
        <v>4.8750000000000002E-2</v>
      </c>
    </row>
    <row r="6" spans="1:14">
      <c r="A6" s="117"/>
      <c r="B6" s="118"/>
      <c r="C6" s="119"/>
      <c r="D6" s="119"/>
      <c r="E6" s="167" t="s">
        <v>53</v>
      </c>
      <c r="F6" s="168"/>
      <c r="G6" s="168"/>
      <c r="H6" s="168"/>
      <c r="I6" s="168"/>
      <c r="J6" s="168"/>
      <c r="K6" s="168"/>
      <c r="L6" s="168"/>
      <c r="M6" s="168"/>
      <c r="N6" s="169"/>
    </row>
    <row r="7" spans="1:14">
      <c r="A7" s="122" t="s">
        <v>4</v>
      </c>
      <c r="B7" s="122" t="s">
        <v>0</v>
      </c>
      <c r="C7" s="122" t="s">
        <v>5</v>
      </c>
      <c r="D7" s="122" t="s">
        <v>1</v>
      </c>
      <c r="E7" s="123">
        <v>11</v>
      </c>
      <c r="F7" s="123">
        <v>12</v>
      </c>
      <c r="G7" s="123">
        <v>13</v>
      </c>
      <c r="H7" s="123">
        <v>14</v>
      </c>
      <c r="I7" s="123">
        <v>15</v>
      </c>
      <c r="J7" s="123">
        <v>16</v>
      </c>
      <c r="K7" s="123">
        <v>17</v>
      </c>
      <c r="L7" s="123">
        <v>18</v>
      </c>
      <c r="M7" s="123">
        <v>19</v>
      </c>
      <c r="N7" s="123">
        <v>20</v>
      </c>
    </row>
    <row r="8" spans="1:14">
      <c r="A8" s="124" t="str">
        <f>IF('6Yearly O&amp;M Costs 1-10'!A9&lt;&gt;"", '6Yearly O&amp;M Costs 1-10'!A9, "")</f>
        <v/>
      </c>
      <c r="B8" s="125" t="str">
        <f>IF('6Yearly O&amp;M Costs 1-10'!B9&lt;&gt;"", '6Yearly O&amp;M Costs 1-10'!B9, "")</f>
        <v/>
      </c>
      <c r="C8" s="124" t="str">
        <f>IF('6Yearly O&amp;M Costs 1-10'!C9&lt;&gt;"", '6Yearly O&amp;M Costs 1-10'!C9, "")</f>
        <v/>
      </c>
      <c r="D8" s="126" t="str">
        <f>IF('6Yearly O&amp;M Costs 1-10'!D9&lt;&gt;"", '6Yearly O&amp;M Costs 1-10'!D9, "")</f>
        <v/>
      </c>
      <c r="E8" s="127" t="str">
        <f t="shared" ref="E8:N23" si="0">IF($A8&lt;&gt;"", (($B8*$D8)*((1+$B$5)^E$7)*(1/((1+$N$5)^E$7))), "")</f>
        <v/>
      </c>
      <c r="F8" s="127" t="str">
        <f t="shared" si="0"/>
        <v/>
      </c>
      <c r="G8" s="127" t="str">
        <f t="shared" si="0"/>
        <v/>
      </c>
      <c r="H8" s="127" t="str">
        <f t="shared" si="0"/>
        <v/>
      </c>
      <c r="I8" s="127" t="str">
        <f t="shared" si="0"/>
        <v/>
      </c>
      <c r="J8" s="127" t="str">
        <f t="shared" si="0"/>
        <v/>
      </c>
      <c r="K8" s="127" t="str">
        <f t="shared" si="0"/>
        <v/>
      </c>
      <c r="L8" s="127" t="str">
        <f t="shared" si="0"/>
        <v/>
      </c>
      <c r="M8" s="127" t="str">
        <f t="shared" si="0"/>
        <v/>
      </c>
      <c r="N8" s="128" t="str">
        <f t="shared" si="0"/>
        <v/>
      </c>
    </row>
    <row r="9" spans="1:14">
      <c r="A9" s="124" t="str">
        <f>IF('6Yearly O&amp;M Costs 1-10'!A10&lt;&gt;"", '6Yearly O&amp;M Costs 1-10'!A10, "")</f>
        <v/>
      </c>
      <c r="B9" s="125" t="str">
        <f>IF('6Yearly O&amp;M Costs 1-10'!B10&lt;&gt;"", '6Yearly O&amp;M Costs 1-10'!B10, "")</f>
        <v/>
      </c>
      <c r="C9" s="124" t="str">
        <f>IF('6Yearly O&amp;M Costs 1-10'!C10&lt;&gt;"", '6Yearly O&amp;M Costs 1-10'!C10, "")</f>
        <v/>
      </c>
      <c r="D9" s="126" t="str">
        <f>IF('6Yearly O&amp;M Costs 1-10'!D10&lt;&gt;"", '6Yearly O&amp;M Costs 1-10'!D10, "")</f>
        <v/>
      </c>
      <c r="E9" s="127" t="str">
        <f t="shared" si="0"/>
        <v/>
      </c>
      <c r="F9" s="127" t="str">
        <f t="shared" si="0"/>
        <v/>
      </c>
      <c r="G9" s="127" t="str">
        <f t="shared" si="0"/>
        <v/>
      </c>
      <c r="H9" s="127" t="str">
        <f t="shared" si="0"/>
        <v/>
      </c>
      <c r="I9" s="127" t="str">
        <f t="shared" si="0"/>
        <v/>
      </c>
      <c r="J9" s="127" t="str">
        <f t="shared" si="0"/>
        <v/>
      </c>
      <c r="K9" s="127" t="str">
        <f t="shared" si="0"/>
        <v/>
      </c>
      <c r="L9" s="127" t="str">
        <f t="shared" si="0"/>
        <v/>
      </c>
      <c r="M9" s="127" t="str">
        <f t="shared" si="0"/>
        <v/>
      </c>
      <c r="N9" s="128" t="str">
        <f t="shared" si="0"/>
        <v/>
      </c>
    </row>
    <row r="10" spans="1:14">
      <c r="A10" s="124" t="str">
        <f>IF('6Yearly O&amp;M Costs 1-10'!A11&lt;&gt;"", '6Yearly O&amp;M Costs 1-10'!A11, "")</f>
        <v/>
      </c>
      <c r="B10" s="125" t="str">
        <f>IF('6Yearly O&amp;M Costs 1-10'!B11&lt;&gt;"", '6Yearly O&amp;M Costs 1-10'!B11, "")</f>
        <v/>
      </c>
      <c r="C10" s="124" t="str">
        <f>IF('6Yearly O&amp;M Costs 1-10'!C11&lt;&gt;"", '6Yearly O&amp;M Costs 1-10'!C11, "")</f>
        <v/>
      </c>
      <c r="D10" s="126" t="str">
        <f>IF('6Yearly O&amp;M Costs 1-10'!D11&lt;&gt;"", '6Yearly O&amp;M Costs 1-10'!D11, "")</f>
        <v/>
      </c>
      <c r="E10" s="127" t="str">
        <f t="shared" si="0"/>
        <v/>
      </c>
      <c r="F10" s="127" t="str">
        <f t="shared" si="0"/>
        <v/>
      </c>
      <c r="G10" s="127" t="str">
        <f t="shared" si="0"/>
        <v/>
      </c>
      <c r="H10" s="127" t="str">
        <f t="shared" si="0"/>
        <v/>
      </c>
      <c r="I10" s="127" t="str">
        <f t="shared" si="0"/>
        <v/>
      </c>
      <c r="J10" s="127" t="str">
        <f t="shared" si="0"/>
        <v/>
      </c>
      <c r="K10" s="127" t="str">
        <f t="shared" si="0"/>
        <v/>
      </c>
      <c r="L10" s="127" t="str">
        <f t="shared" si="0"/>
        <v/>
      </c>
      <c r="M10" s="127" t="str">
        <f t="shared" si="0"/>
        <v/>
      </c>
      <c r="N10" s="128" t="str">
        <f t="shared" si="0"/>
        <v/>
      </c>
    </row>
    <row r="11" spans="1:14">
      <c r="A11" s="124" t="str">
        <f>IF('6Yearly O&amp;M Costs 1-10'!A12&lt;&gt;"", '6Yearly O&amp;M Costs 1-10'!A12, "")</f>
        <v/>
      </c>
      <c r="B11" s="125" t="str">
        <f>IF('6Yearly O&amp;M Costs 1-10'!B12&lt;&gt;"", '6Yearly O&amp;M Costs 1-10'!B12, "")</f>
        <v/>
      </c>
      <c r="C11" s="124" t="str">
        <f>IF('6Yearly O&amp;M Costs 1-10'!C12&lt;&gt;"", '6Yearly O&amp;M Costs 1-10'!C12, "")</f>
        <v/>
      </c>
      <c r="D11" s="126" t="str">
        <f>IF('6Yearly O&amp;M Costs 1-10'!D12&lt;&gt;"", '6Yearly O&amp;M Costs 1-10'!D12, "")</f>
        <v/>
      </c>
      <c r="E11" s="127" t="str">
        <f t="shared" si="0"/>
        <v/>
      </c>
      <c r="F11" s="127" t="str">
        <f t="shared" si="0"/>
        <v/>
      </c>
      <c r="G11" s="127" t="str">
        <f t="shared" si="0"/>
        <v/>
      </c>
      <c r="H11" s="127" t="str">
        <f t="shared" si="0"/>
        <v/>
      </c>
      <c r="I11" s="127" t="str">
        <f t="shared" si="0"/>
        <v/>
      </c>
      <c r="J11" s="127" t="str">
        <f t="shared" si="0"/>
        <v/>
      </c>
      <c r="K11" s="127" t="str">
        <f t="shared" si="0"/>
        <v/>
      </c>
      <c r="L11" s="127" t="str">
        <f t="shared" si="0"/>
        <v/>
      </c>
      <c r="M11" s="127" t="str">
        <f t="shared" si="0"/>
        <v/>
      </c>
      <c r="N11" s="128" t="str">
        <f t="shared" si="0"/>
        <v/>
      </c>
    </row>
    <row r="12" spans="1:14">
      <c r="A12" s="124" t="str">
        <f>IF('6Yearly O&amp;M Costs 1-10'!A13&lt;&gt;"", '6Yearly O&amp;M Costs 1-10'!A13, "")</f>
        <v/>
      </c>
      <c r="B12" s="125" t="str">
        <f>IF('6Yearly O&amp;M Costs 1-10'!B13&lt;&gt;"", '6Yearly O&amp;M Costs 1-10'!B13, "")</f>
        <v/>
      </c>
      <c r="C12" s="124" t="str">
        <f>IF('6Yearly O&amp;M Costs 1-10'!C13&lt;&gt;"", '6Yearly O&amp;M Costs 1-10'!C13, "")</f>
        <v/>
      </c>
      <c r="D12" s="126" t="str">
        <f>IF('6Yearly O&amp;M Costs 1-10'!D13&lt;&gt;"", '6Yearly O&amp;M Costs 1-10'!D13, "")</f>
        <v/>
      </c>
      <c r="E12" s="127" t="str">
        <f t="shared" si="0"/>
        <v/>
      </c>
      <c r="F12" s="127" t="str">
        <f t="shared" si="0"/>
        <v/>
      </c>
      <c r="G12" s="127" t="str">
        <f t="shared" si="0"/>
        <v/>
      </c>
      <c r="H12" s="127" t="str">
        <f t="shared" si="0"/>
        <v/>
      </c>
      <c r="I12" s="127" t="str">
        <f t="shared" si="0"/>
        <v/>
      </c>
      <c r="J12" s="127" t="str">
        <f t="shared" si="0"/>
        <v/>
      </c>
      <c r="K12" s="127" t="str">
        <f t="shared" si="0"/>
        <v/>
      </c>
      <c r="L12" s="127" t="str">
        <f t="shared" si="0"/>
        <v/>
      </c>
      <c r="M12" s="127" t="str">
        <f t="shared" si="0"/>
        <v/>
      </c>
      <c r="N12" s="128" t="str">
        <f t="shared" si="0"/>
        <v/>
      </c>
    </row>
    <row r="13" spans="1:14">
      <c r="A13" s="124" t="str">
        <f>IF('6Yearly O&amp;M Costs 1-10'!A14&lt;&gt;"", '6Yearly O&amp;M Costs 1-10'!A14, "")</f>
        <v/>
      </c>
      <c r="B13" s="125" t="str">
        <f>IF('6Yearly O&amp;M Costs 1-10'!B14&lt;&gt;"", '6Yearly O&amp;M Costs 1-10'!B14, "")</f>
        <v/>
      </c>
      <c r="C13" s="124" t="str">
        <f>IF('6Yearly O&amp;M Costs 1-10'!C14&lt;&gt;"", '6Yearly O&amp;M Costs 1-10'!C14, "")</f>
        <v/>
      </c>
      <c r="D13" s="126"/>
      <c r="E13" s="127" t="str">
        <f t="shared" si="0"/>
        <v/>
      </c>
      <c r="F13" s="127" t="str">
        <f t="shared" si="0"/>
        <v/>
      </c>
      <c r="G13" s="127" t="str">
        <f t="shared" si="0"/>
        <v/>
      </c>
      <c r="H13" s="127" t="str">
        <f t="shared" si="0"/>
        <v/>
      </c>
      <c r="I13" s="127" t="str">
        <f t="shared" si="0"/>
        <v/>
      </c>
      <c r="J13" s="127" t="str">
        <f t="shared" si="0"/>
        <v/>
      </c>
      <c r="K13" s="127" t="str">
        <f t="shared" si="0"/>
        <v/>
      </c>
      <c r="L13" s="127" t="str">
        <f t="shared" si="0"/>
        <v/>
      </c>
      <c r="M13" s="127" t="str">
        <f t="shared" si="0"/>
        <v/>
      </c>
      <c r="N13" s="128" t="str">
        <f t="shared" si="0"/>
        <v/>
      </c>
    </row>
    <row r="14" spans="1:14">
      <c r="A14" s="124" t="str">
        <f>IF('6Yearly O&amp;M Costs 1-10'!A15&lt;&gt;"", '6Yearly O&amp;M Costs 1-10'!A15, "")</f>
        <v/>
      </c>
      <c r="B14" s="125" t="str">
        <f>IF('6Yearly O&amp;M Costs 1-10'!B15&lt;&gt;"", '6Yearly O&amp;M Costs 1-10'!B15, "")</f>
        <v/>
      </c>
      <c r="C14" s="124" t="str">
        <f>IF('6Yearly O&amp;M Costs 1-10'!C15&lt;&gt;"", '6Yearly O&amp;M Costs 1-10'!C15, "")</f>
        <v/>
      </c>
      <c r="D14" s="126" t="str">
        <f>IF('6Yearly O&amp;M Costs 1-10'!D15&lt;&gt;"", '6Yearly O&amp;M Costs 1-10'!D15, "")</f>
        <v/>
      </c>
      <c r="E14" s="127" t="str">
        <f t="shared" si="0"/>
        <v/>
      </c>
      <c r="F14" s="127" t="str">
        <f t="shared" si="0"/>
        <v/>
      </c>
      <c r="G14" s="127" t="str">
        <f t="shared" si="0"/>
        <v/>
      </c>
      <c r="H14" s="127" t="str">
        <f t="shared" si="0"/>
        <v/>
      </c>
      <c r="I14" s="127" t="str">
        <f t="shared" si="0"/>
        <v/>
      </c>
      <c r="J14" s="127" t="str">
        <f t="shared" si="0"/>
        <v/>
      </c>
      <c r="K14" s="127" t="str">
        <f t="shared" si="0"/>
        <v/>
      </c>
      <c r="L14" s="127" t="str">
        <f t="shared" si="0"/>
        <v/>
      </c>
      <c r="M14" s="127" t="str">
        <f t="shared" si="0"/>
        <v/>
      </c>
      <c r="N14" s="128" t="str">
        <f t="shared" si="0"/>
        <v/>
      </c>
    </row>
    <row r="15" spans="1:14">
      <c r="A15" s="124" t="str">
        <f>IF('6Yearly O&amp;M Costs 1-10'!A16&lt;&gt;"", '6Yearly O&amp;M Costs 1-10'!A16, "")</f>
        <v/>
      </c>
      <c r="B15" s="125" t="str">
        <f>IF('6Yearly O&amp;M Costs 1-10'!B16&lt;&gt;"", '6Yearly O&amp;M Costs 1-10'!B16, "")</f>
        <v/>
      </c>
      <c r="C15" s="124" t="str">
        <f>IF('6Yearly O&amp;M Costs 1-10'!C16&lt;&gt;"", '6Yearly O&amp;M Costs 1-10'!C16, "")</f>
        <v/>
      </c>
      <c r="D15" s="126" t="str">
        <f>IF('6Yearly O&amp;M Costs 1-10'!D16&lt;&gt;"", '6Yearly O&amp;M Costs 1-10'!D16, "")</f>
        <v/>
      </c>
      <c r="E15" s="127" t="str">
        <f t="shared" si="0"/>
        <v/>
      </c>
      <c r="F15" s="127" t="str">
        <f t="shared" si="0"/>
        <v/>
      </c>
      <c r="G15" s="127" t="str">
        <f t="shared" si="0"/>
        <v/>
      </c>
      <c r="H15" s="127" t="str">
        <f t="shared" si="0"/>
        <v/>
      </c>
      <c r="I15" s="127" t="str">
        <f t="shared" si="0"/>
        <v/>
      </c>
      <c r="J15" s="127" t="str">
        <f t="shared" si="0"/>
        <v/>
      </c>
      <c r="K15" s="127" t="str">
        <f t="shared" si="0"/>
        <v/>
      </c>
      <c r="L15" s="127" t="str">
        <f t="shared" si="0"/>
        <v/>
      </c>
      <c r="M15" s="127" t="str">
        <f t="shared" si="0"/>
        <v/>
      </c>
      <c r="N15" s="128" t="str">
        <f t="shared" si="0"/>
        <v/>
      </c>
    </row>
    <row r="16" spans="1:14">
      <c r="A16" s="124" t="str">
        <f>IF('6Yearly O&amp;M Costs 1-10'!A17&lt;&gt;"", '6Yearly O&amp;M Costs 1-10'!A17, "")</f>
        <v/>
      </c>
      <c r="B16" s="125" t="str">
        <f>IF('6Yearly O&amp;M Costs 1-10'!B17&lt;&gt;"", '6Yearly O&amp;M Costs 1-10'!B17, "")</f>
        <v/>
      </c>
      <c r="C16" s="124" t="str">
        <f>IF('6Yearly O&amp;M Costs 1-10'!C17&lt;&gt;"", '6Yearly O&amp;M Costs 1-10'!C17, "")</f>
        <v/>
      </c>
      <c r="D16" s="126" t="str">
        <f>IF('6Yearly O&amp;M Costs 1-10'!D17&lt;&gt;"", '6Yearly O&amp;M Costs 1-10'!D17, "")</f>
        <v/>
      </c>
      <c r="E16" s="127" t="str">
        <f t="shared" si="0"/>
        <v/>
      </c>
      <c r="F16" s="127" t="str">
        <f t="shared" si="0"/>
        <v/>
      </c>
      <c r="G16" s="127" t="str">
        <f t="shared" si="0"/>
        <v/>
      </c>
      <c r="H16" s="127" t="str">
        <f t="shared" si="0"/>
        <v/>
      </c>
      <c r="I16" s="127" t="str">
        <f t="shared" si="0"/>
        <v/>
      </c>
      <c r="J16" s="127" t="str">
        <f t="shared" si="0"/>
        <v/>
      </c>
      <c r="K16" s="127" t="str">
        <f t="shared" si="0"/>
        <v/>
      </c>
      <c r="L16" s="127" t="str">
        <f t="shared" si="0"/>
        <v/>
      </c>
      <c r="M16" s="127" t="str">
        <f t="shared" si="0"/>
        <v/>
      </c>
      <c r="N16" s="128" t="str">
        <f t="shared" si="0"/>
        <v/>
      </c>
    </row>
    <row r="17" spans="1:14">
      <c r="A17" s="124" t="str">
        <f>IF('6Yearly O&amp;M Costs 1-10'!A18&lt;&gt;"", '6Yearly O&amp;M Costs 1-10'!A18, "")</f>
        <v/>
      </c>
      <c r="B17" s="125" t="str">
        <f>IF('6Yearly O&amp;M Costs 1-10'!B18&lt;&gt;"", '6Yearly O&amp;M Costs 1-10'!B18, "")</f>
        <v/>
      </c>
      <c r="C17" s="124" t="str">
        <f>IF('6Yearly O&amp;M Costs 1-10'!C18&lt;&gt;"", '6Yearly O&amp;M Costs 1-10'!C18, "")</f>
        <v/>
      </c>
      <c r="D17" s="126" t="str">
        <f>IF('6Yearly O&amp;M Costs 1-10'!D18&lt;&gt;"", '6Yearly O&amp;M Costs 1-10'!D18, "")</f>
        <v/>
      </c>
      <c r="E17" s="127" t="str">
        <f t="shared" si="0"/>
        <v/>
      </c>
      <c r="F17" s="127" t="str">
        <f t="shared" si="0"/>
        <v/>
      </c>
      <c r="G17" s="127" t="str">
        <f t="shared" si="0"/>
        <v/>
      </c>
      <c r="H17" s="127" t="str">
        <f t="shared" si="0"/>
        <v/>
      </c>
      <c r="I17" s="127" t="str">
        <f t="shared" si="0"/>
        <v/>
      </c>
      <c r="J17" s="127" t="str">
        <f t="shared" si="0"/>
        <v/>
      </c>
      <c r="K17" s="127" t="str">
        <f t="shared" si="0"/>
        <v/>
      </c>
      <c r="L17" s="127" t="str">
        <f t="shared" si="0"/>
        <v/>
      </c>
      <c r="M17" s="127" t="str">
        <f t="shared" si="0"/>
        <v/>
      </c>
      <c r="N17" s="128" t="str">
        <f t="shared" si="0"/>
        <v/>
      </c>
    </row>
    <row r="18" spans="1:14">
      <c r="A18" s="124" t="str">
        <f>IF('6Yearly O&amp;M Costs 1-10'!A19&lt;&gt;"", '6Yearly O&amp;M Costs 1-10'!A19, "")</f>
        <v/>
      </c>
      <c r="B18" s="125" t="str">
        <f>IF('6Yearly O&amp;M Costs 1-10'!B19&lt;&gt;"", '6Yearly O&amp;M Costs 1-10'!B19, "")</f>
        <v/>
      </c>
      <c r="C18" s="124" t="str">
        <f>IF('6Yearly O&amp;M Costs 1-10'!C19&lt;&gt;"", '6Yearly O&amp;M Costs 1-10'!C19, "")</f>
        <v/>
      </c>
      <c r="D18" s="126" t="str">
        <f>IF('6Yearly O&amp;M Costs 1-10'!D19&lt;&gt;"", '6Yearly O&amp;M Costs 1-10'!D19, "")</f>
        <v/>
      </c>
      <c r="E18" s="127" t="str">
        <f t="shared" si="0"/>
        <v/>
      </c>
      <c r="F18" s="127" t="str">
        <f t="shared" si="0"/>
        <v/>
      </c>
      <c r="G18" s="127" t="str">
        <f t="shared" si="0"/>
        <v/>
      </c>
      <c r="H18" s="127" t="str">
        <f t="shared" si="0"/>
        <v/>
      </c>
      <c r="I18" s="127" t="str">
        <f t="shared" si="0"/>
        <v/>
      </c>
      <c r="J18" s="127" t="str">
        <f t="shared" si="0"/>
        <v/>
      </c>
      <c r="K18" s="127" t="str">
        <f t="shared" si="0"/>
        <v/>
      </c>
      <c r="L18" s="127" t="str">
        <f t="shared" si="0"/>
        <v/>
      </c>
      <c r="M18" s="127" t="str">
        <f t="shared" si="0"/>
        <v/>
      </c>
      <c r="N18" s="128" t="str">
        <f t="shared" si="0"/>
        <v/>
      </c>
    </row>
    <row r="19" spans="1:14">
      <c r="A19" s="124" t="str">
        <f>IF('6Yearly O&amp;M Costs 1-10'!A20&lt;&gt;"", '6Yearly O&amp;M Costs 1-10'!A20, "")</f>
        <v/>
      </c>
      <c r="B19" s="125" t="str">
        <f>IF('6Yearly O&amp;M Costs 1-10'!B20&lt;&gt;"", '6Yearly O&amp;M Costs 1-10'!B20, "")</f>
        <v/>
      </c>
      <c r="C19" s="124" t="str">
        <f>IF('6Yearly O&amp;M Costs 1-10'!C20&lt;&gt;"", '6Yearly O&amp;M Costs 1-10'!C20, "")</f>
        <v/>
      </c>
      <c r="D19" s="126" t="str">
        <f>IF('6Yearly O&amp;M Costs 1-10'!D20&lt;&gt;"", '6Yearly O&amp;M Costs 1-10'!D20, "")</f>
        <v/>
      </c>
      <c r="E19" s="127" t="str">
        <f t="shared" si="0"/>
        <v/>
      </c>
      <c r="F19" s="127" t="str">
        <f t="shared" si="0"/>
        <v/>
      </c>
      <c r="G19" s="127" t="str">
        <f t="shared" si="0"/>
        <v/>
      </c>
      <c r="H19" s="127" t="str">
        <f t="shared" si="0"/>
        <v/>
      </c>
      <c r="I19" s="127" t="str">
        <f t="shared" si="0"/>
        <v/>
      </c>
      <c r="J19" s="127" t="str">
        <f t="shared" si="0"/>
        <v/>
      </c>
      <c r="K19" s="127" t="str">
        <f t="shared" si="0"/>
        <v/>
      </c>
      <c r="L19" s="127" t="str">
        <f t="shared" si="0"/>
        <v/>
      </c>
      <c r="M19" s="127" t="str">
        <f t="shared" si="0"/>
        <v/>
      </c>
      <c r="N19" s="128" t="str">
        <f t="shared" si="0"/>
        <v/>
      </c>
    </row>
    <row r="20" spans="1:14">
      <c r="A20" s="124" t="str">
        <f>IF('6Yearly O&amp;M Costs 1-10'!A21&lt;&gt;"", '6Yearly O&amp;M Costs 1-10'!A21, "")</f>
        <v/>
      </c>
      <c r="B20" s="125" t="str">
        <f>IF('6Yearly O&amp;M Costs 1-10'!B21&lt;&gt;"", '6Yearly O&amp;M Costs 1-10'!B21, "")</f>
        <v/>
      </c>
      <c r="C20" s="124" t="str">
        <f>IF('6Yearly O&amp;M Costs 1-10'!C21&lt;&gt;"", '6Yearly O&amp;M Costs 1-10'!C21, "")</f>
        <v/>
      </c>
      <c r="D20" s="126" t="str">
        <f>IF('6Yearly O&amp;M Costs 1-10'!D21&lt;&gt;"", '6Yearly O&amp;M Costs 1-10'!D21, "")</f>
        <v/>
      </c>
      <c r="E20" s="127" t="str">
        <f t="shared" si="0"/>
        <v/>
      </c>
      <c r="F20" s="127" t="str">
        <f t="shared" si="0"/>
        <v/>
      </c>
      <c r="G20" s="127" t="str">
        <f t="shared" si="0"/>
        <v/>
      </c>
      <c r="H20" s="127" t="str">
        <f t="shared" si="0"/>
        <v/>
      </c>
      <c r="I20" s="127" t="str">
        <f t="shared" si="0"/>
        <v/>
      </c>
      <c r="J20" s="127" t="str">
        <f t="shared" si="0"/>
        <v/>
      </c>
      <c r="K20" s="127" t="str">
        <f t="shared" si="0"/>
        <v/>
      </c>
      <c r="L20" s="127" t="str">
        <f t="shared" si="0"/>
        <v/>
      </c>
      <c r="M20" s="127" t="str">
        <f t="shared" si="0"/>
        <v/>
      </c>
      <c r="N20" s="128" t="str">
        <f t="shared" si="0"/>
        <v/>
      </c>
    </row>
    <row r="21" spans="1:14">
      <c r="A21" s="124" t="str">
        <f>IF('6Yearly O&amp;M Costs 1-10'!A22&lt;&gt;"", '6Yearly O&amp;M Costs 1-10'!A22, "")</f>
        <v/>
      </c>
      <c r="B21" s="125" t="str">
        <f>IF('6Yearly O&amp;M Costs 1-10'!B22&lt;&gt;"", '6Yearly O&amp;M Costs 1-10'!B22, "")</f>
        <v/>
      </c>
      <c r="C21" s="124" t="str">
        <f>IF('6Yearly O&amp;M Costs 1-10'!C22&lt;&gt;"", '6Yearly O&amp;M Costs 1-10'!C22, "")</f>
        <v/>
      </c>
      <c r="D21" s="126" t="str">
        <f>IF('6Yearly O&amp;M Costs 1-10'!D22&lt;&gt;"", '6Yearly O&amp;M Costs 1-10'!D22, "")</f>
        <v/>
      </c>
      <c r="E21" s="127" t="str">
        <f t="shared" si="0"/>
        <v/>
      </c>
      <c r="F21" s="127" t="str">
        <f t="shared" si="0"/>
        <v/>
      </c>
      <c r="G21" s="127" t="str">
        <f t="shared" si="0"/>
        <v/>
      </c>
      <c r="H21" s="127" t="str">
        <f t="shared" si="0"/>
        <v/>
      </c>
      <c r="I21" s="127" t="str">
        <f t="shared" si="0"/>
        <v/>
      </c>
      <c r="J21" s="127" t="str">
        <f t="shared" si="0"/>
        <v/>
      </c>
      <c r="K21" s="127" t="str">
        <f t="shared" si="0"/>
        <v/>
      </c>
      <c r="L21" s="127" t="str">
        <f t="shared" si="0"/>
        <v/>
      </c>
      <c r="M21" s="127" t="str">
        <f t="shared" si="0"/>
        <v/>
      </c>
      <c r="N21" s="128" t="str">
        <f t="shared" si="0"/>
        <v/>
      </c>
    </row>
    <row r="22" spans="1:14">
      <c r="A22" s="124" t="str">
        <f>IF('6Yearly O&amp;M Costs 1-10'!A23&lt;&gt;"", '6Yearly O&amp;M Costs 1-10'!A23, "")</f>
        <v/>
      </c>
      <c r="B22" s="125" t="str">
        <f>IF('6Yearly O&amp;M Costs 1-10'!B23&lt;&gt;"", '6Yearly O&amp;M Costs 1-10'!B23, "")</f>
        <v/>
      </c>
      <c r="C22" s="124" t="str">
        <f>IF('6Yearly O&amp;M Costs 1-10'!C23&lt;&gt;"", '6Yearly O&amp;M Costs 1-10'!C23, "")</f>
        <v/>
      </c>
      <c r="D22" s="126" t="str">
        <f>IF('6Yearly O&amp;M Costs 1-10'!D23&lt;&gt;"", '6Yearly O&amp;M Costs 1-10'!D23, "")</f>
        <v/>
      </c>
      <c r="E22" s="127" t="str">
        <f t="shared" si="0"/>
        <v/>
      </c>
      <c r="F22" s="127" t="str">
        <f t="shared" si="0"/>
        <v/>
      </c>
      <c r="G22" s="127" t="str">
        <f t="shared" si="0"/>
        <v/>
      </c>
      <c r="H22" s="127" t="str">
        <f t="shared" si="0"/>
        <v/>
      </c>
      <c r="I22" s="127" t="str">
        <f t="shared" si="0"/>
        <v/>
      </c>
      <c r="J22" s="127" t="str">
        <f t="shared" si="0"/>
        <v/>
      </c>
      <c r="K22" s="127" t="str">
        <f t="shared" si="0"/>
        <v/>
      </c>
      <c r="L22" s="127" t="str">
        <f t="shared" si="0"/>
        <v/>
      </c>
      <c r="M22" s="127" t="str">
        <f t="shared" si="0"/>
        <v/>
      </c>
      <c r="N22" s="128" t="str">
        <f t="shared" si="0"/>
        <v/>
      </c>
    </row>
    <row r="23" spans="1:14">
      <c r="A23" s="124" t="str">
        <f>IF('6Yearly O&amp;M Costs 1-10'!A24&lt;&gt;"", '6Yearly O&amp;M Costs 1-10'!A24, "")</f>
        <v/>
      </c>
      <c r="B23" s="125" t="str">
        <f>IF('6Yearly O&amp;M Costs 1-10'!B24&lt;&gt;"", '6Yearly O&amp;M Costs 1-10'!B24, "")</f>
        <v/>
      </c>
      <c r="C23" s="124" t="str">
        <f>IF('6Yearly O&amp;M Costs 1-10'!C24&lt;&gt;"", '6Yearly O&amp;M Costs 1-10'!C24, "")</f>
        <v/>
      </c>
      <c r="D23" s="126" t="str">
        <f>IF('6Yearly O&amp;M Costs 1-10'!D24&lt;&gt;"", '6Yearly O&amp;M Costs 1-10'!D24, "")</f>
        <v/>
      </c>
      <c r="E23" s="127" t="str">
        <f t="shared" si="0"/>
        <v/>
      </c>
      <c r="F23" s="127" t="str">
        <f t="shared" si="0"/>
        <v/>
      </c>
      <c r="G23" s="127" t="str">
        <f t="shared" si="0"/>
        <v/>
      </c>
      <c r="H23" s="127" t="str">
        <f t="shared" si="0"/>
        <v/>
      </c>
      <c r="I23" s="127" t="str">
        <f t="shared" si="0"/>
        <v/>
      </c>
      <c r="J23" s="127" t="str">
        <f t="shared" si="0"/>
        <v/>
      </c>
      <c r="K23" s="127" t="str">
        <f t="shared" si="0"/>
        <v/>
      </c>
      <c r="L23" s="127" t="str">
        <f t="shared" si="0"/>
        <v/>
      </c>
      <c r="M23" s="127" t="str">
        <f t="shared" si="0"/>
        <v/>
      </c>
      <c r="N23" s="128" t="str">
        <f t="shared" si="0"/>
        <v/>
      </c>
    </row>
    <row r="24" spans="1:14">
      <c r="A24" s="124" t="str">
        <f>IF('6Yearly O&amp;M Costs 1-10'!A25&lt;&gt;"", '6Yearly O&amp;M Costs 1-10'!A25, "")</f>
        <v/>
      </c>
      <c r="B24" s="125" t="str">
        <f>IF('6Yearly O&amp;M Costs 1-10'!B25&lt;&gt;"", '6Yearly O&amp;M Costs 1-10'!B25, "")</f>
        <v/>
      </c>
      <c r="C24" s="124" t="str">
        <f>IF('6Yearly O&amp;M Costs 1-10'!C25&lt;&gt;"", '6Yearly O&amp;M Costs 1-10'!C25, "")</f>
        <v/>
      </c>
      <c r="D24" s="126" t="str">
        <f>IF('6Yearly O&amp;M Costs 1-10'!D25&lt;&gt;"", '6Yearly O&amp;M Costs 1-10'!D25, "")</f>
        <v/>
      </c>
      <c r="E24" s="127" t="str">
        <f t="shared" ref="E24:N30" si="1">IF($A24&lt;&gt;"", (($B24*$D24)*((1+$B$5)^E$7)*(1/((1+$N$5)^E$7))), "")</f>
        <v/>
      </c>
      <c r="F24" s="127" t="str">
        <f t="shared" si="1"/>
        <v/>
      </c>
      <c r="G24" s="127" t="str">
        <f t="shared" si="1"/>
        <v/>
      </c>
      <c r="H24" s="127" t="str">
        <f t="shared" si="1"/>
        <v/>
      </c>
      <c r="I24" s="127" t="str">
        <f t="shared" si="1"/>
        <v/>
      </c>
      <c r="J24" s="127" t="str">
        <f t="shared" si="1"/>
        <v/>
      </c>
      <c r="K24" s="127" t="str">
        <f t="shared" si="1"/>
        <v/>
      </c>
      <c r="L24" s="127" t="str">
        <f t="shared" si="1"/>
        <v/>
      </c>
      <c r="M24" s="127" t="str">
        <f t="shared" si="1"/>
        <v/>
      </c>
      <c r="N24" s="128" t="str">
        <f t="shared" si="1"/>
        <v/>
      </c>
    </row>
    <row r="25" spans="1:14">
      <c r="A25" s="124" t="str">
        <f>IF('6Yearly O&amp;M Costs 1-10'!A26&lt;&gt;"", '6Yearly O&amp;M Costs 1-10'!A26, "")</f>
        <v/>
      </c>
      <c r="B25" s="125" t="str">
        <f>IF('6Yearly O&amp;M Costs 1-10'!B26&lt;&gt;"", '6Yearly O&amp;M Costs 1-10'!B26, "")</f>
        <v/>
      </c>
      <c r="C25" s="124" t="str">
        <f>IF('6Yearly O&amp;M Costs 1-10'!C26&lt;&gt;"", '6Yearly O&amp;M Costs 1-10'!C26, "")</f>
        <v/>
      </c>
      <c r="D25" s="126" t="str">
        <f>IF('6Yearly O&amp;M Costs 1-10'!D26&lt;&gt;"", '6Yearly O&amp;M Costs 1-10'!D26, "")</f>
        <v/>
      </c>
      <c r="E25" s="127" t="str">
        <f t="shared" si="1"/>
        <v/>
      </c>
      <c r="F25" s="127" t="str">
        <f t="shared" si="1"/>
        <v/>
      </c>
      <c r="G25" s="127" t="str">
        <f t="shared" si="1"/>
        <v/>
      </c>
      <c r="H25" s="127" t="str">
        <f t="shared" si="1"/>
        <v/>
      </c>
      <c r="I25" s="127" t="str">
        <f t="shared" si="1"/>
        <v/>
      </c>
      <c r="J25" s="127" t="str">
        <f t="shared" si="1"/>
        <v/>
      </c>
      <c r="K25" s="127" t="str">
        <f t="shared" si="1"/>
        <v/>
      </c>
      <c r="L25" s="127" t="str">
        <f t="shared" si="1"/>
        <v/>
      </c>
      <c r="M25" s="127" t="str">
        <f t="shared" si="1"/>
        <v/>
      </c>
      <c r="N25" s="128" t="str">
        <f t="shared" si="1"/>
        <v/>
      </c>
    </row>
    <row r="26" spans="1:14">
      <c r="A26" s="124" t="str">
        <f>IF('6Yearly O&amp;M Costs 1-10'!A27&lt;&gt;"", '6Yearly O&amp;M Costs 1-10'!A27, "")</f>
        <v/>
      </c>
      <c r="B26" s="125" t="str">
        <f>IF('6Yearly O&amp;M Costs 1-10'!B27&lt;&gt;"", '6Yearly O&amp;M Costs 1-10'!B27, "")</f>
        <v/>
      </c>
      <c r="C26" s="124" t="str">
        <f>IF('6Yearly O&amp;M Costs 1-10'!C27&lt;&gt;"", '6Yearly O&amp;M Costs 1-10'!C27, "")</f>
        <v/>
      </c>
      <c r="D26" s="126" t="str">
        <f>IF('6Yearly O&amp;M Costs 1-10'!D27&lt;&gt;"", '6Yearly O&amp;M Costs 1-10'!D27, "")</f>
        <v/>
      </c>
      <c r="E26" s="127" t="str">
        <f t="shared" si="1"/>
        <v/>
      </c>
      <c r="F26" s="127" t="str">
        <f t="shared" si="1"/>
        <v/>
      </c>
      <c r="G26" s="127" t="str">
        <f t="shared" si="1"/>
        <v/>
      </c>
      <c r="H26" s="127" t="str">
        <f t="shared" si="1"/>
        <v/>
      </c>
      <c r="I26" s="127" t="str">
        <f t="shared" si="1"/>
        <v/>
      </c>
      <c r="J26" s="127" t="str">
        <f t="shared" si="1"/>
        <v/>
      </c>
      <c r="K26" s="127" t="str">
        <f t="shared" si="1"/>
        <v/>
      </c>
      <c r="L26" s="127" t="str">
        <f t="shared" si="1"/>
        <v/>
      </c>
      <c r="M26" s="127" t="str">
        <f t="shared" si="1"/>
        <v/>
      </c>
      <c r="N26" s="128" t="str">
        <f t="shared" si="1"/>
        <v/>
      </c>
    </row>
    <row r="27" spans="1:14">
      <c r="A27" s="124" t="str">
        <f>IF('6Yearly O&amp;M Costs 1-10'!A28&lt;&gt;"", '6Yearly O&amp;M Costs 1-10'!A28, "")</f>
        <v/>
      </c>
      <c r="B27" s="125" t="str">
        <f>IF('6Yearly O&amp;M Costs 1-10'!B28&lt;&gt;"", '6Yearly O&amp;M Costs 1-10'!B28, "")</f>
        <v/>
      </c>
      <c r="C27" s="124" t="str">
        <f>IF('6Yearly O&amp;M Costs 1-10'!C28&lt;&gt;"", '6Yearly O&amp;M Costs 1-10'!C28, "")</f>
        <v/>
      </c>
      <c r="D27" s="126" t="str">
        <f>IF('6Yearly O&amp;M Costs 1-10'!D28&lt;&gt;"", '6Yearly O&amp;M Costs 1-10'!D28, "")</f>
        <v/>
      </c>
      <c r="E27" s="127" t="str">
        <f t="shared" si="1"/>
        <v/>
      </c>
      <c r="F27" s="127" t="str">
        <f t="shared" si="1"/>
        <v/>
      </c>
      <c r="G27" s="127" t="str">
        <f t="shared" si="1"/>
        <v/>
      </c>
      <c r="H27" s="127" t="str">
        <f t="shared" si="1"/>
        <v/>
      </c>
      <c r="I27" s="127" t="str">
        <f t="shared" si="1"/>
        <v/>
      </c>
      <c r="J27" s="127" t="str">
        <f t="shared" si="1"/>
        <v/>
      </c>
      <c r="K27" s="127" t="str">
        <f t="shared" si="1"/>
        <v/>
      </c>
      <c r="L27" s="127" t="str">
        <f t="shared" si="1"/>
        <v/>
      </c>
      <c r="M27" s="127" t="str">
        <f t="shared" si="1"/>
        <v/>
      </c>
      <c r="N27" s="128" t="str">
        <f t="shared" si="1"/>
        <v/>
      </c>
    </row>
    <row r="28" spans="1:14">
      <c r="A28" s="124" t="str">
        <f>IF('6Yearly O&amp;M Costs 1-10'!A29&lt;&gt;"", '6Yearly O&amp;M Costs 1-10'!A29, "")</f>
        <v/>
      </c>
      <c r="B28" s="125" t="str">
        <f>IF('6Yearly O&amp;M Costs 1-10'!B29&lt;&gt;"", '6Yearly O&amp;M Costs 1-10'!B29, "")</f>
        <v/>
      </c>
      <c r="C28" s="124" t="str">
        <f>IF('6Yearly O&amp;M Costs 1-10'!C29&lt;&gt;"", '6Yearly O&amp;M Costs 1-10'!C29, "")</f>
        <v/>
      </c>
      <c r="D28" s="126" t="str">
        <f>IF('6Yearly O&amp;M Costs 1-10'!D29&lt;&gt;"", '6Yearly O&amp;M Costs 1-10'!D29, "")</f>
        <v/>
      </c>
      <c r="E28" s="127" t="str">
        <f t="shared" si="1"/>
        <v/>
      </c>
      <c r="F28" s="127" t="str">
        <f t="shared" si="1"/>
        <v/>
      </c>
      <c r="G28" s="127" t="str">
        <f t="shared" si="1"/>
        <v/>
      </c>
      <c r="H28" s="127" t="str">
        <f t="shared" si="1"/>
        <v/>
      </c>
      <c r="I28" s="127" t="str">
        <f t="shared" si="1"/>
        <v/>
      </c>
      <c r="J28" s="127" t="str">
        <f t="shared" si="1"/>
        <v/>
      </c>
      <c r="K28" s="127" t="str">
        <f t="shared" si="1"/>
        <v/>
      </c>
      <c r="L28" s="127" t="str">
        <f t="shared" si="1"/>
        <v/>
      </c>
      <c r="M28" s="127" t="str">
        <f t="shared" si="1"/>
        <v/>
      </c>
      <c r="N28" s="128" t="str">
        <f t="shared" si="1"/>
        <v/>
      </c>
    </row>
    <row r="29" spans="1:14">
      <c r="A29" s="124" t="str">
        <f>IF('6Yearly O&amp;M Costs 1-10'!A30&lt;&gt;"", '6Yearly O&amp;M Costs 1-10'!A30, "")</f>
        <v/>
      </c>
      <c r="B29" s="125" t="str">
        <f>IF('6Yearly O&amp;M Costs 1-10'!B30&lt;&gt;"", '6Yearly O&amp;M Costs 1-10'!B30, "")</f>
        <v/>
      </c>
      <c r="C29" s="124" t="str">
        <f>IF('6Yearly O&amp;M Costs 1-10'!C30&lt;&gt;"", '6Yearly O&amp;M Costs 1-10'!C30, "")</f>
        <v/>
      </c>
      <c r="D29" s="126" t="str">
        <f>IF('6Yearly O&amp;M Costs 1-10'!D30&lt;&gt;"", '6Yearly O&amp;M Costs 1-10'!D30, "")</f>
        <v/>
      </c>
      <c r="E29" s="127" t="str">
        <f t="shared" si="1"/>
        <v/>
      </c>
      <c r="F29" s="127" t="str">
        <f t="shared" si="1"/>
        <v/>
      </c>
      <c r="G29" s="127" t="str">
        <f t="shared" si="1"/>
        <v/>
      </c>
      <c r="H29" s="127" t="str">
        <f t="shared" si="1"/>
        <v/>
      </c>
      <c r="I29" s="127" t="str">
        <f t="shared" si="1"/>
        <v/>
      </c>
      <c r="J29" s="127" t="str">
        <f t="shared" si="1"/>
        <v/>
      </c>
      <c r="K29" s="127" t="str">
        <f t="shared" si="1"/>
        <v/>
      </c>
      <c r="L29" s="127" t="str">
        <f t="shared" si="1"/>
        <v/>
      </c>
      <c r="M29" s="127" t="str">
        <f t="shared" si="1"/>
        <v/>
      </c>
      <c r="N29" s="128" t="str">
        <f t="shared" si="1"/>
        <v/>
      </c>
    </row>
    <row r="30" spans="1:14">
      <c r="A30" s="124" t="str">
        <f>IF('6Yearly O&amp;M Costs 1-10'!A31&lt;&gt;"", '6Yearly O&amp;M Costs 1-10'!A31, "")</f>
        <v/>
      </c>
      <c r="B30" s="125" t="str">
        <f>IF('6Yearly O&amp;M Costs 1-10'!B31&lt;&gt;"", '6Yearly O&amp;M Costs 1-10'!B31, "")</f>
        <v/>
      </c>
      <c r="C30" s="124" t="str">
        <f>IF('6Yearly O&amp;M Costs 1-10'!C31&lt;&gt;"", '6Yearly O&amp;M Costs 1-10'!C31, "")</f>
        <v/>
      </c>
      <c r="D30" s="126" t="str">
        <f>IF('6Yearly O&amp;M Costs 1-10'!D31&lt;&gt;"", '6Yearly O&amp;M Costs 1-10'!D31, "")</f>
        <v/>
      </c>
      <c r="E30" s="127" t="str">
        <f t="shared" si="1"/>
        <v/>
      </c>
      <c r="F30" s="127" t="str">
        <f t="shared" si="1"/>
        <v/>
      </c>
      <c r="G30" s="127" t="str">
        <f t="shared" si="1"/>
        <v/>
      </c>
      <c r="H30" s="127" t="str">
        <f t="shared" si="1"/>
        <v/>
      </c>
      <c r="I30" s="127" t="str">
        <f t="shared" si="1"/>
        <v/>
      </c>
      <c r="J30" s="127" t="str">
        <f t="shared" si="1"/>
        <v/>
      </c>
      <c r="K30" s="127" t="str">
        <f t="shared" si="1"/>
        <v/>
      </c>
      <c r="L30" s="127" t="str">
        <f t="shared" si="1"/>
        <v/>
      </c>
      <c r="M30" s="127" t="str">
        <f t="shared" si="1"/>
        <v/>
      </c>
      <c r="N30" s="128" t="str">
        <f t="shared" si="1"/>
        <v/>
      </c>
    </row>
    <row r="31" spans="1:14">
      <c r="A31" s="129"/>
      <c r="B31" s="130"/>
      <c r="C31" s="130"/>
      <c r="D31" s="131" t="s">
        <v>55</v>
      </c>
      <c r="E31" s="132">
        <f>SUM(E8:E30)</f>
        <v>0</v>
      </c>
      <c r="F31" s="132">
        <f t="shared" ref="F31:N31" si="2">SUM(F8:F30)</f>
        <v>0</v>
      </c>
      <c r="G31" s="132">
        <f t="shared" si="2"/>
        <v>0</v>
      </c>
      <c r="H31" s="132">
        <f t="shared" si="2"/>
        <v>0</v>
      </c>
      <c r="I31" s="132">
        <f t="shared" si="2"/>
        <v>0</v>
      </c>
      <c r="J31" s="132">
        <f t="shared" si="2"/>
        <v>0</v>
      </c>
      <c r="K31" s="132">
        <f t="shared" si="2"/>
        <v>0</v>
      </c>
      <c r="L31" s="132">
        <f t="shared" si="2"/>
        <v>0</v>
      </c>
      <c r="M31" s="132">
        <f t="shared" si="2"/>
        <v>0</v>
      </c>
      <c r="N31" s="132">
        <f t="shared" si="2"/>
        <v>0</v>
      </c>
    </row>
    <row r="32" spans="1:14">
      <c r="M32" s="133" t="s">
        <v>56</v>
      </c>
      <c r="N32" s="132">
        <f>'6Yearly O&amp;M Costs 1-10'!E32+'6Yearly O&amp;M Costs 1-10'!F32+'6Yearly O&amp;M Costs 1-10'!G32+'6Yearly O&amp;M Costs 1-10'!H32+'6Yearly O&amp;M Costs 1-10'!I32+'6Yearly O&amp;M Costs 1-10'!J32+'6Yearly O&amp;M Costs 1-10'!K32+'6Yearly O&amp;M Costs 1-10'!L32+'6Yearly O&amp;M Costs 1-10'!M32+'6Yearly O&amp;M Costs 1-10'!N32+'6Yearly O&amp;M Costs 11-20'!E31+'6Yearly O&amp;M Costs 11-20'!F31+'6Yearly O&amp;M Costs 11-20'!G31+'6Yearly O&amp;M Costs 11-20'!H31+'6Yearly O&amp;M Costs 11-20'!I31+'6Yearly O&amp;M Costs 11-20'!J31+'6Yearly O&amp;M Costs 11-20'!K31+'6Yearly O&amp;M Costs 11-20'!L31+'6Yearly O&amp;M Costs 11-20'!M31+'6Yearly O&amp;M Costs 11-20'!N31</f>
        <v>0</v>
      </c>
    </row>
    <row r="34" spans="1:2" hidden="1">
      <c r="A34" s="134" t="s">
        <v>7</v>
      </c>
      <c r="B34" s="135">
        <v>4.8750000000000002E-2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5" bottom="0.5" header="0.3" footer="0.3"/>
  <pageSetup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20"/>
  <sheetViews>
    <sheetView zoomScaleNormal="100" workbookViewId="0">
      <pane xSplit="4" ySplit="8" topLeftCell="R9" activePane="bottomRight" state="frozen"/>
      <selection pane="topRight" activeCell="E1" sqref="E1"/>
      <selection pane="bottomLeft" activeCell="A8" sqref="A8"/>
      <selection pane="bottomRight" activeCell="A9" sqref="A9:AB12"/>
    </sheetView>
  </sheetViews>
  <sheetFormatPr defaultRowHeight="15.75"/>
  <cols>
    <col min="1" max="1" width="38.42578125" style="1" customWidth="1"/>
    <col min="2" max="4" width="12.7109375" style="1" customWidth="1"/>
    <col min="5" max="5" width="13.28515625" style="1" hidden="1" customWidth="1"/>
    <col min="6" max="6" width="13.5703125" style="1" hidden="1" customWidth="1"/>
    <col min="7" max="7" width="13.85546875" style="1" hidden="1" customWidth="1"/>
    <col min="8" max="8" width="13.7109375" style="1" hidden="1" customWidth="1"/>
    <col min="9" max="28" width="8.7109375" style="1" customWidth="1"/>
    <col min="29" max="16384" width="9.140625" style="1"/>
  </cols>
  <sheetData>
    <row r="1" spans="1:28">
      <c r="A1" s="150" t="s">
        <v>67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3" spans="1:28">
      <c r="A3" s="2" t="s">
        <v>3</v>
      </c>
      <c r="B3" s="149">
        <f>'6Capital Costs'!B6</f>
        <v>0</v>
      </c>
      <c r="C3" s="149"/>
      <c r="D3" s="149"/>
      <c r="E3" s="149"/>
      <c r="F3" s="149"/>
      <c r="G3" s="149"/>
      <c r="H3" s="149"/>
      <c r="I3" s="149"/>
      <c r="J3" s="149"/>
    </row>
    <row r="5" spans="1:28">
      <c r="A5" s="7" t="s">
        <v>42</v>
      </c>
      <c r="B5" s="7"/>
      <c r="C5" s="7"/>
      <c r="D5" s="7"/>
      <c r="E5" s="7"/>
      <c r="F5" s="7"/>
      <c r="G5" s="7"/>
      <c r="H5" s="7"/>
    </row>
    <row r="7" spans="1:28">
      <c r="A7" s="14"/>
      <c r="B7" s="15"/>
      <c r="C7" s="15"/>
      <c r="D7" s="15"/>
      <c r="E7" s="32"/>
      <c r="F7" s="32"/>
      <c r="G7" s="32"/>
      <c r="H7" s="32"/>
      <c r="I7" s="147" t="s">
        <v>68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8"/>
    </row>
    <row r="8" spans="1:28" ht="62.25" customHeight="1">
      <c r="A8" s="94" t="s">
        <v>4</v>
      </c>
      <c r="B8" s="92" t="s">
        <v>0</v>
      </c>
      <c r="C8" s="92" t="s">
        <v>5</v>
      </c>
      <c r="D8" s="92" t="s">
        <v>1</v>
      </c>
      <c r="E8" s="54" t="s">
        <v>38</v>
      </c>
      <c r="F8" s="54" t="s">
        <v>39</v>
      </c>
      <c r="G8" s="54" t="s">
        <v>40</v>
      </c>
      <c r="H8" s="54" t="s">
        <v>41</v>
      </c>
      <c r="I8" s="92">
        <v>1</v>
      </c>
      <c r="J8" s="92">
        <v>2</v>
      </c>
      <c r="K8" s="92">
        <v>3</v>
      </c>
      <c r="L8" s="92">
        <v>4</v>
      </c>
      <c r="M8" s="92">
        <v>5</v>
      </c>
      <c r="N8" s="92">
        <v>6</v>
      </c>
      <c r="O8" s="92">
        <v>7</v>
      </c>
      <c r="P8" s="92">
        <v>8</v>
      </c>
      <c r="Q8" s="92">
        <v>9</v>
      </c>
      <c r="R8" s="92">
        <v>10</v>
      </c>
      <c r="S8" s="92">
        <v>11</v>
      </c>
      <c r="T8" s="92">
        <v>12</v>
      </c>
      <c r="U8" s="92">
        <v>13</v>
      </c>
      <c r="V8" s="92">
        <v>14</v>
      </c>
      <c r="W8" s="92">
        <v>15</v>
      </c>
      <c r="X8" s="92">
        <v>16</v>
      </c>
      <c r="Y8" s="92">
        <v>17</v>
      </c>
      <c r="Z8" s="92">
        <v>18</v>
      </c>
      <c r="AA8" s="92">
        <v>19</v>
      </c>
      <c r="AB8" s="93">
        <v>20</v>
      </c>
    </row>
    <row r="9" spans="1:28">
      <c r="A9" s="103"/>
      <c r="B9" s="104"/>
      <c r="C9" s="103"/>
      <c r="D9" s="111"/>
      <c r="E9" s="102"/>
      <c r="F9" s="102"/>
      <c r="G9" s="102"/>
      <c r="H9" s="102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8"/>
    </row>
    <row r="10" spans="1:28">
      <c r="A10" s="103"/>
      <c r="B10" s="104"/>
      <c r="C10" s="103"/>
      <c r="D10" s="111"/>
      <c r="E10" s="102"/>
      <c r="F10" s="102"/>
      <c r="G10" s="102"/>
      <c r="H10" s="102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8"/>
    </row>
    <row r="11" spans="1:28">
      <c r="A11" s="103"/>
      <c r="B11" s="104"/>
      <c r="C11" s="103"/>
      <c r="D11" s="111"/>
      <c r="E11" s="102"/>
      <c r="F11" s="102"/>
      <c r="G11" s="102"/>
      <c r="H11" s="102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8"/>
    </row>
    <row r="12" spans="1:28">
      <c r="A12" s="103"/>
      <c r="B12" s="110"/>
      <c r="C12" s="103"/>
      <c r="D12" s="111"/>
      <c r="E12" s="102"/>
      <c r="F12" s="102"/>
      <c r="G12" s="102"/>
      <c r="H12" s="102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8"/>
    </row>
    <row r="13" spans="1:28">
      <c r="A13" s="103"/>
      <c r="B13" s="104"/>
      <c r="C13" s="103"/>
      <c r="D13" s="111"/>
      <c r="E13" s="102" t="str">
        <f t="shared" ref="E13:E20" si="0">IF(M13="Y", "Y", (IF(L13="Y", "Y", (IF(K13="Y", "Y", (IF(J13="Y", "Y", (IF(I13="Y", "Y", " ")))))))))</f>
        <v xml:space="preserve"> </v>
      </c>
      <c r="F13" s="102" t="str">
        <f t="shared" ref="F13:F20" si="1">IF(R13="Y", "Y", (IF(Q13="Y", "Y", (IF(P13="Y", "Y", (IF(O13="Y", "Y", (IF(N13="Y", "Y", " ")))))))))</f>
        <v xml:space="preserve"> </v>
      </c>
      <c r="G13" s="102" t="str">
        <f t="shared" ref="G13:G20" si="2">IF(W13="Y", "Y", (IF(V13="Y", "Y", (IF(U13="Y", "Y", (IF(T13="Y", "Y", (IF(S13="Y", "Y", " ")))))))))</f>
        <v xml:space="preserve"> </v>
      </c>
      <c r="H13" s="102" t="str">
        <f t="shared" ref="H13:H20" si="3">IF(AB13="Y", "Y", (IF(AA13="Y", "Y", (IF(Z13="Y", "Y", (IF(Y13="Y", "Y", (IF(X13="Y", "Y", " ")))))))))</f>
        <v xml:space="preserve"> </v>
      </c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8"/>
    </row>
    <row r="14" spans="1:28">
      <c r="A14" s="103"/>
      <c r="B14" s="104"/>
      <c r="C14" s="103"/>
      <c r="D14" s="111"/>
      <c r="E14" s="102" t="str">
        <f t="shared" si="0"/>
        <v xml:space="preserve"> </v>
      </c>
      <c r="F14" s="102" t="str">
        <f t="shared" si="1"/>
        <v xml:space="preserve"> </v>
      </c>
      <c r="G14" s="102" t="str">
        <f t="shared" si="2"/>
        <v xml:space="preserve"> </v>
      </c>
      <c r="H14" s="102" t="str">
        <f t="shared" si="3"/>
        <v xml:space="preserve"> </v>
      </c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8"/>
    </row>
    <row r="15" spans="1:28">
      <c r="A15" s="103"/>
      <c r="B15" s="104"/>
      <c r="C15" s="103"/>
      <c r="D15" s="111"/>
      <c r="E15" s="102" t="str">
        <f t="shared" si="0"/>
        <v xml:space="preserve"> </v>
      </c>
      <c r="F15" s="102" t="str">
        <f t="shared" si="1"/>
        <v xml:space="preserve"> </v>
      </c>
      <c r="G15" s="102" t="str">
        <f t="shared" si="2"/>
        <v xml:space="preserve"> </v>
      </c>
      <c r="H15" s="102" t="str">
        <f t="shared" si="3"/>
        <v xml:space="preserve"> </v>
      </c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8"/>
    </row>
    <row r="16" spans="1:28">
      <c r="A16" s="103"/>
      <c r="B16" s="104"/>
      <c r="C16" s="103"/>
      <c r="D16" s="111"/>
      <c r="E16" s="102" t="str">
        <f t="shared" si="0"/>
        <v xml:space="preserve"> </v>
      </c>
      <c r="F16" s="102" t="str">
        <f t="shared" si="1"/>
        <v xml:space="preserve"> </v>
      </c>
      <c r="G16" s="102" t="str">
        <f t="shared" si="2"/>
        <v xml:space="preserve"> </v>
      </c>
      <c r="H16" s="102" t="str">
        <f t="shared" si="3"/>
        <v xml:space="preserve"> </v>
      </c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8"/>
    </row>
    <row r="17" spans="1:28">
      <c r="A17" s="103"/>
      <c r="B17" s="104"/>
      <c r="C17" s="103"/>
      <c r="D17" s="111"/>
      <c r="E17" s="102" t="str">
        <f t="shared" si="0"/>
        <v xml:space="preserve"> </v>
      </c>
      <c r="F17" s="102" t="str">
        <f t="shared" si="1"/>
        <v xml:space="preserve"> </v>
      </c>
      <c r="G17" s="102" t="str">
        <f t="shared" si="2"/>
        <v xml:space="preserve"> </v>
      </c>
      <c r="H17" s="102" t="str">
        <f t="shared" si="3"/>
        <v xml:space="preserve"> </v>
      </c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8"/>
    </row>
    <row r="18" spans="1:28">
      <c r="A18" s="103"/>
      <c r="B18" s="104"/>
      <c r="C18" s="103"/>
      <c r="D18" s="111"/>
      <c r="E18" s="102" t="str">
        <f t="shared" si="0"/>
        <v xml:space="preserve"> </v>
      </c>
      <c r="F18" s="102" t="str">
        <f t="shared" si="1"/>
        <v xml:space="preserve"> </v>
      </c>
      <c r="G18" s="102" t="str">
        <f t="shared" si="2"/>
        <v xml:space="preserve"> </v>
      </c>
      <c r="H18" s="102" t="str">
        <f t="shared" si="3"/>
        <v xml:space="preserve"> </v>
      </c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8"/>
    </row>
    <row r="19" spans="1:28">
      <c r="A19" s="103"/>
      <c r="B19" s="104"/>
      <c r="C19" s="103"/>
      <c r="D19" s="111"/>
      <c r="E19" s="102" t="str">
        <f t="shared" si="0"/>
        <v xml:space="preserve"> </v>
      </c>
      <c r="F19" s="102" t="str">
        <f t="shared" si="1"/>
        <v xml:space="preserve"> </v>
      </c>
      <c r="G19" s="102" t="str">
        <f t="shared" si="2"/>
        <v xml:space="preserve"> </v>
      </c>
      <c r="H19" s="102" t="str">
        <f t="shared" si="3"/>
        <v xml:space="preserve"> </v>
      </c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8"/>
    </row>
    <row r="20" spans="1:28">
      <c r="A20" s="103"/>
      <c r="B20" s="104"/>
      <c r="C20" s="103"/>
      <c r="D20" s="111"/>
      <c r="E20" s="102" t="str">
        <f t="shared" si="0"/>
        <v xml:space="preserve"> </v>
      </c>
      <c r="F20" s="102" t="str">
        <f t="shared" si="1"/>
        <v xml:space="preserve"> </v>
      </c>
      <c r="G20" s="102" t="str">
        <f t="shared" si="2"/>
        <v xml:space="preserve"> </v>
      </c>
      <c r="H20" s="102" t="str">
        <f t="shared" si="3"/>
        <v xml:space="preserve"> 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8"/>
    </row>
  </sheetData>
  <sheetProtection sheet="1"/>
  <mergeCells count="3">
    <mergeCell ref="A1:AB1"/>
    <mergeCell ref="B3:J3"/>
    <mergeCell ref="I7:AB7"/>
  </mergeCells>
  <dataValidations count="1">
    <dataValidation type="list" allowBlank="1" showInputMessage="1" showErrorMessage="1" sqref="B3:J3">
      <formula1>Input!B6:B11</formula1>
    </dataValidation>
  </dataValidations>
  <pageMargins left="0.7" right="0.7" top="0.75" bottom="0.75" header="0.3" footer="0.3"/>
  <pageSetup scale="76" fitToWidth="4" orientation="landscape" r:id="rId1"/>
  <headerFooter>
    <oddHeader>&amp;C&amp;D
&amp;F</oddHeader>
    <oddFooter>&amp;L&amp;A&amp;RPage &amp;P of 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>
  <dimension ref="A1:N20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190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'6Capital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'6Yearly O&amp;M Costs 11-20'!A5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</v>
      </c>
      <c r="F7" s="12">
        <v>2</v>
      </c>
      <c r="G7" s="12">
        <v>3</v>
      </c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12">
        <v>9</v>
      </c>
      <c r="N7" s="12">
        <v>10</v>
      </c>
    </row>
    <row r="8" spans="1:14">
      <c r="A8" s="31" t="str">
        <f>IF('6Inter O&amp;M Entry'!A9&lt;&gt;"", '6Inter O&amp;M Entry'!A9, "")</f>
        <v/>
      </c>
      <c r="B8" s="35" t="str">
        <f>IF('6Inter O&amp;M Entry'!B9&lt;&gt;"", '6Inter O&amp;M Entry'!B9, "")</f>
        <v/>
      </c>
      <c r="C8" s="31" t="str">
        <f>IF('6Inter O&amp;M Entry'!C9&lt;&gt;"", '6Inter O&amp;M Entry'!C9, "")</f>
        <v/>
      </c>
      <c r="D8" s="108" t="str">
        <f>IF('6Inter O&amp;M Entry'!D9&lt;&gt;"", '6Inter O&amp;M Entry'!D9, "")</f>
        <v/>
      </c>
      <c r="E8" s="35" t="str">
        <f>IF($A8&lt;&gt;"", (IF('6Inter O&amp;M Entry'!I9="Y", ((($B8*$D8)*((1+$B$5)^E$7))*(1/((1+$N$5)^E$7))), 0)), "")</f>
        <v/>
      </c>
      <c r="F8" s="35" t="str">
        <f>IF($A8&lt;&gt;"", (IF('6Inter O&amp;M Entry'!J9="Y", ((($B8*$D8)*((1+$B$5)^F$7))*(1/((1+$N$5)^F$7))), 0)), "")</f>
        <v/>
      </c>
      <c r="G8" s="35" t="str">
        <f>IF($A8&lt;&gt;"", (IF('6Inter O&amp;M Entry'!K9="Y", ((($B8*$D8)*((1+$B$5)^G$7))*(1/((1+$N$5)^G$7))), 0)), "")</f>
        <v/>
      </c>
      <c r="H8" s="35" t="str">
        <f>IF($A8&lt;&gt;"", (IF('6Inter O&amp;M Entry'!L9="Y", ((($B8*$D8)*((1+$B$5)^H$7))*(1/((1+$N$5)^H$7))), 0)), "")</f>
        <v/>
      </c>
      <c r="I8" s="35" t="str">
        <f>IF($A8&lt;&gt;"", (IF('6Inter O&amp;M Entry'!M9="Y", ((($B8*$D8)*((1+$B$5)^I$7))*(1/((1+$N$5)^I$7))), 0)), "")</f>
        <v/>
      </c>
      <c r="J8" s="35" t="str">
        <f>IF($A8&lt;&gt;"", (IF('6Inter O&amp;M Entry'!N9="Y", ((($B8*$D8)*((1+$B$5)^J$7))*(1/((1+$N$5)^J$7))), 0)), "")</f>
        <v/>
      </c>
      <c r="K8" s="35" t="str">
        <f>IF($A8&lt;&gt;"", (IF('6Inter O&amp;M Entry'!O9="Y", ((($B8*$D8)*((1+$B$5)^K$7))*(1/((1+$N$5)^K$7))), 0)), "")</f>
        <v/>
      </c>
      <c r="L8" s="35" t="str">
        <f>IF($A8&lt;&gt;"", (IF('6Inter O&amp;M Entry'!P9="Y", ((($B8*$D8)*((1+$B$5)^L$7))*(1/((1+$N$5)^L$7))), 0)), "")</f>
        <v/>
      </c>
      <c r="M8" s="35" t="str">
        <f>IF($A8&lt;&gt;"", (IF('6Inter O&amp;M Entry'!Q9="Y", ((($B8*$D8)*((1+$B$5)^M$7))*(1/((1+$N$5)^M$7))), 0)), "")</f>
        <v/>
      </c>
      <c r="N8" s="35" t="str">
        <f>IF($A8&lt;&gt;"", (IF('6Inter O&amp;M Entry'!R9="Y", ((($B8*$D8)*((1+$B$5)^N$7))*(1/((1+$N$5)^N$7))), 0)), "")</f>
        <v/>
      </c>
    </row>
    <row r="9" spans="1:14">
      <c r="A9" s="31" t="str">
        <f>IF('6Inter O&amp;M Entry'!A10&lt;&gt;"", '6Inter O&amp;M Entry'!A10, "")</f>
        <v/>
      </c>
      <c r="B9" s="35" t="str">
        <f>IF('6Inter O&amp;M Entry'!B10&lt;&gt;"", '6Inter O&amp;M Entry'!B10, "")</f>
        <v/>
      </c>
      <c r="C9" s="31" t="str">
        <f>IF('6Inter O&amp;M Entry'!C10&lt;&gt;"", '6Inter O&amp;M Entry'!C10, "")</f>
        <v/>
      </c>
      <c r="D9" s="108" t="str">
        <f>IF('6Inter O&amp;M Entry'!D10&lt;&gt;"", '6Inter O&amp;M Entry'!D10, "")</f>
        <v/>
      </c>
      <c r="E9" s="35" t="str">
        <f>IF($A9&lt;&gt;"", (IF('6Inter O&amp;M Entry'!I10="Y", ((($B9*$D9)*((1+$B$5)^E$7))*(1/((1+$N$5)^E$7))), 0)), "")</f>
        <v/>
      </c>
      <c r="F9" s="35" t="str">
        <f>IF($A9&lt;&gt;"", (IF('6Inter O&amp;M Entry'!J10="Y", ((($B9*$D9)*((1+$B$5)^F$7))*(1/((1+$N$5)^F$7))), 0)), "")</f>
        <v/>
      </c>
      <c r="G9" s="35" t="str">
        <f>IF($A9&lt;&gt;"", (IF('6Inter O&amp;M Entry'!K10="Y", ((($B9*$D9)*((1+$B$5)^G$7))*(1/((1+$N$5)^G$7))), 0)), "")</f>
        <v/>
      </c>
      <c r="H9" s="35" t="str">
        <f>IF($A9&lt;&gt;"", (IF('6Inter O&amp;M Entry'!L10="Y", ((($B9*$D9)*((1+$B$5)^H$7))*(1/((1+$N$5)^H$7))), 0)), "")</f>
        <v/>
      </c>
      <c r="I9" s="35" t="str">
        <f>IF($A9&lt;&gt;"", (IF('6Inter O&amp;M Entry'!M10="Y", ((($B9*$D9)*((1+$B$5)^I$7))*(1/((1+$N$5)^I$7))), 0)), "")</f>
        <v/>
      </c>
      <c r="J9" s="35" t="str">
        <f>IF($A9&lt;&gt;"", (IF('6Inter O&amp;M Entry'!N10="Y", ((($B9*$D9)*((1+$B$5)^J$7))*(1/((1+$N$5)^J$7))), 0)), "")</f>
        <v/>
      </c>
      <c r="K9" s="35" t="str">
        <f>IF($A9&lt;&gt;"", (IF('6Inter O&amp;M Entry'!O10="Y", ((($B9*$D9)*((1+$B$5)^K$7))*(1/((1+$N$5)^K$7))), 0)), "")</f>
        <v/>
      </c>
      <c r="L9" s="35" t="str">
        <f>IF($A9&lt;&gt;"", (IF('6Inter O&amp;M Entry'!P10="Y", ((($B9*$D9)*((1+$B$5)^L$7))*(1/((1+$N$5)^L$7))), 0)), "")</f>
        <v/>
      </c>
      <c r="M9" s="35" t="str">
        <f>IF($A9&lt;&gt;"", (IF('6Inter O&amp;M Entry'!Q10="Y", ((($B9*$D9)*((1+$B$5)^M$7))*(1/((1+$N$5)^M$7))), 0)), "")</f>
        <v/>
      </c>
      <c r="N9" s="35" t="str">
        <f>IF($A9&lt;&gt;"", (IF('6Inter O&amp;M Entry'!R10="Y", ((($B9*$D9)*((1+$B$5)^N$7))*(1/((1+$N$5)^N$7))), 0)), "")</f>
        <v/>
      </c>
    </row>
    <row r="10" spans="1:14">
      <c r="A10" s="31" t="str">
        <f>IF('6Inter O&amp;M Entry'!A11&lt;&gt;"", '6Inter O&amp;M Entry'!A11, "")</f>
        <v/>
      </c>
      <c r="B10" s="35" t="str">
        <f>IF('6Inter O&amp;M Entry'!B11&lt;&gt;"", '6Inter O&amp;M Entry'!B11, "")</f>
        <v/>
      </c>
      <c r="C10" s="31" t="str">
        <f>IF('6Inter O&amp;M Entry'!C11&lt;&gt;"", '6Inter O&amp;M Entry'!C11, "")</f>
        <v/>
      </c>
      <c r="D10" s="108" t="str">
        <f>IF('6Inter O&amp;M Entry'!D11&lt;&gt;"", '6Inter O&amp;M Entry'!D11, "")</f>
        <v/>
      </c>
      <c r="E10" s="35" t="str">
        <f>IF($A10&lt;&gt;"", (IF('6Inter O&amp;M Entry'!I11="Y", ((($B10*$D10)*((1+$B$5)^E$7))*(1/((1+$N$5)^E$7))), 0)), "")</f>
        <v/>
      </c>
      <c r="F10" s="35" t="str">
        <f>IF($A10&lt;&gt;"", (IF('6Inter O&amp;M Entry'!J11="Y", ((($B10*$D10)*((1+$B$5)^F$7))*(1/((1+$N$5)^F$7))), 0)), "")</f>
        <v/>
      </c>
      <c r="G10" s="35" t="str">
        <f>IF($A10&lt;&gt;"", (IF('6Inter O&amp;M Entry'!K11="Y", ((($B10*$D10)*((1+$B$5)^G$7))*(1/((1+$N$5)^G$7))), 0)), "")</f>
        <v/>
      </c>
      <c r="H10" s="35" t="str">
        <f>IF($A10&lt;&gt;"", (IF('6Inter O&amp;M Entry'!L11="Y", ((($B10*$D10)*((1+$B$5)^H$7))*(1/((1+$N$5)^H$7))), 0)), "")</f>
        <v/>
      </c>
      <c r="I10" s="35" t="str">
        <f>IF($A10&lt;&gt;"", (IF('6Inter O&amp;M Entry'!M11="Y", ((($B10*$D10)*((1+$B$5)^I$7))*(1/((1+$N$5)^I$7))), 0)), "")</f>
        <v/>
      </c>
      <c r="J10" s="35" t="str">
        <f>IF($A10&lt;&gt;"", (IF('6Inter O&amp;M Entry'!N11="Y", ((($B10*$D10)*((1+$B$5)^J$7))*(1/((1+$N$5)^J$7))), 0)), "")</f>
        <v/>
      </c>
      <c r="K10" s="35" t="str">
        <f>IF($A10&lt;&gt;"", (IF('6Inter O&amp;M Entry'!O11="Y", ((($B10*$D10)*((1+$B$5)^K$7))*(1/((1+$N$5)^K$7))), 0)), "")</f>
        <v/>
      </c>
      <c r="L10" s="35" t="str">
        <f>IF($A10&lt;&gt;"", (IF('6Inter O&amp;M Entry'!P11="Y", ((($B10*$D10)*((1+$B$5)^L$7))*(1/((1+$N$5)^L$7))), 0)), "")</f>
        <v/>
      </c>
      <c r="M10" s="35" t="str">
        <f>IF($A10&lt;&gt;"", (IF('6Inter O&amp;M Entry'!Q11="Y", ((($B10*$D10)*((1+$B$5)^M$7))*(1/((1+$N$5)^M$7))), 0)), "")</f>
        <v/>
      </c>
      <c r="N10" s="35" t="str">
        <f>IF($A10&lt;&gt;"", (IF('6Inter O&amp;M Entry'!R11="Y", ((($B10*$D10)*((1+$B$5)^N$7))*(1/((1+$N$5)^N$7))), 0)), "")</f>
        <v/>
      </c>
    </row>
    <row r="11" spans="1:14">
      <c r="A11" s="31" t="str">
        <f>IF('6Inter O&amp;M Entry'!A12&lt;&gt;"", '6Inter O&amp;M Entry'!A12, "")</f>
        <v/>
      </c>
      <c r="B11" s="35" t="str">
        <f>IF('6Inter O&amp;M Entry'!B12&lt;&gt;"", '6Inter O&amp;M Entry'!B12, "")</f>
        <v/>
      </c>
      <c r="C11" s="31" t="str">
        <f>IF('6Inter O&amp;M Entry'!C12&lt;&gt;"", '6Inter O&amp;M Entry'!C12, "")</f>
        <v/>
      </c>
      <c r="D11" s="108" t="str">
        <f>IF('6Inter O&amp;M Entry'!D12&lt;&gt;"", '6Inter O&amp;M Entry'!D12, "")</f>
        <v/>
      </c>
      <c r="E11" s="35" t="str">
        <f>IF($A11&lt;&gt;"", (IF('6Inter O&amp;M Entry'!I12="Y", ((($B11*$D11)*((1+$B$5)^E$7))*(1/((1+$N$5)^E$7))), 0)), "")</f>
        <v/>
      </c>
      <c r="F11" s="35" t="str">
        <f>IF($A11&lt;&gt;"", (IF('6Inter O&amp;M Entry'!J12="Y", ((($B11*$D11)*((1+$B$5)^F$7))*(1/((1+$N$5)^F$7))), 0)), "")</f>
        <v/>
      </c>
      <c r="G11" s="35" t="str">
        <f>IF($A11&lt;&gt;"", (IF('6Inter O&amp;M Entry'!K12="Y", ((($B11*$D11)*((1+$B$5)^G$7))*(1/((1+$N$5)^G$7))), 0)), "")</f>
        <v/>
      </c>
      <c r="H11" s="35" t="str">
        <f>IF($A11&lt;&gt;"", (IF('6Inter O&amp;M Entry'!L12="Y", ((($B11*$D11)*((1+$B$5)^H$7))*(1/((1+$N$5)^H$7))), 0)), "")</f>
        <v/>
      </c>
      <c r="I11" s="35" t="str">
        <f>IF($A11&lt;&gt;"", (IF('6Inter O&amp;M Entry'!M12="Y", ((($B11*$D11)*((1+$B$5)^I$7))*(1/((1+$N$5)^I$7))), 0)), "")</f>
        <v/>
      </c>
      <c r="J11" s="35" t="str">
        <f>IF($A11&lt;&gt;"", (IF('6Inter O&amp;M Entry'!N12="Y", ((($B11*$D11)*((1+$B$5)^J$7))*(1/((1+$N$5)^J$7))), 0)), "")</f>
        <v/>
      </c>
      <c r="K11" s="35" t="str">
        <f>IF($A11&lt;&gt;"", (IF('6Inter O&amp;M Entry'!O12="Y", ((($B11*$D11)*((1+$B$5)^K$7))*(1/((1+$N$5)^K$7))), 0)), "")</f>
        <v/>
      </c>
      <c r="L11" s="35" t="str">
        <f>IF($A11&lt;&gt;"", (IF('6Inter O&amp;M Entry'!P12="Y", ((($B11*$D11)*((1+$B$5)^L$7))*(1/((1+$N$5)^L$7))), 0)), "")</f>
        <v/>
      </c>
      <c r="M11" s="35" t="str">
        <f>IF($A11&lt;&gt;"", (IF('6Inter O&amp;M Entry'!Q12="Y", ((($B11*$D11)*((1+$B$5)^M$7))*(1/((1+$N$5)^M$7))), 0)), "")</f>
        <v/>
      </c>
      <c r="N11" s="35" t="str">
        <f>IF($A11&lt;&gt;"", (IF('6Inter O&amp;M Entry'!R12="Y", ((($B11*$D11)*((1+$B$5)^N$7))*(1/((1+$N$5)^N$7))), 0)), "")</f>
        <v/>
      </c>
    </row>
    <row r="12" spans="1:14">
      <c r="A12" s="31" t="str">
        <f>IF('6Inter O&amp;M Entry'!A13&lt;&gt;"", '6Inter O&amp;M Entry'!A13, "")</f>
        <v/>
      </c>
      <c r="B12" s="35" t="str">
        <f>IF('6Inter O&amp;M Entry'!B13&lt;&gt;"", '6Inter O&amp;M Entry'!B13, "")</f>
        <v/>
      </c>
      <c r="C12" s="31" t="str">
        <f>IF('6Inter O&amp;M Entry'!C13&lt;&gt;"", '6Inter O&amp;M Entry'!C13, "")</f>
        <v/>
      </c>
      <c r="D12" s="108" t="str">
        <f>IF('6Inter O&amp;M Entry'!D13&lt;&gt;"", '6Inter O&amp;M Entry'!D13, "")</f>
        <v/>
      </c>
      <c r="E12" s="35" t="str">
        <f>IF($A12&lt;&gt;"", (IF('6Inter O&amp;M Entry'!I13="Y", ((($B12*$D12)*((1+$B$5)^E$7))*(1/((1+$N$5)^E$7))), 0)), "")</f>
        <v/>
      </c>
      <c r="F12" s="35" t="str">
        <f>IF($A12&lt;&gt;"", (IF('6Inter O&amp;M Entry'!J13="Y", ((($B12*$D12)*((1+$B$5)^F$7))*(1/((1+$N$5)^F$7))), 0)), "")</f>
        <v/>
      </c>
      <c r="G12" s="35" t="str">
        <f>IF($A12&lt;&gt;"", (IF('6Inter O&amp;M Entry'!K13="Y", ((($B12*$D12)*((1+$B$5)^G$7))*(1/((1+$N$5)^G$7))), 0)), "")</f>
        <v/>
      </c>
      <c r="H12" s="35" t="str">
        <f>IF($A12&lt;&gt;"", (IF('6Inter O&amp;M Entry'!L13="Y", ((($B12*$D12)*((1+$B$5)^H$7))*(1/((1+$N$5)^H$7))), 0)), "")</f>
        <v/>
      </c>
      <c r="I12" s="35" t="str">
        <f>IF($A12&lt;&gt;"", (IF('6Inter O&amp;M Entry'!M13="Y", ((($B12*$D12)*((1+$B$5)^I$7))*(1/((1+$N$5)^I$7))), 0)), "")</f>
        <v/>
      </c>
      <c r="J12" s="35" t="str">
        <f>IF($A12&lt;&gt;"", (IF('6Inter O&amp;M Entry'!N13="Y", ((($B12*$D12)*((1+$B$5)^J$7))*(1/((1+$N$5)^J$7))), 0)), "")</f>
        <v/>
      </c>
      <c r="K12" s="35" t="str">
        <f>IF($A12&lt;&gt;"", (IF('6Inter O&amp;M Entry'!O13="Y", ((($B12*$D12)*((1+$B$5)^K$7))*(1/((1+$N$5)^K$7))), 0)), "")</f>
        <v/>
      </c>
      <c r="L12" s="35" t="str">
        <f>IF($A12&lt;&gt;"", (IF('6Inter O&amp;M Entry'!P13="Y", ((($B12*$D12)*((1+$B$5)^L$7))*(1/((1+$N$5)^L$7))), 0)), "")</f>
        <v/>
      </c>
      <c r="M12" s="35" t="str">
        <f>IF($A12&lt;&gt;"", (IF('6Inter O&amp;M Entry'!Q13="Y", ((($B12*$D12)*((1+$B$5)^M$7))*(1/((1+$N$5)^M$7))), 0)), "")</f>
        <v/>
      </c>
      <c r="N12" s="35" t="str">
        <f>IF($A12&lt;&gt;"", (IF('6Inter O&amp;M Entry'!R13="Y", ((($B12*$D12)*((1+$B$5)^N$7))*(1/((1+$N$5)^N$7))), 0)), "")</f>
        <v/>
      </c>
    </row>
    <row r="13" spans="1:14">
      <c r="A13" s="31" t="str">
        <f>IF('6Inter O&amp;M Entry'!A14&lt;&gt;"", '6Inter O&amp;M Entry'!A14, "")</f>
        <v/>
      </c>
      <c r="B13" s="35" t="str">
        <f>IF('6Inter O&amp;M Entry'!B14&lt;&gt;"", '6Inter O&amp;M Entry'!B14, "")</f>
        <v/>
      </c>
      <c r="C13" s="31" t="str">
        <f>IF('6Inter O&amp;M Entry'!C14&lt;&gt;"", '6Inter O&amp;M Entry'!C14, "")</f>
        <v/>
      </c>
      <c r="D13" s="108" t="str">
        <f>IF('6Inter O&amp;M Entry'!D14&lt;&gt;"", '6Inter O&amp;M Entry'!D14, "")</f>
        <v/>
      </c>
      <c r="E13" s="35" t="str">
        <f>IF($A13&lt;&gt;"", (IF('6Inter O&amp;M Entry'!I14="Y", ((($B13*$D13)*((1+$B$5)^E$7))*(1/((1+$N$5)^E$7))), 0)), "")</f>
        <v/>
      </c>
      <c r="F13" s="35" t="str">
        <f>IF($A13&lt;&gt;"", (IF('6Inter O&amp;M Entry'!J14="Y", ((($B13*$D13)*((1+$B$5)^F$7))*(1/((1+$N$5)^F$7))), 0)), "")</f>
        <v/>
      </c>
      <c r="G13" s="35" t="str">
        <f>IF($A13&lt;&gt;"", (IF('6Inter O&amp;M Entry'!K14="Y", ((($B13*$D13)*((1+$B$5)^G$7))*(1/((1+$N$5)^G$7))), 0)), "")</f>
        <v/>
      </c>
      <c r="H13" s="35" t="str">
        <f>IF($A13&lt;&gt;"", (IF('6Inter O&amp;M Entry'!L14="Y", ((($B13*$D13)*((1+$B$5)^H$7))*(1/((1+$N$5)^H$7))), 0)), "")</f>
        <v/>
      </c>
      <c r="I13" s="35" t="str">
        <f>IF($A13&lt;&gt;"", (IF('6Inter O&amp;M Entry'!M14="Y", ((($B13*$D13)*((1+$B$5)^I$7))*(1/((1+$N$5)^I$7))), 0)), "")</f>
        <v/>
      </c>
      <c r="J13" s="35" t="str">
        <f>IF($A13&lt;&gt;"", (IF('6Inter O&amp;M Entry'!N14="Y", ((($B13*$D13)*((1+$B$5)^J$7))*(1/((1+$N$5)^J$7))), 0)), "")</f>
        <v/>
      </c>
      <c r="K13" s="35" t="str">
        <f>IF($A13&lt;&gt;"", (IF('6Inter O&amp;M Entry'!O14="Y", ((($B13*$D13)*((1+$B$5)^K$7))*(1/((1+$N$5)^K$7))), 0)), "")</f>
        <v/>
      </c>
      <c r="L13" s="35" t="str">
        <f>IF($A13&lt;&gt;"", (IF('6Inter O&amp;M Entry'!P14="Y", ((($B13*$D13)*((1+$B$5)^L$7))*(1/((1+$N$5)^L$7))), 0)), "")</f>
        <v/>
      </c>
      <c r="M13" s="35" t="str">
        <f>IF($A13&lt;&gt;"", (IF('6Inter O&amp;M Entry'!Q14="Y", ((($B13*$D13)*((1+$B$5)^M$7))*(1/((1+$N$5)^M$7))), 0)), "")</f>
        <v/>
      </c>
      <c r="N13" s="35" t="str">
        <f>IF($A13&lt;&gt;"", (IF('6Inter O&amp;M Entry'!R14="Y", ((($B13*$D13)*((1+$B$5)^N$7))*(1/((1+$N$5)^N$7))), 0)), "")</f>
        <v/>
      </c>
    </row>
    <row r="14" spans="1:14">
      <c r="A14" s="31" t="str">
        <f>IF('6Inter O&amp;M Entry'!A15&lt;&gt;"", '6Inter O&amp;M Entry'!A15, "")</f>
        <v/>
      </c>
      <c r="B14" s="35" t="str">
        <f>IF('6Inter O&amp;M Entry'!B15&lt;&gt;"", '6Inter O&amp;M Entry'!B15, "")</f>
        <v/>
      </c>
      <c r="C14" s="31" t="str">
        <f>IF('6Inter O&amp;M Entry'!C15&lt;&gt;"", '6Inter O&amp;M Entry'!C15, "")</f>
        <v/>
      </c>
      <c r="D14" s="108" t="str">
        <f>IF('6Inter O&amp;M Entry'!D15&lt;&gt;"", '6Inter O&amp;M Entry'!D15, "")</f>
        <v/>
      </c>
      <c r="E14" s="35" t="str">
        <f>IF($A14&lt;&gt;"", (IF('6Inter O&amp;M Entry'!I15="Y", ((($B14*$D14)*((1+$B$5)^E$7))*(1/((1+$N$5)^E$7))), 0)), "")</f>
        <v/>
      </c>
      <c r="F14" s="35" t="str">
        <f>IF($A14&lt;&gt;"", (IF('6Inter O&amp;M Entry'!J15="Y", ((($B14*$D14)*((1+$B$5)^F$7))*(1/((1+$N$5)^F$7))), 0)), "")</f>
        <v/>
      </c>
      <c r="G14" s="35" t="str">
        <f>IF($A14&lt;&gt;"", (IF('6Inter O&amp;M Entry'!K15="Y", ((($B14*$D14)*((1+$B$5)^G$7))*(1/((1+$N$5)^G$7))), 0)), "")</f>
        <v/>
      </c>
      <c r="H14" s="35" t="str">
        <f>IF($A14&lt;&gt;"", (IF('6Inter O&amp;M Entry'!L15="Y", ((($B14*$D14)*((1+$B$5)^H$7))*(1/((1+$N$5)^H$7))), 0)), "")</f>
        <v/>
      </c>
      <c r="I14" s="35" t="str">
        <f>IF($A14&lt;&gt;"", (IF('6Inter O&amp;M Entry'!M15="Y", ((($B14*$D14)*((1+$B$5)^I$7))*(1/((1+$N$5)^I$7))), 0)), "")</f>
        <v/>
      </c>
      <c r="J14" s="35" t="str">
        <f>IF($A14&lt;&gt;"", (IF('6Inter O&amp;M Entry'!N15="Y", ((($B14*$D14)*((1+$B$5)^J$7))*(1/((1+$N$5)^J$7))), 0)), "")</f>
        <v/>
      </c>
      <c r="K14" s="35" t="str">
        <f>IF($A14&lt;&gt;"", (IF('6Inter O&amp;M Entry'!O15="Y", ((($B14*$D14)*((1+$B$5)^K$7))*(1/((1+$N$5)^K$7))), 0)), "")</f>
        <v/>
      </c>
      <c r="L14" s="35" t="str">
        <f>IF($A14&lt;&gt;"", (IF('6Inter O&amp;M Entry'!P15="Y", ((($B14*$D14)*((1+$B$5)^L$7))*(1/((1+$N$5)^L$7))), 0)), "")</f>
        <v/>
      </c>
      <c r="M14" s="35" t="str">
        <f>IF($A14&lt;&gt;"", (IF('6Inter O&amp;M Entry'!Q15="Y", ((($B14*$D14)*((1+$B$5)^M$7))*(1/((1+$N$5)^M$7))), 0)), "")</f>
        <v/>
      </c>
      <c r="N14" s="35" t="str">
        <f>IF($A14&lt;&gt;"", (IF('6Inter O&amp;M Entry'!R15="Y", ((($B14*$D14)*((1+$B$5)^N$7))*(1/((1+$N$5)^N$7))), 0)), "")</f>
        <v/>
      </c>
    </row>
    <row r="15" spans="1:14">
      <c r="A15" s="31" t="str">
        <f>IF('6Inter O&amp;M Entry'!A16&lt;&gt;"", '6Inter O&amp;M Entry'!A16, "")</f>
        <v/>
      </c>
      <c r="B15" s="35" t="str">
        <f>IF('6Inter O&amp;M Entry'!B16&lt;&gt;"", '6Inter O&amp;M Entry'!B16, "")</f>
        <v/>
      </c>
      <c r="C15" s="31" t="str">
        <f>IF('6Inter O&amp;M Entry'!C16&lt;&gt;"", '6Inter O&amp;M Entry'!C16, "")</f>
        <v/>
      </c>
      <c r="D15" s="108" t="str">
        <f>IF('6Inter O&amp;M Entry'!D16&lt;&gt;"", '6Inter O&amp;M Entry'!D16, "")</f>
        <v/>
      </c>
      <c r="E15" s="35" t="str">
        <f>IF($A15&lt;&gt;"", (IF('6Inter O&amp;M Entry'!I16="Y", ((($B15*$D15)*((1+$B$5)^E$7))*(1/((1+$N$5)^E$7))), 0)), "")</f>
        <v/>
      </c>
      <c r="F15" s="35" t="str">
        <f>IF($A15&lt;&gt;"", (IF('6Inter O&amp;M Entry'!J16="Y", ((($B15*$D15)*((1+$B$5)^F$7))*(1/((1+$N$5)^F$7))), 0)), "")</f>
        <v/>
      </c>
      <c r="G15" s="35" t="str">
        <f>IF($A15&lt;&gt;"", (IF('6Inter O&amp;M Entry'!K16="Y", ((($B15*$D15)*((1+$B$5)^G$7))*(1/((1+$N$5)^G$7))), 0)), "")</f>
        <v/>
      </c>
      <c r="H15" s="35" t="str">
        <f>IF($A15&lt;&gt;"", (IF('6Inter O&amp;M Entry'!L16="Y", ((($B15*$D15)*((1+$B$5)^H$7))*(1/((1+$N$5)^H$7))), 0)), "")</f>
        <v/>
      </c>
      <c r="I15" s="35" t="str">
        <f>IF($A15&lt;&gt;"", (IF('6Inter O&amp;M Entry'!M16="Y", ((($B15*$D15)*((1+$B$5)^I$7))*(1/((1+$N$5)^I$7))), 0)), "")</f>
        <v/>
      </c>
      <c r="J15" s="35" t="str">
        <f>IF($A15&lt;&gt;"", (IF('6Inter O&amp;M Entry'!N16="Y", ((($B15*$D15)*((1+$B$5)^J$7))*(1/((1+$N$5)^J$7))), 0)), "")</f>
        <v/>
      </c>
      <c r="K15" s="35" t="str">
        <f>IF($A15&lt;&gt;"", (IF('6Inter O&amp;M Entry'!O16="Y", ((($B15*$D15)*((1+$B$5)^K$7))*(1/((1+$N$5)^K$7))), 0)), "")</f>
        <v/>
      </c>
      <c r="L15" s="35" t="str">
        <f>IF($A15&lt;&gt;"", (IF('6Inter O&amp;M Entry'!P16="Y", ((($B15*$D15)*((1+$B$5)^L$7))*(1/((1+$N$5)^L$7))), 0)), "")</f>
        <v/>
      </c>
      <c r="M15" s="35" t="str">
        <f>IF($A15&lt;&gt;"", (IF('6Inter O&amp;M Entry'!Q16="Y", ((($B15*$D15)*((1+$B$5)^M$7))*(1/((1+$N$5)^M$7))), 0)), "")</f>
        <v/>
      </c>
      <c r="N15" s="35" t="str">
        <f>IF($A15&lt;&gt;"", (IF('6Inter O&amp;M Entry'!R16="Y", ((($B15*$D15)*((1+$B$5)^N$7))*(1/((1+$N$5)^N$7))), 0)), "")</f>
        <v/>
      </c>
    </row>
    <row r="16" spans="1:14">
      <c r="A16" s="31" t="str">
        <f>IF('6Inter O&amp;M Entry'!A17&lt;&gt;"", '6Inter O&amp;M Entry'!A17, "")</f>
        <v/>
      </c>
      <c r="B16" s="35" t="str">
        <f>IF('6Inter O&amp;M Entry'!B17&lt;&gt;"", '6Inter O&amp;M Entry'!B17, "")</f>
        <v/>
      </c>
      <c r="C16" s="31" t="str">
        <f>IF('6Inter O&amp;M Entry'!C17&lt;&gt;"", '6Inter O&amp;M Entry'!C17, "")</f>
        <v/>
      </c>
      <c r="D16" s="108" t="str">
        <f>IF('6Inter O&amp;M Entry'!D17&lt;&gt;"", '6Inter O&amp;M Entry'!D17, "")</f>
        <v/>
      </c>
      <c r="E16" s="35" t="str">
        <f>IF($A16&lt;&gt;"", (IF('6Inter O&amp;M Entry'!I17="Y", ((($B16*$D16)*((1+$B$5)^E$7))*(1/((1+$N$5)^E$7))), 0)), "")</f>
        <v/>
      </c>
      <c r="F16" s="35" t="str">
        <f>IF($A16&lt;&gt;"", (IF('6Inter O&amp;M Entry'!J17="Y", ((($B16*$D16)*((1+$B$5)^F$7))*(1/((1+$N$5)^F$7))), 0)), "")</f>
        <v/>
      </c>
      <c r="G16" s="35" t="str">
        <f>IF($A16&lt;&gt;"", (IF('6Inter O&amp;M Entry'!K17="Y", ((($B16*$D16)*((1+$B$5)^G$7))*(1/((1+$N$5)^G$7))), 0)), "")</f>
        <v/>
      </c>
      <c r="H16" s="35" t="str">
        <f>IF($A16&lt;&gt;"", (IF('6Inter O&amp;M Entry'!L17="Y", ((($B16*$D16)*((1+$B$5)^H$7))*(1/((1+$N$5)^H$7))), 0)), "")</f>
        <v/>
      </c>
      <c r="I16" s="35" t="str">
        <f>IF($A16&lt;&gt;"", (IF('6Inter O&amp;M Entry'!M17="Y", ((($B16*$D16)*((1+$B$5)^I$7))*(1/((1+$N$5)^I$7))), 0)), "")</f>
        <v/>
      </c>
      <c r="J16" s="35" t="str">
        <f>IF($A16&lt;&gt;"", (IF('6Inter O&amp;M Entry'!N17="Y", ((($B16*$D16)*((1+$B$5)^J$7))*(1/((1+$N$5)^J$7))), 0)), "")</f>
        <v/>
      </c>
      <c r="K16" s="35" t="str">
        <f>IF($A16&lt;&gt;"", (IF('6Inter O&amp;M Entry'!O17="Y", ((($B16*$D16)*((1+$B$5)^K$7))*(1/((1+$N$5)^K$7))), 0)), "")</f>
        <v/>
      </c>
      <c r="L16" s="35" t="str">
        <f>IF($A16&lt;&gt;"", (IF('6Inter O&amp;M Entry'!P17="Y", ((($B16*$D16)*((1+$B$5)^L$7))*(1/((1+$N$5)^L$7))), 0)), "")</f>
        <v/>
      </c>
      <c r="M16" s="35" t="str">
        <f>IF($A16&lt;&gt;"", (IF('6Inter O&amp;M Entry'!Q17="Y", ((($B16*$D16)*((1+$B$5)^M$7))*(1/((1+$N$5)^M$7))), 0)), "")</f>
        <v/>
      </c>
      <c r="N16" s="35" t="str">
        <f>IF($A16&lt;&gt;"", (IF('6Inter O&amp;M Entry'!R17="Y", ((($B16*$D16)*((1+$B$5)^N$7))*(1/((1+$N$5)^N$7))), 0)), "")</f>
        <v/>
      </c>
    </row>
    <row r="17" spans="1:14">
      <c r="A17" s="31" t="str">
        <f>IF('6Inter O&amp;M Entry'!A18&lt;&gt;"", '6Inter O&amp;M Entry'!A18, "")</f>
        <v/>
      </c>
      <c r="B17" s="35" t="str">
        <f>IF('6Inter O&amp;M Entry'!B18&lt;&gt;"", '6Inter O&amp;M Entry'!B18, "")</f>
        <v/>
      </c>
      <c r="C17" s="31" t="str">
        <f>IF('6Inter O&amp;M Entry'!C18&lt;&gt;"", '6Inter O&amp;M Entry'!C18, "")</f>
        <v/>
      </c>
      <c r="D17" s="108" t="str">
        <f>IF('6Inter O&amp;M Entry'!D18&lt;&gt;"", '6Inter O&amp;M Entry'!D18, "")</f>
        <v/>
      </c>
      <c r="E17" s="35" t="str">
        <f>IF($A17&lt;&gt;"", (IF('6Inter O&amp;M Entry'!I18="Y", ((($B17*$D17)*((1+$B$5)^E$7))*(1/((1+$N$5)^E$7))), 0)), "")</f>
        <v/>
      </c>
      <c r="F17" s="35" t="str">
        <f>IF($A17&lt;&gt;"", (IF('6Inter O&amp;M Entry'!J18="Y", ((($B17*$D17)*((1+$B$5)^F$7))*(1/((1+$N$5)^F$7))), 0)), "")</f>
        <v/>
      </c>
      <c r="G17" s="35" t="str">
        <f>IF($A17&lt;&gt;"", (IF('6Inter O&amp;M Entry'!K18="Y", ((($B17*$D17)*((1+$B$5)^G$7))*(1/((1+$N$5)^G$7))), 0)), "")</f>
        <v/>
      </c>
      <c r="H17" s="35" t="str">
        <f>IF($A17&lt;&gt;"", (IF('6Inter O&amp;M Entry'!L18="Y", ((($B17*$D17)*((1+$B$5)^H$7))*(1/((1+$N$5)^H$7))), 0)), "")</f>
        <v/>
      </c>
      <c r="I17" s="35" t="str">
        <f>IF($A17&lt;&gt;"", (IF('6Inter O&amp;M Entry'!M18="Y", ((($B17*$D17)*((1+$B$5)^I$7))*(1/((1+$N$5)^I$7))), 0)), "")</f>
        <v/>
      </c>
      <c r="J17" s="35" t="str">
        <f>IF($A17&lt;&gt;"", (IF('6Inter O&amp;M Entry'!N18="Y", ((($B17*$D17)*((1+$B$5)^J$7))*(1/((1+$N$5)^J$7))), 0)), "")</f>
        <v/>
      </c>
      <c r="K17" s="35" t="str">
        <f>IF($A17&lt;&gt;"", (IF('6Inter O&amp;M Entry'!O18="Y", ((($B17*$D17)*((1+$B$5)^K$7))*(1/((1+$N$5)^K$7))), 0)), "")</f>
        <v/>
      </c>
      <c r="L17" s="35" t="str">
        <f>IF($A17&lt;&gt;"", (IF('6Inter O&amp;M Entry'!P18="Y", ((($B17*$D17)*((1+$B$5)^L$7))*(1/((1+$N$5)^L$7))), 0)), "")</f>
        <v/>
      </c>
      <c r="M17" s="35" t="str">
        <f>IF($A17&lt;&gt;"", (IF('6Inter O&amp;M Entry'!Q18="Y", ((($B17*$D17)*((1+$B$5)^M$7))*(1/((1+$N$5)^M$7))), 0)), "")</f>
        <v/>
      </c>
      <c r="N17" s="35" t="str">
        <f>IF($A17&lt;&gt;"", (IF('6Inter O&amp;M Entry'!R18="Y", ((($B17*$D17)*((1+$B$5)^N$7))*(1/((1+$N$5)^N$7))), 0)), "")</f>
        <v/>
      </c>
    </row>
    <row r="18" spans="1:14">
      <c r="A18" s="31" t="str">
        <f>IF('6Inter O&amp;M Entry'!A19&lt;&gt;"", '6Inter O&amp;M Entry'!A19, "")</f>
        <v/>
      </c>
      <c r="B18" s="35" t="str">
        <f>IF('6Inter O&amp;M Entry'!B19&lt;&gt;"", '6Inter O&amp;M Entry'!B19, "")</f>
        <v/>
      </c>
      <c r="C18" s="31" t="str">
        <f>IF('6Inter O&amp;M Entry'!C19&lt;&gt;"", '6Inter O&amp;M Entry'!C19, "")</f>
        <v/>
      </c>
      <c r="D18" s="108" t="str">
        <f>IF('6Inter O&amp;M Entry'!D19&lt;&gt;"", '6Inter O&amp;M Entry'!D19, "")</f>
        <v/>
      </c>
      <c r="E18" s="35" t="str">
        <f>IF($A18&lt;&gt;"", (IF('6Inter O&amp;M Entry'!I19="Y", ((($B18*$D18)*((1+$B$5)^E$7))*(1/((1+$N$5)^E$7))), 0)), "")</f>
        <v/>
      </c>
      <c r="F18" s="35" t="str">
        <f>IF($A18&lt;&gt;"", (IF('6Inter O&amp;M Entry'!J19="Y", ((($B18*$D18)*((1+$B$5)^F$7))*(1/((1+$N$5)^F$7))), 0)), "")</f>
        <v/>
      </c>
      <c r="G18" s="35" t="str">
        <f>IF($A18&lt;&gt;"", (IF('6Inter O&amp;M Entry'!K19="Y", ((($B18*$D18)*((1+$B$5)^G$7))*(1/((1+$N$5)^G$7))), 0)), "")</f>
        <v/>
      </c>
      <c r="H18" s="35" t="str">
        <f>IF($A18&lt;&gt;"", (IF('6Inter O&amp;M Entry'!L19="Y", ((($B18*$D18)*((1+$B$5)^H$7))*(1/((1+$N$5)^H$7))), 0)), "")</f>
        <v/>
      </c>
      <c r="I18" s="35" t="str">
        <f>IF($A18&lt;&gt;"", (IF('6Inter O&amp;M Entry'!M19="Y", ((($B18*$D18)*((1+$B$5)^I$7))*(1/((1+$N$5)^I$7))), 0)), "")</f>
        <v/>
      </c>
      <c r="J18" s="35" t="str">
        <f>IF($A18&lt;&gt;"", (IF('6Inter O&amp;M Entry'!N19="Y", ((($B18*$D18)*((1+$B$5)^J$7))*(1/((1+$N$5)^J$7))), 0)), "")</f>
        <v/>
      </c>
      <c r="K18" s="35" t="str">
        <f>IF($A18&lt;&gt;"", (IF('6Inter O&amp;M Entry'!O19="Y", ((($B18*$D18)*((1+$B$5)^K$7))*(1/((1+$N$5)^K$7))), 0)), "")</f>
        <v/>
      </c>
      <c r="L18" s="35" t="str">
        <f>IF($A18&lt;&gt;"", (IF('6Inter O&amp;M Entry'!P19="Y", ((($B18*$D18)*((1+$B$5)^L$7))*(1/((1+$N$5)^L$7))), 0)), "")</f>
        <v/>
      </c>
      <c r="M18" s="35" t="str">
        <f>IF($A18&lt;&gt;"", (IF('6Inter O&amp;M Entry'!Q19="Y", ((($B18*$D18)*((1+$B$5)^M$7))*(1/((1+$N$5)^M$7))), 0)), "")</f>
        <v/>
      </c>
      <c r="N18" s="35" t="str">
        <f>IF($A18&lt;&gt;"", (IF('6Inter O&amp;M Entry'!R19="Y", ((($B18*$D18)*((1+$B$5)^N$7))*(1/((1+$N$5)^N$7))), 0)), "")</f>
        <v/>
      </c>
    </row>
    <row r="19" spans="1:14">
      <c r="A19" s="31" t="str">
        <f>IF('6Inter O&amp;M Entry'!A20&lt;&gt;"", '6Inter O&amp;M Entry'!A20, "")</f>
        <v/>
      </c>
      <c r="B19" s="35" t="str">
        <f>IF('6Inter O&amp;M Entry'!B20&lt;&gt;"", '6Inter O&amp;M Entry'!B20, "")</f>
        <v/>
      </c>
      <c r="C19" s="31" t="str">
        <f>IF('6Inter O&amp;M Entry'!C20&lt;&gt;"", '6Inter O&amp;M Entry'!C20, "")</f>
        <v/>
      </c>
      <c r="D19" s="108" t="str">
        <f>IF('6Inter O&amp;M Entry'!D20&lt;&gt;"", '6Inter O&amp;M Entry'!D20, "")</f>
        <v/>
      </c>
      <c r="E19" s="35" t="str">
        <f>IF($A19&lt;&gt;"", (IF('6Inter O&amp;M Entry'!I20="Y", ((($B19*$D19)*((1+$B$5)^E$7))*(1/((1+$N$5)^E$7))), 0)), "")</f>
        <v/>
      </c>
      <c r="F19" s="35" t="str">
        <f>IF($A19&lt;&gt;"", (IF('6Inter O&amp;M Entry'!J20="Y", ((($B19*$D19)*((1+$B$5)^F$7))*(1/((1+$N$5)^F$7))), 0)), "")</f>
        <v/>
      </c>
      <c r="G19" s="35" t="str">
        <f>IF($A19&lt;&gt;"", (IF('6Inter O&amp;M Entry'!K20="Y", ((($B19*$D19)*((1+$B$5)^G$7))*(1/((1+$N$5)^G$7))), 0)), "")</f>
        <v/>
      </c>
      <c r="H19" s="35" t="str">
        <f>IF($A19&lt;&gt;"", (IF('6Inter O&amp;M Entry'!L20="Y", ((($B19*$D19)*((1+$B$5)^H$7))*(1/((1+$N$5)^H$7))), 0)), "")</f>
        <v/>
      </c>
      <c r="I19" s="35" t="str">
        <f>IF($A19&lt;&gt;"", (IF('6Inter O&amp;M Entry'!M20="Y", ((($B19*$D19)*((1+$B$5)^I$7))*(1/((1+$N$5)^I$7))), 0)), "")</f>
        <v/>
      </c>
      <c r="J19" s="35" t="str">
        <f>IF($A19&lt;&gt;"", (IF('6Inter O&amp;M Entry'!N20="Y", ((($B19*$D19)*((1+$B$5)^J$7))*(1/((1+$N$5)^J$7))), 0)), "")</f>
        <v/>
      </c>
      <c r="K19" s="35" t="str">
        <f>IF($A19&lt;&gt;"", (IF('6Inter O&amp;M Entry'!O20="Y", ((($B19*$D19)*((1+$B$5)^K$7))*(1/((1+$N$5)^K$7))), 0)), "")</f>
        <v/>
      </c>
      <c r="L19" s="35" t="str">
        <f>IF($A19&lt;&gt;"", (IF('6Inter O&amp;M Entry'!P20="Y", ((($B19*$D19)*((1+$B$5)^L$7))*(1/((1+$N$5)^L$7))), 0)), "")</f>
        <v/>
      </c>
      <c r="M19" s="35" t="str">
        <f>IF($A19&lt;&gt;"", (IF('6Inter O&amp;M Entry'!Q20="Y", ((($B19*$D19)*((1+$B$5)^M$7))*(1/((1+$N$5)^M$7))), 0)), "")</f>
        <v/>
      </c>
      <c r="N19" s="35" t="str">
        <f>IF($A19&lt;&gt;"", (IF('6Inter O&amp;M Entry'!R20="Y", ((($B19*$D19)*((1+$B$5)^N$7))*(1/((1+$N$5)^N$7))), 0)), "")</f>
        <v/>
      </c>
    </row>
    <row r="20" spans="1:14">
      <c r="D20" s="2" t="s">
        <v>73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N21"/>
  <sheetViews>
    <sheetView zoomScale="90" zoomScaleNormal="90" workbookViewId="0">
      <selection activeCell="A2" sqref="A2:N2"/>
    </sheetView>
  </sheetViews>
  <sheetFormatPr defaultRowHeight="15.75"/>
  <cols>
    <col min="1" max="1" width="54.7109375" style="1" customWidth="1"/>
    <col min="2" max="4" width="12.7109375" style="1" customWidth="1"/>
    <col min="5" max="16384" width="9.140625" style="1"/>
  </cols>
  <sheetData>
    <row r="1" spans="1:14">
      <c r="A1" s="137" t="s">
        <v>191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</row>
    <row r="2" spans="1:14">
      <c r="A2" s="140">
        <f>Input!B4</f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2"/>
    </row>
    <row r="3" spans="1:14">
      <c r="A3" s="140">
        <f>Input!B5</f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>
      <c r="A4" s="155">
        <f>'6Capital Costs'!B6</f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1:14">
      <c r="A5" s="74" t="str">
        <f>'6Inter O&amp;M 1-10'!A5</f>
        <v>Current Inflation Rate Based on Municipal Cost Index:</v>
      </c>
      <c r="B5" s="105">
        <f>'Yearly O&amp;M Costs 11-20'!B5</f>
        <v>2.7598896044158234E-2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96" t="s">
        <v>43</v>
      </c>
      <c r="N5" s="106">
        <f>'Yearly O&amp;M Costs 11-20'!N5</f>
        <v>4.8750000000000002E-2</v>
      </c>
    </row>
    <row r="6" spans="1:14">
      <c r="A6" s="32"/>
      <c r="B6" s="32"/>
      <c r="C6" s="32"/>
      <c r="D6" s="32"/>
      <c r="E6" s="151" t="s">
        <v>53</v>
      </c>
      <c r="F6" s="147"/>
      <c r="G6" s="147"/>
      <c r="H6" s="147"/>
      <c r="I6" s="147"/>
      <c r="J6" s="147"/>
      <c r="K6" s="147"/>
      <c r="L6" s="147"/>
      <c r="M6" s="147"/>
      <c r="N6" s="148"/>
    </row>
    <row r="7" spans="1:14">
      <c r="A7" s="107" t="s">
        <v>4</v>
      </c>
      <c r="B7" s="107" t="s">
        <v>0</v>
      </c>
      <c r="C7" s="107" t="s">
        <v>5</v>
      </c>
      <c r="D7" s="107" t="s">
        <v>1</v>
      </c>
      <c r="E7" s="12">
        <v>11</v>
      </c>
      <c r="F7" s="12">
        <v>12</v>
      </c>
      <c r="G7" s="12">
        <v>13</v>
      </c>
      <c r="H7" s="12">
        <v>14</v>
      </c>
      <c r="I7" s="12">
        <v>15</v>
      </c>
      <c r="J7" s="12">
        <v>16</v>
      </c>
      <c r="K7" s="12">
        <v>17</v>
      </c>
      <c r="L7" s="12">
        <v>18</v>
      </c>
      <c r="M7" s="12">
        <v>19</v>
      </c>
      <c r="N7" s="12">
        <v>20</v>
      </c>
    </row>
    <row r="8" spans="1:14">
      <c r="A8" s="31" t="str">
        <f>IF('6Inter O&amp;M Entry'!A9&lt;&gt;"", '6Inter O&amp;M Entry'!A9, "")</f>
        <v/>
      </c>
      <c r="B8" s="35" t="str">
        <f>IF('6Inter O&amp;M Entry'!B9&lt;&gt;"", '6Inter O&amp;M Entry'!B9, "")</f>
        <v/>
      </c>
      <c r="C8" s="31" t="str">
        <f>IF('6Inter O&amp;M Entry'!C9&lt;&gt;"", '6Inter O&amp;M Entry'!C9, "")</f>
        <v/>
      </c>
      <c r="D8" s="108" t="str">
        <f>IF('6Inter O&amp;M Entry'!D9&lt;&gt;"", '6Inter O&amp;M Entry'!D9, "")</f>
        <v/>
      </c>
      <c r="E8" s="35" t="str">
        <f>IF(A8&lt;&gt;"", (IF('6Inter O&amp;M Entry'!I9="Y", ((($B8*$D8)*((1+$B$5)^E$7))*(1/((1+$N$5)^E$7))), 0)), "")</f>
        <v/>
      </c>
      <c r="F8" s="35" t="str">
        <f>IF(B8&lt;&gt;"", (IF('6Inter O&amp;M Entry'!J9="Y", ((($B8*$D8)*((1+$B$5)^F$7))*(1/((1+$N$5)^F$7))), 0)), "")</f>
        <v/>
      </c>
      <c r="G8" s="35" t="str">
        <f>IF(C8&lt;&gt;"", (IF('6Inter O&amp;M Entry'!K9="Y", ((($B8*$D8)*((1+$B$5)^G$7))*(1/((1+$N$5)^G$7))), 0)), "")</f>
        <v/>
      </c>
      <c r="H8" s="35" t="str">
        <f>IF(D8&lt;&gt;"", (IF('6Inter O&amp;M Entry'!L9="Y", ((($B8*$D8)*((1+$B$5)^H$7))*(1/((1+$N$5)^H$7))), 0)), "")</f>
        <v/>
      </c>
      <c r="I8" s="35" t="str">
        <f>IF(E8&lt;&gt;"", (IF('6Inter O&amp;M Entry'!M9="Y", ((($B8*$D8)*((1+$B$5)^I$7))*(1/((1+$N$5)^I$7))), 0)), "")</f>
        <v/>
      </c>
      <c r="J8" s="35" t="str">
        <f>IF(F8&lt;&gt;"", (IF('6Inter O&amp;M Entry'!N9="Y", ((($B8*$D8)*((1+$B$5)^J$7))*(1/((1+$N$5)^J$7))), 0)), "")</f>
        <v/>
      </c>
      <c r="K8" s="35" t="str">
        <f>IF(G8&lt;&gt;"", (IF('6Inter O&amp;M Entry'!O9="Y", ((($B8*$D8)*((1+$B$5)^K$7))*(1/((1+$N$5)^K$7))), 0)), "")</f>
        <v/>
      </c>
      <c r="L8" s="35" t="str">
        <f>IF(H8&lt;&gt;"", (IF('6Inter O&amp;M Entry'!P9="Y", ((($B8*$D8)*((1+$B$5)^L$7))*(1/((1+$N$5)^L$7))), 0)), "")</f>
        <v/>
      </c>
      <c r="M8" s="35" t="str">
        <f>IF(I8&lt;&gt;"", (IF('6Inter O&amp;M Entry'!Q9="Y", ((($B8*$D8)*((1+$B$5)^M$7))*(1/((1+$N$5)^M$7))), 0)), "")</f>
        <v/>
      </c>
      <c r="N8" s="35" t="str">
        <f>IF(J8&lt;&gt;"", (IF('6Inter O&amp;M Entry'!R9="Y", ((($B8*$D8)*((1+$B$5)^N$7))*(1/((1+$N$5)^N$7))), 0)), "")</f>
        <v/>
      </c>
    </row>
    <row r="9" spans="1:14">
      <c r="A9" s="31" t="str">
        <f>IF('6Inter O&amp;M Entry'!A10&lt;&gt;"", '6Inter O&amp;M Entry'!A10, "")</f>
        <v/>
      </c>
      <c r="B9" s="35" t="str">
        <f>IF('6Inter O&amp;M Entry'!B10&lt;&gt;"", '6Inter O&amp;M Entry'!B10, "")</f>
        <v/>
      </c>
      <c r="C9" s="31" t="str">
        <f>IF('6Inter O&amp;M Entry'!C10&lt;&gt;"", '6Inter O&amp;M Entry'!C10, "")</f>
        <v/>
      </c>
      <c r="D9" s="108" t="str">
        <f>IF('6Inter O&amp;M Entry'!D10&lt;&gt;"", '6Inter O&amp;M Entry'!D10, "")</f>
        <v/>
      </c>
      <c r="E9" s="35" t="str">
        <f>IF(A9&lt;&gt;"", (IF('6Inter O&amp;M Entry'!I10="Y", ((($B9*$D9)*((1+$B$5)^E$7))*(1/((1+$N$5)^E$7))), 0)), "")</f>
        <v/>
      </c>
      <c r="F9" s="35" t="str">
        <f>IF(B9&lt;&gt;"", (IF('6Inter O&amp;M Entry'!J10="Y", ((($B9*$D9)*((1+$B$5)^F$7))*(1/((1+$N$5)^F$7))), 0)), "")</f>
        <v/>
      </c>
      <c r="G9" s="35" t="str">
        <f>IF(C9&lt;&gt;"", (IF('6Inter O&amp;M Entry'!K10="Y", ((($B9*$D9)*((1+$B$5)^G$7))*(1/((1+$N$5)^G$7))), 0)), "")</f>
        <v/>
      </c>
      <c r="H9" s="35" t="str">
        <f>IF(D9&lt;&gt;"", (IF('6Inter O&amp;M Entry'!L10="Y", ((($B9*$D9)*((1+$B$5)^H$7))*(1/((1+$N$5)^H$7))), 0)), "")</f>
        <v/>
      </c>
      <c r="I9" s="35" t="str">
        <f>IF(E9&lt;&gt;"", (IF('6Inter O&amp;M Entry'!M10="Y", ((($B9*$D9)*((1+$B$5)^I$7))*(1/((1+$N$5)^I$7))), 0)), "")</f>
        <v/>
      </c>
      <c r="J9" s="35" t="str">
        <f>IF(F9&lt;&gt;"", (IF('6Inter O&amp;M Entry'!N10="Y", ((($B9*$D9)*((1+$B$5)^J$7))*(1/((1+$N$5)^J$7))), 0)), "")</f>
        <v/>
      </c>
      <c r="K9" s="35" t="str">
        <f>IF(G9&lt;&gt;"", (IF('6Inter O&amp;M Entry'!O10="Y", ((($B9*$D9)*((1+$B$5)^K$7))*(1/((1+$N$5)^K$7))), 0)), "")</f>
        <v/>
      </c>
      <c r="L9" s="35" t="str">
        <f>IF(H9&lt;&gt;"", (IF('6Inter O&amp;M Entry'!P10="Y", ((($B9*$D9)*((1+$B$5)^L$7))*(1/((1+$N$5)^L$7))), 0)), "")</f>
        <v/>
      </c>
      <c r="M9" s="35" t="str">
        <f>IF(I9&lt;&gt;"", (IF('6Inter O&amp;M Entry'!Q10="Y", ((($B9*$D9)*((1+$B$5)^M$7))*(1/((1+$N$5)^M$7))), 0)), "")</f>
        <v/>
      </c>
      <c r="N9" s="35" t="str">
        <f>IF(J9&lt;&gt;"", (IF('6Inter O&amp;M Entry'!R10="Y", ((($B9*$D9)*((1+$B$5)^N$7))*(1/((1+$N$5)^N$7))), 0)), "")</f>
        <v/>
      </c>
    </row>
    <row r="10" spans="1:14">
      <c r="A10" s="31" t="str">
        <f>IF('6Inter O&amp;M Entry'!A11&lt;&gt;"", '6Inter O&amp;M Entry'!A11, "")</f>
        <v/>
      </c>
      <c r="B10" s="35" t="str">
        <f>IF('6Inter O&amp;M Entry'!B11&lt;&gt;"", '6Inter O&amp;M Entry'!B11, "")</f>
        <v/>
      </c>
      <c r="C10" s="31" t="str">
        <f>IF('6Inter O&amp;M Entry'!C11&lt;&gt;"", '6Inter O&amp;M Entry'!C11, "")</f>
        <v/>
      </c>
      <c r="D10" s="108" t="str">
        <f>IF('6Inter O&amp;M Entry'!D11&lt;&gt;"", '6Inter O&amp;M Entry'!D11, "")</f>
        <v/>
      </c>
      <c r="E10" s="35" t="str">
        <f>IF(A10&lt;&gt;"", (IF('6Inter O&amp;M Entry'!I11="Y", ((($B10*$D10)*((1+$B$5)^E$7))*(1/((1+$N$5)^E$7))), 0)), "")</f>
        <v/>
      </c>
      <c r="F10" s="35" t="str">
        <f>IF(B10&lt;&gt;"", (IF('6Inter O&amp;M Entry'!J11="Y", ((($B10*$D10)*((1+$B$5)^F$7))*(1/((1+$N$5)^F$7))), 0)), "")</f>
        <v/>
      </c>
      <c r="G10" s="35" t="str">
        <f>IF(C10&lt;&gt;"", (IF('6Inter O&amp;M Entry'!K11="Y", ((($B10*$D10)*((1+$B$5)^G$7))*(1/((1+$N$5)^G$7))), 0)), "")</f>
        <v/>
      </c>
      <c r="H10" s="35" t="str">
        <f>IF(D10&lt;&gt;"", (IF('6Inter O&amp;M Entry'!L11="Y", ((($B10*$D10)*((1+$B$5)^H$7))*(1/((1+$N$5)^H$7))), 0)), "")</f>
        <v/>
      </c>
      <c r="I10" s="35" t="str">
        <f>IF(E10&lt;&gt;"", (IF('6Inter O&amp;M Entry'!M11="Y", ((($B10*$D10)*((1+$B$5)^I$7))*(1/((1+$N$5)^I$7))), 0)), "")</f>
        <v/>
      </c>
      <c r="J10" s="35" t="str">
        <f>IF(F10&lt;&gt;"", (IF('6Inter O&amp;M Entry'!N11="Y", ((($B10*$D10)*((1+$B$5)^J$7))*(1/((1+$N$5)^J$7))), 0)), "")</f>
        <v/>
      </c>
      <c r="K10" s="35" t="str">
        <f>IF(G10&lt;&gt;"", (IF('6Inter O&amp;M Entry'!O11="Y", ((($B10*$D10)*((1+$B$5)^K$7))*(1/((1+$N$5)^K$7))), 0)), "")</f>
        <v/>
      </c>
      <c r="L10" s="35" t="str">
        <f>IF(H10&lt;&gt;"", (IF('6Inter O&amp;M Entry'!P11="Y", ((($B10*$D10)*((1+$B$5)^L$7))*(1/((1+$N$5)^L$7))), 0)), "")</f>
        <v/>
      </c>
      <c r="M10" s="35" t="str">
        <f>IF(I10&lt;&gt;"", (IF('6Inter O&amp;M Entry'!Q11="Y", ((($B10*$D10)*((1+$B$5)^M$7))*(1/((1+$N$5)^M$7))), 0)), "")</f>
        <v/>
      </c>
      <c r="N10" s="35" t="str">
        <f>IF(J10&lt;&gt;"", (IF('6Inter O&amp;M Entry'!R11="Y", ((($B10*$D10)*((1+$B$5)^N$7))*(1/((1+$N$5)^N$7))), 0)), "")</f>
        <v/>
      </c>
    </row>
    <row r="11" spans="1:14">
      <c r="A11" s="31" t="str">
        <f>IF('6Inter O&amp;M Entry'!A12&lt;&gt;"", '6Inter O&amp;M Entry'!A12, "")</f>
        <v/>
      </c>
      <c r="B11" s="35" t="str">
        <f>IF('6Inter O&amp;M Entry'!B12&lt;&gt;"", '6Inter O&amp;M Entry'!B12, "")</f>
        <v/>
      </c>
      <c r="C11" s="31" t="str">
        <f>IF('6Inter O&amp;M Entry'!C12&lt;&gt;"", '6Inter O&amp;M Entry'!C12, "")</f>
        <v/>
      </c>
      <c r="D11" s="108" t="str">
        <f>IF('6Inter O&amp;M Entry'!D12&lt;&gt;"", '6Inter O&amp;M Entry'!D12, "")</f>
        <v/>
      </c>
      <c r="E11" s="35" t="str">
        <f>IF(A11&lt;&gt;"", (IF('6Inter O&amp;M Entry'!I12="Y", ((($B11*$D11)*((1+$B$5)^E$7))*(1/((1+$N$5)^E$7))), 0)), "")</f>
        <v/>
      </c>
      <c r="F11" s="35" t="str">
        <f>IF(B11&lt;&gt;"", (IF('6Inter O&amp;M Entry'!J12="Y", ((($B11*$D11)*((1+$B$5)^F$7))*(1/((1+$N$5)^F$7))), 0)), "")</f>
        <v/>
      </c>
      <c r="G11" s="35" t="str">
        <f>IF(C11&lt;&gt;"", (IF('6Inter O&amp;M Entry'!K12="Y", ((($B11*$D11)*((1+$B$5)^G$7))*(1/((1+$N$5)^G$7))), 0)), "")</f>
        <v/>
      </c>
      <c r="H11" s="35" t="str">
        <f>IF(D11&lt;&gt;"", (IF('6Inter O&amp;M Entry'!L12="Y", ((($B11*$D11)*((1+$B$5)^H$7))*(1/((1+$N$5)^H$7))), 0)), "")</f>
        <v/>
      </c>
      <c r="I11" s="35" t="str">
        <f>IF(E11&lt;&gt;"", (IF('6Inter O&amp;M Entry'!M12="Y", ((($B11*$D11)*((1+$B$5)^I$7))*(1/((1+$N$5)^I$7))), 0)), "")</f>
        <v/>
      </c>
      <c r="J11" s="35" t="str">
        <f>IF(F11&lt;&gt;"", (IF('6Inter O&amp;M Entry'!N12="Y", ((($B11*$D11)*((1+$B$5)^J$7))*(1/((1+$N$5)^J$7))), 0)), "")</f>
        <v/>
      </c>
      <c r="K11" s="35" t="str">
        <f>IF(G11&lt;&gt;"", (IF('6Inter O&amp;M Entry'!O12="Y", ((($B11*$D11)*((1+$B$5)^K$7))*(1/((1+$N$5)^K$7))), 0)), "")</f>
        <v/>
      </c>
      <c r="L11" s="35" t="str">
        <f>IF(H11&lt;&gt;"", (IF('6Inter O&amp;M Entry'!P12="Y", ((($B11*$D11)*((1+$B$5)^L$7))*(1/((1+$N$5)^L$7))), 0)), "")</f>
        <v/>
      </c>
      <c r="M11" s="35" t="str">
        <f>IF(I11&lt;&gt;"", (IF('6Inter O&amp;M Entry'!Q12="Y", ((($B11*$D11)*((1+$B$5)^M$7))*(1/((1+$N$5)^M$7))), 0)), "")</f>
        <v/>
      </c>
      <c r="N11" s="35" t="str">
        <f>IF(J11&lt;&gt;"", (IF('6Inter O&amp;M Entry'!R12="Y", ((($B11*$D11)*((1+$B$5)^N$7))*(1/((1+$N$5)^N$7))), 0)), "")</f>
        <v/>
      </c>
    </row>
    <row r="12" spans="1:14">
      <c r="A12" s="31" t="str">
        <f>IF('6Inter O&amp;M Entry'!A13&lt;&gt;"", '6Inter O&amp;M Entry'!A13, "")</f>
        <v/>
      </c>
      <c r="B12" s="35" t="str">
        <f>IF('6Inter O&amp;M Entry'!B13&lt;&gt;"", '6Inter O&amp;M Entry'!B13, "")</f>
        <v/>
      </c>
      <c r="C12" s="31" t="str">
        <f>IF('6Inter O&amp;M Entry'!C13&lt;&gt;"", '6Inter O&amp;M Entry'!C13, "")</f>
        <v/>
      </c>
      <c r="D12" s="108" t="str">
        <f>IF('6Inter O&amp;M Entry'!D13&lt;&gt;"", '6Inter O&amp;M Entry'!D13, "")</f>
        <v/>
      </c>
      <c r="E12" s="35" t="str">
        <f>IF(A12&lt;&gt;"", (IF('6Inter O&amp;M Entry'!I13="Y", ((($B12*$D12)*((1+$B$5)^E$7))*(1/((1+$N$5)^E$7))), 0)), "")</f>
        <v/>
      </c>
      <c r="F12" s="35" t="str">
        <f>IF(B12&lt;&gt;"", (IF('6Inter O&amp;M Entry'!J13="Y", ((($B12*$D12)*((1+$B$5)^F$7))*(1/((1+$N$5)^F$7))), 0)), "")</f>
        <v/>
      </c>
      <c r="G12" s="35" t="str">
        <f>IF(C12&lt;&gt;"", (IF('6Inter O&amp;M Entry'!K13="Y", ((($B12*$D12)*((1+$B$5)^G$7))*(1/((1+$N$5)^G$7))), 0)), "")</f>
        <v/>
      </c>
      <c r="H12" s="35" t="str">
        <f>IF(D12&lt;&gt;"", (IF('6Inter O&amp;M Entry'!L13="Y", ((($B12*$D12)*((1+$B$5)^H$7))*(1/((1+$N$5)^H$7))), 0)), "")</f>
        <v/>
      </c>
      <c r="I12" s="35" t="str">
        <f>IF(E12&lt;&gt;"", (IF('6Inter O&amp;M Entry'!M13="Y", ((($B12*$D12)*((1+$B$5)^I$7))*(1/((1+$N$5)^I$7))), 0)), "")</f>
        <v/>
      </c>
      <c r="J12" s="35" t="str">
        <f>IF(F12&lt;&gt;"", (IF('6Inter O&amp;M Entry'!N13="Y", ((($B12*$D12)*((1+$B$5)^J$7))*(1/((1+$N$5)^J$7))), 0)), "")</f>
        <v/>
      </c>
      <c r="K12" s="35" t="str">
        <f>IF(G12&lt;&gt;"", (IF('6Inter O&amp;M Entry'!O13="Y", ((($B12*$D12)*((1+$B$5)^K$7))*(1/((1+$N$5)^K$7))), 0)), "")</f>
        <v/>
      </c>
      <c r="L12" s="35" t="str">
        <f>IF(H12&lt;&gt;"", (IF('6Inter O&amp;M Entry'!P13="Y", ((($B12*$D12)*((1+$B$5)^L$7))*(1/((1+$N$5)^L$7))), 0)), "")</f>
        <v/>
      </c>
      <c r="M12" s="35" t="str">
        <f>IF(I12&lt;&gt;"", (IF('6Inter O&amp;M Entry'!Q13="Y", ((($B12*$D12)*((1+$B$5)^M$7))*(1/((1+$N$5)^M$7))), 0)), "")</f>
        <v/>
      </c>
      <c r="N12" s="35" t="str">
        <f>IF(J12&lt;&gt;"", (IF('6Inter O&amp;M Entry'!R13="Y", ((($B12*$D12)*((1+$B$5)^N$7))*(1/((1+$N$5)^N$7))), 0)), "")</f>
        <v/>
      </c>
    </row>
    <row r="13" spans="1:14">
      <c r="A13" s="31" t="str">
        <f>IF('6Inter O&amp;M Entry'!A14&lt;&gt;"", '6Inter O&amp;M Entry'!A14, "")</f>
        <v/>
      </c>
      <c r="B13" s="35" t="str">
        <f>IF('6Inter O&amp;M Entry'!B14&lt;&gt;"", '6Inter O&amp;M Entry'!B14, "")</f>
        <v/>
      </c>
      <c r="C13" s="31" t="str">
        <f>IF('6Inter O&amp;M Entry'!C14&lt;&gt;"", '6Inter O&amp;M Entry'!C14, "")</f>
        <v/>
      </c>
      <c r="D13" s="108" t="str">
        <f>IF('6Inter O&amp;M Entry'!D14&lt;&gt;"", '6Inter O&amp;M Entry'!D14, "")</f>
        <v/>
      </c>
      <c r="E13" s="35" t="str">
        <f>IF(A13&lt;&gt;"", (IF('6Inter O&amp;M Entry'!I14="Y", ((($B13*$D13)*((1+$B$5)^E$7))*(1/((1+$N$5)^E$7))), 0)), "")</f>
        <v/>
      </c>
      <c r="F13" s="35" t="str">
        <f>IF(B13&lt;&gt;"", (IF('6Inter O&amp;M Entry'!J14="Y", ((($B13*$D13)*((1+$B$5)^F$7))*(1/((1+$N$5)^F$7))), 0)), "")</f>
        <v/>
      </c>
      <c r="G13" s="35" t="str">
        <f>IF(C13&lt;&gt;"", (IF('6Inter O&amp;M Entry'!K14="Y", ((($B13*$D13)*((1+$B$5)^G$7))*(1/((1+$N$5)^G$7))), 0)), "")</f>
        <v/>
      </c>
      <c r="H13" s="35" t="str">
        <f>IF(D13&lt;&gt;"", (IF('6Inter O&amp;M Entry'!L14="Y", ((($B13*$D13)*((1+$B$5)^H$7))*(1/((1+$N$5)^H$7))), 0)), "")</f>
        <v/>
      </c>
      <c r="I13" s="35" t="str">
        <f>IF(E13&lt;&gt;"", (IF('6Inter O&amp;M Entry'!M14="Y", ((($B13*$D13)*((1+$B$5)^I$7))*(1/((1+$N$5)^I$7))), 0)), "")</f>
        <v/>
      </c>
      <c r="J13" s="35" t="str">
        <f>IF(F13&lt;&gt;"", (IF('6Inter O&amp;M Entry'!N14="Y", ((($B13*$D13)*((1+$B$5)^J$7))*(1/((1+$N$5)^J$7))), 0)), "")</f>
        <v/>
      </c>
      <c r="K13" s="35" t="str">
        <f>IF(G13&lt;&gt;"", (IF('6Inter O&amp;M Entry'!O14="Y", ((($B13*$D13)*((1+$B$5)^K$7))*(1/((1+$N$5)^K$7))), 0)), "")</f>
        <v/>
      </c>
      <c r="L13" s="35" t="str">
        <f>IF(H13&lt;&gt;"", (IF('6Inter O&amp;M Entry'!P14="Y", ((($B13*$D13)*((1+$B$5)^L$7))*(1/((1+$N$5)^L$7))), 0)), "")</f>
        <v/>
      </c>
      <c r="M13" s="35" t="str">
        <f>IF(I13&lt;&gt;"", (IF('6Inter O&amp;M Entry'!Q14="Y", ((($B13*$D13)*((1+$B$5)^M$7))*(1/((1+$N$5)^M$7))), 0)), "")</f>
        <v/>
      </c>
      <c r="N13" s="35" t="str">
        <f>IF(J13&lt;&gt;"", (IF('6Inter O&amp;M Entry'!R14="Y", ((($B13*$D13)*((1+$B$5)^N$7))*(1/((1+$N$5)^N$7))), 0)), "")</f>
        <v/>
      </c>
    </row>
    <row r="14" spans="1:14">
      <c r="A14" s="31" t="str">
        <f>IF('6Inter O&amp;M Entry'!A15&lt;&gt;"", '6Inter O&amp;M Entry'!A15, "")</f>
        <v/>
      </c>
      <c r="B14" s="35" t="str">
        <f>IF('6Inter O&amp;M Entry'!B15&lt;&gt;"", '6Inter O&amp;M Entry'!B15, "")</f>
        <v/>
      </c>
      <c r="C14" s="31" t="str">
        <f>IF('6Inter O&amp;M Entry'!C15&lt;&gt;"", '6Inter O&amp;M Entry'!C15, "")</f>
        <v/>
      </c>
      <c r="D14" s="108" t="str">
        <f>IF('6Inter O&amp;M Entry'!D15&lt;&gt;"", '6Inter O&amp;M Entry'!D15, "")</f>
        <v/>
      </c>
      <c r="E14" s="35" t="str">
        <f>IF(A14&lt;&gt;"", (IF('6Inter O&amp;M Entry'!I15="Y", ((($B14*$D14)*((1+$B$5)^E$7))*(1/((1+$N$5)^E$7))), 0)), "")</f>
        <v/>
      </c>
      <c r="F14" s="35" t="str">
        <f>IF(B14&lt;&gt;"", (IF('6Inter O&amp;M Entry'!J15="Y", ((($B14*$D14)*((1+$B$5)^F$7))*(1/((1+$N$5)^F$7))), 0)), "")</f>
        <v/>
      </c>
      <c r="G14" s="35" t="str">
        <f>IF(C14&lt;&gt;"", (IF('6Inter O&amp;M Entry'!K15="Y", ((($B14*$D14)*((1+$B$5)^G$7))*(1/((1+$N$5)^G$7))), 0)), "")</f>
        <v/>
      </c>
      <c r="H14" s="35" t="str">
        <f>IF(D14&lt;&gt;"", (IF('6Inter O&amp;M Entry'!L15="Y", ((($B14*$D14)*((1+$B$5)^H$7))*(1/((1+$N$5)^H$7))), 0)), "")</f>
        <v/>
      </c>
      <c r="I14" s="35" t="str">
        <f>IF(E14&lt;&gt;"", (IF('6Inter O&amp;M Entry'!M15="Y", ((($B14*$D14)*((1+$B$5)^I$7))*(1/((1+$N$5)^I$7))), 0)), "")</f>
        <v/>
      </c>
      <c r="J14" s="35" t="str">
        <f>IF(F14&lt;&gt;"", (IF('6Inter O&amp;M Entry'!N15="Y", ((($B14*$D14)*((1+$B$5)^J$7))*(1/((1+$N$5)^J$7))), 0)), "")</f>
        <v/>
      </c>
      <c r="K14" s="35" t="str">
        <f>IF(G14&lt;&gt;"", (IF('6Inter O&amp;M Entry'!O15="Y", ((($B14*$D14)*((1+$B$5)^K$7))*(1/((1+$N$5)^K$7))), 0)), "")</f>
        <v/>
      </c>
      <c r="L14" s="35" t="str">
        <f>IF(H14&lt;&gt;"", (IF('6Inter O&amp;M Entry'!P15="Y", ((($B14*$D14)*((1+$B$5)^L$7))*(1/((1+$N$5)^L$7))), 0)), "")</f>
        <v/>
      </c>
      <c r="M14" s="35" t="str">
        <f>IF(I14&lt;&gt;"", (IF('6Inter O&amp;M Entry'!Q15="Y", ((($B14*$D14)*((1+$B$5)^M$7))*(1/((1+$N$5)^M$7))), 0)), "")</f>
        <v/>
      </c>
      <c r="N14" s="35" t="str">
        <f>IF(J14&lt;&gt;"", (IF('6Inter O&amp;M Entry'!R15="Y", ((($B14*$D14)*((1+$B$5)^N$7))*(1/((1+$N$5)^N$7))), 0)), "")</f>
        <v/>
      </c>
    </row>
    <row r="15" spans="1:14">
      <c r="A15" s="31" t="str">
        <f>IF('6Inter O&amp;M Entry'!A16&lt;&gt;"", '6Inter O&amp;M Entry'!A16, "")</f>
        <v/>
      </c>
      <c r="B15" s="35" t="str">
        <f>IF('6Inter O&amp;M Entry'!B16&lt;&gt;"", '6Inter O&amp;M Entry'!B16, "")</f>
        <v/>
      </c>
      <c r="C15" s="31" t="str">
        <f>IF('6Inter O&amp;M Entry'!C16&lt;&gt;"", '6Inter O&amp;M Entry'!C16, "")</f>
        <v/>
      </c>
      <c r="D15" s="108" t="str">
        <f>IF('6Inter O&amp;M Entry'!D16&lt;&gt;"", '6Inter O&amp;M Entry'!D16, "")</f>
        <v/>
      </c>
      <c r="E15" s="35" t="str">
        <f>IF(A15&lt;&gt;"", (IF('6Inter O&amp;M Entry'!I16="Y", ((($B15*$D15)*((1+$B$5)^E$7))*(1/((1+$N$5)^E$7))), 0)), "")</f>
        <v/>
      </c>
      <c r="F15" s="35" t="str">
        <f>IF(B15&lt;&gt;"", (IF('6Inter O&amp;M Entry'!J16="Y", ((($B15*$D15)*((1+$B$5)^F$7))*(1/((1+$N$5)^F$7))), 0)), "")</f>
        <v/>
      </c>
      <c r="G15" s="35" t="str">
        <f>IF(C15&lt;&gt;"", (IF('6Inter O&amp;M Entry'!K16="Y", ((($B15*$D15)*((1+$B$5)^G$7))*(1/((1+$N$5)^G$7))), 0)), "")</f>
        <v/>
      </c>
      <c r="H15" s="35" t="str">
        <f>IF(D15&lt;&gt;"", (IF('6Inter O&amp;M Entry'!L16="Y", ((($B15*$D15)*((1+$B$5)^H$7))*(1/((1+$N$5)^H$7))), 0)), "")</f>
        <v/>
      </c>
      <c r="I15" s="35" t="str">
        <f>IF(E15&lt;&gt;"", (IF('6Inter O&amp;M Entry'!M16="Y", ((($B15*$D15)*((1+$B$5)^I$7))*(1/((1+$N$5)^I$7))), 0)), "")</f>
        <v/>
      </c>
      <c r="J15" s="35" t="str">
        <f>IF(F15&lt;&gt;"", (IF('6Inter O&amp;M Entry'!N16="Y", ((($B15*$D15)*((1+$B$5)^J$7))*(1/((1+$N$5)^J$7))), 0)), "")</f>
        <v/>
      </c>
      <c r="K15" s="35" t="str">
        <f>IF(G15&lt;&gt;"", (IF('6Inter O&amp;M Entry'!O16="Y", ((($B15*$D15)*((1+$B$5)^K$7))*(1/((1+$N$5)^K$7))), 0)), "")</f>
        <v/>
      </c>
      <c r="L15" s="35" t="str">
        <f>IF(H15&lt;&gt;"", (IF('6Inter O&amp;M Entry'!P16="Y", ((($B15*$D15)*((1+$B$5)^L$7))*(1/((1+$N$5)^L$7))), 0)), "")</f>
        <v/>
      </c>
      <c r="M15" s="35" t="str">
        <f>IF(I15&lt;&gt;"", (IF('6Inter O&amp;M Entry'!Q16="Y", ((($B15*$D15)*((1+$B$5)^M$7))*(1/((1+$N$5)^M$7))), 0)), "")</f>
        <v/>
      </c>
      <c r="N15" s="35" t="str">
        <f>IF(J15&lt;&gt;"", (IF('6Inter O&amp;M Entry'!R16="Y", ((($B15*$D15)*((1+$B$5)^N$7))*(1/((1+$N$5)^N$7))), 0)), "")</f>
        <v/>
      </c>
    </row>
    <row r="16" spans="1:14">
      <c r="A16" s="31" t="str">
        <f>IF('6Inter O&amp;M Entry'!A17&lt;&gt;"", '6Inter O&amp;M Entry'!A17, "")</f>
        <v/>
      </c>
      <c r="B16" s="35" t="str">
        <f>IF('6Inter O&amp;M Entry'!B17&lt;&gt;"", '6Inter O&amp;M Entry'!B17, "")</f>
        <v/>
      </c>
      <c r="C16" s="31" t="str">
        <f>IF('6Inter O&amp;M Entry'!C17&lt;&gt;"", '6Inter O&amp;M Entry'!C17, "")</f>
        <v/>
      </c>
      <c r="D16" s="108" t="str">
        <f>IF('6Inter O&amp;M Entry'!D17&lt;&gt;"", '6Inter O&amp;M Entry'!D17, "")</f>
        <v/>
      </c>
      <c r="E16" s="35" t="str">
        <f>IF(A16&lt;&gt;"", (IF('6Inter O&amp;M Entry'!I17="Y", ((($B16*$D16)*((1+$B$5)^E$7))*(1/((1+$N$5)^E$7))), 0)), "")</f>
        <v/>
      </c>
      <c r="F16" s="35" t="str">
        <f>IF(B16&lt;&gt;"", (IF('6Inter O&amp;M Entry'!J17="Y", ((($B16*$D16)*((1+$B$5)^F$7))*(1/((1+$N$5)^F$7))), 0)), "")</f>
        <v/>
      </c>
      <c r="G16" s="35" t="str">
        <f>IF(C16&lt;&gt;"", (IF('6Inter O&amp;M Entry'!K17="Y", ((($B16*$D16)*((1+$B$5)^G$7))*(1/((1+$N$5)^G$7))), 0)), "")</f>
        <v/>
      </c>
      <c r="H16" s="35" t="str">
        <f>IF(D16&lt;&gt;"", (IF('6Inter O&amp;M Entry'!L17="Y", ((($B16*$D16)*((1+$B$5)^H$7))*(1/((1+$N$5)^H$7))), 0)), "")</f>
        <v/>
      </c>
      <c r="I16" s="35" t="str">
        <f>IF(E16&lt;&gt;"", (IF('6Inter O&amp;M Entry'!M17="Y", ((($B16*$D16)*((1+$B$5)^I$7))*(1/((1+$N$5)^I$7))), 0)), "")</f>
        <v/>
      </c>
      <c r="J16" s="35" t="str">
        <f>IF(F16&lt;&gt;"", (IF('6Inter O&amp;M Entry'!N17="Y", ((($B16*$D16)*((1+$B$5)^J$7))*(1/((1+$N$5)^J$7))), 0)), "")</f>
        <v/>
      </c>
      <c r="K16" s="35" t="str">
        <f>IF(G16&lt;&gt;"", (IF('6Inter O&amp;M Entry'!O17="Y", ((($B16*$D16)*((1+$B$5)^K$7))*(1/((1+$N$5)^K$7))), 0)), "")</f>
        <v/>
      </c>
      <c r="L16" s="35" t="str">
        <f>IF(H16&lt;&gt;"", (IF('6Inter O&amp;M Entry'!P17="Y", ((($B16*$D16)*((1+$B$5)^L$7))*(1/((1+$N$5)^L$7))), 0)), "")</f>
        <v/>
      </c>
      <c r="M16" s="35" t="str">
        <f>IF(I16&lt;&gt;"", (IF('6Inter O&amp;M Entry'!Q17="Y", ((($B16*$D16)*((1+$B$5)^M$7))*(1/((1+$N$5)^M$7))), 0)), "")</f>
        <v/>
      </c>
      <c r="N16" s="35" t="str">
        <f>IF(J16&lt;&gt;"", (IF('6Inter O&amp;M Entry'!R17="Y", ((($B16*$D16)*((1+$B$5)^N$7))*(1/((1+$N$5)^N$7))), 0)), "")</f>
        <v/>
      </c>
    </row>
    <row r="17" spans="1:14">
      <c r="A17" s="31" t="str">
        <f>IF('6Inter O&amp;M Entry'!A18&lt;&gt;"", '6Inter O&amp;M Entry'!A18, "")</f>
        <v/>
      </c>
      <c r="B17" s="35" t="str">
        <f>IF('6Inter O&amp;M Entry'!B18&lt;&gt;"", '6Inter O&amp;M Entry'!B18, "")</f>
        <v/>
      </c>
      <c r="C17" s="31" t="str">
        <f>IF('6Inter O&amp;M Entry'!C18&lt;&gt;"", '6Inter O&amp;M Entry'!C18, "")</f>
        <v/>
      </c>
      <c r="D17" s="108" t="str">
        <f>IF('6Inter O&amp;M Entry'!D18&lt;&gt;"", '6Inter O&amp;M Entry'!D18, "")</f>
        <v/>
      </c>
      <c r="E17" s="35" t="str">
        <f>IF(A17&lt;&gt;"", (IF('6Inter O&amp;M Entry'!I18="Y", ((($B17*$D17)*((1+$B$5)^E$7))*(1/((1+$N$5)^E$7))), 0)), "")</f>
        <v/>
      </c>
      <c r="F17" s="35" t="str">
        <f>IF(B17&lt;&gt;"", (IF('6Inter O&amp;M Entry'!J18="Y", ((($B17*$D17)*((1+$B$5)^F$7))*(1/((1+$N$5)^F$7))), 0)), "")</f>
        <v/>
      </c>
      <c r="G17" s="35" t="str">
        <f>IF(C17&lt;&gt;"", (IF('6Inter O&amp;M Entry'!K18="Y", ((($B17*$D17)*((1+$B$5)^G$7))*(1/((1+$N$5)^G$7))), 0)), "")</f>
        <v/>
      </c>
      <c r="H17" s="35" t="str">
        <f>IF(D17&lt;&gt;"", (IF('6Inter O&amp;M Entry'!L18="Y", ((($B17*$D17)*((1+$B$5)^H$7))*(1/((1+$N$5)^H$7))), 0)), "")</f>
        <v/>
      </c>
      <c r="I17" s="35" t="str">
        <f>IF(E17&lt;&gt;"", (IF('6Inter O&amp;M Entry'!M18="Y", ((($B17*$D17)*((1+$B$5)^I$7))*(1/((1+$N$5)^I$7))), 0)), "")</f>
        <v/>
      </c>
      <c r="J17" s="35" t="str">
        <f>IF(F17&lt;&gt;"", (IF('6Inter O&amp;M Entry'!N18="Y", ((($B17*$D17)*((1+$B$5)^J$7))*(1/((1+$N$5)^J$7))), 0)), "")</f>
        <v/>
      </c>
      <c r="K17" s="35" t="str">
        <f>IF(G17&lt;&gt;"", (IF('6Inter O&amp;M Entry'!O18="Y", ((($B17*$D17)*((1+$B$5)^K$7))*(1/((1+$N$5)^K$7))), 0)), "")</f>
        <v/>
      </c>
      <c r="L17" s="35" t="str">
        <f>IF(H17&lt;&gt;"", (IF('6Inter O&amp;M Entry'!P18="Y", ((($B17*$D17)*((1+$B$5)^L$7))*(1/((1+$N$5)^L$7))), 0)), "")</f>
        <v/>
      </c>
      <c r="M17" s="35" t="str">
        <f>IF(I17&lt;&gt;"", (IF('6Inter O&amp;M Entry'!Q18="Y", ((($B17*$D17)*((1+$B$5)^M$7))*(1/((1+$N$5)^M$7))), 0)), "")</f>
        <v/>
      </c>
      <c r="N17" s="35" t="str">
        <f>IF(J17&lt;&gt;"", (IF('6Inter O&amp;M Entry'!R18="Y", ((($B17*$D17)*((1+$B$5)^N$7))*(1/((1+$N$5)^N$7))), 0)), "")</f>
        <v/>
      </c>
    </row>
    <row r="18" spans="1:14">
      <c r="A18" s="31" t="str">
        <f>IF('6Inter O&amp;M Entry'!A19&lt;&gt;"", '6Inter O&amp;M Entry'!A19, "")</f>
        <v/>
      </c>
      <c r="B18" s="35" t="str">
        <f>IF('6Inter O&amp;M Entry'!B19&lt;&gt;"", '6Inter O&amp;M Entry'!B19, "")</f>
        <v/>
      </c>
      <c r="C18" s="31" t="str">
        <f>IF('6Inter O&amp;M Entry'!C19&lt;&gt;"", '6Inter O&amp;M Entry'!C19, "")</f>
        <v/>
      </c>
      <c r="D18" s="108" t="str">
        <f>IF('6Inter O&amp;M Entry'!D19&lt;&gt;"", '6Inter O&amp;M Entry'!D19, "")</f>
        <v/>
      </c>
      <c r="E18" s="35" t="str">
        <f>IF(A18&lt;&gt;"", (IF('6Inter O&amp;M Entry'!I19="Y", ((($B18*$D18)*((1+$B$5)^E$7))*(1/((1+$N$5)^E$7))), 0)), "")</f>
        <v/>
      </c>
      <c r="F18" s="35" t="str">
        <f>IF(B18&lt;&gt;"", (IF('6Inter O&amp;M Entry'!J19="Y", ((($B18*$D18)*((1+$B$5)^F$7))*(1/((1+$N$5)^F$7))), 0)), "")</f>
        <v/>
      </c>
      <c r="G18" s="35" t="str">
        <f>IF(C18&lt;&gt;"", (IF('6Inter O&amp;M Entry'!K19="Y", ((($B18*$D18)*((1+$B$5)^G$7))*(1/((1+$N$5)^G$7))), 0)), "")</f>
        <v/>
      </c>
      <c r="H18" s="35" t="str">
        <f>IF(D18&lt;&gt;"", (IF('6Inter O&amp;M Entry'!L19="Y", ((($B18*$D18)*((1+$B$5)^H$7))*(1/((1+$N$5)^H$7))), 0)), "")</f>
        <v/>
      </c>
      <c r="I18" s="35" t="str">
        <f>IF(E18&lt;&gt;"", (IF('6Inter O&amp;M Entry'!M19="Y", ((($B18*$D18)*((1+$B$5)^I$7))*(1/((1+$N$5)^I$7))), 0)), "")</f>
        <v/>
      </c>
      <c r="J18" s="35" t="str">
        <f>IF(F18&lt;&gt;"", (IF('6Inter O&amp;M Entry'!N19="Y", ((($B18*$D18)*((1+$B$5)^J$7))*(1/((1+$N$5)^J$7))), 0)), "")</f>
        <v/>
      </c>
      <c r="K18" s="35" t="str">
        <f>IF(G18&lt;&gt;"", (IF('6Inter O&amp;M Entry'!O19="Y", ((($B18*$D18)*((1+$B$5)^K$7))*(1/((1+$N$5)^K$7))), 0)), "")</f>
        <v/>
      </c>
      <c r="L18" s="35" t="str">
        <f>IF(H18&lt;&gt;"", (IF('6Inter O&amp;M Entry'!P19="Y", ((($B18*$D18)*((1+$B$5)^L$7))*(1/((1+$N$5)^L$7))), 0)), "")</f>
        <v/>
      </c>
      <c r="M18" s="35" t="str">
        <f>IF(I18&lt;&gt;"", (IF('6Inter O&amp;M Entry'!Q19="Y", ((($B18*$D18)*((1+$B$5)^M$7))*(1/((1+$N$5)^M$7))), 0)), "")</f>
        <v/>
      </c>
      <c r="N18" s="35" t="str">
        <f>IF(J18&lt;&gt;"", (IF('6Inter O&amp;M Entry'!R19="Y", ((($B18*$D18)*((1+$B$5)^N$7))*(1/((1+$N$5)^N$7))), 0)), "")</f>
        <v/>
      </c>
    </row>
    <row r="19" spans="1:14">
      <c r="A19" s="31" t="str">
        <f>IF('6Inter O&amp;M Entry'!A20&lt;&gt;"", '6Inter O&amp;M Entry'!A20, "")</f>
        <v/>
      </c>
      <c r="B19" s="35" t="str">
        <f>IF('6Inter O&amp;M Entry'!B20&lt;&gt;"", '6Inter O&amp;M Entry'!B20, "")</f>
        <v/>
      </c>
      <c r="C19" s="31" t="str">
        <f>IF('6Inter O&amp;M Entry'!C20&lt;&gt;"", '6Inter O&amp;M Entry'!C20, "")</f>
        <v/>
      </c>
      <c r="D19" s="108" t="str">
        <f>IF('6Inter O&amp;M Entry'!D20&lt;&gt;"", '6Inter O&amp;M Entry'!D20, "")</f>
        <v/>
      </c>
      <c r="E19" s="35" t="str">
        <f>IF(A19&lt;&gt;"", (IF('6Inter O&amp;M Entry'!I20="Y", ((($B19*$D19)*((1+$B$5)^E$7))*(1/((1+$N$5)^E$7))), 0)), "")</f>
        <v/>
      </c>
      <c r="F19" s="35" t="str">
        <f>IF(B19&lt;&gt;"", (IF('6Inter O&amp;M Entry'!J20="Y", ((($B19*$D19)*((1+$B$5)^F$7))*(1/((1+$N$5)^F$7))), 0)), "")</f>
        <v/>
      </c>
      <c r="G19" s="35" t="str">
        <f>IF(C19&lt;&gt;"", (IF('6Inter O&amp;M Entry'!K20="Y", ((($B19*$D19)*((1+$B$5)^G$7))*(1/((1+$N$5)^G$7))), 0)), "")</f>
        <v/>
      </c>
      <c r="H19" s="35" t="str">
        <f>IF(D19&lt;&gt;"", (IF('6Inter O&amp;M Entry'!L20="Y", ((($B19*$D19)*((1+$B$5)^H$7))*(1/((1+$N$5)^H$7))), 0)), "")</f>
        <v/>
      </c>
      <c r="I19" s="35" t="str">
        <f>IF(E19&lt;&gt;"", (IF('6Inter O&amp;M Entry'!M20="Y", ((($B19*$D19)*((1+$B$5)^I$7))*(1/((1+$N$5)^I$7))), 0)), "")</f>
        <v/>
      </c>
      <c r="J19" s="35" t="str">
        <f>IF(F19&lt;&gt;"", (IF('6Inter O&amp;M Entry'!N20="Y", ((($B19*$D19)*((1+$B$5)^J$7))*(1/((1+$N$5)^J$7))), 0)), "")</f>
        <v/>
      </c>
      <c r="K19" s="35" t="str">
        <f>IF(G19&lt;&gt;"", (IF('6Inter O&amp;M Entry'!O20="Y", ((($B19*$D19)*((1+$B$5)^K$7))*(1/((1+$N$5)^K$7))), 0)), "")</f>
        <v/>
      </c>
      <c r="L19" s="35" t="str">
        <f>IF(H19&lt;&gt;"", (IF('6Inter O&amp;M Entry'!P20="Y", ((($B19*$D19)*((1+$B$5)^L$7))*(1/((1+$N$5)^L$7))), 0)), "")</f>
        <v/>
      </c>
      <c r="M19" s="35" t="str">
        <f>IF(I19&lt;&gt;"", (IF('6Inter O&amp;M Entry'!Q20="Y", ((($B19*$D19)*((1+$B$5)^M$7))*(1/((1+$N$5)^M$7))), 0)), "")</f>
        <v/>
      </c>
      <c r="N19" s="35" t="str">
        <f>IF(J19&lt;&gt;"", (IF('6Inter O&amp;M Entry'!R20="Y", ((($B19*$D19)*((1+$B$5)^N$7))*(1/((1+$N$5)^N$7))), 0)), "")</f>
        <v/>
      </c>
    </row>
    <row r="20" spans="1:14">
      <c r="D20" s="2" t="s">
        <v>74</v>
      </c>
      <c r="E20" s="28">
        <f>SUM(E8:E19)</f>
        <v>0</v>
      </c>
      <c r="F20" s="28">
        <f t="shared" ref="F20:N20" si="0">SUM(F8:F19)</f>
        <v>0</v>
      </c>
      <c r="G20" s="28">
        <f t="shared" si="0"/>
        <v>0</v>
      </c>
      <c r="H20" s="28">
        <f t="shared" si="0"/>
        <v>0</v>
      </c>
      <c r="I20" s="28">
        <f t="shared" si="0"/>
        <v>0</v>
      </c>
      <c r="J20" s="28">
        <f t="shared" si="0"/>
        <v>0</v>
      </c>
      <c r="K20" s="28">
        <f t="shared" si="0"/>
        <v>0</v>
      </c>
      <c r="L20" s="28">
        <f t="shared" si="0"/>
        <v>0</v>
      </c>
      <c r="M20" s="28">
        <f t="shared" si="0"/>
        <v>0</v>
      </c>
      <c r="N20" s="28">
        <f t="shared" si="0"/>
        <v>0</v>
      </c>
    </row>
    <row r="21" spans="1:14">
      <c r="M21" s="2" t="s">
        <v>57</v>
      </c>
      <c r="N21" s="28">
        <f>'6Inter O&amp;M 1-10'!E20+'6Inter O&amp;M 1-10'!F20+'6Inter O&amp;M 1-10'!G20+'6Inter O&amp;M 1-10'!H20+'6Inter O&amp;M 1-10'!I20+'6Inter O&amp;M 1-10'!J20+'6Inter O&amp;M 1-10'!K20+'6Inter O&amp;M 1-10'!L20+'6Inter O&amp;M 1-10'!M20+'6Inter O&amp;M 1-10'!N20+'6Inter O&amp;M 11-20'!E20+'6Inter O&amp;M 11-20'!F20+'6Inter O&amp;M 11-20'!G20+'6Inter O&amp;M 11-20'!H20+'6Inter O&amp;M 11-20'!I20+'6Inter O&amp;M 11-20'!J20+'6Inter O&amp;M 11-20'!K20+'6Inter O&amp;M 11-20'!L20+'6Inter O&amp;M 11-20'!M20+'6Inter O&amp;M 11-20'!N20</f>
        <v>0</v>
      </c>
    </row>
  </sheetData>
  <sheetProtection sheet="1" objects="1" scenarios="1"/>
  <mergeCells count="5">
    <mergeCell ref="A1:N1"/>
    <mergeCell ref="A2:N2"/>
    <mergeCell ref="A3:N3"/>
    <mergeCell ref="A4:N4"/>
    <mergeCell ref="E6:N6"/>
  </mergeCells>
  <printOptions horizontalCentered="1"/>
  <pageMargins left="0.4" right="0.4" top="0.75" bottom="0.75" header="0.3" footer="0.3"/>
  <pageSetup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tabSelected="1" workbookViewId="0">
      <selection activeCell="A2" sqref="A2:G2"/>
    </sheetView>
  </sheetViews>
  <sheetFormatPr defaultRowHeight="15.75"/>
  <cols>
    <col min="1" max="1" width="54.7109375" style="1" customWidth="1"/>
    <col min="2" max="7" width="16.7109375" style="1" customWidth="1"/>
    <col min="8" max="16384" width="9.140625" style="1"/>
  </cols>
  <sheetData>
    <row r="1" spans="1:7">
      <c r="A1" s="170" t="s">
        <v>192</v>
      </c>
      <c r="B1" s="171"/>
      <c r="C1" s="171"/>
      <c r="D1" s="171"/>
      <c r="E1" s="171"/>
      <c r="F1" s="171"/>
      <c r="G1" s="172"/>
    </row>
    <row r="2" spans="1:7">
      <c r="A2" s="140">
        <f>Input!B4</f>
        <v>0</v>
      </c>
      <c r="B2" s="141"/>
      <c r="C2" s="141"/>
      <c r="D2" s="141"/>
      <c r="E2" s="141"/>
      <c r="F2" s="141"/>
      <c r="G2" s="142"/>
    </row>
    <row r="3" spans="1:7">
      <c r="A3" s="155">
        <f>Input!B5</f>
        <v>0</v>
      </c>
      <c r="B3" s="156"/>
      <c r="C3" s="156"/>
      <c r="D3" s="156"/>
      <c r="E3" s="156"/>
      <c r="F3" s="156"/>
      <c r="G3" s="157"/>
    </row>
    <row r="4" spans="1:7" ht="47.25">
      <c r="A4" s="31"/>
      <c r="B4" s="39" t="s">
        <v>11</v>
      </c>
      <c r="C4" s="39" t="s">
        <v>12</v>
      </c>
      <c r="D4" s="173" t="s">
        <v>13</v>
      </c>
      <c r="E4" s="174"/>
      <c r="F4" s="175"/>
      <c r="G4" s="39" t="s">
        <v>10</v>
      </c>
    </row>
    <row r="5" spans="1:7">
      <c r="A5" s="31"/>
      <c r="B5" s="39"/>
      <c r="C5" s="39"/>
      <c r="D5" s="39" t="s">
        <v>58</v>
      </c>
      <c r="E5" s="39" t="s">
        <v>59</v>
      </c>
      <c r="F5" s="39" t="s">
        <v>60</v>
      </c>
      <c r="G5" s="39"/>
    </row>
    <row r="6" spans="1:7">
      <c r="A6" s="40">
        <f>Input!B6</f>
        <v>0</v>
      </c>
      <c r="B6" s="3">
        <f>'Capital Costs'!E41</f>
        <v>0</v>
      </c>
      <c r="C6" s="3">
        <f>'Replace Costs-Results 16-20'!I38</f>
        <v>0</v>
      </c>
      <c r="D6" s="3">
        <f>'Yearly O&amp;M Costs 11-20'!N32</f>
        <v>0</v>
      </c>
      <c r="E6" s="3">
        <f>'Inter O&amp;M 11-20'!N21</f>
        <v>0</v>
      </c>
      <c r="F6" s="3">
        <f t="shared" ref="F6:F11" si="0">D6+E6</f>
        <v>0</v>
      </c>
      <c r="G6" s="3">
        <f t="shared" ref="G6:G11" si="1">B6+C6+F6</f>
        <v>0</v>
      </c>
    </row>
    <row r="7" spans="1:7">
      <c r="A7" s="40">
        <f>Input!B7</f>
        <v>0</v>
      </c>
      <c r="B7" s="3">
        <f>'2Capital Costs'!E41</f>
        <v>0</v>
      </c>
      <c r="C7" s="3">
        <f>'2Replace Costs-Results 16-20'!I38</f>
        <v>0</v>
      </c>
      <c r="D7" s="3">
        <f>'2Yearly O&amp;M Costs 11-20'!N32</f>
        <v>0</v>
      </c>
      <c r="E7" s="3">
        <f>'2Inter O&amp;M 11-20'!N21</f>
        <v>0</v>
      </c>
      <c r="F7" s="3">
        <f t="shared" si="0"/>
        <v>0</v>
      </c>
      <c r="G7" s="3">
        <f t="shared" si="1"/>
        <v>0</v>
      </c>
    </row>
    <row r="8" spans="1:7">
      <c r="A8" s="40">
        <f>Input!B8</f>
        <v>0</v>
      </c>
      <c r="B8" s="114">
        <f>'3Capital Costs'!E41</f>
        <v>0</v>
      </c>
      <c r="C8" s="3">
        <f>'3Replace Costs-Results 16-20'!I38</f>
        <v>0</v>
      </c>
      <c r="D8" s="3">
        <f>'3Yearly O&amp;M Costs 11-20'!N32</f>
        <v>0</v>
      </c>
      <c r="E8" s="3">
        <f>'3Inter O&amp;M 11-20'!N21</f>
        <v>0</v>
      </c>
      <c r="F8" s="3">
        <f t="shared" si="0"/>
        <v>0</v>
      </c>
      <c r="G8" s="3">
        <f t="shared" si="1"/>
        <v>0</v>
      </c>
    </row>
    <row r="9" spans="1:7">
      <c r="A9" s="40">
        <f>Input!B9</f>
        <v>0</v>
      </c>
      <c r="B9" s="3">
        <f>'4Capital Costs'!E41</f>
        <v>0</v>
      </c>
      <c r="C9" s="3">
        <f>'4Replace Costs-Results 16-20'!I38</f>
        <v>0</v>
      </c>
      <c r="D9" s="3">
        <f>'4Yearly O&amp;M Costs 11-20'!N32</f>
        <v>0</v>
      </c>
      <c r="E9" s="3">
        <f>'4Inter O&amp;M 11-20'!N21</f>
        <v>0</v>
      </c>
      <c r="F9" s="3">
        <f t="shared" si="0"/>
        <v>0</v>
      </c>
      <c r="G9" s="3">
        <f t="shared" si="1"/>
        <v>0</v>
      </c>
    </row>
    <row r="10" spans="1:7">
      <c r="A10" s="40">
        <f>Input!B10</f>
        <v>0</v>
      </c>
      <c r="B10" s="3">
        <f>'5Capital Costs'!E41</f>
        <v>0</v>
      </c>
      <c r="C10" s="3">
        <f>'5Replace Costs-Results 16-20'!I38</f>
        <v>0</v>
      </c>
      <c r="D10" s="3">
        <f>'5Yearly O&amp;M Costs 11-20'!N32</f>
        <v>0</v>
      </c>
      <c r="E10" s="3">
        <f>'5Inter O&amp;M 11-20'!N21</f>
        <v>0</v>
      </c>
      <c r="F10" s="3">
        <f t="shared" si="0"/>
        <v>0</v>
      </c>
      <c r="G10" s="3">
        <f t="shared" si="1"/>
        <v>0</v>
      </c>
    </row>
    <row r="11" spans="1:7">
      <c r="A11" s="40">
        <f>Input!B11</f>
        <v>0</v>
      </c>
      <c r="B11" s="3">
        <f>'6Capital Costs'!E41</f>
        <v>0</v>
      </c>
      <c r="C11" s="3">
        <f>'6Replace Costs-Results 16-20'!I38</f>
        <v>0</v>
      </c>
      <c r="D11" s="3">
        <f>'6Yearly O&amp;M Costs 11-20'!N32</f>
        <v>0</v>
      </c>
      <c r="E11" s="3">
        <f>'6Inter O&amp;M 11-20'!N21</f>
        <v>0</v>
      </c>
      <c r="F11" s="3">
        <f t="shared" si="0"/>
        <v>0</v>
      </c>
      <c r="G11" s="3">
        <f t="shared" si="1"/>
        <v>0</v>
      </c>
    </row>
  </sheetData>
  <sheetProtection sheet="1" objects="1" scenarios="1"/>
  <mergeCells count="4">
    <mergeCell ref="A1:G1"/>
    <mergeCell ref="A2:G2"/>
    <mergeCell ref="A3:G3"/>
    <mergeCell ref="D4:F4"/>
  </mergeCells>
  <pageMargins left="0.7" right="0.7" top="0.75" bottom="0.75" header="0.3" footer="0.3"/>
  <pageSetup scale="88" orientation="portrait" r:id="rId1"/>
  <headerFooter>
    <oddHeader>&amp;C&amp;D
&amp;F</oddHeader>
    <oddFooter>&amp;L&amp;F&amp;RPage &amp;P of 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8" sqref="B8"/>
    </sheetView>
  </sheetViews>
  <sheetFormatPr defaultRowHeight="15"/>
  <sheetData>
    <row r="1" spans="1:2">
      <c r="B1" t="s">
        <v>62</v>
      </c>
    </row>
    <row r="2" spans="1:2">
      <c r="A2">
        <v>2011</v>
      </c>
      <c r="B2">
        <v>232.2</v>
      </c>
    </row>
    <row r="3" spans="1:2">
      <c r="A3">
        <v>2012</v>
      </c>
      <c r="B3">
        <v>237</v>
      </c>
    </row>
    <row r="5" spans="1:2">
      <c r="B5" t="s">
        <v>63</v>
      </c>
    </row>
    <row r="6" spans="1:2">
      <c r="A6">
        <v>2011</v>
      </c>
      <c r="B6">
        <v>217.4</v>
      </c>
    </row>
    <row r="7" spans="1:2">
      <c r="A7">
        <v>2012</v>
      </c>
      <c r="B7">
        <v>223.4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70</vt:i4>
      </vt:variant>
      <vt:variant>
        <vt:lpstr>Named Ranges</vt:lpstr>
      </vt:variant>
      <vt:variant>
        <vt:i4>56</vt:i4>
      </vt:variant>
    </vt:vector>
  </HeadingPairs>
  <TitlesOfParts>
    <vt:vector size="126" baseType="lpstr">
      <vt:lpstr>Contents</vt:lpstr>
      <vt:lpstr>Input</vt:lpstr>
      <vt:lpstr>Capital Costs</vt:lpstr>
      <vt:lpstr>Replacement Costs - Entry</vt:lpstr>
      <vt:lpstr>Replace Costs - Results 1-5</vt:lpstr>
      <vt:lpstr>Replace Costs-Results 6-10</vt:lpstr>
      <vt:lpstr>Replace Costs-Results 11-15</vt:lpstr>
      <vt:lpstr>Replace Costs-Results 16-20</vt:lpstr>
      <vt:lpstr>Yearly O&amp;M Costs 1-10</vt:lpstr>
      <vt:lpstr>Yearly O&amp;M Costs 11-20</vt:lpstr>
      <vt:lpstr>Inter O&amp;M Entry</vt:lpstr>
      <vt:lpstr>Inter O&amp;M 1-10</vt:lpstr>
      <vt:lpstr>Inter O&amp;M 11-20</vt:lpstr>
      <vt:lpstr>2Capital Costs</vt:lpstr>
      <vt:lpstr>2Replacement Costs - Entry</vt:lpstr>
      <vt:lpstr>2Replace Costs - Results 1-5</vt:lpstr>
      <vt:lpstr>2Replace Costs-Results 6-10</vt:lpstr>
      <vt:lpstr>2Replace Costs-Results 11-15</vt:lpstr>
      <vt:lpstr>2Replace Costs-Results 16-20</vt:lpstr>
      <vt:lpstr>2Yearly O&amp;M Costs 1-10</vt:lpstr>
      <vt:lpstr>2Yearly O&amp;M Costs 11-20</vt:lpstr>
      <vt:lpstr>2Inter O&amp;M Entry</vt:lpstr>
      <vt:lpstr>2Inter O&amp;M 1-10</vt:lpstr>
      <vt:lpstr>2Inter O&amp;M 11-20</vt:lpstr>
      <vt:lpstr>3Capital Costs</vt:lpstr>
      <vt:lpstr>3Replacement Costs - Entry</vt:lpstr>
      <vt:lpstr>3Replace Costs - Results 1-5</vt:lpstr>
      <vt:lpstr>3Replace Costs-Results 6-10</vt:lpstr>
      <vt:lpstr>3Replace Costs-Results 11-15</vt:lpstr>
      <vt:lpstr>3Replace Costs-Results 16-20</vt:lpstr>
      <vt:lpstr>3Yearly O&amp;M Costs 1-10</vt:lpstr>
      <vt:lpstr>3Yearly O&amp;M Costs 11-20</vt:lpstr>
      <vt:lpstr>3Inter O&amp;M Entry</vt:lpstr>
      <vt:lpstr>3Inter O&amp;M 1-10</vt:lpstr>
      <vt:lpstr>3Inter O&amp;M 11-20</vt:lpstr>
      <vt:lpstr>4Capital Costs</vt:lpstr>
      <vt:lpstr>4Replacement Costs - Entry</vt:lpstr>
      <vt:lpstr>4Replace Costs - Results 1-5</vt:lpstr>
      <vt:lpstr>4Replace Costs-Results 6-10</vt:lpstr>
      <vt:lpstr>4Replace Costs-Results 11-15</vt:lpstr>
      <vt:lpstr>4Replace Costs-Results 16-20</vt:lpstr>
      <vt:lpstr>4Yearly O&amp;M Costs 1-10</vt:lpstr>
      <vt:lpstr>4Yearly O&amp;M Costs 11-20</vt:lpstr>
      <vt:lpstr>4Inter O&amp;M Entry</vt:lpstr>
      <vt:lpstr>4Inter O&amp;M 1-10</vt:lpstr>
      <vt:lpstr>4Inter O&amp;M 11-20</vt:lpstr>
      <vt:lpstr>5Capital Costs</vt:lpstr>
      <vt:lpstr>5Replacement Costs - Entry</vt:lpstr>
      <vt:lpstr>5Replace Costs - Results 1-5</vt:lpstr>
      <vt:lpstr>5Replace Costs-Results 6-10</vt:lpstr>
      <vt:lpstr>5Replace Costs-Results 11-15</vt:lpstr>
      <vt:lpstr>5Replace Costs-Results 16-20</vt:lpstr>
      <vt:lpstr>5Yearly O&amp;M Costs 1-10</vt:lpstr>
      <vt:lpstr>5Yearly O&amp;M Costs 11-20</vt:lpstr>
      <vt:lpstr>5Inter O&amp;M Entry</vt:lpstr>
      <vt:lpstr>5Inter O&amp;M 1-10</vt:lpstr>
      <vt:lpstr>5Inter O&amp;M 11-20</vt:lpstr>
      <vt:lpstr>6Capital Costs</vt:lpstr>
      <vt:lpstr>6Replacement Costs - Entry</vt:lpstr>
      <vt:lpstr>6Replace Costs - Results 1-5</vt:lpstr>
      <vt:lpstr>6Replace Costs-Results 6-10</vt:lpstr>
      <vt:lpstr>6Replace Costs-Results 11-15</vt:lpstr>
      <vt:lpstr>6Replace Costs-Results 16-20</vt:lpstr>
      <vt:lpstr>6Yearly O&amp;M Costs 1-10</vt:lpstr>
      <vt:lpstr>6Yearly O&amp;M Costs 11-20</vt:lpstr>
      <vt:lpstr>6Inter O&amp;M Entry</vt:lpstr>
      <vt:lpstr>6Inter O&amp;M 1-10</vt:lpstr>
      <vt:lpstr>6Inter O&amp;M 11-20</vt:lpstr>
      <vt:lpstr>Total Present Worth</vt:lpstr>
      <vt:lpstr>CCI-MCI</vt:lpstr>
      <vt:lpstr>'Replace Costs - Results 1-5'!Print_Area</vt:lpstr>
      <vt:lpstr>'Replace Costs-Results 6-10'!Print_Area</vt:lpstr>
      <vt:lpstr>'2Capital Costs'!Print_Titles</vt:lpstr>
      <vt:lpstr>'2Inter O&amp;M Entry'!Print_Titles</vt:lpstr>
      <vt:lpstr>'2Replace Costs - Results 1-5'!Print_Titles</vt:lpstr>
      <vt:lpstr>'2Replace Costs-Results 11-15'!Print_Titles</vt:lpstr>
      <vt:lpstr>'2Replace Costs-Results 16-20'!Print_Titles</vt:lpstr>
      <vt:lpstr>'2Replace Costs-Results 6-10'!Print_Titles</vt:lpstr>
      <vt:lpstr>'2Replacement Costs - Entry'!Print_Titles</vt:lpstr>
      <vt:lpstr>'2Yearly O&amp;M Costs 1-10'!Print_Titles</vt:lpstr>
      <vt:lpstr>'2Yearly O&amp;M Costs 11-20'!Print_Titles</vt:lpstr>
      <vt:lpstr>'3Capital Costs'!Print_Titles</vt:lpstr>
      <vt:lpstr>'3Inter O&amp;M Entry'!Print_Titles</vt:lpstr>
      <vt:lpstr>'3Replace Costs - Results 1-5'!Print_Titles</vt:lpstr>
      <vt:lpstr>'3Replace Costs-Results 11-15'!Print_Titles</vt:lpstr>
      <vt:lpstr>'3Replace Costs-Results 16-20'!Print_Titles</vt:lpstr>
      <vt:lpstr>'3Replace Costs-Results 6-10'!Print_Titles</vt:lpstr>
      <vt:lpstr>'3Replacement Costs - Entry'!Print_Titles</vt:lpstr>
      <vt:lpstr>'3Yearly O&amp;M Costs 1-10'!Print_Titles</vt:lpstr>
      <vt:lpstr>'3Yearly O&amp;M Costs 11-20'!Print_Titles</vt:lpstr>
      <vt:lpstr>'4Capital Costs'!Print_Titles</vt:lpstr>
      <vt:lpstr>'4Inter O&amp;M Entry'!Print_Titles</vt:lpstr>
      <vt:lpstr>'4Replace Costs - Results 1-5'!Print_Titles</vt:lpstr>
      <vt:lpstr>'4Replace Costs-Results 11-15'!Print_Titles</vt:lpstr>
      <vt:lpstr>'4Replace Costs-Results 16-20'!Print_Titles</vt:lpstr>
      <vt:lpstr>'4Replace Costs-Results 6-10'!Print_Titles</vt:lpstr>
      <vt:lpstr>'4Replacement Costs - Entry'!Print_Titles</vt:lpstr>
      <vt:lpstr>'4Yearly O&amp;M Costs 1-10'!Print_Titles</vt:lpstr>
      <vt:lpstr>'4Yearly O&amp;M Costs 11-20'!Print_Titles</vt:lpstr>
      <vt:lpstr>'5Capital Costs'!Print_Titles</vt:lpstr>
      <vt:lpstr>'5Inter O&amp;M Entry'!Print_Titles</vt:lpstr>
      <vt:lpstr>'5Replace Costs - Results 1-5'!Print_Titles</vt:lpstr>
      <vt:lpstr>'5Replace Costs-Results 11-15'!Print_Titles</vt:lpstr>
      <vt:lpstr>'5Replace Costs-Results 16-20'!Print_Titles</vt:lpstr>
      <vt:lpstr>'5Replace Costs-Results 6-10'!Print_Titles</vt:lpstr>
      <vt:lpstr>'5Replacement Costs - Entry'!Print_Titles</vt:lpstr>
      <vt:lpstr>'5Yearly O&amp;M Costs 1-10'!Print_Titles</vt:lpstr>
      <vt:lpstr>'5Yearly O&amp;M Costs 11-20'!Print_Titles</vt:lpstr>
      <vt:lpstr>'6Capital Costs'!Print_Titles</vt:lpstr>
      <vt:lpstr>'6Inter O&amp;M Entry'!Print_Titles</vt:lpstr>
      <vt:lpstr>'6Replace Costs - Results 1-5'!Print_Titles</vt:lpstr>
      <vt:lpstr>'6Replace Costs-Results 11-15'!Print_Titles</vt:lpstr>
      <vt:lpstr>'6Replace Costs-Results 16-20'!Print_Titles</vt:lpstr>
      <vt:lpstr>'6Replace Costs-Results 6-10'!Print_Titles</vt:lpstr>
      <vt:lpstr>'6Replacement Costs - Entry'!Print_Titles</vt:lpstr>
      <vt:lpstr>'6Yearly O&amp;M Costs 1-10'!Print_Titles</vt:lpstr>
      <vt:lpstr>'6Yearly O&amp;M Costs 11-20'!Print_Titles</vt:lpstr>
      <vt:lpstr>'Capital Costs'!Print_Titles</vt:lpstr>
      <vt:lpstr>'Inter O&amp;M Entry'!Print_Titles</vt:lpstr>
      <vt:lpstr>'Replace Costs - Results 1-5'!Print_Titles</vt:lpstr>
      <vt:lpstr>'Replace Costs-Results 11-15'!Print_Titles</vt:lpstr>
      <vt:lpstr>'Replace Costs-Results 16-20'!Print_Titles</vt:lpstr>
      <vt:lpstr>'Replace Costs-Results 6-10'!Print_Titles</vt:lpstr>
      <vt:lpstr>'Replacement Costs - Entry'!Print_Titles</vt:lpstr>
      <vt:lpstr>'Yearly O&amp;M Costs 1-10'!Print_Titles</vt:lpstr>
      <vt:lpstr>'Yearly O&amp;M Costs 11-20'!Print_Titles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cp:lastPrinted>2011-08-12T15:17:44Z</cp:lastPrinted>
  <dcterms:created xsi:type="dcterms:W3CDTF">2010-02-18T14:17:22Z</dcterms:created>
  <dcterms:modified xsi:type="dcterms:W3CDTF">2012-09-19T16:14:04Z</dcterms:modified>
</cp:coreProperties>
</file>