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195" yWindow="285" windowWidth="9690" windowHeight="6510"/>
  </bookViews>
  <sheets>
    <sheet name="General" sheetId="1" r:id="rId1"/>
    <sheet name="Operating" sheetId="5" r:id="rId2"/>
    <sheet name="KCPDU Rev" sheetId="9" r:id="rId3"/>
    <sheet name="KCPDU Approp" sheetId="15" r:id="rId4"/>
    <sheet name="KCMBU Rev" sheetId="7" r:id="rId5"/>
    <sheet name="KCMBU Approp" sheetId="10" r:id="rId6"/>
  </sheets>
  <externalReferences>
    <externalReference r:id="rId7"/>
    <externalReference r:id="rId8"/>
  </externalReferences>
  <definedNames>
    <definedName name="_Order1" hidden="1">255</definedName>
    <definedName name="_p3">[1]General!$A$59:$P$116</definedName>
    <definedName name="_xlnm.Criteria">#REF!</definedName>
    <definedName name="Mileage">#REF!</definedName>
    <definedName name="P1_" localSheetId="1">Operating!$A$1:$L$46</definedName>
    <definedName name="P1_">General!$A$1:$P$57</definedName>
    <definedName name="P2_" localSheetId="1">Operating!$A$47:$L$53</definedName>
    <definedName name="P2_">General!$A$59:$P$114</definedName>
    <definedName name="PD_b">#REF!</definedName>
    <definedName name="PD_b_d">#REF!</definedName>
    <definedName name="PD_b_l">#REF!</definedName>
    <definedName name="PD_d">#REF!</definedName>
    <definedName name="PD_full">#REF!</definedName>
    <definedName name="PD_l">#REF!</definedName>
    <definedName name="PD_l_d">#REF!</definedName>
    <definedName name="Per_diem__daily">#REF!</definedName>
    <definedName name="_xlnm.Print_Area" localSheetId="1">Operating!$A$1:$L$51</definedName>
    <definedName name="Ref">#REF!</definedName>
    <definedName name="SUMMARY_TEXT">'[2]Total Expenditure Summary'!#REF!</definedName>
    <definedName name="Total">#REF!</definedName>
    <definedName name="WHAT">#REF!</definedName>
  </definedNames>
  <calcPr calcId="145621"/>
</workbook>
</file>

<file path=xl/calcChain.xml><?xml version="1.0" encoding="utf-8"?>
<calcChain xmlns="http://schemas.openxmlformats.org/spreadsheetml/2006/main">
  <c r="O60" i="7" l="1"/>
  <c r="O59" i="15"/>
  <c r="O26" i="15"/>
  <c r="O26" i="10"/>
  <c r="O59" i="10"/>
  <c r="O60" i="9"/>
  <c r="I28" i="5"/>
  <c r="F28" i="5"/>
  <c r="I15" i="5"/>
  <c r="F15" i="5"/>
  <c r="O61" i="10" l="1"/>
  <c r="O61" i="15"/>
</calcChain>
</file>

<file path=xl/sharedStrings.xml><?xml version="1.0" encoding="utf-8"?>
<sst xmlns="http://schemas.openxmlformats.org/spreadsheetml/2006/main" count="298" uniqueCount="166">
  <si>
    <t>GENERAL</t>
  </si>
  <si>
    <t>Ordinance Fact Sheet</t>
  </si>
  <si>
    <t>Ordinance Number</t>
  </si>
  <si>
    <t>Brief Title</t>
  </si>
  <si>
    <t>Approval Deadline</t>
  </si>
  <si>
    <t>Reason</t>
  </si>
  <si>
    <t>Details</t>
  </si>
  <si>
    <t>Positions/Recommendations</t>
  </si>
  <si>
    <t>Reason for Legislation</t>
  </si>
  <si>
    <t>Sponsor</t>
  </si>
  <si>
    <t>Programs,</t>
  </si>
  <si>
    <t>Departments,</t>
  </si>
  <si>
    <t>Police Department</t>
  </si>
  <si>
    <t>or Groups</t>
  </si>
  <si>
    <t>Affected</t>
  </si>
  <si>
    <t>Applicants /</t>
  </si>
  <si>
    <t>Applicant</t>
  </si>
  <si>
    <t>Proponents</t>
  </si>
  <si>
    <t>City Department</t>
  </si>
  <si>
    <t>Other</t>
  </si>
  <si>
    <t>Opponents</t>
  </si>
  <si>
    <t>Groups or Individuals</t>
  </si>
  <si>
    <t>None known.</t>
  </si>
  <si>
    <t>Basis of opposition</t>
  </si>
  <si>
    <t xml:space="preserve">       </t>
  </si>
  <si>
    <t>Staff</t>
  </si>
  <si>
    <t>x</t>
  </si>
  <si>
    <t>For</t>
  </si>
  <si>
    <t>Recommendation</t>
  </si>
  <si>
    <t>Against</t>
  </si>
  <si>
    <t>Reason Against</t>
  </si>
  <si>
    <t>Board or</t>
  </si>
  <si>
    <t>Commission</t>
  </si>
  <si>
    <t>By</t>
  </si>
  <si>
    <t>Board of Police Commissioners</t>
  </si>
  <si>
    <t xml:space="preserve">  No action taken</t>
  </si>
  <si>
    <t>For, with revisions or conditions</t>
  </si>
  <si>
    <t>(see details column for conditions)</t>
  </si>
  <si>
    <t xml:space="preserve"> </t>
  </si>
  <si>
    <t>Council</t>
  </si>
  <si>
    <t>Do pass</t>
  </si>
  <si>
    <t>Committee Actions</t>
  </si>
  <si>
    <t>Do pass (as amended)</t>
  </si>
  <si>
    <t>Committee Sub.</t>
  </si>
  <si>
    <t>Without Recommendation</t>
  </si>
  <si>
    <t>Hold</t>
  </si>
  <si>
    <t>Do not pass</t>
  </si>
  <si>
    <t>(Continued on reverse side)</t>
  </si>
  <si>
    <t>Policy/Program Impact</t>
  </si>
  <si>
    <t>Policy or Program</t>
  </si>
  <si>
    <t>Change</t>
  </si>
  <si>
    <t/>
  </si>
  <si>
    <t>No</t>
  </si>
  <si>
    <t>Yes</t>
  </si>
  <si>
    <t xml:space="preserve">Operational </t>
  </si>
  <si>
    <t>Impact</t>
  </si>
  <si>
    <t>Assessment</t>
  </si>
  <si>
    <t>Finances</t>
  </si>
  <si>
    <t>Cost &amp; Revenue</t>
  </si>
  <si>
    <t>Projections --</t>
  </si>
  <si>
    <t>Including Indirect</t>
  </si>
  <si>
    <t>Costs</t>
  </si>
  <si>
    <t>Financial Impact</t>
  </si>
  <si>
    <t>The impact of this ordinance is neutral since the</t>
  </si>
  <si>
    <t>increase in revenues equals the increase in</t>
  </si>
  <si>
    <t>expenditures.</t>
  </si>
  <si>
    <t>Fund Source (s)</t>
  </si>
  <si>
    <t>and Appropriation</t>
  </si>
  <si>
    <t>Account Codes</t>
  </si>
  <si>
    <t xml:space="preserve">Applicable Dates:  </t>
  </si>
  <si>
    <t>Reviewed by:</t>
  </si>
  <si>
    <t>Reference Numbers</t>
  </si>
  <si>
    <t>$</t>
  </si>
  <si>
    <t>TOTAL</t>
  </si>
  <si>
    <t>OPERATING/PROGRAMMATIC</t>
  </si>
  <si>
    <t>Legislative Fiscal Note</t>
  </si>
  <si>
    <t>Ordinance Title (in Brief)</t>
  </si>
  <si>
    <t>Does this Legislation Estimate New or Additional Revenues to the City?</t>
  </si>
  <si>
    <t>If yes, please identify in  which Fund these revenues will be deposited (e.g. General, Sales Tax)</t>
  </si>
  <si>
    <t>and provide the following revenue information:</t>
  </si>
  <si>
    <t>Revenue Detail</t>
  </si>
  <si>
    <t>General Fund</t>
  </si>
  <si>
    <t>Special Revenue</t>
  </si>
  <si>
    <t>Enterprise</t>
  </si>
  <si>
    <t>Total: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</si>
  <si>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</si>
  <si>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</si>
  <si>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Does this Legislation increase appropriations in the current budget?</t>
  </si>
  <si>
    <t>If Yes, please complete the following budget information:</t>
  </si>
  <si>
    <t>Expense Detail</t>
  </si>
  <si>
    <t>Enterprise/Other</t>
  </si>
  <si>
    <t>Please detail the extent to which these increased appropriations will be of a permanent nature (e.g. number of</t>
  </si>
  <si>
    <t xml:space="preserve">additional staff, facilities, long-term contracts) </t>
  </si>
  <si>
    <t>Does this Legislation expand the scope of current city services?</t>
  </si>
  <si>
    <t>X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</si>
  <si>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</si>
  <si>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</si>
  <si>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Is this legislation the result of a federal or state legislative mandate?</t>
  </si>
  <si>
    <t>(If yes, please detail the purpose and source for that mandate).</t>
  </si>
  <si>
    <t>0ffice of Management and Budget</t>
  </si>
  <si>
    <t>OMB Approval Date</t>
  </si>
  <si>
    <t>A</t>
  </si>
  <si>
    <t>C</t>
  </si>
  <si>
    <t>REQUEST FOR SUPPLEMENTAL REVENUE</t>
  </si>
  <si>
    <t>CITY  OF  KANSAS  CITY,  MISSOURI</t>
  </si>
  <si>
    <t>DEPARTMENT:</t>
  </si>
  <si>
    <t>Police</t>
  </si>
  <si>
    <t>BUSINESS UNIT:</t>
  </si>
  <si>
    <t>KCPDU</t>
  </si>
  <si>
    <t>DATE:</t>
  </si>
  <si>
    <t>JOURNAL ID:</t>
  </si>
  <si>
    <t>LEDGER GROUP:</t>
  </si>
  <si>
    <t>REVENUE</t>
  </si>
  <si>
    <t>FUND</t>
  </si>
  <si>
    <t>DEPT ID</t>
  </si>
  <si>
    <t>ACCOUNT</t>
  </si>
  <si>
    <t>PROJECT</t>
  </si>
  <si>
    <t>AMOUNT</t>
  </si>
  <si>
    <t>INC/DEC</t>
  </si>
  <si>
    <t>Inc</t>
  </si>
  <si>
    <t>DESCRIPTION:</t>
  </si>
  <si>
    <t>APPROVED BY:</t>
  </si>
  <si>
    <t>DATE</t>
  </si>
  <si>
    <t>APPROVED BY:  DEPARTMENT HEAD</t>
  </si>
  <si>
    <t>APPROPRIATION TRANSACTION</t>
  </si>
  <si>
    <t>APPROP</t>
  </si>
  <si>
    <t xml:space="preserve">JOURNAL ID:  </t>
  </si>
  <si>
    <t>(same as above, except</t>
  </si>
  <si>
    <t>ADMIN</t>
  </si>
  <si>
    <t>BUDGET PERIOD:</t>
  </si>
  <si>
    <t>prefixed by a C)</t>
  </si>
  <si>
    <t>NET</t>
  </si>
  <si>
    <t>KCMBU</t>
  </si>
  <si>
    <t>Yes, because it helps protect public safety in</t>
  </si>
  <si>
    <t>Kansas City.</t>
  </si>
  <si>
    <t>How will this contribute to a sustainable Kansas City?</t>
  </si>
  <si>
    <t>This grant has no environmental impact.</t>
  </si>
  <si>
    <t xml:space="preserve">Is this ordinance good for the children? </t>
  </si>
  <si>
    <t xml:space="preserve">To increase appropriations </t>
  </si>
  <si>
    <t>charge outs offsets related expenditures</t>
  </si>
  <si>
    <t>This ordinance applies to the Patrol Division Program</t>
  </si>
  <si>
    <t>The U.S. Department of Justice has awarded a</t>
  </si>
  <si>
    <t>FY 2012-13</t>
  </si>
  <si>
    <t>in the Police Grants Fund.</t>
  </si>
  <si>
    <t xml:space="preserve">The grant is 100% federally funded. </t>
  </si>
  <si>
    <t xml:space="preserve">grant to the Police Department to partner with </t>
  </si>
  <si>
    <t xml:space="preserve">The grant consist of federal funding. </t>
  </si>
  <si>
    <t>B</t>
  </si>
  <si>
    <t>xxxxxx</t>
  </si>
  <si>
    <t>Increase appropriations for the Police Grants fund</t>
  </si>
  <si>
    <t>same in the Police Grants Fund.</t>
  </si>
  <si>
    <t>This ordinance provides funds for overtime and to</t>
  </si>
  <si>
    <t>partner with the University of Missouri-Kansas City</t>
  </si>
  <si>
    <t>the University of Missouri-Kansas City.</t>
  </si>
  <si>
    <t>with the objective to impact and evaluate violence in</t>
  </si>
  <si>
    <t>The grant provides for overtime and training</t>
  </si>
  <si>
    <t>high crime areas through use of foot patrol.</t>
  </si>
  <si>
    <t>This grant will allow funding for overtime and training for 1 year.</t>
  </si>
  <si>
    <t xml:space="preserve">The grant serves the people of the City of Kansas City by providing overtime for officers who backfill for </t>
  </si>
  <si>
    <t>other officers who will be assigned foot patrol duties for 13 weeks. The University of Missouri-Kansas City</t>
  </si>
  <si>
    <t>will evaluate the impact that foot patrols have on crime in the area under study.</t>
  </si>
  <si>
    <t>To estimate revenues of $299,730 and appropriate</t>
  </si>
  <si>
    <t>The $299,730 increase in revenues and</t>
  </si>
  <si>
    <t>of $299,730.</t>
  </si>
  <si>
    <t>FY 2013-14</t>
  </si>
  <si>
    <t>4xxxxx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</si>
</sst>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&quot;$&quot;\ * #,##0_);\(&quot;$&quot;#,##0\)"/>
    <numFmt numFmtId="166" formatCode="#,##0\ "/>
    <numFmt numFmtId="167" formatCode="#,##0_);\(#,##0\);&quot;—  &quot;"/>
  </numFmts>
  <fonts count="19" x14ac:knownFonts="1">
    <font>
      <sz val="10"/>
      <name val="Times New Roman"/>
      <family val="1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</font>
    <font>
      <b/>
      <sz val="9"/>
      <name val="Arial"/>
      <family val="2"/>
    </font>
    <font>
      <sz val="10"/>
      <name val="MS Sans Serif"/>
    </font>
    <font>
      <sz val="12"/>
      <name val="Times New Roman"/>
    </font>
    <font>
      <b/>
      <sz val="16"/>
      <name val="Arial"/>
      <family val="2"/>
    </font>
    <font>
      <b/>
      <u/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14" fillId="0" borderId="0">
      <alignment horizontal="right"/>
    </xf>
    <xf numFmtId="165" fontId="14" fillId="0" borderId="0">
      <alignment horizontal="right"/>
    </xf>
    <xf numFmtId="0" fontId="1" fillId="0" borderId="0"/>
    <xf numFmtId="167" fontId="18" fillId="0" borderId="0" applyFill="0" applyBorder="0" applyAlignment="0" applyProtection="0"/>
    <xf numFmtId="0" fontId="15" fillId="0" borderId="1"/>
  </cellStyleXfs>
  <cellXfs count="192">
    <xf numFmtId="0" fontId="0" fillId="0" borderId="0" xfId="0"/>
    <xf numFmtId="164" fontId="3" fillId="0" borderId="2" xfId="1" applyNumberFormat="1" applyFont="1" applyBorder="1"/>
    <xf numFmtId="0" fontId="7" fillId="0" borderId="0" xfId="0" applyFont="1"/>
    <xf numFmtId="0" fontId="2" fillId="0" borderId="0" xfId="0" applyFont="1"/>
    <xf numFmtId="0" fontId="8" fillId="0" borderId="0" xfId="0" applyFont="1"/>
    <xf numFmtId="0" fontId="3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3" fillId="0" borderId="6" xfId="0" applyFont="1" applyBorder="1"/>
    <xf numFmtId="0" fontId="10" fillId="0" borderId="0" xfId="0" applyFont="1"/>
    <xf numFmtId="0" fontId="10" fillId="0" borderId="6" xfId="0" applyFont="1" applyBorder="1"/>
    <xf numFmtId="0" fontId="3" fillId="0" borderId="7" xfId="0" applyFont="1" applyBorder="1"/>
    <xf numFmtId="0" fontId="10" fillId="0" borderId="7" xfId="0" applyFont="1" applyBorder="1"/>
    <xf numFmtId="0" fontId="6" fillId="0" borderId="7" xfId="0" applyFont="1" applyBorder="1" applyAlignment="1">
      <alignment horizontal="left"/>
    </xf>
    <xf numFmtId="0" fontId="6" fillId="0" borderId="7" xfId="0" applyFont="1" applyBorder="1"/>
    <xf numFmtId="0" fontId="8" fillId="0" borderId="7" xfId="0" applyFont="1" applyBorder="1"/>
    <xf numFmtId="0" fontId="6" fillId="0" borderId="8" xfId="0" applyFont="1" applyBorder="1"/>
    <xf numFmtId="0" fontId="6" fillId="0" borderId="6" xfId="0" applyFont="1" applyBorder="1" applyAlignment="1">
      <alignment horizontal="left"/>
    </xf>
    <xf numFmtId="0" fontId="2" fillId="0" borderId="6" xfId="0" applyFont="1" applyBorder="1"/>
    <xf numFmtId="0" fontId="2" fillId="0" borderId="9" xfId="0" applyFont="1" applyBorder="1"/>
    <xf numFmtId="0" fontId="6" fillId="0" borderId="1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0" fillId="0" borderId="14" xfId="0" applyFont="1" applyBorder="1"/>
    <xf numFmtId="0" fontId="3" fillId="0" borderId="15" xfId="0" applyFont="1" applyBorder="1"/>
    <xf numFmtId="0" fontId="5" fillId="0" borderId="11" xfId="0" applyFont="1" applyBorder="1"/>
    <xf numFmtId="0" fontId="2" fillId="0" borderId="12" xfId="0" applyFont="1" applyBorder="1"/>
    <xf numFmtId="0" fontId="6" fillId="0" borderId="1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16" xfId="0" applyFont="1" applyBorder="1"/>
    <xf numFmtId="0" fontId="6" fillId="0" borderId="17" xfId="0" applyFont="1" applyBorder="1" applyAlignment="1">
      <alignment horizontal="left"/>
    </xf>
    <xf numFmtId="0" fontId="2" fillId="0" borderId="7" xfId="0" applyFont="1" applyBorder="1"/>
    <xf numFmtId="0" fontId="3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8" xfId="0" applyFont="1" applyBorder="1"/>
    <xf numFmtId="0" fontId="6" fillId="0" borderId="11" xfId="0" applyFont="1" applyBorder="1"/>
    <xf numFmtId="0" fontId="5" fillId="0" borderId="0" xfId="0" applyFont="1"/>
    <xf numFmtId="0" fontId="2" fillId="0" borderId="16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22" xfId="0" applyFont="1" applyBorder="1" applyAlignment="1">
      <alignment horizontal="left"/>
    </xf>
    <xf numFmtId="0" fontId="6" fillId="0" borderId="12" xfId="0" applyFont="1" applyBorder="1"/>
    <xf numFmtId="0" fontId="3" fillId="0" borderId="22" xfId="0" applyFont="1" applyBorder="1"/>
    <xf numFmtId="0" fontId="6" fillId="0" borderId="12" xfId="0" applyFont="1" applyBorder="1" applyAlignment="1">
      <alignment horizontal="left"/>
    </xf>
    <xf numFmtId="0" fontId="2" fillId="0" borderId="22" xfId="0" applyFont="1" applyBorder="1"/>
    <xf numFmtId="0" fontId="2" fillId="0" borderId="23" xfId="0" applyFont="1" applyBorder="1"/>
    <xf numFmtId="0" fontId="6" fillId="0" borderId="6" xfId="0" applyFont="1" applyBorder="1"/>
    <xf numFmtId="0" fontId="3" fillId="0" borderId="22" xfId="0" applyFont="1" applyBorder="1" applyAlignment="1">
      <alignment horizontal="fill"/>
    </xf>
    <xf numFmtId="0" fontId="5" fillId="0" borderId="0" xfId="0" applyFont="1" applyAlignment="1">
      <alignment horizontal="left"/>
    </xf>
    <xf numFmtId="0" fontId="3" fillId="0" borderId="22" xfId="0" applyFont="1" applyBorder="1" applyAlignment="1">
      <alignment horizontal="center"/>
    </xf>
    <xf numFmtId="0" fontId="6" fillId="0" borderId="16" xfId="0" applyFont="1" applyBorder="1"/>
    <xf numFmtId="0" fontId="5" fillId="0" borderId="23" xfId="0" applyFont="1" applyBorder="1"/>
    <xf numFmtId="0" fontId="3" fillId="0" borderId="20" xfId="0" applyFont="1" applyBorder="1"/>
    <xf numFmtId="0" fontId="5" fillId="0" borderId="6" xfId="0" applyFont="1" applyBorder="1"/>
    <xf numFmtId="0" fontId="6" fillId="0" borderId="17" xfId="0" applyFont="1" applyBorder="1"/>
    <xf numFmtId="0" fontId="3" fillId="0" borderId="7" xfId="0" applyFont="1" applyBorder="1" applyAlignment="1">
      <alignment horizontal="left"/>
    </xf>
    <xf numFmtId="0" fontId="10" fillId="0" borderId="12" xfId="0" applyFont="1" applyBorder="1"/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2" fillId="0" borderId="6" xfId="0" applyFont="1" applyBorder="1" applyAlignment="1">
      <alignment horizontal="left"/>
    </xf>
    <xf numFmtId="0" fontId="5" fillId="0" borderId="14" xfId="0" applyFont="1" applyBorder="1"/>
    <xf numFmtId="0" fontId="5" fillId="0" borderId="7" xfId="0" applyFont="1" applyBorder="1"/>
    <xf numFmtId="3" fontId="1" fillId="0" borderId="12" xfId="0" applyNumberFormat="1" applyFont="1" applyBorder="1"/>
    <xf numFmtId="0" fontId="3" fillId="0" borderId="0" xfId="0" applyFont="1" applyBorder="1"/>
    <xf numFmtId="0" fontId="2" fillId="0" borderId="0" xfId="0" applyFont="1" applyBorder="1"/>
    <xf numFmtId="0" fontId="5" fillId="0" borderId="0" xfId="0" applyFont="1" applyBorder="1"/>
    <xf numFmtId="0" fontId="10" fillId="0" borderId="0" xfId="0" applyFont="1" applyBorder="1"/>
    <xf numFmtId="0" fontId="2" fillId="0" borderId="24" xfId="0" applyFont="1" applyBorder="1"/>
    <xf numFmtId="0" fontId="3" fillId="0" borderId="25" xfId="0" applyFont="1" applyBorder="1"/>
    <xf numFmtId="37" fontId="3" fillId="0" borderId="2" xfId="0" applyNumberFormat="1" applyFont="1" applyBorder="1"/>
    <xf numFmtId="0" fontId="7" fillId="0" borderId="26" xfId="0" applyFont="1" applyBorder="1"/>
    <xf numFmtId="0" fontId="2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9" fillId="0" borderId="31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2" xfId="0" applyFont="1" applyBorder="1"/>
    <xf numFmtId="0" fontId="2" fillId="0" borderId="31" xfId="0" applyFont="1" applyBorder="1"/>
    <xf numFmtId="0" fontId="2" fillId="0" borderId="2" xfId="0" applyFont="1" applyBorder="1"/>
    <xf numFmtId="0" fontId="6" fillId="0" borderId="31" xfId="0" applyFont="1" applyBorder="1" applyAlignment="1">
      <alignment horizontal="left"/>
    </xf>
    <xf numFmtId="0" fontId="6" fillId="0" borderId="32" xfId="0" applyFont="1" applyBorder="1"/>
    <xf numFmtId="0" fontId="2" fillId="0" borderId="33" xfId="0" applyFont="1" applyBorder="1"/>
    <xf numFmtId="0" fontId="8" fillId="0" borderId="25" xfId="0" applyFont="1" applyBorder="1"/>
    <xf numFmtId="0" fontId="8" fillId="0" borderId="6" xfId="0" applyFont="1" applyBorder="1"/>
    <xf numFmtId="0" fontId="8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8" fillId="0" borderId="37" xfId="0" applyFont="1" applyBorder="1"/>
    <xf numFmtId="0" fontId="8" fillId="0" borderId="38" xfId="0" applyFont="1" applyBorder="1"/>
    <xf numFmtId="0" fontId="2" fillId="0" borderId="37" xfId="0" applyFont="1" applyBorder="1"/>
    <xf numFmtId="0" fontId="2" fillId="0" borderId="39" xfId="0" applyFont="1" applyBorder="1"/>
    <xf numFmtId="0" fontId="3" fillId="0" borderId="36" xfId="0" applyFont="1" applyBorder="1"/>
    <xf numFmtId="0" fontId="10" fillId="0" borderId="27" xfId="0" applyFont="1" applyBorder="1"/>
    <xf numFmtId="0" fontId="3" fillId="0" borderId="2" xfId="0" applyFont="1" applyBorder="1"/>
    <xf numFmtId="0" fontId="13" fillId="0" borderId="31" xfId="0" applyFont="1" applyBorder="1" applyAlignment="1">
      <alignment horizontal="left"/>
    </xf>
    <xf numFmtId="0" fontId="6" fillId="0" borderId="0" xfId="0" applyFont="1" applyBorder="1"/>
    <xf numFmtId="0" fontId="3" fillId="0" borderId="40" xfId="0" applyFont="1" applyBorder="1" applyAlignment="1">
      <alignment horizontal="fill"/>
    </xf>
    <xf numFmtId="0" fontId="3" fillId="0" borderId="41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1" xfId="0" applyFont="1" applyBorder="1"/>
    <xf numFmtId="0" fontId="11" fillId="0" borderId="0" xfId="0" applyFont="1" applyBorder="1"/>
    <xf numFmtId="0" fontId="13" fillId="0" borderId="0" xfId="0" applyFont="1" applyBorder="1"/>
    <xf numFmtId="0" fontId="10" fillId="0" borderId="42" xfId="0" applyFont="1" applyBorder="1"/>
    <xf numFmtId="0" fontId="11" fillId="0" borderId="0" xfId="0" applyFont="1"/>
    <xf numFmtId="0" fontId="11" fillId="0" borderId="0" xfId="0" applyFont="1" applyBorder="1" applyAlignment="1">
      <alignment horizontal="left" indent="1"/>
    </xf>
    <xf numFmtId="0" fontId="13" fillId="0" borderId="2" xfId="0" applyFont="1" applyBorder="1"/>
    <xf numFmtId="0" fontId="13" fillId="0" borderId="25" xfId="0" applyFont="1" applyBorder="1" applyAlignment="1">
      <alignment horizontal="center"/>
    </xf>
    <xf numFmtId="3" fontId="11" fillId="0" borderId="0" xfId="0" applyNumberFormat="1" applyFont="1" applyBorder="1"/>
    <xf numFmtId="164" fontId="11" fillId="0" borderId="0" xfId="0" applyNumberFormat="1" applyFont="1" applyBorder="1"/>
    <xf numFmtId="3" fontId="11" fillId="0" borderId="25" xfId="0" applyNumberFormat="1" applyFont="1" applyBorder="1"/>
    <xf numFmtId="0" fontId="11" fillId="0" borderId="2" xfId="0" applyFont="1" applyBorder="1"/>
    <xf numFmtId="0" fontId="11" fillId="0" borderId="0" xfId="0" applyFont="1" applyBorder="1" applyAlignment="1">
      <alignment horizontal="center"/>
    </xf>
    <xf numFmtId="164" fontId="11" fillId="0" borderId="0" xfId="1" applyNumberFormat="1" applyFont="1" applyBorder="1"/>
    <xf numFmtId="0" fontId="4" fillId="0" borderId="0" xfId="0" applyFont="1" applyBorder="1"/>
    <xf numFmtId="0" fontId="3" fillId="0" borderId="31" xfId="0" applyFont="1" applyBorder="1"/>
    <xf numFmtId="0" fontId="6" fillId="0" borderId="31" xfId="0" applyFont="1" applyBorder="1"/>
    <xf numFmtId="0" fontId="3" fillId="0" borderId="0" xfId="0" applyFont="1" applyBorder="1" applyAlignment="1">
      <alignment horizontal="left"/>
    </xf>
    <xf numFmtId="0" fontId="13" fillId="0" borderId="31" xfId="0" applyFont="1" applyBorder="1"/>
    <xf numFmtId="0" fontId="5" fillId="0" borderId="31" xfId="0" applyFont="1" applyBorder="1" applyAlignment="1">
      <alignment horizontal="left"/>
    </xf>
    <xf numFmtId="0" fontId="3" fillId="0" borderId="43" xfId="0" applyFont="1" applyBorder="1"/>
    <xf numFmtId="0" fontId="5" fillId="0" borderId="25" xfId="0" applyFont="1" applyBorder="1"/>
    <xf numFmtId="0" fontId="2" fillId="0" borderId="25" xfId="0" applyFont="1" applyBorder="1"/>
    <xf numFmtId="0" fontId="3" fillId="0" borderId="38" xfId="0" applyFont="1" applyBorder="1"/>
    <xf numFmtId="0" fontId="3" fillId="0" borderId="42" xfId="0" applyFont="1" applyBorder="1"/>
    <xf numFmtId="3" fontId="1" fillId="0" borderId="2" xfId="0" applyNumberFormat="1" applyFont="1" applyBorder="1"/>
    <xf numFmtId="164" fontId="3" fillId="0" borderId="2" xfId="0" applyNumberFormat="1" applyFont="1" applyBorder="1"/>
    <xf numFmtId="0" fontId="3" fillId="0" borderId="6" xfId="0" applyFont="1" applyFill="1" applyBorder="1"/>
    <xf numFmtId="0" fontId="2" fillId="0" borderId="6" xfId="0" applyFont="1" applyFill="1" applyBorder="1"/>
    <xf numFmtId="0" fontId="2" fillId="0" borderId="9" xfId="0" applyFont="1" applyFill="1" applyBorder="1"/>
    <xf numFmtId="0" fontId="3" fillId="0" borderId="0" xfId="0" applyFont="1" applyFill="1"/>
    <xf numFmtId="0" fontId="2" fillId="0" borderId="0" xfId="0" applyFont="1" applyFill="1"/>
    <xf numFmtId="0" fontId="2" fillId="0" borderId="12" xfId="0" applyFont="1" applyFill="1" applyBorder="1"/>
    <xf numFmtId="0" fontId="1" fillId="0" borderId="0" xfId="4"/>
    <xf numFmtId="0" fontId="10" fillId="0" borderId="0" xfId="4" applyFont="1"/>
    <xf numFmtId="0" fontId="1" fillId="0" borderId="25" xfId="4" applyFont="1" applyBorder="1"/>
    <xf numFmtId="0" fontId="1" fillId="0" borderId="25" xfId="4" applyBorder="1"/>
    <xf numFmtId="0" fontId="8" fillId="0" borderId="0" xfId="4" applyFont="1"/>
    <xf numFmtId="0" fontId="8" fillId="0" borderId="25" xfId="4" applyFont="1" applyBorder="1"/>
    <xf numFmtId="0" fontId="8" fillId="0" borderId="0" xfId="4" applyFont="1" applyAlignment="1">
      <alignment horizontal="right"/>
    </xf>
    <xf numFmtId="0" fontId="8" fillId="0" borderId="0" xfId="4" applyFont="1" applyBorder="1"/>
    <xf numFmtId="0" fontId="17" fillId="0" borderId="0" xfId="4" applyFont="1" applyAlignment="1">
      <alignment horizontal="center"/>
    </xf>
    <xf numFmtId="0" fontId="10" fillId="0" borderId="0" xfId="4" applyFont="1" applyAlignment="1">
      <alignment horizontal="center"/>
    </xf>
    <xf numFmtId="0" fontId="17" fillId="0" borderId="0" xfId="4" applyFont="1" applyBorder="1"/>
    <xf numFmtId="0" fontId="1" fillId="0" borderId="25" xfId="4" applyBorder="1" applyAlignment="1">
      <alignment horizontal="center"/>
    </xf>
    <xf numFmtId="43" fontId="1" fillId="0" borderId="25" xfId="4" applyNumberFormat="1" applyBorder="1" applyAlignment="1">
      <alignment horizontal="center"/>
    </xf>
    <xf numFmtId="0" fontId="1" fillId="0" borderId="25" xfId="4" applyFont="1" applyBorder="1" applyAlignment="1">
      <alignment horizontal="center"/>
    </xf>
    <xf numFmtId="0" fontId="1" fillId="0" borderId="0" xfId="4" applyAlignment="1">
      <alignment horizontal="center"/>
    </xf>
    <xf numFmtId="43" fontId="1" fillId="0" borderId="0" xfId="4" applyNumberFormat="1" applyAlignment="1">
      <alignment horizontal="center"/>
    </xf>
    <xf numFmtId="0" fontId="1" fillId="0" borderId="0" xfId="4" applyBorder="1"/>
    <xf numFmtId="43" fontId="1" fillId="0" borderId="25" xfId="4" applyNumberFormat="1" applyBorder="1"/>
    <xf numFmtId="0" fontId="17" fillId="0" borderId="0" xfId="4" applyFont="1"/>
    <xf numFmtId="0" fontId="1" fillId="0" borderId="0" xfId="4" applyBorder="1" applyAlignment="1">
      <alignment horizontal="center"/>
    </xf>
    <xf numFmtId="43" fontId="1" fillId="0" borderId="0" xfId="4" applyNumberFormat="1" applyBorder="1"/>
    <xf numFmtId="43" fontId="1" fillId="0" borderId="0" xfId="4" applyNumberFormat="1"/>
    <xf numFmtId="0" fontId="10" fillId="0" borderId="0" xfId="4" applyFont="1" applyAlignment="1">
      <alignment horizontal="right"/>
    </xf>
    <xf numFmtId="43" fontId="1" fillId="0" borderId="25" xfId="4" applyNumberFormat="1" applyFont="1" applyBorder="1"/>
    <xf numFmtId="0" fontId="3" fillId="0" borderId="0" xfId="4" applyFont="1"/>
    <xf numFmtId="0" fontId="3" fillId="0" borderId="0" xfId="4" applyFont="1" applyAlignment="1">
      <alignment horizontal="center"/>
    </xf>
    <xf numFmtId="43" fontId="3" fillId="0" borderId="0" xfId="4" applyNumberFormat="1" applyFont="1" applyAlignment="1">
      <alignment horizontal="center"/>
    </xf>
    <xf numFmtId="0" fontId="1" fillId="0" borderId="0" xfId="4" applyFont="1"/>
    <xf numFmtId="0" fontId="3" fillId="0" borderId="37" xfId="0" applyFont="1" applyBorder="1"/>
    <xf numFmtId="0" fontId="10" fillId="0" borderId="37" xfId="0" applyFont="1" applyBorder="1"/>
    <xf numFmtId="43" fontId="1" fillId="0" borderId="25" xfId="4" applyNumberFormat="1" applyFont="1" applyBorder="1" applyAlignment="1">
      <alignment horizontal="center"/>
    </xf>
    <xf numFmtId="0" fontId="10" fillId="0" borderId="38" xfId="0" applyFont="1" applyBorder="1"/>
    <xf numFmtId="0" fontId="2" fillId="0" borderId="2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3" fillId="0" borderId="25" xfId="0" applyFont="1" applyFill="1" applyBorder="1"/>
    <xf numFmtId="0" fontId="2" fillId="0" borderId="25" xfId="0" applyFont="1" applyFill="1" applyBorder="1"/>
    <xf numFmtId="0" fontId="2" fillId="0" borderId="42" xfId="0" applyFont="1" applyFill="1" applyBorder="1"/>
    <xf numFmtId="0" fontId="1" fillId="0" borderId="25" xfId="4" applyFont="1" applyFill="1" applyBorder="1" applyAlignment="1">
      <alignment horizontal="center"/>
    </xf>
    <xf numFmtId="0" fontId="1" fillId="0" borderId="0" xfId="4" applyFill="1" applyAlignment="1">
      <alignment horizontal="center"/>
    </xf>
    <xf numFmtId="0" fontId="3" fillId="0" borderId="0" xfId="4" applyFont="1" applyFill="1"/>
    <xf numFmtId="0" fontId="3" fillId="0" borderId="25" xfId="0" applyFont="1" applyBorder="1" applyAlignment="1">
      <alignment horizontal="center"/>
    </xf>
    <xf numFmtId="0" fontId="2" fillId="0" borderId="44" xfId="0" applyFont="1" applyBorder="1"/>
    <xf numFmtId="0" fontId="3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16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7">
    <cellStyle name="Comma" xfId="1" builtinId="3"/>
    <cellStyle name="commaright" xfId="2"/>
    <cellStyle name="dollarleft" xfId="3"/>
    <cellStyle name="Normal" xfId="0" builtinId="0"/>
    <cellStyle name="Normal_Approp  Admin" xfId="4"/>
    <cellStyle name="Number" xfId="5"/>
    <cellStyle name="STYL1 - Style1" xf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38100</xdr:rowOff>
    </xdr:from>
    <xdr:to>
      <xdr:col>3</xdr:col>
      <xdr:colOff>1838325</xdr:colOff>
      <xdr:row>25</xdr:row>
      <xdr:rowOff>38100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3905250"/>
          <a:ext cx="3057525" cy="6096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6145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2</xdr:col>
      <xdr:colOff>57150</xdr:colOff>
      <xdr:row>4</xdr:row>
      <xdr:rowOff>76200</xdr:rowOff>
    </xdr:to>
    <xdr:pic>
      <xdr:nvPicPr>
        <xdr:cNvPr id="92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23825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47625</xdr:colOff>
      <xdr:row>4</xdr:row>
      <xdr:rowOff>66675</xdr:rowOff>
    </xdr:to>
    <xdr:pic>
      <xdr:nvPicPr>
        <xdr:cNvPr id="1536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2</xdr:col>
      <xdr:colOff>57150</xdr:colOff>
      <xdr:row>4</xdr:row>
      <xdr:rowOff>76200</xdr:rowOff>
    </xdr:to>
    <xdr:pic>
      <xdr:nvPicPr>
        <xdr:cNvPr id="716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23825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47625</xdr:colOff>
      <xdr:row>4</xdr:row>
      <xdr:rowOff>66675</xdr:rowOff>
    </xdr:to>
    <xdr:pic>
      <xdr:nvPicPr>
        <xdr:cNvPr id="1024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HQBudget\2004-05%20Board%20Ordinances\Terrorism%20Prevention%20Progr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CON13\Budget%2098-99\FY%2098-99%20Budget%20Forms\FY%2097%20Fire%20Budget%20Request\Current%20Services\SUMMA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Operating"/>
      <sheetName val="Contract"/>
      <sheetName val="Budget Adjustment"/>
    </sheetNames>
    <sheetDataSet>
      <sheetData sheetId="0">
        <row r="59">
          <cell r="A59" t="str">
            <v>Details</v>
          </cell>
          <cell r="F59" t="str">
            <v>Policy/Program Impact</v>
          </cell>
        </row>
        <row r="60">
          <cell r="F60" t="str">
            <v>Policy or Program</v>
          </cell>
        </row>
        <row r="61">
          <cell r="F61" t="str">
            <v>Change</v>
          </cell>
          <cell r="H61" t="str">
            <v/>
          </cell>
          <cell r="J61" t="str">
            <v>No</v>
          </cell>
          <cell r="N61" t="str">
            <v>Yes</v>
          </cell>
        </row>
        <row r="67">
          <cell r="F67" t="str">
            <v xml:space="preserve">Operational </v>
          </cell>
        </row>
        <row r="68">
          <cell r="F68" t="str">
            <v>Impact</v>
          </cell>
        </row>
        <row r="69">
          <cell r="F69" t="str">
            <v>Assessment</v>
          </cell>
        </row>
        <row r="76">
          <cell r="F76" t="str">
            <v>Finances</v>
          </cell>
        </row>
        <row r="77">
          <cell r="F77" t="str">
            <v>Cost &amp; Revenue</v>
          </cell>
          <cell r="I77" t="str">
            <v>The $47,742 increase in revenues</v>
          </cell>
        </row>
        <row r="78">
          <cell r="F78" t="str">
            <v>Projections --</v>
          </cell>
          <cell r="I78" t="str">
            <v>offsets related expenditures of $47,742.</v>
          </cell>
        </row>
        <row r="79">
          <cell r="F79" t="str">
            <v>Including Indirect</v>
          </cell>
        </row>
        <row r="80">
          <cell r="F80" t="str">
            <v>Costs</v>
          </cell>
        </row>
        <row r="83">
          <cell r="F83" t="str">
            <v>Financial Impact</v>
          </cell>
          <cell r="I83" t="str">
            <v>The impact of this ordinance is neutral since the</v>
          </cell>
        </row>
        <row r="84">
          <cell r="I84" t="str">
            <v>increase in revenues equals the increase in</v>
          </cell>
        </row>
        <row r="85">
          <cell r="I85" t="str">
            <v>expenditures.</v>
          </cell>
        </row>
        <row r="89">
          <cell r="F89" t="str">
            <v>Fund Source (s)</v>
          </cell>
          <cell r="I89" t="str">
            <v>05-2390-210000</v>
          </cell>
          <cell r="P89">
            <v>47742</v>
          </cell>
        </row>
        <row r="90">
          <cell r="F90" t="str">
            <v>and Appropriation</v>
          </cell>
        </row>
        <row r="91">
          <cell r="F91" t="str">
            <v>Account Codes</v>
          </cell>
          <cell r="I91" t="str">
            <v>05-2390-213020-C-626250</v>
          </cell>
          <cell r="P91">
            <v>47742</v>
          </cell>
        </row>
        <row r="106">
          <cell r="A106" t="str">
            <v xml:space="preserve">Applicable Dates:  </v>
          </cell>
        </row>
        <row r="112">
          <cell r="A112" t="str">
            <v>Reviewed by:</v>
          </cell>
        </row>
        <row r="114">
          <cell r="A114" t="str">
            <v>Reference Numbers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xpenditure Summar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1"/>
  <dimension ref="A1:Q114"/>
  <sheetViews>
    <sheetView showGridLines="0" tabSelected="1" zoomScale="80" zoomScaleNormal="80" workbookViewId="0">
      <selection activeCell="H2" sqref="H2"/>
    </sheetView>
  </sheetViews>
  <sheetFormatPr defaultColWidth="9.83203125" defaultRowHeight="12.75" x14ac:dyDescent="0.2"/>
  <cols>
    <col min="1" max="1" width="1.33203125" style="5" customWidth="1"/>
    <col min="2" max="2" width="18.83203125" style="5" customWidth="1"/>
    <col min="3" max="3" width="1.83203125" style="5" customWidth="1"/>
    <col min="4" max="4" width="32.6640625" style="5" customWidth="1"/>
    <col min="5" max="5" width="1.83203125" style="5" customWidth="1"/>
    <col min="6" max="6" width="15.83203125" style="5" customWidth="1"/>
    <col min="7" max="7" width="1.83203125" style="5" customWidth="1"/>
    <col min="8" max="8" width="2" style="5" customWidth="1"/>
    <col min="9" max="9" width="1.1640625" style="5" customWidth="1"/>
    <col min="10" max="10" width="1.83203125" style="5" customWidth="1"/>
    <col min="11" max="11" width="3.83203125" style="5" customWidth="1"/>
    <col min="12" max="12" width="2" style="5" customWidth="1"/>
    <col min="13" max="13" width="1.1640625" style="5" customWidth="1"/>
    <col min="14" max="14" width="6.83203125" style="5" customWidth="1"/>
    <col min="15" max="15" width="2" style="5" customWidth="1"/>
    <col min="16" max="16" width="16.33203125" style="5" customWidth="1"/>
    <col min="17" max="16384" width="9.83203125" style="5"/>
  </cols>
  <sheetData>
    <row r="1" spans="1:17" ht="27.6" customHeight="1" x14ac:dyDescent="0.4">
      <c r="A1" s="2" t="s">
        <v>0</v>
      </c>
      <c r="B1" s="3"/>
      <c r="C1" s="3"/>
      <c r="D1" s="3"/>
      <c r="E1" s="3"/>
      <c r="F1" s="3"/>
      <c r="G1" s="3"/>
      <c r="H1" s="189">
        <v>120455</v>
      </c>
      <c r="I1" s="190"/>
      <c r="J1" s="190"/>
      <c r="K1" s="190"/>
      <c r="L1" s="190"/>
      <c r="M1" s="190"/>
      <c r="N1" s="190"/>
      <c r="O1" s="190"/>
      <c r="P1" s="191"/>
      <c r="Q1" s="4"/>
    </row>
    <row r="2" spans="1:17" ht="17.100000000000001" customHeight="1" x14ac:dyDescent="0.25">
      <c r="A2" s="64" t="s">
        <v>1</v>
      </c>
      <c r="B2" s="63"/>
      <c r="C2" s="3"/>
      <c r="D2" s="3"/>
      <c r="E2" s="3"/>
      <c r="F2" s="3"/>
      <c r="G2" s="3"/>
      <c r="H2" s="6" t="s">
        <v>2</v>
      </c>
      <c r="I2" s="4"/>
      <c r="J2" s="4"/>
      <c r="K2" s="4"/>
      <c r="L2" s="4"/>
      <c r="M2" s="4"/>
      <c r="N2" s="4"/>
      <c r="O2" s="4"/>
      <c r="P2" s="4"/>
      <c r="Q2" s="4"/>
    </row>
    <row r="3" spans="1:17" ht="14.4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13.9" customHeight="1" thickBot="1" x14ac:dyDescent="0.3">
      <c r="A4" s="6" t="s">
        <v>3</v>
      </c>
      <c r="B4" s="3"/>
      <c r="C4" s="7"/>
      <c r="D4" s="6" t="s">
        <v>4</v>
      </c>
      <c r="E4" s="7"/>
      <c r="F4" s="6" t="s">
        <v>5</v>
      </c>
      <c r="G4" s="4"/>
      <c r="H4" s="4"/>
      <c r="I4" s="4"/>
      <c r="J4" s="4"/>
      <c r="K4" s="4"/>
      <c r="L4" s="4"/>
      <c r="M4" s="4"/>
      <c r="N4" s="4"/>
      <c r="O4" s="4"/>
      <c r="P4" s="4"/>
    </row>
    <row r="5" spans="1:17" ht="13.5" thickTop="1" x14ac:dyDescent="0.2">
      <c r="A5" s="8"/>
      <c r="B5" s="8" t="s">
        <v>138</v>
      </c>
      <c r="C5" s="9"/>
      <c r="D5" s="10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7" x14ac:dyDescent="0.2">
      <c r="A6" s="11"/>
      <c r="B6" s="169" t="s">
        <v>143</v>
      </c>
      <c r="C6" s="172"/>
      <c r="D6" s="170"/>
      <c r="E6" s="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7" ht="15.95" customHeight="1" x14ac:dyDescent="0.25">
      <c r="A7" s="13" t="s">
        <v>6</v>
      </c>
      <c r="B7" s="104"/>
      <c r="C7" s="7"/>
      <c r="D7" s="7"/>
      <c r="E7" s="7"/>
      <c r="F7" s="13" t="s">
        <v>7</v>
      </c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7" ht="19.899999999999999" customHeight="1" thickTop="1" x14ac:dyDescent="0.2">
      <c r="A8" s="16"/>
      <c r="B8" s="17" t="s">
        <v>8</v>
      </c>
      <c r="C8" s="18"/>
      <c r="D8" s="19"/>
      <c r="E8" s="3"/>
      <c r="F8" s="20" t="s">
        <v>9</v>
      </c>
      <c r="G8" s="18"/>
      <c r="H8" s="21"/>
      <c r="I8" s="18"/>
      <c r="J8" s="18"/>
      <c r="K8" s="18"/>
      <c r="L8" s="18"/>
      <c r="M8" s="18"/>
      <c r="N8" s="18"/>
      <c r="O8" s="18"/>
      <c r="P8" s="19"/>
    </row>
    <row r="9" spans="1:17" ht="12" customHeight="1" x14ac:dyDescent="0.2">
      <c r="A9" s="22"/>
      <c r="D9" s="23"/>
      <c r="F9" s="24"/>
      <c r="G9" s="25"/>
      <c r="H9" s="26"/>
      <c r="I9" s="25"/>
      <c r="J9" s="25"/>
      <c r="K9" s="25"/>
      <c r="L9" s="25"/>
      <c r="M9" s="25"/>
      <c r="N9" s="25"/>
      <c r="O9" s="25"/>
      <c r="P9" s="27"/>
    </row>
    <row r="10" spans="1:17" ht="12" customHeight="1" x14ac:dyDescent="0.2">
      <c r="A10" s="28"/>
      <c r="B10" s="5" t="s">
        <v>161</v>
      </c>
      <c r="C10" s="3"/>
      <c r="D10" s="29"/>
      <c r="E10" s="3"/>
      <c r="F10" s="30" t="s">
        <v>10</v>
      </c>
      <c r="P10" s="23"/>
    </row>
    <row r="11" spans="1:17" ht="12" customHeight="1" x14ac:dyDescent="0.2">
      <c r="A11" s="22"/>
      <c r="B11" s="5" t="s">
        <v>150</v>
      </c>
      <c r="C11" s="3"/>
      <c r="D11" s="29"/>
      <c r="E11" s="3"/>
      <c r="F11" s="30" t="s">
        <v>11</v>
      </c>
      <c r="H11" s="31"/>
      <c r="J11" s="3" t="s">
        <v>12</v>
      </c>
      <c r="P11" s="23"/>
    </row>
    <row r="12" spans="1:17" ht="12" customHeight="1" x14ac:dyDescent="0.2">
      <c r="A12" s="22"/>
      <c r="C12" s="3"/>
      <c r="D12" s="29"/>
      <c r="E12" s="3"/>
      <c r="F12" s="30" t="s">
        <v>13</v>
      </c>
      <c r="P12" s="23"/>
    </row>
    <row r="13" spans="1:17" ht="12" customHeight="1" x14ac:dyDescent="0.2">
      <c r="A13" s="22"/>
      <c r="B13" s="5" t="s">
        <v>151</v>
      </c>
      <c r="C13" s="3"/>
      <c r="D13" s="29"/>
      <c r="E13" s="3"/>
      <c r="F13" s="30" t="s">
        <v>14</v>
      </c>
      <c r="P13" s="23"/>
    </row>
    <row r="14" spans="1:17" ht="12" customHeight="1" x14ac:dyDescent="0.2">
      <c r="A14" s="22"/>
      <c r="B14" s="5" t="s">
        <v>152</v>
      </c>
      <c r="C14" s="3"/>
      <c r="D14" s="29"/>
      <c r="E14" s="3"/>
      <c r="F14" s="32"/>
      <c r="P14" s="23"/>
    </row>
    <row r="15" spans="1:17" ht="16.149999999999999" customHeight="1" x14ac:dyDescent="0.2">
      <c r="A15" s="22"/>
      <c r="C15" s="3"/>
      <c r="D15" s="29"/>
      <c r="E15" s="3"/>
      <c r="F15" s="33" t="s">
        <v>15</v>
      </c>
      <c r="G15" s="34"/>
      <c r="H15" s="13" t="s">
        <v>16</v>
      </c>
      <c r="I15" s="34"/>
      <c r="J15" s="34"/>
      <c r="K15" s="34"/>
      <c r="L15" s="11"/>
      <c r="M15" s="11"/>
      <c r="N15" s="11"/>
      <c r="O15" s="11"/>
      <c r="P15" s="35"/>
    </row>
    <row r="16" spans="1:17" ht="12" customHeight="1" x14ac:dyDescent="0.2">
      <c r="A16" s="22"/>
      <c r="C16" s="3"/>
      <c r="D16" s="29"/>
      <c r="E16" s="3"/>
      <c r="F16" s="30" t="s">
        <v>17</v>
      </c>
      <c r="G16" s="3"/>
      <c r="I16" s="3"/>
      <c r="J16" s="3"/>
      <c r="K16" s="3"/>
      <c r="P16" s="23"/>
    </row>
    <row r="17" spans="1:16" ht="12" customHeight="1" x14ac:dyDescent="0.2">
      <c r="A17" s="22"/>
      <c r="C17" s="3"/>
      <c r="D17" s="29"/>
      <c r="E17" s="3"/>
      <c r="F17" s="32"/>
      <c r="G17" s="3"/>
      <c r="I17" s="3"/>
      <c r="J17" s="3"/>
      <c r="K17" s="3"/>
      <c r="P17" s="23"/>
    </row>
    <row r="18" spans="1:16" ht="12" customHeight="1" x14ac:dyDescent="0.2">
      <c r="A18" s="22"/>
      <c r="C18" s="3"/>
      <c r="D18" s="29"/>
      <c r="E18" s="3"/>
      <c r="F18" s="32"/>
      <c r="G18" s="3"/>
      <c r="H18" s="6" t="s">
        <v>18</v>
      </c>
      <c r="I18" s="3"/>
      <c r="J18" s="3"/>
      <c r="K18" s="3"/>
      <c r="L18" s="3"/>
      <c r="M18" s="3"/>
      <c r="N18" s="3"/>
      <c r="O18" s="3"/>
      <c r="P18" s="29"/>
    </row>
    <row r="19" spans="1:16" ht="12" customHeight="1" x14ac:dyDescent="0.2">
      <c r="A19" s="22"/>
      <c r="C19" s="3"/>
      <c r="D19" s="29"/>
      <c r="E19" s="3"/>
      <c r="F19" s="32"/>
      <c r="G19" s="3"/>
      <c r="H19" s="31"/>
      <c r="I19" s="3"/>
      <c r="J19" s="3" t="s">
        <v>12</v>
      </c>
      <c r="K19" s="3"/>
      <c r="L19" s="3"/>
      <c r="M19" s="3"/>
      <c r="N19" s="3"/>
      <c r="O19" s="3"/>
      <c r="P19" s="29"/>
    </row>
    <row r="20" spans="1:16" ht="12" customHeight="1" x14ac:dyDescent="0.2">
      <c r="A20" s="22"/>
      <c r="C20" s="3"/>
      <c r="D20" s="29"/>
      <c r="E20" s="3"/>
      <c r="F20" s="32"/>
      <c r="G20" s="3"/>
      <c r="H20" s="3"/>
      <c r="I20" s="3"/>
      <c r="J20" s="3"/>
      <c r="K20" s="3"/>
      <c r="L20" s="3"/>
      <c r="M20" s="3"/>
      <c r="N20" s="3"/>
      <c r="O20" s="3"/>
      <c r="P20" s="29"/>
    </row>
    <row r="21" spans="1:16" ht="12" customHeight="1" x14ac:dyDescent="0.2">
      <c r="A21" s="22"/>
      <c r="C21" s="3"/>
      <c r="D21" s="29"/>
      <c r="E21" s="3"/>
      <c r="F21" s="32"/>
      <c r="G21" s="3"/>
      <c r="H21" s="6" t="s">
        <v>19</v>
      </c>
      <c r="I21" s="3"/>
      <c r="J21" s="3"/>
      <c r="K21" s="3"/>
      <c r="L21" s="3"/>
      <c r="M21" s="3"/>
      <c r="N21" s="3"/>
      <c r="O21" s="3"/>
      <c r="P21" s="29"/>
    </row>
    <row r="22" spans="1:16" ht="12" customHeight="1" thickBot="1" x14ac:dyDescent="0.25">
      <c r="A22" s="36"/>
      <c r="B22" s="37"/>
      <c r="C22" s="37"/>
      <c r="D22" s="38"/>
      <c r="E22" s="3"/>
      <c r="F22" s="32"/>
      <c r="G22" s="3"/>
      <c r="P22" s="23"/>
    </row>
    <row r="23" spans="1:16" ht="13.9" customHeight="1" thickTop="1" x14ac:dyDescent="0.2">
      <c r="A23" s="16"/>
      <c r="B23" s="65"/>
      <c r="C23" s="18"/>
      <c r="D23" s="19"/>
      <c r="E23" s="3"/>
      <c r="F23" s="33" t="s">
        <v>20</v>
      </c>
      <c r="G23" s="34"/>
      <c r="H23" s="13" t="s">
        <v>21</v>
      </c>
      <c r="I23" s="34"/>
      <c r="J23" s="34"/>
      <c r="K23" s="34"/>
      <c r="L23" s="34"/>
      <c r="M23" s="34"/>
      <c r="N23" s="34"/>
      <c r="O23" s="34"/>
      <c r="P23" s="39"/>
    </row>
    <row r="24" spans="1:16" ht="14.45" customHeight="1" x14ac:dyDescent="0.2">
      <c r="A24" s="40"/>
      <c r="B24" s="7"/>
      <c r="C24" s="3"/>
      <c r="D24" s="29"/>
      <c r="E24" s="3"/>
      <c r="F24" s="32"/>
      <c r="G24" s="3"/>
      <c r="H24" s="31"/>
      <c r="I24" s="3"/>
      <c r="J24" s="3" t="s">
        <v>22</v>
      </c>
      <c r="K24" s="3"/>
      <c r="L24" s="3"/>
      <c r="M24" s="3"/>
      <c r="N24" s="3"/>
      <c r="O24" s="3"/>
      <c r="P24" s="29"/>
    </row>
    <row r="25" spans="1:16" ht="20.25" customHeight="1" x14ac:dyDescent="0.2">
      <c r="A25" s="28"/>
      <c r="C25" s="3"/>
      <c r="D25" s="29"/>
      <c r="E25" s="3"/>
      <c r="F25" s="32"/>
      <c r="G25" s="3"/>
      <c r="H25" s="31"/>
      <c r="I25" s="41"/>
      <c r="J25" s="3"/>
      <c r="K25" s="3"/>
      <c r="L25" s="3"/>
      <c r="M25" s="3"/>
      <c r="N25" s="3"/>
      <c r="O25" s="3"/>
      <c r="P25" s="29"/>
    </row>
    <row r="26" spans="1:16" ht="12" customHeight="1" x14ac:dyDescent="0.2">
      <c r="A26" s="28"/>
      <c r="C26" s="3"/>
      <c r="D26" s="29"/>
      <c r="E26" s="3"/>
      <c r="F26" s="42"/>
      <c r="G26" s="3"/>
      <c r="H26" s="6" t="s">
        <v>23</v>
      </c>
      <c r="I26" s="3"/>
      <c r="J26" s="3"/>
      <c r="K26" s="3"/>
      <c r="L26" s="3"/>
      <c r="M26" s="3"/>
      <c r="N26" s="3"/>
      <c r="O26" s="3"/>
      <c r="P26" s="29"/>
    </row>
    <row r="27" spans="1:16" ht="12" customHeight="1" x14ac:dyDescent="0.2">
      <c r="A27" s="28"/>
      <c r="B27" s="5" t="s">
        <v>140</v>
      </c>
      <c r="C27" s="3"/>
      <c r="D27" s="29"/>
      <c r="E27" s="3"/>
      <c r="F27" s="42"/>
      <c r="G27" s="3"/>
      <c r="H27" s="3"/>
      <c r="I27" s="3"/>
      <c r="J27" s="3"/>
      <c r="K27" s="3"/>
      <c r="L27" s="3"/>
      <c r="M27" s="3"/>
      <c r="N27" s="3"/>
      <c r="O27" s="3"/>
      <c r="P27" s="29"/>
    </row>
    <row r="28" spans="1:16" ht="12" customHeight="1" x14ac:dyDescent="0.2">
      <c r="A28" s="28"/>
      <c r="C28" s="3"/>
      <c r="D28" s="29"/>
      <c r="E28" s="3"/>
      <c r="F28" s="43"/>
      <c r="G28" s="44"/>
      <c r="H28" s="44"/>
      <c r="I28" s="44"/>
      <c r="J28" s="44"/>
      <c r="K28" s="44"/>
      <c r="L28" s="44"/>
      <c r="M28" s="44"/>
      <c r="N28" s="44"/>
      <c r="O28" s="44"/>
      <c r="P28" s="45"/>
    </row>
    <row r="29" spans="1:16" ht="12" customHeight="1" x14ac:dyDescent="0.2">
      <c r="A29" s="28"/>
      <c r="C29" s="3"/>
      <c r="D29" s="29"/>
      <c r="E29" s="3"/>
      <c r="F29" s="30" t="s">
        <v>24</v>
      </c>
      <c r="G29" s="3"/>
      <c r="H29" s="3"/>
      <c r="I29" s="3"/>
      <c r="J29" s="3"/>
      <c r="K29" s="3"/>
      <c r="L29" s="3"/>
      <c r="M29" s="3"/>
      <c r="N29" s="3"/>
      <c r="O29" s="3"/>
      <c r="P29" s="29"/>
    </row>
    <row r="30" spans="1:16" ht="12" customHeight="1" x14ac:dyDescent="0.2">
      <c r="A30" s="28"/>
      <c r="B30" s="5" t="s">
        <v>141</v>
      </c>
      <c r="C30" s="3"/>
      <c r="D30" s="29"/>
      <c r="E30" s="3"/>
      <c r="F30" s="30" t="s">
        <v>25</v>
      </c>
      <c r="G30" s="3"/>
      <c r="H30" s="46" t="s">
        <v>26</v>
      </c>
      <c r="I30" s="3"/>
      <c r="J30" s="6" t="s">
        <v>27</v>
      </c>
      <c r="K30" s="3"/>
      <c r="L30" s="3"/>
      <c r="M30" s="3"/>
      <c r="N30" s="3"/>
      <c r="O30" s="3"/>
      <c r="P30" s="29"/>
    </row>
    <row r="31" spans="1:16" ht="12" customHeight="1" x14ac:dyDescent="0.2">
      <c r="A31" s="28"/>
      <c r="B31" s="138" t="s">
        <v>145</v>
      </c>
      <c r="C31" s="139"/>
      <c r="D31" s="140"/>
      <c r="E31" s="3"/>
      <c r="F31" s="30" t="s">
        <v>28</v>
      </c>
      <c r="G31" s="3"/>
      <c r="H31" s="3"/>
      <c r="I31" s="3"/>
      <c r="J31" s="3"/>
      <c r="K31" s="3"/>
      <c r="L31" s="3"/>
      <c r="M31" s="3"/>
      <c r="N31" s="3"/>
      <c r="O31" s="3"/>
      <c r="P31" s="47"/>
    </row>
    <row r="32" spans="1:16" ht="12" customHeight="1" x14ac:dyDescent="0.2">
      <c r="A32" s="22"/>
      <c r="B32" s="138" t="s">
        <v>153</v>
      </c>
      <c r="C32" s="139"/>
      <c r="D32" s="140"/>
      <c r="E32" s="3"/>
      <c r="F32" s="42"/>
      <c r="G32" s="3"/>
      <c r="H32" s="48"/>
      <c r="I32" s="3"/>
      <c r="J32" s="6" t="s">
        <v>29</v>
      </c>
      <c r="K32" s="3"/>
      <c r="L32" s="3"/>
      <c r="M32" s="3"/>
      <c r="N32" s="3"/>
      <c r="O32" s="3"/>
      <c r="P32" s="29"/>
    </row>
    <row r="33" spans="1:16" ht="12" customHeight="1" x14ac:dyDescent="0.2">
      <c r="A33" s="22"/>
      <c r="B33" s="138" t="s">
        <v>155</v>
      </c>
      <c r="C33" s="139"/>
      <c r="D33" s="140"/>
      <c r="E33" s="3"/>
      <c r="F33" s="42"/>
      <c r="G33" s="3"/>
      <c r="H33" s="3"/>
      <c r="I33" s="3"/>
      <c r="J33" s="3"/>
      <c r="K33" s="3"/>
      <c r="L33" s="3"/>
      <c r="M33" s="3"/>
      <c r="N33" s="3"/>
      <c r="O33" s="3"/>
      <c r="P33" s="29"/>
    </row>
    <row r="34" spans="1:16" ht="12" customHeight="1" x14ac:dyDescent="0.2">
      <c r="A34" s="22"/>
      <c r="B34" s="5" t="s">
        <v>154</v>
      </c>
      <c r="C34" s="139"/>
      <c r="D34" s="140"/>
      <c r="E34" s="3"/>
      <c r="F34" s="42"/>
      <c r="G34" s="3"/>
      <c r="H34" s="6" t="s">
        <v>30</v>
      </c>
      <c r="I34" s="3"/>
      <c r="J34" s="3"/>
      <c r="K34" s="3"/>
      <c r="L34" s="3"/>
      <c r="M34" s="3"/>
      <c r="N34" s="3"/>
      <c r="O34" s="3"/>
      <c r="P34" s="29"/>
    </row>
    <row r="35" spans="1:16" ht="12" customHeight="1" x14ac:dyDescent="0.2">
      <c r="A35" s="22"/>
      <c r="B35" s="5" t="s">
        <v>156</v>
      </c>
      <c r="D35" s="102"/>
      <c r="E35" s="3"/>
      <c r="F35" s="42"/>
      <c r="G35" s="3"/>
      <c r="P35" s="23"/>
    </row>
    <row r="36" spans="1:16" ht="12" customHeight="1" x14ac:dyDescent="0.2">
      <c r="A36" s="22"/>
      <c r="C36" s="139"/>
      <c r="D36" s="140"/>
      <c r="E36" s="3"/>
      <c r="F36" s="42"/>
      <c r="G36" s="3"/>
      <c r="P36" s="23"/>
    </row>
    <row r="37" spans="1:16" ht="12" customHeight="1" x14ac:dyDescent="0.2">
      <c r="A37" s="22"/>
      <c r="C37" s="139"/>
      <c r="D37" s="140"/>
      <c r="E37" s="3"/>
      <c r="F37" s="33" t="s">
        <v>31</v>
      </c>
      <c r="G37" s="34"/>
      <c r="H37" s="34"/>
      <c r="I37" s="34"/>
      <c r="J37" s="34"/>
      <c r="K37" s="34"/>
      <c r="L37" s="34"/>
      <c r="M37" s="34"/>
      <c r="N37" s="34"/>
      <c r="O37" s="34"/>
      <c r="P37" s="39"/>
    </row>
    <row r="38" spans="1:16" ht="12" customHeight="1" x14ac:dyDescent="0.2">
      <c r="A38" s="22"/>
      <c r="C38" s="139"/>
      <c r="D38" s="140"/>
      <c r="E38" s="3"/>
      <c r="F38" s="30" t="s">
        <v>32</v>
      </c>
      <c r="G38" s="3"/>
      <c r="H38" s="6" t="s">
        <v>33</v>
      </c>
      <c r="I38" s="3"/>
      <c r="J38" s="3"/>
      <c r="K38" s="5" t="s">
        <v>34</v>
      </c>
      <c r="L38" s="3"/>
      <c r="M38" s="3"/>
      <c r="N38" s="3"/>
      <c r="O38" s="3"/>
      <c r="P38" s="29"/>
    </row>
    <row r="39" spans="1:16" ht="12" customHeight="1" x14ac:dyDescent="0.2">
      <c r="A39" s="22"/>
      <c r="C39" s="139"/>
      <c r="D39" s="140"/>
      <c r="E39" s="3"/>
      <c r="F39" s="30" t="s">
        <v>28</v>
      </c>
      <c r="G39" s="3"/>
      <c r="H39" s="3"/>
      <c r="I39" s="3"/>
      <c r="J39" s="3"/>
      <c r="K39" s="3"/>
      <c r="L39" s="3"/>
      <c r="M39" s="3"/>
      <c r="N39" s="3"/>
      <c r="O39" s="3"/>
      <c r="P39" s="29"/>
    </row>
    <row r="40" spans="1:16" ht="12" customHeight="1" x14ac:dyDescent="0.2">
      <c r="A40" s="22"/>
      <c r="C40" s="139"/>
      <c r="D40" s="140"/>
      <c r="E40" s="3"/>
      <c r="F40" s="42"/>
      <c r="G40" s="3"/>
      <c r="H40" s="48" t="s">
        <v>26</v>
      </c>
      <c r="I40" s="6" t="s">
        <v>27</v>
      </c>
      <c r="J40"/>
      <c r="K40" s="3"/>
      <c r="L40" s="48"/>
      <c r="M40" s="6" t="s">
        <v>29</v>
      </c>
      <c r="N40"/>
      <c r="O40" s="48"/>
      <c r="P40" s="49" t="s">
        <v>35</v>
      </c>
    </row>
    <row r="41" spans="1:16" ht="12" customHeight="1" x14ac:dyDescent="0.2">
      <c r="A41" s="22"/>
      <c r="C41" s="139"/>
      <c r="D41" s="140"/>
      <c r="E41" s="3"/>
      <c r="F41" s="42"/>
      <c r="G41" s="3"/>
      <c r="H41" s="3"/>
      <c r="I41" s="3"/>
      <c r="J41" s="3"/>
      <c r="K41" s="3"/>
      <c r="L41" s="3"/>
      <c r="M41" s="3"/>
      <c r="N41" s="3"/>
      <c r="O41" s="3"/>
      <c r="P41" s="29"/>
    </row>
    <row r="42" spans="1:16" ht="12" customHeight="1" x14ac:dyDescent="0.2">
      <c r="A42" s="22"/>
      <c r="C42" s="139"/>
      <c r="D42" s="140"/>
      <c r="E42" s="3"/>
      <c r="F42" s="42"/>
      <c r="G42" s="3"/>
      <c r="H42" s="50"/>
      <c r="I42" s="3"/>
      <c r="J42" s="6" t="s">
        <v>36</v>
      </c>
      <c r="K42" s="3"/>
      <c r="L42" s="3"/>
      <c r="M42" s="3"/>
      <c r="N42" s="3"/>
      <c r="O42" s="3"/>
      <c r="P42" s="29"/>
    </row>
    <row r="43" spans="1:16" ht="15" customHeight="1" x14ac:dyDescent="0.2">
      <c r="A43" s="22"/>
      <c r="B43" s="138"/>
      <c r="C43" s="139"/>
      <c r="D43" s="140"/>
      <c r="E43" s="3"/>
      <c r="F43" s="42"/>
      <c r="G43" s="3"/>
      <c r="H43" s="3"/>
      <c r="I43" s="3"/>
      <c r="J43" s="6" t="s">
        <v>37</v>
      </c>
      <c r="K43" s="3"/>
      <c r="L43" s="3"/>
      <c r="M43" s="3"/>
      <c r="N43" s="3"/>
      <c r="O43" s="3"/>
      <c r="P43" s="29"/>
    </row>
    <row r="44" spans="1:16" ht="4.5" customHeight="1" x14ac:dyDescent="0.2">
      <c r="A44" s="22"/>
      <c r="E44" s="183"/>
      <c r="F44" s="33" t="s">
        <v>38</v>
      </c>
      <c r="G44" s="34"/>
      <c r="H44" s="34"/>
      <c r="I44" s="34"/>
      <c r="J44" s="34"/>
      <c r="K44" s="34"/>
      <c r="L44" s="34"/>
      <c r="M44" s="34"/>
      <c r="N44" s="34"/>
      <c r="O44" s="34"/>
      <c r="P44" s="39"/>
    </row>
    <row r="45" spans="1:16" ht="12" customHeight="1" x14ac:dyDescent="0.2">
      <c r="A45" s="22"/>
      <c r="C45" s="139"/>
      <c r="D45" s="140"/>
      <c r="E45" s="3"/>
      <c r="F45" s="33" t="s">
        <v>39</v>
      </c>
      <c r="G45" s="3"/>
      <c r="H45" s="50"/>
      <c r="I45" s="3"/>
      <c r="J45" s="6" t="s">
        <v>40</v>
      </c>
      <c r="K45" s="3"/>
      <c r="L45" s="3"/>
      <c r="M45" s="3"/>
      <c r="N45" s="3"/>
      <c r="O45" s="3"/>
      <c r="P45" s="29"/>
    </row>
    <row r="46" spans="1:16" ht="12" customHeight="1" x14ac:dyDescent="0.2">
      <c r="A46" s="22"/>
      <c r="C46" s="139"/>
      <c r="D46" s="140"/>
      <c r="E46" s="3"/>
      <c r="F46" s="30" t="s">
        <v>41</v>
      </c>
      <c r="G46" s="3"/>
      <c r="H46" s="3"/>
      <c r="I46" s="3"/>
      <c r="J46" s="7"/>
      <c r="K46" s="3"/>
      <c r="L46" s="3"/>
      <c r="M46" s="3"/>
      <c r="N46" s="3"/>
      <c r="O46" s="3"/>
      <c r="P46" s="29"/>
    </row>
    <row r="47" spans="1:16" ht="12" customHeight="1" x14ac:dyDescent="0.2">
      <c r="A47" s="22"/>
      <c r="C47" s="139"/>
      <c r="D47" s="140"/>
      <c r="E47" s="3"/>
      <c r="F47" s="42"/>
      <c r="G47" s="3"/>
      <c r="H47" s="50"/>
      <c r="I47" s="3"/>
      <c r="J47" s="6" t="s">
        <v>42</v>
      </c>
      <c r="K47" s="3"/>
      <c r="L47" s="3"/>
      <c r="M47" s="3"/>
      <c r="N47" s="3"/>
      <c r="O47" s="3"/>
      <c r="P47" s="29"/>
    </row>
    <row r="48" spans="1:16" ht="12" customHeight="1" x14ac:dyDescent="0.2">
      <c r="A48" s="22"/>
      <c r="C48" s="139"/>
      <c r="D48" s="140"/>
      <c r="E48" s="3"/>
      <c r="F48" s="42"/>
      <c r="G48" s="3"/>
      <c r="H48" s="3"/>
      <c r="I48" s="3"/>
      <c r="J48" s="7"/>
      <c r="K48" s="3"/>
      <c r="L48" s="3"/>
      <c r="M48" s="3"/>
      <c r="N48" s="3"/>
      <c r="O48" s="3"/>
      <c r="P48" s="29"/>
    </row>
    <row r="49" spans="1:16" ht="12" customHeight="1" x14ac:dyDescent="0.2">
      <c r="A49" s="22"/>
      <c r="B49" s="138"/>
      <c r="C49" s="139"/>
      <c r="D49" s="140"/>
      <c r="E49" s="3"/>
      <c r="F49" s="42"/>
      <c r="G49" s="3"/>
      <c r="H49" s="50"/>
      <c r="I49" s="3"/>
      <c r="J49" s="6" t="s">
        <v>43</v>
      </c>
      <c r="K49" s="3"/>
      <c r="L49" s="3"/>
      <c r="M49" s="3"/>
      <c r="N49" s="3"/>
      <c r="O49" s="3"/>
      <c r="P49" s="29"/>
    </row>
    <row r="50" spans="1:16" ht="12" customHeight="1" x14ac:dyDescent="0.2">
      <c r="A50" s="22"/>
      <c r="C50" s="139"/>
      <c r="D50" s="140"/>
      <c r="E50" s="3"/>
      <c r="F50" s="42"/>
      <c r="G50" s="3"/>
      <c r="H50" s="3"/>
      <c r="I50" s="3"/>
      <c r="J50" s="7"/>
      <c r="K50" s="3"/>
      <c r="L50" s="3"/>
      <c r="M50" s="3"/>
      <c r="N50" s="3"/>
      <c r="O50" s="3"/>
      <c r="P50" s="29"/>
    </row>
    <row r="51" spans="1:16" ht="12" customHeight="1" x14ac:dyDescent="0.2">
      <c r="A51" s="22"/>
      <c r="B51" s="138"/>
      <c r="C51" s="139"/>
      <c r="D51" s="140"/>
      <c r="E51" s="3"/>
      <c r="F51" s="42"/>
      <c r="G51" s="3"/>
      <c r="H51" s="50"/>
      <c r="I51" s="3"/>
      <c r="J51" s="6" t="s">
        <v>44</v>
      </c>
      <c r="K51" s="3"/>
      <c r="L51" s="3"/>
      <c r="M51" s="3"/>
      <c r="N51" s="3"/>
      <c r="O51" s="3"/>
      <c r="P51" s="29"/>
    </row>
    <row r="52" spans="1:16" ht="12" customHeight="1" x14ac:dyDescent="0.2">
      <c r="A52" s="22"/>
      <c r="B52" s="5" t="s">
        <v>144</v>
      </c>
      <c r="C52" s="139"/>
      <c r="D52" s="140"/>
      <c r="E52" s="3"/>
      <c r="F52" s="42"/>
      <c r="G52" s="3"/>
      <c r="H52" s="3"/>
      <c r="I52" s="3"/>
      <c r="J52" s="7"/>
      <c r="K52" s="3"/>
      <c r="L52" s="3"/>
      <c r="M52" s="3"/>
      <c r="N52" s="3"/>
      <c r="O52" s="3"/>
      <c r="P52" s="29"/>
    </row>
    <row r="53" spans="1:16" ht="11.25" customHeight="1" x14ac:dyDescent="0.2">
      <c r="A53" s="22"/>
      <c r="C53" s="3"/>
      <c r="D53" s="29"/>
      <c r="E53" s="3"/>
      <c r="F53" s="42"/>
      <c r="G53" s="3"/>
      <c r="H53" s="50"/>
      <c r="I53" s="3"/>
      <c r="J53" s="6" t="s">
        <v>45</v>
      </c>
      <c r="K53" s="3"/>
      <c r="L53" s="3"/>
      <c r="M53" s="3"/>
      <c r="N53" s="3"/>
      <c r="O53" s="3"/>
      <c r="P53" s="29"/>
    </row>
    <row r="54" spans="1:16" ht="6" customHeight="1" x14ac:dyDescent="0.2">
      <c r="A54" s="22"/>
      <c r="C54" s="3"/>
      <c r="D54" s="29"/>
      <c r="E54" s="3"/>
      <c r="F54" s="42"/>
      <c r="G54" s="3"/>
      <c r="H54" s="3"/>
      <c r="I54" s="3"/>
      <c r="J54" s="7"/>
      <c r="K54" s="3"/>
      <c r="L54" s="3"/>
      <c r="M54" s="3"/>
      <c r="N54" s="3"/>
      <c r="O54" s="3"/>
      <c r="P54" s="29"/>
    </row>
    <row r="55" spans="1:16" ht="9" customHeight="1" x14ac:dyDescent="0.2">
      <c r="A55" s="22"/>
      <c r="C55" s="3"/>
      <c r="D55" s="29"/>
      <c r="E55" s="3"/>
      <c r="F55" s="42"/>
      <c r="G55" s="3"/>
      <c r="H55" s="50"/>
      <c r="I55" s="3"/>
      <c r="J55" s="6" t="s">
        <v>46</v>
      </c>
      <c r="K55" s="3"/>
      <c r="L55" s="3"/>
      <c r="M55" s="3"/>
      <c r="N55" s="3"/>
      <c r="O55" s="3"/>
      <c r="P55" s="29"/>
    </row>
    <row r="56" spans="1:16" ht="8.1" customHeight="1" thickBot="1" x14ac:dyDescent="0.25">
      <c r="A56" s="36"/>
      <c r="B56" s="37"/>
      <c r="C56" s="37"/>
      <c r="D56" s="38"/>
      <c r="E56" s="3"/>
      <c r="F56" s="51"/>
      <c r="G56" s="37"/>
      <c r="H56" s="37"/>
      <c r="I56" s="37"/>
      <c r="J56" s="37"/>
      <c r="K56" s="37"/>
      <c r="L56" s="37"/>
      <c r="M56" s="37"/>
      <c r="N56" s="37"/>
      <c r="O56" s="37"/>
      <c r="P56" s="38"/>
    </row>
    <row r="57" spans="1:16" ht="12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6" t="s">
        <v>47</v>
      </c>
      <c r="N57" s="3"/>
      <c r="O57" s="3"/>
      <c r="P57" s="3"/>
    </row>
    <row r="58" spans="1:16" ht="1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6.5" thickBot="1" x14ac:dyDescent="0.3">
      <c r="A59" s="6" t="s">
        <v>6</v>
      </c>
      <c r="B59" s="7"/>
      <c r="C59" s="7"/>
      <c r="D59" s="7"/>
      <c r="E59" s="7"/>
      <c r="F59" s="6" t="s">
        <v>48</v>
      </c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2" customHeight="1" x14ac:dyDescent="0.2">
      <c r="A60" s="16"/>
      <c r="B60" s="135"/>
      <c r="C60" s="136"/>
      <c r="D60" s="137"/>
      <c r="E60" s="3"/>
      <c r="F60" s="20" t="s">
        <v>49</v>
      </c>
      <c r="G60" s="18"/>
      <c r="H60" s="52"/>
      <c r="I60" s="18"/>
      <c r="J60" s="18"/>
      <c r="K60" s="18"/>
      <c r="L60" s="18"/>
      <c r="M60" s="18"/>
      <c r="N60" s="18"/>
      <c r="O60" s="18"/>
      <c r="P60" s="19"/>
    </row>
    <row r="61" spans="1:16" ht="12" customHeight="1" x14ac:dyDescent="0.2">
      <c r="A61" s="22"/>
      <c r="B61" s="174"/>
      <c r="D61" s="102"/>
      <c r="E61" s="3"/>
      <c r="F61" s="30" t="s">
        <v>50</v>
      </c>
      <c r="G61" s="3"/>
      <c r="H61" s="53" t="s">
        <v>51</v>
      </c>
      <c r="I61" s="3"/>
      <c r="J61" s="54" t="s">
        <v>52</v>
      </c>
      <c r="K61" s="3"/>
      <c r="L61" s="55"/>
      <c r="M61" s="3"/>
      <c r="N61" s="54" t="s">
        <v>53</v>
      </c>
      <c r="O61" s="3"/>
      <c r="P61" s="29"/>
    </row>
    <row r="62" spans="1:16" ht="12" customHeight="1" x14ac:dyDescent="0.2">
      <c r="A62" s="28"/>
      <c r="B62" s="138"/>
      <c r="D62" s="102"/>
      <c r="E62" s="3"/>
      <c r="F62" s="56"/>
      <c r="K62" s="3"/>
      <c r="L62" s="3"/>
      <c r="M62" s="3"/>
      <c r="N62" s="3"/>
      <c r="O62" s="3"/>
      <c r="P62" s="29"/>
    </row>
    <row r="63" spans="1:16" ht="12" customHeight="1" x14ac:dyDescent="0.2">
      <c r="A63" s="22"/>
      <c r="B63" s="138"/>
      <c r="D63" s="102"/>
      <c r="E63" s="3"/>
      <c r="F63" s="56"/>
      <c r="K63" s="3"/>
      <c r="L63" s="3"/>
      <c r="M63" s="3"/>
      <c r="N63" s="3"/>
      <c r="O63" s="3"/>
      <c r="P63" s="29"/>
    </row>
    <row r="64" spans="1:16" ht="12" customHeight="1" x14ac:dyDescent="0.2">
      <c r="A64" s="22"/>
      <c r="B64" s="138"/>
      <c r="C64" s="139"/>
      <c r="D64" s="140"/>
      <c r="E64" s="3"/>
      <c r="F64" s="56"/>
      <c r="K64" s="3"/>
      <c r="L64" s="3"/>
      <c r="M64" s="3"/>
      <c r="N64" s="3"/>
      <c r="O64" s="3"/>
      <c r="P64" s="29"/>
    </row>
    <row r="65" spans="1:16" ht="12" customHeight="1" x14ac:dyDescent="0.2">
      <c r="A65" s="22"/>
      <c r="B65" s="138"/>
      <c r="C65" s="139"/>
      <c r="D65" s="140"/>
      <c r="E65" s="3"/>
      <c r="F65" s="56"/>
      <c r="K65" s="3"/>
      <c r="L65" s="3"/>
      <c r="M65" s="3"/>
      <c r="N65" s="3"/>
      <c r="O65" s="3"/>
      <c r="P65" s="29"/>
    </row>
    <row r="66" spans="1:16" ht="12" customHeight="1" x14ac:dyDescent="0.2">
      <c r="A66" s="22"/>
      <c r="C66" s="139"/>
      <c r="D66" s="140"/>
      <c r="E66" s="3"/>
      <c r="F66" s="32"/>
      <c r="K66" s="3"/>
      <c r="L66" s="3"/>
      <c r="M66" s="3"/>
      <c r="N66" s="3"/>
      <c r="O66" s="3"/>
      <c r="P66" s="29"/>
    </row>
    <row r="67" spans="1:16" ht="12" customHeight="1" x14ac:dyDescent="0.2">
      <c r="A67" s="22"/>
      <c r="C67" s="139"/>
      <c r="D67" s="140"/>
      <c r="E67" s="3"/>
      <c r="F67" s="33" t="s">
        <v>54</v>
      </c>
      <c r="G67" s="11"/>
      <c r="H67" s="11"/>
      <c r="I67" s="11"/>
      <c r="J67" s="11"/>
      <c r="K67" s="34"/>
      <c r="L67" s="34"/>
      <c r="M67" s="34"/>
      <c r="N67" s="34"/>
      <c r="O67" s="34"/>
      <c r="P67" s="39"/>
    </row>
    <row r="68" spans="1:16" ht="12" customHeight="1" x14ac:dyDescent="0.2">
      <c r="A68" s="22"/>
      <c r="C68" s="139"/>
      <c r="D68" s="140"/>
      <c r="E68" s="3"/>
      <c r="F68" s="30" t="s">
        <v>55</v>
      </c>
      <c r="K68" s="3"/>
      <c r="L68" s="3"/>
      <c r="M68" s="3"/>
      <c r="N68" s="3"/>
      <c r="O68" s="3"/>
      <c r="P68" s="29"/>
    </row>
    <row r="69" spans="1:16" ht="12" customHeight="1" x14ac:dyDescent="0.2">
      <c r="A69" s="22"/>
      <c r="C69" s="139"/>
      <c r="D69" s="140"/>
      <c r="E69" s="3"/>
      <c r="F69" s="30" t="s">
        <v>56</v>
      </c>
      <c r="K69" s="3"/>
      <c r="L69" s="3"/>
      <c r="M69" s="3"/>
      <c r="N69" s="3"/>
      <c r="O69" s="3"/>
      <c r="P69" s="29"/>
    </row>
    <row r="70" spans="1:16" ht="12" customHeight="1" x14ac:dyDescent="0.2">
      <c r="A70" s="22"/>
      <c r="C70" s="139"/>
      <c r="D70" s="140"/>
      <c r="E70" s="3"/>
      <c r="F70" s="32"/>
      <c r="K70" s="3"/>
      <c r="L70" s="3"/>
      <c r="M70" s="3"/>
      <c r="N70" s="3"/>
      <c r="O70" s="3"/>
      <c r="P70" s="29"/>
    </row>
    <row r="71" spans="1:16" ht="12" customHeight="1" x14ac:dyDescent="0.2">
      <c r="A71" s="22"/>
      <c r="C71" s="139"/>
      <c r="D71" s="140"/>
      <c r="E71" s="3"/>
      <c r="F71" s="32"/>
      <c r="K71" s="3"/>
      <c r="L71" s="3"/>
      <c r="M71" s="3"/>
      <c r="N71" s="3"/>
      <c r="O71" s="3"/>
      <c r="P71" s="29"/>
    </row>
    <row r="72" spans="1:16" ht="12" customHeight="1" x14ac:dyDescent="0.2">
      <c r="A72" s="22"/>
      <c r="C72" s="139"/>
      <c r="D72" s="140"/>
      <c r="E72" s="3"/>
      <c r="F72" s="32"/>
      <c r="K72" s="3"/>
      <c r="L72" s="3"/>
      <c r="M72" s="3"/>
      <c r="N72" s="3"/>
      <c r="O72" s="3"/>
      <c r="P72" s="29"/>
    </row>
    <row r="73" spans="1:16" ht="12" customHeight="1" thickBot="1" x14ac:dyDescent="0.25">
      <c r="A73" s="22"/>
      <c r="C73" s="139"/>
      <c r="D73" s="140"/>
      <c r="E73" s="3"/>
      <c r="F73" s="57"/>
      <c r="G73" s="58"/>
      <c r="H73" s="58"/>
      <c r="I73" s="58"/>
      <c r="J73" s="58"/>
      <c r="K73" s="37"/>
      <c r="L73" s="37"/>
      <c r="M73" s="37"/>
      <c r="N73" s="37"/>
      <c r="O73" s="37"/>
      <c r="P73" s="38"/>
    </row>
    <row r="74" spans="1:16" ht="12" customHeight="1" x14ac:dyDescent="0.2">
      <c r="A74" s="22"/>
      <c r="C74" s="3"/>
      <c r="D74" s="29"/>
      <c r="E74" s="3"/>
      <c r="F74" s="41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2" customHeight="1" x14ac:dyDescent="0.2">
      <c r="A75" s="22"/>
      <c r="C75" s="175"/>
      <c r="D75" s="173"/>
      <c r="E75" s="3"/>
      <c r="F75" s="41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2" customHeight="1" thickBot="1" x14ac:dyDescent="0.25">
      <c r="A76" s="40"/>
      <c r="C76" s="139"/>
      <c r="D76" s="173"/>
      <c r="E76" s="3"/>
      <c r="F76" s="6" t="s">
        <v>57</v>
      </c>
      <c r="G76" s="3"/>
      <c r="H76" s="7"/>
      <c r="I76" s="3"/>
      <c r="J76" s="3"/>
      <c r="K76" s="3"/>
      <c r="L76" s="3"/>
      <c r="M76" s="3"/>
      <c r="N76" s="3"/>
      <c r="O76" s="3"/>
      <c r="P76" s="3"/>
    </row>
    <row r="77" spans="1:16" ht="12" customHeight="1" x14ac:dyDescent="0.2">
      <c r="A77" s="40"/>
      <c r="C77" s="139"/>
      <c r="D77" s="173"/>
      <c r="E77" s="3"/>
      <c r="F77" s="20" t="s">
        <v>58</v>
      </c>
      <c r="G77" s="18"/>
      <c r="H77" s="59"/>
      <c r="I77" s="59" t="s">
        <v>162</v>
      </c>
      <c r="J77" s="18"/>
      <c r="K77" s="18"/>
      <c r="L77" s="18"/>
      <c r="M77" s="18"/>
      <c r="N77" s="18"/>
      <c r="O77" s="18"/>
      <c r="P77" s="19"/>
    </row>
    <row r="78" spans="1:16" ht="12" customHeight="1" x14ac:dyDescent="0.2">
      <c r="A78" s="28"/>
      <c r="B78" s="138"/>
      <c r="C78" s="139"/>
      <c r="D78" s="173"/>
      <c r="E78" s="3"/>
      <c r="F78" s="30" t="s">
        <v>59</v>
      </c>
      <c r="G78" s="3"/>
      <c r="H78" s="54"/>
      <c r="I78" s="41" t="s">
        <v>139</v>
      </c>
      <c r="P78" s="29"/>
    </row>
    <row r="79" spans="1:16" ht="12" customHeight="1" x14ac:dyDescent="0.2">
      <c r="A79" s="28"/>
      <c r="B79" s="69"/>
      <c r="C79" s="139"/>
      <c r="D79" s="173"/>
      <c r="E79" s="3"/>
      <c r="F79" s="30" t="s">
        <v>60</v>
      </c>
      <c r="G79" s="3"/>
      <c r="H79" s="41"/>
      <c r="I79" s="41" t="s">
        <v>163</v>
      </c>
      <c r="P79" s="29"/>
    </row>
    <row r="80" spans="1:16" ht="12" customHeight="1" x14ac:dyDescent="0.2">
      <c r="A80" s="28"/>
      <c r="B80" s="138"/>
      <c r="D80" s="102"/>
      <c r="E80" s="3"/>
      <c r="F80" s="30" t="s">
        <v>61</v>
      </c>
      <c r="G80" s="3"/>
      <c r="H80" s="41"/>
      <c r="I80" s="41"/>
      <c r="P80" s="29"/>
    </row>
    <row r="81" spans="1:16" ht="12" customHeight="1" x14ac:dyDescent="0.2">
      <c r="A81" s="28"/>
      <c r="D81" s="102"/>
      <c r="E81" s="3"/>
      <c r="F81" s="56"/>
      <c r="G81" s="3"/>
      <c r="H81" s="41"/>
      <c r="I81" s="41"/>
      <c r="P81" s="29"/>
    </row>
    <row r="82" spans="1:16" ht="12" customHeight="1" x14ac:dyDescent="0.2">
      <c r="A82" s="28"/>
      <c r="D82" s="102"/>
      <c r="E82" s="3"/>
      <c r="F82" s="60"/>
      <c r="G82" s="34"/>
      <c r="H82" s="61"/>
      <c r="I82" s="67"/>
      <c r="J82" s="14"/>
      <c r="K82" s="11"/>
      <c r="L82" s="11"/>
      <c r="M82" s="11"/>
      <c r="N82" s="11"/>
      <c r="O82" s="11"/>
      <c r="P82" s="39"/>
    </row>
    <row r="83" spans="1:16" ht="12" customHeight="1" x14ac:dyDescent="0.2">
      <c r="A83" s="28"/>
      <c r="D83" s="102"/>
      <c r="E83" s="3"/>
      <c r="F83" s="30" t="s">
        <v>62</v>
      </c>
      <c r="G83" s="3"/>
      <c r="H83" s="54"/>
      <c r="I83" s="54" t="s">
        <v>63</v>
      </c>
      <c r="J83" s="41"/>
      <c r="P83" s="62"/>
    </row>
    <row r="84" spans="1:16" ht="12" customHeight="1" x14ac:dyDescent="0.2">
      <c r="A84" s="22"/>
      <c r="D84" s="102"/>
      <c r="E84" s="3"/>
      <c r="F84" s="42"/>
      <c r="G84" s="3"/>
      <c r="H84" s="54"/>
      <c r="I84" s="54" t="s">
        <v>64</v>
      </c>
      <c r="J84" s="54"/>
      <c r="P84" s="23"/>
    </row>
    <row r="85" spans="1:16" ht="12" customHeight="1" x14ac:dyDescent="0.2">
      <c r="A85" s="22"/>
      <c r="D85" s="102"/>
      <c r="E85" s="3"/>
      <c r="F85" s="42"/>
      <c r="G85" s="3"/>
      <c r="H85" s="41"/>
      <c r="I85" s="41" t="s">
        <v>65</v>
      </c>
      <c r="J85" s="41"/>
      <c r="P85" s="23"/>
    </row>
    <row r="86" spans="1:16" ht="12" customHeight="1" x14ac:dyDescent="0.2">
      <c r="A86" s="22"/>
      <c r="C86" s="139"/>
      <c r="D86" s="173"/>
      <c r="E86" s="3"/>
      <c r="F86" s="42"/>
      <c r="G86" s="3"/>
      <c r="H86" s="41"/>
      <c r="I86" s="41"/>
      <c r="J86" s="41"/>
      <c r="P86" s="23"/>
    </row>
    <row r="87" spans="1:16" ht="12" customHeight="1" x14ac:dyDescent="0.2">
      <c r="A87" s="22"/>
      <c r="C87" s="139"/>
      <c r="D87" s="173"/>
      <c r="E87" s="3"/>
      <c r="F87" s="42"/>
      <c r="G87" s="3"/>
      <c r="H87" s="41"/>
      <c r="I87" s="41"/>
      <c r="J87" s="41"/>
      <c r="P87" s="23"/>
    </row>
    <row r="88" spans="1:16" ht="12" customHeight="1" x14ac:dyDescent="0.2">
      <c r="A88" s="22"/>
      <c r="C88" s="139"/>
      <c r="D88" s="173"/>
      <c r="E88" s="3"/>
      <c r="F88" s="43"/>
      <c r="G88" s="44"/>
      <c r="H88" s="66"/>
      <c r="I88" s="66"/>
      <c r="J88" s="66"/>
      <c r="K88" s="25"/>
      <c r="L88" s="25"/>
      <c r="M88" s="25"/>
      <c r="N88" s="25"/>
      <c r="O88" s="25"/>
      <c r="P88" s="27"/>
    </row>
    <row r="89" spans="1:16" ht="12" customHeight="1" x14ac:dyDescent="0.2">
      <c r="A89" s="22"/>
      <c r="D89" s="102"/>
      <c r="E89" s="3"/>
      <c r="F89" s="30" t="s">
        <v>66</v>
      </c>
      <c r="G89" s="3"/>
      <c r="I89" s="41"/>
      <c r="J89" s="9"/>
      <c r="K89" s="9"/>
      <c r="P89" s="68"/>
    </row>
    <row r="90" spans="1:16" ht="12" customHeight="1" x14ac:dyDescent="0.2">
      <c r="A90" s="22"/>
      <c r="D90" s="102"/>
      <c r="E90" s="3"/>
      <c r="F90" s="56" t="s">
        <v>67</v>
      </c>
      <c r="G90" s="3"/>
      <c r="I90" s="41"/>
      <c r="J90" s="9"/>
      <c r="K90" s="9"/>
      <c r="P90" s="68"/>
    </row>
    <row r="91" spans="1:16" ht="12" customHeight="1" x14ac:dyDescent="0.2">
      <c r="A91" s="22"/>
      <c r="C91" s="139"/>
      <c r="D91" s="173"/>
      <c r="E91" s="3"/>
      <c r="F91" s="56" t="s">
        <v>68</v>
      </c>
      <c r="G91" s="3"/>
      <c r="I91" s="41"/>
      <c r="J91" s="9"/>
      <c r="K91" s="9"/>
      <c r="P91" s="68"/>
    </row>
    <row r="92" spans="1:16" ht="12" customHeight="1" x14ac:dyDescent="0.2">
      <c r="A92" s="22"/>
      <c r="C92" s="139"/>
      <c r="D92" s="173"/>
      <c r="E92" s="3"/>
      <c r="F92" s="42"/>
      <c r="G92" s="3"/>
      <c r="I92" s="41"/>
      <c r="J92" s="9"/>
      <c r="K92" s="9"/>
      <c r="N92" s="9"/>
      <c r="P92" s="68"/>
    </row>
    <row r="93" spans="1:16" ht="12" customHeight="1" x14ac:dyDescent="0.2">
      <c r="A93" s="22"/>
      <c r="C93" s="139"/>
      <c r="D93" s="173"/>
      <c r="E93" s="3"/>
      <c r="F93" s="42"/>
      <c r="G93" s="3"/>
      <c r="I93" s="41"/>
      <c r="J93" s="9"/>
      <c r="K93" s="9"/>
      <c r="P93" s="68"/>
    </row>
    <row r="94" spans="1:16" ht="12" customHeight="1" x14ac:dyDescent="0.2">
      <c r="A94" s="22"/>
      <c r="D94" s="102"/>
      <c r="E94" s="3"/>
      <c r="F94" s="42"/>
      <c r="G94" s="3"/>
      <c r="I94" s="41"/>
      <c r="J94" s="9"/>
      <c r="P94" s="68"/>
    </row>
    <row r="95" spans="1:16" ht="12" customHeight="1" x14ac:dyDescent="0.2">
      <c r="A95" s="22"/>
      <c r="D95" s="102"/>
      <c r="E95" s="3"/>
      <c r="F95" s="42"/>
      <c r="G95" s="70"/>
      <c r="H95" s="69"/>
      <c r="I95" s="71"/>
      <c r="J95" s="72"/>
      <c r="K95" s="69"/>
      <c r="L95" s="69"/>
      <c r="M95" s="69"/>
      <c r="N95" s="69"/>
      <c r="O95" s="69"/>
      <c r="P95" s="133"/>
    </row>
    <row r="96" spans="1:16" ht="12" customHeight="1" x14ac:dyDescent="0.2">
      <c r="A96" s="22"/>
      <c r="C96" s="139"/>
      <c r="D96" s="173"/>
      <c r="E96" s="3"/>
      <c r="F96" s="42"/>
      <c r="I96" s="41"/>
      <c r="P96" s="1"/>
    </row>
    <row r="97" spans="1:16" ht="12" customHeight="1" x14ac:dyDescent="0.2">
      <c r="A97" s="22"/>
      <c r="C97" s="139"/>
      <c r="D97" s="173"/>
      <c r="E97" s="3"/>
      <c r="F97" s="42"/>
      <c r="I97" s="41"/>
      <c r="J97" s="9"/>
      <c r="P97" s="1"/>
    </row>
    <row r="98" spans="1:16" ht="12" customHeight="1" x14ac:dyDescent="0.2">
      <c r="A98" s="22"/>
      <c r="C98" s="3"/>
      <c r="D98" s="87"/>
      <c r="E98" s="3"/>
      <c r="F98" s="42"/>
      <c r="I98" s="41"/>
      <c r="J98" s="9"/>
      <c r="P98" s="75"/>
    </row>
    <row r="99" spans="1:16" ht="12" customHeight="1" x14ac:dyDescent="0.2">
      <c r="A99" s="22"/>
      <c r="B99" s="5" t="s">
        <v>137</v>
      </c>
      <c r="C99" s="139"/>
      <c r="D99" s="173"/>
      <c r="E99" s="3"/>
      <c r="F99" s="42"/>
      <c r="I99" s="41"/>
      <c r="J99" s="9"/>
      <c r="P99" s="75"/>
    </row>
    <row r="100" spans="1:16" ht="12" customHeight="1" x14ac:dyDescent="0.2">
      <c r="A100" s="22"/>
      <c r="B100" s="138" t="s">
        <v>133</v>
      </c>
      <c r="C100" s="139"/>
      <c r="D100" s="173"/>
      <c r="E100" s="3"/>
      <c r="F100" s="42"/>
      <c r="I100" s="41"/>
      <c r="J100" s="9"/>
      <c r="P100" s="75"/>
    </row>
    <row r="101" spans="1:16" ht="12" customHeight="1" x14ac:dyDescent="0.2">
      <c r="A101" s="22"/>
      <c r="B101" s="138" t="s">
        <v>134</v>
      </c>
      <c r="C101" s="139"/>
      <c r="D101" s="173"/>
      <c r="E101" s="3"/>
      <c r="F101" s="42"/>
      <c r="I101" s="41"/>
      <c r="J101" s="9"/>
      <c r="P101" s="75"/>
    </row>
    <row r="102" spans="1:16" ht="12" customHeight="1" x14ac:dyDescent="0.2">
      <c r="A102" s="22"/>
      <c r="C102" s="3"/>
      <c r="D102" s="87"/>
      <c r="E102" s="3"/>
      <c r="F102" s="42"/>
      <c r="I102" s="41"/>
      <c r="J102" s="9"/>
      <c r="P102" s="75"/>
    </row>
    <row r="103" spans="1:16" ht="12" customHeight="1" x14ac:dyDescent="0.2">
      <c r="A103" s="22"/>
      <c r="B103" s="138" t="s">
        <v>135</v>
      </c>
      <c r="C103" s="139"/>
      <c r="D103" s="173"/>
      <c r="E103" s="3"/>
      <c r="F103" s="42"/>
      <c r="I103" s="41"/>
      <c r="J103" s="9"/>
      <c r="P103" s="75"/>
    </row>
    <row r="104" spans="1:16" ht="15.75" thickBot="1" x14ac:dyDescent="0.25">
      <c r="A104" s="36"/>
      <c r="B104" s="176" t="s">
        <v>136</v>
      </c>
      <c r="C104" s="177"/>
      <c r="D104" s="178"/>
      <c r="E104" s="3"/>
      <c r="F104" s="42"/>
      <c r="I104" s="41"/>
      <c r="P104" s="75"/>
    </row>
    <row r="105" spans="1:16" ht="12" customHeight="1" x14ac:dyDescent="0.2">
      <c r="A105" s="3"/>
      <c r="B105" s="3"/>
      <c r="C105" s="3"/>
      <c r="D105" s="3"/>
      <c r="E105" s="3"/>
      <c r="F105" s="42"/>
      <c r="I105" s="41"/>
      <c r="M105" s="9"/>
      <c r="P105" s="75"/>
    </row>
    <row r="106" spans="1:16" ht="12" customHeight="1" x14ac:dyDescent="0.2">
      <c r="A106" s="6" t="s">
        <v>69</v>
      </c>
      <c r="B106" s="41"/>
      <c r="C106" s="3"/>
      <c r="D106" s="3"/>
      <c r="E106" s="3"/>
      <c r="F106" s="42"/>
      <c r="I106" s="41"/>
      <c r="P106" s="75"/>
    </row>
    <row r="107" spans="1:16" ht="12" customHeight="1" x14ac:dyDescent="0.2">
      <c r="A107" s="7"/>
      <c r="B107" s="41"/>
      <c r="C107" s="3"/>
      <c r="D107" s="3"/>
      <c r="E107" s="3"/>
      <c r="F107" s="42"/>
      <c r="I107" s="41"/>
      <c r="P107" s="75"/>
    </row>
    <row r="108" spans="1:16" ht="12" customHeight="1" x14ac:dyDescent="0.2">
      <c r="A108" s="7"/>
      <c r="B108" s="41"/>
      <c r="C108" s="3"/>
      <c r="D108" s="3"/>
      <c r="E108" s="3"/>
      <c r="F108" s="42"/>
      <c r="I108" s="41"/>
      <c r="P108" s="75"/>
    </row>
    <row r="109" spans="1:16" ht="12" customHeight="1" x14ac:dyDescent="0.2">
      <c r="A109" s="6"/>
      <c r="B109" s="41"/>
      <c r="C109" s="3"/>
      <c r="D109" s="3"/>
      <c r="E109" s="3"/>
      <c r="F109" s="42"/>
      <c r="I109" s="41"/>
      <c r="P109" s="75"/>
    </row>
    <row r="110" spans="1:16" ht="12" customHeight="1" x14ac:dyDescent="0.2">
      <c r="A110" s="7"/>
      <c r="B110" s="41"/>
      <c r="C110" s="3"/>
      <c r="D110" s="3"/>
      <c r="E110" s="3"/>
      <c r="F110" s="42"/>
      <c r="I110" s="41"/>
      <c r="P110" s="75"/>
    </row>
    <row r="111" spans="1:16" ht="12" customHeight="1" x14ac:dyDescent="0.2">
      <c r="A111" s="7"/>
      <c r="B111" s="41"/>
      <c r="C111" s="3"/>
      <c r="D111" s="3"/>
      <c r="E111" s="3"/>
      <c r="F111" s="42"/>
      <c r="P111" s="134"/>
    </row>
    <row r="112" spans="1:16" ht="12" customHeight="1" x14ac:dyDescent="0.2">
      <c r="A112" s="6" t="s">
        <v>70</v>
      </c>
      <c r="B112" s="41"/>
      <c r="C112" s="3"/>
      <c r="D112" s="3"/>
      <c r="E112" s="3"/>
      <c r="F112" s="73"/>
      <c r="G112" s="74"/>
      <c r="H112" s="74"/>
      <c r="I112" s="74"/>
      <c r="J112" s="74"/>
      <c r="K112" s="74"/>
      <c r="L112" s="74"/>
      <c r="M112" s="74"/>
      <c r="N112" s="74"/>
      <c r="O112" s="74"/>
      <c r="P112" s="132"/>
    </row>
    <row r="113" spans="1:5" ht="15" x14ac:dyDescent="0.2">
      <c r="A113" s="7"/>
      <c r="B113" s="41"/>
      <c r="C113" s="3"/>
      <c r="D113" s="3"/>
      <c r="E113" s="3"/>
    </row>
    <row r="114" spans="1:5" ht="15" x14ac:dyDescent="0.2">
      <c r="A114" s="6" t="s">
        <v>71</v>
      </c>
      <c r="B114" s="41"/>
      <c r="C114" s="3"/>
      <c r="D114" s="3"/>
      <c r="E114" s="3"/>
    </row>
  </sheetData>
  <mergeCells count="1">
    <mergeCell ref="H1:P1"/>
  </mergeCells>
  <phoneticPr fontId="0" type="noConversion"/>
  <printOptions gridLinesSet="0"/>
  <pageMargins left="0.3" right="0.2" top="0.5" bottom="0.5" header="0.5" footer="0.5"/>
  <pageSetup orientation="portrait" horizontalDpi="300" verticalDpi="300" r:id="rId1"/>
  <headerFooter alignWithMargins="0"/>
  <rowBreaks count="1" manualBreakCount="1">
    <brk id="57" max="655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2"/>
  <dimension ref="A1:M52"/>
  <sheetViews>
    <sheetView showGridLines="0" zoomScaleNormal="100" workbookViewId="0">
      <selection activeCell="F27" sqref="F27"/>
    </sheetView>
  </sheetViews>
  <sheetFormatPr defaultColWidth="9.83203125" defaultRowHeight="12.75" x14ac:dyDescent="0.2"/>
  <cols>
    <col min="1" max="1" width="1.33203125" style="5" customWidth="1"/>
    <col min="2" max="2" width="18" style="5" customWidth="1"/>
    <col min="3" max="3" width="1.83203125" style="5" customWidth="1"/>
    <col min="4" max="4" width="31.5" style="5" customWidth="1"/>
    <col min="5" max="5" width="1.83203125" style="5" customWidth="1"/>
    <col min="6" max="6" width="13.6640625" style="5" customWidth="1"/>
    <col min="7" max="7" width="2.83203125" style="5" customWidth="1"/>
    <col min="8" max="8" width="2" style="5" customWidth="1"/>
    <col min="9" max="9" width="13.1640625" style="5" customWidth="1"/>
    <col min="10" max="10" width="2.6640625" style="5" customWidth="1"/>
    <col min="11" max="11" width="2.1640625" style="5" customWidth="1"/>
    <col min="12" max="12" width="15.1640625" style="5" customWidth="1"/>
    <col min="13" max="16384" width="9.83203125" style="5"/>
  </cols>
  <sheetData>
    <row r="1" spans="1:13" ht="27.6" customHeight="1" x14ac:dyDescent="0.4">
      <c r="A1" s="76" t="s">
        <v>74</v>
      </c>
      <c r="B1" s="77"/>
      <c r="C1" s="77"/>
      <c r="D1" s="77"/>
      <c r="E1" s="77"/>
      <c r="F1" s="77"/>
      <c r="G1" s="77"/>
      <c r="H1" s="78"/>
      <c r="I1" s="79"/>
      <c r="J1" s="79"/>
      <c r="K1" s="79"/>
      <c r="L1" s="80"/>
      <c r="M1" s="4"/>
    </row>
    <row r="2" spans="1:13" ht="17.100000000000001" customHeight="1" x14ac:dyDescent="0.25">
      <c r="A2" s="81" t="s">
        <v>75</v>
      </c>
      <c r="B2" s="82"/>
      <c r="C2" s="70"/>
      <c r="D2" s="70"/>
      <c r="E2" s="70"/>
      <c r="F2" s="70"/>
      <c r="G2" s="70"/>
      <c r="H2" s="83" t="s">
        <v>2</v>
      </c>
      <c r="I2" s="84"/>
      <c r="J2" s="84"/>
      <c r="K2" s="84"/>
      <c r="L2" s="85"/>
      <c r="M2" s="4"/>
    </row>
    <row r="3" spans="1:13" ht="14.45" customHeight="1" x14ac:dyDescent="0.2">
      <c r="A3" s="86"/>
      <c r="B3" s="70"/>
      <c r="C3" s="70"/>
      <c r="D3" s="70"/>
      <c r="E3" s="70"/>
      <c r="F3" s="70"/>
      <c r="G3" s="70"/>
      <c r="H3" s="70"/>
      <c r="I3" s="70"/>
      <c r="J3" s="70"/>
      <c r="K3" s="70"/>
      <c r="L3" s="87"/>
    </row>
    <row r="4" spans="1:13" ht="13.9" customHeight="1" thickBot="1" x14ac:dyDescent="0.3">
      <c r="A4" s="88" t="s">
        <v>76</v>
      </c>
      <c r="B4" s="70"/>
      <c r="C4" s="89"/>
      <c r="D4" s="83"/>
      <c r="E4" s="89"/>
      <c r="F4" s="83"/>
      <c r="G4" s="84"/>
      <c r="H4" s="84"/>
      <c r="I4" s="84"/>
      <c r="J4" s="84"/>
      <c r="K4" s="84"/>
      <c r="L4" s="85"/>
    </row>
    <row r="5" spans="1:13" s="3" customFormat="1" ht="15.75" x14ac:dyDescent="0.25">
      <c r="A5" s="90"/>
      <c r="B5" s="18" t="s">
        <v>149</v>
      </c>
      <c r="C5" s="91"/>
      <c r="D5" s="92"/>
      <c r="E5" s="93"/>
      <c r="F5" s="18"/>
      <c r="G5" s="18"/>
      <c r="H5" s="18"/>
      <c r="I5" s="18"/>
      <c r="J5" s="18"/>
      <c r="K5" s="18"/>
      <c r="L5" s="94"/>
    </row>
    <row r="6" spans="1:13" s="3" customFormat="1" ht="15.75" x14ac:dyDescent="0.25">
      <c r="A6" s="95"/>
      <c r="B6" s="34"/>
      <c r="C6" s="91"/>
      <c r="D6" s="96"/>
      <c r="E6" s="97"/>
      <c r="F6" s="34"/>
      <c r="G6" s="34"/>
      <c r="H6" s="34"/>
      <c r="I6" s="98"/>
      <c r="J6" s="98"/>
      <c r="K6" s="98"/>
      <c r="L6" s="99"/>
    </row>
    <row r="7" spans="1:13" x14ac:dyDescent="0.2">
      <c r="A7" s="100"/>
      <c r="B7" s="11"/>
      <c r="C7" s="101"/>
      <c r="D7" s="101"/>
      <c r="E7" s="72"/>
      <c r="F7" s="11"/>
      <c r="G7" s="11"/>
      <c r="H7" s="11"/>
      <c r="I7" s="69"/>
      <c r="J7" s="69"/>
      <c r="K7" s="69"/>
      <c r="L7" s="102"/>
    </row>
    <row r="8" spans="1:13" ht="15" x14ac:dyDescent="0.2">
      <c r="A8" s="103" t="s">
        <v>77</v>
      </c>
      <c r="B8" s="104"/>
      <c r="C8" s="104"/>
      <c r="D8" s="104"/>
      <c r="E8" s="104"/>
      <c r="F8" s="70"/>
      <c r="G8" s="69"/>
      <c r="H8" s="105"/>
      <c r="I8" s="83" t="s">
        <v>52</v>
      </c>
      <c r="J8" s="69"/>
      <c r="K8" s="106" t="s">
        <v>94</v>
      </c>
      <c r="L8" s="107" t="s">
        <v>53</v>
      </c>
    </row>
    <row r="9" spans="1:13" s="112" customFormat="1" x14ac:dyDescent="0.2">
      <c r="A9" s="108"/>
      <c r="B9" s="109" t="s">
        <v>78</v>
      </c>
      <c r="C9" s="110"/>
      <c r="D9" s="110"/>
      <c r="E9" s="110"/>
      <c r="F9" s="109"/>
      <c r="G9" s="110"/>
      <c r="H9" s="110"/>
      <c r="I9" s="110"/>
      <c r="J9" s="110"/>
      <c r="K9" s="110"/>
      <c r="L9" s="111">
        <v>2390</v>
      </c>
    </row>
    <row r="10" spans="1:13" s="112" customFormat="1" ht="12" x14ac:dyDescent="0.2">
      <c r="A10" s="108"/>
      <c r="B10" s="113" t="s">
        <v>79</v>
      </c>
      <c r="C10" s="110"/>
      <c r="D10" s="110"/>
      <c r="E10" s="110"/>
      <c r="F10" s="109"/>
      <c r="G10" s="110"/>
      <c r="H10" s="110"/>
      <c r="I10" s="110"/>
      <c r="J10" s="110"/>
      <c r="K10" s="110"/>
      <c r="L10" s="114"/>
    </row>
    <row r="11" spans="1:13" s="112" customFormat="1" ht="12" x14ac:dyDescent="0.2">
      <c r="A11" s="108"/>
      <c r="B11" s="83" t="s">
        <v>80</v>
      </c>
      <c r="C11" s="110"/>
      <c r="D11" s="110"/>
      <c r="E11" s="110"/>
      <c r="F11" s="115" t="s">
        <v>142</v>
      </c>
      <c r="G11" s="110"/>
      <c r="H11" s="110"/>
      <c r="I11" s="115" t="s">
        <v>164</v>
      </c>
      <c r="J11" s="110"/>
      <c r="K11" s="110"/>
      <c r="L11" s="114"/>
    </row>
    <row r="12" spans="1:13" s="112" customFormat="1" ht="12" x14ac:dyDescent="0.2">
      <c r="A12" s="108"/>
      <c r="B12" s="109" t="s">
        <v>81</v>
      </c>
      <c r="C12" s="110"/>
      <c r="D12" s="110"/>
      <c r="E12" s="110"/>
      <c r="J12" s="110"/>
      <c r="K12" s="110"/>
      <c r="L12" s="114"/>
    </row>
    <row r="13" spans="1:13" s="112" customFormat="1" ht="12" x14ac:dyDescent="0.2">
      <c r="A13" s="108"/>
      <c r="B13" s="109" t="s">
        <v>82</v>
      </c>
      <c r="C13" s="110"/>
      <c r="D13" s="110"/>
      <c r="E13" s="110"/>
      <c r="F13" s="116">
        <v>299730</v>
      </c>
      <c r="G13" s="110"/>
      <c r="H13" s="110"/>
      <c r="I13" s="116"/>
      <c r="J13" s="110"/>
      <c r="K13" s="110"/>
      <c r="L13" s="114"/>
    </row>
    <row r="14" spans="1:13" s="112" customFormat="1" ht="13.5" customHeight="1" x14ac:dyDescent="0.2">
      <c r="A14" s="108"/>
      <c r="B14" s="109" t="s">
        <v>83</v>
      </c>
      <c r="C14" s="109"/>
      <c r="D14" s="109"/>
      <c r="E14" s="109"/>
      <c r="F14" s="118"/>
      <c r="G14" s="109"/>
      <c r="H14" s="109"/>
      <c r="I14" s="118"/>
      <c r="J14" s="109"/>
      <c r="K14" s="109"/>
      <c r="L14" s="119"/>
    </row>
    <row r="15" spans="1:13" s="112" customFormat="1" ht="12" x14ac:dyDescent="0.2">
      <c r="A15" s="108"/>
      <c r="B15" s="71"/>
      <c r="C15" s="109"/>
      <c r="D15" s="120" t="s">
        <v>84</v>
      </c>
      <c r="E15" s="109" t="s">
        <v>72</v>
      </c>
      <c r="F15" s="121">
        <f>SUM(F13:F14)</f>
        <v>299730</v>
      </c>
      <c r="G15" s="109"/>
      <c r="H15" s="109" t="s">
        <v>72</v>
      </c>
      <c r="I15" s="116">
        <f>SUM(I13:I14)</f>
        <v>0</v>
      </c>
      <c r="J15" s="109"/>
      <c r="K15" s="109"/>
      <c r="L15" s="119"/>
    </row>
    <row r="16" spans="1:13" s="112" customFormat="1" ht="12" x14ac:dyDescent="0.2">
      <c r="A16" s="108"/>
      <c r="B16" s="122" t="s">
        <v>85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19"/>
    </row>
    <row r="17" spans="1:12" s="112" customFormat="1" ht="12" x14ac:dyDescent="0.2">
      <c r="A17" s="108"/>
      <c r="B17" s="122" t="s">
        <v>86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19"/>
    </row>
    <row r="18" spans="1:12" s="112" customFormat="1" ht="13.5" customHeight="1" x14ac:dyDescent="0.2">
      <c r="A18" s="123"/>
      <c r="B18" s="184" t="s">
        <v>146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6"/>
    </row>
    <row r="19" spans="1:12" s="112" customFormat="1" ht="13.5" customHeight="1" x14ac:dyDescent="0.2">
      <c r="A19" s="123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6"/>
    </row>
    <row r="20" spans="1:12" s="112" customFormat="1" ht="13.5" customHeight="1" x14ac:dyDescent="0.2">
      <c r="A20" s="123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6"/>
    </row>
    <row r="21" spans="1:12" s="112" customFormat="1" ht="13.5" customHeight="1" x14ac:dyDescent="0.2">
      <c r="A21" s="123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6"/>
    </row>
    <row r="22" spans="1:12" ht="15.95" customHeight="1" x14ac:dyDescent="0.2">
      <c r="A22" s="103" t="s">
        <v>87</v>
      </c>
      <c r="B22" s="104"/>
      <c r="C22" s="104"/>
      <c r="D22" s="104"/>
      <c r="E22" s="104"/>
      <c r="F22" s="70"/>
      <c r="G22" s="69"/>
      <c r="H22" s="53"/>
      <c r="I22" s="83" t="s">
        <v>52</v>
      </c>
      <c r="J22" s="69"/>
      <c r="K22" s="106" t="s">
        <v>94</v>
      </c>
      <c r="L22" s="107" t="s">
        <v>53</v>
      </c>
    </row>
    <row r="23" spans="1:12" ht="15.75" customHeight="1" x14ac:dyDescent="0.2">
      <c r="A23" s="124"/>
      <c r="B23" s="109" t="s">
        <v>88</v>
      </c>
      <c r="C23" s="70"/>
      <c r="D23" s="70"/>
      <c r="E23" s="70"/>
      <c r="F23" s="69"/>
      <c r="G23" s="69"/>
      <c r="H23" s="69"/>
      <c r="I23" s="69"/>
      <c r="J23" s="69"/>
      <c r="K23" s="69"/>
      <c r="L23" s="87"/>
    </row>
    <row r="24" spans="1:12" ht="15.75" customHeight="1" x14ac:dyDescent="0.2">
      <c r="A24" s="124"/>
      <c r="B24" s="83" t="s">
        <v>89</v>
      </c>
      <c r="C24" s="110"/>
      <c r="D24" s="110"/>
      <c r="E24" s="110"/>
      <c r="F24" s="115" t="s">
        <v>142</v>
      </c>
      <c r="G24" s="110"/>
      <c r="H24" s="110"/>
      <c r="I24" s="115" t="s">
        <v>164</v>
      </c>
      <c r="J24" s="69"/>
      <c r="K24" s="69"/>
      <c r="L24" s="87"/>
    </row>
    <row r="25" spans="1:12" ht="15.75" customHeight="1" x14ac:dyDescent="0.2">
      <c r="A25" s="124"/>
      <c r="B25" s="109" t="s">
        <v>81</v>
      </c>
      <c r="C25" s="110"/>
      <c r="D25" s="110"/>
      <c r="E25" s="110"/>
      <c r="F25" s="116"/>
      <c r="G25" s="110"/>
      <c r="H25" s="110"/>
      <c r="I25" s="116"/>
      <c r="J25" s="69"/>
      <c r="K25" s="69"/>
      <c r="L25" s="87"/>
    </row>
    <row r="26" spans="1:12" ht="15.75" customHeight="1" x14ac:dyDescent="0.2">
      <c r="A26" s="124"/>
      <c r="B26" s="109" t="s">
        <v>82</v>
      </c>
      <c r="C26" s="110"/>
      <c r="D26" s="110"/>
      <c r="E26" s="110"/>
      <c r="F26" s="117">
        <v>299730</v>
      </c>
      <c r="G26" s="110"/>
      <c r="H26" s="110"/>
      <c r="I26" s="116"/>
      <c r="J26" s="69"/>
      <c r="K26" s="69"/>
      <c r="L26" s="87"/>
    </row>
    <row r="27" spans="1:12" ht="15.75" customHeight="1" x14ac:dyDescent="0.2">
      <c r="A27" s="124"/>
      <c r="B27" s="109" t="s">
        <v>90</v>
      </c>
      <c r="C27" s="109"/>
      <c r="D27" s="109"/>
      <c r="E27" s="109"/>
      <c r="F27" s="118"/>
      <c r="G27" s="109"/>
      <c r="H27" s="109"/>
      <c r="I27" s="118"/>
      <c r="J27" s="69"/>
      <c r="K27" s="69"/>
      <c r="L27" s="87"/>
    </row>
    <row r="28" spans="1:12" ht="15.75" customHeight="1" x14ac:dyDescent="0.2">
      <c r="A28" s="124"/>
      <c r="B28" s="71"/>
      <c r="C28" s="109"/>
      <c r="D28" s="120" t="s">
        <v>84</v>
      </c>
      <c r="E28" s="109" t="s">
        <v>72</v>
      </c>
      <c r="F28" s="121">
        <f>SUM(F25:F27)</f>
        <v>299730</v>
      </c>
      <c r="G28" s="109"/>
      <c r="H28" s="109" t="s">
        <v>72</v>
      </c>
      <c r="I28" s="116">
        <f>SUM(I25:I27)</f>
        <v>0</v>
      </c>
      <c r="J28" s="69"/>
      <c r="K28" s="69"/>
      <c r="L28" s="87"/>
    </row>
    <row r="29" spans="1:12" ht="15.75" customHeight="1" x14ac:dyDescent="0.2">
      <c r="A29" s="124"/>
      <c r="B29" s="122" t="s">
        <v>91</v>
      </c>
      <c r="C29" s="70"/>
      <c r="D29" s="70"/>
      <c r="E29" s="70"/>
      <c r="F29" s="69"/>
      <c r="G29" s="69"/>
      <c r="H29" s="69"/>
      <c r="I29" s="69"/>
      <c r="J29" s="69"/>
      <c r="K29" s="69"/>
      <c r="L29" s="87"/>
    </row>
    <row r="30" spans="1:12" ht="10.5" customHeight="1" x14ac:dyDescent="0.2">
      <c r="A30" s="124"/>
      <c r="B30" s="122" t="s">
        <v>92</v>
      </c>
      <c r="C30" s="70"/>
      <c r="D30" s="70"/>
      <c r="E30" s="70"/>
      <c r="F30" s="69"/>
      <c r="G30" s="69"/>
      <c r="H30" s="69"/>
      <c r="I30" s="69"/>
      <c r="J30" s="69"/>
      <c r="K30" s="69"/>
      <c r="L30" s="87"/>
    </row>
    <row r="31" spans="1:12" s="112" customFormat="1" ht="13.5" customHeight="1" x14ac:dyDescent="0.2">
      <c r="A31" s="123"/>
      <c r="B31" s="184" t="s">
        <v>157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6"/>
    </row>
    <row r="32" spans="1:12" s="112" customFormat="1" ht="13.5" customHeight="1" x14ac:dyDescent="0.2">
      <c r="A32" s="123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6"/>
    </row>
    <row r="33" spans="1:12" s="112" customFormat="1" ht="13.5" customHeight="1" x14ac:dyDescent="0.2">
      <c r="A33" s="123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6"/>
    </row>
    <row r="34" spans="1:12" s="112" customFormat="1" ht="13.5" customHeight="1" x14ac:dyDescent="0.2">
      <c r="A34" s="123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6"/>
    </row>
    <row r="35" spans="1:12" ht="15" customHeight="1" x14ac:dyDescent="0.2">
      <c r="A35" s="103" t="s">
        <v>93</v>
      </c>
      <c r="B35" s="104"/>
      <c r="C35" s="104"/>
      <c r="D35" s="104"/>
      <c r="E35" s="104"/>
      <c r="F35" s="70"/>
      <c r="G35" s="69"/>
      <c r="H35" s="53"/>
      <c r="I35" s="83" t="s">
        <v>52</v>
      </c>
      <c r="J35" s="69"/>
      <c r="K35" s="106" t="s">
        <v>26</v>
      </c>
      <c r="L35" s="107" t="s">
        <v>53</v>
      </c>
    </row>
    <row r="36" spans="1:12" ht="12" customHeight="1" x14ac:dyDescent="0.2">
      <c r="A36" s="86"/>
      <c r="B36" s="71" t="s">
        <v>95</v>
      </c>
      <c r="C36" s="70"/>
      <c r="D36" s="70"/>
      <c r="E36" s="70"/>
      <c r="F36" s="83"/>
      <c r="G36" s="69"/>
      <c r="H36" s="125"/>
      <c r="I36" s="69"/>
      <c r="J36" s="69"/>
      <c r="K36" s="69"/>
      <c r="L36" s="102"/>
    </row>
    <row r="37" spans="1:12" ht="12" customHeight="1" x14ac:dyDescent="0.2">
      <c r="A37" s="86"/>
      <c r="B37" s="71" t="s">
        <v>96</v>
      </c>
      <c r="C37" s="70"/>
      <c r="D37" s="70"/>
      <c r="E37" s="70"/>
      <c r="F37" s="83"/>
      <c r="G37" s="69"/>
      <c r="H37" s="69"/>
      <c r="I37" s="69"/>
      <c r="J37" s="69"/>
      <c r="K37" s="69"/>
      <c r="L37" s="102"/>
    </row>
    <row r="38" spans="1:12" ht="13.5" customHeight="1" x14ac:dyDescent="0.2">
      <c r="A38" s="123"/>
      <c r="B38" s="69" t="s">
        <v>158</v>
      </c>
      <c r="C38" s="69"/>
      <c r="D38" s="69"/>
      <c r="E38" s="69"/>
      <c r="F38" s="125"/>
      <c r="G38" s="69"/>
      <c r="H38" s="69"/>
      <c r="I38" s="69"/>
      <c r="J38" s="69"/>
      <c r="K38" s="69"/>
      <c r="L38" s="102"/>
    </row>
    <row r="39" spans="1:12" ht="13.5" customHeight="1" x14ac:dyDescent="0.2">
      <c r="A39" s="123"/>
      <c r="B39" s="69" t="s">
        <v>159</v>
      </c>
      <c r="C39" s="69"/>
      <c r="D39" s="69"/>
      <c r="E39" s="69"/>
      <c r="F39" s="69"/>
      <c r="G39" s="69"/>
      <c r="H39" s="69"/>
      <c r="I39" s="69"/>
      <c r="J39" s="69"/>
      <c r="K39" s="69"/>
      <c r="L39" s="102"/>
    </row>
    <row r="40" spans="1:12" ht="13.5" customHeight="1" x14ac:dyDescent="0.2">
      <c r="A40" s="123"/>
      <c r="B40" s="69" t="s">
        <v>160</v>
      </c>
      <c r="C40" s="69"/>
      <c r="D40" s="69"/>
      <c r="E40" s="69"/>
      <c r="F40" s="125"/>
      <c r="G40" s="69"/>
      <c r="H40" s="125"/>
      <c r="I40" s="69"/>
      <c r="J40" s="69"/>
      <c r="K40" s="69"/>
      <c r="L40" s="102"/>
    </row>
    <row r="41" spans="1:12" ht="13.5" customHeight="1" x14ac:dyDescent="0.2">
      <c r="A41" s="123"/>
      <c r="B41" s="69"/>
      <c r="C41" s="69"/>
      <c r="D41" s="69"/>
      <c r="E41" s="69"/>
      <c r="F41" s="125"/>
      <c r="G41" s="69"/>
      <c r="H41" s="69"/>
      <c r="I41" s="69"/>
      <c r="J41" s="69"/>
      <c r="K41" s="69"/>
      <c r="L41" s="102"/>
    </row>
    <row r="42" spans="1:12" ht="13.5" customHeight="1" x14ac:dyDescent="0.2">
      <c r="A42" s="123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102"/>
    </row>
    <row r="43" spans="1:12" ht="13.5" customHeight="1" x14ac:dyDescent="0.2">
      <c r="A43" s="126" t="s">
        <v>97</v>
      </c>
      <c r="B43" s="69"/>
      <c r="C43" s="69"/>
      <c r="D43" s="69"/>
      <c r="E43" s="69"/>
      <c r="F43" s="69"/>
      <c r="G43" s="69"/>
      <c r="H43" s="53" t="s">
        <v>94</v>
      </c>
      <c r="I43" s="83" t="s">
        <v>52</v>
      </c>
      <c r="J43" s="69"/>
      <c r="K43" s="106"/>
      <c r="L43" s="107" t="s">
        <v>53</v>
      </c>
    </row>
    <row r="44" spans="1:12" ht="13.5" customHeight="1" x14ac:dyDescent="0.2">
      <c r="A44" s="126"/>
      <c r="B44" s="71" t="s">
        <v>98</v>
      </c>
      <c r="C44" s="69"/>
      <c r="D44" s="69"/>
      <c r="E44" s="69"/>
      <c r="F44" s="69"/>
      <c r="G44" s="69"/>
      <c r="L44" s="102"/>
    </row>
    <row r="45" spans="1:12" ht="13.5" customHeight="1" x14ac:dyDescent="0.2">
      <c r="A45" s="123"/>
      <c r="B45" s="69"/>
      <c r="C45" s="69"/>
      <c r="D45" s="69"/>
      <c r="E45" s="69"/>
      <c r="F45" s="69"/>
      <c r="G45" s="69"/>
      <c r="H45" s="125"/>
      <c r="I45" s="69"/>
      <c r="J45" s="69"/>
      <c r="K45" s="69"/>
      <c r="L45" s="102"/>
    </row>
    <row r="46" spans="1:12" ht="13.5" customHeight="1" x14ac:dyDescent="0.2">
      <c r="A46" s="123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102"/>
    </row>
    <row r="47" spans="1:12" ht="12" customHeight="1" x14ac:dyDescent="0.2">
      <c r="A47" s="127"/>
      <c r="B47" s="71"/>
      <c r="C47" s="70"/>
      <c r="D47" s="70"/>
      <c r="E47" s="70"/>
      <c r="F47" s="69"/>
      <c r="G47" s="69"/>
      <c r="H47" s="69"/>
      <c r="I47" s="69"/>
      <c r="J47" s="69"/>
      <c r="K47" s="69"/>
      <c r="L47" s="102"/>
    </row>
    <row r="48" spans="1:12" ht="12" customHeight="1" x14ac:dyDescent="0.2">
      <c r="A48" s="124"/>
      <c r="B48" s="71"/>
      <c r="C48" s="70"/>
      <c r="D48" s="70"/>
      <c r="E48" s="70"/>
      <c r="F48" s="69"/>
      <c r="G48" s="69"/>
      <c r="H48" s="69"/>
      <c r="I48" s="69"/>
      <c r="J48" s="69"/>
      <c r="K48" s="69"/>
      <c r="L48" s="102"/>
    </row>
    <row r="49" spans="1:12" ht="12" customHeight="1" x14ac:dyDescent="0.2">
      <c r="A49" s="88" t="s">
        <v>70</v>
      </c>
      <c r="B49" s="71"/>
      <c r="C49" s="70"/>
      <c r="D49" s="70"/>
      <c r="E49" s="70"/>
      <c r="F49" s="69"/>
      <c r="G49" s="69"/>
      <c r="H49" s="69"/>
      <c r="I49" s="69"/>
      <c r="J49" s="69"/>
      <c r="K49" s="69"/>
      <c r="L49" s="102"/>
    </row>
    <row r="50" spans="1:12" ht="15" x14ac:dyDescent="0.2">
      <c r="A50" s="124"/>
      <c r="B50" s="71" t="s">
        <v>99</v>
      </c>
      <c r="C50" s="70"/>
      <c r="D50" s="70"/>
      <c r="E50" s="71" t="s">
        <v>100</v>
      </c>
      <c r="F50" s="69"/>
      <c r="G50" s="69"/>
      <c r="H50" s="74"/>
      <c r="I50" s="74"/>
      <c r="J50" s="74"/>
      <c r="K50" s="74"/>
      <c r="L50" s="102"/>
    </row>
    <row r="51" spans="1:12" ht="15" x14ac:dyDescent="0.2">
      <c r="A51" s="128"/>
      <c r="B51" s="129"/>
      <c r="C51" s="130"/>
      <c r="D51" s="130"/>
      <c r="E51" s="130"/>
      <c r="F51" s="129"/>
      <c r="G51" s="74"/>
      <c r="H51" s="131"/>
      <c r="I51" s="131"/>
      <c r="J51" s="131"/>
      <c r="K51" s="131"/>
      <c r="L51" s="132"/>
    </row>
    <row r="52" spans="1:12" ht="15" x14ac:dyDescent="0.2">
      <c r="A52" s="3"/>
      <c r="B52" s="41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2">
    <mergeCell ref="B31:L34"/>
    <mergeCell ref="B18:L21"/>
  </mergeCells>
  <phoneticPr fontId="0" type="noConversion"/>
  <printOptions horizontalCentered="1" verticalCentered="1" gridLinesSet="0"/>
  <pageMargins left="0.5" right="0.5" top="0.5" bottom="0.5" header="0.5" footer="0.5"/>
  <pageSetup scale="9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70"/>
  <sheetViews>
    <sheetView showGridLines="0" zoomScale="85" zoomScaleNormal="100" workbookViewId="0">
      <selection activeCell="K13" sqref="K13"/>
    </sheetView>
  </sheetViews>
  <sheetFormatPr defaultColWidth="10.6640625" defaultRowHeight="12.75" x14ac:dyDescent="0.2"/>
  <cols>
    <col min="1" max="1" width="7.1640625" style="141" customWidth="1"/>
    <col min="2" max="2" width="2" style="141" customWidth="1"/>
    <col min="3" max="3" width="12.5" style="141" customWidth="1"/>
    <col min="4" max="4" width="2" style="141" customWidth="1"/>
    <col min="5" max="5" width="16.6640625" style="141" customWidth="1"/>
    <col min="6" max="6" width="2" style="141" customWidth="1"/>
    <col min="7" max="7" width="12.5" style="141" customWidth="1"/>
    <col min="8" max="8" width="2" style="141" customWidth="1"/>
    <col min="9" max="9" width="17.83203125" style="141" customWidth="1"/>
    <col min="10" max="10" width="2" style="141" customWidth="1"/>
    <col min="11" max="11" width="28.1640625" style="141" customWidth="1"/>
    <col min="12" max="12" width="2" style="141" customWidth="1"/>
    <col min="13" max="13" width="12.5" style="141" customWidth="1"/>
    <col min="14" max="14" width="2" style="141" customWidth="1"/>
    <col min="15" max="15" width="15.33203125" style="141" bestFit="1" customWidth="1"/>
    <col min="16" max="16" width="10.33203125" style="141" customWidth="1"/>
    <col min="17" max="16384" width="10.6640625" style="141"/>
  </cols>
  <sheetData>
    <row r="1" spans="1:17" ht="20.25" x14ac:dyDescent="0.3">
      <c r="C1" s="187" t="s">
        <v>103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7" ht="15.75" x14ac:dyDescent="0.25">
      <c r="C2" s="188" t="s">
        <v>104</v>
      </c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7" ht="15.75" x14ac:dyDescent="0.25">
      <c r="C3" s="188" t="s">
        <v>38</v>
      </c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</row>
    <row r="4" spans="1:17" x14ac:dyDescent="0.2">
      <c r="D4" s="142" t="s">
        <v>105</v>
      </c>
      <c r="G4" s="143" t="s">
        <v>106</v>
      </c>
      <c r="H4" s="144"/>
      <c r="I4" s="144"/>
      <c r="J4" s="144"/>
      <c r="K4" s="144"/>
      <c r="L4" s="144"/>
      <c r="M4" s="144"/>
    </row>
    <row r="6" spans="1:17" s="145" customFormat="1" ht="15.75" x14ac:dyDescent="0.25">
      <c r="A6" s="145" t="s">
        <v>107</v>
      </c>
      <c r="E6" s="146" t="s">
        <v>108</v>
      </c>
      <c r="G6" s="147" t="s">
        <v>109</v>
      </c>
      <c r="I6" s="146"/>
      <c r="J6" s="146"/>
      <c r="K6" s="147" t="s">
        <v>110</v>
      </c>
      <c r="M6" s="146"/>
      <c r="N6" s="146"/>
      <c r="O6" s="146"/>
      <c r="P6" s="148"/>
      <c r="Q6" s="148"/>
    </row>
    <row r="8" spans="1:17" s="145" customFormat="1" ht="15.75" x14ac:dyDescent="0.25">
      <c r="A8" s="145" t="s">
        <v>111</v>
      </c>
      <c r="C8" s="148"/>
      <c r="D8" s="146"/>
      <c r="E8" s="146"/>
      <c r="F8" s="146" t="s">
        <v>112</v>
      </c>
      <c r="G8" s="146"/>
      <c r="H8" s="148"/>
      <c r="K8" s="148"/>
      <c r="M8" s="148"/>
    </row>
    <row r="10" spans="1:17" s="142" customFormat="1" x14ac:dyDescent="0.2">
      <c r="C10" s="149" t="s">
        <v>113</v>
      </c>
      <c r="E10" s="149" t="s">
        <v>114</v>
      </c>
      <c r="G10" s="149" t="s">
        <v>115</v>
      </c>
      <c r="I10" s="149" t="s">
        <v>116</v>
      </c>
      <c r="K10" s="149" t="s">
        <v>117</v>
      </c>
      <c r="M10" s="150" t="s">
        <v>118</v>
      </c>
    </row>
    <row r="12" spans="1:17" x14ac:dyDescent="0.2">
      <c r="A12" s="151"/>
      <c r="C12" s="152">
        <v>2390</v>
      </c>
      <c r="E12" s="152">
        <v>210000</v>
      </c>
      <c r="G12" s="152">
        <v>599900</v>
      </c>
      <c r="I12" s="152"/>
      <c r="K12" s="171">
        <v>299730</v>
      </c>
      <c r="M12" s="154" t="s">
        <v>119</v>
      </c>
    </row>
    <row r="13" spans="1:17" x14ac:dyDescent="0.2">
      <c r="C13" s="155"/>
      <c r="E13" s="155"/>
      <c r="G13" s="155"/>
      <c r="I13" s="155"/>
      <c r="K13" s="156"/>
    </row>
    <row r="14" spans="1:17" x14ac:dyDescent="0.2">
      <c r="C14" s="152"/>
      <c r="E14" s="152"/>
      <c r="G14" s="152"/>
      <c r="I14" s="152"/>
      <c r="K14" s="153"/>
      <c r="M14" s="144"/>
    </row>
    <row r="15" spans="1:17" x14ac:dyDescent="0.2">
      <c r="C15" s="155"/>
      <c r="E15" s="155"/>
      <c r="G15" s="155"/>
      <c r="I15" s="155"/>
      <c r="K15" s="156"/>
    </row>
    <row r="16" spans="1:17" x14ac:dyDescent="0.2">
      <c r="C16" s="152"/>
      <c r="E16" s="152"/>
      <c r="G16" s="152"/>
      <c r="I16" s="152"/>
      <c r="K16" s="153"/>
      <c r="M16" s="144"/>
    </row>
    <row r="17" spans="1:15" x14ac:dyDescent="0.2">
      <c r="C17" s="155"/>
      <c r="E17" s="155"/>
      <c r="G17" s="155"/>
      <c r="I17" s="155"/>
      <c r="K17" s="156"/>
    </row>
    <row r="18" spans="1:15" x14ac:dyDescent="0.2">
      <c r="C18" s="152"/>
      <c r="E18" s="152"/>
      <c r="G18" s="152"/>
      <c r="I18" s="152"/>
      <c r="K18" s="153"/>
      <c r="M18" s="144"/>
    </row>
    <row r="19" spans="1:15" x14ac:dyDescent="0.2">
      <c r="C19" s="155"/>
      <c r="E19" s="155"/>
      <c r="G19" s="155"/>
      <c r="I19" s="155"/>
      <c r="K19" s="156"/>
    </row>
    <row r="20" spans="1:15" x14ac:dyDescent="0.2">
      <c r="A20" s="150"/>
      <c r="C20" s="152"/>
      <c r="E20" s="152"/>
      <c r="G20" s="152"/>
      <c r="I20" s="152"/>
      <c r="K20" s="153"/>
      <c r="M20" s="144"/>
    </row>
    <row r="21" spans="1:15" x14ac:dyDescent="0.2">
      <c r="C21" s="155"/>
      <c r="E21" s="155"/>
      <c r="G21" s="155"/>
      <c r="I21" s="155"/>
      <c r="K21" s="156"/>
    </row>
    <row r="22" spans="1:15" x14ac:dyDescent="0.2">
      <c r="C22" s="152"/>
      <c r="E22" s="152"/>
      <c r="G22" s="152"/>
      <c r="I22" s="152"/>
      <c r="K22" s="153"/>
      <c r="M22" s="144"/>
    </row>
    <row r="23" spans="1:15" x14ac:dyDescent="0.2">
      <c r="C23" s="155"/>
      <c r="E23" s="155"/>
      <c r="G23" s="155"/>
      <c r="I23" s="155"/>
      <c r="K23" s="156"/>
    </row>
    <row r="24" spans="1:15" x14ac:dyDescent="0.2">
      <c r="C24" s="152"/>
      <c r="E24" s="152"/>
      <c r="G24" s="152"/>
      <c r="I24" s="152"/>
      <c r="K24" s="153"/>
      <c r="M24" s="144"/>
    </row>
    <row r="25" spans="1:15" x14ac:dyDescent="0.2">
      <c r="C25" s="155"/>
      <c r="E25" s="155"/>
      <c r="G25" s="155"/>
      <c r="I25" s="155"/>
      <c r="K25" s="156"/>
    </row>
    <row r="26" spans="1:15" x14ac:dyDescent="0.2">
      <c r="C26" s="152"/>
      <c r="E26" s="152"/>
      <c r="G26" s="152"/>
      <c r="I26" s="152"/>
      <c r="K26" s="153"/>
      <c r="M26" s="144"/>
    </row>
    <row r="27" spans="1:15" x14ac:dyDescent="0.2">
      <c r="C27" s="157"/>
      <c r="E27" s="157"/>
      <c r="G27" s="157"/>
      <c r="I27" s="157"/>
      <c r="K27" s="157"/>
      <c r="O27" s="157"/>
    </row>
    <row r="28" spans="1:15" x14ac:dyDescent="0.2">
      <c r="C28" s="157"/>
      <c r="E28" s="157"/>
      <c r="G28" s="157"/>
      <c r="I28" s="157"/>
      <c r="K28" s="157"/>
      <c r="O28" s="157"/>
    </row>
    <row r="29" spans="1:15" x14ac:dyDescent="0.2">
      <c r="C29" s="157"/>
      <c r="E29" s="157"/>
      <c r="G29" s="157"/>
      <c r="I29" s="157"/>
      <c r="K29" s="157"/>
      <c r="O29" s="157"/>
    </row>
    <row r="30" spans="1:15" x14ac:dyDescent="0.2">
      <c r="C30" s="157"/>
      <c r="E30" s="157"/>
      <c r="G30" s="157"/>
      <c r="I30" s="157"/>
      <c r="K30" s="157"/>
      <c r="O30" s="157"/>
    </row>
    <row r="31" spans="1:15" x14ac:dyDescent="0.2">
      <c r="C31" s="157"/>
      <c r="E31" s="157"/>
      <c r="G31" s="157"/>
      <c r="I31" s="157"/>
      <c r="K31" s="157"/>
      <c r="O31" s="157"/>
    </row>
    <row r="32" spans="1:15" x14ac:dyDescent="0.2">
      <c r="C32" s="157"/>
      <c r="E32" s="157"/>
      <c r="G32" s="157"/>
      <c r="I32" s="157"/>
      <c r="K32" s="157"/>
      <c r="O32" s="157"/>
    </row>
    <row r="33" spans="3:15" x14ac:dyDescent="0.2">
      <c r="C33" s="157"/>
      <c r="E33" s="157"/>
      <c r="G33" s="157"/>
      <c r="I33" s="157"/>
      <c r="K33" s="157"/>
      <c r="O33" s="157"/>
    </row>
    <row r="34" spans="3:15" x14ac:dyDescent="0.2">
      <c r="C34" s="157"/>
      <c r="E34" s="157"/>
      <c r="G34" s="157"/>
      <c r="I34" s="157"/>
      <c r="K34" s="157"/>
      <c r="O34" s="157"/>
    </row>
    <row r="35" spans="3:15" x14ac:dyDescent="0.2">
      <c r="C35" s="157"/>
      <c r="E35" s="157"/>
      <c r="G35" s="157"/>
      <c r="I35" s="157"/>
      <c r="K35" s="157"/>
      <c r="O35" s="157"/>
    </row>
    <row r="36" spans="3:15" x14ac:dyDescent="0.2">
      <c r="C36" s="157"/>
      <c r="E36" s="157"/>
      <c r="G36" s="157"/>
      <c r="I36" s="157"/>
      <c r="K36" s="157"/>
      <c r="O36" s="157"/>
    </row>
    <row r="37" spans="3:15" x14ac:dyDescent="0.2">
      <c r="C37" s="157"/>
      <c r="E37" s="157"/>
      <c r="G37" s="157"/>
      <c r="I37" s="157"/>
      <c r="K37" s="157"/>
      <c r="O37" s="157"/>
    </row>
    <row r="38" spans="3:15" x14ac:dyDescent="0.2">
      <c r="C38" s="157"/>
      <c r="E38" s="157"/>
      <c r="G38" s="157"/>
      <c r="I38" s="157"/>
      <c r="K38" s="157"/>
      <c r="O38" s="157"/>
    </row>
    <row r="39" spans="3:15" x14ac:dyDescent="0.2">
      <c r="C39" s="157"/>
      <c r="E39" s="157"/>
      <c r="G39" s="157"/>
      <c r="I39" s="157"/>
      <c r="K39" s="157"/>
      <c r="O39" s="157"/>
    </row>
    <row r="40" spans="3:15" x14ac:dyDescent="0.2">
      <c r="C40" s="157"/>
      <c r="E40" s="157"/>
      <c r="G40" s="157"/>
      <c r="I40" s="157"/>
      <c r="K40" s="157"/>
      <c r="O40" s="157"/>
    </row>
    <row r="41" spans="3:15" x14ac:dyDescent="0.2">
      <c r="C41" s="157"/>
      <c r="E41" s="157"/>
      <c r="G41" s="157"/>
      <c r="I41" s="157"/>
      <c r="K41" s="157"/>
      <c r="O41" s="157"/>
    </row>
    <row r="42" spans="3:15" x14ac:dyDescent="0.2">
      <c r="C42" s="157"/>
      <c r="E42" s="157"/>
      <c r="G42" s="157"/>
      <c r="I42" s="157"/>
      <c r="K42" s="157"/>
      <c r="O42" s="157"/>
    </row>
    <row r="43" spans="3:15" x14ac:dyDescent="0.2">
      <c r="C43" s="157"/>
      <c r="E43" s="157"/>
      <c r="G43" s="157"/>
      <c r="I43" s="157"/>
      <c r="K43" s="157"/>
      <c r="O43" s="157"/>
    </row>
    <row r="44" spans="3:15" x14ac:dyDescent="0.2">
      <c r="C44" s="157"/>
      <c r="E44" s="157"/>
      <c r="G44" s="157"/>
      <c r="I44" s="157"/>
      <c r="K44" s="157"/>
      <c r="O44" s="157"/>
    </row>
    <row r="45" spans="3:15" x14ac:dyDescent="0.2">
      <c r="C45" s="157"/>
      <c r="E45" s="157"/>
      <c r="G45" s="157"/>
      <c r="I45" s="157"/>
      <c r="K45" s="157"/>
      <c r="O45" s="157"/>
    </row>
    <row r="46" spans="3:15" x14ac:dyDescent="0.2">
      <c r="C46" s="157"/>
      <c r="E46" s="157"/>
      <c r="G46" s="157"/>
      <c r="I46" s="157"/>
      <c r="K46" s="157"/>
      <c r="O46" s="157"/>
    </row>
    <row r="47" spans="3:15" x14ac:dyDescent="0.2">
      <c r="C47" s="157"/>
      <c r="E47" s="157"/>
      <c r="G47" s="157"/>
      <c r="I47" s="157"/>
      <c r="K47" s="157"/>
      <c r="O47" s="157"/>
    </row>
    <row r="48" spans="3:15" x14ac:dyDescent="0.2">
      <c r="C48" s="157"/>
      <c r="E48" s="157"/>
      <c r="G48" s="157"/>
      <c r="I48" s="157"/>
      <c r="K48" s="157"/>
      <c r="O48" s="157"/>
    </row>
    <row r="49" spans="1:16" x14ac:dyDescent="0.2">
      <c r="C49" s="157"/>
      <c r="E49" s="157"/>
      <c r="G49" s="157"/>
      <c r="I49" s="157"/>
      <c r="K49" s="157"/>
      <c r="O49" s="157"/>
    </row>
    <row r="50" spans="1:16" x14ac:dyDescent="0.2">
      <c r="C50" s="157"/>
      <c r="E50" s="157"/>
      <c r="G50" s="157"/>
      <c r="I50" s="157"/>
      <c r="K50" s="157"/>
      <c r="O50" s="157"/>
    </row>
    <row r="51" spans="1:16" x14ac:dyDescent="0.2">
      <c r="C51" s="157"/>
      <c r="E51" s="157"/>
      <c r="G51" s="157"/>
      <c r="I51" s="157"/>
      <c r="K51" s="157"/>
      <c r="O51" s="157"/>
    </row>
    <row r="52" spans="1:16" x14ac:dyDescent="0.2">
      <c r="C52" s="157"/>
      <c r="E52" s="157"/>
      <c r="G52" s="157"/>
      <c r="I52" s="157"/>
      <c r="K52" s="157"/>
      <c r="O52" s="157"/>
    </row>
    <row r="53" spans="1:16" x14ac:dyDescent="0.2">
      <c r="C53" s="157"/>
      <c r="E53" s="157"/>
      <c r="G53" s="157"/>
      <c r="I53" s="157"/>
      <c r="K53" s="157"/>
      <c r="O53" s="157"/>
    </row>
    <row r="54" spans="1:16" x14ac:dyDescent="0.2">
      <c r="C54" s="157"/>
      <c r="E54" s="157"/>
      <c r="G54" s="157"/>
      <c r="I54" s="157"/>
      <c r="K54" s="157"/>
      <c r="O54" s="157"/>
    </row>
    <row r="55" spans="1:16" x14ac:dyDescent="0.2">
      <c r="C55" s="157"/>
      <c r="E55" s="157"/>
      <c r="G55" s="157"/>
      <c r="I55" s="157"/>
      <c r="K55" s="157"/>
      <c r="O55" s="157"/>
    </row>
    <row r="56" spans="1:16" x14ac:dyDescent="0.2">
      <c r="C56" s="157"/>
      <c r="E56" s="157"/>
      <c r="G56" s="157"/>
      <c r="I56" s="157"/>
      <c r="K56" s="157"/>
      <c r="O56" s="157"/>
    </row>
    <row r="57" spans="1:16" x14ac:dyDescent="0.2">
      <c r="C57" s="157"/>
      <c r="E57" s="157"/>
      <c r="G57" s="157"/>
      <c r="I57" s="157"/>
      <c r="K57" s="157"/>
      <c r="O57" s="157"/>
    </row>
    <row r="58" spans="1:16" x14ac:dyDescent="0.2">
      <c r="C58" s="157"/>
      <c r="E58" s="157"/>
      <c r="G58" s="157"/>
      <c r="I58" s="157"/>
      <c r="K58" s="157"/>
      <c r="O58" s="157"/>
    </row>
    <row r="59" spans="1:16" x14ac:dyDescent="0.2">
      <c r="C59" s="157"/>
      <c r="E59" s="157"/>
      <c r="G59" s="157"/>
      <c r="I59" s="157"/>
      <c r="K59" s="157"/>
      <c r="O59" s="157"/>
    </row>
    <row r="60" spans="1:16" x14ac:dyDescent="0.2">
      <c r="M60" s="141" t="s">
        <v>73</v>
      </c>
      <c r="O60" s="158">
        <f>K12+K14+K16+K18+K20+K22+K24+K26</f>
        <v>299730</v>
      </c>
    </row>
    <row r="61" spans="1:16" x14ac:dyDescent="0.2"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57"/>
    </row>
    <row r="63" spans="1:16" x14ac:dyDescent="0.2">
      <c r="A63" s="159" t="s">
        <v>120</v>
      </c>
    </row>
    <row r="64" spans="1:16" x14ac:dyDescent="0.2"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</row>
    <row r="66" spans="1:15" x14ac:dyDescent="0.2"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</row>
    <row r="68" spans="1:15" x14ac:dyDescent="0.2">
      <c r="A68" s="141" t="s">
        <v>121</v>
      </c>
      <c r="G68" s="141" t="s">
        <v>122</v>
      </c>
      <c r="I68" s="141" t="s">
        <v>123</v>
      </c>
      <c r="O68" s="141" t="s">
        <v>122</v>
      </c>
    </row>
    <row r="70" spans="1:15" x14ac:dyDescent="0.2">
      <c r="A70" s="144"/>
      <c r="B70" s="144"/>
      <c r="C70" s="144"/>
      <c r="D70" s="144"/>
      <c r="E70" s="144"/>
      <c r="G70" s="144"/>
      <c r="I70" s="144"/>
      <c r="J70" s="144"/>
      <c r="K70" s="144"/>
      <c r="L70" s="144"/>
      <c r="M70" s="144"/>
      <c r="O70" s="144"/>
    </row>
  </sheetData>
  <mergeCells count="3">
    <mergeCell ref="C1:O1"/>
    <mergeCell ref="C2:O2"/>
    <mergeCell ref="C3:O3"/>
  </mergeCells>
  <phoneticPr fontId="1" type="noConversion"/>
  <pageMargins left="0" right="0" top="0" bottom="0" header="0.5" footer="0.5"/>
  <pageSetup scale="8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68"/>
  <sheetViews>
    <sheetView showGridLines="0" zoomScale="85" zoomScaleNormal="100" workbookViewId="0">
      <selection activeCell="K39" sqref="K39"/>
    </sheetView>
  </sheetViews>
  <sheetFormatPr defaultColWidth="10.6640625" defaultRowHeight="12.75" x14ac:dyDescent="0.2"/>
  <cols>
    <col min="1" max="1" width="7.1640625" style="141" customWidth="1"/>
    <col min="2" max="2" width="2" style="141" customWidth="1"/>
    <col min="3" max="3" width="12.5" style="141" customWidth="1"/>
    <col min="4" max="4" width="2" style="141" customWidth="1"/>
    <col min="5" max="5" width="16.6640625" style="141" customWidth="1"/>
    <col min="6" max="6" width="2" style="141" customWidth="1"/>
    <col min="7" max="7" width="12.5" style="141" customWidth="1"/>
    <col min="8" max="8" width="2" style="141" customWidth="1"/>
    <col min="9" max="9" width="17.83203125" style="141" customWidth="1"/>
    <col min="10" max="10" width="2" style="141" customWidth="1"/>
    <col min="11" max="11" width="28.1640625" style="141" customWidth="1"/>
    <col min="12" max="12" width="2" style="141" customWidth="1"/>
    <col min="13" max="13" width="12.5" style="141" customWidth="1"/>
    <col min="14" max="14" width="2" style="141" customWidth="1"/>
    <col min="15" max="15" width="16.1640625" style="141" bestFit="1" customWidth="1"/>
    <col min="16" max="16" width="10.33203125" style="141" customWidth="1"/>
    <col min="17" max="16384" width="10.6640625" style="141"/>
  </cols>
  <sheetData>
    <row r="1" spans="1:17" ht="20.25" x14ac:dyDescent="0.3">
      <c r="C1" s="187" t="s">
        <v>124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7" ht="15.75" x14ac:dyDescent="0.25">
      <c r="C2" s="188" t="s">
        <v>104</v>
      </c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7" ht="15.75" x14ac:dyDescent="0.25">
      <c r="C3" s="188" t="s">
        <v>38</v>
      </c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</row>
    <row r="4" spans="1:17" x14ac:dyDescent="0.2">
      <c r="D4" s="142" t="s">
        <v>105</v>
      </c>
      <c r="G4" s="143" t="s">
        <v>106</v>
      </c>
      <c r="H4" s="144"/>
      <c r="I4" s="144"/>
      <c r="J4" s="144"/>
      <c r="K4" s="144"/>
      <c r="L4" s="144"/>
      <c r="M4" s="144"/>
    </row>
    <row r="6" spans="1:17" s="145" customFormat="1" ht="15.75" x14ac:dyDescent="0.25">
      <c r="A6" s="145" t="s">
        <v>107</v>
      </c>
      <c r="E6" s="146" t="s">
        <v>108</v>
      </c>
      <c r="G6" s="147" t="s">
        <v>109</v>
      </c>
      <c r="I6" s="146"/>
      <c r="J6" s="146"/>
      <c r="K6" s="147" t="s">
        <v>110</v>
      </c>
      <c r="M6" s="146"/>
      <c r="N6" s="146"/>
      <c r="O6" s="146"/>
      <c r="P6" s="148"/>
      <c r="Q6" s="148"/>
    </row>
    <row r="8" spans="1:17" s="145" customFormat="1" ht="15.75" x14ac:dyDescent="0.25">
      <c r="A8" s="145" t="s">
        <v>111</v>
      </c>
      <c r="C8" s="148"/>
      <c r="D8" s="146"/>
      <c r="E8" s="146"/>
      <c r="F8" s="146" t="s">
        <v>125</v>
      </c>
      <c r="G8" s="146"/>
      <c r="H8" s="148"/>
      <c r="K8" s="148"/>
      <c r="M8" s="148"/>
    </row>
    <row r="10" spans="1:17" s="142" customFormat="1" x14ac:dyDescent="0.2">
      <c r="C10" s="149" t="s">
        <v>113</v>
      </c>
      <c r="E10" s="149" t="s">
        <v>114</v>
      </c>
      <c r="G10" s="149" t="s">
        <v>115</v>
      </c>
      <c r="I10" s="149" t="s">
        <v>116</v>
      </c>
      <c r="K10" s="149" t="s">
        <v>117</v>
      </c>
      <c r="M10" s="150" t="s">
        <v>118</v>
      </c>
    </row>
    <row r="12" spans="1:17" x14ac:dyDescent="0.2">
      <c r="A12" s="151"/>
      <c r="C12" s="152">
        <v>2390</v>
      </c>
      <c r="E12" s="154">
        <v>213034</v>
      </c>
      <c r="G12" s="179" t="s">
        <v>101</v>
      </c>
      <c r="H12" s="168"/>
      <c r="I12" s="152"/>
      <c r="K12" s="171">
        <v>168505</v>
      </c>
      <c r="M12" s="154" t="s">
        <v>119</v>
      </c>
    </row>
    <row r="13" spans="1:17" x14ac:dyDescent="0.2">
      <c r="C13" s="155"/>
      <c r="E13" s="155"/>
      <c r="G13" s="180"/>
      <c r="I13" s="155"/>
      <c r="K13" s="156"/>
    </row>
    <row r="14" spans="1:17" x14ac:dyDescent="0.2">
      <c r="C14" s="152">
        <v>2390</v>
      </c>
      <c r="E14" s="154">
        <v>213034</v>
      </c>
      <c r="G14" s="179" t="s">
        <v>147</v>
      </c>
      <c r="H14" s="168"/>
      <c r="I14" s="152"/>
      <c r="K14" s="171">
        <v>131225</v>
      </c>
      <c r="M14" s="154" t="s">
        <v>119</v>
      </c>
    </row>
    <row r="15" spans="1:17" x14ac:dyDescent="0.2">
      <c r="C15" s="155"/>
      <c r="E15" s="155"/>
      <c r="G15" s="155"/>
      <c r="I15" s="155"/>
      <c r="K15" s="156"/>
    </row>
    <row r="16" spans="1:17" x14ac:dyDescent="0.2">
      <c r="C16" s="152"/>
      <c r="E16" s="154"/>
      <c r="G16" s="154"/>
      <c r="I16" s="152"/>
      <c r="K16" s="153"/>
      <c r="M16" s="154"/>
    </row>
    <row r="17" spans="1:17" x14ac:dyDescent="0.2">
      <c r="C17" s="155"/>
      <c r="E17" s="155"/>
      <c r="G17" s="155"/>
      <c r="I17" s="155"/>
      <c r="K17" s="156"/>
    </row>
    <row r="18" spans="1:17" x14ac:dyDescent="0.2">
      <c r="C18" s="152"/>
      <c r="E18" s="152"/>
      <c r="G18" s="154"/>
      <c r="I18" s="152"/>
      <c r="K18" s="153"/>
      <c r="M18" s="154"/>
    </row>
    <row r="19" spans="1:17" x14ac:dyDescent="0.2">
      <c r="C19" s="155"/>
      <c r="E19" s="155"/>
      <c r="G19" s="155"/>
      <c r="I19" s="155"/>
      <c r="K19" s="156"/>
    </row>
    <row r="20" spans="1:17" x14ac:dyDescent="0.2">
      <c r="C20" s="152"/>
      <c r="E20" s="152"/>
      <c r="G20" s="154"/>
      <c r="I20" s="152"/>
      <c r="K20" s="153"/>
      <c r="M20" s="154"/>
    </row>
    <row r="21" spans="1:17" x14ac:dyDescent="0.2">
      <c r="C21" s="155"/>
      <c r="E21" s="155"/>
      <c r="G21" s="155"/>
      <c r="I21" s="155"/>
      <c r="K21" s="156"/>
    </row>
    <row r="22" spans="1:17" x14ac:dyDescent="0.2">
      <c r="C22" s="152"/>
      <c r="E22" s="152"/>
      <c r="G22" s="154"/>
      <c r="I22" s="152"/>
      <c r="K22" s="153"/>
      <c r="M22" s="154"/>
    </row>
    <row r="23" spans="1:17" x14ac:dyDescent="0.2">
      <c r="C23" s="155"/>
      <c r="E23" s="155"/>
      <c r="G23" s="155"/>
      <c r="I23" s="155"/>
      <c r="K23" s="156"/>
    </row>
    <row r="24" spans="1:17" x14ac:dyDescent="0.2">
      <c r="C24" s="152"/>
      <c r="E24" s="152"/>
      <c r="G24" s="154"/>
      <c r="I24" s="152"/>
      <c r="K24" s="153"/>
      <c r="M24" s="154"/>
    </row>
    <row r="25" spans="1:17" x14ac:dyDescent="0.2">
      <c r="C25" s="157"/>
      <c r="E25" s="157"/>
      <c r="G25" s="157"/>
      <c r="I25" s="157"/>
      <c r="K25" s="157"/>
      <c r="O25" s="157"/>
    </row>
    <row r="26" spans="1:17" x14ac:dyDescent="0.2">
      <c r="M26" s="141" t="s">
        <v>73</v>
      </c>
      <c r="O26" s="158">
        <f>SUM(K12:K24)</f>
        <v>299730</v>
      </c>
    </row>
    <row r="27" spans="1:17" x14ac:dyDescent="0.2"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57"/>
    </row>
    <row r="30" spans="1:17" s="145" customFormat="1" ht="15.75" x14ac:dyDescent="0.25">
      <c r="A30" s="145" t="s">
        <v>107</v>
      </c>
      <c r="E30" s="146" t="s">
        <v>108</v>
      </c>
      <c r="G30" s="147" t="s">
        <v>109</v>
      </c>
      <c r="I30" s="146"/>
      <c r="J30" s="146"/>
      <c r="K30" s="147" t="s">
        <v>126</v>
      </c>
      <c r="M30" s="146" t="s">
        <v>102</v>
      </c>
      <c r="N30" s="146"/>
      <c r="O30" s="146"/>
      <c r="P30" s="148"/>
      <c r="Q30" s="148"/>
    </row>
    <row r="31" spans="1:17" s="145" customFormat="1" ht="12" customHeight="1" x14ac:dyDescent="0.25">
      <c r="M31" s="142" t="s">
        <v>127</v>
      </c>
    </row>
    <row r="32" spans="1:17" s="145" customFormat="1" ht="15.75" x14ac:dyDescent="0.25">
      <c r="A32" s="145" t="s">
        <v>111</v>
      </c>
      <c r="C32" s="148"/>
      <c r="D32" s="146"/>
      <c r="E32" s="146"/>
      <c r="F32" s="146" t="s">
        <v>128</v>
      </c>
      <c r="G32" s="146"/>
      <c r="H32" s="148"/>
      <c r="I32" s="145" t="s">
        <v>129</v>
      </c>
      <c r="K32" s="146"/>
      <c r="M32" s="142" t="s">
        <v>130</v>
      </c>
    </row>
    <row r="33" spans="1:13" ht="9" customHeight="1" x14ac:dyDescent="0.2"/>
    <row r="34" spans="1:13" s="142" customFormat="1" x14ac:dyDescent="0.2">
      <c r="C34" s="149" t="s">
        <v>113</v>
      </c>
      <c r="E34" s="149" t="s">
        <v>114</v>
      </c>
      <c r="G34" s="149" t="s">
        <v>115</v>
      </c>
      <c r="I34" s="149" t="s">
        <v>116</v>
      </c>
      <c r="K34" s="149" t="s">
        <v>117</v>
      </c>
      <c r="M34" s="150" t="s">
        <v>118</v>
      </c>
    </row>
    <row r="36" spans="1:13" x14ac:dyDescent="0.2">
      <c r="A36" s="142"/>
      <c r="C36" s="152">
        <v>2390</v>
      </c>
      <c r="E36" s="154">
        <v>213034</v>
      </c>
      <c r="G36" s="179">
        <v>602200</v>
      </c>
      <c r="H36" s="168"/>
      <c r="I36" s="152"/>
      <c r="K36" s="171">
        <v>168505</v>
      </c>
      <c r="M36" s="154" t="s">
        <v>119</v>
      </c>
    </row>
    <row r="37" spans="1:13" x14ac:dyDescent="0.2">
      <c r="C37" s="155"/>
      <c r="E37" s="155"/>
      <c r="G37" s="180"/>
      <c r="I37" s="155"/>
      <c r="K37" s="156"/>
    </row>
    <row r="38" spans="1:13" x14ac:dyDescent="0.2">
      <c r="C38" s="152">
        <v>2390</v>
      </c>
      <c r="E38" s="154">
        <v>213034</v>
      </c>
      <c r="G38" s="179">
        <v>619080</v>
      </c>
      <c r="H38" s="168"/>
      <c r="I38" s="152"/>
      <c r="K38" s="171">
        <v>131225</v>
      </c>
      <c r="M38" s="154" t="s">
        <v>119</v>
      </c>
    </row>
    <row r="39" spans="1:13" x14ac:dyDescent="0.2">
      <c r="C39" s="155"/>
      <c r="E39" s="155"/>
      <c r="G39" s="155"/>
      <c r="I39" s="155"/>
      <c r="K39" s="156"/>
    </row>
    <row r="40" spans="1:13" x14ac:dyDescent="0.2">
      <c r="C40" s="152"/>
      <c r="E40" s="154"/>
      <c r="G40" s="154"/>
      <c r="I40" s="152"/>
      <c r="K40" s="153"/>
      <c r="M40" s="154"/>
    </row>
    <row r="41" spans="1:13" x14ac:dyDescent="0.2">
      <c r="C41" s="155"/>
      <c r="E41" s="155"/>
      <c r="G41" s="155"/>
      <c r="I41" s="155"/>
      <c r="K41" s="156"/>
    </row>
    <row r="42" spans="1:13" x14ac:dyDescent="0.2">
      <c r="C42" s="152"/>
      <c r="E42" s="152"/>
      <c r="G42" s="154"/>
      <c r="I42" s="152"/>
      <c r="K42" s="153"/>
      <c r="M42" s="154"/>
    </row>
    <row r="43" spans="1:13" x14ac:dyDescent="0.2">
      <c r="C43" s="155"/>
      <c r="E43" s="155"/>
      <c r="G43" s="155"/>
      <c r="I43" s="155"/>
      <c r="K43" s="156"/>
    </row>
    <row r="44" spans="1:13" x14ac:dyDescent="0.2">
      <c r="C44" s="152"/>
      <c r="E44" s="152"/>
      <c r="G44" s="154"/>
      <c r="I44" s="152"/>
      <c r="K44" s="153"/>
      <c r="M44" s="154"/>
    </row>
    <row r="45" spans="1:13" x14ac:dyDescent="0.2">
      <c r="C45" s="155"/>
      <c r="E45" s="155"/>
      <c r="G45" s="155"/>
      <c r="I45" s="155"/>
      <c r="K45" s="156"/>
    </row>
    <row r="46" spans="1:13" x14ac:dyDescent="0.2">
      <c r="C46" s="152"/>
      <c r="E46" s="152"/>
      <c r="G46" s="154"/>
      <c r="I46" s="152"/>
      <c r="K46" s="153"/>
      <c r="M46" s="154"/>
    </row>
    <row r="47" spans="1:13" x14ac:dyDescent="0.2">
      <c r="C47" s="155"/>
      <c r="E47" s="155"/>
      <c r="G47" s="155"/>
      <c r="I47" s="155"/>
      <c r="K47" s="156"/>
    </row>
    <row r="48" spans="1:13" x14ac:dyDescent="0.2">
      <c r="A48" s="150"/>
      <c r="C48" s="152"/>
      <c r="E48" s="152"/>
      <c r="G48" s="154"/>
      <c r="I48" s="152"/>
      <c r="K48" s="153"/>
      <c r="M48" s="154"/>
    </row>
    <row r="49" spans="1:15" x14ac:dyDescent="0.2">
      <c r="C49" s="155"/>
      <c r="E49" s="155"/>
      <c r="G49" s="155"/>
      <c r="I49" s="155"/>
      <c r="K49" s="162"/>
    </row>
    <row r="50" spans="1:15" x14ac:dyDescent="0.2">
      <c r="C50" s="152"/>
      <c r="E50" s="152"/>
      <c r="G50" s="152"/>
      <c r="I50" s="152"/>
      <c r="K50" s="158"/>
      <c r="M50" s="144"/>
    </row>
    <row r="51" spans="1:15" x14ac:dyDescent="0.2">
      <c r="C51" s="155"/>
      <c r="E51" s="155"/>
      <c r="G51" s="155"/>
      <c r="I51" s="155"/>
      <c r="K51" s="162"/>
    </row>
    <row r="52" spans="1:15" x14ac:dyDescent="0.2">
      <c r="C52" s="152"/>
      <c r="E52" s="152"/>
      <c r="G52" s="152"/>
      <c r="I52" s="152"/>
      <c r="K52" s="158"/>
      <c r="M52" s="144"/>
    </row>
    <row r="53" spans="1:15" x14ac:dyDescent="0.2">
      <c r="C53" s="155"/>
      <c r="E53" s="155"/>
      <c r="G53" s="155"/>
      <c r="I53" s="155"/>
      <c r="K53" s="162"/>
    </row>
    <row r="54" spans="1:15" x14ac:dyDescent="0.2">
      <c r="C54" s="152"/>
      <c r="E54" s="152"/>
      <c r="G54" s="152"/>
      <c r="I54" s="152"/>
      <c r="K54" s="158"/>
      <c r="M54" s="144"/>
    </row>
    <row r="55" spans="1:15" x14ac:dyDescent="0.2">
      <c r="C55" s="155"/>
      <c r="E55" s="155"/>
      <c r="G55" s="155"/>
      <c r="I55" s="155"/>
      <c r="K55" s="162"/>
    </row>
    <row r="56" spans="1:15" x14ac:dyDescent="0.2">
      <c r="C56" s="152"/>
      <c r="E56" s="152"/>
      <c r="G56" s="152"/>
      <c r="I56" s="152"/>
      <c r="K56" s="158"/>
      <c r="M56" s="144"/>
    </row>
    <row r="57" spans="1:15" x14ac:dyDescent="0.2">
      <c r="C57" s="155"/>
      <c r="E57" s="155"/>
      <c r="G57" s="155"/>
      <c r="I57" s="155"/>
      <c r="K57" s="162"/>
    </row>
    <row r="58" spans="1:15" x14ac:dyDescent="0.2">
      <c r="C58" s="152"/>
      <c r="E58" s="152"/>
      <c r="G58" s="152"/>
      <c r="I58" s="144"/>
      <c r="K58" s="158"/>
      <c r="M58" s="144"/>
    </row>
    <row r="59" spans="1:15" x14ac:dyDescent="0.2">
      <c r="C59" s="157"/>
      <c r="E59" s="157"/>
      <c r="G59" s="157"/>
      <c r="I59" s="157"/>
      <c r="K59" s="157"/>
      <c r="M59" s="141" t="s">
        <v>73</v>
      </c>
      <c r="O59" s="158">
        <f>SUM(K36:K58)</f>
        <v>299730</v>
      </c>
    </row>
    <row r="60" spans="1:15" x14ac:dyDescent="0.2">
      <c r="C60" s="157"/>
      <c r="E60" s="160"/>
      <c r="G60" s="157"/>
      <c r="I60" s="157"/>
      <c r="K60" s="157"/>
    </row>
    <row r="61" spans="1:15" x14ac:dyDescent="0.2">
      <c r="A61" s="159" t="s">
        <v>120</v>
      </c>
      <c r="M61" s="163" t="s">
        <v>131</v>
      </c>
      <c r="O61" s="164">
        <f>O26-O59</f>
        <v>0</v>
      </c>
    </row>
    <row r="62" spans="1:15" x14ac:dyDescent="0.2"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</row>
    <row r="64" spans="1:15" x14ac:dyDescent="0.2"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</row>
    <row r="66" spans="1:15" x14ac:dyDescent="0.2">
      <c r="A66" s="141" t="s">
        <v>121</v>
      </c>
      <c r="G66" s="141" t="s">
        <v>122</v>
      </c>
      <c r="I66" s="141" t="s">
        <v>123</v>
      </c>
      <c r="O66" s="141" t="s">
        <v>122</v>
      </c>
    </row>
    <row r="68" spans="1:15" x14ac:dyDescent="0.2">
      <c r="A68" s="144"/>
      <c r="B68" s="144"/>
      <c r="C68" s="144"/>
      <c r="D68" s="144"/>
      <c r="E68" s="144"/>
      <c r="G68" s="144"/>
      <c r="I68" s="144"/>
      <c r="J68" s="144"/>
      <c r="K68" s="144"/>
      <c r="L68" s="144"/>
      <c r="M68" s="144"/>
      <c r="O68" s="144"/>
    </row>
  </sheetData>
  <mergeCells count="3">
    <mergeCell ref="C1:O1"/>
    <mergeCell ref="C2:O2"/>
    <mergeCell ref="C3:O3"/>
  </mergeCells>
  <phoneticPr fontId="1" type="noConversion"/>
  <pageMargins left="0" right="0" top="0" bottom="0" header="0.5" footer="0.5"/>
  <pageSetup scale="8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70"/>
  <sheetViews>
    <sheetView showGridLines="0" zoomScale="85" zoomScaleNormal="100" workbookViewId="0">
      <selection activeCell="G13" sqref="G13"/>
    </sheetView>
  </sheetViews>
  <sheetFormatPr defaultColWidth="10.6640625" defaultRowHeight="12.75" x14ac:dyDescent="0.2"/>
  <cols>
    <col min="1" max="1" width="7.1640625" style="141" customWidth="1"/>
    <col min="2" max="2" width="2" style="141" customWidth="1"/>
    <col min="3" max="3" width="12.5" style="141" customWidth="1"/>
    <col min="4" max="4" width="2" style="141" customWidth="1"/>
    <col min="5" max="5" width="16.6640625" style="141" customWidth="1"/>
    <col min="6" max="6" width="2" style="141" customWidth="1"/>
    <col min="7" max="7" width="12.5" style="141" customWidth="1"/>
    <col min="8" max="8" width="2" style="141" customWidth="1"/>
    <col min="9" max="9" width="17.83203125" style="141" customWidth="1"/>
    <col min="10" max="10" width="2" style="141" customWidth="1"/>
    <col min="11" max="11" width="28.1640625" style="141" customWidth="1"/>
    <col min="12" max="12" width="2" style="141" customWidth="1"/>
    <col min="13" max="13" width="12.5" style="141" customWidth="1"/>
    <col min="14" max="14" width="2" style="141" customWidth="1"/>
    <col min="15" max="15" width="15.33203125" style="141" bestFit="1" customWidth="1"/>
    <col min="16" max="16" width="10.33203125" style="141" customWidth="1"/>
    <col min="17" max="16384" width="10.6640625" style="141"/>
  </cols>
  <sheetData>
    <row r="1" spans="1:17" ht="20.25" x14ac:dyDescent="0.3">
      <c r="C1" s="187" t="s">
        <v>103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7" ht="15.75" x14ac:dyDescent="0.25">
      <c r="C2" s="188" t="s">
        <v>104</v>
      </c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7" ht="15.75" x14ac:dyDescent="0.25">
      <c r="C3" s="188" t="s">
        <v>38</v>
      </c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</row>
    <row r="4" spans="1:17" x14ac:dyDescent="0.2">
      <c r="D4" s="142" t="s">
        <v>105</v>
      </c>
      <c r="G4" s="143" t="s">
        <v>106</v>
      </c>
      <c r="H4" s="144"/>
      <c r="I4" s="144"/>
      <c r="J4" s="144"/>
      <c r="K4" s="144"/>
      <c r="L4" s="144"/>
      <c r="M4" s="144"/>
    </row>
    <row r="6" spans="1:17" s="145" customFormat="1" ht="15.75" x14ac:dyDescent="0.25">
      <c r="A6" s="145" t="s">
        <v>107</v>
      </c>
      <c r="E6" s="146" t="s">
        <v>132</v>
      </c>
      <c r="G6" s="147" t="s">
        <v>109</v>
      </c>
      <c r="I6" s="146"/>
      <c r="J6" s="146"/>
      <c r="K6" s="147" t="s">
        <v>110</v>
      </c>
      <c r="M6" s="146"/>
      <c r="N6" s="146"/>
      <c r="O6" s="146"/>
      <c r="P6" s="148"/>
      <c r="Q6" s="148"/>
    </row>
    <row r="8" spans="1:17" s="145" customFormat="1" ht="15.75" x14ac:dyDescent="0.25">
      <c r="A8" s="145" t="s">
        <v>111</v>
      </c>
      <c r="C8" s="148"/>
      <c r="D8" s="146"/>
      <c r="E8" s="146"/>
      <c r="F8" s="146" t="s">
        <v>112</v>
      </c>
      <c r="G8" s="146"/>
      <c r="H8" s="148"/>
      <c r="K8" s="148"/>
      <c r="M8" s="148"/>
    </row>
    <row r="10" spans="1:17" s="142" customFormat="1" x14ac:dyDescent="0.2">
      <c r="C10" s="149" t="s">
        <v>113</v>
      </c>
      <c r="E10" s="149" t="s">
        <v>114</v>
      </c>
      <c r="G10" s="149" t="s">
        <v>115</v>
      </c>
      <c r="I10" s="149" t="s">
        <v>116</v>
      </c>
      <c r="K10" s="149" t="s">
        <v>117</v>
      </c>
      <c r="M10" s="150" t="s">
        <v>118</v>
      </c>
    </row>
    <row r="12" spans="1:17" x14ac:dyDescent="0.2">
      <c r="A12" s="151"/>
      <c r="C12" s="152">
        <v>2390</v>
      </c>
      <c r="E12" s="152">
        <v>210000</v>
      </c>
      <c r="G12" s="179" t="s">
        <v>165</v>
      </c>
      <c r="I12" s="152"/>
      <c r="K12" s="171">
        <v>299730</v>
      </c>
      <c r="M12" s="154" t="s">
        <v>119</v>
      </c>
    </row>
    <row r="13" spans="1:17" x14ac:dyDescent="0.2">
      <c r="C13" s="155"/>
      <c r="E13" s="155"/>
      <c r="G13" s="181"/>
      <c r="I13" s="155"/>
      <c r="K13" s="156"/>
    </row>
    <row r="14" spans="1:17" x14ac:dyDescent="0.2">
      <c r="C14" s="152"/>
      <c r="E14" s="152"/>
      <c r="G14" s="179"/>
      <c r="I14" s="152"/>
      <c r="K14" s="171"/>
      <c r="M14" s="154"/>
    </row>
    <row r="15" spans="1:17" x14ac:dyDescent="0.2">
      <c r="C15" s="155"/>
      <c r="E15" s="155"/>
      <c r="G15" s="165"/>
      <c r="I15" s="155"/>
      <c r="K15" s="156"/>
      <c r="O15" s="157"/>
    </row>
    <row r="16" spans="1:17" x14ac:dyDescent="0.2">
      <c r="C16" s="152"/>
      <c r="E16" s="152"/>
      <c r="G16" s="182"/>
      <c r="I16" s="152"/>
      <c r="K16" s="153"/>
      <c r="M16" s="154"/>
    </row>
    <row r="17" spans="1:15" x14ac:dyDescent="0.2">
      <c r="C17" s="155"/>
      <c r="E17" s="155"/>
      <c r="G17" s="166"/>
      <c r="I17" s="155"/>
      <c r="K17" s="156"/>
    </row>
    <row r="18" spans="1:15" x14ac:dyDescent="0.2">
      <c r="C18" s="152"/>
      <c r="E18" s="152"/>
      <c r="G18" s="182"/>
      <c r="I18" s="152"/>
      <c r="K18" s="153"/>
      <c r="M18" s="154"/>
    </row>
    <row r="19" spans="1:15" x14ac:dyDescent="0.2">
      <c r="C19" s="155"/>
      <c r="E19" s="155"/>
      <c r="G19" s="166"/>
      <c r="I19" s="155"/>
      <c r="K19" s="156"/>
    </row>
    <row r="20" spans="1:15" x14ac:dyDescent="0.2">
      <c r="A20" s="150"/>
      <c r="C20" s="152"/>
      <c r="E20" s="152"/>
      <c r="G20" s="182"/>
      <c r="I20" s="152"/>
      <c r="K20" s="153"/>
      <c r="M20" s="154"/>
    </row>
    <row r="21" spans="1:15" x14ac:dyDescent="0.2">
      <c r="C21" s="155"/>
      <c r="E21" s="155"/>
      <c r="G21" s="167"/>
      <c r="I21" s="155"/>
      <c r="K21" s="156"/>
    </row>
    <row r="22" spans="1:15" x14ac:dyDescent="0.2">
      <c r="C22" s="152"/>
      <c r="E22" s="152"/>
      <c r="G22" s="74"/>
      <c r="I22" s="152"/>
      <c r="K22" s="153"/>
      <c r="M22" s="154"/>
    </row>
    <row r="23" spans="1:15" x14ac:dyDescent="0.2">
      <c r="C23" s="155"/>
      <c r="E23" s="155"/>
      <c r="G23" s="167"/>
      <c r="I23" s="155"/>
      <c r="K23" s="156"/>
    </row>
    <row r="24" spans="1:15" x14ac:dyDescent="0.2">
      <c r="C24" s="152"/>
      <c r="E24" s="152"/>
      <c r="G24" s="74"/>
      <c r="I24" s="152"/>
      <c r="K24" s="153"/>
      <c r="M24" s="154"/>
    </row>
    <row r="25" spans="1:15" x14ac:dyDescent="0.2">
      <c r="C25" s="155"/>
      <c r="E25" s="155"/>
      <c r="G25" s="167"/>
      <c r="I25" s="155"/>
      <c r="K25" s="157"/>
    </row>
    <row r="26" spans="1:15" x14ac:dyDescent="0.2">
      <c r="C26" s="152"/>
      <c r="E26" s="152"/>
      <c r="G26" s="74"/>
      <c r="I26" s="152"/>
      <c r="K26" s="158"/>
      <c r="M26" s="154"/>
    </row>
    <row r="27" spans="1:15" x14ac:dyDescent="0.2">
      <c r="C27" s="157"/>
      <c r="E27" s="157"/>
      <c r="G27" s="157"/>
      <c r="I27" s="157"/>
      <c r="K27" s="162"/>
      <c r="O27" s="157"/>
    </row>
    <row r="28" spans="1:15" x14ac:dyDescent="0.2">
      <c r="C28" s="152"/>
      <c r="E28" s="152"/>
      <c r="G28" s="74"/>
      <c r="I28" s="152"/>
      <c r="K28" s="158"/>
      <c r="M28" s="154"/>
      <c r="O28" s="157"/>
    </row>
    <row r="29" spans="1:15" x14ac:dyDescent="0.2">
      <c r="C29" s="155"/>
      <c r="E29" s="155"/>
      <c r="G29" s="165"/>
      <c r="H29" s="165"/>
      <c r="I29" s="166"/>
      <c r="J29" s="165"/>
      <c r="K29" s="162"/>
      <c r="O29" s="157"/>
    </row>
    <row r="30" spans="1:15" x14ac:dyDescent="0.2">
      <c r="C30" s="152"/>
      <c r="E30" s="152"/>
      <c r="G30" s="74"/>
      <c r="I30" s="152"/>
      <c r="K30" s="158"/>
      <c r="M30" s="154"/>
      <c r="O30" s="157"/>
    </row>
    <row r="31" spans="1:15" x14ac:dyDescent="0.2">
      <c r="C31" s="155"/>
      <c r="E31" s="155"/>
      <c r="G31" s="166"/>
      <c r="H31" s="165"/>
      <c r="I31" s="166"/>
      <c r="J31" s="165"/>
      <c r="K31" s="162"/>
      <c r="O31" s="157"/>
    </row>
    <row r="32" spans="1:15" x14ac:dyDescent="0.2">
      <c r="C32" s="152"/>
      <c r="E32" s="152"/>
      <c r="G32" s="74"/>
      <c r="I32" s="152"/>
      <c r="K32" s="158"/>
      <c r="M32" s="154"/>
      <c r="O32" s="157"/>
    </row>
    <row r="33" spans="3:15" x14ac:dyDescent="0.2">
      <c r="C33" s="155"/>
      <c r="E33" s="155"/>
      <c r="G33" s="166"/>
      <c r="H33" s="165"/>
      <c r="I33" s="166"/>
      <c r="J33" s="165"/>
      <c r="K33" s="162"/>
      <c r="O33" s="157"/>
    </row>
    <row r="34" spans="3:15" x14ac:dyDescent="0.2">
      <c r="C34" s="152"/>
      <c r="E34" s="152"/>
      <c r="G34" s="74"/>
      <c r="I34" s="152"/>
      <c r="K34" s="158"/>
      <c r="M34" s="154"/>
      <c r="O34" s="157"/>
    </row>
    <row r="35" spans="3:15" x14ac:dyDescent="0.2">
      <c r="C35" s="155"/>
      <c r="E35" s="155"/>
      <c r="G35" s="166"/>
      <c r="H35" s="165"/>
      <c r="I35" s="166"/>
      <c r="J35" s="165"/>
      <c r="K35" s="156"/>
      <c r="O35" s="157"/>
    </row>
    <row r="36" spans="3:15" x14ac:dyDescent="0.2">
      <c r="C36" s="152"/>
      <c r="E36" s="152"/>
      <c r="G36" s="74"/>
      <c r="I36" s="152"/>
      <c r="K36" s="153"/>
      <c r="M36" s="154"/>
      <c r="O36" s="157"/>
    </row>
    <row r="37" spans="3:15" x14ac:dyDescent="0.2">
      <c r="C37" s="157"/>
      <c r="E37" s="157"/>
      <c r="I37" s="157"/>
      <c r="K37" s="156"/>
      <c r="O37" s="157"/>
    </row>
    <row r="38" spans="3:15" x14ac:dyDescent="0.2">
      <c r="C38" s="152"/>
      <c r="E38" s="152"/>
      <c r="G38" s="74"/>
      <c r="I38" s="152"/>
      <c r="K38" s="153"/>
      <c r="M38" s="154"/>
      <c r="O38" s="157"/>
    </row>
    <row r="39" spans="3:15" x14ac:dyDescent="0.2">
      <c r="C39" s="157"/>
      <c r="E39" s="157"/>
      <c r="I39" s="157"/>
      <c r="K39" s="157"/>
      <c r="O39" s="157"/>
    </row>
    <row r="40" spans="3:15" x14ac:dyDescent="0.2">
      <c r="C40" s="157"/>
      <c r="E40" s="157"/>
      <c r="I40" s="157"/>
      <c r="K40" s="157"/>
      <c r="O40" s="157"/>
    </row>
    <row r="41" spans="3:15" x14ac:dyDescent="0.2">
      <c r="C41" s="157"/>
      <c r="E41" s="157"/>
      <c r="I41" s="157"/>
      <c r="K41" s="157"/>
      <c r="O41" s="157"/>
    </row>
    <row r="42" spans="3:15" x14ac:dyDescent="0.2">
      <c r="C42" s="157"/>
      <c r="E42" s="157"/>
      <c r="I42" s="157"/>
      <c r="K42" s="157"/>
      <c r="O42" s="157"/>
    </row>
    <row r="43" spans="3:15" x14ac:dyDescent="0.2">
      <c r="C43" s="157"/>
      <c r="E43" s="157"/>
      <c r="I43" s="157"/>
      <c r="K43" s="157"/>
      <c r="O43" s="157"/>
    </row>
    <row r="44" spans="3:15" x14ac:dyDescent="0.2">
      <c r="C44" s="157"/>
      <c r="E44" s="157"/>
      <c r="G44" s="157"/>
      <c r="I44" s="157"/>
      <c r="K44" s="157"/>
      <c r="O44" s="157"/>
    </row>
    <row r="45" spans="3:15" x14ac:dyDescent="0.2">
      <c r="C45" s="157"/>
      <c r="E45" s="157"/>
      <c r="G45" s="157"/>
      <c r="I45" s="157"/>
      <c r="K45" s="157"/>
      <c r="O45" s="157"/>
    </row>
    <row r="46" spans="3:15" x14ac:dyDescent="0.2">
      <c r="C46" s="157"/>
      <c r="E46" s="157"/>
      <c r="G46" s="157"/>
      <c r="I46" s="157"/>
      <c r="K46" s="157"/>
      <c r="O46" s="157"/>
    </row>
    <row r="47" spans="3:15" x14ac:dyDescent="0.2">
      <c r="C47" s="157"/>
      <c r="E47" s="157"/>
      <c r="G47" s="157"/>
      <c r="I47" s="157"/>
      <c r="K47" s="157"/>
      <c r="O47" s="157"/>
    </row>
    <row r="48" spans="3:15" x14ac:dyDescent="0.2">
      <c r="C48" s="157"/>
      <c r="E48" s="157"/>
      <c r="G48" s="157"/>
      <c r="I48" s="157"/>
      <c r="K48" s="157"/>
      <c r="O48" s="157"/>
    </row>
    <row r="49" spans="1:16" x14ac:dyDescent="0.2">
      <c r="C49" s="157"/>
      <c r="E49" s="157"/>
      <c r="G49" s="157"/>
      <c r="I49" s="157"/>
      <c r="K49" s="157"/>
      <c r="O49" s="157"/>
    </row>
    <row r="50" spans="1:16" x14ac:dyDescent="0.2">
      <c r="C50" s="157"/>
      <c r="E50" s="157"/>
      <c r="G50" s="157"/>
      <c r="I50" s="157"/>
      <c r="K50" s="157"/>
      <c r="O50" s="157"/>
    </row>
    <row r="51" spans="1:16" x14ac:dyDescent="0.2">
      <c r="C51" s="157"/>
      <c r="E51" s="157"/>
      <c r="G51" s="157"/>
      <c r="I51" s="157"/>
      <c r="K51" s="157"/>
      <c r="O51" s="157"/>
    </row>
    <row r="52" spans="1:16" x14ac:dyDescent="0.2">
      <c r="C52" s="157"/>
      <c r="E52" s="157"/>
      <c r="G52" s="157"/>
      <c r="I52" s="157"/>
      <c r="K52" s="157"/>
      <c r="O52" s="157"/>
    </row>
    <row r="53" spans="1:16" x14ac:dyDescent="0.2">
      <c r="C53" s="157"/>
      <c r="E53" s="157"/>
      <c r="G53" s="157"/>
      <c r="I53" s="157"/>
      <c r="K53" s="157"/>
      <c r="O53" s="157"/>
    </row>
    <row r="54" spans="1:16" x14ac:dyDescent="0.2">
      <c r="C54" s="157"/>
      <c r="E54" s="157"/>
      <c r="G54" s="157"/>
      <c r="I54" s="157"/>
      <c r="K54" s="157"/>
      <c r="O54" s="157"/>
    </row>
    <row r="55" spans="1:16" x14ac:dyDescent="0.2">
      <c r="C55" s="157"/>
      <c r="E55" s="157"/>
      <c r="G55" s="157"/>
      <c r="I55" s="157"/>
      <c r="K55" s="157"/>
      <c r="O55" s="157"/>
    </row>
    <row r="56" spans="1:16" x14ac:dyDescent="0.2">
      <c r="C56" s="157"/>
      <c r="E56" s="157"/>
      <c r="G56" s="157"/>
      <c r="I56" s="157"/>
      <c r="K56" s="157"/>
      <c r="O56" s="157"/>
    </row>
    <row r="57" spans="1:16" x14ac:dyDescent="0.2">
      <c r="C57" s="157"/>
      <c r="E57" s="157"/>
      <c r="G57" s="157"/>
      <c r="I57" s="157"/>
      <c r="K57" s="157"/>
      <c r="O57" s="157"/>
    </row>
    <row r="58" spans="1:16" x14ac:dyDescent="0.2">
      <c r="C58" s="157"/>
      <c r="E58" s="157"/>
      <c r="G58" s="157"/>
      <c r="I58" s="157"/>
      <c r="K58" s="157"/>
      <c r="O58" s="157"/>
    </row>
    <row r="59" spans="1:16" x14ac:dyDescent="0.2">
      <c r="C59" s="157"/>
      <c r="E59" s="157"/>
      <c r="G59" s="157"/>
      <c r="I59" s="157"/>
      <c r="K59" s="157"/>
      <c r="O59" s="157"/>
    </row>
    <row r="60" spans="1:16" x14ac:dyDescent="0.2">
      <c r="M60" s="141" t="s">
        <v>73</v>
      </c>
      <c r="O60" s="158">
        <f>SUM(K12:K38)</f>
        <v>299730</v>
      </c>
    </row>
    <row r="61" spans="1:16" x14ac:dyDescent="0.2"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57"/>
    </row>
    <row r="63" spans="1:16" x14ac:dyDescent="0.2">
      <c r="A63" s="159" t="s">
        <v>120</v>
      </c>
    </row>
    <row r="64" spans="1:16" x14ac:dyDescent="0.2"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</row>
    <row r="66" spans="1:15" x14ac:dyDescent="0.2"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</row>
    <row r="68" spans="1:15" x14ac:dyDescent="0.2">
      <c r="A68" s="141" t="s">
        <v>121</v>
      </c>
      <c r="G68" s="141" t="s">
        <v>122</v>
      </c>
      <c r="I68" s="141" t="s">
        <v>123</v>
      </c>
      <c r="O68" s="141" t="s">
        <v>122</v>
      </c>
    </row>
    <row r="70" spans="1:15" x14ac:dyDescent="0.2">
      <c r="A70" s="144"/>
      <c r="B70" s="144"/>
      <c r="C70" s="144"/>
      <c r="D70" s="144"/>
      <c r="E70" s="144"/>
      <c r="G70" s="144"/>
      <c r="I70" s="144"/>
      <c r="J70" s="144"/>
      <c r="K70" s="144"/>
      <c r="L70" s="144"/>
      <c r="M70" s="144"/>
      <c r="O70" s="144"/>
    </row>
  </sheetData>
  <mergeCells count="3">
    <mergeCell ref="C1:O1"/>
    <mergeCell ref="C2:O2"/>
    <mergeCell ref="C3:O3"/>
  </mergeCells>
  <phoneticPr fontId="1" type="noConversion"/>
  <pageMargins left="0" right="0" top="0" bottom="0" header="0.5" footer="0.5"/>
  <pageSetup scale="8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68"/>
  <sheetViews>
    <sheetView showGridLines="0" zoomScale="85" zoomScaleNormal="100" workbookViewId="0">
      <selection activeCell="K37" sqref="K37"/>
    </sheetView>
  </sheetViews>
  <sheetFormatPr defaultColWidth="10.6640625" defaultRowHeight="12.75" x14ac:dyDescent="0.2"/>
  <cols>
    <col min="1" max="1" width="7.1640625" style="141" customWidth="1"/>
    <col min="2" max="2" width="2" style="141" customWidth="1"/>
    <col min="3" max="3" width="12.5" style="141" customWidth="1"/>
    <col min="4" max="4" width="2" style="141" customWidth="1"/>
    <col min="5" max="5" width="16.6640625" style="141" customWidth="1"/>
    <col min="6" max="6" width="2" style="141" customWidth="1"/>
    <col min="7" max="7" width="12.5" style="141" customWidth="1"/>
    <col min="8" max="8" width="2" style="141" customWidth="1"/>
    <col min="9" max="9" width="17.83203125" style="141" customWidth="1"/>
    <col min="10" max="10" width="2" style="141" customWidth="1"/>
    <col min="11" max="11" width="28.1640625" style="141" customWidth="1"/>
    <col min="12" max="12" width="2" style="141" customWidth="1"/>
    <col min="13" max="13" width="12.5" style="141" customWidth="1"/>
    <col min="14" max="14" width="2" style="141" customWidth="1"/>
    <col min="15" max="15" width="14.83203125" style="141" bestFit="1" customWidth="1"/>
    <col min="16" max="16" width="10.33203125" style="141" customWidth="1"/>
    <col min="17" max="16384" width="10.6640625" style="141"/>
  </cols>
  <sheetData>
    <row r="1" spans="1:17" ht="20.25" x14ac:dyDescent="0.3">
      <c r="C1" s="187" t="s">
        <v>124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7" ht="15.75" x14ac:dyDescent="0.25">
      <c r="C2" s="188" t="s">
        <v>104</v>
      </c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7" ht="15.75" x14ac:dyDescent="0.25">
      <c r="C3" s="188" t="s">
        <v>38</v>
      </c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</row>
    <row r="4" spans="1:17" x14ac:dyDescent="0.2">
      <c r="D4" s="142" t="s">
        <v>105</v>
      </c>
      <c r="G4" s="143" t="s">
        <v>106</v>
      </c>
      <c r="H4" s="144"/>
      <c r="I4" s="144"/>
      <c r="J4" s="144"/>
      <c r="K4" s="144"/>
      <c r="L4" s="144"/>
      <c r="M4" s="144"/>
    </row>
    <row r="6" spans="1:17" s="145" customFormat="1" ht="15.75" x14ac:dyDescent="0.25">
      <c r="A6" s="145" t="s">
        <v>107</v>
      </c>
      <c r="E6" s="146" t="s">
        <v>132</v>
      </c>
      <c r="G6" s="147" t="s">
        <v>109</v>
      </c>
      <c r="I6" s="146"/>
      <c r="J6" s="146"/>
      <c r="K6" s="147" t="s">
        <v>110</v>
      </c>
      <c r="M6" s="146"/>
      <c r="N6" s="146"/>
      <c r="O6" s="146"/>
      <c r="P6" s="148"/>
      <c r="Q6" s="148"/>
    </row>
    <row r="8" spans="1:17" s="145" customFormat="1" ht="15.75" x14ac:dyDescent="0.25">
      <c r="A8" s="145" t="s">
        <v>111</v>
      </c>
      <c r="C8" s="148"/>
      <c r="D8" s="146"/>
      <c r="E8" s="146"/>
      <c r="F8" s="146" t="s">
        <v>125</v>
      </c>
      <c r="G8" s="146"/>
      <c r="H8" s="148"/>
      <c r="K8" s="148"/>
      <c r="M8" s="148"/>
    </row>
    <row r="10" spans="1:17" s="142" customFormat="1" x14ac:dyDescent="0.2">
      <c r="C10" s="149" t="s">
        <v>113</v>
      </c>
      <c r="E10" s="149" t="s">
        <v>114</v>
      </c>
      <c r="G10" s="149" t="s">
        <v>115</v>
      </c>
      <c r="I10" s="149" t="s">
        <v>116</v>
      </c>
      <c r="K10" s="149" t="s">
        <v>117</v>
      </c>
      <c r="M10" s="150" t="s">
        <v>118</v>
      </c>
    </row>
    <row r="12" spans="1:17" x14ac:dyDescent="0.2">
      <c r="A12" s="151"/>
      <c r="C12" s="152">
        <v>2390</v>
      </c>
      <c r="E12" s="152">
        <v>129996</v>
      </c>
      <c r="G12" s="154" t="s">
        <v>94</v>
      </c>
      <c r="I12" s="152"/>
      <c r="K12" s="171">
        <v>299730</v>
      </c>
      <c r="M12" s="154" t="s">
        <v>119</v>
      </c>
    </row>
    <row r="13" spans="1:17" x14ac:dyDescent="0.2">
      <c r="C13" s="155"/>
      <c r="E13" s="155"/>
      <c r="G13" s="155"/>
      <c r="I13" s="155"/>
      <c r="K13" s="156"/>
    </row>
    <row r="14" spans="1:17" x14ac:dyDescent="0.2">
      <c r="C14" s="152"/>
      <c r="E14" s="152"/>
      <c r="G14" s="154"/>
      <c r="I14" s="152"/>
      <c r="K14" s="153"/>
      <c r="M14" s="154"/>
    </row>
    <row r="15" spans="1:17" x14ac:dyDescent="0.2">
      <c r="C15" s="155"/>
      <c r="E15" s="155"/>
      <c r="G15" s="155"/>
      <c r="I15" s="155"/>
      <c r="K15" s="156"/>
    </row>
    <row r="16" spans="1:17" x14ac:dyDescent="0.2">
      <c r="C16" s="152"/>
      <c r="E16" s="152"/>
      <c r="G16" s="154"/>
      <c r="I16" s="152"/>
      <c r="K16" s="153"/>
      <c r="M16" s="154"/>
    </row>
    <row r="17" spans="1:17" x14ac:dyDescent="0.2">
      <c r="C17" s="155"/>
      <c r="E17" s="155"/>
      <c r="G17" s="155"/>
      <c r="I17" s="155"/>
      <c r="K17" s="156"/>
    </row>
    <row r="18" spans="1:17" x14ac:dyDescent="0.2">
      <c r="C18" s="152"/>
      <c r="E18" s="152"/>
      <c r="G18" s="154"/>
      <c r="I18" s="152"/>
      <c r="K18" s="153"/>
      <c r="M18" s="154"/>
    </row>
    <row r="19" spans="1:17" x14ac:dyDescent="0.2">
      <c r="C19" s="155"/>
      <c r="E19" s="155"/>
      <c r="G19" s="155"/>
      <c r="I19" s="155"/>
      <c r="K19" s="156"/>
    </row>
    <row r="20" spans="1:17" x14ac:dyDescent="0.2">
      <c r="C20" s="152"/>
      <c r="E20" s="152"/>
      <c r="G20" s="152"/>
      <c r="I20" s="152"/>
      <c r="K20" s="153"/>
      <c r="M20" s="144"/>
    </row>
    <row r="21" spans="1:17" x14ac:dyDescent="0.2">
      <c r="C21" s="155"/>
      <c r="E21" s="155"/>
      <c r="G21" s="155"/>
      <c r="I21" s="155"/>
      <c r="K21" s="156"/>
    </row>
    <row r="22" spans="1:17" x14ac:dyDescent="0.2">
      <c r="C22" s="152"/>
      <c r="E22" s="152"/>
      <c r="G22" s="152"/>
      <c r="I22" s="152"/>
      <c r="K22" s="153"/>
      <c r="M22" s="144"/>
    </row>
    <row r="23" spans="1:17" x14ac:dyDescent="0.2">
      <c r="C23" s="155"/>
      <c r="E23" s="155"/>
      <c r="G23" s="155"/>
      <c r="I23" s="155"/>
      <c r="K23" s="156"/>
    </row>
    <row r="24" spans="1:17" x14ac:dyDescent="0.2">
      <c r="C24" s="152"/>
      <c r="E24" s="152"/>
      <c r="G24" s="152"/>
      <c r="I24" s="152"/>
      <c r="K24" s="153"/>
      <c r="M24" s="144"/>
    </row>
    <row r="25" spans="1:17" x14ac:dyDescent="0.2">
      <c r="C25" s="157"/>
      <c r="E25" s="157"/>
      <c r="G25" s="157"/>
      <c r="I25" s="157"/>
      <c r="K25" s="157"/>
      <c r="O25" s="157"/>
    </row>
    <row r="26" spans="1:17" x14ac:dyDescent="0.2">
      <c r="M26" s="141" t="s">
        <v>73</v>
      </c>
      <c r="O26" s="158">
        <f>K12+K14+K16+K18+K20+K22+K24</f>
        <v>299730</v>
      </c>
    </row>
    <row r="27" spans="1:17" x14ac:dyDescent="0.2"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57"/>
    </row>
    <row r="30" spans="1:17" s="145" customFormat="1" ht="15.75" x14ac:dyDescent="0.25">
      <c r="A30" s="145" t="s">
        <v>107</v>
      </c>
      <c r="E30" s="146" t="s">
        <v>132</v>
      </c>
      <c r="G30" s="147" t="s">
        <v>109</v>
      </c>
      <c r="I30" s="146"/>
      <c r="J30" s="146"/>
      <c r="K30" s="147" t="s">
        <v>126</v>
      </c>
      <c r="M30" s="146" t="s">
        <v>102</v>
      </c>
      <c r="N30" s="146"/>
      <c r="O30" s="146"/>
      <c r="P30" s="148"/>
      <c r="Q30" s="148"/>
    </row>
    <row r="31" spans="1:17" s="145" customFormat="1" ht="12" customHeight="1" x14ac:dyDescent="0.25">
      <c r="M31" s="142" t="s">
        <v>127</v>
      </c>
    </row>
    <row r="32" spans="1:17" s="145" customFormat="1" ht="15.75" x14ac:dyDescent="0.25">
      <c r="A32" s="145" t="s">
        <v>111</v>
      </c>
      <c r="C32" s="148"/>
      <c r="D32" s="146"/>
      <c r="E32" s="146"/>
      <c r="F32" s="146" t="s">
        <v>128</v>
      </c>
      <c r="G32" s="146"/>
      <c r="H32" s="148"/>
      <c r="I32" s="145" t="s">
        <v>129</v>
      </c>
      <c r="K32" s="146"/>
      <c r="M32" s="142" t="s">
        <v>130</v>
      </c>
    </row>
    <row r="33" spans="1:13" ht="9" customHeight="1" x14ac:dyDescent="0.2"/>
    <row r="34" spans="1:13" s="142" customFormat="1" x14ac:dyDescent="0.2">
      <c r="C34" s="149" t="s">
        <v>113</v>
      </c>
      <c r="E34" s="149" t="s">
        <v>114</v>
      </c>
      <c r="G34" s="149" t="s">
        <v>115</v>
      </c>
      <c r="I34" s="149" t="s">
        <v>116</v>
      </c>
      <c r="K34" s="149" t="s">
        <v>117</v>
      </c>
      <c r="M34" s="150" t="s">
        <v>118</v>
      </c>
    </row>
    <row r="36" spans="1:13" x14ac:dyDescent="0.2">
      <c r="A36" s="142"/>
      <c r="C36" s="152">
        <v>2390</v>
      </c>
      <c r="E36" s="152">
        <v>129996</v>
      </c>
      <c r="G36" s="152" t="s">
        <v>148</v>
      </c>
      <c r="I36" s="152"/>
      <c r="K36" s="171">
        <v>299730</v>
      </c>
      <c r="M36" s="154" t="s">
        <v>119</v>
      </c>
    </row>
    <row r="37" spans="1:13" x14ac:dyDescent="0.2">
      <c r="C37" s="155"/>
      <c r="E37" s="155"/>
      <c r="G37" s="155"/>
      <c r="I37" s="155"/>
      <c r="K37" s="156"/>
    </row>
    <row r="38" spans="1:13" x14ac:dyDescent="0.2">
      <c r="C38" s="152"/>
      <c r="E38" s="152"/>
      <c r="G38" s="152"/>
      <c r="I38" s="152"/>
      <c r="K38" s="153"/>
      <c r="M38" s="154"/>
    </row>
    <row r="39" spans="1:13" x14ac:dyDescent="0.2">
      <c r="C39" s="155"/>
      <c r="E39" s="155"/>
      <c r="G39" s="155"/>
      <c r="I39" s="155"/>
      <c r="K39" s="156"/>
    </row>
    <row r="40" spans="1:13" x14ac:dyDescent="0.2">
      <c r="C40" s="152"/>
      <c r="E40" s="152"/>
      <c r="G40" s="152"/>
      <c r="I40" s="152"/>
      <c r="K40" s="153"/>
      <c r="M40" s="154"/>
    </row>
    <row r="41" spans="1:13" x14ac:dyDescent="0.2">
      <c r="C41" s="155"/>
      <c r="E41" s="155"/>
      <c r="G41" s="155"/>
      <c r="I41" s="155"/>
      <c r="K41" s="156"/>
    </row>
    <row r="42" spans="1:13" x14ac:dyDescent="0.2">
      <c r="C42" s="152"/>
      <c r="E42" s="152"/>
      <c r="G42" s="152"/>
      <c r="I42" s="152"/>
      <c r="K42" s="153"/>
      <c r="M42" s="154"/>
    </row>
    <row r="43" spans="1:13" x14ac:dyDescent="0.2">
      <c r="C43" s="160"/>
      <c r="E43" s="160"/>
      <c r="G43" s="160"/>
      <c r="I43" s="160"/>
      <c r="K43" s="161"/>
    </row>
    <row r="44" spans="1:13" x14ac:dyDescent="0.2">
      <c r="C44" s="152"/>
      <c r="E44" s="152"/>
      <c r="G44" s="152"/>
      <c r="I44" s="152"/>
      <c r="K44" s="158"/>
      <c r="M44" s="144"/>
    </row>
    <row r="45" spans="1:13" x14ac:dyDescent="0.2">
      <c r="C45" s="160"/>
      <c r="E45" s="160"/>
      <c r="G45" s="160"/>
      <c r="I45" s="160"/>
      <c r="K45" s="161"/>
    </row>
    <row r="46" spans="1:13" x14ac:dyDescent="0.2">
      <c r="C46" s="152"/>
      <c r="E46" s="152"/>
      <c r="G46" s="152"/>
      <c r="I46" s="152"/>
      <c r="K46" s="158"/>
      <c r="M46" s="144"/>
    </row>
    <row r="47" spans="1:13" x14ac:dyDescent="0.2">
      <c r="C47" s="155"/>
      <c r="E47" s="155"/>
      <c r="G47" s="155"/>
      <c r="I47" s="155"/>
      <c r="K47" s="162"/>
    </row>
    <row r="48" spans="1:13" x14ac:dyDescent="0.2">
      <c r="A48" s="150"/>
      <c r="C48" s="152"/>
      <c r="E48" s="152"/>
      <c r="G48" s="152"/>
      <c r="I48" s="152"/>
      <c r="K48" s="158"/>
      <c r="M48" s="144"/>
    </row>
    <row r="49" spans="1:15" x14ac:dyDescent="0.2">
      <c r="C49" s="155"/>
      <c r="E49" s="155"/>
      <c r="G49" s="155"/>
      <c r="I49" s="155"/>
      <c r="K49" s="162"/>
    </row>
    <row r="50" spans="1:15" x14ac:dyDescent="0.2">
      <c r="C50" s="152"/>
      <c r="E50" s="152"/>
      <c r="G50" s="152"/>
      <c r="I50" s="152"/>
      <c r="K50" s="158"/>
      <c r="M50" s="144"/>
    </row>
    <row r="51" spans="1:15" x14ac:dyDescent="0.2">
      <c r="C51" s="155"/>
      <c r="E51" s="155"/>
      <c r="G51" s="155"/>
      <c r="I51" s="155"/>
      <c r="K51" s="162"/>
    </row>
    <row r="52" spans="1:15" x14ac:dyDescent="0.2">
      <c r="C52" s="152"/>
      <c r="E52" s="152"/>
      <c r="G52" s="152"/>
      <c r="I52" s="152"/>
      <c r="K52" s="158"/>
      <c r="M52" s="144"/>
    </row>
    <row r="53" spans="1:15" x14ac:dyDescent="0.2">
      <c r="C53" s="155"/>
      <c r="E53" s="155"/>
      <c r="G53" s="155"/>
      <c r="I53" s="155"/>
      <c r="K53" s="162"/>
    </row>
    <row r="54" spans="1:15" x14ac:dyDescent="0.2">
      <c r="C54" s="152"/>
      <c r="E54" s="152"/>
      <c r="G54" s="152"/>
      <c r="I54" s="152"/>
      <c r="K54" s="158"/>
      <c r="M54" s="144"/>
    </row>
    <row r="55" spans="1:15" x14ac:dyDescent="0.2">
      <c r="C55" s="155"/>
      <c r="E55" s="155"/>
      <c r="G55" s="155"/>
      <c r="I55" s="155"/>
      <c r="K55" s="162"/>
    </row>
    <row r="56" spans="1:15" x14ac:dyDescent="0.2">
      <c r="C56" s="152"/>
      <c r="E56" s="152"/>
      <c r="G56" s="152"/>
      <c r="I56" s="152"/>
      <c r="K56" s="158"/>
      <c r="M56" s="144"/>
    </row>
    <row r="57" spans="1:15" x14ac:dyDescent="0.2">
      <c r="C57" s="155"/>
      <c r="E57" s="155"/>
      <c r="G57" s="155"/>
      <c r="I57" s="155"/>
      <c r="K57" s="162"/>
    </row>
    <row r="58" spans="1:15" x14ac:dyDescent="0.2">
      <c r="C58" s="152"/>
      <c r="E58" s="152"/>
      <c r="G58" s="152"/>
      <c r="I58" s="144"/>
      <c r="K58" s="158"/>
      <c r="M58" s="144"/>
    </row>
    <row r="59" spans="1:15" x14ac:dyDescent="0.2">
      <c r="C59" s="157"/>
      <c r="E59" s="157"/>
      <c r="G59" s="157"/>
      <c r="I59" s="157"/>
      <c r="K59" s="157"/>
      <c r="M59" s="141" t="s">
        <v>73</v>
      </c>
      <c r="O59" s="158">
        <f>K36+K38+K40+K42+K44+K46+K48+K50+K52+K54+K56+K58</f>
        <v>299730</v>
      </c>
    </row>
    <row r="60" spans="1:15" x14ac:dyDescent="0.2">
      <c r="C60" s="157"/>
      <c r="E60" s="160"/>
      <c r="G60" s="157"/>
      <c r="I60" s="157"/>
      <c r="K60" s="157"/>
    </row>
    <row r="61" spans="1:15" x14ac:dyDescent="0.2">
      <c r="A61" s="159" t="s">
        <v>120</v>
      </c>
      <c r="M61" s="163" t="s">
        <v>131</v>
      </c>
      <c r="O61" s="164">
        <f>O26-O59</f>
        <v>0</v>
      </c>
    </row>
    <row r="62" spans="1:15" x14ac:dyDescent="0.2"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</row>
    <row r="64" spans="1:15" x14ac:dyDescent="0.2"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</row>
    <row r="66" spans="1:15" x14ac:dyDescent="0.2">
      <c r="A66" s="141" t="s">
        <v>121</v>
      </c>
      <c r="G66" s="141" t="s">
        <v>122</v>
      </c>
      <c r="I66" s="141" t="s">
        <v>123</v>
      </c>
      <c r="O66" s="141" t="s">
        <v>122</v>
      </c>
    </row>
    <row r="68" spans="1:15" x14ac:dyDescent="0.2">
      <c r="A68" s="144"/>
      <c r="B68" s="144"/>
      <c r="C68" s="144"/>
      <c r="D68" s="144"/>
      <c r="E68" s="144"/>
      <c r="G68" s="144"/>
      <c r="I68" s="144"/>
      <c r="J68" s="144"/>
      <c r="K68" s="144"/>
      <c r="L68" s="144"/>
      <c r="M68" s="144"/>
      <c r="O68" s="144"/>
    </row>
  </sheetData>
  <mergeCells count="3">
    <mergeCell ref="C1:O1"/>
    <mergeCell ref="C2:O2"/>
    <mergeCell ref="C3:O3"/>
  </mergeCells>
  <phoneticPr fontId="1" type="noConversion"/>
  <pageMargins left="0" right="0" top="0" bottom="0" header="0.5" footer="0.5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General</vt:lpstr>
      <vt:lpstr>Operating</vt:lpstr>
      <vt:lpstr>KCPDU Rev</vt:lpstr>
      <vt:lpstr>KCPDU Approp</vt:lpstr>
      <vt:lpstr>KCMBU Rev</vt:lpstr>
      <vt:lpstr>KCMBU Approp</vt:lpstr>
      <vt:lpstr>Operating!P1_</vt:lpstr>
      <vt:lpstr>P1_</vt:lpstr>
      <vt:lpstr>Operating!P2_</vt:lpstr>
      <vt:lpstr>P2_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2012-04-04T15:00:09Z</cp:lastPrinted>
  <dcterms:created xsi:type="dcterms:W3CDTF">2001-05-14T15:40:28Z</dcterms:created>
  <dcterms:modified xsi:type="dcterms:W3CDTF">2012-05-10T17:55:24Z</dcterms:modified>
</cp:coreProperties>
</file>