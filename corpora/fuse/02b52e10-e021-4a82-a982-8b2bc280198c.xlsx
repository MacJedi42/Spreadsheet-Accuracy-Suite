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" windowWidth="18195" windowHeight="12075"/>
  </bookViews>
  <sheets>
    <sheet name="Pivot" sheetId="7" r:id="rId1"/>
    <sheet name="BSPRGORG-T" sheetId="6" r:id="rId2"/>
    <sheet name="Exp-Rev Categories" sheetId="2" r:id="rId3"/>
  </sheets>
  <definedNames>
    <definedName name="_xlnm._FilterDatabase" localSheetId="1" hidden="1">'BSPRGORG-T'!$A$1:$P$840</definedName>
    <definedName name="_xlnm.Database" localSheetId="1">'BSPRGORG-T'!$A$1:$P$840</definedName>
    <definedName name="_xlnm.Database">#REF!</definedName>
    <definedName name="_xlnm.Print_Titles" localSheetId="0">Pivot!$1:$4</definedName>
  </definedNames>
  <calcPr calcId="145621"/>
  <pivotCaches>
    <pivotCache cacheId="8" r:id="rId4"/>
  </pivotCaches>
  <fileRecoveryPr repairLoad="1"/>
</workbook>
</file>

<file path=xl/calcChain.xml><?xml version="1.0" encoding="utf-8"?>
<calcChain xmlns="http://schemas.openxmlformats.org/spreadsheetml/2006/main">
  <c r="J3" i="6" l="1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J79" i="6"/>
  <c r="J80" i="6"/>
  <c r="J81" i="6"/>
  <c r="J82" i="6"/>
  <c r="J83" i="6"/>
  <c r="J84" i="6"/>
  <c r="J85" i="6"/>
  <c r="J86" i="6"/>
  <c r="J87" i="6"/>
  <c r="J88" i="6"/>
  <c r="J89" i="6"/>
  <c r="J90" i="6"/>
  <c r="J91" i="6"/>
  <c r="J92" i="6"/>
  <c r="J93" i="6"/>
  <c r="J94" i="6"/>
  <c r="J95" i="6"/>
  <c r="J96" i="6"/>
  <c r="J97" i="6"/>
  <c r="J98" i="6"/>
  <c r="J99" i="6"/>
  <c r="J100" i="6"/>
  <c r="J101" i="6"/>
  <c r="J102" i="6"/>
  <c r="J103" i="6"/>
  <c r="J104" i="6"/>
  <c r="J105" i="6"/>
  <c r="J106" i="6"/>
  <c r="J107" i="6"/>
  <c r="J108" i="6"/>
  <c r="J109" i="6"/>
  <c r="J110" i="6"/>
  <c r="J111" i="6"/>
  <c r="J112" i="6"/>
  <c r="J113" i="6"/>
  <c r="J114" i="6"/>
  <c r="J115" i="6"/>
  <c r="J116" i="6"/>
  <c r="J117" i="6"/>
  <c r="J118" i="6"/>
  <c r="J119" i="6"/>
  <c r="J120" i="6"/>
  <c r="J121" i="6"/>
  <c r="J122" i="6"/>
  <c r="J123" i="6"/>
  <c r="J124" i="6"/>
  <c r="J125" i="6"/>
  <c r="J126" i="6"/>
  <c r="J127" i="6"/>
  <c r="J128" i="6"/>
  <c r="J129" i="6"/>
  <c r="J130" i="6"/>
  <c r="J131" i="6"/>
  <c r="J132" i="6"/>
  <c r="J133" i="6"/>
  <c r="J134" i="6"/>
  <c r="J135" i="6"/>
  <c r="J136" i="6"/>
  <c r="J137" i="6"/>
  <c r="J138" i="6"/>
  <c r="J139" i="6"/>
  <c r="J140" i="6"/>
  <c r="J141" i="6"/>
  <c r="J142" i="6"/>
  <c r="J143" i="6"/>
  <c r="J144" i="6"/>
  <c r="J145" i="6"/>
  <c r="J146" i="6"/>
  <c r="J147" i="6"/>
  <c r="J148" i="6"/>
  <c r="J149" i="6"/>
  <c r="J150" i="6"/>
  <c r="J151" i="6"/>
  <c r="J152" i="6"/>
  <c r="J153" i="6"/>
  <c r="J154" i="6"/>
  <c r="J155" i="6"/>
  <c r="J156" i="6"/>
  <c r="J157" i="6"/>
  <c r="J158" i="6"/>
  <c r="J159" i="6"/>
  <c r="J160" i="6"/>
  <c r="J161" i="6"/>
  <c r="J162" i="6"/>
  <c r="J163" i="6"/>
  <c r="J164" i="6"/>
  <c r="J165" i="6"/>
  <c r="J166" i="6"/>
  <c r="J167" i="6"/>
  <c r="J168" i="6"/>
  <c r="J169" i="6"/>
  <c r="J170" i="6"/>
  <c r="J171" i="6"/>
  <c r="J172" i="6"/>
  <c r="J173" i="6"/>
  <c r="J174" i="6"/>
  <c r="J175" i="6"/>
  <c r="J176" i="6"/>
  <c r="J177" i="6"/>
  <c r="J178" i="6"/>
  <c r="J179" i="6"/>
  <c r="J180" i="6"/>
  <c r="J181" i="6"/>
  <c r="J182" i="6"/>
  <c r="J183" i="6"/>
  <c r="J184" i="6"/>
  <c r="J185" i="6"/>
  <c r="J186" i="6"/>
  <c r="J187" i="6"/>
  <c r="J188" i="6"/>
  <c r="J189" i="6"/>
  <c r="J190" i="6"/>
  <c r="J191" i="6"/>
  <c r="J192" i="6"/>
  <c r="J193" i="6"/>
  <c r="J194" i="6"/>
  <c r="J195" i="6"/>
  <c r="J196" i="6"/>
  <c r="J197" i="6"/>
  <c r="J198" i="6"/>
  <c r="J199" i="6"/>
  <c r="J200" i="6"/>
  <c r="J201" i="6"/>
  <c r="J202" i="6"/>
  <c r="J203" i="6"/>
  <c r="J204" i="6"/>
  <c r="J205" i="6"/>
  <c r="J206" i="6"/>
  <c r="J207" i="6"/>
  <c r="J208" i="6"/>
  <c r="J209" i="6"/>
  <c r="J210" i="6"/>
  <c r="J211" i="6"/>
  <c r="J212" i="6"/>
  <c r="J213" i="6"/>
  <c r="J214" i="6"/>
  <c r="J215" i="6"/>
  <c r="J216" i="6"/>
  <c r="J217" i="6"/>
  <c r="J218" i="6"/>
  <c r="J219" i="6"/>
  <c r="J220" i="6"/>
  <c r="J221" i="6"/>
  <c r="J222" i="6"/>
  <c r="J223" i="6"/>
  <c r="J224" i="6"/>
  <c r="J225" i="6"/>
  <c r="J226" i="6"/>
  <c r="J227" i="6"/>
  <c r="J228" i="6"/>
  <c r="J229" i="6"/>
  <c r="J230" i="6"/>
  <c r="J231" i="6"/>
  <c r="J232" i="6"/>
  <c r="J233" i="6"/>
  <c r="J234" i="6"/>
  <c r="J235" i="6"/>
  <c r="J236" i="6"/>
  <c r="J237" i="6"/>
  <c r="J238" i="6"/>
  <c r="J239" i="6"/>
  <c r="J240" i="6"/>
  <c r="J241" i="6"/>
  <c r="J242" i="6"/>
  <c r="J243" i="6"/>
  <c r="J244" i="6"/>
  <c r="J245" i="6"/>
  <c r="J246" i="6"/>
  <c r="J247" i="6"/>
  <c r="J248" i="6"/>
  <c r="J249" i="6"/>
  <c r="J250" i="6"/>
  <c r="J251" i="6"/>
  <c r="J252" i="6"/>
  <c r="J253" i="6"/>
  <c r="J254" i="6"/>
  <c r="J255" i="6"/>
  <c r="J256" i="6"/>
  <c r="J257" i="6"/>
  <c r="J258" i="6"/>
  <c r="J259" i="6"/>
  <c r="J260" i="6"/>
  <c r="J261" i="6"/>
  <c r="J262" i="6"/>
  <c r="J263" i="6"/>
  <c r="J264" i="6"/>
  <c r="J265" i="6"/>
  <c r="J266" i="6"/>
  <c r="J267" i="6"/>
  <c r="J268" i="6"/>
  <c r="J269" i="6"/>
  <c r="J270" i="6"/>
  <c r="J271" i="6"/>
  <c r="J272" i="6"/>
  <c r="J273" i="6"/>
  <c r="J274" i="6"/>
  <c r="J275" i="6"/>
  <c r="J276" i="6"/>
  <c r="J277" i="6"/>
  <c r="J278" i="6"/>
  <c r="J279" i="6"/>
  <c r="J280" i="6"/>
  <c r="J281" i="6"/>
  <c r="J282" i="6"/>
  <c r="J283" i="6"/>
  <c r="J284" i="6"/>
  <c r="J285" i="6"/>
  <c r="J286" i="6"/>
  <c r="J287" i="6"/>
  <c r="J288" i="6"/>
  <c r="J289" i="6"/>
  <c r="J290" i="6"/>
  <c r="J291" i="6"/>
  <c r="J292" i="6"/>
  <c r="J293" i="6"/>
  <c r="J294" i="6"/>
  <c r="J295" i="6"/>
  <c r="J296" i="6"/>
  <c r="J297" i="6"/>
  <c r="J298" i="6"/>
  <c r="J299" i="6"/>
  <c r="J300" i="6"/>
  <c r="J301" i="6"/>
  <c r="J302" i="6"/>
  <c r="J303" i="6"/>
  <c r="J304" i="6"/>
  <c r="J305" i="6"/>
  <c r="J306" i="6"/>
  <c r="J307" i="6"/>
  <c r="J308" i="6"/>
  <c r="J309" i="6"/>
  <c r="J310" i="6"/>
  <c r="J311" i="6"/>
  <c r="J312" i="6"/>
  <c r="J313" i="6"/>
  <c r="J314" i="6"/>
  <c r="J315" i="6"/>
  <c r="J316" i="6"/>
  <c r="J317" i="6"/>
  <c r="J318" i="6"/>
  <c r="J319" i="6"/>
  <c r="J320" i="6"/>
  <c r="J321" i="6"/>
  <c r="J322" i="6"/>
  <c r="J323" i="6"/>
  <c r="J324" i="6"/>
  <c r="J325" i="6"/>
  <c r="J326" i="6"/>
  <c r="J327" i="6"/>
  <c r="J328" i="6"/>
  <c r="J329" i="6"/>
  <c r="J330" i="6"/>
  <c r="J331" i="6"/>
  <c r="J332" i="6"/>
  <c r="J333" i="6"/>
  <c r="J334" i="6"/>
  <c r="J335" i="6"/>
  <c r="J336" i="6"/>
  <c r="J337" i="6"/>
  <c r="J338" i="6"/>
  <c r="J339" i="6"/>
  <c r="J340" i="6"/>
  <c r="J341" i="6"/>
  <c r="J342" i="6"/>
  <c r="J343" i="6"/>
  <c r="J344" i="6"/>
  <c r="J345" i="6"/>
  <c r="J346" i="6"/>
  <c r="J347" i="6"/>
  <c r="J348" i="6"/>
  <c r="J349" i="6"/>
  <c r="J350" i="6"/>
  <c r="J351" i="6"/>
  <c r="J352" i="6"/>
  <c r="J353" i="6"/>
  <c r="J354" i="6"/>
  <c r="J355" i="6"/>
  <c r="J356" i="6"/>
  <c r="J357" i="6"/>
  <c r="J358" i="6"/>
  <c r="J359" i="6"/>
  <c r="J360" i="6"/>
  <c r="J361" i="6"/>
  <c r="J362" i="6"/>
  <c r="J363" i="6"/>
  <c r="J364" i="6"/>
  <c r="J365" i="6"/>
  <c r="J366" i="6"/>
  <c r="J367" i="6"/>
  <c r="J368" i="6"/>
  <c r="J369" i="6"/>
  <c r="J370" i="6"/>
  <c r="J371" i="6"/>
  <c r="J372" i="6"/>
  <c r="J373" i="6"/>
  <c r="J374" i="6"/>
  <c r="J375" i="6"/>
  <c r="J376" i="6"/>
  <c r="J377" i="6"/>
  <c r="J378" i="6"/>
  <c r="J379" i="6"/>
  <c r="J380" i="6"/>
  <c r="J381" i="6"/>
  <c r="J382" i="6"/>
  <c r="J383" i="6"/>
  <c r="J384" i="6"/>
  <c r="J385" i="6"/>
  <c r="J386" i="6"/>
  <c r="J387" i="6"/>
  <c r="J388" i="6"/>
  <c r="J389" i="6"/>
  <c r="J390" i="6"/>
  <c r="J391" i="6"/>
  <c r="J392" i="6"/>
  <c r="J393" i="6"/>
  <c r="J394" i="6"/>
  <c r="J395" i="6"/>
  <c r="J396" i="6"/>
  <c r="J397" i="6"/>
  <c r="J398" i="6"/>
  <c r="J399" i="6"/>
  <c r="J400" i="6"/>
  <c r="J401" i="6"/>
  <c r="J402" i="6"/>
  <c r="J403" i="6"/>
  <c r="J404" i="6"/>
  <c r="J405" i="6"/>
  <c r="J406" i="6"/>
  <c r="J407" i="6"/>
  <c r="J408" i="6"/>
  <c r="J409" i="6"/>
  <c r="J410" i="6"/>
  <c r="J411" i="6"/>
  <c r="J412" i="6"/>
  <c r="J413" i="6"/>
  <c r="J414" i="6"/>
  <c r="J415" i="6"/>
  <c r="J416" i="6"/>
  <c r="J417" i="6"/>
  <c r="J418" i="6"/>
  <c r="J419" i="6"/>
  <c r="J420" i="6"/>
  <c r="J421" i="6"/>
  <c r="J422" i="6"/>
  <c r="J423" i="6"/>
  <c r="J424" i="6"/>
  <c r="J425" i="6"/>
  <c r="J426" i="6"/>
  <c r="J427" i="6"/>
  <c r="J428" i="6"/>
  <c r="J429" i="6"/>
  <c r="J430" i="6"/>
  <c r="J431" i="6"/>
  <c r="J432" i="6"/>
  <c r="J433" i="6"/>
  <c r="J434" i="6"/>
  <c r="J435" i="6"/>
  <c r="J436" i="6"/>
  <c r="J437" i="6"/>
  <c r="J438" i="6"/>
  <c r="J439" i="6"/>
  <c r="J440" i="6"/>
  <c r="J441" i="6"/>
  <c r="J442" i="6"/>
  <c r="J443" i="6"/>
  <c r="J444" i="6"/>
  <c r="J445" i="6"/>
  <c r="J446" i="6"/>
  <c r="J447" i="6"/>
  <c r="J448" i="6"/>
  <c r="J449" i="6"/>
  <c r="J450" i="6"/>
  <c r="J451" i="6"/>
  <c r="J452" i="6"/>
  <c r="J453" i="6"/>
  <c r="J454" i="6"/>
  <c r="J455" i="6"/>
  <c r="J456" i="6"/>
  <c r="J457" i="6"/>
  <c r="J458" i="6"/>
  <c r="J459" i="6"/>
  <c r="J460" i="6"/>
  <c r="J461" i="6"/>
  <c r="J462" i="6"/>
  <c r="J463" i="6"/>
  <c r="J464" i="6"/>
  <c r="J465" i="6"/>
  <c r="J466" i="6"/>
  <c r="J467" i="6"/>
  <c r="J468" i="6"/>
  <c r="J469" i="6"/>
  <c r="J470" i="6"/>
  <c r="J471" i="6"/>
  <c r="J472" i="6"/>
  <c r="J473" i="6"/>
  <c r="J474" i="6"/>
  <c r="J475" i="6"/>
  <c r="J476" i="6"/>
  <c r="J477" i="6"/>
  <c r="J478" i="6"/>
  <c r="J479" i="6"/>
  <c r="J480" i="6"/>
  <c r="J481" i="6"/>
  <c r="J482" i="6"/>
  <c r="J483" i="6"/>
  <c r="J484" i="6"/>
  <c r="J485" i="6"/>
  <c r="J486" i="6"/>
  <c r="J487" i="6"/>
  <c r="J488" i="6"/>
  <c r="J489" i="6"/>
  <c r="J490" i="6"/>
  <c r="J491" i="6"/>
  <c r="J492" i="6"/>
  <c r="J493" i="6"/>
  <c r="J494" i="6"/>
  <c r="J495" i="6"/>
  <c r="J496" i="6"/>
  <c r="J497" i="6"/>
  <c r="J498" i="6"/>
  <c r="J499" i="6"/>
  <c r="J500" i="6"/>
  <c r="J501" i="6"/>
  <c r="J502" i="6"/>
  <c r="J503" i="6"/>
  <c r="J504" i="6"/>
  <c r="J505" i="6"/>
  <c r="J506" i="6"/>
  <c r="J507" i="6"/>
  <c r="J508" i="6"/>
  <c r="J509" i="6"/>
  <c r="J510" i="6"/>
  <c r="J511" i="6"/>
  <c r="J512" i="6"/>
  <c r="J513" i="6"/>
  <c r="J514" i="6"/>
  <c r="J515" i="6"/>
  <c r="J516" i="6"/>
  <c r="J517" i="6"/>
  <c r="J518" i="6"/>
  <c r="J519" i="6"/>
  <c r="J520" i="6"/>
  <c r="J521" i="6"/>
  <c r="J522" i="6"/>
  <c r="J523" i="6"/>
  <c r="J524" i="6"/>
  <c r="J525" i="6"/>
  <c r="J526" i="6"/>
  <c r="J527" i="6"/>
  <c r="J528" i="6"/>
  <c r="J529" i="6"/>
  <c r="J530" i="6"/>
  <c r="J531" i="6"/>
  <c r="J532" i="6"/>
  <c r="J533" i="6"/>
  <c r="J534" i="6"/>
  <c r="J535" i="6"/>
  <c r="J536" i="6"/>
  <c r="J537" i="6"/>
  <c r="J538" i="6"/>
  <c r="J539" i="6"/>
  <c r="J540" i="6"/>
  <c r="J541" i="6"/>
  <c r="J542" i="6"/>
  <c r="J543" i="6"/>
  <c r="J544" i="6"/>
  <c r="J545" i="6"/>
  <c r="J546" i="6"/>
  <c r="J547" i="6"/>
  <c r="J548" i="6"/>
  <c r="J549" i="6"/>
  <c r="J550" i="6"/>
  <c r="J551" i="6"/>
  <c r="J552" i="6"/>
  <c r="J553" i="6"/>
  <c r="J554" i="6"/>
  <c r="J555" i="6"/>
  <c r="J556" i="6"/>
  <c r="J557" i="6"/>
  <c r="J558" i="6"/>
  <c r="J559" i="6"/>
  <c r="J560" i="6"/>
  <c r="J561" i="6"/>
  <c r="J562" i="6"/>
  <c r="J563" i="6"/>
  <c r="J564" i="6"/>
  <c r="J565" i="6"/>
  <c r="J566" i="6"/>
  <c r="J567" i="6"/>
  <c r="J568" i="6"/>
  <c r="J569" i="6"/>
  <c r="J570" i="6"/>
  <c r="J571" i="6"/>
  <c r="J572" i="6"/>
  <c r="J573" i="6"/>
  <c r="J574" i="6"/>
  <c r="J575" i="6"/>
  <c r="J576" i="6"/>
  <c r="J577" i="6"/>
  <c r="J578" i="6"/>
  <c r="J579" i="6"/>
  <c r="J580" i="6"/>
  <c r="J581" i="6"/>
  <c r="J582" i="6"/>
  <c r="J583" i="6"/>
  <c r="J584" i="6"/>
  <c r="J585" i="6"/>
  <c r="J586" i="6"/>
  <c r="J587" i="6"/>
  <c r="J588" i="6"/>
  <c r="J589" i="6"/>
  <c r="J590" i="6"/>
  <c r="J591" i="6"/>
  <c r="J592" i="6"/>
  <c r="J593" i="6"/>
  <c r="J594" i="6"/>
  <c r="J595" i="6"/>
  <c r="J596" i="6"/>
  <c r="J597" i="6"/>
  <c r="J598" i="6"/>
  <c r="J599" i="6"/>
  <c r="J600" i="6"/>
  <c r="J601" i="6"/>
  <c r="J602" i="6"/>
  <c r="J603" i="6"/>
  <c r="J604" i="6"/>
  <c r="J605" i="6"/>
  <c r="J606" i="6"/>
  <c r="J607" i="6"/>
  <c r="J608" i="6"/>
  <c r="J609" i="6"/>
  <c r="J610" i="6"/>
  <c r="J611" i="6"/>
  <c r="J612" i="6"/>
  <c r="J613" i="6"/>
  <c r="J614" i="6"/>
  <c r="J615" i="6"/>
  <c r="J616" i="6"/>
  <c r="J617" i="6"/>
  <c r="J618" i="6"/>
  <c r="J619" i="6"/>
  <c r="J620" i="6"/>
  <c r="J621" i="6"/>
  <c r="J622" i="6"/>
  <c r="J623" i="6"/>
  <c r="J624" i="6"/>
  <c r="J625" i="6"/>
  <c r="J626" i="6"/>
  <c r="J627" i="6"/>
  <c r="J628" i="6"/>
  <c r="J629" i="6"/>
  <c r="J630" i="6"/>
  <c r="J631" i="6"/>
  <c r="J632" i="6"/>
  <c r="J633" i="6"/>
  <c r="J634" i="6"/>
  <c r="J635" i="6"/>
  <c r="J636" i="6"/>
  <c r="J637" i="6"/>
  <c r="J638" i="6"/>
  <c r="J639" i="6"/>
  <c r="J640" i="6"/>
  <c r="J641" i="6"/>
  <c r="J642" i="6"/>
  <c r="J643" i="6"/>
  <c r="J644" i="6"/>
  <c r="J645" i="6"/>
  <c r="J646" i="6"/>
  <c r="J647" i="6"/>
  <c r="J648" i="6"/>
  <c r="J649" i="6"/>
  <c r="J650" i="6"/>
  <c r="J651" i="6"/>
  <c r="J652" i="6"/>
  <c r="J653" i="6"/>
  <c r="J654" i="6"/>
  <c r="J655" i="6"/>
  <c r="J656" i="6"/>
  <c r="J657" i="6"/>
  <c r="J658" i="6"/>
  <c r="J659" i="6"/>
  <c r="J660" i="6"/>
  <c r="J661" i="6"/>
  <c r="J662" i="6"/>
  <c r="J663" i="6"/>
  <c r="J664" i="6"/>
  <c r="J665" i="6"/>
  <c r="J666" i="6"/>
  <c r="J667" i="6"/>
  <c r="J668" i="6"/>
  <c r="J669" i="6"/>
  <c r="J670" i="6"/>
  <c r="J671" i="6"/>
  <c r="J672" i="6"/>
  <c r="J673" i="6"/>
  <c r="J674" i="6"/>
  <c r="J675" i="6"/>
  <c r="J676" i="6"/>
  <c r="J677" i="6"/>
  <c r="J678" i="6"/>
  <c r="J679" i="6"/>
  <c r="J680" i="6"/>
  <c r="J681" i="6"/>
  <c r="J682" i="6"/>
  <c r="J683" i="6"/>
  <c r="J684" i="6"/>
  <c r="J685" i="6"/>
  <c r="J686" i="6"/>
  <c r="J687" i="6"/>
  <c r="J688" i="6"/>
  <c r="J689" i="6"/>
  <c r="J690" i="6"/>
  <c r="J691" i="6"/>
  <c r="J692" i="6"/>
  <c r="J693" i="6"/>
  <c r="J694" i="6"/>
  <c r="J695" i="6"/>
  <c r="J696" i="6"/>
  <c r="J697" i="6"/>
  <c r="J698" i="6"/>
  <c r="J699" i="6"/>
  <c r="J700" i="6"/>
  <c r="J701" i="6"/>
  <c r="J702" i="6"/>
  <c r="J703" i="6"/>
  <c r="J704" i="6"/>
  <c r="J705" i="6"/>
  <c r="J706" i="6"/>
  <c r="J707" i="6"/>
  <c r="J708" i="6"/>
  <c r="J709" i="6"/>
  <c r="J710" i="6"/>
  <c r="J711" i="6"/>
  <c r="J712" i="6"/>
  <c r="J713" i="6"/>
  <c r="J714" i="6"/>
  <c r="J715" i="6"/>
  <c r="J716" i="6"/>
  <c r="J717" i="6"/>
  <c r="J718" i="6"/>
  <c r="J719" i="6"/>
  <c r="J720" i="6"/>
  <c r="J721" i="6"/>
  <c r="J722" i="6"/>
  <c r="J723" i="6"/>
  <c r="J724" i="6"/>
  <c r="J725" i="6"/>
  <c r="J726" i="6"/>
  <c r="J727" i="6"/>
  <c r="J728" i="6"/>
  <c r="J729" i="6"/>
  <c r="J730" i="6"/>
  <c r="J731" i="6"/>
  <c r="J732" i="6"/>
  <c r="J733" i="6"/>
  <c r="J734" i="6"/>
  <c r="J735" i="6"/>
  <c r="J736" i="6"/>
  <c r="J737" i="6"/>
  <c r="J738" i="6"/>
  <c r="J739" i="6"/>
  <c r="J740" i="6"/>
  <c r="J741" i="6"/>
  <c r="J742" i="6"/>
  <c r="J743" i="6"/>
  <c r="J744" i="6"/>
  <c r="J745" i="6"/>
  <c r="J746" i="6"/>
  <c r="J747" i="6"/>
  <c r="J748" i="6"/>
  <c r="J749" i="6"/>
  <c r="J750" i="6"/>
  <c r="J751" i="6"/>
  <c r="J752" i="6"/>
  <c r="J753" i="6"/>
  <c r="J754" i="6"/>
  <c r="J755" i="6"/>
  <c r="J756" i="6"/>
  <c r="J757" i="6"/>
  <c r="J758" i="6"/>
  <c r="J759" i="6"/>
  <c r="J760" i="6"/>
  <c r="J761" i="6"/>
  <c r="J762" i="6"/>
  <c r="J763" i="6"/>
  <c r="J764" i="6"/>
  <c r="J765" i="6"/>
  <c r="J766" i="6"/>
  <c r="J767" i="6"/>
  <c r="J768" i="6"/>
  <c r="J769" i="6"/>
  <c r="J770" i="6"/>
  <c r="J771" i="6"/>
  <c r="J772" i="6"/>
  <c r="J773" i="6"/>
  <c r="J774" i="6"/>
  <c r="J775" i="6"/>
  <c r="J776" i="6"/>
  <c r="J777" i="6"/>
  <c r="J778" i="6"/>
  <c r="J779" i="6"/>
  <c r="J780" i="6"/>
  <c r="J781" i="6"/>
  <c r="J782" i="6"/>
  <c r="J783" i="6"/>
  <c r="J784" i="6"/>
  <c r="J785" i="6"/>
  <c r="J786" i="6"/>
  <c r="J787" i="6"/>
  <c r="J788" i="6"/>
  <c r="J789" i="6"/>
  <c r="J790" i="6"/>
  <c r="J791" i="6"/>
  <c r="J792" i="6"/>
  <c r="J793" i="6"/>
  <c r="J794" i="6"/>
  <c r="J795" i="6"/>
  <c r="J796" i="6"/>
  <c r="J797" i="6"/>
  <c r="J798" i="6"/>
  <c r="J799" i="6"/>
  <c r="J800" i="6"/>
  <c r="J801" i="6"/>
  <c r="J802" i="6"/>
  <c r="J803" i="6"/>
  <c r="J804" i="6"/>
  <c r="J805" i="6"/>
  <c r="J806" i="6"/>
  <c r="J807" i="6"/>
  <c r="J808" i="6"/>
  <c r="J809" i="6"/>
  <c r="J810" i="6"/>
  <c r="J811" i="6"/>
  <c r="J812" i="6"/>
  <c r="J813" i="6"/>
  <c r="J814" i="6"/>
  <c r="J815" i="6"/>
  <c r="J816" i="6"/>
  <c r="J817" i="6"/>
  <c r="J818" i="6"/>
  <c r="J819" i="6"/>
  <c r="J820" i="6"/>
  <c r="J821" i="6"/>
  <c r="J822" i="6"/>
  <c r="J823" i="6"/>
  <c r="J824" i="6"/>
  <c r="J825" i="6"/>
  <c r="J826" i="6"/>
  <c r="J827" i="6"/>
  <c r="J828" i="6"/>
  <c r="J829" i="6"/>
  <c r="J830" i="6"/>
  <c r="J831" i="6"/>
  <c r="J832" i="6"/>
  <c r="J833" i="6"/>
  <c r="J834" i="6"/>
  <c r="J835" i="6"/>
  <c r="J836" i="6"/>
  <c r="J837" i="6"/>
  <c r="J838" i="6"/>
  <c r="J839" i="6"/>
  <c r="J840" i="6"/>
  <c r="J2" i="6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2" i="6"/>
  <c r="E153" i="6"/>
  <c r="E154" i="6"/>
  <c r="E155" i="6"/>
  <c r="E156" i="6"/>
  <c r="E157" i="6"/>
  <c r="E158" i="6"/>
  <c r="E159" i="6"/>
  <c r="E160" i="6"/>
  <c r="E161" i="6"/>
  <c r="E162" i="6"/>
  <c r="E163" i="6"/>
  <c r="E164" i="6"/>
  <c r="E165" i="6"/>
  <c r="E166" i="6"/>
  <c r="E167" i="6"/>
  <c r="E168" i="6"/>
  <c r="E169" i="6"/>
  <c r="E170" i="6"/>
  <c r="E171" i="6"/>
  <c r="E172" i="6"/>
  <c r="E173" i="6"/>
  <c r="E174" i="6"/>
  <c r="E175" i="6"/>
  <c r="E176" i="6"/>
  <c r="E177" i="6"/>
  <c r="E178" i="6"/>
  <c r="E179" i="6"/>
  <c r="E180" i="6"/>
  <c r="E181" i="6"/>
  <c r="E182" i="6"/>
  <c r="E183" i="6"/>
  <c r="E184" i="6"/>
  <c r="E185" i="6"/>
  <c r="E186" i="6"/>
  <c r="E187" i="6"/>
  <c r="E188" i="6"/>
  <c r="E189" i="6"/>
  <c r="E190" i="6"/>
  <c r="E191" i="6"/>
  <c r="E192" i="6"/>
  <c r="E193" i="6"/>
  <c r="E194" i="6"/>
  <c r="E195" i="6"/>
  <c r="E196" i="6"/>
  <c r="E197" i="6"/>
  <c r="E198" i="6"/>
  <c r="E199" i="6"/>
  <c r="E200" i="6"/>
  <c r="E201" i="6"/>
  <c r="E202" i="6"/>
  <c r="E203" i="6"/>
  <c r="E204" i="6"/>
  <c r="E205" i="6"/>
  <c r="E206" i="6"/>
  <c r="E207" i="6"/>
  <c r="E208" i="6"/>
  <c r="E209" i="6"/>
  <c r="E210" i="6"/>
  <c r="E211" i="6"/>
  <c r="E212" i="6"/>
  <c r="E213" i="6"/>
  <c r="E214" i="6"/>
  <c r="E215" i="6"/>
  <c r="E216" i="6"/>
  <c r="E217" i="6"/>
  <c r="E218" i="6"/>
  <c r="E219" i="6"/>
  <c r="E220" i="6"/>
  <c r="E221" i="6"/>
  <c r="E222" i="6"/>
  <c r="E223" i="6"/>
  <c r="E224" i="6"/>
  <c r="E225" i="6"/>
  <c r="E226" i="6"/>
  <c r="E227" i="6"/>
  <c r="E228" i="6"/>
  <c r="E229" i="6"/>
  <c r="E230" i="6"/>
  <c r="E231" i="6"/>
  <c r="E232" i="6"/>
  <c r="E233" i="6"/>
  <c r="E234" i="6"/>
  <c r="E235" i="6"/>
  <c r="E236" i="6"/>
  <c r="E237" i="6"/>
  <c r="E238" i="6"/>
  <c r="E239" i="6"/>
  <c r="E240" i="6"/>
  <c r="E241" i="6"/>
  <c r="E242" i="6"/>
  <c r="E243" i="6"/>
  <c r="E244" i="6"/>
  <c r="E245" i="6"/>
  <c r="E246" i="6"/>
  <c r="E247" i="6"/>
  <c r="E248" i="6"/>
  <c r="E249" i="6"/>
  <c r="E250" i="6"/>
  <c r="E251" i="6"/>
  <c r="E252" i="6"/>
  <c r="E253" i="6"/>
  <c r="E254" i="6"/>
  <c r="E255" i="6"/>
  <c r="E256" i="6"/>
  <c r="E257" i="6"/>
  <c r="E258" i="6"/>
  <c r="E259" i="6"/>
  <c r="E260" i="6"/>
  <c r="E261" i="6"/>
  <c r="E262" i="6"/>
  <c r="E263" i="6"/>
  <c r="E264" i="6"/>
  <c r="E265" i="6"/>
  <c r="E266" i="6"/>
  <c r="E267" i="6"/>
  <c r="E268" i="6"/>
  <c r="E269" i="6"/>
  <c r="E270" i="6"/>
  <c r="E271" i="6"/>
  <c r="E272" i="6"/>
  <c r="E273" i="6"/>
  <c r="E274" i="6"/>
  <c r="E275" i="6"/>
  <c r="E276" i="6"/>
  <c r="E277" i="6"/>
  <c r="E278" i="6"/>
  <c r="E279" i="6"/>
  <c r="E280" i="6"/>
  <c r="E281" i="6"/>
  <c r="E282" i="6"/>
  <c r="E283" i="6"/>
  <c r="E284" i="6"/>
  <c r="E285" i="6"/>
  <c r="E286" i="6"/>
  <c r="E287" i="6"/>
  <c r="E288" i="6"/>
  <c r="E289" i="6"/>
  <c r="E290" i="6"/>
  <c r="E291" i="6"/>
  <c r="E292" i="6"/>
  <c r="E293" i="6"/>
  <c r="E294" i="6"/>
  <c r="E295" i="6"/>
  <c r="E296" i="6"/>
  <c r="E297" i="6"/>
  <c r="E298" i="6"/>
  <c r="E299" i="6"/>
  <c r="E300" i="6"/>
  <c r="E301" i="6"/>
  <c r="E302" i="6"/>
  <c r="E303" i="6"/>
  <c r="E304" i="6"/>
  <c r="E305" i="6"/>
  <c r="E306" i="6"/>
  <c r="E307" i="6"/>
  <c r="E308" i="6"/>
  <c r="E309" i="6"/>
  <c r="E310" i="6"/>
  <c r="E311" i="6"/>
  <c r="E312" i="6"/>
  <c r="E313" i="6"/>
  <c r="E314" i="6"/>
  <c r="E315" i="6"/>
  <c r="E316" i="6"/>
  <c r="E317" i="6"/>
  <c r="E318" i="6"/>
  <c r="E319" i="6"/>
  <c r="E320" i="6"/>
  <c r="E321" i="6"/>
  <c r="E322" i="6"/>
  <c r="E323" i="6"/>
  <c r="E324" i="6"/>
  <c r="E325" i="6"/>
  <c r="E326" i="6"/>
  <c r="E327" i="6"/>
  <c r="E328" i="6"/>
  <c r="E329" i="6"/>
  <c r="E330" i="6"/>
  <c r="E331" i="6"/>
  <c r="E332" i="6"/>
  <c r="E333" i="6"/>
  <c r="E334" i="6"/>
  <c r="E335" i="6"/>
  <c r="E336" i="6"/>
  <c r="E337" i="6"/>
  <c r="E338" i="6"/>
  <c r="E339" i="6"/>
  <c r="E340" i="6"/>
  <c r="E341" i="6"/>
  <c r="E342" i="6"/>
  <c r="E343" i="6"/>
  <c r="E344" i="6"/>
  <c r="E345" i="6"/>
  <c r="E346" i="6"/>
  <c r="E347" i="6"/>
  <c r="E348" i="6"/>
  <c r="E349" i="6"/>
  <c r="E350" i="6"/>
  <c r="E351" i="6"/>
  <c r="E352" i="6"/>
  <c r="E353" i="6"/>
  <c r="E354" i="6"/>
  <c r="E355" i="6"/>
  <c r="E356" i="6"/>
  <c r="E357" i="6"/>
  <c r="E358" i="6"/>
  <c r="E359" i="6"/>
  <c r="E360" i="6"/>
  <c r="E361" i="6"/>
  <c r="E362" i="6"/>
  <c r="E363" i="6"/>
  <c r="E364" i="6"/>
  <c r="E365" i="6"/>
  <c r="E366" i="6"/>
  <c r="E367" i="6"/>
  <c r="E368" i="6"/>
  <c r="E369" i="6"/>
  <c r="E370" i="6"/>
  <c r="E371" i="6"/>
  <c r="E372" i="6"/>
  <c r="E373" i="6"/>
  <c r="E374" i="6"/>
  <c r="E375" i="6"/>
  <c r="E376" i="6"/>
  <c r="E377" i="6"/>
  <c r="E378" i="6"/>
  <c r="E379" i="6"/>
  <c r="E380" i="6"/>
  <c r="E381" i="6"/>
  <c r="E382" i="6"/>
  <c r="E383" i="6"/>
  <c r="E384" i="6"/>
  <c r="E385" i="6"/>
  <c r="E386" i="6"/>
  <c r="E387" i="6"/>
  <c r="E388" i="6"/>
  <c r="E389" i="6"/>
  <c r="E390" i="6"/>
  <c r="E391" i="6"/>
  <c r="E392" i="6"/>
  <c r="E393" i="6"/>
  <c r="E394" i="6"/>
  <c r="E395" i="6"/>
  <c r="E396" i="6"/>
  <c r="E397" i="6"/>
  <c r="E398" i="6"/>
  <c r="E399" i="6"/>
  <c r="E400" i="6"/>
  <c r="E401" i="6"/>
  <c r="E402" i="6"/>
  <c r="E403" i="6"/>
  <c r="E404" i="6"/>
  <c r="E405" i="6"/>
  <c r="E406" i="6"/>
  <c r="E407" i="6"/>
  <c r="E408" i="6"/>
  <c r="E409" i="6"/>
  <c r="E410" i="6"/>
  <c r="E411" i="6"/>
  <c r="E412" i="6"/>
  <c r="E413" i="6"/>
  <c r="E414" i="6"/>
  <c r="E415" i="6"/>
  <c r="E416" i="6"/>
  <c r="E417" i="6"/>
  <c r="E418" i="6"/>
  <c r="E419" i="6"/>
  <c r="E420" i="6"/>
  <c r="E421" i="6"/>
  <c r="E422" i="6"/>
  <c r="E423" i="6"/>
  <c r="E424" i="6"/>
  <c r="E425" i="6"/>
  <c r="E426" i="6"/>
  <c r="E427" i="6"/>
  <c r="E428" i="6"/>
  <c r="E429" i="6"/>
  <c r="E430" i="6"/>
  <c r="E431" i="6"/>
  <c r="E432" i="6"/>
  <c r="E433" i="6"/>
  <c r="E434" i="6"/>
  <c r="E435" i="6"/>
  <c r="E436" i="6"/>
  <c r="E437" i="6"/>
  <c r="E438" i="6"/>
  <c r="E439" i="6"/>
  <c r="E440" i="6"/>
  <c r="E441" i="6"/>
  <c r="E442" i="6"/>
  <c r="E443" i="6"/>
  <c r="E444" i="6"/>
  <c r="E445" i="6"/>
  <c r="E446" i="6"/>
  <c r="E447" i="6"/>
  <c r="E448" i="6"/>
  <c r="E449" i="6"/>
  <c r="E450" i="6"/>
  <c r="E451" i="6"/>
  <c r="E452" i="6"/>
  <c r="E453" i="6"/>
  <c r="E454" i="6"/>
  <c r="E455" i="6"/>
  <c r="E456" i="6"/>
  <c r="E457" i="6"/>
  <c r="E458" i="6"/>
  <c r="E459" i="6"/>
  <c r="E460" i="6"/>
  <c r="E461" i="6"/>
  <c r="E462" i="6"/>
  <c r="E463" i="6"/>
  <c r="E464" i="6"/>
  <c r="E465" i="6"/>
  <c r="E466" i="6"/>
  <c r="E467" i="6"/>
  <c r="E468" i="6"/>
  <c r="E469" i="6"/>
  <c r="E470" i="6"/>
  <c r="E471" i="6"/>
  <c r="E472" i="6"/>
  <c r="E473" i="6"/>
  <c r="E474" i="6"/>
  <c r="E475" i="6"/>
  <c r="E476" i="6"/>
  <c r="E477" i="6"/>
  <c r="E478" i="6"/>
  <c r="E479" i="6"/>
  <c r="E480" i="6"/>
  <c r="E481" i="6"/>
  <c r="E482" i="6"/>
  <c r="E483" i="6"/>
  <c r="E484" i="6"/>
  <c r="E485" i="6"/>
  <c r="E486" i="6"/>
  <c r="E487" i="6"/>
  <c r="E488" i="6"/>
  <c r="E489" i="6"/>
  <c r="E490" i="6"/>
  <c r="E491" i="6"/>
  <c r="E492" i="6"/>
  <c r="E493" i="6"/>
  <c r="E494" i="6"/>
  <c r="E495" i="6"/>
  <c r="E496" i="6"/>
  <c r="E497" i="6"/>
  <c r="E498" i="6"/>
  <c r="E499" i="6"/>
  <c r="E500" i="6"/>
  <c r="E501" i="6"/>
  <c r="E502" i="6"/>
  <c r="E503" i="6"/>
  <c r="E504" i="6"/>
  <c r="E505" i="6"/>
  <c r="E506" i="6"/>
  <c r="E507" i="6"/>
  <c r="E508" i="6"/>
  <c r="E509" i="6"/>
  <c r="E510" i="6"/>
  <c r="E511" i="6"/>
  <c r="E512" i="6"/>
  <c r="E513" i="6"/>
  <c r="E514" i="6"/>
  <c r="E515" i="6"/>
  <c r="E516" i="6"/>
  <c r="E517" i="6"/>
  <c r="E518" i="6"/>
  <c r="E519" i="6"/>
  <c r="E520" i="6"/>
  <c r="E521" i="6"/>
  <c r="E522" i="6"/>
  <c r="E523" i="6"/>
  <c r="E524" i="6"/>
  <c r="E525" i="6"/>
  <c r="E526" i="6"/>
  <c r="E527" i="6"/>
  <c r="E528" i="6"/>
  <c r="E529" i="6"/>
  <c r="E530" i="6"/>
  <c r="E531" i="6"/>
  <c r="E532" i="6"/>
  <c r="E533" i="6"/>
  <c r="E534" i="6"/>
  <c r="E535" i="6"/>
  <c r="E536" i="6"/>
  <c r="E537" i="6"/>
  <c r="E538" i="6"/>
  <c r="E539" i="6"/>
  <c r="E540" i="6"/>
  <c r="E541" i="6"/>
  <c r="E542" i="6"/>
  <c r="E543" i="6"/>
  <c r="E544" i="6"/>
  <c r="E545" i="6"/>
  <c r="E546" i="6"/>
  <c r="E547" i="6"/>
  <c r="E548" i="6"/>
  <c r="E549" i="6"/>
  <c r="E550" i="6"/>
  <c r="E551" i="6"/>
  <c r="E552" i="6"/>
  <c r="E553" i="6"/>
  <c r="E554" i="6"/>
  <c r="E555" i="6"/>
  <c r="E556" i="6"/>
  <c r="E557" i="6"/>
  <c r="E558" i="6"/>
  <c r="E559" i="6"/>
  <c r="E560" i="6"/>
  <c r="E561" i="6"/>
  <c r="E562" i="6"/>
  <c r="E563" i="6"/>
  <c r="E564" i="6"/>
  <c r="E565" i="6"/>
  <c r="E566" i="6"/>
  <c r="E567" i="6"/>
  <c r="E568" i="6"/>
  <c r="E569" i="6"/>
  <c r="E570" i="6"/>
  <c r="E571" i="6"/>
  <c r="E572" i="6"/>
  <c r="E573" i="6"/>
  <c r="E574" i="6"/>
  <c r="E575" i="6"/>
  <c r="E576" i="6"/>
  <c r="E577" i="6"/>
  <c r="E578" i="6"/>
  <c r="E579" i="6"/>
  <c r="E580" i="6"/>
  <c r="E581" i="6"/>
  <c r="E582" i="6"/>
  <c r="E583" i="6"/>
  <c r="E584" i="6"/>
  <c r="E585" i="6"/>
  <c r="E586" i="6"/>
  <c r="E587" i="6"/>
  <c r="E588" i="6"/>
  <c r="E589" i="6"/>
  <c r="E590" i="6"/>
  <c r="E591" i="6"/>
  <c r="E592" i="6"/>
  <c r="E593" i="6"/>
  <c r="E594" i="6"/>
  <c r="E595" i="6"/>
  <c r="E596" i="6"/>
  <c r="E597" i="6"/>
  <c r="E598" i="6"/>
  <c r="E599" i="6"/>
  <c r="E600" i="6"/>
  <c r="E601" i="6"/>
  <c r="E602" i="6"/>
  <c r="E603" i="6"/>
  <c r="E604" i="6"/>
  <c r="E605" i="6"/>
  <c r="E606" i="6"/>
  <c r="E607" i="6"/>
  <c r="E608" i="6"/>
  <c r="E609" i="6"/>
  <c r="E610" i="6"/>
  <c r="E611" i="6"/>
  <c r="E612" i="6"/>
  <c r="E613" i="6"/>
  <c r="E614" i="6"/>
  <c r="E615" i="6"/>
  <c r="E616" i="6"/>
  <c r="E617" i="6"/>
  <c r="E618" i="6"/>
  <c r="E619" i="6"/>
  <c r="E620" i="6"/>
  <c r="E621" i="6"/>
  <c r="E622" i="6"/>
  <c r="E623" i="6"/>
  <c r="E624" i="6"/>
  <c r="E625" i="6"/>
  <c r="E626" i="6"/>
  <c r="E627" i="6"/>
  <c r="E628" i="6"/>
  <c r="E629" i="6"/>
  <c r="E630" i="6"/>
  <c r="E631" i="6"/>
  <c r="E632" i="6"/>
  <c r="E633" i="6"/>
  <c r="E634" i="6"/>
  <c r="E635" i="6"/>
  <c r="E636" i="6"/>
  <c r="E637" i="6"/>
  <c r="E638" i="6"/>
  <c r="E639" i="6"/>
  <c r="E640" i="6"/>
  <c r="E641" i="6"/>
  <c r="E642" i="6"/>
  <c r="E643" i="6"/>
  <c r="E644" i="6"/>
  <c r="E645" i="6"/>
  <c r="E646" i="6"/>
  <c r="E647" i="6"/>
  <c r="E648" i="6"/>
  <c r="E649" i="6"/>
  <c r="E650" i="6"/>
  <c r="E651" i="6"/>
  <c r="E652" i="6"/>
  <c r="E653" i="6"/>
  <c r="E654" i="6"/>
  <c r="E655" i="6"/>
  <c r="E656" i="6"/>
  <c r="E657" i="6"/>
  <c r="E658" i="6"/>
  <c r="E659" i="6"/>
  <c r="E660" i="6"/>
  <c r="E661" i="6"/>
  <c r="E662" i="6"/>
  <c r="E663" i="6"/>
  <c r="E664" i="6"/>
  <c r="E665" i="6"/>
  <c r="E666" i="6"/>
  <c r="E667" i="6"/>
  <c r="E668" i="6"/>
  <c r="E669" i="6"/>
  <c r="E670" i="6"/>
  <c r="E671" i="6"/>
  <c r="E672" i="6"/>
  <c r="E673" i="6"/>
  <c r="E674" i="6"/>
  <c r="E675" i="6"/>
  <c r="E676" i="6"/>
  <c r="E677" i="6"/>
  <c r="E678" i="6"/>
  <c r="E679" i="6"/>
  <c r="E680" i="6"/>
  <c r="E681" i="6"/>
  <c r="E682" i="6"/>
  <c r="E683" i="6"/>
  <c r="E684" i="6"/>
  <c r="E685" i="6"/>
  <c r="E686" i="6"/>
  <c r="E687" i="6"/>
  <c r="E688" i="6"/>
  <c r="E689" i="6"/>
  <c r="E690" i="6"/>
  <c r="E691" i="6"/>
  <c r="E692" i="6"/>
  <c r="E693" i="6"/>
  <c r="E694" i="6"/>
  <c r="E695" i="6"/>
  <c r="E696" i="6"/>
  <c r="E697" i="6"/>
  <c r="E698" i="6"/>
  <c r="E699" i="6"/>
  <c r="E700" i="6"/>
  <c r="E701" i="6"/>
  <c r="E702" i="6"/>
  <c r="E703" i="6"/>
  <c r="E704" i="6"/>
  <c r="E705" i="6"/>
  <c r="E706" i="6"/>
  <c r="E707" i="6"/>
  <c r="E708" i="6"/>
  <c r="E709" i="6"/>
  <c r="E710" i="6"/>
  <c r="E711" i="6"/>
  <c r="E712" i="6"/>
  <c r="E713" i="6"/>
  <c r="E714" i="6"/>
  <c r="E715" i="6"/>
  <c r="E716" i="6"/>
  <c r="E717" i="6"/>
  <c r="E718" i="6"/>
  <c r="E719" i="6"/>
  <c r="E720" i="6"/>
  <c r="E721" i="6"/>
  <c r="E722" i="6"/>
  <c r="E723" i="6"/>
  <c r="E724" i="6"/>
  <c r="E725" i="6"/>
  <c r="E726" i="6"/>
  <c r="E727" i="6"/>
  <c r="E728" i="6"/>
  <c r="E729" i="6"/>
  <c r="E730" i="6"/>
  <c r="E731" i="6"/>
  <c r="E732" i="6"/>
  <c r="E733" i="6"/>
  <c r="E734" i="6"/>
  <c r="E735" i="6"/>
  <c r="E736" i="6"/>
  <c r="E737" i="6"/>
  <c r="E738" i="6"/>
  <c r="E739" i="6"/>
  <c r="E740" i="6"/>
  <c r="E741" i="6"/>
  <c r="E742" i="6"/>
  <c r="E743" i="6"/>
  <c r="E744" i="6"/>
  <c r="E745" i="6"/>
  <c r="E746" i="6"/>
  <c r="E747" i="6"/>
  <c r="E748" i="6"/>
  <c r="E749" i="6"/>
  <c r="E750" i="6"/>
  <c r="E751" i="6"/>
  <c r="E752" i="6"/>
  <c r="E753" i="6"/>
  <c r="E754" i="6"/>
  <c r="E755" i="6"/>
  <c r="E756" i="6"/>
  <c r="E757" i="6"/>
  <c r="E758" i="6"/>
  <c r="E759" i="6"/>
  <c r="E760" i="6"/>
  <c r="E761" i="6"/>
  <c r="E762" i="6"/>
  <c r="E763" i="6"/>
  <c r="E764" i="6"/>
  <c r="E765" i="6"/>
  <c r="E766" i="6"/>
  <c r="E767" i="6"/>
  <c r="E768" i="6"/>
  <c r="E769" i="6"/>
  <c r="E770" i="6"/>
  <c r="E771" i="6"/>
  <c r="E772" i="6"/>
  <c r="E773" i="6"/>
  <c r="E774" i="6"/>
  <c r="E775" i="6"/>
  <c r="E776" i="6"/>
  <c r="E777" i="6"/>
  <c r="E778" i="6"/>
  <c r="E779" i="6"/>
  <c r="E780" i="6"/>
  <c r="E781" i="6"/>
  <c r="E782" i="6"/>
  <c r="E783" i="6"/>
  <c r="E784" i="6"/>
  <c r="E785" i="6"/>
  <c r="E786" i="6"/>
  <c r="E787" i="6"/>
  <c r="E788" i="6"/>
  <c r="E789" i="6"/>
  <c r="E790" i="6"/>
  <c r="E791" i="6"/>
  <c r="E792" i="6"/>
  <c r="E793" i="6"/>
  <c r="E794" i="6"/>
  <c r="E795" i="6"/>
  <c r="E796" i="6"/>
  <c r="E797" i="6"/>
  <c r="E798" i="6"/>
  <c r="E799" i="6"/>
  <c r="E800" i="6"/>
  <c r="E801" i="6"/>
  <c r="E802" i="6"/>
  <c r="E803" i="6"/>
  <c r="E804" i="6"/>
  <c r="E805" i="6"/>
  <c r="E806" i="6"/>
  <c r="E807" i="6"/>
  <c r="E808" i="6"/>
  <c r="E809" i="6"/>
  <c r="E810" i="6"/>
  <c r="E811" i="6"/>
  <c r="E812" i="6"/>
  <c r="E813" i="6"/>
  <c r="E814" i="6"/>
  <c r="E815" i="6"/>
  <c r="E816" i="6"/>
  <c r="E817" i="6"/>
  <c r="E818" i="6"/>
  <c r="E819" i="6"/>
  <c r="E820" i="6"/>
  <c r="E821" i="6"/>
  <c r="E822" i="6"/>
  <c r="E823" i="6"/>
  <c r="E824" i="6"/>
  <c r="E825" i="6"/>
  <c r="E826" i="6"/>
  <c r="E827" i="6"/>
  <c r="E828" i="6"/>
  <c r="E829" i="6"/>
  <c r="E830" i="6"/>
  <c r="E831" i="6"/>
  <c r="E832" i="6"/>
  <c r="E833" i="6"/>
  <c r="E834" i="6"/>
  <c r="E835" i="6"/>
  <c r="E836" i="6"/>
  <c r="E837" i="6"/>
  <c r="E838" i="6"/>
  <c r="E839" i="6"/>
  <c r="E840" i="6"/>
  <c r="E2" i="6"/>
</calcChain>
</file>

<file path=xl/sharedStrings.xml><?xml version="1.0" encoding="utf-8"?>
<sst xmlns="http://schemas.openxmlformats.org/spreadsheetml/2006/main" count="6115" uniqueCount="508">
  <si>
    <t>01</t>
  </si>
  <si>
    <t>522</t>
  </si>
  <si>
    <t>264</t>
  </si>
  <si>
    <t>2221</t>
  </si>
  <si>
    <t>0401</t>
  </si>
  <si>
    <t>02</t>
  </si>
  <si>
    <t>03</t>
  </si>
  <si>
    <t>30</t>
  </si>
  <si>
    <t>0424</t>
  </si>
  <si>
    <t>#A</t>
  </si>
  <si>
    <t>#B</t>
  </si>
  <si>
    <t>#G</t>
  </si>
  <si>
    <t>#P</t>
  </si>
  <si>
    <t>+1</t>
  </si>
  <si>
    <t>+2</t>
  </si>
  <si>
    <t>+A</t>
  </si>
  <si>
    <t>+G</t>
  </si>
  <si>
    <t>+H</t>
  </si>
  <si>
    <t>+M</t>
  </si>
  <si>
    <t>TN</t>
  </si>
  <si>
    <t>TR</t>
  </si>
  <si>
    <t>10</t>
  </si>
  <si>
    <t>0999</t>
  </si>
  <si>
    <t>EA</t>
  </si>
  <si>
    <t>00</t>
  </si>
  <si>
    <t>2222</t>
  </si>
  <si>
    <t>2309</t>
  </si>
  <si>
    <t>AC</t>
  </si>
  <si>
    <t>CA</t>
  </si>
  <si>
    <t>E</t>
  </si>
  <si>
    <t>06</t>
  </si>
  <si>
    <t>AE</t>
  </si>
  <si>
    <t>07</t>
  </si>
  <si>
    <t>CP</t>
  </si>
  <si>
    <t>AU</t>
  </si>
  <si>
    <t>BA</t>
  </si>
  <si>
    <t>BB</t>
  </si>
  <si>
    <t>BC</t>
  </si>
  <si>
    <t>BD</t>
  </si>
  <si>
    <t>BF</t>
  </si>
  <si>
    <t>EN</t>
  </si>
  <si>
    <t>EZ</t>
  </si>
  <si>
    <t>2310</t>
  </si>
  <si>
    <t>0782</t>
  </si>
  <si>
    <t>GD</t>
  </si>
  <si>
    <t>50</t>
  </si>
  <si>
    <t>2311</t>
  </si>
  <si>
    <t>2312</t>
  </si>
  <si>
    <t>AD</t>
  </si>
  <si>
    <t>05</t>
  </si>
  <si>
    <t>2314</t>
  </si>
  <si>
    <t>0499</t>
  </si>
  <si>
    <t>8U</t>
  </si>
  <si>
    <t>0622</t>
  </si>
  <si>
    <t>EG</t>
  </si>
  <si>
    <t>80</t>
  </si>
  <si>
    <t>RG</t>
  </si>
  <si>
    <t>EY</t>
  </si>
  <si>
    <t>60</t>
  </si>
  <si>
    <t>GF</t>
  </si>
  <si>
    <t>GG</t>
  </si>
  <si>
    <t>JA</t>
  </si>
  <si>
    <t>2319</t>
  </si>
  <si>
    <t>EB</t>
  </si>
  <si>
    <t>40</t>
  </si>
  <si>
    <t>70</t>
  </si>
  <si>
    <t>20</t>
  </si>
  <si>
    <t>GA</t>
  </si>
  <si>
    <t>KA</t>
  </si>
  <si>
    <t>2330</t>
  </si>
  <si>
    <t>2343</t>
  </si>
  <si>
    <t>6M</t>
  </si>
  <si>
    <t>2345</t>
  </si>
  <si>
    <t>2350</t>
  </si>
  <si>
    <t>EF</t>
  </si>
  <si>
    <t>2353</t>
  </si>
  <si>
    <t>6A</t>
  </si>
  <si>
    <t>55</t>
  </si>
  <si>
    <t>ED</t>
  </si>
  <si>
    <t>EH</t>
  </si>
  <si>
    <t>GC</t>
  </si>
  <si>
    <t>2354</t>
  </si>
  <si>
    <t>8C</t>
  </si>
  <si>
    <t>CRAFT FAIR</t>
  </si>
  <si>
    <t>ER</t>
  </si>
  <si>
    <t>2355</t>
  </si>
  <si>
    <t>6J</t>
  </si>
  <si>
    <t>GB</t>
  </si>
  <si>
    <t>2357</t>
  </si>
  <si>
    <t>6Q</t>
  </si>
  <si>
    <t>PHI THETA KAPPA</t>
  </si>
  <si>
    <t>2360</t>
  </si>
  <si>
    <t>6D</t>
  </si>
  <si>
    <t>DELTA EPSILON CHI</t>
  </si>
  <si>
    <t>EE</t>
  </si>
  <si>
    <t>CL</t>
  </si>
  <si>
    <t>CM</t>
  </si>
  <si>
    <t>2363</t>
  </si>
  <si>
    <t>0430</t>
  </si>
  <si>
    <t>9Q</t>
  </si>
  <si>
    <t>2370</t>
  </si>
  <si>
    <t>6G</t>
  </si>
  <si>
    <t>RHO BETA PSI</t>
  </si>
  <si>
    <t>2382</t>
  </si>
  <si>
    <t>2383</t>
  </si>
  <si>
    <t>NZ</t>
  </si>
  <si>
    <t>2387</t>
  </si>
  <si>
    <t>2399</t>
  </si>
  <si>
    <t>2405</t>
  </si>
  <si>
    <t>2406</t>
  </si>
  <si>
    <t>OB</t>
  </si>
  <si>
    <t>2407</t>
  </si>
  <si>
    <t>8F</t>
  </si>
  <si>
    <t>ES</t>
  </si>
  <si>
    <t>2408</t>
  </si>
  <si>
    <t>2409</t>
  </si>
  <si>
    <t>2410</t>
  </si>
  <si>
    <t>NB</t>
  </si>
  <si>
    <t>2411</t>
  </si>
  <si>
    <t>SP</t>
  </si>
  <si>
    <t>2412</t>
  </si>
  <si>
    <t>2413</t>
  </si>
  <si>
    <t>2414</t>
  </si>
  <si>
    <t>2415</t>
  </si>
  <si>
    <t>2416</t>
  </si>
  <si>
    <t>8Y</t>
  </si>
  <si>
    <t>2417</t>
  </si>
  <si>
    <t>2419</t>
  </si>
  <si>
    <t>2420</t>
  </si>
  <si>
    <t>6O</t>
  </si>
  <si>
    <t>NURSING CLUB</t>
  </si>
  <si>
    <t>2421</t>
  </si>
  <si>
    <t>2423</t>
  </si>
  <si>
    <t>2425</t>
  </si>
  <si>
    <t>2426</t>
  </si>
  <si>
    <t>6I</t>
  </si>
  <si>
    <t>2427</t>
  </si>
  <si>
    <t>6C</t>
  </si>
  <si>
    <t>C.P.R. CLUB</t>
  </si>
  <si>
    <t>0621</t>
  </si>
  <si>
    <t>2428</t>
  </si>
  <si>
    <t>6B</t>
  </si>
  <si>
    <t>2430</t>
  </si>
  <si>
    <t>6E</t>
  </si>
  <si>
    <t>2431</t>
  </si>
  <si>
    <t>6U</t>
  </si>
  <si>
    <t>2432</t>
  </si>
  <si>
    <t>2433</t>
  </si>
  <si>
    <t>2434</t>
  </si>
  <si>
    <t>6S</t>
  </si>
  <si>
    <t>DISABILITY AWARENESS</t>
  </si>
  <si>
    <t>2435</t>
  </si>
  <si>
    <t>2436</t>
  </si>
  <si>
    <t>8N</t>
  </si>
  <si>
    <t>EJ</t>
  </si>
  <si>
    <t>2437</t>
  </si>
  <si>
    <t>2438</t>
  </si>
  <si>
    <t>2439</t>
  </si>
  <si>
    <t>9D</t>
  </si>
  <si>
    <t>X-RAY VISION</t>
  </si>
  <si>
    <t>2440</t>
  </si>
  <si>
    <t>8V</t>
  </si>
  <si>
    <t>GAMING CLUB</t>
  </si>
  <si>
    <t>2441</t>
  </si>
  <si>
    <t>6P</t>
  </si>
  <si>
    <t>2442</t>
  </si>
  <si>
    <t>6W</t>
  </si>
  <si>
    <t>WATER RESOURCES CLUB</t>
  </si>
  <si>
    <t>2443</t>
  </si>
  <si>
    <t>2446</t>
  </si>
  <si>
    <t>8X</t>
  </si>
  <si>
    <t>2447</t>
  </si>
  <si>
    <t>8L</t>
  </si>
  <si>
    <t>2449</t>
  </si>
  <si>
    <t>6N</t>
  </si>
  <si>
    <t>2461</t>
  </si>
  <si>
    <t>8E</t>
  </si>
  <si>
    <t>2462</t>
  </si>
  <si>
    <t>8G</t>
  </si>
  <si>
    <t>2463</t>
  </si>
  <si>
    <t>8H</t>
  </si>
  <si>
    <t>2464</t>
  </si>
  <si>
    <t>2465</t>
  </si>
  <si>
    <t>8J</t>
  </si>
  <si>
    <t>2466</t>
  </si>
  <si>
    <t>9P</t>
  </si>
  <si>
    <t>2467</t>
  </si>
  <si>
    <t>2469</t>
  </si>
  <si>
    <t>2473</t>
  </si>
  <si>
    <t>2490</t>
  </si>
  <si>
    <t>AM</t>
  </si>
  <si>
    <t>2499</t>
  </si>
  <si>
    <t>FYR</t>
  </si>
  <si>
    <t>N</t>
  </si>
  <si>
    <t>A</t>
  </si>
  <si>
    <t>SBF-SCC-LAIR FURNISH</t>
  </si>
  <si>
    <t>IRP CLUB ADVISORS</t>
  </si>
  <si>
    <t>IRP-GENERAL FUND</t>
  </si>
  <si>
    <t>PRES SPEAKER SERIES</t>
  </si>
  <si>
    <t>ADA ACCESSIBILITY</t>
  </si>
  <si>
    <t>2313</t>
  </si>
  <si>
    <t>HLTH INFO MANAGEMNT</t>
  </si>
  <si>
    <t>AMER DESGN DRFTG S A</t>
  </si>
  <si>
    <t>SKILLS USA (VICA)</t>
  </si>
  <si>
    <t>2324</t>
  </si>
  <si>
    <t>WRITERS ON THE STORM</t>
  </si>
  <si>
    <t>SCC AUTOMOTIVE ASSNS</t>
  </si>
  <si>
    <t>CULINARY ARTS CLUB</t>
  </si>
  <si>
    <t>LEGENDS</t>
  </si>
  <si>
    <t>AGRICULTURE</t>
  </si>
  <si>
    <t>HORTICULTURE CLUB</t>
  </si>
  <si>
    <t>TIMBER SPORTS</t>
  </si>
  <si>
    <t>ATHLETIC SCHOLARSHIP</t>
  </si>
  <si>
    <t>S&amp;A FINANCIAL AID</t>
  </si>
  <si>
    <t>2385</t>
  </si>
  <si>
    <t>SODEXO - SCC CLUBS</t>
  </si>
  <si>
    <t>SAFE GRANT</t>
  </si>
  <si>
    <t>SCC BUS PASS MATCH</t>
  </si>
  <si>
    <t>BUS TICKET CLEARING</t>
  </si>
  <si>
    <t>SCC FOOD BANK</t>
  </si>
  <si>
    <t>SCC TREE OF SHARING</t>
  </si>
  <si>
    <t>ASA CLUB ADVISORS</t>
  </si>
  <si>
    <t>ASA GENERAL FUND</t>
  </si>
  <si>
    <t>ASC-LEGISLATIVE</t>
  </si>
  <si>
    <t>NATL SOC LDRSHP SUCC</t>
  </si>
  <si>
    <t>ENTERTAINMENT BOARD</t>
  </si>
  <si>
    <t>ARAB CULTURE</t>
  </si>
  <si>
    <t>STUDENT PARNTS TGTHR</t>
  </si>
  <si>
    <t>STDNT AMBASSADOR PRG</t>
  </si>
  <si>
    <t>SPEAK OUT</t>
  </si>
  <si>
    <t>SHUT UP AND SIGN</t>
  </si>
  <si>
    <t>OUTDOOR CLUB</t>
  </si>
  <si>
    <t>FRISBEE GOLF</t>
  </si>
  <si>
    <t>ASSC STUDENT GOVRNMT</t>
  </si>
  <si>
    <t>EXPLORERS</t>
  </si>
  <si>
    <t>STDT AWARENESS LEAG.</t>
  </si>
  <si>
    <t>SAVIOR'S GRACE</t>
  </si>
  <si>
    <t>SCC COMPUTER CLUB</t>
  </si>
  <si>
    <t>BLACK STUDENT UNION</t>
  </si>
  <si>
    <t>VETERANS</t>
  </si>
  <si>
    <t>G.L.O.B.A.L.</t>
  </si>
  <si>
    <t>MULTICULTURL LDRSHIP</t>
  </si>
  <si>
    <t>SCC PLAYERS</t>
  </si>
  <si>
    <t>NATURAL RESRCS ASSN</t>
  </si>
  <si>
    <t>2445</t>
  </si>
  <si>
    <t>DANCE CLUB</t>
  </si>
  <si>
    <t>NATL ASSC LEGAL SECR</t>
  </si>
  <si>
    <t>AMER INST ARCH STDTS</t>
  </si>
  <si>
    <t>SASQUAD COMICS</t>
  </si>
  <si>
    <t>2460</t>
  </si>
  <si>
    <t>LATTER DAY SAINTS SA</t>
  </si>
  <si>
    <t>LATIN-AMER STDNT ORG</t>
  </si>
  <si>
    <t>INTRNTL STUDENT ORG</t>
  </si>
  <si>
    <t>ASIAN PACIFIC ISLNDR</t>
  </si>
  <si>
    <t>SCC SWIM CLUB</t>
  </si>
  <si>
    <t>NATIV AMER STDNT ORG</t>
  </si>
  <si>
    <t>PARANORMAL CLUB</t>
  </si>
  <si>
    <t>EXTREME BOCCE CLUB</t>
  </si>
  <si>
    <t>2468</t>
  </si>
  <si>
    <t>RESEARCH CLUB</t>
  </si>
  <si>
    <t>MATH CLUB</t>
  </si>
  <si>
    <t>S.A.N.E.</t>
  </si>
  <si>
    <t>ASA WORK PROGRAMS</t>
  </si>
  <si>
    <t>Obj/Src</t>
  </si>
  <si>
    <t>Title</t>
  </si>
  <si>
    <t>B</t>
  </si>
  <si>
    <t>C</t>
  </si>
  <si>
    <t>G</t>
  </si>
  <si>
    <t>J</t>
  </si>
  <si>
    <t>K</t>
  </si>
  <si>
    <t>T</t>
  </si>
  <si>
    <t>Carryforward</t>
  </si>
  <si>
    <t>Appr</t>
  </si>
  <si>
    <t>Prg</t>
  </si>
  <si>
    <t>Org</t>
  </si>
  <si>
    <t>Sobj</t>
  </si>
  <si>
    <t>SSObj</t>
  </si>
  <si>
    <t>Src</t>
  </si>
  <si>
    <t>SSrc</t>
  </si>
  <si>
    <t>Category</t>
  </si>
  <si>
    <t>1213</t>
  </si>
  <si>
    <t>Exp-Salaries &amp; Wages</t>
  </si>
  <si>
    <t>Exp-Benefits</t>
  </si>
  <si>
    <t>Exp-Personal Service Contracts</t>
  </si>
  <si>
    <t>Exp-Goods &amp; Services</t>
  </si>
  <si>
    <t>Exp-Travel</t>
  </si>
  <si>
    <t>Exp-Equipment</t>
  </si>
  <si>
    <t>Exp-Computer Equipment</t>
  </si>
  <si>
    <t>Exp-Grants/Scholarships</t>
  </si>
  <si>
    <t>Exp-Transfer</t>
  </si>
  <si>
    <t>Rev-Fund Transfers - In</t>
  </si>
  <si>
    <t>Rev-Fund Transfers - Out</t>
  </si>
  <si>
    <t>Rev-Intra-Fund Transfer</t>
  </si>
  <si>
    <t>2222 - SBF-SCC-LAIR FURNISH</t>
  </si>
  <si>
    <t>2309 - IRP CLUB ADVISORS</t>
  </si>
  <si>
    <t>2310 - IRP-GENERAL FUND</t>
  </si>
  <si>
    <t>2311 - PRES SPEAKER SERIES</t>
  </si>
  <si>
    <t>2312 - ADA ACCESSIBILITY</t>
  </si>
  <si>
    <t>2314 - AMER DESGN DRFTG S A</t>
  </si>
  <si>
    <t>2319 - SKILLS USA (VICA)</t>
  </si>
  <si>
    <t>2330 - MATH CLUB</t>
  </si>
  <si>
    <t>2343 - SCC AUTOMOTIVE ASSNS</t>
  </si>
  <si>
    <t>2345 - CULINARY ARTS CLUB</t>
  </si>
  <si>
    <t>2350 - LEGENDS</t>
  </si>
  <si>
    <t>2353 - AGRICULTURE</t>
  </si>
  <si>
    <t>2354 - CRAFT FAIR</t>
  </si>
  <si>
    <t>2355 - HORTICULTURE CLUB</t>
  </si>
  <si>
    <t>2357 - PHI THETA KAPPA</t>
  </si>
  <si>
    <t>2360 - DELTA EPSILON CHI</t>
  </si>
  <si>
    <t>2363 - TIMBER SPORTS</t>
  </si>
  <si>
    <t>2370 - RHO BETA PSI</t>
  </si>
  <si>
    <t>2382 - ATHLETIC SCHOLARSHIP</t>
  </si>
  <si>
    <t>2383 - S&amp;A FINANCIAL AID</t>
  </si>
  <si>
    <t>2387 - SAFE GRANT</t>
  </si>
  <si>
    <t>2405 - SCC BUS PASS MATCH</t>
  </si>
  <si>
    <t>2406 - BUS TICKET CLEARING</t>
  </si>
  <si>
    <t>2407 - SCC FOOD BANK</t>
  </si>
  <si>
    <t>2408 - SCC TREE OF SHARING</t>
  </si>
  <si>
    <t>2409 - ASA CLUB ADVISORS</t>
  </si>
  <si>
    <t>2410 - ASA GENERAL FUND</t>
  </si>
  <si>
    <t>2411 - PRES SPEAKER SERIES</t>
  </si>
  <si>
    <t>2412 - ADA ACCESSIBILITY</t>
  </si>
  <si>
    <t>2413 - ASC-LEGISLATIVE</t>
  </si>
  <si>
    <t>2414 - NATL SOC LDRSHP SUCC</t>
  </si>
  <si>
    <t>2415 - ENTERTAINMENT BOARD</t>
  </si>
  <si>
    <t>2416 - ARAB CULTURE</t>
  </si>
  <si>
    <t>2417 - STUDENT PARNTS TGTHR</t>
  </si>
  <si>
    <t>2419 - STDNT AMBASSADOR PRG</t>
  </si>
  <si>
    <t>2420 - NURSING CLUB</t>
  </si>
  <si>
    <t>2421 - SPEAK OUT</t>
  </si>
  <si>
    <t>2423 - SHUT UP AND SIGN</t>
  </si>
  <si>
    <t>2425 - OUTDOOR CLUB</t>
  </si>
  <si>
    <t>2426 - FRISBEE GOLF</t>
  </si>
  <si>
    <t>2427 - C.P.R. CLUB</t>
  </si>
  <si>
    <t>2428 - ASSC STUDENT GOVRNMT</t>
  </si>
  <si>
    <t>2430 - EXPLORERS</t>
  </si>
  <si>
    <t>2431 - STDT AWARENESS LEAG.</t>
  </si>
  <si>
    <t>2432 - SAVIOR'S GRACE</t>
  </si>
  <si>
    <t>2433 - SCC COMPUTER CLUB</t>
  </si>
  <si>
    <t>2434 - DISABILITY AWARENESS</t>
  </si>
  <si>
    <t>2435 - BLACK STUDENT UNION</t>
  </si>
  <si>
    <t>2436 - VETERANS</t>
  </si>
  <si>
    <t>2437 - G.L.O.B.A.L.</t>
  </si>
  <si>
    <t>2438 - MULTICULTURL LDRSHIP</t>
  </si>
  <si>
    <t>2439 - X-RAY VISION</t>
  </si>
  <si>
    <t>2440 - GAMING CLUB</t>
  </si>
  <si>
    <t>2441 - SCC PLAYERS</t>
  </si>
  <si>
    <t>2442 - WATER RESOURCES CLUB</t>
  </si>
  <si>
    <t>2443 - NATURAL RESRCS ASSN</t>
  </si>
  <si>
    <t>2446 - NATL ASSC LEGAL SECR</t>
  </si>
  <si>
    <t>2447 - AMER INST ARCH STDTS</t>
  </si>
  <si>
    <t>2449 - SASQUAD COMICS</t>
  </si>
  <si>
    <t>2461 - LATIN-AMER STDNT ORG</t>
  </si>
  <si>
    <t>2462 - INTRNTL STUDENT ORG</t>
  </si>
  <si>
    <t>2463 - ASIAN PACIFIC ISLNDR</t>
  </si>
  <si>
    <t>2464 - SCC SWIM CLUB</t>
  </si>
  <si>
    <t>2465 - NATIV AMER STDNT ORG</t>
  </si>
  <si>
    <t>2466 - PARANORMAL CLUB</t>
  </si>
  <si>
    <t>2467 - EXTREME BOCCE CLUB</t>
  </si>
  <si>
    <t>2469 - MATH CLUB</t>
  </si>
  <si>
    <t>2473 - S.A.N.E.</t>
  </si>
  <si>
    <t>2490 - ASA WORK PROGRAMS</t>
  </si>
  <si>
    <t>Grand Total</t>
  </si>
  <si>
    <t>Revenue</t>
  </si>
  <si>
    <t>SPEC.BLDG FUND-SCC</t>
  </si>
  <si>
    <t>KC</t>
  </si>
  <si>
    <t>8I</t>
  </si>
  <si>
    <t>6V</t>
  </si>
  <si>
    <t>8B</t>
  </si>
  <si>
    <t>AH</t>
  </si>
  <si>
    <t>AS</t>
  </si>
  <si>
    <t>FEE &amp; INT.REV.IRA</t>
  </si>
  <si>
    <t>8T</t>
  </si>
  <si>
    <t>6Z</t>
  </si>
  <si>
    <t>9H</t>
  </si>
  <si>
    <t>6K</t>
  </si>
  <si>
    <t>KE</t>
  </si>
  <si>
    <t>2418</t>
  </si>
  <si>
    <t>MIXED MARTIAL ARTS</t>
  </si>
  <si>
    <t>6R</t>
  </si>
  <si>
    <t>6H</t>
  </si>
  <si>
    <t>2424</t>
  </si>
  <si>
    <t>STUDENT HEALTH CENTR</t>
  </si>
  <si>
    <t>8O</t>
  </si>
  <si>
    <t>0420</t>
  </si>
  <si>
    <t>2429</t>
  </si>
  <si>
    <t>SHOC</t>
  </si>
  <si>
    <t>CJ</t>
  </si>
  <si>
    <t>6F</t>
  </si>
  <si>
    <t>8D</t>
  </si>
  <si>
    <t>8P</t>
  </si>
  <si>
    <t>2444</t>
  </si>
  <si>
    <t>PRE-ENGLISH MAJOR CL</t>
  </si>
  <si>
    <t>2448</t>
  </si>
  <si>
    <t>GEOLOGY LECTURE SER</t>
  </si>
  <si>
    <t>TE</t>
  </si>
  <si>
    <t>FEE &amp; INT.REV.ASA</t>
  </si>
  <si>
    <t>Budget</t>
  </si>
  <si>
    <t>Exp/Rev</t>
  </si>
  <si>
    <t>Encumbered</t>
  </si>
  <si>
    <t>Balance</t>
  </si>
  <si>
    <t>Current</t>
  </si>
  <si>
    <t>2221 - SPEC.BLDG FUND-SCC</t>
  </si>
  <si>
    <t>2313 - HLTH INFO MANAGEMNT</t>
  </si>
  <si>
    <t>2324 - WRITERS ON THE STORM</t>
  </si>
  <si>
    <t>2385 - SODEXO - SCC CLUBS</t>
  </si>
  <si>
    <t>2399 - FEE &amp; INT.REV.IRA</t>
  </si>
  <si>
    <t>2418 - MIXED MARTIAL ARTS</t>
  </si>
  <si>
    <t>2424 - STUDENT HEALTH CENTR</t>
  </si>
  <si>
    <t>2429 - SHOC</t>
  </si>
  <si>
    <t>2444 - PRE-ENGLISH MAJOR CL</t>
  </si>
  <si>
    <t>2445 - DANCE CLUB</t>
  </si>
  <si>
    <t>2448 - GEOLOGY LECTURE SER</t>
  </si>
  <si>
    <t>2460 - LATTER DAY SAINTS SA</t>
  </si>
  <si>
    <t>2468 - RESEARCH CLUB</t>
  </si>
  <si>
    <t>2499 - FEE &amp; INT.REV.ASA</t>
  </si>
  <si>
    <t>Account Title</t>
  </si>
  <si>
    <t>Org Title</t>
  </si>
  <si>
    <t>Line</t>
  </si>
  <si>
    <t xml:space="preserve"> Budget</t>
  </si>
  <si>
    <t>2221 - SPEC.BLDG FUND-SCC Total</t>
  </si>
  <si>
    <t>2222 - SBF-SCC-LAIR FURNISH Total</t>
  </si>
  <si>
    <t>2309 - IRP CLUB ADVISORS Total</t>
  </si>
  <si>
    <t>2310 - IRP-GENERAL FUND Total</t>
  </si>
  <si>
    <t>2311 - PRES SPEAKER SERIES Total</t>
  </si>
  <si>
    <t>2312 - ADA ACCESSIBILITY Total</t>
  </si>
  <si>
    <t>2313 - HLTH INFO MANAGEMNT Total</t>
  </si>
  <si>
    <t>2314 - AMER DESGN DRFTG S A Total</t>
  </si>
  <si>
    <t>2319 - SKILLS USA (VICA) Total</t>
  </si>
  <si>
    <t>2324 - WRITERS ON THE STORM Total</t>
  </si>
  <si>
    <t>2330 - MATH CLUB Total</t>
  </si>
  <si>
    <t>2343 - SCC AUTOMOTIVE ASSNS Total</t>
  </si>
  <si>
    <t>2345 - CULINARY ARTS CLUB Total</t>
  </si>
  <si>
    <t>2350 - LEGENDS Total</t>
  </si>
  <si>
    <t>2353 - AGRICULTURE Total</t>
  </si>
  <si>
    <t>2354 - CRAFT FAIR Total</t>
  </si>
  <si>
    <t>2355 - HORTICULTURE CLUB Total</t>
  </si>
  <si>
    <t>2357 - PHI THETA KAPPA Total</t>
  </si>
  <si>
    <t>2360 - DELTA EPSILON CHI Total</t>
  </si>
  <si>
    <t>2363 - TIMBER SPORTS Total</t>
  </si>
  <si>
    <t>2370 - RHO BETA PSI Total</t>
  </si>
  <si>
    <t>2382 - ATHLETIC SCHOLARSHIP Total</t>
  </si>
  <si>
    <t>2383 - S&amp;A FINANCIAL AID Total</t>
  </si>
  <si>
    <t>2385 - SODEXO - SCC CLUBS Total</t>
  </si>
  <si>
    <t>2387 - SAFE GRANT Total</t>
  </si>
  <si>
    <t>2399 - FEE &amp; INT.REV.IRA Total</t>
  </si>
  <si>
    <t>2405 - SCC BUS PASS MATCH Total</t>
  </si>
  <si>
    <t>2406 - BUS TICKET CLEARING Total</t>
  </si>
  <si>
    <t>2407 - SCC FOOD BANK Total</t>
  </si>
  <si>
    <t>2408 - SCC TREE OF SHARING Total</t>
  </si>
  <si>
    <t>2409 - ASA CLUB ADVISORS Total</t>
  </si>
  <si>
    <t>2410 - ASA GENERAL FUND Total</t>
  </si>
  <si>
    <t>2411 - PRES SPEAKER SERIES Total</t>
  </si>
  <si>
    <t>2412 - ADA ACCESSIBILITY Total</t>
  </si>
  <si>
    <t>2413 - ASC-LEGISLATIVE Total</t>
  </si>
  <si>
    <t>2414 - NATL SOC LDRSHP SUCC Total</t>
  </si>
  <si>
    <t>2415 - ENTERTAINMENT BOARD Total</t>
  </si>
  <si>
    <t>2416 - ARAB CULTURE Total</t>
  </si>
  <si>
    <t>2417 - STUDENT PARNTS TGTHR Total</t>
  </si>
  <si>
    <t>2418 - MIXED MARTIAL ARTS Total</t>
  </si>
  <si>
    <t>2419 - STDNT AMBASSADOR PRG Total</t>
  </si>
  <si>
    <t>2420 - NURSING CLUB Total</t>
  </si>
  <si>
    <t>2421 - SPEAK OUT Total</t>
  </si>
  <si>
    <t>2423 - SHUT UP AND SIGN Total</t>
  </si>
  <si>
    <t>2424 - STUDENT HEALTH CENTR Total</t>
  </si>
  <si>
    <t>2425 - OUTDOOR CLUB Total</t>
  </si>
  <si>
    <t>2426 - FRISBEE GOLF Total</t>
  </si>
  <si>
    <t>2427 - C.P.R. CLUB Total</t>
  </si>
  <si>
    <t>2428 - ASSC STUDENT GOVRNMT Total</t>
  </si>
  <si>
    <t>2429 - SHOC Total</t>
  </si>
  <si>
    <t>2430 - EXPLORERS Total</t>
  </si>
  <si>
    <t>2431 - STDT AWARENESS LEAG. Total</t>
  </si>
  <si>
    <t>2432 - SAVIOR'S GRACE Total</t>
  </si>
  <si>
    <t>2433 - SCC COMPUTER CLUB Total</t>
  </si>
  <si>
    <t>2434 - DISABILITY AWARENESS Total</t>
  </si>
  <si>
    <t>2435 - BLACK STUDENT UNION Total</t>
  </si>
  <si>
    <t>2436 - VETERANS Total</t>
  </si>
  <si>
    <t>2437 - G.L.O.B.A.L. Total</t>
  </si>
  <si>
    <t>2438 - MULTICULTURL LDRSHIP Total</t>
  </si>
  <si>
    <t>2439 - X-RAY VISION Total</t>
  </si>
  <si>
    <t>2440 - GAMING CLUB Total</t>
  </si>
  <si>
    <t>2441 - SCC PLAYERS Total</t>
  </si>
  <si>
    <t>2442 - WATER RESOURCES CLUB Total</t>
  </si>
  <si>
    <t>2443 - NATURAL RESRCS ASSN Total</t>
  </si>
  <si>
    <t>2444 - PRE-ENGLISH MAJOR CL Total</t>
  </si>
  <si>
    <t>2445 - DANCE CLUB Total</t>
  </si>
  <si>
    <t>2446 - NATL ASSC LEGAL SECR Total</t>
  </si>
  <si>
    <t>2447 - AMER INST ARCH STDTS Total</t>
  </si>
  <si>
    <t>2448 - GEOLOGY LECTURE SER Total</t>
  </si>
  <si>
    <t>2449 - SASQUAD COMICS Total</t>
  </si>
  <si>
    <t>2460 - LATTER DAY SAINTS SA Total</t>
  </si>
  <si>
    <t>2461 - LATIN-AMER STDNT ORG Total</t>
  </si>
  <si>
    <t>2462 - INTRNTL STUDENT ORG Total</t>
  </si>
  <si>
    <t>2463 - ASIAN PACIFIC ISLNDR Total</t>
  </si>
  <si>
    <t>2464 - SCC SWIM CLUB Total</t>
  </si>
  <si>
    <t>2465 - NATIV AMER STDNT ORG Total</t>
  </si>
  <si>
    <t>2466 - PARANORMAL CLUB Total</t>
  </si>
  <si>
    <t>2467 - EXTREME BOCCE CLUB Total</t>
  </si>
  <si>
    <t>2468 - RESEARCH CLUB Total</t>
  </si>
  <si>
    <t>2469 - MATH CLUB Total</t>
  </si>
  <si>
    <t>2473 - S.A.N.E. Total</t>
  </si>
  <si>
    <t>2490 - ASA WORK PROGRAMS Total</t>
  </si>
  <si>
    <t>2499 - FEE &amp; INT.REV.ASA Total</t>
  </si>
  <si>
    <t>(Rev)/Exp</t>
  </si>
  <si>
    <t xml:space="preserve"> Encumbered</t>
  </si>
  <si>
    <t xml:space="preserve"> Balance</t>
  </si>
  <si>
    <t>SCC Student Funded Programs</t>
  </si>
  <si>
    <t>for the period ending June 30,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</si>
</sst>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"/>
    <numFmt numFmtId="165" formatCode="_(* #,##0_);_(* \(#,##0\);_(* &quot;-&quot;??_);_(@_)"/>
  </numFmts>
  <fonts count="3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sz val="11"/>
      <name val="Arial"/>
      <family val="2"/>
    </font>
    <font>
      <sz val="12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sz val="10"/>
      <name val="Times New Roman"/>
      <family val="1"/>
    </font>
    <font>
      <sz val="9"/>
      <name val="Arial"/>
      <family val="2"/>
    </font>
    <font>
      <sz val="10"/>
      <color theme="1"/>
      <name val="Calibri"/>
      <family val="2"/>
      <scheme val="minor"/>
    </font>
    <font>
      <sz val="10"/>
      <color indexed="16"/>
      <name val="Arial"/>
      <family val="2"/>
    </font>
    <font>
      <sz val="11"/>
      <color indexed="8"/>
      <name val="Calibri"/>
      <family val="2"/>
    </font>
    <font>
      <b/>
      <sz val="10"/>
      <color indexed="32"/>
      <name val="Arial"/>
      <family val="2"/>
    </font>
    <font>
      <sz val="11"/>
      <name val="CG Times"/>
      <family val="1"/>
    </font>
    <font>
      <u/>
      <sz val="10"/>
      <color indexed="12"/>
      <name val="Arial"/>
      <family val="2"/>
    </font>
    <font>
      <u/>
      <sz val="10"/>
      <color indexed="12"/>
      <name val="Courier"/>
      <family val="3"/>
    </font>
    <font>
      <sz val="10"/>
      <color theme="1"/>
      <name val="Arial"/>
      <family val="2"/>
    </font>
    <font>
      <sz val="11"/>
      <color rgb="FF000000"/>
      <name val="Calibri"/>
      <family val="2"/>
      <scheme val="minor"/>
    </font>
    <font>
      <sz val="11"/>
      <color theme="1"/>
      <name val="Times New Roman"/>
      <family val="1"/>
    </font>
    <font>
      <sz val="10"/>
      <name val="MS Sans Serif"/>
      <family val="2"/>
    </font>
    <font>
      <sz val="11"/>
      <color rgb="FF00B0F0"/>
      <name val="Calibri"/>
      <family val="2"/>
      <scheme val="minor"/>
    </font>
    <font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64"/>
      </patternFill>
    </fill>
    <fill>
      <patternFill patternType="solid">
        <fgColor indexed="3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120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1" fontId="22" fillId="0" borderId="0"/>
    <xf numFmtId="43" fontId="22" fillId="0" borderId="0" applyFont="0" applyFill="0" applyBorder="0" applyAlignment="0" applyProtection="0"/>
    <xf numFmtId="39" fontId="21" fillId="0" borderId="0"/>
    <xf numFmtId="43" fontId="1" fillId="0" borderId="0" applyFont="0" applyFill="0" applyBorder="0" applyAlignment="0" applyProtection="0"/>
    <xf numFmtId="41" fontId="22" fillId="0" borderId="0"/>
    <xf numFmtId="43" fontId="22" fillId="0" borderId="0" applyFont="0" applyFill="0" applyBorder="0" applyAlignment="0" applyProtection="0"/>
    <xf numFmtId="43" fontId="23" fillId="0" borderId="0" applyFont="0" applyFill="0" applyBorder="0" applyAlignment="0" applyProtection="0"/>
    <xf numFmtId="38" fontId="20" fillId="0" borderId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8" fillId="24" borderId="0" applyNumberFormat="0" applyBorder="0" applyAlignment="0" applyProtection="0"/>
    <xf numFmtId="39" fontId="19" fillId="0" borderId="0" applyNumberFormat="0" applyAlignment="0"/>
    <xf numFmtId="43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6" fillId="33" borderId="0" applyNumberFormat="0" applyFill="0" applyBorder="0" applyAlignment="0">
      <alignment horizontal="left"/>
    </xf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7" fillId="0" borderId="0" applyFont="0" applyFill="0" applyBorder="0" applyAlignment="0" applyProtection="0"/>
    <xf numFmtId="43" fontId="24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38" fontId="28" fillId="34" borderId="0" applyBorder="0"/>
    <xf numFmtId="38" fontId="29" fillId="0" borderId="10" applyNumberFormat="0" applyFill="0" applyBorder="0" applyAlignment="0" applyProtection="0"/>
    <xf numFmtId="0" fontId="30" fillId="0" borderId="0" applyNumberFormat="0" applyFill="0" applyBorder="0" applyAlignment="0" applyProtection="0">
      <alignment vertical="top"/>
      <protection locked="0"/>
    </xf>
    <xf numFmtId="0" fontId="31" fillId="0" borderId="0" applyNumberFormat="0" applyFill="0" applyBorder="0" applyAlignment="0" applyProtection="0">
      <alignment vertical="top"/>
      <protection locked="0"/>
    </xf>
    <xf numFmtId="0" fontId="22" fillId="0" borderId="0"/>
    <xf numFmtId="0" fontId="1" fillId="0" borderId="0"/>
    <xf numFmtId="37" fontId="22" fillId="0" borderId="0"/>
    <xf numFmtId="0" fontId="22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3" fillId="0" borderId="0"/>
    <xf numFmtId="0" fontId="24" fillId="0" borderId="0"/>
    <xf numFmtId="0" fontId="22" fillId="0" borderId="0"/>
    <xf numFmtId="0" fontId="25" fillId="0" borderId="0"/>
    <xf numFmtId="164" fontId="34" fillId="0" borderId="0"/>
    <xf numFmtId="165" fontId="34" fillId="0" borderId="0"/>
    <xf numFmtId="0" fontId="1" fillId="0" borderId="0"/>
    <xf numFmtId="0" fontId="22" fillId="0" borderId="0"/>
    <xf numFmtId="9" fontId="22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0" xfId="0"/>
    <xf numFmtId="1" fontId="0" fillId="0" borderId="0" xfId="0" applyNumberFormat="1"/>
    <xf numFmtId="2" fontId="0" fillId="0" borderId="0" xfId="0" applyNumberFormat="1"/>
    <xf numFmtId="1" fontId="36" fillId="0" borderId="0" xfId="0" applyNumberFormat="1" applyFont="1"/>
    <xf numFmtId="0" fontId="36" fillId="0" borderId="0" xfId="0" applyFont="1"/>
    <xf numFmtId="0" fontId="0" fillId="0" borderId="10" xfId="0" applyBorder="1"/>
    <xf numFmtId="0" fontId="0" fillId="0" borderId="0" xfId="0" quotePrefix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43" fontId="0" fillId="0" borderId="0" xfId="0" applyNumberFormat="1"/>
    <xf numFmtId="0" fontId="0" fillId="0" borderId="0" xfId="0" pivotButton="1" applyAlignment="1">
      <alignment horizontal="center"/>
    </xf>
    <xf numFmtId="0" fontId="0" fillId="0" borderId="0" xfId="0" applyAlignment="1">
      <alignment horizontal="center"/>
    </xf>
    <xf numFmtId="41" fontId="0" fillId="0" borderId="0" xfId="0" applyNumberFormat="1"/>
    <xf numFmtId="0" fontId="37" fillId="0" borderId="0" xfId="0" applyFont="1" applyAlignment="1">
      <alignment horizontal="center"/>
    </xf>
    <xf numFmtId="0" fontId="38" fillId="0" borderId="0" xfId="0" applyFont="1" applyAlignment="1">
      <alignment horizontal="center"/>
    </xf>
  </cellXfs>
  <cellStyles count="120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4 2" xfId="53"/>
    <cellStyle name="60% - Accent5" xfId="37" builtinId="48" customBuiltin="1"/>
    <cellStyle name="60% - Accent6" xfId="41" builtinId="52" customBuiltin="1"/>
    <cellStyle name="a-19" xfId="54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ttachment" xfId="49"/>
    <cellStyle name="Bad" xfId="7" builtinId="27" customBuiltin="1"/>
    <cellStyle name="Bill's" xfId="44"/>
    <cellStyle name="Budget" xfId="46"/>
    <cellStyle name="Budget 2" xfId="42"/>
    <cellStyle name="Calculation" xfId="11" builtinId="22" customBuiltin="1"/>
    <cellStyle name="Check Cell" xfId="13" builtinId="23" customBuiltin="1"/>
    <cellStyle name="Comma 2" xfId="55"/>
    <cellStyle name="Comma 2 2" xfId="50"/>
    <cellStyle name="Comma 2 2 2" xfId="43"/>
    <cellStyle name="Comma 2 2 3" xfId="48"/>
    <cellStyle name="Comma 2 3" xfId="51"/>
    <cellStyle name="Comma 3" xfId="47"/>
    <cellStyle name="Comma 3 2" xfId="45"/>
    <cellStyle name="Comma 3 2 2" xfId="52"/>
    <cellStyle name="Comma 3 2 3" xfId="69"/>
    <cellStyle name="Comma 3 2 4" xfId="62"/>
    <cellStyle name="Comma 3 2 5" xfId="78"/>
    <cellStyle name="Comma 3 2 5 2" xfId="71"/>
    <cellStyle name="Comma 3 2 6" xfId="60"/>
    <cellStyle name="Comma 3 3" xfId="76"/>
    <cellStyle name="Comma 4" xfId="57"/>
    <cellStyle name="Comma 5" xfId="73"/>
    <cellStyle name="Comma 5 2" xfId="66"/>
    <cellStyle name="Comma 6" xfId="59"/>
    <cellStyle name="Comma 7" xfId="75"/>
    <cellStyle name="Comma 7 2" xfId="64"/>
    <cellStyle name="copyvalue" xfId="61"/>
    <cellStyle name="Currency [0] 2" xfId="77"/>
    <cellStyle name="Currency [0] 2 2" xfId="70"/>
    <cellStyle name="Currency [0] 3" xfId="63"/>
    <cellStyle name="Currency [0] 3 2" xfId="79"/>
    <cellStyle name="Currency 2" xfId="68"/>
    <cellStyle name="Currency 2 2" xfId="65"/>
    <cellStyle name="Currency 2 3" xfId="58"/>
    <cellStyle name="Currency 2 4" xfId="74"/>
    <cellStyle name="Currency 3" xfId="67"/>
    <cellStyle name="Currency 4" xfId="56"/>
    <cellStyle name="Currency 5" xfId="72"/>
    <cellStyle name="Entry" xfId="80"/>
    <cellStyle name="Explanatory Text" xfId="16" builtinId="53" customBuiltin="1"/>
    <cellStyle name="Good" xfId="6" builtinId="26" customBuiltin="1"/>
    <cellStyle name="heading" xfId="8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 2" xfId="82"/>
    <cellStyle name="Hyperlink_CONTING" xfId="83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11 2" xfId="84"/>
    <cellStyle name="Normal 2" xfId="85"/>
    <cellStyle name="Normal 2 2" xfId="86"/>
    <cellStyle name="Normal 2 2 2" xfId="87"/>
    <cellStyle name="Normal 2 2 3" xfId="88"/>
    <cellStyle name="Normal 3" xfId="89"/>
    <cellStyle name="Normal 3 2" xfId="90"/>
    <cellStyle name="Normal 4" xfId="91"/>
    <cellStyle name="Normal 4 2" xfId="92"/>
    <cellStyle name="Normal 4 3" xfId="93"/>
    <cellStyle name="Normal 4 3 2" xfId="94"/>
    <cellStyle name="Normal 4 3 2 2" xfId="95"/>
    <cellStyle name="Normal 4 3 2 3" xfId="96"/>
    <cellStyle name="Normal 4 3 2 3 2" xfId="97"/>
    <cellStyle name="Normal 4 3 2 4" xfId="98"/>
    <cellStyle name="Normal 4 3 3" xfId="99"/>
    <cellStyle name="Normal 4 3 4" xfId="100"/>
    <cellStyle name="Normal 4 4" xfId="101"/>
    <cellStyle name="Normal 5" xfId="102"/>
    <cellStyle name="Normal 5 2" xfId="103"/>
    <cellStyle name="Normal 6" xfId="104"/>
    <cellStyle name="Normal 6 2" xfId="105"/>
    <cellStyle name="Normal 7" xfId="106"/>
    <cellStyle name="Normal 7 2" xfId="107"/>
    <cellStyle name="Note" xfId="15" builtinId="10" customBuiltin="1"/>
    <cellStyle name="Output" xfId="10" builtinId="21" customBuiltin="1"/>
    <cellStyle name="Percent 2" xfId="108"/>
    <cellStyle name="Percent 2 2" xfId="109"/>
    <cellStyle name="Percent 2 3" xfId="110"/>
    <cellStyle name="Percent 2 3 2" xfId="111"/>
    <cellStyle name="Percent 2 3 3" xfId="112"/>
    <cellStyle name="Percent 3" xfId="113"/>
    <cellStyle name="Percent 3 2" xfId="114"/>
    <cellStyle name="Percent 4" xfId="115"/>
    <cellStyle name="Percent 5" xfId="116"/>
    <cellStyle name="Percent 6" xfId="117"/>
    <cellStyle name="Percent 6 2" xfId="118"/>
    <cellStyle name="Percent 7" xfId="119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alignment horizontal="center" readingOrder="0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alignment horizontal="center" readingOrder="0"/>
    </dxf>
    <dxf>
      <alignment horizontal="center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Eaker" refreshedDate="41520.443252546298" createdVersion="4" refreshedVersion="4" minRefreshableVersion="3" recordCount="839">
  <cacheSource type="worksheet">
    <worksheetSource ref="A1:P840" sheet="BSPRGORG-T"/>
  </cacheSource>
  <cacheFields count="16">
    <cacheField name="FYR" numFmtId="1">
      <sharedItems/>
    </cacheField>
    <cacheField name="Appr" numFmtId="1">
      <sharedItems/>
    </cacheField>
    <cacheField name="Prg" numFmtId="1">
      <sharedItems/>
    </cacheField>
    <cacheField name="Org" numFmtId="1">
      <sharedItems/>
    </cacheField>
    <cacheField name="Title" numFmtId="1">
      <sharedItems count="83">
        <s v="2221 - SPEC.BLDG FUND-SCC"/>
        <s v="2222 - SBF-SCC-LAIR FURNISH"/>
        <s v="2309 - IRP CLUB ADVISORS"/>
        <s v="2310 - IRP-GENERAL FUND"/>
        <s v="2311 - PRES SPEAKER SERIES"/>
        <s v="2312 - ADA ACCESSIBILITY"/>
        <s v="2313 - HLTH INFO MANAGEMNT"/>
        <s v="2314 - AMER DESGN DRFTG S A"/>
        <s v="2319 - SKILLS USA (VICA)"/>
        <s v="2324 - WRITERS ON THE STORM"/>
        <s v="2330 - MATH CLUB"/>
        <s v="2343 - SCC AUTOMOTIVE ASSNS"/>
        <s v="2345 - CULINARY ARTS CLUB"/>
        <s v="2350 - LEGENDS"/>
        <s v="2353 - AGRICULTURE"/>
        <s v="2354 - CRAFT FAIR"/>
        <s v="2355 - HORTICULTURE CLUB"/>
        <s v="2357 - PHI THETA KAPPA"/>
        <s v="2360 - DELTA EPSILON CHI"/>
        <s v="2363 - TIMBER SPORTS"/>
        <s v="2370 - RHO BETA PSI"/>
        <s v="2382 - ATHLETIC SCHOLARSHIP"/>
        <s v="2383 - S&amp;A FINANCIAL AID"/>
        <s v="2385 - SODEXO - SCC CLUBS"/>
        <s v="2387 - SAFE GRANT"/>
        <s v="2399 - FEE &amp; INT.REV.IRA"/>
        <s v="2405 - SCC BUS PASS MATCH"/>
        <s v="2406 - BUS TICKET CLEARING"/>
        <s v="2407 - SCC FOOD BANK"/>
        <s v="2408 - SCC TREE OF SHARING"/>
        <s v="2409 - ASA CLUB ADVISORS"/>
        <s v="2410 - ASA GENERAL FUND"/>
        <s v="2411 - PRES SPEAKER SERIES"/>
        <s v="2412 - ADA ACCESSIBILITY"/>
        <s v="2413 - ASC-LEGISLATIVE"/>
        <s v="2414 - NATL SOC LDRSHP SUCC"/>
        <s v="2415 - ENTERTAINMENT BOARD"/>
        <s v="2416 - ARAB CULTURE"/>
        <s v="2417 - STUDENT PARNTS TGTHR"/>
        <s v="2418 - MIXED MARTIAL ARTS"/>
        <s v="2419 - STDNT AMBASSADOR PRG"/>
        <s v="2420 - NURSING CLUB"/>
        <s v="2421 - SPEAK OUT"/>
        <s v="2423 - SHUT UP AND SIGN"/>
        <s v="2424 - STUDENT HEALTH CENTR"/>
        <s v="2425 - OUTDOOR CLUB"/>
        <s v="2426 - FRISBEE GOLF"/>
        <s v="2427 - C.P.R. CLUB"/>
        <s v="2428 - ASSC STUDENT GOVRNMT"/>
        <s v="2429 - SHOC"/>
        <s v="2430 - EXPLORERS"/>
        <s v="2431 - STDT AWARENESS LEAG."/>
        <s v="2432 - SAVIOR'S GRACE"/>
        <s v="2433 - SCC COMPUTER CLUB"/>
        <s v="2434 - DISABILITY AWARENESS"/>
        <s v="2435 - BLACK STUDENT UNION"/>
        <s v="2436 - VETERANS"/>
        <s v="2437 - G.L.O.B.A.L."/>
        <s v="2438 - MULTICULTURL LDRSHIP"/>
        <s v="2439 - X-RAY VISION"/>
        <s v="2440 - GAMING CLUB"/>
        <s v="2441 - SCC PLAYERS"/>
        <s v="2442 - WATER RESOURCES CLUB"/>
        <s v="2443 - NATURAL RESRCS ASSN"/>
        <s v="2444 - PRE-ENGLISH MAJOR CL"/>
        <s v="2445 - DANCE CLUB"/>
        <s v="2446 - NATL ASSC LEGAL SECR"/>
        <s v="2447 - AMER INST ARCH STDTS"/>
        <s v="2448 - GEOLOGY LECTURE SER"/>
        <s v="2449 - SASQUAD COMICS"/>
        <s v="2460 - LATTER DAY SAINTS SA"/>
        <s v="2461 - LATIN-AMER STDNT ORG"/>
        <s v="2462 - INTRNTL STUDENT ORG"/>
        <s v="2463 - ASIAN PACIFIC ISLNDR"/>
        <s v="2464 - SCC SWIM CLUB"/>
        <s v="2465 - NATIV AMER STDNT ORG"/>
        <s v="2466 - PARANORMAL CLUB"/>
        <s v="2467 - EXTREME BOCCE CLUB"/>
        <s v="2468 - RESEARCH CLUB"/>
        <s v="2469 - MATH CLUB"/>
        <s v="2473 - S.A.N.E."/>
        <s v="2490 - ASA WORK PROGRAMS"/>
        <s v="2499 - FEE &amp; INT.REV.ASA"/>
      </sharedItems>
    </cacheField>
    <cacheField name="Sobj" numFmtId="1">
      <sharedItems containsBlank="1"/>
    </cacheField>
    <cacheField name="SSObj" numFmtId="1">
      <sharedItems containsBlank="1"/>
    </cacheField>
    <cacheField name="Src" numFmtId="1">
      <sharedItems containsBlank="1"/>
    </cacheField>
    <cacheField name="SSrc" numFmtId="1">
      <sharedItems containsBlank="1"/>
    </cacheField>
    <cacheField name="Category" numFmtId="0">
      <sharedItems count="14">
        <s v="Revenue"/>
        <s v="Rev-Fund Transfers - In"/>
        <s v="Rev-Fund Transfers - Out"/>
        <s v="Carryforward"/>
        <s v="Exp-Goods &amp; Services"/>
        <s v="Exp-Travel"/>
        <s v="Exp-Equipment"/>
        <s v="Exp-Computer Equipment"/>
        <s v="Exp-Salaries &amp; Wages"/>
        <s v="Exp-Benefits"/>
        <s v="Rev-Intra-Fund Transfer"/>
        <s v="Exp-Grants/Scholarships"/>
        <s v="Exp-Personal Service Contracts"/>
        <s v="Exp-Transfer"/>
      </sharedItems>
    </cacheField>
    <cacheField name="Budget" numFmtId="1">
      <sharedItems containsSemiMixedTypes="0" containsString="0" containsNumber="1" containsInteger="1" minValue="0" maxValue="130916"/>
    </cacheField>
    <cacheField name="Exp/Rev" numFmtId="2">
      <sharedItems containsSemiMixedTypes="0" containsString="0" containsNumber="1" minValue="-1125529.81" maxValue="416516.9"/>
    </cacheField>
    <cacheField name="Encumbered" numFmtId="2">
      <sharedItems containsSemiMixedTypes="0" containsString="0" containsNumber="1" containsInteger="1" minValue="0" maxValue="0"/>
    </cacheField>
    <cacheField name="Balance" numFmtId="2">
      <sharedItems containsSemiMixedTypes="0" containsString="0" containsNumber="1" minValue="-416516.9" maxValue="1125529.81"/>
    </cacheField>
    <cacheField name="Current" numFmtId="2">
      <sharedItems containsSemiMixedTypes="0" containsString="0" containsNumber="1" minValue="-162237" maxValue="162237"/>
    </cacheField>
    <cacheField name="Org Title" numFmtId="1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39">
  <r>
    <s v="1213"/>
    <s v="522"/>
    <s v="264"/>
    <s v="2221"/>
    <x v="0"/>
    <m/>
    <m/>
    <s v="0401"/>
    <m/>
    <x v="0"/>
    <n v="0"/>
    <n v="-5473.54"/>
    <n v="0"/>
    <n v="5473.54"/>
    <n v="-1964.34"/>
    <s v="SPEC.BLDG FUND-SCC"/>
  </r>
  <r>
    <s v="1213"/>
    <s v="522"/>
    <s v="264"/>
    <s v="2221"/>
    <x v="0"/>
    <m/>
    <m/>
    <s v="0424"/>
    <s v="#A"/>
    <x v="0"/>
    <n v="0"/>
    <n v="-566.75"/>
    <n v="0"/>
    <n v="566.75"/>
    <n v="0"/>
    <s v="SPEC.BLDG FUND-SCC"/>
  </r>
  <r>
    <s v="1213"/>
    <s v="522"/>
    <s v="264"/>
    <s v="2221"/>
    <x v="0"/>
    <m/>
    <m/>
    <s v="0424"/>
    <s v="#B"/>
    <x v="0"/>
    <n v="0"/>
    <n v="-71.91"/>
    <n v="0"/>
    <n v="71.91"/>
    <n v="0"/>
    <s v="SPEC.BLDG FUND-SCC"/>
  </r>
  <r>
    <s v="1213"/>
    <s v="522"/>
    <s v="264"/>
    <s v="2221"/>
    <x v="0"/>
    <m/>
    <m/>
    <s v="0424"/>
    <s v="#G"/>
    <x v="0"/>
    <n v="0"/>
    <n v="-1052.07"/>
    <n v="0"/>
    <n v="1052.07"/>
    <n v="0"/>
    <s v="SPEC.BLDG FUND-SCC"/>
  </r>
  <r>
    <s v="1213"/>
    <s v="522"/>
    <s v="264"/>
    <s v="2221"/>
    <x v="0"/>
    <m/>
    <m/>
    <s v="0424"/>
    <s v="#P"/>
    <x v="0"/>
    <n v="0"/>
    <n v="-437.51"/>
    <n v="0"/>
    <n v="437.51"/>
    <n v="0"/>
    <s v="SPEC.BLDG FUND-SCC"/>
  </r>
  <r>
    <s v="1213"/>
    <s v="522"/>
    <s v="264"/>
    <s v="2221"/>
    <x v="0"/>
    <m/>
    <m/>
    <s v="0424"/>
    <s v="+1"/>
    <x v="0"/>
    <n v="0"/>
    <n v="-92.92"/>
    <n v="0"/>
    <n v="92.92"/>
    <n v="0"/>
    <s v="SPEC.BLDG FUND-SCC"/>
  </r>
  <r>
    <s v="1213"/>
    <s v="522"/>
    <s v="264"/>
    <s v="2221"/>
    <x v="0"/>
    <m/>
    <m/>
    <s v="0424"/>
    <s v="+2"/>
    <x v="0"/>
    <n v="0"/>
    <n v="-6.21"/>
    <n v="0"/>
    <n v="6.21"/>
    <n v="0"/>
    <s v="SPEC.BLDG FUND-SCC"/>
  </r>
  <r>
    <s v="1213"/>
    <s v="522"/>
    <s v="264"/>
    <s v="2221"/>
    <x v="0"/>
    <m/>
    <m/>
    <s v="0424"/>
    <s v="+A"/>
    <x v="0"/>
    <n v="0"/>
    <n v="-19100.759999999998"/>
    <n v="0"/>
    <n v="19100.759999999998"/>
    <n v="0"/>
    <s v="SPEC.BLDG FUND-SCC"/>
  </r>
  <r>
    <s v="1213"/>
    <s v="522"/>
    <s v="264"/>
    <s v="2221"/>
    <x v="0"/>
    <m/>
    <m/>
    <s v="0424"/>
    <s v="+G"/>
    <x v="0"/>
    <n v="0"/>
    <n v="-33899.589999999997"/>
    <n v="0"/>
    <n v="33899.589999999997"/>
    <n v="0"/>
    <s v="SPEC.BLDG FUND-SCC"/>
  </r>
  <r>
    <s v="1213"/>
    <s v="522"/>
    <s v="264"/>
    <s v="2221"/>
    <x v="0"/>
    <m/>
    <m/>
    <s v="0424"/>
    <s v="+H"/>
    <x v="0"/>
    <n v="0"/>
    <n v="-324.27999999999997"/>
    <n v="0"/>
    <n v="324.27999999999997"/>
    <n v="0"/>
    <s v="SPEC.BLDG FUND-SCC"/>
  </r>
  <r>
    <s v="1213"/>
    <s v="522"/>
    <s v="264"/>
    <s v="2221"/>
    <x v="0"/>
    <m/>
    <m/>
    <s v="0424"/>
    <s v="+M"/>
    <x v="0"/>
    <n v="0"/>
    <n v="-3146.61"/>
    <n v="0"/>
    <n v="3146.61"/>
    <n v="0"/>
    <s v="SPEC.BLDG FUND-SCC"/>
  </r>
  <r>
    <s v="1213"/>
    <s v="522"/>
    <s v="264"/>
    <s v="2221"/>
    <x v="0"/>
    <m/>
    <m/>
    <s v="0424"/>
    <s v="TN"/>
    <x v="0"/>
    <n v="0"/>
    <n v="-1736.51"/>
    <n v="0"/>
    <n v="1736.51"/>
    <n v="0"/>
    <s v="SPEC.BLDG FUND-SCC"/>
  </r>
  <r>
    <s v="1213"/>
    <s v="522"/>
    <s v="264"/>
    <s v="2221"/>
    <x v="0"/>
    <m/>
    <m/>
    <s v="0424"/>
    <s v="TR"/>
    <x v="0"/>
    <n v="0"/>
    <n v="-238788.27"/>
    <n v="0"/>
    <n v="238788.27"/>
    <n v="0"/>
    <s v="SPEC.BLDG FUND-SCC"/>
  </r>
  <r>
    <s v="1213"/>
    <s v="522"/>
    <s v="264"/>
    <s v="2221"/>
    <x v="0"/>
    <m/>
    <m/>
    <s v="0621"/>
    <m/>
    <x v="1"/>
    <n v="0"/>
    <n v="0"/>
    <n v="0"/>
    <n v="0"/>
    <n v="0"/>
    <s v="SPEC.BLDG FUND-SCC"/>
  </r>
  <r>
    <s v="1213"/>
    <s v="522"/>
    <s v="264"/>
    <s v="2221"/>
    <x v="0"/>
    <m/>
    <m/>
    <s v="0622"/>
    <m/>
    <x v="2"/>
    <n v="0"/>
    <n v="0"/>
    <n v="0"/>
    <n v="0"/>
    <n v="0"/>
    <s v="SPEC.BLDG FUND-SCC"/>
  </r>
  <r>
    <s v="1213"/>
    <s v="522"/>
    <s v="264"/>
    <s v="2221"/>
    <x v="0"/>
    <m/>
    <m/>
    <s v="0999"/>
    <m/>
    <x v="3"/>
    <n v="0"/>
    <n v="-652524.89"/>
    <n v="0"/>
    <n v="652524.89"/>
    <n v="0"/>
    <s v="SPEC.BLDG FUND-SCC"/>
  </r>
  <r>
    <s v="1213"/>
    <s v="522"/>
    <s v="264"/>
    <s v="2221"/>
    <x v="0"/>
    <s v="E"/>
    <m/>
    <m/>
    <m/>
    <x v="4"/>
    <n v="0"/>
    <n v="0"/>
    <n v="0"/>
    <n v="0"/>
    <n v="0"/>
    <s v="SPEC.BLDG FUND-SCC"/>
  </r>
  <r>
    <s v="1213"/>
    <s v="522"/>
    <s v="264"/>
    <s v="2221"/>
    <x v="0"/>
    <s v="EA"/>
    <s v="00"/>
    <m/>
    <m/>
    <x v="4"/>
    <n v="0"/>
    <n v="2787.91"/>
    <n v="0"/>
    <n v="-2787.91"/>
    <n v="0"/>
    <s v="SPEC.BLDG FUND-SCC"/>
  </r>
  <r>
    <s v="1213"/>
    <s v="522"/>
    <s v="264"/>
    <s v="2221"/>
    <x v="0"/>
    <s v="G"/>
    <m/>
    <m/>
    <m/>
    <x v="5"/>
    <n v="0"/>
    <n v="0"/>
    <n v="0"/>
    <n v="0"/>
    <n v="0"/>
    <s v="SPEC.BLDG FUND-SCC"/>
  </r>
  <r>
    <s v="1213"/>
    <s v="522"/>
    <s v="264"/>
    <s v="2221"/>
    <x v="0"/>
    <s v="J"/>
    <m/>
    <m/>
    <m/>
    <x v="6"/>
    <n v="0"/>
    <n v="0"/>
    <n v="0"/>
    <n v="0"/>
    <n v="0"/>
    <s v="SPEC.BLDG FUND-SCC"/>
  </r>
  <r>
    <s v="1213"/>
    <s v="522"/>
    <s v="264"/>
    <s v="2221"/>
    <x v="0"/>
    <s v="KA"/>
    <m/>
    <m/>
    <m/>
    <x v="7"/>
    <n v="0"/>
    <n v="0"/>
    <n v="0"/>
    <n v="0"/>
    <n v="0"/>
    <s v="SPEC.BLDG FUND-SCC"/>
  </r>
  <r>
    <s v="1213"/>
    <s v="522"/>
    <s v="264"/>
    <s v="2221"/>
    <x v="0"/>
    <s v="KC"/>
    <m/>
    <m/>
    <m/>
    <x v="7"/>
    <n v="0"/>
    <n v="0"/>
    <n v="0"/>
    <n v="0"/>
    <n v="0"/>
    <s v="SPEC.BLDG FUND-SCC"/>
  </r>
  <r>
    <s v="1213"/>
    <s v="522"/>
    <s v="264"/>
    <s v="2222"/>
    <x v="1"/>
    <m/>
    <m/>
    <s v="0999"/>
    <m/>
    <x v="3"/>
    <n v="0"/>
    <n v="-3339.12"/>
    <n v="0"/>
    <n v="3339.12"/>
    <n v="0"/>
    <s v="SBF-SCC-LAIR FURNISH"/>
  </r>
  <r>
    <s v="1213"/>
    <s v="522"/>
    <s v="264"/>
    <s v="2309"/>
    <x v="2"/>
    <s v="AC"/>
    <s v="CA"/>
    <m/>
    <m/>
    <x v="8"/>
    <n v="0"/>
    <n v="963"/>
    <n v="0"/>
    <n v="-963"/>
    <n v="0"/>
    <s v="IRP CLUB ADVISORS"/>
  </r>
  <r>
    <s v="1213"/>
    <s v="522"/>
    <s v="264"/>
    <s v="2309"/>
    <x v="2"/>
    <s v="AE"/>
    <s v="CA"/>
    <m/>
    <m/>
    <x v="8"/>
    <n v="48333"/>
    <n v="45421.5"/>
    <n v="0"/>
    <n v="2911.5"/>
    <n v="0"/>
    <s v="IRP CLUB ADVISORS"/>
  </r>
  <r>
    <s v="1213"/>
    <s v="522"/>
    <s v="264"/>
    <s v="2309"/>
    <x v="2"/>
    <s v="AE"/>
    <s v="CP"/>
    <m/>
    <m/>
    <x v="8"/>
    <n v="0"/>
    <n v="1765.5"/>
    <n v="0"/>
    <n v="-1765.5"/>
    <n v="0"/>
    <s v="IRP CLUB ADVISORS"/>
  </r>
  <r>
    <s v="1213"/>
    <s v="522"/>
    <s v="264"/>
    <s v="2309"/>
    <x v="2"/>
    <s v="AU"/>
    <s v="01"/>
    <m/>
    <m/>
    <x v="8"/>
    <n v="0"/>
    <n v="203.89"/>
    <n v="0"/>
    <n v="-203.89"/>
    <n v="0"/>
    <s v="IRP CLUB ADVISORS"/>
  </r>
  <r>
    <s v="1213"/>
    <s v="522"/>
    <s v="264"/>
    <s v="2309"/>
    <x v="2"/>
    <s v="B"/>
    <m/>
    <m/>
    <m/>
    <x v="9"/>
    <n v="9667"/>
    <n v="0"/>
    <n v="0"/>
    <n v="9667"/>
    <n v="0"/>
    <s v="IRP CLUB ADVISORS"/>
  </r>
  <r>
    <s v="1213"/>
    <s v="522"/>
    <s v="264"/>
    <s v="2309"/>
    <x v="2"/>
    <s v="BA"/>
    <m/>
    <m/>
    <m/>
    <x v="9"/>
    <n v="0"/>
    <n v="3655.48"/>
    <n v="0"/>
    <n v="-3655.48"/>
    <n v="0"/>
    <s v="IRP CLUB ADVISORS"/>
  </r>
  <r>
    <s v="1213"/>
    <s v="522"/>
    <s v="264"/>
    <s v="2309"/>
    <x v="2"/>
    <s v="BB"/>
    <m/>
    <m/>
    <m/>
    <x v="9"/>
    <n v="0"/>
    <n v="4306.8599999999997"/>
    <n v="0"/>
    <n v="-4306.8599999999997"/>
    <n v="0"/>
    <s v="IRP CLUB ADVISORS"/>
  </r>
  <r>
    <s v="1213"/>
    <s v="522"/>
    <s v="264"/>
    <s v="2309"/>
    <x v="2"/>
    <s v="BC"/>
    <m/>
    <m/>
    <m/>
    <x v="9"/>
    <n v="0"/>
    <n v="2.92"/>
    <n v="0"/>
    <n v="-2.92"/>
    <n v="0"/>
    <s v="IRP CLUB ADVISORS"/>
  </r>
  <r>
    <s v="1213"/>
    <s v="522"/>
    <s v="264"/>
    <s v="2309"/>
    <x v="2"/>
    <s v="BD"/>
    <m/>
    <m/>
    <m/>
    <x v="9"/>
    <n v="0"/>
    <n v="37.6"/>
    <n v="0"/>
    <n v="-37.6"/>
    <n v="0"/>
    <s v="IRP CLUB ADVISORS"/>
  </r>
  <r>
    <s v="1213"/>
    <s v="522"/>
    <s v="264"/>
    <s v="2309"/>
    <x v="2"/>
    <s v="BF"/>
    <m/>
    <m/>
    <m/>
    <x v="9"/>
    <n v="0"/>
    <n v="348.15"/>
    <n v="0"/>
    <n v="-348.15"/>
    <n v="0"/>
    <s v="IRP CLUB ADVISORS"/>
  </r>
  <r>
    <s v="1213"/>
    <s v="522"/>
    <s v="264"/>
    <s v="2309"/>
    <x v="2"/>
    <s v="E"/>
    <m/>
    <m/>
    <m/>
    <x v="4"/>
    <n v="0"/>
    <n v="0"/>
    <n v="0"/>
    <n v="0"/>
    <n v="0"/>
    <s v="IRP CLUB ADVISORS"/>
  </r>
  <r>
    <s v="1213"/>
    <s v="522"/>
    <s v="264"/>
    <s v="2309"/>
    <x v="2"/>
    <s v="EN"/>
    <s v="06"/>
    <m/>
    <m/>
    <x v="4"/>
    <n v="0"/>
    <n v="9.67"/>
    <n v="0"/>
    <n v="-9.67"/>
    <n v="0"/>
    <s v="IRP CLUB ADVISORS"/>
  </r>
  <r>
    <s v="1213"/>
    <s v="522"/>
    <s v="264"/>
    <s v="2309"/>
    <x v="2"/>
    <s v="EN"/>
    <s v="07"/>
    <m/>
    <m/>
    <x v="4"/>
    <n v="0"/>
    <n v="0.03"/>
    <n v="0"/>
    <n v="-0.03"/>
    <n v="0"/>
    <s v="IRP CLUB ADVISORS"/>
  </r>
  <r>
    <s v="1213"/>
    <s v="522"/>
    <s v="264"/>
    <s v="2309"/>
    <x v="2"/>
    <s v="EZ"/>
    <s v="30"/>
    <m/>
    <m/>
    <x v="4"/>
    <n v="0"/>
    <n v="874.85"/>
    <n v="0"/>
    <n v="-874.85"/>
    <n v="0"/>
    <s v="IRP CLUB ADVISORS"/>
  </r>
  <r>
    <s v="1213"/>
    <s v="522"/>
    <s v="264"/>
    <s v="2310"/>
    <x v="3"/>
    <m/>
    <m/>
    <s v="0782"/>
    <m/>
    <x v="10"/>
    <n v="0"/>
    <n v="-384041.9"/>
    <n v="0"/>
    <n v="384041.9"/>
    <n v="-162237"/>
    <s v="IRP-GENERAL FUND"/>
  </r>
  <r>
    <s v="1213"/>
    <s v="522"/>
    <s v="264"/>
    <s v="2310"/>
    <x v="3"/>
    <m/>
    <m/>
    <s v="0999"/>
    <m/>
    <x v="3"/>
    <n v="0"/>
    <n v="179090.33"/>
    <n v="0"/>
    <n v="-179090.33"/>
    <n v="0"/>
    <s v="IRP-GENERAL FUND"/>
  </r>
  <r>
    <s v="1213"/>
    <s v="522"/>
    <s v="264"/>
    <s v="2310"/>
    <x v="3"/>
    <s v="E"/>
    <m/>
    <m/>
    <m/>
    <x v="4"/>
    <n v="13893"/>
    <n v="0"/>
    <n v="0"/>
    <n v="13893"/>
    <n v="0"/>
    <s v="IRP-GENERAL FUND"/>
  </r>
  <r>
    <s v="1213"/>
    <s v="522"/>
    <s v="264"/>
    <s v="2310"/>
    <x v="3"/>
    <s v="EA"/>
    <s v="00"/>
    <m/>
    <m/>
    <x v="4"/>
    <n v="0"/>
    <n v="2783.38"/>
    <n v="0"/>
    <n v="-2783.38"/>
    <n v="0"/>
    <s v="IRP-GENERAL FUND"/>
  </r>
  <r>
    <s v="1213"/>
    <s v="522"/>
    <s v="264"/>
    <s v="2310"/>
    <x v="3"/>
    <s v="EZ"/>
    <s v="30"/>
    <m/>
    <m/>
    <x v="4"/>
    <n v="0"/>
    <n v="3118.22"/>
    <n v="0"/>
    <n v="-3118.22"/>
    <n v="0"/>
    <s v="IRP-GENERAL FUND"/>
  </r>
  <r>
    <s v="1213"/>
    <s v="522"/>
    <s v="264"/>
    <s v="2310"/>
    <x v="3"/>
    <s v="G"/>
    <m/>
    <m/>
    <m/>
    <x v="5"/>
    <n v="0"/>
    <n v="0"/>
    <n v="0"/>
    <n v="0"/>
    <n v="0"/>
    <s v="IRP-GENERAL FUND"/>
  </r>
  <r>
    <s v="1213"/>
    <s v="522"/>
    <s v="264"/>
    <s v="2310"/>
    <x v="3"/>
    <s v="GD"/>
    <s v="30"/>
    <m/>
    <m/>
    <x v="5"/>
    <n v="0"/>
    <n v="138.54"/>
    <n v="0"/>
    <n v="-138.54"/>
    <n v="0"/>
    <s v="IRP-GENERAL FUND"/>
  </r>
  <r>
    <s v="1213"/>
    <s v="522"/>
    <s v="264"/>
    <s v="2310"/>
    <x v="3"/>
    <s v="GD"/>
    <s v="50"/>
    <m/>
    <m/>
    <x v="5"/>
    <n v="0"/>
    <n v="10"/>
    <n v="0"/>
    <n v="-10"/>
    <n v="0"/>
    <s v="IRP-GENERAL FUND"/>
  </r>
  <r>
    <s v="1213"/>
    <s v="522"/>
    <s v="264"/>
    <s v="2311"/>
    <x v="4"/>
    <s v="AU"/>
    <s v="01"/>
    <m/>
    <m/>
    <x v="8"/>
    <n v="0"/>
    <n v="0"/>
    <n v="0"/>
    <n v="0"/>
    <n v="0"/>
    <s v="PRES SPEAKER SERIES"/>
  </r>
  <r>
    <s v="1213"/>
    <s v="522"/>
    <s v="264"/>
    <s v="2311"/>
    <x v="4"/>
    <s v="B"/>
    <m/>
    <m/>
    <m/>
    <x v="9"/>
    <n v="0"/>
    <n v="0"/>
    <n v="0"/>
    <n v="0"/>
    <n v="0"/>
    <s v="PRES SPEAKER SERIES"/>
  </r>
  <r>
    <s v="1213"/>
    <s v="522"/>
    <s v="264"/>
    <s v="2311"/>
    <x v="4"/>
    <s v="BB"/>
    <m/>
    <m/>
    <m/>
    <x v="9"/>
    <n v="0"/>
    <n v="-0.09"/>
    <n v="0"/>
    <n v="0.09"/>
    <n v="0"/>
    <s v="PRES SPEAKER SERIES"/>
  </r>
  <r>
    <s v="1213"/>
    <s v="522"/>
    <s v="264"/>
    <s v="2311"/>
    <x v="4"/>
    <s v="E"/>
    <m/>
    <m/>
    <m/>
    <x v="4"/>
    <n v="0"/>
    <n v="0"/>
    <n v="0"/>
    <n v="0"/>
    <n v="0"/>
    <s v="PRES SPEAKER SERIES"/>
  </r>
  <r>
    <s v="1213"/>
    <s v="522"/>
    <s v="264"/>
    <s v="2312"/>
    <x v="5"/>
    <s v="AD"/>
    <s v="05"/>
    <m/>
    <m/>
    <x v="8"/>
    <n v="909"/>
    <n v="636.23"/>
    <n v="0"/>
    <n v="272.77"/>
    <n v="0"/>
    <s v="ADA ACCESSIBILITY"/>
  </r>
  <r>
    <s v="1213"/>
    <s v="522"/>
    <s v="264"/>
    <s v="2312"/>
    <x v="5"/>
    <s v="B"/>
    <m/>
    <m/>
    <m/>
    <x v="9"/>
    <n v="91"/>
    <n v="0"/>
    <n v="0"/>
    <n v="91"/>
    <n v="0"/>
    <s v="ADA ACCESSIBILITY"/>
  </r>
  <r>
    <s v="1213"/>
    <s v="522"/>
    <s v="264"/>
    <s v="2312"/>
    <x v="5"/>
    <s v="BA"/>
    <m/>
    <m/>
    <m/>
    <x v="9"/>
    <n v="0"/>
    <n v="48.54"/>
    <n v="0"/>
    <n v="-48.54"/>
    <n v="0"/>
    <s v="ADA ACCESSIBILITY"/>
  </r>
  <r>
    <s v="1213"/>
    <s v="522"/>
    <s v="264"/>
    <s v="2312"/>
    <x v="5"/>
    <s v="BB"/>
    <m/>
    <m/>
    <m/>
    <x v="9"/>
    <n v="0"/>
    <n v="9.15"/>
    <n v="0"/>
    <n v="-9.15"/>
    <n v="0"/>
    <s v="ADA ACCESSIBILITY"/>
  </r>
  <r>
    <s v="1213"/>
    <s v="522"/>
    <s v="264"/>
    <s v="2312"/>
    <x v="5"/>
    <s v="BC"/>
    <m/>
    <m/>
    <m/>
    <x v="9"/>
    <n v="0"/>
    <n v="9.3000000000000007"/>
    <n v="0"/>
    <n v="-9.3000000000000007"/>
    <n v="0"/>
    <s v="ADA ACCESSIBILITY"/>
  </r>
  <r>
    <s v="1213"/>
    <s v="522"/>
    <s v="264"/>
    <s v="2312"/>
    <x v="5"/>
    <s v="BF"/>
    <m/>
    <m/>
    <m/>
    <x v="9"/>
    <n v="0"/>
    <n v="4.58"/>
    <n v="0"/>
    <n v="-4.58"/>
    <n v="0"/>
    <s v="ADA ACCESSIBILITY"/>
  </r>
  <r>
    <s v="1213"/>
    <s v="522"/>
    <s v="264"/>
    <s v="2312"/>
    <x v="5"/>
    <s v="E"/>
    <m/>
    <m/>
    <m/>
    <x v="4"/>
    <n v="0"/>
    <n v="0"/>
    <n v="0"/>
    <n v="0"/>
    <n v="0"/>
    <s v="ADA ACCESSIBILITY"/>
  </r>
  <r>
    <s v="1213"/>
    <s v="522"/>
    <s v="264"/>
    <s v="2313"/>
    <x v="6"/>
    <m/>
    <m/>
    <s v="0499"/>
    <s v="8I"/>
    <x v="0"/>
    <n v="0"/>
    <n v="0"/>
    <n v="0"/>
    <n v="0"/>
    <n v="0"/>
    <s v="HLTH INFO MANAGEMNT"/>
  </r>
  <r>
    <s v="1213"/>
    <s v="522"/>
    <s v="264"/>
    <s v="2313"/>
    <x v="6"/>
    <s v="E"/>
    <m/>
    <m/>
    <m/>
    <x v="4"/>
    <n v="2060"/>
    <n v="0"/>
    <n v="0"/>
    <n v="2060"/>
    <n v="0"/>
    <s v="HLTH INFO MANAGEMNT"/>
  </r>
  <r>
    <s v="1213"/>
    <s v="522"/>
    <s v="264"/>
    <s v="2313"/>
    <x v="6"/>
    <s v="G"/>
    <m/>
    <m/>
    <m/>
    <x v="5"/>
    <n v="0"/>
    <n v="0"/>
    <n v="0"/>
    <n v="0"/>
    <n v="0"/>
    <s v="HLTH INFO MANAGEMNT"/>
  </r>
  <r>
    <s v="1213"/>
    <s v="522"/>
    <s v="264"/>
    <s v="2313"/>
    <x v="6"/>
    <s v="NB"/>
    <m/>
    <m/>
    <m/>
    <x v="11"/>
    <n v="0"/>
    <n v="0"/>
    <n v="0"/>
    <n v="0"/>
    <n v="0"/>
    <s v="HLTH INFO MANAGEMNT"/>
  </r>
  <r>
    <s v="1213"/>
    <s v="522"/>
    <s v="264"/>
    <s v="2314"/>
    <x v="7"/>
    <m/>
    <m/>
    <s v="0499"/>
    <s v="8U"/>
    <x v="0"/>
    <n v="0"/>
    <n v="-73.5"/>
    <n v="0"/>
    <n v="73.5"/>
    <n v="0"/>
    <s v="AMER DESGN DRFTG S A"/>
  </r>
  <r>
    <s v="1213"/>
    <s v="522"/>
    <s v="264"/>
    <s v="2314"/>
    <x v="7"/>
    <m/>
    <m/>
    <s v="0622"/>
    <m/>
    <x v="2"/>
    <n v="0"/>
    <n v="100"/>
    <n v="0"/>
    <n v="-100"/>
    <n v="0"/>
    <s v="AMER DESGN DRFTG S A"/>
  </r>
  <r>
    <s v="1213"/>
    <s v="522"/>
    <s v="264"/>
    <s v="2314"/>
    <x v="7"/>
    <s v="E"/>
    <m/>
    <m/>
    <m/>
    <x v="4"/>
    <n v="16295"/>
    <n v="0"/>
    <n v="0"/>
    <n v="16295"/>
    <n v="0"/>
    <s v="AMER DESGN DRFTG S A"/>
  </r>
  <r>
    <s v="1213"/>
    <s v="522"/>
    <s v="264"/>
    <s v="2314"/>
    <x v="7"/>
    <s v="EA"/>
    <s v="00"/>
    <m/>
    <m/>
    <x v="4"/>
    <n v="0"/>
    <n v="457.34"/>
    <n v="0"/>
    <n v="-457.34"/>
    <n v="0"/>
    <s v="AMER DESGN DRFTG S A"/>
  </r>
  <r>
    <s v="1213"/>
    <s v="522"/>
    <s v="264"/>
    <s v="2314"/>
    <x v="7"/>
    <s v="EG"/>
    <s v="80"/>
    <m/>
    <m/>
    <x v="4"/>
    <n v="0"/>
    <n v="25"/>
    <n v="0"/>
    <n v="-25"/>
    <n v="0"/>
    <s v="AMER DESGN DRFTG S A"/>
  </r>
  <r>
    <s v="1213"/>
    <s v="522"/>
    <s v="264"/>
    <s v="2314"/>
    <x v="7"/>
    <s v="EG"/>
    <s v="RG"/>
    <m/>
    <m/>
    <x v="4"/>
    <n v="0"/>
    <n v="3525"/>
    <n v="0"/>
    <n v="-3525"/>
    <n v="0"/>
    <s v="AMER DESGN DRFTG S A"/>
  </r>
  <r>
    <s v="1213"/>
    <s v="522"/>
    <s v="264"/>
    <s v="2314"/>
    <x v="7"/>
    <s v="EY"/>
    <s v="00"/>
    <m/>
    <m/>
    <x v="4"/>
    <n v="0"/>
    <n v="32.6"/>
    <n v="0"/>
    <n v="-32.6"/>
    <n v="0"/>
    <s v="AMER DESGN DRFTG S A"/>
  </r>
  <r>
    <s v="1213"/>
    <s v="522"/>
    <s v="264"/>
    <s v="2314"/>
    <x v="7"/>
    <s v="EZ"/>
    <s v="00"/>
    <m/>
    <m/>
    <x v="4"/>
    <n v="0"/>
    <n v="570"/>
    <n v="0"/>
    <n v="-570"/>
    <n v="0"/>
    <s v="AMER DESGN DRFTG S A"/>
  </r>
  <r>
    <s v="1213"/>
    <s v="522"/>
    <s v="264"/>
    <s v="2314"/>
    <x v="7"/>
    <s v="EZ"/>
    <s v="30"/>
    <m/>
    <m/>
    <x v="4"/>
    <n v="0"/>
    <n v="221.53"/>
    <n v="0"/>
    <n v="-221.53"/>
    <n v="0"/>
    <s v="AMER DESGN DRFTG S A"/>
  </r>
  <r>
    <s v="1213"/>
    <s v="522"/>
    <s v="264"/>
    <s v="2314"/>
    <x v="7"/>
    <s v="G"/>
    <m/>
    <m/>
    <m/>
    <x v="5"/>
    <n v="0"/>
    <n v="0"/>
    <n v="0"/>
    <n v="0"/>
    <n v="0"/>
    <s v="AMER DESGN DRFTG S A"/>
  </r>
  <r>
    <s v="1213"/>
    <s v="522"/>
    <s v="264"/>
    <s v="2314"/>
    <x v="7"/>
    <s v="GD"/>
    <s v="00"/>
    <m/>
    <m/>
    <x v="5"/>
    <n v="0"/>
    <n v="149.11000000000001"/>
    <n v="0"/>
    <n v="-149.11000000000001"/>
    <n v="0"/>
    <s v="AMER DESGN DRFTG S A"/>
  </r>
  <r>
    <s v="1213"/>
    <s v="522"/>
    <s v="264"/>
    <s v="2314"/>
    <x v="7"/>
    <s v="GD"/>
    <s v="60"/>
    <m/>
    <m/>
    <x v="5"/>
    <n v="0"/>
    <n v="39.229999999999997"/>
    <n v="0"/>
    <n v="-39.229999999999997"/>
    <n v="0"/>
    <s v="AMER DESGN DRFTG S A"/>
  </r>
  <r>
    <s v="1213"/>
    <s v="522"/>
    <s v="264"/>
    <s v="2314"/>
    <x v="7"/>
    <s v="GF"/>
    <s v="00"/>
    <m/>
    <m/>
    <x v="5"/>
    <n v="0"/>
    <n v="2603.77"/>
    <n v="0"/>
    <n v="-2603.77"/>
    <n v="0"/>
    <s v="AMER DESGN DRFTG S A"/>
  </r>
  <r>
    <s v="1213"/>
    <s v="522"/>
    <s v="264"/>
    <s v="2314"/>
    <x v="7"/>
    <s v="GG"/>
    <s v="00"/>
    <m/>
    <m/>
    <x v="5"/>
    <n v="0"/>
    <n v="2217.6"/>
    <n v="0"/>
    <n v="-2217.6"/>
    <n v="0"/>
    <s v="AMER DESGN DRFTG S A"/>
  </r>
  <r>
    <s v="1213"/>
    <s v="522"/>
    <s v="264"/>
    <s v="2314"/>
    <x v="7"/>
    <s v="J"/>
    <m/>
    <m/>
    <m/>
    <x v="6"/>
    <n v="0"/>
    <n v="0"/>
    <n v="0"/>
    <n v="0"/>
    <n v="0"/>
    <s v="AMER DESGN DRFTG S A"/>
  </r>
  <r>
    <s v="1213"/>
    <s v="522"/>
    <s v="264"/>
    <s v="2314"/>
    <x v="7"/>
    <s v="JA"/>
    <s v="00"/>
    <m/>
    <m/>
    <x v="6"/>
    <n v="0"/>
    <n v="6325.62"/>
    <n v="0"/>
    <n v="-6325.62"/>
    <n v="0"/>
    <s v="AMER DESGN DRFTG S A"/>
  </r>
  <r>
    <s v="1213"/>
    <s v="522"/>
    <s v="264"/>
    <s v="2319"/>
    <x v="8"/>
    <m/>
    <m/>
    <s v="0499"/>
    <s v="6V"/>
    <x v="0"/>
    <n v="0"/>
    <n v="0"/>
    <n v="0"/>
    <n v="0"/>
    <n v="0"/>
    <s v="SKILLS USA (VICA)"/>
  </r>
  <r>
    <s v="1213"/>
    <s v="522"/>
    <s v="264"/>
    <s v="2319"/>
    <x v="8"/>
    <m/>
    <m/>
    <s v="0782"/>
    <m/>
    <x v="10"/>
    <n v="0"/>
    <n v="0"/>
    <n v="0"/>
    <n v="0"/>
    <n v="0"/>
    <s v="SKILLS USA (VICA)"/>
  </r>
  <r>
    <s v="1213"/>
    <s v="522"/>
    <s v="264"/>
    <s v="2319"/>
    <x v="8"/>
    <s v="B"/>
    <m/>
    <m/>
    <m/>
    <x v="9"/>
    <n v="0"/>
    <n v="0"/>
    <n v="0"/>
    <n v="0"/>
    <n v="0"/>
    <s v="SKILLS USA (VICA)"/>
  </r>
  <r>
    <s v="1213"/>
    <s v="522"/>
    <s v="264"/>
    <s v="2319"/>
    <x v="8"/>
    <s v="E"/>
    <m/>
    <m/>
    <m/>
    <x v="4"/>
    <n v="31563"/>
    <n v="0"/>
    <n v="0"/>
    <n v="31563"/>
    <n v="0"/>
    <s v="SKILLS USA (VICA)"/>
  </r>
  <r>
    <s v="1213"/>
    <s v="522"/>
    <s v="264"/>
    <s v="2319"/>
    <x v="8"/>
    <s v="EA"/>
    <s v="00"/>
    <m/>
    <m/>
    <x v="4"/>
    <n v="0"/>
    <n v="1576.14"/>
    <n v="0"/>
    <n v="-1576.14"/>
    <n v="0"/>
    <s v="SKILLS USA (VICA)"/>
  </r>
  <r>
    <s v="1213"/>
    <s v="522"/>
    <s v="264"/>
    <s v="2319"/>
    <x v="8"/>
    <s v="EB"/>
    <s v="40"/>
    <m/>
    <m/>
    <x v="4"/>
    <n v="0"/>
    <n v="43.5"/>
    <n v="0"/>
    <n v="-43.5"/>
    <n v="0"/>
    <s v="SKILLS USA (VICA)"/>
  </r>
  <r>
    <s v="1213"/>
    <s v="522"/>
    <s v="264"/>
    <s v="2319"/>
    <x v="8"/>
    <s v="EG"/>
    <s v="70"/>
    <m/>
    <m/>
    <x v="4"/>
    <n v="0"/>
    <n v="172"/>
    <n v="0"/>
    <n v="-172"/>
    <n v="0"/>
    <s v="SKILLS USA (VICA)"/>
  </r>
  <r>
    <s v="1213"/>
    <s v="522"/>
    <s v="264"/>
    <s v="2319"/>
    <x v="8"/>
    <s v="EG"/>
    <s v="RG"/>
    <m/>
    <m/>
    <x v="4"/>
    <n v="0"/>
    <n v="2865"/>
    <n v="0"/>
    <n v="-2865"/>
    <n v="0"/>
    <s v="SKILLS USA (VICA)"/>
  </r>
  <r>
    <s v="1213"/>
    <s v="522"/>
    <s v="264"/>
    <s v="2319"/>
    <x v="8"/>
    <s v="EZ"/>
    <s v="00"/>
    <m/>
    <m/>
    <x v="4"/>
    <n v="0"/>
    <n v="0"/>
    <n v="0"/>
    <n v="0"/>
    <n v="0"/>
    <s v="SKILLS USA (VICA)"/>
  </r>
  <r>
    <s v="1213"/>
    <s v="522"/>
    <s v="264"/>
    <s v="2319"/>
    <x v="8"/>
    <s v="EZ"/>
    <s v="20"/>
    <m/>
    <m/>
    <x v="4"/>
    <n v="0"/>
    <n v="8.48"/>
    <n v="0"/>
    <n v="-8.48"/>
    <n v="0"/>
    <s v="SKILLS USA (VICA)"/>
  </r>
  <r>
    <s v="1213"/>
    <s v="522"/>
    <s v="264"/>
    <s v="2319"/>
    <x v="8"/>
    <s v="EZ"/>
    <s v="30"/>
    <m/>
    <m/>
    <x v="4"/>
    <n v="0"/>
    <n v="507.02"/>
    <n v="0"/>
    <n v="-507.02"/>
    <n v="0"/>
    <s v="SKILLS USA (VICA)"/>
  </r>
  <r>
    <s v="1213"/>
    <s v="522"/>
    <s v="264"/>
    <s v="2319"/>
    <x v="8"/>
    <s v="G"/>
    <m/>
    <m/>
    <m/>
    <x v="5"/>
    <n v="0"/>
    <n v="0"/>
    <n v="0"/>
    <n v="0"/>
    <n v="0"/>
    <s v="SKILLS USA (VICA)"/>
  </r>
  <r>
    <s v="1213"/>
    <s v="522"/>
    <s v="264"/>
    <s v="2319"/>
    <x v="8"/>
    <s v="GA"/>
    <s v="00"/>
    <m/>
    <m/>
    <x v="5"/>
    <n v="0"/>
    <n v="4429.08"/>
    <n v="0"/>
    <n v="-4429.08"/>
    <n v="0"/>
    <s v="SKILLS USA (VICA)"/>
  </r>
  <r>
    <s v="1213"/>
    <s v="522"/>
    <s v="264"/>
    <s v="2319"/>
    <x v="8"/>
    <s v="GD"/>
    <s v="00"/>
    <m/>
    <m/>
    <x v="5"/>
    <n v="0"/>
    <n v="647.14"/>
    <n v="0"/>
    <n v="-647.14"/>
    <n v="0"/>
    <s v="SKILLS USA (VICA)"/>
  </r>
  <r>
    <s v="1213"/>
    <s v="522"/>
    <s v="264"/>
    <s v="2319"/>
    <x v="8"/>
    <s v="GD"/>
    <s v="10"/>
    <m/>
    <m/>
    <x v="5"/>
    <n v="0"/>
    <n v="0"/>
    <n v="0"/>
    <n v="0"/>
    <n v="0"/>
    <s v="SKILLS USA (VICA)"/>
  </r>
  <r>
    <s v="1213"/>
    <s v="522"/>
    <s v="264"/>
    <s v="2319"/>
    <x v="8"/>
    <s v="GD"/>
    <s v="30"/>
    <m/>
    <m/>
    <x v="5"/>
    <n v="0"/>
    <n v="1351.05"/>
    <n v="0"/>
    <n v="-1351.05"/>
    <n v="0"/>
    <s v="SKILLS USA (VICA)"/>
  </r>
  <r>
    <s v="1213"/>
    <s v="522"/>
    <s v="264"/>
    <s v="2319"/>
    <x v="8"/>
    <s v="GD"/>
    <s v="50"/>
    <m/>
    <m/>
    <x v="5"/>
    <n v="0"/>
    <n v="1056.5999999999999"/>
    <n v="0"/>
    <n v="-1056.5999999999999"/>
    <n v="0"/>
    <s v="SKILLS USA (VICA)"/>
  </r>
  <r>
    <s v="1213"/>
    <s v="522"/>
    <s v="264"/>
    <s v="2319"/>
    <x v="8"/>
    <s v="GD"/>
    <s v="70"/>
    <m/>
    <m/>
    <x v="5"/>
    <n v="0"/>
    <n v="824.58"/>
    <n v="0"/>
    <n v="-824.58"/>
    <n v="0"/>
    <s v="SKILLS USA (VICA)"/>
  </r>
  <r>
    <s v="1213"/>
    <s v="522"/>
    <s v="264"/>
    <s v="2319"/>
    <x v="8"/>
    <s v="GF"/>
    <s v="00"/>
    <m/>
    <m/>
    <x v="5"/>
    <n v="0"/>
    <n v="8356"/>
    <n v="0"/>
    <n v="-8356"/>
    <n v="0"/>
    <s v="SKILLS USA (VICA)"/>
  </r>
  <r>
    <s v="1213"/>
    <s v="522"/>
    <s v="264"/>
    <s v="2319"/>
    <x v="8"/>
    <s v="GG"/>
    <s v="00"/>
    <m/>
    <m/>
    <x v="5"/>
    <n v="0"/>
    <n v="5647.7"/>
    <n v="0"/>
    <n v="-5647.7"/>
    <n v="0"/>
    <s v="SKILLS USA (VICA)"/>
  </r>
  <r>
    <s v="1213"/>
    <s v="522"/>
    <s v="264"/>
    <s v="2319"/>
    <x v="8"/>
    <s v="KA"/>
    <m/>
    <m/>
    <m/>
    <x v="7"/>
    <n v="0"/>
    <n v="2878.35"/>
    <n v="0"/>
    <n v="-2878.35"/>
    <n v="0"/>
    <s v="SKILLS USA (VICA)"/>
  </r>
  <r>
    <s v="1213"/>
    <s v="522"/>
    <s v="264"/>
    <s v="2319"/>
    <x v="8"/>
    <s v="NB"/>
    <m/>
    <m/>
    <m/>
    <x v="11"/>
    <n v="0"/>
    <n v="0"/>
    <n v="0"/>
    <n v="0"/>
    <n v="0"/>
    <s v="SKILLS USA (VICA)"/>
  </r>
  <r>
    <s v="1213"/>
    <s v="522"/>
    <s v="264"/>
    <s v="2324"/>
    <x v="9"/>
    <s v="G"/>
    <m/>
    <m/>
    <m/>
    <x v="5"/>
    <n v="0"/>
    <n v="0"/>
    <n v="0"/>
    <n v="0"/>
    <n v="0"/>
    <s v="WRITERS ON THE STORM"/>
  </r>
  <r>
    <s v="1213"/>
    <s v="522"/>
    <s v="264"/>
    <s v="2330"/>
    <x v="10"/>
    <s v="E"/>
    <m/>
    <m/>
    <m/>
    <x v="4"/>
    <n v="0"/>
    <n v="0"/>
    <n v="0"/>
    <n v="0"/>
    <n v="0"/>
    <s v="MATH CLUB"/>
  </r>
  <r>
    <s v="1213"/>
    <s v="522"/>
    <s v="264"/>
    <s v="2330"/>
    <x v="10"/>
    <s v="EA"/>
    <s v="00"/>
    <m/>
    <m/>
    <x v="4"/>
    <n v="0"/>
    <n v="0"/>
    <n v="0"/>
    <n v="0"/>
    <n v="0"/>
    <s v="MATH CLUB"/>
  </r>
  <r>
    <s v="1213"/>
    <s v="522"/>
    <s v="264"/>
    <s v="2343"/>
    <x v="11"/>
    <m/>
    <m/>
    <s v="0499"/>
    <s v="6M"/>
    <x v="0"/>
    <n v="0"/>
    <n v="-175"/>
    <n v="0"/>
    <n v="175"/>
    <n v="0"/>
    <s v="SCC AUTOMOTIVE ASSNS"/>
  </r>
  <r>
    <s v="1213"/>
    <s v="522"/>
    <s v="264"/>
    <s v="2343"/>
    <x v="11"/>
    <m/>
    <m/>
    <s v="0782"/>
    <m/>
    <x v="10"/>
    <n v="0"/>
    <n v="-4672"/>
    <n v="0"/>
    <n v="4672"/>
    <n v="0"/>
    <s v="SCC AUTOMOTIVE ASSNS"/>
  </r>
  <r>
    <s v="1213"/>
    <s v="522"/>
    <s v="264"/>
    <s v="2343"/>
    <x v="11"/>
    <s v="E"/>
    <m/>
    <m/>
    <m/>
    <x v="4"/>
    <n v="4300"/>
    <n v="0"/>
    <n v="0"/>
    <n v="4300"/>
    <n v="0"/>
    <s v="SCC AUTOMOTIVE ASSNS"/>
  </r>
  <r>
    <s v="1213"/>
    <s v="522"/>
    <s v="264"/>
    <s v="2343"/>
    <x v="11"/>
    <s v="EA"/>
    <s v="00"/>
    <m/>
    <m/>
    <x v="4"/>
    <n v="0"/>
    <n v="2485.0300000000002"/>
    <n v="0"/>
    <n v="-2485.0300000000002"/>
    <n v="0"/>
    <s v="SCC AUTOMOTIVE ASSNS"/>
  </r>
  <r>
    <s v="1213"/>
    <s v="522"/>
    <s v="264"/>
    <s v="2343"/>
    <x v="11"/>
    <s v="EZ"/>
    <s v="30"/>
    <m/>
    <m/>
    <x v="4"/>
    <n v="0"/>
    <n v="0"/>
    <n v="0"/>
    <n v="0"/>
    <n v="0"/>
    <s v="SCC AUTOMOTIVE ASSNS"/>
  </r>
  <r>
    <s v="1213"/>
    <s v="522"/>
    <s v="264"/>
    <s v="2343"/>
    <x v="11"/>
    <s v="G"/>
    <m/>
    <m/>
    <m/>
    <x v="5"/>
    <n v="0"/>
    <n v="0"/>
    <n v="0"/>
    <n v="0"/>
    <n v="0"/>
    <s v="SCC AUTOMOTIVE ASSNS"/>
  </r>
  <r>
    <s v="1213"/>
    <s v="522"/>
    <s v="264"/>
    <s v="2343"/>
    <x v="11"/>
    <s v="J"/>
    <m/>
    <m/>
    <m/>
    <x v="6"/>
    <n v="0"/>
    <n v="0"/>
    <n v="0"/>
    <n v="0"/>
    <n v="0"/>
    <s v="SCC AUTOMOTIVE ASSNS"/>
  </r>
  <r>
    <s v="1213"/>
    <s v="522"/>
    <s v="264"/>
    <s v="2343"/>
    <x v="11"/>
    <s v="JA"/>
    <s v="00"/>
    <m/>
    <m/>
    <x v="6"/>
    <n v="0"/>
    <n v="325.01"/>
    <n v="0"/>
    <n v="-325.01"/>
    <n v="0"/>
    <s v="SCC AUTOMOTIVE ASSNS"/>
  </r>
  <r>
    <s v="1213"/>
    <s v="522"/>
    <s v="264"/>
    <s v="2345"/>
    <x v="12"/>
    <m/>
    <m/>
    <s v="0499"/>
    <s v="8B"/>
    <x v="0"/>
    <n v="0"/>
    <n v="0"/>
    <n v="0"/>
    <n v="0"/>
    <n v="0"/>
    <s v="CULINARY ARTS CLUB"/>
  </r>
  <r>
    <s v="1213"/>
    <s v="522"/>
    <s v="264"/>
    <s v="2345"/>
    <x v="12"/>
    <m/>
    <m/>
    <s v="0782"/>
    <m/>
    <x v="10"/>
    <n v="0"/>
    <n v="-132"/>
    <n v="0"/>
    <n v="132"/>
    <n v="0"/>
    <s v="CULINARY ARTS CLUB"/>
  </r>
  <r>
    <s v="1213"/>
    <s v="522"/>
    <s v="264"/>
    <s v="2345"/>
    <x v="12"/>
    <s v="E"/>
    <m/>
    <m/>
    <m/>
    <x v="4"/>
    <n v="6975"/>
    <n v="0"/>
    <n v="0"/>
    <n v="6975"/>
    <n v="0"/>
    <s v="CULINARY ARTS CLUB"/>
  </r>
  <r>
    <s v="1213"/>
    <s v="522"/>
    <s v="264"/>
    <s v="2345"/>
    <x v="12"/>
    <s v="EG"/>
    <s v="RG"/>
    <m/>
    <m/>
    <x v="4"/>
    <n v="0"/>
    <n v="295"/>
    <n v="0"/>
    <n v="-295"/>
    <n v="0"/>
    <s v="CULINARY ARTS CLUB"/>
  </r>
  <r>
    <s v="1213"/>
    <s v="522"/>
    <s v="264"/>
    <s v="2345"/>
    <x v="12"/>
    <s v="EZ"/>
    <s v="00"/>
    <m/>
    <m/>
    <x v="4"/>
    <n v="0"/>
    <n v="-15"/>
    <n v="0"/>
    <n v="15"/>
    <n v="0"/>
    <s v="CULINARY ARTS CLUB"/>
  </r>
  <r>
    <s v="1213"/>
    <s v="522"/>
    <s v="264"/>
    <s v="2345"/>
    <x v="12"/>
    <s v="G"/>
    <m/>
    <m/>
    <m/>
    <x v="5"/>
    <n v="0"/>
    <n v="0"/>
    <n v="0"/>
    <n v="0"/>
    <n v="0"/>
    <s v="CULINARY ARTS CLUB"/>
  </r>
  <r>
    <s v="1213"/>
    <s v="522"/>
    <s v="264"/>
    <s v="2350"/>
    <x v="13"/>
    <s v="AM"/>
    <s v="01"/>
    <m/>
    <m/>
    <x v="8"/>
    <n v="0"/>
    <n v="0"/>
    <n v="0"/>
    <n v="0"/>
    <n v="0"/>
    <s v="LEGENDS"/>
  </r>
  <r>
    <s v="1213"/>
    <s v="522"/>
    <s v="264"/>
    <s v="2350"/>
    <x v="13"/>
    <s v="B"/>
    <m/>
    <m/>
    <m/>
    <x v="9"/>
    <n v="0"/>
    <n v="0"/>
    <n v="0"/>
    <n v="0"/>
    <n v="0"/>
    <s v="LEGENDS"/>
  </r>
  <r>
    <s v="1213"/>
    <s v="522"/>
    <s v="264"/>
    <s v="2350"/>
    <x v="13"/>
    <s v="E"/>
    <m/>
    <m/>
    <m/>
    <x v="4"/>
    <n v="10000"/>
    <n v="0"/>
    <n v="0"/>
    <n v="10000"/>
    <n v="0"/>
    <s v="LEGENDS"/>
  </r>
  <r>
    <s v="1213"/>
    <s v="522"/>
    <s v="264"/>
    <s v="2350"/>
    <x v="13"/>
    <s v="EA"/>
    <s v="00"/>
    <m/>
    <m/>
    <x v="4"/>
    <n v="0"/>
    <n v="218.69"/>
    <n v="0"/>
    <n v="-218.69"/>
    <n v="0"/>
    <s v="LEGENDS"/>
  </r>
  <r>
    <s v="1213"/>
    <s v="522"/>
    <s v="264"/>
    <s v="2350"/>
    <x v="13"/>
    <s v="EF"/>
    <s v="00"/>
    <m/>
    <m/>
    <x v="4"/>
    <n v="0"/>
    <n v="4486.05"/>
    <n v="0"/>
    <n v="-4486.05"/>
    <n v="0"/>
    <s v="LEGENDS"/>
  </r>
  <r>
    <s v="1213"/>
    <s v="522"/>
    <s v="264"/>
    <s v="2350"/>
    <x v="13"/>
    <s v="EF"/>
    <s v="30"/>
    <m/>
    <m/>
    <x v="4"/>
    <n v="0"/>
    <n v="1.93"/>
    <n v="0"/>
    <n v="-1.93"/>
    <n v="0"/>
    <s v="LEGENDS"/>
  </r>
  <r>
    <s v="1213"/>
    <s v="522"/>
    <s v="264"/>
    <s v="2350"/>
    <x v="13"/>
    <s v="EZ"/>
    <s v="00"/>
    <m/>
    <m/>
    <x v="4"/>
    <n v="0"/>
    <n v="150"/>
    <n v="0"/>
    <n v="-150"/>
    <n v="0"/>
    <s v="LEGENDS"/>
  </r>
  <r>
    <s v="1213"/>
    <s v="522"/>
    <s v="264"/>
    <s v="2350"/>
    <x v="13"/>
    <s v="EZ"/>
    <s v="20"/>
    <m/>
    <m/>
    <x v="4"/>
    <n v="0"/>
    <n v="162.56"/>
    <n v="0"/>
    <n v="-162.56"/>
    <n v="0"/>
    <s v="LEGENDS"/>
  </r>
  <r>
    <s v="1213"/>
    <s v="522"/>
    <s v="264"/>
    <s v="2350"/>
    <x v="13"/>
    <s v="EZ"/>
    <s v="30"/>
    <m/>
    <m/>
    <x v="4"/>
    <n v="0"/>
    <n v="775.64"/>
    <n v="0"/>
    <n v="-775.64"/>
    <n v="0"/>
    <s v="LEGENDS"/>
  </r>
  <r>
    <s v="1213"/>
    <s v="522"/>
    <s v="264"/>
    <s v="2350"/>
    <x v="13"/>
    <s v="J"/>
    <m/>
    <m/>
    <m/>
    <x v="6"/>
    <n v="0"/>
    <n v="0"/>
    <n v="0"/>
    <n v="0"/>
    <n v="0"/>
    <s v="LEGENDS"/>
  </r>
  <r>
    <s v="1213"/>
    <s v="522"/>
    <s v="264"/>
    <s v="2350"/>
    <x v="13"/>
    <s v="JA"/>
    <s v="00"/>
    <m/>
    <m/>
    <x v="6"/>
    <n v="0"/>
    <n v="4093.97"/>
    <n v="0"/>
    <n v="-4093.97"/>
    <n v="0"/>
    <s v="LEGENDS"/>
  </r>
  <r>
    <s v="1213"/>
    <s v="522"/>
    <s v="264"/>
    <s v="2350"/>
    <x v="13"/>
    <s v="NB"/>
    <m/>
    <m/>
    <m/>
    <x v="11"/>
    <n v="0"/>
    <n v="0"/>
    <n v="0"/>
    <n v="0"/>
    <n v="0"/>
    <s v="LEGENDS"/>
  </r>
  <r>
    <s v="1213"/>
    <s v="522"/>
    <s v="264"/>
    <s v="2353"/>
    <x v="14"/>
    <m/>
    <m/>
    <s v="0499"/>
    <s v="6A"/>
    <x v="0"/>
    <n v="0"/>
    <n v="-4231.71"/>
    <n v="0"/>
    <n v="4231.71"/>
    <n v="0"/>
    <s v="AGRICULTURE"/>
  </r>
  <r>
    <s v="1213"/>
    <s v="522"/>
    <s v="264"/>
    <s v="2353"/>
    <x v="14"/>
    <m/>
    <m/>
    <s v="0782"/>
    <m/>
    <x v="10"/>
    <n v="0"/>
    <n v="-5592.75"/>
    <n v="0"/>
    <n v="5592.75"/>
    <n v="0"/>
    <s v="AGRICULTURE"/>
  </r>
  <r>
    <s v="1213"/>
    <s v="522"/>
    <s v="264"/>
    <s v="2353"/>
    <x v="14"/>
    <s v="E"/>
    <m/>
    <m/>
    <m/>
    <x v="4"/>
    <n v="23588"/>
    <n v="0"/>
    <n v="0"/>
    <n v="23588"/>
    <n v="0"/>
    <s v="AGRICULTURE"/>
  </r>
  <r>
    <s v="1213"/>
    <s v="522"/>
    <s v="264"/>
    <s v="2353"/>
    <x v="14"/>
    <s v="EA"/>
    <s v="00"/>
    <m/>
    <m/>
    <x v="4"/>
    <n v="0"/>
    <n v="2273.9899999999998"/>
    <n v="0"/>
    <n v="-2273.9899999999998"/>
    <n v="0"/>
    <s v="AGRICULTURE"/>
  </r>
  <r>
    <s v="1213"/>
    <s v="522"/>
    <s v="264"/>
    <s v="2353"/>
    <x v="14"/>
    <s v="EA"/>
    <s v="55"/>
    <m/>
    <m/>
    <x v="4"/>
    <n v="0"/>
    <n v="3.4"/>
    <n v="0"/>
    <n v="-3.4"/>
    <n v="0"/>
    <s v="AGRICULTURE"/>
  </r>
  <r>
    <s v="1213"/>
    <s v="522"/>
    <s v="264"/>
    <s v="2353"/>
    <x v="14"/>
    <s v="ED"/>
    <s v="00"/>
    <m/>
    <m/>
    <x v="4"/>
    <n v="0"/>
    <n v="808.55"/>
    <n v="0"/>
    <n v="-808.55"/>
    <n v="0"/>
    <s v="AGRICULTURE"/>
  </r>
  <r>
    <s v="1213"/>
    <s v="522"/>
    <s v="264"/>
    <s v="2353"/>
    <x v="14"/>
    <s v="EG"/>
    <s v="80"/>
    <m/>
    <m/>
    <x v="4"/>
    <n v="0"/>
    <n v="150"/>
    <n v="0"/>
    <n v="-150"/>
    <n v="0"/>
    <s v="AGRICULTURE"/>
  </r>
  <r>
    <s v="1213"/>
    <s v="522"/>
    <s v="264"/>
    <s v="2353"/>
    <x v="14"/>
    <s v="EG"/>
    <s v="RG"/>
    <m/>
    <m/>
    <x v="4"/>
    <n v="0"/>
    <n v="3390"/>
    <n v="0"/>
    <n v="-3390"/>
    <n v="0"/>
    <s v="AGRICULTURE"/>
  </r>
  <r>
    <s v="1213"/>
    <s v="522"/>
    <s v="264"/>
    <s v="2353"/>
    <x v="14"/>
    <s v="EH"/>
    <s v="20"/>
    <m/>
    <m/>
    <x v="4"/>
    <n v="0"/>
    <n v="184.79"/>
    <n v="0"/>
    <n v="-184.79"/>
    <n v="0"/>
    <s v="AGRICULTURE"/>
  </r>
  <r>
    <s v="1213"/>
    <s v="522"/>
    <s v="264"/>
    <s v="2353"/>
    <x v="14"/>
    <s v="EZ"/>
    <s v="00"/>
    <m/>
    <m/>
    <x v="4"/>
    <n v="0"/>
    <n v="277.72000000000003"/>
    <n v="0"/>
    <n v="-277.72000000000003"/>
    <n v="0"/>
    <s v="AGRICULTURE"/>
  </r>
  <r>
    <s v="1213"/>
    <s v="522"/>
    <s v="264"/>
    <s v="2353"/>
    <x v="14"/>
    <s v="EZ"/>
    <s v="20"/>
    <m/>
    <m/>
    <x v="4"/>
    <n v="0"/>
    <n v="186.32"/>
    <n v="0"/>
    <n v="-186.32"/>
    <n v="0"/>
    <s v="AGRICULTURE"/>
  </r>
  <r>
    <s v="1213"/>
    <s v="522"/>
    <s v="264"/>
    <s v="2353"/>
    <x v="14"/>
    <s v="EZ"/>
    <s v="30"/>
    <m/>
    <m/>
    <x v="4"/>
    <n v="0"/>
    <n v="945.62"/>
    <n v="0"/>
    <n v="-945.62"/>
    <n v="0"/>
    <s v="AGRICULTURE"/>
  </r>
  <r>
    <s v="1213"/>
    <s v="522"/>
    <s v="264"/>
    <s v="2353"/>
    <x v="14"/>
    <s v="G"/>
    <m/>
    <m/>
    <m/>
    <x v="5"/>
    <n v="0"/>
    <n v="0"/>
    <n v="0"/>
    <n v="0"/>
    <n v="0"/>
    <s v="AGRICULTURE"/>
  </r>
  <r>
    <s v="1213"/>
    <s v="522"/>
    <s v="264"/>
    <s v="2353"/>
    <x v="14"/>
    <s v="GA"/>
    <s v="00"/>
    <m/>
    <m/>
    <x v="5"/>
    <n v="0"/>
    <n v="3344.3"/>
    <n v="0"/>
    <n v="-3344.3"/>
    <n v="0"/>
    <s v="AGRICULTURE"/>
  </r>
  <r>
    <s v="1213"/>
    <s v="522"/>
    <s v="264"/>
    <s v="2353"/>
    <x v="14"/>
    <s v="GC"/>
    <s v="10"/>
    <m/>
    <m/>
    <x v="5"/>
    <n v="0"/>
    <n v="66.42"/>
    <n v="0"/>
    <n v="-66.42"/>
    <n v="0"/>
    <s v="AGRICULTURE"/>
  </r>
  <r>
    <s v="1213"/>
    <s v="522"/>
    <s v="264"/>
    <s v="2353"/>
    <x v="14"/>
    <s v="GD"/>
    <s v="00"/>
    <m/>
    <m/>
    <x v="5"/>
    <n v="0"/>
    <n v="608.03"/>
    <n v="0"/>
    <n v="-608.03"/>
    <n v="0"/>
    <s v="AGRICULTURE"/>
  </r>
  <r>
    <s v="1213"/>
    <s v="522"/>
    <s v="264"/>
    <s v="2353"/>
    <x v="14"/>
    <s v="GD"/>
    <s v="30"/>
    <m/>
    <m/>
    <x v="5"/>
    <n v="0"/>
    <n v="910.42"/>
    <n v="0"/>
    <n v="-910.42"/>
    <n v="0"/>
    <s v="AGRICULTURE"/>
  </r>
  <r>
    <s v="1213"/>
    <s v="522"/>
    <s v="264"/>
    <s v="2353"/>
    <x v="14"/>
    <s v="GD"/>
    <s v="50"/>
    <m/>
    <m/>
    <x v="5"/>
    <n v="0"/>
    <n v="8"/>
    <n v="0"/>
    <n v="-8"/>
    <n v="0"/>
    <s v="AGRICULTURE"/>
  </r>
  <r>
    <s v="1213"/>
    <s v="522"/>
    <s v="264"/>
    <s v="2353"/>
    <x v="14"/>
    <s v="GD"/>
    <s v="70"/>
    <m/>
    <m/>
    <x v="5"/>
    <n v="0"/>
    <n v="844.29"/>
    <n v="0"/>
    <n v="-844.29"/>
    <n v="0"/>
    <s v="AGRICULTURE"/>
  </r>
  <r>
    <s v="1213"/>
    <s v="522"/>
    <s v="264"/>
    <s v="2353"/>
    <x v="14"/>
    <s v="GF"/>
    <s v="00"/>
    <m/>
    <m/>
    <x v="5"/>
    <n v="0"/>
    <n v="5735.46"/>
    <n v="0"/>
    <n v="-5735.46"/>
    <n v="0"/>
    <s v="AGRICULTURE"/>
  </r>
  <r>
    <s v="1213"/>
    <s v="522"/>
    <s v="264"/>
    <s v="2353"/>
    <x v="14"/>
    <s v="GF"/>
    <s v="80"/>
    <m/>
    <m/>
    <x v="5"/>
    <n v="0"/>
    <n v="1155.04"/>
    <n v="0"/>
    <n v="-1155.04"/>
    <n v="0"/>
    <s v="AGRICULTURE"/>
  </r>
  <r>
    <s v="1213"/>
    <s v="522"/>
    <s v="264"/>
    <s v="2353"/>
    <x v="14"/>
    <s v="GG"/>
    <s v="00"/>
    <m/>
    <m/>
    <x v="5"/>
    <n v="0"/>
    <n v="12591.8"/>
    <n v="0"/>
    <n v="-12591.8"/>
    <n v="0"/>
    <s v="AGRICULTURE"/>
  </r>
  <r>
    <s v="1213"/>
    <s v="522"/>
    <s v="264"/>
    <s v="2354"/>
    <x v="15"/>
    <m/>
    <m/>
    <s v="0499"/>
    <s v="8C"/>
    <x v="0"/>
    <n v="0"/>
    <n v="-10329"/>
    <n v="0"/>
    <n v="10329"/>
    <n v="0"/>
    <s v="CRAFT FAIR"/>
  </r>
  <r>
    <s v="1213"/>
    <s v="522"/>
    <s v="264"/>
    <s v="2354"/>
    <x v="15"/>
    <m/>
    <m/>
    <s v="0622"/>
    <m/>
    <x v="2"/>
    <n v="0"/>
    <n v="0"/>
    <n v="0"/>
    <n v="0"/>
    <n v="0"/>
    <s v="CRAFT FAIR"/>
  </r>
  <r>
    <s v="1213"/>
    <s v="522"/>
    <s v="264"/>
    <s v="2354"/>
    <x v="15"/>
    <m/>
    <m/>
    <s v="0782"/>
    <m/>
    <x v="10"/>
    <n v="0"/>
    <n v="0"/>
    <n v="0"/>
    <n v="0"/>
    <n v="0"/>
    <s v="CRAFT FAIR"/>
  </r>
  <r>
    <s v="1213"/>
    <s v="522"/>
    <s v="264"/>
    <s v="2354"/>
    <x v="15"/>
    <s v="AH"/>
    <s v="AS"/>
    <m/>
    <m/>
    <x v="8"/>
    <n v="0"/>
    <n v="0"/>
    <n v="0"/>
    <n v="0"/>
    <n v="0"/>
    <s v="CRAFT FAIR"/>
  </r>
  <r>
    <s v="1213"/>
    <s v="522"/>
    <s v="264"/>
    <s v="2354"/>
    <x v="15"/>
    <s v="B"/>
    <m/>
    <m/>
    <m/>
    <x v="9"/>
    <n v="0"/>
    <n v="0"/>
    <n v="0"/>
    <n v="0"/>
    <n v="0"/>
    <s v="CRAFT FAIR"/>
  </r>
  <r>
    <s v="1213"/>
    <s v="522"/>
    <s v="264"/>
    <s v="2354"/>
    <x v="15"/>
    <s v="E"/>
    <m/>
    <m/>
    <m/>
    <x v="4"/>
    <n v="0"/>
    <n v="0"/>
    <n v="0"/>
    <n v="0"/>
    <n v="0"/>
    <s v="CRAFT FAIR"/>
  </r>
  <r>
    <s v="1213"/>
    <s v="522"/>
    <s v="264"/>
    <s v="2354"/>
    <x v="15"/>
    <s v="EA"/>
    <s v="00"/>
    <m/>
    <m/>
    <x v="4"/>
    <n v="0"/>
    <n v="215.74"/>
    <n v="0"/>
    <n v="-215.74"/>
    <n v="0"/>
    <s v="CRAFT FAIR"/>
  </r>
  <r>
    <s v="1213"/>
    <s v="522"/>
    <s v="264"/>
    <s v="2354"/>
    <x v="15"/>
    <s v="EG"/>
    <s v="70"/>
    <m/>
    <m/>
    <x v="4"/>
    <n v="0"/>
    <n v="540"/>
    <n v="0"/>
    <n v="-540"/>
    <n v="0"/>
    <s v="CRAFT FAIR"/>
  </r>
  <r>
    <s v="1213"/>
    <s v="522"/>
    <s v="264"/>
    <s v="2354"/>
    <x v="15"/>
    <s v="ER"/>
    <s v="00"/>
    <m/>
    <m/>
    <x v="4"/>
    <n v="0"/>
    <n v="3000"/>
    <n v="0"/>
    <n v="-3000"/>
    <n v="0"/>
    <s v="CRAFT FAIR"/>
  </r>
  <r>
    <s v="1213"/>
    <s v="522"/>
    <s v="264"/>
    <s v="2354"/>
    <x v="15"/>
    <s v="EZ"/>
    <s v="10"/>
    <m/>
    <m/>
    <x v="4"/>
    <n v="0"/>
    <n v="1177.3699999999999"/>
    <n v="0"/>
    <n v="-1177.3699999999999"/>
    <n v="0"/>
    <s v="CRAFT FAIR"/>
  </r>
  <r>
    <s v="1213"/>
    <s v="522"/>
    <s v="264"/>
    <s v="2354"/>
    <x v="15"/>
    <s v="EZ"/>
    <s v="30"/>
    <m/>
    <m/>
    <x v="4"/>
    <n v="0"/>
    <n v="437.86"/>
    <n v="0"/>
    <n v="-437.86"/>
    <n v="0"/>
    <s v="CRAFT FAIR"/>
  </r>
  <r>
    <s v="1213"/>
    <s v="522"/>
    <s v="264"/>
    <s v="2354"/>
    <x v="15"/>
    <s v="G"/>
    <m/>
    <m/>
    <m/>
    <x v="5"/>
    <n v="0"/>
    <n v="0"/>
    <n v="0"/>
    <n v="0"/>
    <n v="0"/>
    <s v="CRAFT FAIR"/>
  </r>
  <r>
    <s v="1213"/>
    <s v="522"/>
    <s v="264"/>
    <s v="2354"/>
    <x v="15"/>
    <s v="GF"/>
    <s v="00"/>
    <m/>
    <m/>
    <x v="5"/>
    <n v="0"/>
    <n v="788"/>
    <n v="0"/>
    <n v="-788"/>
    <n v="0"/>
    <s v="CRAFT FAIR"/>
  </r>
  <r>
    <s v="1213"/>
    <s v="522"/>
    <s v="264"/>
    <s v="2355"/>
    <x v="16"/>
    <m/>
    <m/>
    <s v="0499"/>
    <s v="6J"/>
    <x v="0"/>
    <n v="0"/>
    <n v="-2621.71"/>
    <n v="0"/>
    <n v="2621.71"/>
    <n v="0"/>
    <s v="HORTICULTURE CLUB"/>
  </r>
  <r>
    <s v="1213"/>
    <s v="522"/>
    <s v="264"/>
    <s v="2355"/>
    <x v="16"/>
    <m/>
    <m/>
    <s v="0782"/>
    <m/>
    <x v="10"/>
    <n v="0"/>
    <n v="-2134.75"/>
    <n v="0"/>
    <n v="2134.75"/>
    <n v="0"/>
    <s v="HORTICULTURE CLUB"/>
  </r>
  <r>
    <s v="1213"/>
    <s v="522"/>
    <s v="264"/>
    <s v="2355"/>
    <x v="16"/>
    <s v="E"/>
    <m/>
    <m/>
    <m/>
    <x v="4"/>
    <n v="21086"/>
    <n v="0"/>
    <n v="0"/>
    <n v="21086"/>
    <n v="0"/>
    <s v="HORTICULTURE CLUB"/>
  </r>
  <r>
    <s v="1213"/>
    <s v="522"/>
    <s v="264"/>
    <s v="2355"/>
    <x v="16"/>
    <s v="EA"/>
    <s v="00"/>
    <m/>
    <m/>
    <x v="4"/>
    <n v="0"/>
    <n v="3237.28"/>
    <n v="0"/>
    <n v="-3237.28"/>
    <n v="0"/>
    <s v="HORTICULTURE CLUB"/>
  </r>
  <r>
    <s v="1213"/>
    <s v="522"/>
    <s v="264"/>
    <s v="2355"/>
    <x v="16"/>
    <s v="EA"/>
    <s v="55"/>
    <m/>
    <m/>
    <x v="4"/>
    <n v="0"/>
    <n v="3.4"/>
    <n v="0"/>
    <n v="-3.4"/>
    <n v="0"/>
    <s v="HORTICULTURE CLUB"/>
  </r>
  <r>
    <s v="1213"/>
    <s v="522"/>
    <s v="264"/>
    <s v="2355"/>
    <x v="16"/>
    <s v="EG"/>
    <s v="80"/>
    <m/>
    <m/>
    <x v="4"/>
    <n v="0"/>
    <n v="448"/>
    <n v="0"/>
    <n v="-448"/>
    <n v="0"/>
    <s v="HORTICULTURE CLUB"/>
  </r>
  <r>
    <s v="1213"/>
    <s v="522"/>
    <s v="264"/>
    <s v="2355"/>
    <x v="16"/>
    <s v="EG"/>
    <s v="RG"/>
    <m/>
    <m/>
    <x v="4"/>
    <n v="0"/>
    <n v="2160"/>
    <n v="0"/>
    <n v="-2160"/>
    <n v="0"/>
    <s v="HORTICULTURE CLUB"/>
  </r>
  <r>
    <s v="1213"/>
    <s v="522"/>
    <s v="264"/>
    <s v="2355"/>
    <x v="16"/>
    <s v="EH"/>
    <s v="20"/>
    <m/>
    <m/>
    <x v="4"/>
    <n v="0"/>
    <n v="184.79"/>
    <n v="0"/>
    <n v="-184.79"/>
    <n v="0"/>
    <s v="HORTICULTURE CLUB"/>
  </r>
  <r>
    <s v="1213"/>
    <s v="522"/>
    <s v="264"/>
    <s v="2355"/>
    <x v="16"/>
    <s v="EZ"/>
    <s v="00"/>
    <m/>
    <m/>
    <x v="4"/>
    <n v="0"/>
    <n v="277.72000000000003"/>
    <n v="0"/>
    <n v="-277.72000000000003"/>
    <n v="0"/>
    <s v="HORTICULTURE CLUB"/>
  </r>
  <r>
    <s v="1213"/>
    <s v="522"/>
    <s v="264"/>
    <s v="2355"/>
    <x v="16"/>
    <s v="EZ"/>
    <s v="10"/>
    <m/>
    <m/>
    <x v="4"/>
    <n v="0"/>
    <n v="808"/>
    <n v="0"/>
    <n v="-808"/>
    <n v="0"/>
    <s v="HORTICULTURE CLUB"/>
  </r>
  <r>
    <s v="1213"/>
    <s v="522"/>
    <s v="264"/>
    <s v="2355"/>
    <x v="16"/>
    <s v="EZ"/>
    <s v="20"/>
    <m/>
    <m/>
    <x v="4"/>
    <n v="0"/>
    <n v="200.83"/>
    <n v="0"/>
    <n v="-200.83"/>
    <n v="0"/>
    <s v="HORTICULTURE CLUB"/>
  </r>
  <r>
    <s v="1213"/>
    <s v="522"/>
    <s v="264"/>
    <s v="2355"/>
    <x v="16"/>
    <s v="EZ"/>
    <s v="30"/>
    <m/>
    <m/>
    <x v="4"/>
    <n v="0"/>
    <n v="1158.24"/>
    <n v="0"/>
    <n v="-1158.24"/>
    <n v="0"/>
    <s v="HORTICULTURE CLUB"/>
  </r>
  <r>
    <s v="1213"/>
    <s v="522"/>
    <s v="264"/>
    <s v="2355"/>
    <x v="16"/>
    <s v="G"/>
    <m/>
    <m/>
    <m/>
    <x v="5"/>
    <n v="0"/>
    <n v="0"/>
    <n v="0"/>
    <n v="0"/>
    <n v="0"/>
    <s v="HORTICULTURE CLUB"/>
  </r>
  <r>
    <s v="1213"/>
    <s v="522"/>
    <s v="264"/>
    <s v="2355"/>
    <x v="16"/>
    <s v="GB"/>
    <s v="00"/>
    <m/>
    <m/>
    <x v="5"/>
    <n v="0"/>
    <n v="92.6"/>
    <n v="0"/>
    <n v="-92.6"/>
    <n v="0"/>
    <s v="HORTICULTURE CLUB"/>
  </r>
  <r>
    <s v="1213"/>
    <s v="522"/>
    <s v="264"/>
    <s v="2355"/>
    <x v="16"/>
    <s v="GD"/>
    <s v="00"/>
    <m/>
    <m/>
    <x v="5"/>
    <n v="0"/>
    <n v="1046.8599999999999"/>
    <n v="0"/>
    <n v="-1046.8599999999999"/>
    <n v="0"/>
    <s v="HORTICULTURE CLUB"/>
  </r>
  <r>
    <s v="1213"/>
    <s v="522"/>
    <s v="264"/>
    <s v="2355"/>
    <x v="16"/>
    <s v="GD"/>
    <s v="10"/>
    <m/>
    <m/>
    <x v="5"/>
    <n v="0"/>
    <n v="37.5"/>
    <n v="0"/>
    <n v="-37.5"/>
    <n v="0"/>
    <s v="HORTICULTURE CLUB"/>
  </r>
  <r>
    <s v="1213"/>
    <s v="522"/>
    <s v="264"/>
    <s v="2355"/>
    <x v="16"/>
    <s v="GD"/>
    <s v="50"/>
    <m/>
    <m/>
    <x v="5"/>
    <n v="0"/>
    <n v="9"/>
    <n v="0"/>
    <n v="-9"/>
    <n v="0"/>
    <s v="HORTICULTURE CLUB"/>
  </r>
  <r>
    <s v="1213"/>
    <s v="522"/>
    <s v="264"/>
    <s v="2355"/>
    <x v="16"/>
    <s v="GD"/>
    <s v="60"/>
    <m/>
    <m/>
    <x v="5"/>
    <n v="0"/>
    <n v="0"/>
    <n v="0"/>
    <n v="0"/>
    <n v="0"/>
    <s v="HORTICULTURE CLUB"/>
  </r>
  <r>
    <s v="1213"/>
    <s v="522"/>
    <s v="264"/>
    <s v="2355"/>
    <x v="16"/>
    <s v="GD"/>
    <s v="70"/>
    <m/>
    <m/>
    <x v="5"/>
    <n v="0"/>
    <n v="1018.79"/>
    <n v="0"/>
    <n v="-1018.79"/>
    <n v="0"/>
    <s v="HORTICULTURE CLUB"/>
  </r>
  <r>
    <s v="1213"/>
    <s v="522"/>
    <s v="264"/>
    <s v="2355"/>
    <x v="16"/>
    <s v="GF"/>
    <s v="00"/>
    <m/>
    <m/>
    <x v="5"/>
    <n v="0"/>
    <n v="3056.83"/>
    <n v="0"/>
    <n v="-3056.83"/>
    <n v="0"/>
    <s v="HORTICULTURE CLUB"/>
  </r>
  <r>
    <s v="1213"/>
    <s v="522"/>
    <s v="264"/>
    <s v="2355"/>
    <x v="16"/>
    <s v="GG"/>
    <s v="00"/>
    <m/>
    <m/>
    <x v="5"/>
    <n v="0"/>
    <n v="7269.8"/>
    <n v="0"/>
    <n v="-7269.8"/>
    <n v="0"/>
    <s v="HORTICULTURE CLUB"/>
  </r>
  <r>
    <s v="1213"/>
    <s v="522"/>
    <s v="264"/>
    <s v="2355"/>
    <x v="16"/>
    <s v="NB"/>
    <m/>
    <m/>
    <m/>
    <x v="11"/>
    <n v="0"/>
    <n v="0"/>
    <n v="0"/>
    <n v="0"/>
    <n v="0"/>
    <s v="HORTICULTURE CLUB"/>
  </r>
  <r>
    <s v="1213"/>
    <s v="522"/>
    <s v="264"/>
    <s v="2357"/>
    <x v="17"/>
    <m/>
    <m/>
    <s v="0499"/>
    <s v="6Q"/>
    <x v="0"/>
    <n v="0"/>
    <n v="-1335"/>
    <n v="0"/>
    <n v="1335"/>
    <n v="0"/>
    <s v="PHI THETA KAPPA"/>
  </r>
  <r>
    <s v="1213"/>
    <s v="522"/>
    <s v="264"/>
    <s v="2357"/>
    <x v="17"/>
    <m/>
    <m/>
    <s v="0782"/>
    <m/>
    <x v="10"/>
    <n v="0"/>
    <n v="0"/>
    <n v="0"/>
    <n v="0"/>
    <n v="0"/>
    <s v="PHI THETA KAPPA"/>
  </r>
  <r>
    <s v="1213"/>
    <s v="522"/>
    <s v="264"/>
    <s v="2357"/>
    <x v="17"/>
    <s v="E"/>
    <m/>
    <m/>
    <m/>
    <x v="4"/>
    <n v="5635"/>
    <n v="0"/>
    <n v="0"/>
    <n v="5635"/>
    <n v="0"/>
    <s v="PHI THETA KAPPA"/>
  </r>
  <r>
    <s v="1213"/>
    <s v="522"/>
    <s v="264"/>
    <s v="2357"/>
    <x v="17"/>
    <s v="EA"/>
    <s v="00"/>
    <m/>
    <m/>
    <x v="4"/>
    <n v="0"/>
    <n v="457.09"/>
    <n v="0"/>
    <n v="-457.09"/>
    <n v="0"/>
    <s v="PHI THETA KAPPA"/>
  </r>
  <r>
    <s v="1213"/>
    <s v="522"/>
    <s v="264"/>
    <s v="2357"/>
    <x v="17"/>
    <s v="EG"/>
    <s v="70"/>
    <m/>
    <m/>
    <x v="4"/>
    <n v="0"/>
    <n v="0"/>
    <n v="0"/>
    <n v="0"/>
    <n v="0"/>
    <s v="PHI THETA KAPPA"/>
  </r>
  <r>
    <s v="1213"/>
    <s v="522"/>
    <s v="264"/>
    <s v="2357"/>
    <x v="17"/>
    <s v="EG"/>
    <s v="RG"/>
    <m/>
    <m/>
    <x v="4"/>
    <n v="0"/>
    <n v="867"/>
    <n v="0"/>
    <n v="-867"/>
    <n v="0"/>
    <s v="PHI THETA KAPPA"/>
  </r>
  <r>
    <s v="1213"/>
    <s v="522"/>
    <s v="264"/>
    <s v="2357"/>
    <x v="17"/>
    <s v="ER"/>
    <s v="00"/>
    <m/>
    <m/>
    <x v="4"/>
    <n v="0"/>
    <n v="0"/>
    <n v="0"/>
    <n v="0"/>
    <n v="0"/>
    <s v="PHI THETA KAPPA"/>
  </r>
  <r>
    <s v="1213"/>
    <s v="522"/>
    <s v="264"/>
    <s v="2357"/>
    <x v="17"/>
    <s v="EZ"/>
    <s v="20"/>
    <m/>
    <m/>
    <x v="4"/>
    <n v="0"/>
    <n v="11.5"/>
    <n v="0"/>
    <n v="-11.5"/>
    <n v="0"/>
    <s v="PHI THETA KAPPA"/>
  </r>
  <r>
    <s v="1213"/>
    <s v="522"/>
    <s v="264"/>
    <s v="2357"/>
    <x v="17"/>
    <s v="EZ"/>
    <s v="30"/>
    <m/>
    <m/>
    <x v="4"/>
    <n v="0"/>
    <n v="875.86"/>
    <n v="0"/>
    <n v="-875.86"/>
    <n v="0"/>
    <s v="PHI THETA KAPPA"/>
  </r>
  <r>
    <s v="1213"/>
    <s v="522"/>
    <s v="264"/>
    <s v="2357"/>
    <x v="17"/>
    <s v="G"/>
    <m/>
    <m/>
    <m/>
    <x v="5"/>
    <n v="0"/>
    <n v="0"/>
    <n v="0"/>
    <n v="0"/>
    <n v="0"/>
    <s v="PHI THETA KAPPA"/>
  </r>
  <r>
    <s v="1213"/>
    <s v="522"/>
    <s v="264"/>
    <s v="2357"/>
    <x v="17"/>
    <s v="GB"/>
    <s v="00"/>
    <m/>
    <m/>
    <x v="5"/>
    <n v="0"/>
    <n v="629.4"/>
    <n v="0"/>
    <n v="-629.4"/>
    <n v="0"/>
    <s v="PHI THETA KAPPA"/>
  </r>
  <r>
    <s v="1213"/>
    <s v="522"/>
    <s v="264"/>
    <s v="2357"/>
    <x v="17"/>
    <s v="GD"/>
    <s v="00"/>
    <m/>
    <m/>
    <x v="5"/>
    <n v="0"/>
    <n v="132"/>
    <n v="0"/>
    <n v="-132"/>
    <n v="0"/>
    <s v="PHI THETA KAPPA"/>
  </r>
  <r>
    <s v="1213"/>
    <s v="522"/>
    <s v="264"/>
    <s v="2357"/>
    <x v="17"/>
    <s v="GD"/>
    <s v="10"/>
    <m/>
    <m/>
    <x v="5"/>
    <n v="0"/>
    <n v="9.5"/>
    <n v="0"/>
    <n v="-9.5"/>
    <n v="0"/>
    <s v="PHI THETA KAPPA"/>
  </r>
  <r>
    <s v="1213"/>
    <s v="522"/>
    <s v="264"/>
    <s v="2357"/>
    <x v="17"/>
    <s v="GD"/>
    <s v="30"/>
    <m/>
    <m/>
    <x v="5"/>
    <n v="0"/>
    <n v="67.64"/>
    <n v="0"/>
    <n v="-67.64"/>
    <n v="0"/>
    <s v="PHI THETA KAPPA"/>
  </r>
  <r>
    <s v="1213"/>
    <s v="522"/>
    <s v="264"/>
    <s v="2357"/>
    <x v="17"/>
    <s v="GD"/>
    <s v="70"/>
    <m/>
    <m/>
    <x v="5"/>
    <n v="0"/>
    <n v="748.58"/>
    <n v="0"/>
    <n v="-748.58"/>
    <n v="0"/>
    <s v="PHI THETA KAPPA"/>
  </r>
  <r>
    <s v="1213"/>
    <s v="522"/>
    <s v="264"/>
    <s v="2357"/>
    <x v="17"/>
    <s v="GF"/>
    <s v="00"/>
    <m/>
    <m/>
    <x v="5"/>
    <n v="0"/>
    <n v="1868.35"/>
    <n v="0"/>
    <n v="-1868.35"/>
    <n v="0"/>
    <s v="PHI THETA KAPPA"/>
  </r>
  <r>
    <s v="1213"/>
    <s v="522"/>
    <s v="264"/>
    <s v="2357"/>
    <x v="17"/>
    <s v="GF"/>
    <s v="80"/>
    <m/>
    <m/>
    <x v="5"/>
    <n v="0"/>
    <n v="331.6"/>
    <n v="0"/>
    <n v="-331.6"/>
    <n v="0"/>
    <s v="PHI THETA KAPPA"/>
  </r>
  <r>
    <s v="1213"/>
    <s v="522"/>
    <s v="264"/>
    <s v="2357"/>
    <x v="17"/>
    <s v="GG"/>
    <s v="00"/>
    <m/>
    <m/>
    <x v="5"/>
    <n v="0"/>
    <n v="1510.8"/>
    <n v="0"/>
    <n v="-1510.8"/>
    <n v="0"/>
    <s v="PHI THETA KAPPA"/>
  </r>
  <r>
    <s v="1213"/>
    <s v="522"/>
    <s v="264"/>
    <s v="2360"/>
    <x v="18"/>
    <m/>
    <m/>
    <s v="0499"/>
    <s v="6D"/>
    <x v="0"/>
    <n v="0"/>
    <n v="-6385.65"/>
    <n v="0"/>
    <n v="6385.65"/>
    <n v="0"/>
    <s v="DELTA EPSILON CHI"/>
  </r>
  <r>
    <s v="1213"/>
    <s v="522"/>
    <s v="264"/>
    <s v="2360"/>
    <x v="18"/>
    <m/>
    <m/>
    <s v="0782"/>
    <m/>
    <x v="10"/>
    <n v="0"/>
    <n v="0"/>
    <n v="0"/>
    <n v="0"/>
    <n v="0"/>
    <s v="DELTA EPSILON CHI"/>
  </r>
  <r>
    <s v="1213"/>
    <s v="522"/>
    <s v="264"/>
    <s v="2360"/>
    <x v="18"/>
    <s v="E"/>
    <m/>
    <m/>
    <m/>
    <x v="4"/>
    <n v="36847"/>
    <n v="0"/>
    <n v="0"/>
    <n v="36847"/>
    <n v="0"/>
    <s v="DELTA EPSILON CHI"/>
  </r>
  <r>
    <s v="1213"/>
    <s v="522"/>
    <s v="264"/>
    <s v="2360"/>
    <x v="18"/>
    <s v="EA"/>
    <s v="00"/>
    <m/>
    <m/>
    <x v="4"/>
    <n v="0"/>
    <n v="992.92"/>
    <n v="0"/>
    <n v="-992.92"/>
    <n v="0"/>
    <s v="DELTA EPSILON CHI"/>
  </r>
  <r>
    <s v="1213"/>
    <s v="522"/>
    <s v="264"/>
    <s v="2360"/>
    <x v="18"/>
    <s v="EE"/>
    <s v="CL"/>
    <m/>
    <m/>
    <x v="4"/>
    <n v="0"/>
    <n v="208.71"/>
    <n v="0"/>
    <n v="-208.71"/>
    <n v="0"/>
    <s v="DELTA EPSILON CHI"/>
  </r>
  <r>
    <s v="1213"/>
    <s v="522"/>
    <s v="264"/>
    <s v="2360"/>
    <x v="18"/>
    <s v="EE"/>
    <s v="CM"/>
    <m/>
    <m/>
    <x v="4"/>
    <n v="0"/>
    <n v="211.15"/>
    <n v="0"/>
    <n v="-211.15"/>
    <n v="0"/>
    <s v="DELTA EPSILON CHI"/>
  </r>
  <r>
    <s v="1213"/>
    <s v="522"/>
    <s v="264"/>
    <s v="2360"/>
    <x v="18"/>
    <s v="EG"/>
    <s v="70"/>
    <m/>
    <m/>
    <x v="4"/>
    <n v="0"/>
    <n v="260"/>
    <n v="0"/>
    <n v="-260"/>
    <n v="0"/>
    <s v="DELTA EPSILON CHI"/>
  </r>
  <r>
    <s v="1213"/>
    <s v="522"/>
    <s v="264"/>
    <s v="2360"/>
    <x v="18"/>
    <s v="EG"/>
    <s v="RG"/>
    <m/>
    <m/>
    <x v="4"/>
    <n v="0"/>
    <n v="8621.68"/>
    <n v="0"/>
    <n v="-8621.68"/>
    <n v="0"/>
    <s v="DELTA EPSILON CHI"/>
  </r>
  <r>
    <s v="1213"/>
    <s v="522"/>
    <s v="264"/>
    <s v="2360"/>
    <x v="18"/>
    <s v="EZ"/>
    <s v="00"/>
    <m/>
    <m/>
    <x v="4"/>
    <n v="0"/>
    <n v="14"/>
    <n v="0"/>
    <n v="-14"/>
    <n v="0"/>
    <s v="DELTA EPSILON CHI"/>
  </r>
  <r>
    <s v="1213"/>
    <s v="522"/>
    <s v="264"/>
    <s v="2360"/>
    <x v="18"/>
    <s v="EZ"/>
    <s v="20"/>
    <m/>
    <m/>
    <x v="4"/>
    <n v="0"/>
    <n v="288.89999999999998"/>
    <n v="0"/>
    <n v="-288.89999999999998"/>
    <n v="0"/>
    <s v="DELTA EPSILON CHI"/>
  </r>
  <r>
    <s v="1213"/>
    <s v="522"/>
    <s v="264"/>
    <s v="2360"/>
    <x v="18"/>
    <s v="EZ"/>
    <s v="30"/>
    <m/>
    <m/>
    <x v="4"/>
    <n v="0"/>
    <n v="1453.54"/>
    <n v="0"/>
    <n v="-1453.54"/>
    <n v="0"/>
    <s v="DELTA EPSILON CHI"/>
  </r>
  <r>
    <s v="1213"/>
    <s v="522"/>
    <s v="264"/>
    <s v="2360"/>
    <x v="18"/>
    <s v="G"/>
    <m/>
    <m/>
    <m/>
    <x v="5"/>
    <n v="0"/>
    <n v="0"/>
    <n v="0"/>
    <n v="0"/>
    <n v="0"/>
    <s v="DELTA EPSILON CHI"/>
  </r>
  <r>
    <s v="1213"/>
    <s v="522"/>
    <s v="264"/>
    <s v="2360"/>
    <x v="18"/>
    <s v="GA"/>
    <s v="00"/>
    <m/>
    <m/>
    <x v="5"/>
    <n v="0"/>
    <n v="4954.84"/>
    <n v="0"/>
    <n v="-4954.84"/>
    <n v="0"/>
    <s v="DELTA EPSILON CHI"/>
  </r>
  <r>
    <s v="1213"/>
    <s v="522"/>
    <s v="264"/>
    <s v="2360"/>
    <x v="18"/>
    <s v="GB"/>
    <s v="00"/>
    <m/>
    <m/>
    <x v="5"/>
    <n v="0"/>
    <n v="18"/>
    <n v="0"/>
    <n v="-18"/>
    <n v="0"/>
    <s v="DELTA EPSILON CHI"/>
  </r>
  <r>
    <s v="1213"/>
    <s v="522"/>
    <s v="264"/>
    <s v="2360"/>
    <x v="18"/>
    <s v="GD"/>
    <s v="00"/>
    <m/>
    <m/>
    <x v="5"/>
    <n v="0"/>
    <n v="752"/>
    <n v="0"/>
    <n v="-752"/>
    <n v="0"/>
    <s v="DELTA EPSILON CHI"/>
  </r>
  <r>
    <s v="1213"/>
    <s v="522"/>
    <s v="264"/>
    <s v="2360"/>
    <x v="18"/>
    <s v="GD"/>
    <s v="20"/>
    <m/>
    <m/>
    <x v="5"/>
    <n v="0"/>
    <n v="1650"/>
    <n v="0"/>
    <n v="-1650"/>
    <n v="0"/>
    <s v="DELTA EPSILON CHI"/>
  </r>
  <r>
    <s v="1213"/>
    <s v="522"/>
    <s v="264"/>
    <s v="2360"/>
    <x v="18"/>
    <s v="GD"/>
    <s v="60"/>
    <m/>
    <m/>
    <x v="5"/>
    <n v="0"/>
    <n v="354.49"/>
    <n v="0"/>
    <n v="-354.49"/>
    <n v="0"/>
    <s v="DELTA EPSILON CHI"/>
  </r>
  <r>
    <s v="1213"/>
    <s v="522"/>
    <s v="264"/>
    <s v="2360"/>
    <x v="18"/>
    <s v="GD"/>
    <s v="70"/>
    <m/>
    <m/>
    <x v="5"/>
    <n v="0"/>
    <n v="299.10000000000002"/>
    <n v="0"/>
    <n v="-299.10000000000002"/>
    <n v="0"/>
    <s v="DELTA EPSILON CHI"/>
  </r>
  <r>
    <s v="1213"/>
    <s v="522"/>
    <s v="264"/>
    <s v="2360"/>
    <x v="18"/>
    <s v="GF"/>
    <s v="00"/>
    <m/>
    <m/>
    <x v="5"/>
    <n v="0"/>
    <n v="4033"/>
    <n v="0"/>
    <n v="-4033"/>
    <n v="0"/>
    <s v="DELTA EPSILON CHI"/>
  </r>
  <r>
    <s v="1213"/>
    <s v="522"/>
    <s v="264"/>
    <s v="2360"/>
    <x v="18"/>
    <s v="GF"/>
    <s v="80"/>
    <m/>
    <m/>
    <x v="5"/>
    <n v="0"/>
    <n v="331.6"/>
    <n v="0"/>
    <n v="-331.6"/>
    <n v="0"/>
    <s v="DELTA EPSILON CHI"/>
  </r>
  <r>
    <s v="1213"/>
    <s v="522"/>
    <s v="264"/>
    <s v="2360"/>
    <x v="18"/>
    <s v="GG"/>
    <s v="00"/>
    <m/>
    <m/>
    <x v="5"/>
    <n v="0"/>
    <n v="6821.2"/>
    <n v="0"/>
    <n v="-6821.2"/>
    <n v="0"/>
    <s v="DELTA EPSILON CHI"/>
  </r>
  <r>
    <s v="1213"/>
    <s v="522"/>
    <s v="264"/>
    <s v="2360"/>
    <x v="18"/>
    <s v="KA"/>
    <m/>
    <m/>
    <m/>
    <x v="7"/>
    <n v="0"/>
    <n v="908.63"/>
    <n v="0"/>
    <n v="-908.63"/>
    <n v="0"/>
    <s v="DELTA EPSILON CHI"/>
  </r>
  <r>
    <s v="1213"/>
    <s v="522"/>
    <s v="264"/>
    <s v="2360"/>
    <x v="18"/>
    <s v="NB"/>
    <m/>
    <m/>
    <m/>
    <x v="11"/>
    <n v="0"/>
    <n v="0"/>
    <n v="0"/>
    <n v="0"/>
    <n v="0"/>
    <s v="DELTA EPSILON CHI"/>
  </r>
  <r>
    <s v="1213"/>
    <s v="522"/>
    <s v="264"/>
    <s v="2363"/>
    <x v="19"/>
    <m/>
    <m/>
    <s v="0430"/>
    <m/>
    <x v="0"/>
    <n v="0"/>
    <n v="-820"/>
    <n v="0"/>
    <n v="820"/>
    <n v="0"/>
    <s v="TIMBER SPORTS"/>
  </r>
  <r>
    <s v="1213"/>
    <s v="522"/>
    <s v="264"/>
    <s v="2363"/>
    <x v="19"/>
    <m/>
    <m/>
    <s v="0499"/>
    <s v="9Q"/>
    <x v="0"/>
    <n v="0"/>
    <n v="-163.05000000000001"/>
    <n v="0"/>
    <n v="163.05000000000001"/>
    <n v="0"/>
    <s v="TIMBER SPORTS"/>
  </r>
  <r>
    <s v="1213"/>
    <s v="522"/>
    <s v="264"/>
    <s v="2363"/>
    <x v="19"/>
    <s v="B"/>
    <m/>
    <m/>
    <m/>
    <x v="9"/>
    <n v="0"/>
    <n v="0"/>
    <n v="0"/>
    <n v="0"/>
    <n v="0"/>
    <s v="TIMBER SPORTS"/>
  </r>
  <r>
    <s v="1213"/>
    <s v="522"/>
    <s v="264"/>
    <s v="2363"/>
    <x v="19"/>
    <s v="BA"/>
    <m/>
    <m/>
    <m/>
    <x v="9"/>
    <n v="0"/>
    <n v="3.34"/>
    <n v="0"/>
    <n v="-3.34"/>
    <n v="0"/>
    <s v="TIMBER SPORTS"/>
  </r>
  <r>
    <s v="1213"/>
    <s v="522"/>
    <s v="264"/>
    <s v="2363"/>
    <x v="19"/>
    <s v="E"/>
    <m/>
    <m/>
    <m/>
    <x v="4"/>
    <n v="19160"/>
    <n v="0"/>
    <n v="0"/>
    <n v="19160"/>
    <n v="0"/>
    <s v="TIMBER SPORTS"/>
  </r>
  <r>
    <s v="1213"/>
    <s v="522"/>
    <s v="264"/>
    <s v="2363"/>
    <x v="19"/>
    <s v="EA"/>
    <s v="00"/>
    <m/>
    <m/>
    <x v="4"/>
    <n v="0"/>
    <n v="2711.6"/>
    <n v="0"/>
    <n v="-2711.6"/>
    <n v="0"/>
    <s v="TIMBER SPORTS"/>
  </r>
  <r>
    <s v="1213"/>
    <s v="522"/>
    <s v="264"/>
    <s v="2363"/>
    <x v="19"/>
    <s v="EG"/>
    <s v="RG"/>
    <m/>
    <m/>
    <x v="4"/>
    <n v="0"/>
    <n v="4375"/>
    <n v="0"/>
    <n v="-4375"/>
    <n v="0"/>
    <s v="TIMBER SPORTS"/>
  </r>
  <r>
    <s v="1213"/>
    <s v="522"/>
    <s v="264"/>
    <s v="2363"/>
    <x v="19"/>
    <s v="EZ"/>
    <s v="00"/>
    <m/>
    <m/>
    <x v="4"/>
    <n v="0"/>
    <n v="0"/>
    <n v="0"/>
    <n v="0"/>
    <n v="0"/>
    <s v="TIMBER SPORTS"/>
  </r>
  <r>
    <s v="1213"/>
    <s v="522"/>
    <s v="264"/>
    <s v="2363"/>
    <x v="19"/>
    <s v="G"/>
    <m/>
    <m/>
    <m/>
    <x v="5"/>
    <n v="0"/>
    <n v="0"/>
    <n v="0"/>
    <n v="0"/>
    <n v="0"/>
    <s v="TIMBER SPORTS"/>
  </r>
  <r>
    <s v="1213"/>
    <s v="522"/>
    <s v="264"/>
    <s v="2363"/>
    <x v="19"/>
    <s v="GA"/>
    <s v="00"/>
    <m/>
    <m/>
    <x v="5"/>
    <n v="0"/>
    <n v="138"/>
    <n v="0"/>
    <n v="-138"/>
    <n v="0"/>
    <s v="TIMBER SPORTS"/>
  </r>
  <r>
    <s v="1213"/>
    <s v="522"/>
    <s v="264"/>
    <s v="2363"/>
    <x v="19"/>
    <s v="GC"/>
    <s v="10"/>
    <m/>
    <m/>
    <x v="5"/>
    <n v="0"/>
    <n v="76.14"/>
    <n v="0"/>
    <n v="-76.14"/>
    <n v="0"/>
    <s v="TIMBER SPORTS"/>
  </r>
  <r>
    <s v="1213"/>
    <s v="522"/>
    <s v="264"/>
    <s v="2363"/>
    <x v="19"/>
    <s v="GC"/>
    <s v="20"/>
    <m/>
    <m/>
    <x v="5"/>
    <n v="0"/>
    <n v="210.2"/>
    <n v="0"/>
    <n v="-210.2"/>
    <n v="0"/>
    <s v="TIMBER SPORTS"/>
  </r>
  <r>
    <s v="1213"/>
    <s v="522"/>
    <s v="264"/>
    <s v="2363"/>
    <x v="19"/>
    <s v="GF"/>
    <s v="00"/>
    <m/>
    <m/>
    <x v="5"/>
    <n v="0"/>
    <n v="1612.31"/>
    <n v="0"/>
    <n v="-1612.31"/>
    <n v="0"/>
    <s v="TIMBER SPORTS"/>
  </r>
  <r>
    <s v="1213"/>
    <s v="522"/>
    <s v="264"/>
    <s v="2370"/>
    <x v="20"/>
    <m/>
    <m/>
    <s v="0499"/>
    <s v="6G"/>
    <x v="0"/>
    <n v="0"/>
    <n v="-4402"/>
    <n v="0"/>
    <n v="4402"/>
    <n v="0"/>
    <s v="RHO BETA PSI"/>
  </r>
  <r>
    <s v="1213"/>
    <s v="522"/>
    <s v="264"/>
    <s v="2370"/>
    <x v="20"/>
    <m/>
    <m/>
    <s v="0782"/>
    <m/>
    <x v="10"/>
    <n v="0"/>
    <n v="-869"/>
    <n v="0"/>
    <n v="869"/>
    <n v="0"/>
    <s v="RHO BETA PSI"/>
  </r>
  <r>
    <s v="1213"/>
    <s v="522"/>
    <s v="264"/>
    <s v="2370"/>
    <x v="20"/>
    <s v="E"/>
    <m/>
    <m/>
    <m/>
    <x v="4"/>
    <n v="12150"/>
    <n v="0"/>
    <n v="0"/>
    <n v="12150"/>
    <n v="0"/>
    <s v="RHO BETA PSI"/>
  </r>
  <r>
    <s v="1213"/>
    <s v="522"/>
    <s v="264"/>
    <s v="2370"/>
    <x v="20"/>
    <s v="EA"/>
    <s v="00"/>
    <m/>
    <m/>
    <x v="4"/>
    <n v="0"/>
    <n v="2065.23"/>
    <n v="0"/>
    <n v="-2065.23"/>
    <n v="0"/>
    <s v="RHO BETA PSI"/>
  </r>
  <r>
    <s v="1213"/>
    <s v="522"/>
    <s v="264"/>
    <s v="2370"/>
    <x v="20"/>
    <s v="EG"/>
    <s v="RG"/>
    <m/>
    <m/>
    <x v="4"/>
    <n v="0"/>
    <n v="1760"/>
    <n v="0"/>
    <n v="-1760"/>
    <n v="0"/>
    <s v="RHO BETA PSI"/>
  </r>
  <r>
    <s v="1213"/>
    <s v="522"/>
    <s v="264"/>
    <s v="2370"/>
    <x v="20"/>
    <s v="EZ"/>
    <s v="00"/>
    <m/>
    <m/>
    <x v="4"/>
    <n v="0"/>
    <n v="0"/>
    <n v="0"/>
    <n v="0"/>
    <n v="0"/>
    <s v="RHO BETA PSI"/>
  </r>
  <r>
    <s v="1213"/>
    <s v="522"/>
    <s v="264"/>
    <s v="2370"/>
    <x v="20"/>
    <s v="G"/>
    <m/>
    <m/>
    <m/>
    <x v="5"/>
    <n v="0"/>
    <n v="0"/>
    <n v="0"/>
    <n v="0"/>
    <n v="0"/>
    <s v="RHO BETA PSI"/>
  </r>
  <r>
    <s v="1213"/>
    <s v="522"/>
    <s v="264"/>
    <s v="2370"/>
    <x v="20"/>
    <s v="GD"/>
    <s v="00"/>
    <m/>
    <m/>
    <x v="5"/>
    <n v="0"/>
    <n v="621.09"/>
    <n v="0"/>
    <n v="-621.09"/>
    <n v="0"/>
    <s v="RHO BETA PSI"/>
  </r>
  <r>
    <s v="1213"/>
    <s v="522"/>
    <s v="264"/>
    <s v="2370"/>
    <x v="20"/>
    <s v="GD"/>
    <s v="10"/>
    <m/>
    <m/>
    <x v="5"/>
    <n v="0"/>
    <n v="48"/>
    <n v="0"/>
    <n v="-48"/>
    <n v="0"/>
    <s v="RHO BETA PSI"/>
  </r>
  <r>
    <s v="1213"/>
    <s v="522"/>
    <s v="264"/>
    <s v="2370"/>
    <x v="20"/>
    <s v="GD"/>
    <s v="30"/>
    <m/>
    <m/>
    <x v="5"/>
    <n v="0"/>
    <n v="54.19"/>
    <n v="0"/>
    <n v="-54.19"/>
    <n v="0"/>
    <s v="RHO BETA PSI"/>
  </r>
  <r>
    <s v="1213"/>
    <s v="522"/>
    <s v="264"/>
    <s v="2370"/>
    <x v="20"/>
    <s v="GD"/>
    <s v="50"/>
    <m/>
    <m/>
    <x v="5"/>
    <n v="0"/>
    <n v="73"/>
    <n v="0"/>
    <n v="-73"/>
    <n v="0"/>
    <s v="RHO BETA PSI"/>
  </r>
  <r>
    <s v="1213"/>
    <s v="522"/>
    <s v="264"/>
    <s v="2370"/>
    <x v="20"/>
    <s v="GD"/>
    <s v="70"/>
    <m/>
    <m/>
    <x v="5"/>
    <n v="0"/>
    <n v="997.61"/>
    <n v="0"/>
    <n v="-997.61"/>
    <n v="0"/>
    <s v="RHO BETA PSI"/>
  </r>
  <r>
    <s v="1213"/>
    <s v="522"/>
    <s v="264"/>
    <s v="2370"/>
    <x v="20"/>
    <s v="GF"/>
    <s v="00"/>
    <m/>
    <m/>
    <x v="5"/>
    <n v="0"/>
    <n v="5548.61"/>
    <n v="0"/>
    <n v="-5548.61"/>
    <n v="0"/>
    <s v="RHO BETA PSI"/>
  </r>
  <r>
    <s v="1213"/>
    <s v="522"/>
    <s v="264"/>
    <s v="2370"/>
    <x v="20"/>
    <s v="GF"/>
    <s v="80"/>
    <m/>
    <m/>
    <x v="5"/>
    <n v="0"/>
    <n v="496"/>
    <n v="0"/>
    <n v="-496"/>
    <n v="0"/>
    <s v="RHO BETA PSI"/>
  </r>
  <r>
    <s v="1213"/>
    <s v="522"/>
    <s v="264"/>
    <s v="2370"/>
    <x v="20"/>
    <s v="GG"/>
    <s v="00"/>
    <m/>
    <m/>
    <x v="5"/>
    <n v="0"/>
    <n v="4960"/>
    <n v="0"/>
    <n v="-4960"/>
    <n v="0"/>
    <s v="RHO BETA PSI"/>
  </r>
  <r>
    <s v="1213"/>
    <s v="522"/>
    <s v="264"/>
    <s v="2382"/>
    <x v="21"/>
    <m/>
    <m/>
    <s v="0424"/>
    <s v="#A"/>
    <x v="0"/>
    <n v="0"/>
    <n v="-167.82"/>
    <n v="0"/>
    <n v="167.82"/>
    <n v="0"/>
    <s v="ATHLETIC SCHOLARSHIP"/>
  </r>
  <r>
    <s v="1213"/>
    <s v="522"/>
    <s v="264"/>
    <s v="2382"/>
    <x v="21"/>
    <m/>
    <m/>
    <s v="0424"/>
    <s v="#B"/>
    <x v="0"/>
    <n v="0"/>
    <n v="-21.29"/>
    <n v="0"/>
    <n v="21.29"/>
    <n v="0"/>
    <s v="ATHLETIC SCHOLARSHIP"/>
  </r>
  <r>
    <s v="1213"/>
    <s v="522"/>
    <s v="264"/>
    <s v="2382"/>
    <x v="21"/>
    <m/>
    <m/>
    <s v="0424"/>
    <s v="#G"/>
    <x v="0"/>
    <n v="0"/>
    <n v="-311.47000000000003"/>
    <n v="0"/>
    <n v="311.47000000000003"/>
    <n v="0"/>
    <s v="ATHLETIC SCHOLARSHIP"/>
  </r>
  <r>
    <s v="1213"/>
    <s v="522"/>
    <s v="264"/>
    <s v="2382"/>
    <x v="21"/>
    <m/>
    <m/>
    <s v="0424"/>
    <s v="#P"/>
    <x v="0"/>
    <n v="0"/>
    <n v="-129.54"/>
    <n v="0"/>
    <n v="129.54"/>
    <n v="0"/>
    <s v="ATHLETIC SCHOLARSHIP"/>
  </r>
  <r>
    <s v="1213"/>
    <s v="522"/>
    <s v="264"/>
    <s v="2382"/>
    <x v="21"/>
    <m/>
    <m/>
    <s v="0424"/>
    <s v="+1"/>
    <x v="0"/>
    <n v="0"/>
    <n v="-27.48"/>
    <n v="0"/>
    <n v="27.48"/>
    <n v="0"/>
    <s v="ATHLETIC SCHOLARSHIP"/>
  </r>
  <r>
    <s v="1213"/>
    <s v="522"/>
    <s v="264"/>
    <s v="2382"/>
    <x v="21"/>
    <m/>
    <m/>
    <s v="0424"/>
    <s v="+2"/>
    <x v="0"/>
    <n v="0"/>
    <n v="-1.84"/>
    <n v="0"/>
    <n v="1.84"/>
    <n v="0"/>
    <s v="ATHLETIC SCHOLARSHIP"/>
  </r>
  <r>
    <s v="1213"/>
    <s v="522"/>
    <s v="264"/>
    <s v="2382"/>
    <x v="21"/>
    <m/>
    <m/>
    <s v="0424"/>
    <s v="+A"/>
    <x v="0"/>
    <n v="0"/>
    <n v="-5655.46"/>
    <n v="0"/>
    <n v="5655.46"/>
    <n v="0"/>
    <s v="ATHLETIC SCHOLARSHIP"/>
  </r>
  <r>
    <s v="1213"/>
    <s v="522"/>
    <s v="264"/>
    <s v="2382"/>
    <x v="21"/>
    <m/>
    <m/>
    <s v="0424"/>
    <s v="+G"/>
    <x v="0"/>
    <n v="0"/>
    <n v="-10037.209999999999"/>
    <n v="0"/>
    <n v="10037.209999999999"/>
    <n v="0"/>
    <s v="ATHLETIC SCHOLARSHIP"/>
  </r>
  <r>
    <s v="1213"/>
    <s v="522"/>
    <s v="264"/>
    <s v="2382"/>
    <x v="21"/>
    <m/>
    <m/>
    <s v="0424"/>
    <s v="+H"/>
    <x v="0"/>
    <n v="0"/>
    <n v="-96"/>
    <n v="0"/>
    <n v="96"/>
    <n v="0"/>
    <s v="ATHLETIC SCHOLARSHIP"/>
  </r>
  <r>
    <s v="1213"/>
    <s v="522"/>
    <s v="264"/>
    <s v="2382"/>
    <x v="21"/>
    <m/>
    <m/>
    <s v="0424"/>
    <s v="+M"/>
    <x v="0"/>
    <n v="0"/>
    <n v="-931.68"/>
    <n v="0"/>
    <n v="931.68"/>
    <n v="0"/>
    <s v="ATHLETIC SCHOLARSHIP"/>
  </r>
  <r>
    <s v="1213"/>
    <s v="522"/>
    <s v="264"/>
    <s v="2382"/>
    <x v="21"/>
    <m/>
    <m/>
    <s v="0424"/>
    <s v="TN"/>
    <x v="0"/>
    <n v="0"/>
    <n v="-514.16999999999996"/>
    <n v="0"/>
    <n v="514.16999999999996"/>
    <n v="0"/>
    <s v="ATHLETIC SCHOLARSHIP"/>
  </r>
  <r>
    <s v="1213"/>
    <s v="522"/>
    <s v="264"/>
    <s v="2382"/>
    <x v="21"/>
    <m/>
    <m/>
    <s v="0424"/>
    <s v="TR"/>
    <x v="0"/>
    <n v="0"/>
    <n v="-70701.850000000006"/>
    <n v="0"/>
    <n v="70701.850000000006"/>
    <n v="0"/>
    <s v="ATHLETIC SCHOLARSHIP"/>
  </r>
  <r>
    <s v="1213"/>
    <s v="522"/>
    <s v="264"/>
    <s v="2382"/>
    <x v="21"/>
    <m/>
    <m/>
    <s v="0622"/>
    <m/>
    <x v="2"/>
    <n v="0"/>
    <n v="64553"/>
    <n v="0"/>
    <n v="-64553"/>
    <n v="0"/>
    <s v="ATHLETIC SCHOLARSHIP"/>
  </r>
  <r>
    <s v="1213"/>
    <s v="522"/>
    <s v="264"/>
    <s v="2382"/>
    <x v="21"/>
    <m/>
    <m/>
    <s v="0999"/>
    <m/>
    <x v="3"/>
    <n v="0"/>
    <n v="-70.260000000000005"/>
    <n v="0"/>
    <n v="70.260000000000005"/>
    <n v="0"/>
    <s v="ATHLETIC SCHOLARSHIP"/>
  </r>
  <r>
    <s v="1213"/>
    <s v="522"/>
    <s v="264"/>
    <s v="2383"/>
    <x v="22"/>
    <m/>
    <m/>
    <s v="0424"/>
    <s v="#A"/>
    <x v="0"/>
    <n v="0"/>
    <n v="-125.23"/>
    <n v="0"/>
    <n v="125.23"/>
    <n v="0"/>
    <s v="S&amp;A FINANCIAL AID"/>
  </r>
  <r>
    <s v="1213"/>
    <s v="522"/>
    <s v="264"/>
    <s v="2383"/>
    <x v="22"/>
    <m/>
    <m/>
    <s v="0424"/>
    <s v="#B"/>
    <x v="0"/>
    <n v="0"/>
    <n v="-15.89"/>
    <n v="0"/>
    <n v="15.89"/>
    <n v="0"/>
    <s v="S&amp;A FINANCIAL AID"/>
  </r>
  <r>
    <s v="1213"/>
    <s v="522"/>
    <s v="264"/>
    <s v="2383"/>
    <x v="22"/>
    <m/>
    <m/>
    <s v="0424"/>
    <s v="#G"/>
    <x v="0"/>
    <n v="0"/>
    <n v="-232.45"/>
    <n v="0"/>
    <n v="232.45"/>
    <n v="0"/>
    <s v="S&amp;A FINANCIAL AID"/>
  </r>
  <r>
    <s v="1213"/>
    <s v="522"/>
    <s v="264"/>
    <s v="2383"/>
    <x v="22"/>
    <m/>
    <m/>
    <s v="0424"/>
    <s v="#P"/>
    <x v="0"/>
    <n v="0"/>
    <n v="-96.67"/>
    <n v="0"/>
    <n v="96.67"/>
    <n v="0"/>
    <s v="S&amp;A FINANCIAL AID"/>
  </r>
  <r>
    <s v="1213"/>
    <s v="522"/>
    <s v="264"/>
    <s v="2383"/>
    <x v="22"/>
    <m/>
    <m/>
    <s v="0424"/>
    <s v="+1"/>
    <x v="0"/>
    <n v="0"/>
    <n v="-20.52"/>
    <n v="0"/>
    <n v="20.52"/>
    <n v="0"/>
    <s v="S&amp;A FINANCIAL AID"/>
  </r>
  <r>
    <s v="1213"/>
    <s v="522"/>
    <s v="264"/>
    <s v="2383"/>
    <x v="22"/>
    <m/>
    <m/>
    <s v="0424"/>
    <s v="+2"/>
    <x v="0"/>
    <n v="0"/>
    <n v="-1.37"/>
    <n v="0"/>
    <n v="1.37"/>
    <n v="0"/>
    <s v="S&amp;A FINANCIAL AID"/>
  </r>
  <r>
    <s v="1213"/>
    <s v="522"/>
    <s v="264"/>
    <s v="2383"/>
    <x v="22"/>
    <m/>
    <m/>
    <s v="0424"/>
    <s v="+A"/>
    <x v="0"/>
    <n v="0"/>
    <n v="-4220.49"/>
    <n v="0"/>
    <n v="4220.49"/>
    <n v="0"/>
    <s v="S&amp;A FINANCIAL AID"/>
  </r>
  <r>
    <s v="1213"/>
    <s v="522"/>
    <s v="264"/>
    <s v="2383"/>
    <x v="22"/>
    <m/>
    <m/>
    <s v="0424"/>
    <s v="+G"/>
    <x v="0"/>
    <n v="0"/>
    <n v="-7490.46"/>
    <n v="0"/>
    <n v="7490.46"/>
    <n v="0"/>
    <s v="S&amp;A FINANCIAL AID"/>
  </r>
  <r>
    <s v="1213"/>
    <s v="522"/>
    <s v="264"/>
    <s v="2383"/>
    <x v="22"/>
    <m/>
    <m/>
    <s v="0424"/>
    <s v="+H"/>
    <x v="0"/>
    <n v="0"/>
    <n v="-71.64"/>
    <n v="0"/>
    <n v="71.64"/>
    <n v="0"/>
    <s v="S&amp;A FINANCIAL AID"/>
  </r>
  <r>
    <s v="1213"/>
    <s v="522"/>
    <s v="264"/>
    <s v="2383"/>
    <x v="22"/>
    <m/>
    <m/>
    <s v="0424"/>
    <s v="+M"/>
    <x v="0"/>
    <n v="0"/>
    <n v="-695.3"/>
    <n v="0"/>
    <n v="695.3"/>
    <n v="0"/>
    <s v="S&amp;A FINANCIAL AID"/>
  </r>
  <r>
    <s v="1213"/>
    <s v="522"/>
    <s v="264"/>
    <s v="2383"/>
    <x v="22"/>
    <m/>
    <m/>
    <s v="0424"/>
    <s v="TN"/>
    <x v="0"/>
    <n v="0"/>
    <n v="-383.71"/>
    <n v="0"/>
    <n v="383.71"/>
    <n v="0"/>
    <s v="S&amp;A FINANCIAL AID"/>
  </r>
  <r>
    <s v="1213"/>
    <s v="522"/>
    <s v="264"/>
    <s v="2383"/>
    <x v="22"/>
    <m/>
    <m/>
    <s v="0424"/>
    <s v="TR"/>
    <x v="0"/>
    <n v="0"/>
    <n v="-52762.57"/>
    <n v="0"/>
    <n v="52762.57"/>
    <n v="0"/>
    <s v="S&amp;A FINANCIAL AID"/>
  </r>
  <r>
    <s v="1213"/>
    <s v="522"/>
    <s v="264"/>
    <s v="2383"/>
    <x v="22"/>
    <m/>
    <m/>
    <s v="0999"/>
    <m/>
    <x v="3"/>
    <n v="0"/>
    <n v="-112915.26"/>
    <n v="0"/>
    <n v="112915.26"/>
    <n v="0"/>
    <s v="S&amp;A FINANCIAL AID"/>
  </r>
  <r>
    <s v="1213"/>
    <s v="522"/>
    <s v="264"/>
    <s v="2383"/>
    <x v="22"/>
    <s v="NZ"/>
    <m/>
    <m/>
    <m/>
    <x v="11"/>
    <n v="0"/>
    <n v="133426.79999999999"/>
    <n v="0"/>
    <n v="-133426.79999999999"/>
    <n v="0"/>
    <s v="S&amp;A FINANCIAL AID"/>
  </r>
  <r>
    <s v="1213"/>
    <s v="522"/>
    <s v="264"/>
    <s v="2385"/>
    <x v="23"/>
    <s v="E"/>
    <m/>
    <m/>
    <m/>
    <x v="4"/>
    <n v="0"/>
    <n v="0"/>
    <n v="0"/>
    <n v="0"/>
    <n v="0"/>
    <s v="SODEXO - SCC CLUBS"/>
  </r>
  <r>
    <s v="1213"/>
    <s v="522"/>
    <s v="264"/>
    <s v="2385"/>
    <x v="23"/>
    <s v="EZ"/>
    <s v="30"/>
    <m/>
    <m/>
    <x v="4"/>
    <n v="0"/>
    <n v="0"/>
    <n v="0"/>
    <n v="0"/>
    <n v="0"/>
    <s v="SODEXO - SCC CLUBS"/>
  </r>
  <r>
    <s v="1213"/>
    <s v="522"/>
    <s v="264"/>
    <s v="2387"/>
    <x v="24"/>
    <s v="G"/>
    <m/>
    <m/>
    <m/>
    <x v="5"/>
    <n v="0"/>
    <n v="0"/>
    <n v="0"/>
    <n v="0"/>
    <n v="0"/>
    <s v="SAFE GRANT"/>
  </r>
  <r>
    <s v="1213"/>
    <s v="522"/>
    <s v="264"/>
    <s v="2387"/>
    <x v="24"/>
    <s v="GD"/>
    <s v="20"/>
    <m/>
    <m/>
    <x v="5"/>
    <n v="0"/>
    <n v="45"/>
    <n v="0"/>
    <n v="-45"/>
    <n v="0"/>
    <s v="SAFE GRANT"/>
  </r>
  <r>
    <s v="1213"/>
    <s v="522"/>
    <s v="264"/>
    <s v="2387"/>
    <x v="24"/>
    <s v="NZ"/>
    <m/>
    <m/>
    <m/>
    <x v="11"/>
    <n v="0"/>
    <n v="-529.78"/>
    <n v="0"/>
    <n v="529.78"/>
    <n v="0"/>
    <s v="SAFE GRANT"/>
  </r>
  <r>
    <s v="1213"/>
    <s v="522"/>
    <s v="264"/>
    <s v="2399"/>
    <x v="25"/>
    <m/>
    <m/>
    <s v="0401"/>
    <m/>
    <x v="0"/>
    <n v="0"/>
    <n v="-668.8"/>
    <n v="0"/>
    <n v="668.8"/>
    <n v="0"/>
    <s v="FEE &amp; INT.REV.IRA"/>
  </r>
  <r>
    <s v="1213"/>
    <s v="522"/>
    <s v="264"/>
    <s v="2399"/>
    <x v="25"/>
    <m/>
    <m/>
    <s v="0424"/>
    <s v="+A"/>
    <x v="0"/>
    <n v="0"/>
    <n v="0"/>
    <n v="0"/>
    <n v="0"/>
    <n v="0"/>
    <s v="FEE &amp; INT.REV.IRA"/>
  </r>
  <r>
    <s v="1213"/>
    <s v="522"/>
    <s v="264"/>
    <s v="2399"/>
    <x v="25"/>
    <m/>
    <m/>
    <s v="0424"/>
    <s v="+G"/>
    <x v="0"/>
    <n v="0"/>
    <n v="0"/>
    <n v="0"/>
    <n v="0"/>
    <n v="0"/>
    <s v="FEE &amp; INT.REV.IRA"/>
  </r>
  <r>
    <s v="1213"/>
    <s v="522"/>
    <s v="264"/>
    <s v="2405"/>
    <x v="26"/>
    <s v="E"/>
    <m/>
    <m/>
    <m/>
    <x v="4"/>
    <n v="30000"/>
    <n v="0"/>
    <n v="0"/>
    <n v="30000"/>
    <n v="0"/>
    <s v="SCC BUS PASS MATCH"/>
  </r>
  <r>
    <s v="1213"/>
    <s v="522"/>
    <s v="264"/>
    <s v="2405"/>
    <x v="26"/>
    <s v="EZ"/>
    <s v="60"/>
    <m/>
    <m/>
    <x v="4"/>
    <n v="0"/>
    <n v="21727"/>
    <n v="0"/>
    <n v="-21727"/>
    <n v="0"/>
    <s v="SCC BUS PASS MATCH"/>
  </r>
  <r>
    <s v="1213"/>
    <s v="522"/>
    <s v="264"/>
    <s v="2406"/>
    <x v="27"/>
    <m/>
    <m/>
    <s v="0499"/>
    <m/>
    <x v="0"/>
    <n v="0"/>
    <n v="377"/>
    <n v="0"/>
    <n v="-377"/>
    <n v="0"/>
    <s v="BUS TICKET CLEARING"/>
  </r>
  <r>
    <s v="1213"/>
    <s v="522"/>
    <s v="264"/>
    <s v="2406"/>
    <x v="27"/>
    <m/>
    <m/>
    <s v="0499"/>
    <s v="OB"/>
    <x v="0"/>
    <n v="0"/>
    <n v="-377"/>
    <n v="0"/>
    <n v="377"/>
    <n v="0"/>
    <s v="BUS TICKET CLEARING"/>
  </r>
  <r>
    <s v="1213"/>
    <s v="522"/>
    <s v="264"/>
    <s v="2406"/>
    <x v="27"/>
    <s v="E"/>
    <m/>
    <m/>
    <m/>
    <x v="4"/>
    <n v="0"/>
    <n v="0"/>
    <n v="0"/>
    <n v="0"/>
    <n v="0"/>
    <s v="BUS TICKET CLEARING"/>
  </r>
  <r>
    <s v="1213"/>
    <s v="522"/>
    <s v="264"/>
    <s v="2407"/>
    <x v="28"/>
    <m/>
    <m/>
    <s v="0499"/>
    <s v="8F"/>
    <x v="0"/>
    <n v="0"/>
    <n v="-137"/>
    <n v="0"/>
    <n v="137"/>
    <n v="0"/>
    <s v="SCC FOOD BANK"/>
  </r>
  <r>
    <s v="1213"/>
    <s v="522"/>
    <s v="264"/>
    <s v="2407"/>
    <x v="28"/>
    <m/>
    <m/>
    <s v="0782"/>
    <m/>
    <x v="10"/>
    <n v="0"/>
    <n v="0"/>
    <n v="0"/>
    <n v="0"/>
    <n v="0"/>
    <s v="SCC FOOD BANK"/>
  </r>
  <r>
    <s v="1213"/>
    <s v="522"/>
    <s v="264"/>
    <s v="2407"/>
    <x v="28"/>
    <s v="E"/>
    <m/>
    <m/>
    <m/>
    <x v="4"/>
    <n v="18500"/>
    <n v="0"/>
    <n v="0"/>
    <n v="18500"/>
    <n v="0"/>
    <s v="SCC FOOD BANK"/>
  </r>
  <r>
    <s v="1213"/>
    <s v="522"/>
    <s v="264"/>
    <s v="2407"/>
    <x v="28"/>
    <s v="EA"/>
    <s v="00"/>
    <m/>
    <m/>
    <x v="4"/>
    <n v="0"/>
    <n v="889.7"/>
    <n v="0"/>
    <n v="-889.7"/>
    <n v="0"/>
    <s v="SCC FOOD BANK"/>
  </r>
  <r>
    <s v="1213"/>
    <s v="522"/>
    <s v="264"/>
    <s v="2407"/>
    <x v="28"/>
    <s v="EE"/>
    <s v="20"/>
    <m/>
    <m/>
    <x v="4"/>
    <n v="0"/>
    <n v="378.28"/>
    <n v="0"/>
    <n v="-378.28"/>
    <n v="0"/>
    <s v="SCC FOOD BANK"/>
  </r>
  <r>
    <s v="1213"/>
    <s v="522"/>
    <s v="264"/>
    <s v="2407"/>
    <x v="28"/>
    <s v="EE"/>
    <s v="CL"/>
    <m/>
    <m/>
    <x v="4"/>
    <n v="0"/>
    <n v="76.2"/>
    <n v="0"/>
    <n v="-76.2"/>
    <n v="0"/>
    <s v="SCC FOOD BANK"/>
  </r>
  <r>
    <s v="1213"/>
    <s v="522"/>
    <s v="264"/>
    <s v="2407"/>
    <x v="28"/>
    <s v="EE"/>
    <s v="CM"/>
    <m/>
    <m/>
    <x v="4"/>
    <n v="0"/>
    <n v="34.57"/>
    <n v="0"/>
    <n v="-34.57"/>
    <n v="0"/>
    <s v="SCC FOOD BANK"/>
  </r>
  <r>
    <s v="1213"/>
    <s v="522"/>
    <s v="264"/>
    <s v="2407"/>
    <x v="28"/>
    <s v="EN"/>
    <s v="00"/>
    <m/>
    <m/>
    <x v="4"/>
    <n v="0"/>
    <n v="97.44"/>
    <n v="0"/>
    <n v="-97.44"/>
    <n v="0"/>
    <s v="SCC FOOD BANK"/>
  </r>
  <r>
    <s v="1213"/>
    <s v="522"/>
    <s v="264"/>
    <s v="2407"/>
    <x v="28"/>
    <s v="ER"/>
    <s v="00"/>
    <m/>
    <m/>
    <x v="4"/>
    <n v="0"/>
    <n v="49.11"/>
    <n v="0"/>
    <n v="-49.11"/>
    <n v="0"/>
    <s v="SCC FOOD BANK"/>
  </r>
  <r>
    <s v="1213"/>
    <s v="522"/>
    <s v="264"/>
    <s v="2407"/>
    <x v="28"/>
    <s v="ES"/>
    <s v="00"/>
    <m/>
    <m/>
    <x v="4"/>
    <n v="0"/>
    <n v="49.49"/>
    <n v="0"/>
    <n v="-49.49"/>
    <n v="0"/>
    <s v="SCC FOOD BANK"/>
  </r>
  <r>
    <s v="1213"/>
    <s v="522"/>
    <s v="264"/>
    <s v="2407"/>
    <x v="28"/>
    <s v="EZ"/>
    <s v="30"/>
    <m/>
    <m/>
    <x v="4"/>
    <n v="0"/>
    <n v="7811.73"/>
    <n v="0"/>
    <n v="-7811.73"/>
    <n v="0"/>
    <s v="SCC FOOD BANK"/>
  </r>
  <r>
    <s v="1213"/>
    <s v="522"/>
    <s v="264"/>
    <s v="2407"/>
    <x v="28"/>
    <s v="EZ"/>
    <s v="40"/>
    <m/>
    <m/>
    <x v="4"/>
    <n v="0"/>
    <n v="10"/>
    <n v="0"/>
    <n v="-10"/>
    <n v="0"/>
    <s v="SCC FOOD BANK"/>
  </r>
  <r>
    <s v="1213"/>
    <s v="522"/>
    <s v="264"/>
    <s v="2407"/>
    <x v="28"/>
    <s v="EZ"/>
    <s v="60"/>
    <m/>
    <m/>
    <x v="4"/>
    <n v="0"/>
    <n v="58"/>
    <n v="0"/>
    <n v="-58"/>
    <n v="0"/>
    <s v="SCC FOOD BANK"/>
  </r>
  <r>
    <s v="1213"/>
    <s v="522"/>
    <s v="264"/>
    <s v="2407"/>
    <x v="28"/>
    <s v="G"/>
    <m/>
    <m/>
    <m/>
    <x v="5"/>
    <n v="0"/>
    <n v="0"/>
    <n v="0"/>
    <n v="0"/>
    <n v="0"/>
    <s v="SCC FOOD BANK"/>
  </r>
  <r>
    <s v="1213"/>
    <s v="522"/>
    <s v="264"/>
    <s v="2407"/>
    <x v="28"/>
    <s v="GD"/>
    <s v="30"/>
    <m/>
    <m/>
    <x v="5"/>
    <n v="0"/>
    <n v="401.1"/>
    <n v="0"/>
    <n v="-401.1"/>
    <n v="0"/>
    <s v="SCC FOOD BANK"/>
  </r>
  <r>
    <s v="1213"/>
    <s v="522"/>
    <s v="264"/>
    <s v="2408"/>
    <x v="29"/>
    <m/>
    <m/>
    <s v="0499"/>
    <s v="8T"/>
    <x v="0"/>
    <n v="0"/>
    <n v="0"/>
    <n v="0"/>
    <n v="0"/>
    <n v="0"/>
    <s v="SCC TREE OF SHARING"/>
  </r>
  <r>
    <s v="1213"/>
    <s v="522"/>
    <s v="264"/>
    <s v="2408"/>
    <x v="29"/>
    <m/>
    <m/>
    <s v="0782"/>
    <m/>
    <x v="10"/>
    <n v="0"/>
    <n v="0"/>
    <n v="0"/>
    <n v="0"/>
    <n v="0"/>
    <s v="SCC TREE OF SHARING"/>
  </r>
  <r>
    <s v="1213"/>
    <s v="522"/>
    <s v="264"/>
    <s v="2408"/>
    <x v="29"/>
    <s v="E"/>
    <m/>
    <m/>
    <m/>
    <x v="4"/>
    <n v="4000"/>
    <n v="0"/>
    <n v="0"/>
    <n v="4000"/>
    <n v="0"/>
    <s v="SCC TREE OF SHARING"/>
  </r>
  <r>
    <s v="1213"/>
    <s v="522"/>
    <s v="264"/>
    <s v="2408"/>
    <x v="29"/>
    <s v="EA"/>
    <s v="00"/>
    <m/>
    <m/>
    <x v="4"/>
    <n v="0"/>
    <n v="901.89"/>
    <n v="0"/>
    <n v="-901.89"/>
    <n v="0"/>
    <s v="SCC TREE OF SHARING"/>
  </r>
  <r>
    <s v="1213"/>
    <s v="522"/>
    <s v="264"/>
    <s v="2409"/>
    <x v="30"/>
    <s v="AD"/>
    <s v="03"/>
    <m/>
    <m/>
    <x v="8"/>
    <n v="0"/>
    <n v="0"/>
    <n v="0"/>
    <n v="0"/>
    <n v="0"/>
    <s v="ASA CLUB ADVISORS"/>
  </r>
  <r>
    <s v="1213"/>
    <s v="522"/>
    <s v="264"/>
    <s v="2409"/>
    <x v="30"/>
    <s v="AU"/>
    <s v="01"/>
    <m/>
    <m/>
    <x v="8"/>
    <n v="0"/>
    <n v="0"/>
    <n v="0"/>
    <n v="0"/>
    <n v="0"/>
    <s v="ASA CLUB ADVISORS"/>
  </r>
  <r>
    <s v="1213"/>
    <s v="522"/>
    <s v="264"/>
    <s v="2409"/>
    <x v="30"/>
    <s v="B"/>
    <m/>
    <m/>
    <m/>
    <x v="9"/>
    <n v="0"/>
    <n v="0"/>
    <n v="0"/>
    <n v="0"/>
    <n v="0"/>
    <s v="ASA CLUB ADVISORS"/>
  </r>
  <r>
    <s v="1213"/>
    <s v="522"/>
    <s v="264"/>
    <s v="2409"/>
    <x v="30"/>
    <s v="BA"/>
    <m/>
    <m/>
    <m/>
    <x v="9"/>
    <n v="0"/>
    <n v="0"/>
    <n v="0"/>
    <n v="0"/>
    <n v="0"/>
    <s v="ASA CLUB ADVISORS"/>
  </r>
  <r>
    <s v="1213"/>
    <s v="522"/>
    <s v="264"/>
    <s v="2409"/>
    <x v="30"/>
    <s v="BB"/>
    <m/>
    <m/>
    <m/>
    <x v="9"/>
    <n v="0"/>
    <n v="0"/>
    <n v="0"/>
    <n v="0"/>
    <n v="0"/>
    <s v="ASA CLUB ADVISORS"/>
  </r>
  <r>
    <s v="1213"/>
    <s v="522"/>
    <s v="264"/>
    <s v="2409"/>
    <x v="30"/>
    <s v="BC"/>
    <m/>
    <m/>
    <m/>
    <x v="9"/>
    <n v="0"/>
    <n v="0"/>
    <n v="0"/>
    <n v="0"/>
    <n v="0"/>
    <s v="ASA CLUB ADVISORS"/>
  </r>
  <r>
    <s v="1213"/>
    <s v="522"/>
    <s v="264"/>
    <s v="2409"/>
    <x v="30"/>
    <s v="BF"/>
    <m/>
    <m/>
    <m/>
    <x v="9"/>
    <n v="0"/>
    <n v="0"/>
    <n v="0"/>
    <n v="0"/>
    <n v="0"/>
    <s v="ASA CLUB ADVISORS"/>
  </r>
  <r>
    <s v="1213"/>
    <s v="522"/>
    <s v="264"/>
    <s v="2409"/>
    <x v="30"/>
    <s v="E"/>
    <m/>
    <m/>
    <m/>
    <x v="4"/>
    <n v="0"/>
    <n v="0"/>
    <n v="0"/>
    <n v="0"/>
    <n v="0"/>
    <s v="ASA CLUB ADVISORS"/>
  </r>
  <r>
    <s v="1213"/>
    <s v="522"/>
    <s v="264"/>
    <s v="2409"/>
    <x v="30"/>
    <s v="EN"/>
    <s v="06"/>
    <m/>
    <m/>
    <x v="4"/>
    <n v="0"/>
    <n v="0"/>
    <n v="0"/>
    <n v="0"/>
    <n v="0"/>
    <s v="ASA CLUB ADVISORS"/>
  </r>
  <r>
    <s v="1213"/>
    <s v="522"/>
    <s v="264"/>
    <s v="2410"/>
    <x v="31"/>
    <m/>
    <m/>
    <s v="0499"/>
    <m/>
    <x v="0"/>
    <n v="0"/>
    <n v="0"/>
    <n v="0"/>
    <n v="0"/>
    <n v="0"/>
    <s v="ASA GENERAL FUND"/>
  </r>
  <r>
    <s v="1213"/>
    <s v="522"/>
    <s v="264"/>
    <s v="2410"/>
    <x v="31"/>
    <m/>
    <m/>
    <s v="0499"/>
    <s v="6Z"/>
    <x v="0"/>
    <n v="0"/>
    <n v="0"/>
    <n v="0"/>
    <n v="0"/>
    <n v="0"/>
    <s v="ASA GENERAL FUND"/>
  </r>
  <r>
    <s v="1213"/>
    <s v="522"/>
    <s v="264"/>
    <s v="2410"/>
    <x v="31"/>
    <m/>
    <m/>
    <s v="0621"/>
    <m/>
    <x v="1"/>
    <n v="0"/>
    <n v="0"/>
    <n v="0"/>
    <n v="0"/>
    <n v="0"/>
    <s v="ASA GENERAL FUND"/>
  </r>
  <r>
    <s v="1213"/>
    <s v="522"/>
    <s v="264"/>
    <s v="2410"/>
    <x v="31"/>
    <m/>
    <m/>
    <s v="0622"/>
    <m/>
    <x v="2"/>
    <n v="0"/>
    <n v="101000"/>
    <n v="0"/>
    <n v="-101000"/>
    <n v="0"/>
    <s v="ASA GENERAL FUND"/>
  </r>
  <r>
    <s v="1213"/>
    <s v="522"/>
    <s v="264"/>
    <s v="2410"/>
    <x v="31"/>
    <m/>
    <m/>
    <s v="0782"/>
    <m/>
    <x v="10"/>
    <n v="0"/>
    <n v="416516.9"/>
    <n v="0"/>
    <n v="-416516.9"/>
    <n v="162237"/>
    <s v="ASA GENERAL FUND"/>
  </r>
  <r>
    <s v="1213"/>
    <s v="522"/>
    <s v="264"/>
    <s v="2410"/>
    <x v="31"/>
    <m/>
    <m/>
    <s v="0999"/>
    <m/>
    <x v="3"/>
    <n v="0"/>
    <n v="-1125529.81"/>
    <n v="0"/>
    <n v="1125529.81"/>
    <n v="0"/>
    <s v="ASA GENERAL FUND"/>
  </r>
  <r>
    <s v="1213"/>
    <s v="522"/>
    <s v="264"/>
    <s v="2410"/>
    <x v="31"/>
    <s v="AD"/>
    <s v="03"/>
    <m/>
    <m/>
    <x v="8"/>
    <n v="0"/>
    <n v="2924.91"/>
    <n v="0"/>
    <n v="-2924.91"/>
    <n v="0"/>
    <s v="ASA GENERAL FUND"/>
  </r>
  <r>
    <s v="1213"/>
    <s v="522"/>
    <s v="264"/>
    <s v="2410"/>
    <x v="31"/>
    <s v="AD"/>
    <s v="05"/>
    <m/>
    <m/>
    <x v="8"/>
    <n v="19802"/>
    <n v="7697.82"/>
    <n v="0"/>
    <n v="12104.18"/>
    <n v="0"/>
    <s v="ASA GENERAL FUND"/>
  </r>
  <r>
    <s v="1213"/>
    <s v="522"/>
    <s v="264"/>
    <s v="2410"/>
    <x v="31"/>
    <s v="AE"/>
    <s v="SP"/>
    <m/>
    <m/>
    <x v="8"/>
    <n v="0"/>
    <n v="0"/>
    <n v="0"/>
    <n v="0"/>
    <n v="0"/>
    <s v="ASA GENERAL FUND"/>
  </r>
  <r>
    <s v="1213"/>
    <s v="522"/>
    <s v="264"/>
    <s v="2410"/>
    <x v="31"/>
    <s v="AU"/>
    <s v="01"/>
    <m/>
    <m/>
    <x v="8"/>
    <n v="0"/>
    <n v="0"/>
    <n v="0"/>
    <n v="0"/>
    <n v="0"/>
    <s v="ASA GENERAL FUND"/>
  </r>
  <r>
    <s v="1213"/>
    <s v="522"/>
    <s v="264"/>
    <s v="2410"/>
    <x v="31"/>
    <s v="B"/>
    <m/>
    <m/>
    <m/>
    <x v="9"/>
    <n v="198"/>
    <n v="0"/>
    <n v="0"/>
    <n v="198"/>
    <n v="0"/>
    <s v="ASA GENERAL FUND"/>
  </r>
  <r>
    <s v="1213"/>
    <s v="522"/>
    <s v="264"/>
    <s v="2410"/>
    <x v="31"/>
    <s v="BA"/>
    <m/>
    <m/>
    <m/>
    <x v="9"/>
    <n v="0"/>
    <n v="812.65"/>
    <n v="0"/>
    <n v="-812.65"/>
    <n v="0"/>
    <s v="ASA GENERAL FUND"/>
  </r>
  <r>
    <s v="1213"/>
    <s v="522"/>
    <s v="264"/>
    <s v="2410"/>
    <x v="31"/>
    <s v="BC"/>
    <m/>
    <m/>
    <m/>
    <x v="9"/>
    <n v="0"/>
    <n v="243.71"/>
    <n v="0"/>
    <n v="-243.71"/>
    <n v="0"/>
    <s v="ASA GENERAL FUND"/>
  </r>
  <r>
    <s v="1213"/>
    <s v="522"/>
    <s v="264"/>
    <s v="2410"/>
    <x v="31"/>
    <s v="BF"/>
    <m/>
    <m/>
    <m/>
    <x v="9"/>
    <n v="0"/>
    <n v="76.5"/>
    <n v="0"/>
    <n v="-76.5"/>
    <n v="0"/>
    <s v="ASA GENERAL FUND"/>
  </r>
  <r>
    <s v="1213"/>
    <s v="522"/>
    <s v="264"/>
    <s v="2410"/>
    <x v="31"/>
    <s v="E"/>
    <m/>
    <m/>
    <m/>
    <x v="4"/>
    <n v="130916"/>
    <n v="0"/>
    <n v="0"/>
    <n v="130916"/>
    <n v="0"/>
    <s v="ASA GENERAL FUND"/>
  </r>
  <r>
    <s v="1213"/>
    <s v="522"/>
    <s v="264"/>
    <s v="2410"/>
    <x v="31"/>
    <s v="EA"/>
    <s v="00"/>
    <m/>
    <m/>
    <x v="4"/>
    <n v="0"/>
    <n v="740.52"/>
    <n v="0"/>
    <n v="-740.52"/>
    <n v="0"/>
    <s v="ASA GENERAL FUND"/>
  </r>
  <r>
    <s v="1213"/>
    <s v="522"/>
    <s v="264"/>
    <s v="2410"/>
    <x v="31"/>
    <s v="EA"/>
    <s v="55"/>
    <m/>
    <m/>
    <x v="4"/>
    <n v="0"/>
    <n v="247.7"/>
    <n v="0"/>
    <n v="-247.7"/>
    <n v="0"/>
    <s v="ASA GENERAL FUND"/>
  </r>
  <r>
    <s v="1213"/>
    <s v="522"/>
    <s v="264"/>
    <s v="2410"/>
    <x v="31"/>
    <s v="EE"/>
    <s v="00"/>
    <m/>
    <m/>
    <x v="4"/>
    <n v="0"/>
    <n v="50"/>
    <n v="0"/>
    <n v="-50"/>
    <n v="0"/>
    <s v="ASA GENERAL FUND"/>
  </r>
  <r>
    <s v="1213"/>
    <s v="522"/>
    <s v="264"/>
    <s v="2410"/>
    <x v="31"/>
    <s v="EE"/>
    <s v="CL"/>
    <m/>
    <m/>
    <x v="4"/>
    <n v="0"/>
    <n v="463.8"/>
    <n v="0"/>
    <n v="-463.8"/>
    <n v="0"/>
    <s v="ASA GENERAL FUND"/>
  </r>
  <r>
    <s v="1213"/>
    <s v="522"/>
    <s v="264"/>
    <s v="2410"/>
    <x v="31"/>
    <s v="EE"/>
    <s v="CM"/>
    <m/>
    <m/>
    <x v="4"/>
    <n v="0"/>
    <n v="214.9"/>
    <n v="0"/>
    <n v="-214.9"/>
    <n v="0"/>
    <s v="ASA GENERAL FUND"/>
  </r>
  <r>
    <s v="1213"/>
    <s v="522"/>
    <s v="264"/>
    <s v="2410"/>
    <x v="31"/>
    <s v="EG"/>
    <s v="RG"/>
    <m/>
    <m/>
    <x v="4"/>
    <n v="0"/>
    <n v="250"/>
    <n v="0"/>
    <n v="-250"/>
    <n v="0"/>
    <s v="ASA GENERAL FUND"/>
  </r>
  <r>
    <s v="1213"/>
    <s v="522"/>
    <s v="264"/>
    <s v="2410"/>
    <x v="31"/>
    <s v="EH"/>
    <s v="20"/>
    <m/>
    <m/>
    <x v="4"/>
    <n v="0"/>
    <n v="4.46"/>
    <n v="0"/>
    <n v="-4.46"/>
    <n v="0"/>
    <s v="ASA GENERAL FUND"/>
  </r>
  <r>
    <s v="1213"/>
    <s v="522"/>
    <s v="264"/>
    <s v="2410"/>
    <x v="31"/>
    <s v="EZ"/>
    <s v="00"/>
    <m/>
    <m/>
    <x v="4"/>
    <n v="0"/>
    <n v="101868.8"/>
    <n v="0"/>
    <n v="-101868.8"/>
    <n v="0"/>
    <s v="ASA GENERAL FUND"/>
  </r>
  <r>
    <s v="1213"/>
    <s v="522"/>
    <s v="264"/>
    <s v="2410"/>
    <x v="31"/>
    <s v="EZ"/>
    <s v="30"/>
    <m/>
    <m/>
    <x v="4"/>
    <n v="0"/>
    <n v="14.22"/>
    <n v="0"/>
    <n v="-14.22"/>
    <n v="0"/>
    <s v="ASA GENERAL FUND"/>
  </r>
  <r>
    <s v="1213"/>
    <s v="522"/>
    <s v="264"/>
    <s v="2410"/>
    <x v="31"/>
    <s v="EZ"/>
    <s v="40"/>
    <m/>
    <m/>
    <x v="4"/>
    <n v="0"/>
    <n v="146"/>
    <n v="0"/>
    <n v="-146"/>
    <n v="0"/>
    <s v="ASA GENERAL FUND"/>
  </r>
  <r>
    <s v="1213"/>
    <s v="522"/>
    <s v="264"/>
    <s v="2410"/>
    <x v="31"/>
    <s v="G"/>
    <m/>
    <m/>
    <m/>
    <x v="5"/>
    <n v="0"/>
    <n v="0"/>
    <n v="0"/>
    <n v="0"/>
    <n v="0"/>
    <s v="ASA GENERAL FUND"/>
  </r>
  <r>
    <s v="1213"/>
    <s v="522"/>
    <s v="264"/>
    <s v="2410"/>
    <x v="31"/>
    <s v="GA"/>
    <s v="00"/>
    <m/>
    <m/>
    <x v="5"/>
    <n v="0"/>
    <n v="196.98"/>
    <n v="0"/>
    <n v="-196.98"/>
    <n v="0"/>
    <s v="ASA GENERAL FUND"/>
  </r>
  <r>
    <s v="1213"/>
    <s v="522"/>
    <s v="264"/>
    <s v="2410"/>
    <x v="31"/>
    <s v="GD"/>
    <s v="00"/>
    <m/>
    <m/>
    <x v="5"/>
    <n v="0"/>
    <n v="28.5"/>
    <n v="0"/>
    <n v="-28.5"/>
    <n v="0"/>
    <s v="ASA GENERAL FUND"/>
  </r>
  <r>
    <s v="1213"/>
    <s v="522"/>
    <s v="264"/>
    <s v="2410"/>
    <x v="31"/>
    <s v="GD"/>
    <s v="30"/>
    <m/>
    <m/>
    <x v="5"/>
    <n v="0"/>
    <n v="132.79"/>
    <n v="0"/>
    <n v="-132.79"/>
    <n v="0"/>
    <s v="ASA GENERAL FUND"/>
  </r>
  <r>
    <s v="1213"/>
    <s v="522"/>
    <s v="264"/>
    <s v="2410"/>
    <x v="31"/>
    <s v="GG"/>
    <s v="00"/>
    <m/>
    <m/>
    <x v="5"/>
    <n v="0"/>
    <n v="242.4"/>
    <n v="0"/>
    <n v="-242.4"/>
    <n v="0"/>
    <s v="ASA GENERAL FUND"/>
  </r>
  <r>
    <s v="1213"/>
    <s v="522"/>
    <s v="264"/>
    <s v="2410"/>
    <x v="31"/>
    <s v="J"/>
    <m/>
    <m/>
    <m/>
    <x v="6"/>
    <n v="0"/>
    <n v="0"/>
    <n v="0"/>
    <n v="0"/>
    <n v="0"/>
    <s v="ASA GENERAL FUND"/>
  </r>
  <r>
    <s v="1213"/>
    <s v="522"/>
    <s v="264"/>
    <s v="2410"/>
    <x v="31"/>
    <s v="JA"/>
    <s v="00"/>
    <m/>
    <m/>
    <x v="6"/>
    <n v="0"/>
    <n v="4959.62"/>
    <n v="0"/>
    <n v="-4959.62"/>
    <n v="0"/>
    <s v="ASA GENERAL FUND"/>
  </r>
  <r>
    <s v="1213"/>
    <s v="522"/>
    <s v="264"/>
    <s v="2410"/>
    <x v="31"/>
    <s v="KA"/>
    <m/>
    <m/>
    <m/>
    <x v="7"/>
    <n v="0"/>
    <n v="5912.88"/>
    <n v="0"/>
    <n v="-5912.88"/>
    <n v="0"/>
    <s v="ASA GENERAL FUND"/>
  </r>
  <r>
    <s v="1213"/>
    <s v="522"/>
    <s v="264"/>
    <s v="2410"/>
    <x v="31"/>
    <s v="NB"/>
    <m/>
    <m/>
    <m/>
    <x v="11"/>
    <n v="0"/>
    <n v="0"/>
    <n v="0"/>
    <n v="0"/>
    <n v="0"/>
    <s v="ASA GENERAL FUND"/>
  </r>
  <r>
    <s v="1213"/>
    <s v="522"/>
    <s v="264"/>
    <s v="2410"/>
    <x v="31"/>
    <s v="NB"/>
    <s v="00"/>
    <m/>
    <m/>
    <x v="11"/>
    <n v="0"/>
    <n v="1000"/>
    <n v="0"/>
    <n v="-1000"/>
    <n v="0"/>
    <s v="ASA GENERAL FUND"/>
  </r>
  <r>
    <s v="1213"/>
    <s v="522"/>
    <s v="264"/>
    <s v="2411"/>
    <x v="32"/>
    <m/>
    <m/>
    <s v="0782"/>
    <m/>
    <x v="10"/>
    <n v="0"/>
    <n v="0"/>
    <n v="0"/>
    <n v="0"/>
    <n v="0"/>
    <s v="PRES SPEAKER SERIES"/>
  </r>
  <r>
    <s v="1213"/>
    <s v="522"/>
    <s v="264"/>
    <s v="2411"/>
    <x v="32"/>
    <s v="AD"/>
    <s v="05"/>
    <m/>
    <m/>
    <x v="8"/>
    <n v="0"/>
    <n v="121.46"/>
    <n v="0"/>
    <n v="-121.46"/>
    <n v="0"/>
    <s v="PRES SPEAKER SERIES"/>
  </r>
  <r>
    <s v="1213"/>
    <s v="522"/>
    <s v="264"/>
    <s v="2411"/>
    <x v="32"/>
    <s v="AE"/>
    <s v="SP"/>
    <m/>
    <m/>
    <x v="8"/>
    <n v="0"/>
    <n v="200"/>
    <n v="0"/>
    <n v="-200"/>
    <n v="0"/>
    <s v="PRES SPEAKER SERIES"/>
  </r>
  <r>
    <s v="1213"/>
    <s v="522"/>
    <s v="264"/>
    <s v="2411"/>
    <x v="32"/>
    <s v="AU"/>
    <s v="01"/>
    <m/>
    <m/>
    <x v="8"/>
    <n v="0"/>
    <n v="0"/>
    <n v="0"/>
    <n v="0"/>
    <n v="0"/>
    <s v="PRES SPEAKER SERIES"/>
  </r>
  <r>
    <s v="1213"/>
    <s v="522"/>
    <s v="264"/>
    <s v="2411"/>
    <x v="32"/>
    <s v="B"/>
    <m/>
    <m/>
    <m/>
    <x v="9"/>
    <n v="0"/>
    <n v="0"/>
    <n v="0"/>
    <n v="0"/>
    <n v="0"/>
    <s v="PRES SPEAKER SERIES"/>
  </r>
  <r>
    <s v="1213"/>
    <s v="522"/>
    <s v="264"/>
    <s v="2411"/>
    <x v="32"/>
    <s v="BA"/>
    <m/>
    <m/>
    <m/>
    <x v="9"/>
    <n v="0"/>
    <n v="23.86"/>
    <n v="0"/>
    <n v="-23.86"/>
    <n v="0"/>
    <s v="PRES SPEAKER SERIES"/>
  </r>
  <r>
    <s v="1213"/>
    <s v="522"/>
    <s v="264"/>
    <s v="2411"/>
    <x v="32"/>
    <s v="BB"/>
    <m/>
    <m/>
    <m/>
    <x v="9"/>
    <n v="0"/>
    <n v="23.19"/>
    <n v="0"/>
    <n v="-23.19"/>
    <n v="0"/>
    <s v="PRES SPEAKER SERIES"/>
  </r>
  <r>
    <s v="1213"/>
    <s v="522"/>
    <s v="264"/>
    <s v="2411"/>
    <x v="32"/>
    <s v="BC"/>
    <m/>
    <m/>
    <m/>
    <x v="9"/>
    <n v="0"/>
    <n v="1.8"/>
    <n v="0"/>
    <n v="-1.8"/>
    <n v="0"/>
    <s v="PRES SPEAKER SERIES"/>
  </r>
  <r>
    <s v="1213"/>
    <s v="522"/>
    <s v="264"/>
    <s v="2411"/>
    <x v="32"/>
    <s v="BF"/>
    <m/>
    <m/>
    <m/>
    <x v="9"/>
    <n v="0"/>
    <n v="2.3199999999999998"/>
    <n v="0"/>
    <n v="-2.3199999999999998"/>
    <n v="0"/>
    <s v="PRES SPEAKER SERIES"/>
  </r>
  <r>
    <s v="1213"/>
    <s v="522"/>
    <s v="264"/>
    <s v="2411"/>
    <x v="32"/>
    <s v="E"/>
    <m/>
    <m/>
    <m/>
    <x v="4"/>
    <n v="25000"/>
    <n v="0"/>
    <n v="0"/>
    <n v="25000"/>
    <n v="0"/>
    <s v="PRES SPEAKER SERIES"/>
  </r>
  <r>
    <s v="1213"/>
    <s v="522"/>
    <s v="264"/>
    <s v="2411"/>
    <x v="32"/>
    <s v="EA"/>
    <s v="00"/>
    <m/>
    <m/>
    <x v="4"/>
    <n v="0"/>
    <n v="1069.3599999999999"/>
    <n v="0"/>
    <n v="-1069.3599999999999"/>
    <n v="0"/>
    <s v="PRES SPEAKER SERIES"/>
  </r>
  <r>
    <s v="1213"/>
    <s v="522"/>
    <s v="264"/>
    <s v="2411"/>
    <x v="32"/>
    <s v="EB"/>
    <s v="40"/>
    <m/>
    <m/>
    <x v="4"/>
    <n v="0"/>
    <n v="24.38"/>
    <n v="0"/>
    <n v="-24.38"/>
    <n v="0"/>
    <s v="PRES SPEAKER SERIES"/>
  </r>
  <r>
    <s v="1213"/>
    <s v="522"/>
    <s v="264"/>
    <s v="2411"/>
    <x v="32"/>
    <s v="EN"/>
    <s v="06"/>
    <m/>
    <m/>
    <x v="4"/>
    <n v="0"/>
    <n v="0.04"/>
    <n v="0"/>
    <n v="-0.04"/>
    <n v="0"/>
    <s v="PRES SPEAKER SERIES"/>
  </r>
  <r>
    <s v="1213"/>
    <s v="522"/>
    <s v="264"/>
    <s v="2411"/>
    <x v="32"/>
    <s v="EZ"/>
    <s v="00"/>
    <m/>
    <m/>
    <x v="4"/>
    <n v="0"/>
    <n v="3333"/>
    <n v="0"/>
    <n v="-3333"/>
    <n v="0"/>
    <s v="PRES SPEAKER SERIES"/>
  </r>
  <r>
    <s v="1213"/>
    <s v="522"/>
    <s v="264"/>
    <s v="2411"/>
    <x v="32"/>
    <s v="EZ"/>
    <s v="10"/>
    <m/>
    <m/>
    <x v="4"/>
    <n v="0"/>
    <n v="1414"/>
    <n v="0"/>
    <n v="-1414"/>
    <n v="0"/>
    <s v="PRES SPEAKER SERIES"/>
  </r>
  <r>
    <s v="1213"/>
    <s v="522"/>
    <s v="264"/>
    <s v="2411"/>
    <x v="32"/>
    <s v="EZ"/>
    <s v="30"/>
    <m/>
    <m/>
    <x v="4"/>
    <n v="0"/>
    <n v="2510"/>
    <n v="0"/>
    <n v="-2510"/>
    <n v="0"/>
    <s v="PRES SPEAKER SERIES"/>
  </r>
  <r>
    <s v="1213"/>
    <s v="522"/>
    <s v="264"/>
    <s v="2411"/>
    <x v="32"/>
    <s v="G"/>
    <m/>
    <m/>
    <m/>
    <x v="5"/>
    <n v="0"/>
    <n v="0"/>
    <n v="0"/>
    <n v="0"/>
    <n v="0"/>
    <s v="PRES SPEAKER SERIES"/>
  </r>
  <r>
    <s v="1213"/>
    <s v="522"/>
    <s v="264"/>
    <s v="2411"/>
    <x v="32"/>
    <s v="GA"/>
    <s v="00"/>
    <m/>
    <m/>
    <x v="5"/>
    <n v="0"/>
    <n v="407.18"/>
    <n v="0"/>
    <n v="-407.18"/>
    <n v="0"/>
    <s v="PRES SPEAKER SERIES"/>
  </r>
  <r>
    <s v="1213"/>
    <s v="522"/>
    <s v="264"/>
    <s v="2411"/>
    <x v="32"/>
    <s v="J"/>
    <m/>
    <m/>
    <m/>
    <x v="6"/>
    <n v="0"/>
    <n v="0"/>
    <n v="0"/>
    <n v="0"/>
    <n v="0"/>
    <s v="PRES SPEAKER SERIES"/>
  </r>
  <r>
    <s v="1213"/>
    <s v="522"/>
    <s v="264"/>
    <s v="2411"/>
    <x v="32"/>
    <s v="NB"/>
    <m/>
    <m/>
    <m/>
    <x v="11"/>
    <n v="0"/>
    <n v="0"/>
    <n v="0"/>
    <n v="0"/>
    <n v="0"/>
    <s v="PRES SPEAKER SERIES"/>
  </r>
  <r>
    <s v="1213"/>
    <s v="522"/>
    <s v="264"/>
    <s v="2411"/>
    <x v="32"/>
    <s v="NB"/>
    <s v="00"/>
    <m/>
    <m/>
    <x v="11"/>
    <n v="0"/>
    <n v="10000"/>
    <n v="0"/>
    <n v="-10000"/>
    <n v="0"/>
    <s v="PRES SPEAKER SERIES"/>
  </r>
  <r>
    <s v="1213"/>
    <s v="522"/>
    <s v="264"/>
    <s v="2412"/>
    <x v="33"/>
    <s v="AD"/>
    <s v="05"/>
    <m/>
    <m/>
    <x v="8"/>
    <n v="0"/>
    <n v="349.18"/>
    <n v="0"/>
    <n v="-349.18"/>
    <n v="0"/>
    <s v="ADA ACCESSIBILITY"/>
  </r>
  <r>
    <s v="1213"/>
    <s v="522"/>
    <s v="264"/>
    <s v="2412"/>
    <x v="33"/>
    <s v="B"/>
    <m/>
    <m/>
    <m/>
    <x v="9"/>
    <n v="0"/>
    <n v="0"/>
    <n v="0"/>
    <n v="0"/>
    <n v="0"/>
    <s v="ADA ACCESSIBILITY"/>
  </r>
  <r>
    <s v="1213"/>
    <s v="522"/>
    <s v="264"/>
    <s v="2412"/>
    <x v="33"/>
    <s v="BA"/>
    <m/>
    <m/>
    <m/>
    <x v="9"/>
    <n v="0"/>
    <n v="26.72"/>
    <n v="0"/>
    <n v="-26.72"/>
    <n v="0"/>
    <s v="ADA ACCESSIBILITY"/>
  </r>
  <r>
    <s v="1213"/>
    <s v="522"/>
    <s v="264"/>
    <s v="2412"/>
    <x v="33"/>
    <s v="BB"/>
    <m/>
    <m/>
    <m/>
    <x v="9"/>
    <n v="0"/>
    <n v="0"/>
    <n v="0"/>
    <n v="0"/>
    <n v="0"/>
    <s v="ADA ACCESSIBILITY"/>
  </r>
  <r>
    <s v="1213"/>
    <s v="522"/>
    <s v="264"/>
    <s v="2412"/>
    <x v="33"/>
    <s v="BC"/>
    <m/>
    <m/>
    <m/>
    <x v="9"/>
    <n v="0"/>
    <n v="5.25"/>
    <n v="0"/>
    <n v="-5.25"/>
    <n v="0"/>
    <s v="ADA ACCESSIBILITY"/>
  </r>
  <r>
    <s v="1213"/>
    <s v="522"/>
    <s v="264"/>
    <s v="2412"/>
    <x v="33"/>
    <s v="BF"/>
    <m/>
    <m/>
    <m/>
    <x v="9"/>
    <n v="0"/>
    <n v="2.52"/>
    <n v="0"/>
    <n v="-2.52"/>
    <n v="0"/>
    <s v="ADA ACCESSIBILITY"/>
  </r>
  <r>
    <s v="1213"/>
    <s v="522"/>
    <s v="264"/>
    <s v="2412"/>
    <x v="33"/>
    <s v="E"/>
    <m/>
    <m/>
    <m/>
    <x v="4"/>
    <n v="0"/>
    <n v="0"/>
    <n v="0"/>
    <n v="0"/>
    <n v="0"/>
    <s v="ADA ACCESSIBILITY"/>
  </r>
  <r>
    <s v="1213"/>
    <s v="522"/>
    <s v="264"/>
    <s v="2413"/>
    <x v="34"/>
    <s v="B"/>
    <m/>
    <m/>
    <m/>
    <x v="9"/>
    <n v="0"/>
    <n v="0"/>
    <n v="0"/>
    <n v="0"/>
    <n v="0"/>
    <s v="ASC-LEGISLATIVE"/>
  </r>
  <r>
    <s v="1213"/>
    <s v="522"/>
    <s v="264"/>
    <s v="2413"/>
    <x v="34"/>
    <s v="E"/>
    <m/>
    <m/>
    <m/>
    <x v="4"/>
    <n v="4000"/>
    <n v="0"/>
    <n v="0"/>
    <n v="4000"/>
    <n v="0"/>
    <s v="ASC-LEGISLATIVE"/>
  </r>
  <r>
    <s v="1213"/>
    <s v="522"/>
    <s v="264"/>
    <s v="2413"/>
    <x v="34"/>
    <s v="EG"/>
    <s v="RG"/>
    <m/>
    <m/>
    <x v="4"/>
    <n v="0"/>
    <n v="392"/>
    <n v="0"/>
    <n v="-392"/>
    <n v="0"/>
    <s v="ASC-LEGISLATIVE"/>
  </r>
  <r>
    <s v="1213"/>
    <s v="522"/>
    <s v="264"/>
    <s v="2413"/>
    <x v="34"/>
    <s v="EZ"/>
    <s v="30"/>
    <m/>
    <m/>
    <x v="4"/>
    <n v="0"/>
    <n v="59"/>
    <n v="0"/>
    <n v="-59"/>
    <n v="0"/>
    <s v="ASC-LEGISLATIVE"/>
  </r>
  <r>
    <s v="1213"/>
    <s v="522"/>
    <s v="264"/>
    <s v="2413"/>
    <x v="34"/>
    <s v="G"/>
    <m/>
    <m/>
    <m/>
    <x v="5"/>
    <n v="0"/>
    <n v="0"/>
    <n v="0"/>
    <n v="0"/>
    <n v="0"/>
    <s v="ASC-LEGISLATIVE"/>
  </r>
  <r>
    <s v="1213"/>
    <s v="522"/>
    <s v="264"/>
    <s v="2413"/>
    <x v="34"/>
    <s v="GA"/>
    <s v="00"/>
    <m/>
    <m/>
    <x v="5"/>
    <n v="0"/>
    <n v="1232.8"/>
    <n v="0"/>
    <n v="-1232.8"/>
    <n v="0"/>
    <s v="ASC-LEGISLATIVE"/>
  </r>
  <r>
    <s v="1213"/>
    <s v="522"/>
    <s v="264"/>
    <s v="2413"/>
    <x v="34"/>
    <s v="GB"/>
    <s v="00"/>
    <m/>
    <m/>
    <x v="5"/>
    <n v="0"/>
    <n v="1159"/>
    <n v="0"/>
    <n v="-1159"/>
    <n v="0"/>
    <s v="ASC-LEGISLATIVE"/>
  </r>
  <r>
    <s v="1213"/>
    <s v="522"/>
    <s v="264"/>
    <s v="2413"/>
    <x v="34"/>
    <s v="GD"/>
    <s v="10"/>
    <m/>
    <m/>
    <x v="5"/>
    <n v="0"/>
    <n v="34.75"/>
    <n v="0"/>
    <n v="-34.75"/>
    <n v="0"/>
    <s v="ASC-LEGISLATIVE"/>
  </r>
  <r>
    <s v="1213"/>
    <s v="522"/>
    <s v="264"/>
    <s v="2413"/>
    <x v="34"/>
    <s v="GD"/>
    <s v="30"/>
    <m/>
    <m/>
    <x v="5"/>
    <n v="0"/>
    <n v="248.04"/>
    <n v="0"/>
    <n v="-248.04"/>
    <n v="0"/>
    <s v="ASC-LEGISLATIVE"/>
  </r>
  <r>
    <s v="1213"/>
    <s v="522"/>
    <s v="264"/>
    <s v="2413"/>
    <x v="34"/>
    <s v="NB"/>
    <m/>
    <m/>
    <m/>
    <x v="11"/>
    <n v="0"/>
    <n v="0"/>
    <n v="0"/>
    <n v="0"/>
    <n v="0"/>
    <s v="ASC-LEGISLATIVE"/>
  </r>
  <r>
    <s v="1213"/>
    <s v="522"/>
    <s v="264"/>
    <s v="2414"/>
    <x v="35"/>
    <m/>
    <m/>
    <s v="0499"/>
    <m/>
    <x v="0"/>
    <n v="0"/>
    <n v="0"/>
    <n v="0"/>
    <n v="0"/>
    <n v="0"/>
    <s v="NATL SOC LDRSHP SUCC"/>
  </r>
  <r>
    <s v="1213"/>
    <s v="522"/>
    <s v="264"/>
    <s v="2414"/>
    <x v="35"/>
    <m/>
    <m/>
    <s v="0499"/>
    <s v="9H"/>
    <x v="0"/>
    <n v="0"/>
    <n v="0"/>
    <n v="0"/>
    <n v="0"/>
    <n v="0"/>
    <s v="NATL SOC LDRSHP SUCC"/>
  </r>
  <r>
    <s v="1213"/>
    <s v="522"/>
    <s v="264"/>
    <s v="2414"/>
    <x v="35"/>
    <s v="E"/>
    <m/>
    <m/>
    <m/>
    <x v="4"/>
    <n v="2500"/>
    <n v="0"/>
    <n v="0"/>
    <n v="2500"/>
    <n v="0"/>
    <s v="NATL SOC LDRSHP SUCC"/>
  </r>
  <r>
    <s v="1213"/>
    <s v="522"/>
    <s v="264"/>
    <s v="2414"/>
    <x v="35"/>
    <s v="EA"/>
    <s v="00"/>
    <m/>
    <m/>
    <x v="4"/>
    <n v="0"/>
    <n v="734.48"/>
    <n v="0"/>
    <n v="-734.48"/>
    <n v="0"/>
    <s v="NATL SOC LDRSHP SUCC"/>
  </r>
  <r>
    <s v="1213"/>
    <s v="522"/>
    <s v="264"/>
    <s v="2414"/>
    <x v="35"/>
    <s v="EG"/>
    <s v="80"/>
    <m/>
    <m/>
    <x v="4"/>
    <n v="0"/>
    <n v="0"/>
    <n v="0"/>
    <n v="0"/>
    <n v="0"/>
    <s v="NATL SOC LDRSHP SUCC"/>
  </r>
  <r>
    <s v="1213"/>
    <s v="522"/>
    <s v="264"/>
    <s v="2414"/>
    <x v="35"/>
    <s v="EZ"/>
    <s v="30"/>
    <m/>
    <m/>
    <x v="4"/>
    <n v="0"/>
    <n v="220.24"/>
    <n v="0"/>
    <n v="-220.24"/>
    <n v="0"/>
    <s v="NATL SOC LDRSHP SUCC"/>
  </r>
  <r>
    <s v="1213"/>
    <s v="522"/>
    <s v="264"/>
    <s v="2414"/>
    <x v="35"/>
    <s v="EZ"/>
    <s v="40"/>
    <m/>
    <m/>
    <x v="4"/>
    <n v="0"/>
    <n v="219"/>
    <n v="0"/>
    <n v="-219"/>
    <n v="0"/>
    <s v="NATL SOC LDRSHP SUCC"/>
  </r>
  <r>
    <s v="1213"/>
    <s v="522"/>
    <s v="264"/>
    <s v="2415"/>
    <x v="36"/>
    <m/>
    <m/>
    <s v="0499"/>
    <s v="6K"/>
    <x v="0"/>
    <n v="0"/>
    <n v="0"/>
    <n v="0"/>
    <n v="0"/>
    <n v="0"/>
    <s v="ENTERTAINMENT BOARD"/>
  </r>
  <r>
    <s v="1213"/>
    <s v="522"/>
    <s v="264"/>
    <s v="2415"/>
    <x v="36"/>
    <s v="AH"/>
    <s v="AS"/>
    <m/>
    <m/>
    <x v="8"/>
    <n v="0"/>
    <n v="0"/>
    <n v="0"/>
    <n v="0"/>
    <n v="0"/>
    <s v="ENTERTAINMENT BOARD"/>
  </r>
  <r>
    <s v="1213"/>
    <s v="522"/>
    <s v="264"/>
    <s v="2415"/>
    <x v="36"/>
    <s v="AU"/>
    <s v="01"/>
    <m/>
    <m/>
    <x v="8"/>
    <n v="0"/>
    <n v="0"/>
    <n v="0"/>
    <n v="0"/>
    <n v="0"/>
    <s v="ENTERTAINMENT BOARD"/>
  </r>
  <r>
    <s v="1213"/>
    <s v="522"/>
    <s v="264"/>
    <s v="2415"/>
    <x v="36"/>
    <s v="B"/>
    <m/>
    <m/>
    <m/>
    <x v="9"/>
    <n v="0"/>
    <n v="0"/>
    <n v="0"/>
    <n v="0"/>
    <n v="0"/>
    <s v="ENTERTAINMENT BOARD"/>
  </r>
  <r>
    <s v="1213"/>
    <s v="522"/>
    <s v="264"/>
    <s v="2415"/>
    <x v="36"/>
    <s v="E"/>
    <m/>
    <m/>
    <m/>
    <x v="4"/>
    <n v="52000"/>
    <n v="0"/>
    <n v="0"/>
    <n v="52000"/>
    <n v="0"/>
    <s v="ENTERTAINMENT BOARD"/>
  </r>
  <r>
    <s v="1213"/>
    <s v="522"/>
    <s v="264"/>
    <s v="2415"/>
    <x v="36"/>
    <s v="EA"/>
    <s v="00"/>
    <m/>
    <m/>
    <x v="4"/>
    <n v="0"/>
    <n v="264.97000000000003"/>
    <n v="0"/>
    <n v="-264.97000000000003"/>
    <n v="0"/>
    <s v="ENTERTAINMENT BOARD"/>
  </r>
  <r>
    <s v="1213"/>
    <s v="522"/>
    <s v="264"/>
    <s v="2415"/>
    <x v="36"/>
    <s v="EH"/>
    <s v="20"/>
    <m/>
    <m/>
    <x v="4"/>
    <n v="0"/>
    <n v="250.01"/>
    <n v="0"/>
    <n v="-250.01"/>
    <n v="0"/>
    <s v="ENTERTAINMENT BOARD"/>
  </r>
  <r>
    <s v="1213"/>
    <s v="522"/>
    <s v="264"/>
    <s v="2415"/>
    <x v="36"/>
    <s v="ER"/>
    <s v="00"/>
    <m/>
    <m/>
    <x v="4"/>
    <n v="0"/>
    <n v="2900"/>
    <n v="0"/>
    <n v="-2900"/>
    <n v="0"/>
    <s v="ENTERTAINMENT BOARD"/>
  </r>
  <r>
    <s v="1213"/>
    <s v="522"/>
    <s v="264"/>
    <s v="2415"/>
    <x v="36"/>
    <s v="EZ"/>
    <s v="00"/>
    <m/>
    <m/>
    <x v="4"/>
    <n v="0"/>
    <n v="60"/>
    <n v="0"/>
    <n v="-60"/>
    <n v="0"/>
    <s v="ENTERTAINMENT BOARD"/>
  </r>
  <r>
    <s v="1213"/>
    <s v="522"/>
    <s v="264"/>
    <s v="2415"/>
    <x v="36"/>
    <s v="EZ"/>
    <s v="30"/>
    <m/>
    <m/>
    <x v="4"/>
    <n v="0"/>
    <n v="5113.83"/>
    <n v="0"/>
    <n v="-5113.83"/>
    <n v="0"/>
    <s v="ENTERTAINMENT BOARD"/>
  </r>
  <r>
    <s v="1213"/>
    <s v="522"/>
    <s v="264"/>
    <s v="2415"/>
    <x v="36"/>
    <s v="G"/>
    <m/>
    <m/>
    <m/>
    <x v="5"/>
    <n v="0"/>
    <n v="0"/>
    <n v="0"/>
    <n v="0"/>
    <n v="0"/>
    <s v="ENTERTAINMENT BOARD"/>
  </r>
  <r>
    <s v="1213"/>
    <s v="522"/>
    <s v="264"/>
    <s v="2415"/>
    <x v="36"/>
    <s v="GA"/>
    <s v="00"/>
    <m/>
    <m/>
    <x v="5"/>
    <n v="0"/>
    <n v="98.31"/>
    <n v="0"/>
    <n v="-98.31"/>
    <n v="0"/>
    <s v="ENTERTAINMENT BOARD"/>
  </r>
  <r>
    <s v="1213"/>
    <s v="522"/>
    <s v="264"/>
    <s v="2415"/>
    <x v="36"/>
    <s v="KA"/>
    <m/>
    <m/>
    <m/>
    <x v="7"/>
    <n v="0"/>
    <n v="0"/>
    <n v="0"/>
    <n v="0"/>
    <n v="0"/>
    <s v="ENTERTAINMENT BOARD"/>
  </r>
  <r>
    <s v="1213"/>
    <s v="522"/>
    <s v="264"/>
    <s v="2415"/>
    <x v="36"/>
    <s v="KE"/>
    <m/>
    <m/>
    <m/>
    <x v="7"/>
    <n v="0"/>
    <n v="0"/>
    <n v="0"/>
    <n v="0"/>
    <n v="0"/>
    <s v="ENTERTAINMENT BOARD"/>
  </r>
  <r>
    <s v="1213"/>
    <s v="522"/>
    <s v="264"/>
    <s v="2415"/>
    <x v="36"/>
    <s v="NB"/>
    <m/>
    <m/>
    <m/>
    <x v="11"/>
    <n v="0"/>
    <n v="0"/>
    <n v="0"/>
    <n v="0"/>
    <n v="0"/>
    <s v="ENTERTAINMENT BOARD"/>
  </r>
  <r>
    <s v="1213"/>
    <s v="522"/>
    <s v="264"/>
    <s v="2415"/>
    <x v="36"/>
    <s v="NB"/>
    <s v="00"/>
    <m/>
    <m/>
    <x v="11"/>
    <n v="0"/>
    <n v="24948"/>
    <n v="0"/>
    <n v="-24948"/>
    <n v="0"/>
    <s v="ENTERTAINMENT BOARD"/>
  </r>
  <r>
    <s v="1213"/>
    <s v="522"/>
    <s v="264"/>
    <s v="2416"/>
    <x v="37"/>
    <m/>
    <m/>
    <s v="0499"/>
    <s v="8Y"/>
    <x v="0"/>
    <n v="0"/>
    <n v="-577"/>
    <n v="0"/>
    <n v="577"/>
    <n v="0"/>
    <s v="ARAB CULTURE"/>
  </r>
  <r>
    <s v="1213"/>
    <s v="522"/>
    <s v="264"/>
    <s v="2416"/>
    <x v="37"/>
    <m/>
    <m/>
    <s v="0782"/>
    <m/>
    <x v="10"/>
    <n v="0"/>
    <n v="-169"/>
    <n v="0"/>
    <n v="169"/>
    <n v="0"/>
    <s v="ARAB CULTURE"/>
  </r>
  <r>
    <s v="1213"/>
    <s v="522"/>
    <s v="264"/>
    <s v="2416"/>
    <x v="37"/>
    <s v="E"/>
    <m/>
    <m/>
    <m/>
    <x v="4"/>
    <n v="4200"/>
    <n v="0"/>
    <n v="0"/>
    <n v="4200"/>
    <n v="0"/>
    <s v="ARAB CULTURE"/>
  </r>
  <r>
    <s v="1213"/>
    <s v="522"/>
    <s v="264"/>
    <s v="2416"/>
    <x v="37"/>
    <s v="EA"/>
    <s v="00"/>
    <m/>
    <m/>
    <x v="4"/>
    <n v="0"/>
    <n v="390.86"/>
    <n v="0"/>
    <n v="-390.86"/>
    <n v="0"/>
    <s v="ARAB CULTURE"/>
  </r>
  <r>
    <s v="1213"/>
    <s v="522"/>
    <s v="264"/>
    <s v="2416"/>
    <x v="37"/>
    <s v="EZ"/>
    <s v="00"/>
    <m/>
    <m/>
    <x v="4"/>
    <n v="0"/>
    <n v="0"/>
    <n v="0"/>
    <n v="0"/>
    <n v="0"/>
    <s v="ARAB CULTURE"/>
  </r>
  <r>
    <s v="1213"/>
    <s v="522"/>
    <s v="264"/>
    <s v="2416"/>
    <x v="37"/>
    <s v="EZ"/>
    <s v="30"/>
    <m/>
    <m/>
    <x v="4"/>
    <n v="0"/>
    <n v="1587.09"/>
    <n v="0"/>
    <n v="-1587.09"/>
    <n v="0"/>
    <s v="ARAB CULTURE"/>
  </r>
  <r>
    <s v="1213"/>
    <s v="522"/>
    <s v="264"/>
    <s v="2416"/>
    <x v="37"/>
    <s v="G"/>
    <m/>
    <m/>
    <m/>
    <x v="5"/>
    <n v="0"/>
    <n v="0"/>
    <n v="0"/>
    <n v="0"/>
    <n v="0"/>
    <s v="ARAB CULTURE"/>
  </r>
  <r>
    <s v="1213"/>
    <s v="522"/>
    <s v="264"/>
    <s v="2416"/>
    <x v="37"/>
    <s v="NB"/>
    <m/>
    <m/>
    <m/>
    <x v="11"/>
    <n v="0"/>
    <n v="0"/>
    <n v="0"/>
    <n v="0"/>
    <n v="0"/>
    <s v="ARAB CULTURE"/>
  </r>
  <r>
    <s v="1213"/>
    <s v="522"/>
    <s v="264"/>
    <s v="2416"/>
    <x v="37"/>
    <s v="NB"/>
    <s v="00"/>
    <m/>
    <m/>
    <x v="11"/>
    <n v="0"/>
    <n v="2350"/>
    <n v="0"/>
    <n v="-2350"/>
    <n v="0"/>
    <s v="ARAB CULTURE"/>
  </r>
  <r>
    <s v="1213"/>
    <s v="522"/>
    <s v="264"/>
    <s v="2417"/>
    <x v="38"/>
    <s v="E"/>
    <m/>
    <m/>
    <m/>
    <x v="4"/>
    <n v="3230"/>
    <n v="0"/>
    <n v="0"/>
    <n v="3230"/>
    <n v="0"/>
    <s v="STUDENT PARNTS TGTHR"/>
  </r>
  <r>
    <s v="1213"/>
    <s v="522"/>
    <s v="264"/>
    <s v="2417"/>
    <x v="38"/>
    <s v="EA"/>
    <s v="00"/>
    <m/>
    <m/>
    <x v="4"/>
    <n v="0"/>
    <n v="383.55"/>
    <n v="0"/>
    <n v="-383.55"/>
    <n v="0"/>
    <s v="STUDENT PARNTS TGTHR"/>
  </r>
  <r>
    <s v="1213"/>
    <s v="522"/>
    <s v="264"/>
    <s v="2417"/>
    <x v="38"/>
    <s v="EH"/>
    <s v="20"/>
    <m/>
    <m/>
    <x v="4"/>
    <n v="0"/>
    <n v="239.14"/>
    <n v="0"/>
    <n v="-239.14"/>
    <n v="0"/>
    <s v="STUDENT PARNTS TGTHR"/>
  </r>
  <r>
    <s v="1213"/>
    <s v="522"/>
    <s v="264"/>
    <s v="2417"/>
    <x v="38"/>
    <s v="EZ"/>
    <s v="00"/>
    <m/>
    <m/>
    <x v="4"/>
    <n v="0"/>
    <n v="1883.76"/>
    <n v="0"/>
    <n v="-1883.76"/>
    <n v="0"/>
    <s v="STUDENT PARNTS TGTHR"/>
  </r>
  <r>
    <s v="1213"/>
    <s v="522"/>
    <s v="264"/>
    <s v="2417"/>
    <x v="38"/>
    <s v="EZ"/>
    <s v="30"/>
    <m/>
    <m/>
    <x v="4"/>
    <n v="0"/>
    <n v="1244.99"/>
    <n v="0"/>
    <n v="-1244.99"/>
    <n v="0"/>
    <s v="STUDENT PARNTS TGTHR"/>
  </r>
  <r>
    <s v="1213"/>
    <s v="522"/>
    <s v="264"/>
    <s v="2418"/>
    <x v="39"/>
    <s v="E"/>
    <m/>
    <m/>
    <m/>
    <x v="4"/>
    <n v="0"/>
    <n v="0"/>
    <n v="0"/>
    <n v="0"/>
    <n v="0"/>
    <s v="MIXED MARTIAL ARTS"/>
  </r>
  <r>
    <s v="1213"/>
    <s v="522"/>
    <s v="264"/>
    <s v="2419"/>
    <x v="40"/>
    <s v="E"/>
    <m/>
    <m/>
    <m/>
    <x v="4"/>
    <n v="6900"/>
    <n v="0"/>
    <n v="0"/>
    <n v="6900"/>
    <n v="0"/>
    <s v="STDNT AMBASSADOR PRG"/>
  </r>
  <r>
    <s v="1213"/>
    <s v="522"/>
    <s v="264"/>
    <s v="2419"/>
    <x v="40"/>
    <s v="EA"/>
    <s v="00"/>
    <m/>
    <m/>
    <x v="4"/>
    <n v="0"/>
    <n v="985.5"/>
    <n v="0"/>
    <n v="-985.5"/>
    <n v="0"/>
    <s v="STDNT AMBASSADOR PRG"/>
  </r>
  <r>
    <s v="1213"/>
    <s v="522"/>
    <s v="264"/>
    <s v="2419"/>
    <x v="40"/>
    <s v="EG"/>
    <s v="RG"/>
    <m/>
    <m/>
    <x v="4"/>
    <n v="0"/>
    <n v="690"/>
    <n v="0"/>
    <n v="-690"/>
    <n v="0"/>
    <s v="STDNT AMBASSADOR PRG"/>
  </r>
  <r>
    <s v="1213"/>
    <s v="522"/>
    <s v="264"/>
    <s v="2419"/>
    <x v="40"/>
    <s v="EZ"/>
    <s v="10"/>
    <m/>
    <m/>
    <x v="4"/>
    <n v="0"/>
    <n v="1126.3399999999999"/>
    <n v="0"/>
    <n v="-1126.3399999999999"/>
    <n v="0"/>
    <s v="STDNT AMBASSADOR PRG"/>
  </r>
  <r>
    <s v="1213"/>
    <s v="522"/>
    <s v="264"/>
    <s v="2419"/>
    <x v="40"/>
    <s v="EZ"/>
    <s v="20"/>
    <m/>
    <m/>
    <x v="4"/>
    <n v="0"/>
    <n v="672.9"/>
    <n v="0"/>
    <n v="-672.9"/>
    <n v="0"/>
    <s v="STDNT AMBASSADOR PRG"/>
  </r>
  <r>
    <s v="1213"/>
    <s v="522"/>
    <s v="264"/>
    <s v="2419"/>
    <x v="40"/>
    <s v="EZ"/>
    <s v="30"/>
    <m/>
    <m/>
    <x v="4"/>
    <n v="0"/>
    <n v="644.86"/>
    <n v="0"/>
    <n v="-644.86"/>
    <n v="0"/>
    <s v="STDNT AMBASSADOR PRG"/>
  </r>
  <r>
    <s v="1213"/>
    <s v="522"/>
    <s v="264"/>
    <s v="2419"/>
    <x v="40"/>
    <s v="G"/>
    <m/>
    <m/>
    <m/>
    <x v="5"/>
    <n v="0"/>
    <n v="0"/>
    <n v="0"/>
    <n v="0"/>
    <n v="0"/>
    <s v="STDNT AMBASSADOR PRG"/>
  </r>
  <r>
    <s v="1213"/>
    <s v="522"/>
    <s v="264"/>
    <s v="2419"/>
    <x v="40"/>
    <s v="GA"/>
    <s v="00"/>
    <m/>
    <m/>
    <x v="5"/>
    <n v="0"/>
    <n v="100.2"/>
    <n v="0"/>
    <n v="-100.2"/>
    <n v="0"/>
    <s v="STDNT AMBASSADOR PRG"/>
  </r>
  <r>
    <s v="1213"/>
    <s v="522"/>
    <s v="264"/>
    <s v="2419"/>
    <x v="40"/>
    <s v="GD"/>
    <s v="10"/>
    <m/>
    <m/>
    <x v="5"/>
    <n v="0"/>
    <n v="22.5"/>
    <n v="0"/>
    <n v="-22.5"/>
    <n v="0"/>
    <s v="STDNT AMBASSADOR PRG"/>
  </r>
  <r>
    <s v="1213"/>
    <s v="522"/>
    <s v="264"/>
    <s v="2419"/>
    <x v="40"/>
    <s v="GD"/>
    <s v="60"/>
    <m/>
    <m/>
    <x v="5"/>
    <n v="0"/>
    <n v="50"/>
    <n v="0"/>
    <n v="-50"/>
    <n v="0"/>
    <s v="STDNT AMBASSADOR PRG"/>
  </r>
  <r>
    <s v="1213"/>
    <s v="522"/>
    <s v="264"/>
    <s v="2419"/>
    <x v="40"/>
    <s v="GF"/>
    <s v="00"/>
    <m/>
    <m/>
    <x v="5"/>
    <n v="0"/>
    <n v="768.16"/>
    <n v="0"/>
    <n v="-768.16"/>
    <n v="0"/>
    <s v="STDNT AMBASSADOR PRG"/>
  </r>
  <r>
    <s v="1213"/>
    <s v="522"/>
    <s v="264"/>
    <s v="2419"/>
    <x v="40"/>
    <s v="GG"/>
    <s v="00"/>
    <m/>
    <m/>
    <x v="5"/>
    <n v="0"/>
    <n v="717.4"/>
    <n v="0"/>
    <n v="-717.4"/>
    <n v="0"/>
    <s v="STDNT AMBASSADOR PRG"/>
  </r>
  <r>
    <s v="1213"/>
    <s v="522"/>
    <s v="264"/>
    <s v="2420"/>
    <x v="41"/>
    <m/>
    <m/>
    <s v="0499"/>
    <s v="6O"/>
    <x v="0"/>
    <n v="0"/>
    <n v="-6114.12"/>
    <n v="0"/>
    <n v="6114.12"/>
    <n v="0"/>
    <s v="NURSING CLUB"/>
  </r>
  <r>
    <s v="1213"/>
    <s v="522"/>
    <s v="264"/>
    <s v="2420"/>
    <x v="41"/>
    <m/>
    <m/>
    <s v="0782"/>
    <m/>
    <x v="10"/>
    <n v="0"/>
    <n v="-3274"/>
    <n v="0"/>
    <n v="3274"/>
    <n v="0"/>
    <s v="NURSING CLUB"/>
  </r>
  <r>
    <s v="1213"/>
    <s v="522"/>
    <s v="264"/>
    <s v="2420"/>
    <x v="41"/>
    <s v="AH"/>
    <s v="AS"/>
    <m/>
    <m/>
    <x v="8"/>
    <n v="0"/>
    <n v="0"/>
    <n v="0"/>
    <n v="0"/>
    <n v="0"/>
    <s v="NURSING CLUB"/>
  </r>
  <r>
    <s v="1213"/>
    <s v="522"/>
    <s v="264"/>
    <s v="2420"/>
    <x v="41"/>
    <s v="B"/>
    <m/>
    <m/>
    <m/>
    <x v="9"/>
    <n v="0"/>
    <n v="0"/>
    <n v="0"/>
    <n v="0"/>
    <n v="0"/>
    <s v="NURSING CLUB"/>
  </r>
  <r>
    <s v="1213"/>
    <s v="522"/>
    <s v="264"/>
    <s v="2420"/>
    <x v="41"/>
    <s v="E"/>
    <m/>
    <m/>
    <m/>
    <x v="4"/>
    <n v="5000"/>
    <n v="0"/>
    <n v="0"/>
    <n v="5000"/>
    <n v="0"/>
    <s v="NURSING CLUB"/>
  </r>
  <r>
    <s v="1213"/>
    <s v="522"/>
    <s v="264"/>
    <s v="2420"/>
    <x v="41"/>
    <s v="EA"/>
    <s v="00"/>
    <m/>
    <m/>
    <x v="4"/>
    <n v="0"/>
    <n v="4394.38"/>
    <n v="0"/>
    <n v="-4394.38"/>
    <n v="0"/>
    <s v="NURSING CLUB"/>
  </r>
  <r>
    <s v="1213"/>
    <s v="522"/>
    <s v="264"/>
    <s v="2420"/>
    <x v="41"/>
    <s v="ED"/>
    <s v="00"/>
    <m/>
    <m/>
    <x v="4"/>
    <n v="0"/>
    <n v="0"/>
    <n v="0"/>
    <n v="0"/>
    <n v="0"/>
    <s v="NURSING CLUB"/>
  </r>
  <r>
    <s v="1213"/>
    <s v="522"/>
    <s v="264"/>
    <s v="2420"/>
    <x v="41"/>
    <s v="EG"/>
    <s v="RG"/>
    <m/>
    <m/>
    <x v="4"/>
    <n v="0"/>
    <n v="455"/>
    <n v="0"/>
    <n v="-455"/>
    <n v="0"/>
    <s v="NURSING CLUB"/>
  </r>
  <r>
    <s v="1213"/>
    <s v="522"/>
    <s v="264"/>
    <s v="2420"/>
    <x v="41"/>
    <s v="EZ"/>
    <s v="00"/>
    <m/>
    <m/>
    <x v="4"/>
    <n v="0"/>
    <n v="203.82"/>
    <n v="0"/>
    <n v="-203.82"/>
    <n v="0"/>
    <s v="NURSING CLUB"/>
  </r>
  <r>
    <s v="1213"/>
    <s v="522"/>
    <s v="264"/>
    <s v="2420"/>
    <x v="41"/>
    <s v="EZ"/>
    <s v="30"/>
    <m/>
    <m/>
    <x v="4"/>
    <n v="0"/>
    <n v="2932.52"/>
    <n v="0"/>
    <n v="-2932.52"/>
    <n v="0"/>
    <s v="NURSING CLUB"/>
  </r>
  <r>
    <s v="1213"/>
    <s v="522"/>
    <s v="264"/>
    <s v="2420"/>
    <x v="41"/>
    <s v="G"/>
    <m/>
    <m/>
    <m/>
    <x v="5"/>
    <n v="0"/>
    <n v="0"/>
    <n v="0"/>
    <n v="0"/>
    <n v="0"/>
    <s v="NURSING CLUB"/>
  </r>
  <r>
    <s v="1213"/>
    <s v="522"/>
    <s v="264"/>
    <s v="2420"/>
    <x v="41"/>
    <s v="GA"/>
    <s v="00"/>
    <m/>
    <m/>
    <x v="5"/>
    <n v="0"/>
    <n v="1602.88"/>
    <n v="0"/>
    <n v="-1602.88"/>
    <n v="0"/>
    <s v="NURSING CLUB"/>
  </r>
  <r>
    <s v="1213"/>
    <s v="522"/>
    <s v="264"/>
    <s v="2420"/>
    <x v="41"/>
    <s v="GB"/>
    <s v="00"/>
    <m/>
    <m/>
    <x v="5"/>
    <n v="0"/>
    <n v="419.6"/>
    <n v="0"/>
    <n v="-419.6"/>
    <n v="0"/>
    <s v="NURSING CLUB"/>
  </r>
  <r>
    <s v="1213"/>
    <s v="522"/>
    <s v="264"/>
    <s v="2420"/>
    <x v="41"/>
    <s v="GD"/>
    <s v="00"/>
    <m/>
    <m/>
    <x v="5"/>
    <n v="0"/>
    <n v="22"/>
    <n v="0"/>
    <n v="-22"/>
    <n v="0"/>
    <s v="NURSING CLUB"/>
  </r>
  <r>
    <s v="1213"/>
    <s v="522"/>
    <s v="264"/>
    <s v="2420"/>
    <x v="41"/>
    <s v="GD"/>
    <s v="10"/>
    <m/>
    <m/>
    <x v="5"/>
    <n v="0"/>
    <n v="22"/>
    <n v="0"/>
    <n v="-22"/>
    <n v="0"/>
    <s v="NURSING CLUB"/>
  </r>
  <r>
    <s v="1213"/>
    <s v="522"/>
    <s v="264"/>
    <s v="2420"/>
    <x v="41"/>
    <s v="GD"/>
    <s v="20"/>
    <m/>
    <m/>
    <x v="5"/>
    <n v="0"/>
    <n v="91"/>
    <n v="0"/>
    <n v="-91"/>
    <n v="0"/>
    <s v="NURSING CLUB"/>
  </r>
  <r>
    <s v="1213"/>
    <s v="522"/>
    <s v="264"/>
    <s v="2420"/>
    <x v="41"/>
    <s v="NB"/>
    <m/>
    <m/>
    <m/>
    <x v="11"/>
    <n v="0"/>
    <n v="0"/>
    <n v="0"/>
    <n v="0"/>
    <n v="0"/>
    <s v="NURSING CLUB"/>
  </r>
  <r>
    <s v="1213"/>
    <s v="522"/>
    <s v="264"/>
    <s v="2421"/>
    <x v="42"/>
    <m/>
    <m/>
    <s v="0499"/>
    <s v="6R"/>
    <x v="0"/>
    <n v="0"/>
    <n v="0"/>
    <n v="0"/>
    <n v="0"/>
    <n v="0"/>
    <s v="SPEAK OUT"/>
  </r>
  <r>
    <s v="1213"/>
    <s v="522"/>
    <s v="264"/>
    <s v="2421"/>
    <x v="42"/>
    <m/>
    <m/>
    <s v="0622"/>
    <m/>
    <x v="2"/>
    <n v="0"/>
    <n v="299"/>
    <n v="0"/>
    <n v="-299"/>
    <n v="0"/>
    <s v="SPEAK OUT"/>
  </r>
  <r>
    <s v="1213"/>
    <s v="522"/>
    <s v="264"/>
    <s v="2421"/>
    <x v="42"/>
    <m/>
    <m/>
    <s v="0782"/>
    <m/>
    <x v="10"/>
    <n v="0"/>
    <n v="-1232"/>
    <n v="0"/>
    <n v="1232"/>
    <n v="0"/>
    <s v="SPEAK OUT"/>
  </r>
  <r>
    <s v="1213"/>
    <s v="522"/>
    <s v="264"/>
    <s v="2421"/>
    <x v="42"/>
    <s v="E"/>
    <m/>
    <m/>
    <m/>
    <x v="4"/>
    <n v="7000"/>
    <n v="0"/>
    <n v="0"/>
    <n v="7000"/>
    <n v="0"/>
    <s v="SPEAK OUT"/>
  </r>
  <r>
    <s v="1213"/>
    <s v="522"/>
    <s v="264"/>
    <s v="2421"/>
    <x v="42"/>
    <s v="EA"/>
    <s v="00"/>
    <m/>
    <m/>
    <x v="4"/>
    <n v="0"/>
    <n v="346.39"/>
    <n v="0"/>
    <n v="-346.39"/>
    <n v="0"/>
    <s v="SPEAK OUT"/>
  </r>
  <r>
    <s v="1213"/>
    <s v="522"/>
    <s v="264"/>
    <s v="2421"/>
    <x v="42"/>
    <s v="EZ"/>
    <s v="20"/>
    <m/>
    <m/>
    <x v="4"/>
    <n v="0"/>
    <n v="630.86"/>
    <n v="0"/>
    <n v="-630.86"/>
    <n v="0"/>
    <s v="SPEAK OUT"/>
  </r>
  <r>
    <s v="1213"/>
    <s v="522"/>
    <s v="264"/>
    <s v="2421"/>
    <x v="42"/>
    <s v="EZ"/>
    <s v="30"/>
    <m/>
    <m/>
    <x v="4"/>
    <n v="0"/>
    <n v="2414.61"/>
    <n v="0"/>
    <n v="-2414.61"/>
    <n v="0"/>
    <s v="SPEAK OUT"/>
  </r>
  <r>
    <s v="1213"/>
    <s v="522"/>
    <s v="264"/>
    <s v="2421"/>
    <x v="42"/>
    <s v="NB"/>
    <m/>
    <m/>
    <m/>
    <x v="11"/>
    <n v="0"/>
    <n v="0"/>
    <n v="0"/>
    <n v="0"/>
    <n v="0"/>
    <s v="SPEAK OUT"/>
  </r>
  <r>
    <s v="1213"/>
    <s v="522"/>
    <s v="264"/>
    <s v="2421"/>
    <x v="42"/>
    <s v="NB"/>
    <s v="00"/>
    <m/>
    <m/>
    <x v="11"/>
    <n v="0"/>
    <n v="500"/>
    <n v="0"/>
    <n v="-500"/>
    <n v="0"/>
    <s v="SPEAK OUT"/>
  </r>
  <r>
    <s v="1213"/>
    <s v="522"/>
    <s v="264"/>
    <s v="2423"/>
    <x v="43"/>
    <m/>
    <m/>
    <s v="0499"/>
    <s v="6H"/>
    <x v="0"/>
    <n v="0"/>
    <n v="0"/>
    <n v="0"/>
    <n v="0"/>
    <n v="0"/>
    <s v="SHUT UP AND SIGN"/>
  </r>
  <r>
    <s v="1213"/>
    <s v="522"/>
    <s v="264"/>
    <s v="2423"/>
    <x v="43"/>
    <m/>
    <m/>
    <s v="0622"/>
    <m/>
    <x v="2"/>
    <n v="0"/>
    <n v="0"/>
    <n v="0"/>
    <n v="0"/>
    <n v="0"/>
    <s v="SHUT UP AND SIGN"/>
  </r>
  <r>
    <s v="1213"/>
    <s v="522"/>
    <s v="264"/>
    <s v="2423"/>
    <x v="43"/>
    <m/>
    <m/>
    <s v="0782"/>
    <m/>
    <x v="10"/>
    <n v="0"/>
    <n v="0"/>
    <n v="0"/>
    <n v="0"/>
    <n v="0"/>
    <s v="SHUT UP AND SIGN"/>
  </r>
  <r>
    <s v="1213"/>
    <s v="522"/>
    <s v="264"/>
    <s v="2423"/>
    <x v="43"/>
    <s v="E"/>
    <m/>
    <m/>
    <m/>
    <x v="4"/>
    <n v="3000"/>
    <n v="0"/>
    <n v="0"/>
    <n v="3000"/>
    <n v="0"/>
    <s v="SHUT UP AND SIGN"/>
  </r>
  <r>
    <s v="1213"/>
    <s v="522"/>
    <s v="264"/>
    <s v="2423"/>
    <x v="43"/>
    <s v="EA"/>
    <s v="00"/>
    <m/>
    <m/>
    <x v="4"/>
    <n v="0"/>
    <n v="805.82"/>
    <n v="0"/>
    <n v="-805.82"/>
    <n v="0"/>
    <s v="SHUT UP AND SIGN"/>
  </r>
  <r>
    <s v="1213"/>
    <s v="522"/>
    <s v="264"/>
    <s v="2423"/>
    <x v="43"/>
    <s v="EZ"/>
    <s v="00"/>
    <m/>
    <m/>
    <x v="4"/>
    <n v="0"/>
    <n v="150"/>
    <n v="0"/>
    <n v="-150"/>
    <n v="0"/>
    <s v="SHUT UP AND SIGN"/>
  </r>
  <r>
    <s v="1213"/>
    <s v="522"/>
    <s v="264"/>
    <s v="2423"/>
    <x v="43"/>
    <s v="EZ"/>
    <s v="30"/>
    <m/>
    <m/>
    <x v="4"/>
    <n v="0"/>
    <n v="324"/>
    <n v="0"/>
    <n v="-324"/>
    <n v="0"/>
    <s v="SHUT UP AND SIGN"/>
  </r>
  <r>
    <s v="1213"/>
    <s v="522"/>
    <s v="264"/>
    <s v="2423"/>
    <x v="43"/>
    <s v="J"/>
    <m/>
    <m/>
    <m/>
    <x v="6"/>
    <n v="0"/>
    <n v="0"/>
    <n v="0"/>
    <n v="0"/>
    <n v="0"/>
    <s v="SHUT UP AND SIGN"/>
  </r>
  <r>
    <s v="1213"/>
    <s v="522"/>
    <s v="264"/>
    <s v="2424"/>
    <x v="44"/>
    <s v="AD"/>
    <s v="02"/>
    <m/>
    <m/>
    <x v="8"/>
    <n v="0"/>
    <n v="0"/>
    <n v="0"/>
    <n v="0"/>
    <n v="0"/>
    <s v="STUDENT HEALTH CENTR"/>
  </r>
  <r>
    <s v="1213"/>
    <s v="522"/>
    <s v="264"/>
    <s v="2424"/>
    <x v="44"/>
    <s v="B"/>
    <m/>
    <m/>
    <m/>
    <x v="9"/>
    <n v="0"/>
    <n v="0"/>
    <n v="0"/>
    <n v="0"/>
    <n v="0"/>
    <s v="STUDENT HEALTH CENTR"/>
  </r>
  <r>
    <s v="1213"/>
    <s v="522"/>
    <s v="264"/>
    <s v="2425"/>
    <x v="45"/>
    <m/>
    <m/>
    <s v="0499"/>
    <m/>
    <x v="0"/>
    <n v="0"/>
    <n v="0"/>
    <n v="0"/>
    <n v="0"/>
    <n v="0"/>
    <s v="OUTDOOR CLUB"/>
  </r>
  <r>
    <s v="1213"/>
    <s v="522"/>
    <s v="264"/>
    <s v="2425"/>
    <x v="45"/>
    <m/>
    <m/>
    <s v="0499"/>
    <s v="8O"/>
    <x v="0"/>
    <n v="0"/>
    <n v="0"/>
    <n v="0"/>
    <n v="0"/>
    <n v="0"/>
    <s v="OUTDOOR CLUB"/>
  </r>
  <r>
    <s v="1213"/>
    <s v="522"/>
    <s v="264"/>
    <s v="2425"/>
    <x v="45"/>
    <s v="E"/>
    <m/>
    <m/>
    <m/>
    <x v="4"/>
    <n v="2504"/>
    <n v="0"/>
    <n v="0"/>
    <n v="2504"/>
    <n v="0"/>
    <s v="OUTDOOR CLUB"/>
  </r>
  <r>
    <s v="1213"/>
    <s v="522"/>
    <s v="264"/>
    <s v="2425"/>
    <x v="45"/>
    <s v="G"/>
    <m/>
    <m/>
    <m/>
    <x v="5"/>
    <n v="0"/>
    <n v="0"/>
    <n v="0"/>
    <n v="0"/>
    <n v="0"/>
    <s v="OUTDOOR CLUB"/>
  </r>
  <r>
    <s v="1213"/>
    <s v="522"/>
    <s v="264"/>
    <s v="2425"/>
    <x v="45"/>
    <s v="NB"/>
    <m/>
    <m/>
    <m/>
    <x v="11"/>
    <n v="0"/>
    <n v="0"/>
    <n v="0"/>
    <n v="0"/>
    <n v="0"/>
    <s v="OUTDOOR CLUB"/>
  </r>
  <r>
    <s v="1213"/>
    <s v="522"/>
    <s v="264"/>
    <s v="2425"/>
    <x v="45"/>
    <s v="NB"/>
    <s v="00"/>
    <m/>
    <m/>
    <x v="11"/>
    <n v="0"/>
    <n v="1250"/>
    <n v="0"/>
    <n v="-1250"/>
    <n v="0"/>
    <s v="OUTDOOR CLUB"/>
  </r>
  <r>
    <s v="1213"/>
    <s v="522"/>
    <s v="264"/>
    <s v="2426"/>
    <x v="46"/>
    <m/>
    <m/>
    <s v="0499"/>
    <s v="6I"/>
    <x v="0"/>
    <n v="0"/>
    <n v="-407"/>
    <n v="0"/>
    <n v="407"/>
    <n v="0"/>
    <s v="FRISBEE GOLF"/>
  </r>
  <r>
    <s v="1213"/>
    <s v="522"/>
    <s v="264"/>
    <s v="2426"/>
    <x v="46"/>
    <s v="E"/>
    <m/>
    <m/>
    <m/>
    <x v="4"/>
    <n v="3000"/>
    <n v="0"/>
    <n v="0"/>
    <n v="3000"/>
    <n v="0"/>
    <s v="FRISBEE GOLF"/>
  </r>
  <r>
    <s v="1213"/>
    <s v="522"/>
    <s v="264"/>
    <s v="2426"/>
    <x v="46"/>
    <s v="EA"/>
    <s v="00"/>
    <m/>
    <m/>
    <x v="4"/>
    <n v="0"/>
    <n v="491.87"/>
    <n v="0"/>
    <n v="-491.87"/>
    <n v="0"/>
    <s v="FRISBEE GOLF"/>
  </r>
  <r>
    <s v="1213"/>
    <s v="522"/>
    <s v="264"/>
    <s v="2426"/>
    <x v="46"/>
    <s v="EG"/>
    <s v="RG"/>
    <m/>
    <m/>
    <x v="4"/>
    <n v="0"/>
    <n v="230"/>
    <n v="0"/>
    <n v="-230"/>
    <n v="0"/>
    <s v="FRISBEE GOLF"/>
  </r>
  <r>
    <s v="1213"/>
    <s v="522"/>
    <s v="264"/>
    <s v="2426"/>
    <x v="46"/>
    <s v="EZ"/>
    <s v="30"/>
    <m/>
    <m/>
    <x v="4"/>
    <n v="0"/>
    <n v="135.97999999999999"/>
    <n v="0"/>
    <n v="-135.97999999999999"/>
    <n v="0"/>
    <s v="FRISBEE GOLF"/>
  </r>
  <r>
    <s v="1213"/>
    <s v="522"/>
    <s v="264"/>
    <s v="2426"/>
    <x v="46"/>
    <s v="G"/>
    <m/>
    <m/>
    <m/>
    <x v="5"/>
    <n v="0"/>
    <n v="0"/>
    <n v="0"/>
    <n v="0"/>
    <n v="0"/>
    <s v="FRISBEE GOLF"/>
  </r>
  <r>
    <s v="1213"/>
    <s v="522"/>
    <s v="264"/>
    <s v="2426"/>
    <x v="46"/>
    <s v="GD"/>
    <s v="70"/>
    <m/>
    <m/>
    <x v="5"/>
    <n v="0"/>
    <n v="410.47"/>
    <n v="0"/>
    <n v="-410.47"/>
    <n v="0"/>
    <s v="FRISBEE GOLF"/>
  </r>
  <r>
    <s v="1213"/>
    <s v="522"/>
    <s v="264"/>
    <s v="2426"/>
    <x v="46"/>
    <s v="GF"/>
    <s v="00"/>
    <m/>
    <m/>
    <x v="5"/>
    <n v="0"/>
    <n v="1015.3"/>
    <n v="0"/>
    <n v="-1015.3"/>
    <n v="0"/>
    <s v="FRISBEE GOLF"/>
  </r>
  <r>
    <s v="1213"/>
    <s v="522"/>
    <s v="264"/>
    <s v="2427"/>
    <x v="47"/>
    <m/>
    <m/>
    <s v="0420"/>
    <m/>
    <x v="0"/>
    <n v="0"/>
    <n v="0"/>
    <n v="0"/>
    <n v="0"/>
    <n v="0"/>
    <s v="C.P.R. CLUB"/>
  </r>
  <r>
    <s v="1213"/>
    <s v="522"/>
    <s v="264"/>
    <s v="2427"/>
    <x v="47"/>
    <m/>
    <m/>
    <s v="0499"/>
    <s v="6C"/>
    <x v="0"/>
    <n v="0"/>
    <n v="-1178"/>
    <n v="0"/>
    <n v="1178"/>
    <n v="0"/>
    <s v="C.P.R. CLUB"/>
  </r>
  <r>
    <s v="1213"/>
    <s v="522"/>
    <s v="264"/>
    <s v="2427"/>
    <x v="47"/>
    <m/>
    <m/>
    <s v="0621"/>
    <m/>
    <x v="1"/>
    <n v="0"/>
    <n v="-256"/>
    <n v="0"/>
    <n v="256"/>
    <n v="0"/>
    <s v="C.P.R. CLUB"/>
  </r>
  <r>
    <s v="1213"/>
    <s v="522"/>
    <s v="264"/>
    <s v="2427"/>
    <x v="47"/>
    <m/>
    <m/>
    <s v="0622"/>
    <m/>
    <x v="2"/>
    <n v="0"/>
    <n v="50"/>
    <n v="0"/>
    <n v="-50"/>
    <n v="0"/>
    <s v="C.P.R. CLUB"/>
  </r>
  <r>
    <s v="1213"/>
    <s v="522"/>
    <s v="264"/>
    <s v="2427"/>
    <x v="47"/>
    <m/>
    <m/>
    <s v="0782"/>
    <m/>
    <x v="10"/>
    <n v="0"/>
    <n v="0"/>
    <n v="0"/>
    <n v="0"/>
    <n v="0"/>
    <s v="C.P.R. CLUB"/>
  </r>
  <r>
    <s v="1213"/>
    <s v="522"/>
    <s v="264"/>
    <s v="2427"/>
    <x v="47"/>
    <s v="E"/>
    <m/>
    <m/>
    <m/>
    <x v="4"/>
    <n v="3953"/>
    <n v="0"/>
    <n v="0"/>
    <n v="3953"/>
    <n v="0"/>
    <s v="C.P.R. CLUB"/>
  </r>
  <r>
    <s v="1213"/>
    <s v="522"/>
    <s v="264"/>
    <s v="2427"/>
    <x v="47"/>
    <s v="EA"/>
    <s v="00"/>
    <m/>
    <m/>
    <x v="4"/>
    <n v="0"/>
    <n v="1186.27"/>
    <n v="0"/>
    <n v="-1186.27"/>
    <n v="0"/>
    <s v="C.P.R. CLUB"/>
  </r>
  <r>
    <s v="1213"/>
    <s v="522"/>
    <s v="264"/>
    <s v="2427"/>
    <x v="47"/>
    <s v="EG"/>
    <s v="RG"/>
    <m/>
    <m/>
    <x v="4"/>
    <n v="0"/>
    <n v="980"/>
    <n v="0"/>
    <n v="-980"/>
    <n v="0"/>
    <s v="C.P.R. CLUB"/>
  </r>
  <r>
    <s v="1213"/>
    <s v="522"/>
    <s v="264"/>
    <s v="2427"/>
    <x v="47"/>
    <s v="EZ"/>
    <s v="20"/>
    <m/>
    <m/>
    <x v="4"/>
    <n v="0"/>
    <n v="347.22"/>
    <n v="0"/>
    <n v="-347.22"/>
    <n v="0"/>
    <s v="C.P.R. CLUB"/>
  </r>
  <r>
    <s v="1213"/>
    <s v="522"/>
    <s v="264"/>
    <s v="2427"/>
    <x v="47"/>
    <s v="EZ"/>
    <s v="40"/>
    <m/>
    <m/>
    <x v="4"/>
    <n v="0"/>
    <n v="40"/>
    <n v="0"/>
    <n v="-40"/>
    <n v="0"/>
    <s v="C.P.R. CLUB"/>
  </r>
  <r>
    <s v="1213"/>
    <s v="522"/>
    <s v="264"/>
    <s v="2427"/>
    <x v="47"/>
    <s v="G"/>
    <m/>
    <m/>
    <m/>
    <x v="5"/>
    <n v="0"/>
    <n v="0"/>
    <n v="0"/>
    <n v="0"/>
    <n v="0"/>
    <s v="C.P.R. CLUB"/>
  </r>
  <r>
    <s v="1213"/>
    <s v="522"/>
    <s v="264"/>
    <s v="2427"/>
    <x v="47"/>
    <s v="GA"/>
    <s v="00"/>
    <m/>
    <m/>
    <x v="5"/>
    <n v="0"/>
    <n v="2126.16"/>
    <n v="0"/>
    <n v="-2126.16"/>
    <n v="0"/>
    <s v="C.P.R. CLUB"/>
  </r>
  <r>
    <s v="1213"/>
    <s v="522"/>
    <s v="264"/>
    <s v="2427"/>
    <x v="47"/>
    <s v="GB"/>
    <s v="00"/>
    <m/>
    <m/>
    <x v="5"/>
    <n v="0"/>
    <n v="1016.8"/>
    <n v="0"/>
    <n v="-1016.8"/>
    <n v="0"/>
    <s v="C.P.R. CLUB"/>
  </r>
  <r>
    <s v="1213"/>
    <s v="522"/>
    <s v="264"/>
    <s v="2427"/>
    <x v="47"/>
    <s v="GD"/>
    <s v="00"/>
    <m/>
    <m/>
    <x v="5"/>
    <n v="0"/>
    <n v="110"/>
    <n v="0"/>
    <n v="-110"/>
    <n v="0"/>
    <s v="C.P.R. CLUB"/>
  </r>
  <r>
    <s v="1213"/>
    <s v="522"/>
    <s v="264"/>
    <s v="2427"/>
    <x v="47"/>
    <s v="J"/>
    <m/>
    <m/>
    <m/>
    <x v="6"/>
    <n v="0"/>
    <n v="0"/>
    <n v="0"/>
    <n v="0"/>
    <n v="0"/>
    <s v="C.P.R. CLUB"/>
  </r>
  <r>
    <s v="1213"/>
    <s v="522"/>
    <s v="264"/>
    <s v="2428"/>
    <x v="48"/>
    <m/>
    <m/>
    <s v="0499"/>
    <s v="6B"/>
    <x v="0"/>
    <n v="0"/>
    <n v="-297"/>
    <n v="0"/>
    <n v="297"/>
    <n v="0"/>
    <s v="ASSC STUDENT GOVRNMT"/>
  </r>
  <r>
    <s v="1213"/>
    <s v="522"/>
    <s v="264"/>
    <s v="2428"/>
    <x v="48"/>
    <s v="E"/>
    <m/>
    <m/>
    <m/>
    <x v="4"/>
    <n v="36920"/>
    <n v="0"/>
    <n v="0"/>
    <n v="36920"/>
    <n v="0"/>
    <s v="ASSC STUDENT GOVRNMT"/>
  </r>
  <r>
    <s v="1213"/>
    <s v="522"/>
    <s v="264"/>
    <s v="2428"/>
    <x v="48"/>
    <s v="EA"/>
    <s v="00"/>
    <m/>
    <m/>
    <x v="4"/>
    <n v="0"/>
    <n v="16194.97"/>
    <n v="0"/>
    <n v="-16194.97"/>
    <n v="0"/>
    <s v="ASSC STUDENT GOVRNMT"/>
  </r>
  <r>
    <s v="1213"/>
    <s v="522"/>
    <s v="264"/>
    <s v="2428"/>
    <x v="48"/>
    <s v="EA"/>
    <s v="55"/>
    <m/>
    <m/>
    <x v="4"/>
    <n v="0"/>
    <n v="4.46"/>
    <n v="0"/>
    <n v="-4.46"/>
    <n v="0"/>
    <s v="ASSC STUDENT GOVRNMT"/>
  </r>
  <r>
    <s v="1213"/>
    <s v="522"/>
    <s v="264"/>
    <s v="2428"/>
    <x v="48"/>
    <s v="ED"/>
    <s v="00"/>
    <m/>
    <m/>
    <x v="4"/>
    <n v="0"/>
    <n v="1232"/>
    <n v="0"/>
    <n v="-1232"/>
    <n v="0"/>
    <s v="ASSC STUDENT GOVRNMT"/>
  </r>
  <r>
    <s v="1213"/>
    <s v="522"/>
    <s v="264"/>
    <s v="2428"/>
    <x v="48"/>
    <s v="EE"/>
    <s v="00"/>
    <m/>
    <m/>
    <x v="4"/>
    <n v="0"/>
    <n v="50"/>
    <n v="0"/>
    <n v="-50"/>
    <n v="0"/>
    <s v="ASSC STUDENT GOVRNMT"/>
  </r>
  <r>
    <s v="1213"/>
    <s v="522"/>
    <s v="264"/>
    <s v="2428"/>
    <x v="48"/>
    <s v="EE"/>
    <s v="20"/>
    <m/>
    <m/>
    <x v="4"/>
    <n v="0"/>
    <n v="251.1"/>
    <n v="0"/>
    <n v="-251.1"/>
    <n v="0"/>
    <s v="ASSC STUDENT GOVRNMT"/>
  </r>
  <r>
    <s v="1213"/>
    <s v="522"/>
    <s v="264"/>
    <s v="2428"/>
    <x v="48"/>
    <s v="EG"/>
    <s v="60"/>
    <m/>
    <m/>
    <x v="4"/>
    <n v="0"/>
    <n v="321.26"/>
    <n v="0"/>
    <n v="-321.26"/>
    <n v="0"/>
    <s v="ASSC STUDENT GOVRNMT"/>
  </r>
  <r>
    <s v="1213"/>
    <s v="522"/>
    <s v="264"/>
    <s v="2428"/>
    <x v="48"/>
    <s v="EG"/>
    <s v="80"/>
    <m/>
    <m/>
    <x v="4"/>
    <n v="0"/>
    <n v="286.75"/>
    <n v="0"/>
    <n v="-286.75"/>
    <n v="0"/>
    <s v="ASSC STUDENT GOVRNMT"/>
  </r>
  <r>
    <s v="1213"/>
    <s v="522"/>
    <s v="264"/>
    <s v="2428"/>
    <x v="48"/>
    <s v="EG"/>
    <s v="RG"/>
    <m/>
    <m/>
    <x v="4"/>
    <n v="0"/>
    <n v="3351"/>
    <n v="0"/>
    <n v="-3351"/>
    <n v="0"/>
    <s v="ASSC STUDENT GOVRNMT"/>
  </r>
  <r>
    <s v="1213"/>
    <s v="522"/>
    <s v="264"/>
    <s v="2428"/>
    <x v="48"/>
    <s v="EZ"/>
    <s v="00"/>
    <m/>
    <m/>
    <x v="4"/>
    <n v="0"/>
    <n v="684.86"/>
    <n v="0"/>
    <n v="-684.86"/>
    <n v="0"/>
    <s v="ASSC STUDENT GOVRNMT"/>
  </r>
  <r>
    <s v="1213"/>
    <s v="522"/>
    <s v="264"/>
    <s v="2428"/>
    <x v="48"/>
    <s v="EZ"/>
    <s v="30"/>
    <m/>
    <m/>
    <x v="4"/>
    <n v="0"/>
    <n v="2614.9899999999998"/>
    <n v="0"/>
    <n v="-2614.9899999999998"/>
    <n v="0"/>
    <s v="ASSC STUDENT GOVRNMT"/>
  </r>
  <r>
    <s v="1213"/>
    <s v="522"/>
    <s v="264"/>
    <s v="2428"/>
    <x v="48"/>
    <s v="EZ"/>
    <s v="40"/>
    <m/>
    <m/>
    <x v="4"/>
    <n v="0"/>
    <n v="3294.44"/>
    <n v="0"/>
    <n v="-3294.44"/>
    <n v="0"/>
    <s v="ASSC STUDENT GOVRNMT"/>
  </r>
  <r>
    <s v="1213"/>
    <s v="522"/>
    <s v="264"/>
    <s v="2428"/>
    <x v="48"/>
    <s v="G"/>
    <m/>
    <m/>
    <m/>
    <x v="5"/>
    <n v="0"/>
    <n v="0"/>
    <n v="0"/>
    <n v="0"/>
    <n v="0"/>
    <s v="ASSC STUDENT GOVRNMT"/>
  </r>
  <r>
    <s v="1213"/>
    <s v="522"/>
    <s v="264"/>
    <s v="2428"/>
    <x v="48"/>
    <s v="GA"/>
    <s v="00"/>
    <m/>
    <m/>
    <x v="5"/>
    <n v="0"/>
    <n v="1481.26"/>
    <n v="0"/>
    <n v="-1481.26"/>
    <n v="0"/>
    <s v="ASSC STUDENT GOVRNMT"/>
  </r>
  <r>
    <s v="1213"/>
    <s v="522"/>
    <s v="264"/>
    <s v="2428"/>
    <x v="48"/>
    <s v="GB"/>
    <s v="00"/>
    <m/>
    <m/>
    <x v="5"/>
    <n v="0"/>
    <n v="838.4"/>
    <n v="0"/>
    <n v="-838.4"/>
    <n v="0"/>
    <s v="ASSC STUDENT GOVRNMT"/>
  </r>
  <r>
    <s v="1213"/>
    <s v="522"/>
    <s v="264"/>
    <s v="2428"/>
    <x v="48"/>
    <s v="GD"/>
    <s v="00"/>
    <m/>
    <m/>
    <x v="5"/>
    <n v="0"/>
    <n v="212.47"/>
    <n v="0"/>
    <n v="-212.47"/>
    <n v="0"/>
    <s v="ASSC STUDENT GOVRNMT"/>
  </r>
  <r>
    <s v="1213"/>
    <s v="522"/>
    <s v="264"/>
    <s v="2428"/>
    <x v="48"/>
    <s v="GD"/>
    <s v="10"/>
    <m/>
    <m/>
    <x v="5"/>
    <n v="0"/>
    <n v="81.900000000000006"/>
    <n v="0"/>
    <n v="-81.900000000000006"/>
    <n v="0"/>
    <s v="ASSC STUDENT GOVRNMT"/>
  </r>
  <r>
    <s v="1213"/>
    <s v="522"/>
    <s v="264"/>
    <s v="2428"/>
    <x v="48"/>
    <s v="GD"/>
    <s v="30"/>
    <m/>
    <m/>
    <x v="5"/>
    <n v="0"/>
    <n v="1142.46"/>
    <n v="0"/>
    <n v="-1142.46"/>
    <n v="0"/>
    <s v="ASSC STUDENT GOVRNMT"/>
  </r>
  <r>
    <s v="1213"/>
    <s v="522"/>
    <s v="264"/>
    <s v="2428"/>
    <x v="48"/>
    <s v="GD"/>
    <s v="60"/>
    <m/>
    <m/>
    <x v="5"/>
    <n v="0"/>
    <n v="7.5"/>
    <n v="0"/>
    <n v="-7.5"/>
    <n v="0"/>
    <s v="ASSC STUDENT GOVRNMT"/>
  </r>
  <r>
    <s v="1213"/>
    <s v="522"/>
    <s v="264"/>
    <s v="2428"/>
    <x v="48"/>
    <s v="GD"/>
    <s v="70"/>
    <m/>
    <m/>
    <x v="5"/>
    <n v="0"/>
    <n v="560.9"/>
    <n v="0"/>
    <n v="-560.9"/>
    <n v="0"/>
    <s v="ASSC STUDENT GOVRNMT"/>
  </r>
  <r>
    <s v="1213"/>
    <s v="522"/>
    <s v="264"/>
    <s v="2428"/>
    <x v="48"/>
    <s v="GF"/>
    <s v="00"/>
    <m/>
    <m/>
    <x v="5"/>
    <n v="0"/>
    <n v="1852.46"/>
    <n v="0"/>
    <n v="-1852.46"/>
    <n v="0"/>
    <s v="ASSC STUDENT GOVRNMT"/>
  </r>
  <r>
    <s v="1213"/>
    <s v="522"/>
    <s v="264"/>
    <s v="2428"/>
    <x v="48"/>
    <s v="GG"/>
    <s v="00"/>
    <m/>
    <m/>
    <x v="5"/>
    <n v="0"/>
    <n v="926.4"/>
    <n v="0"/>
    <n v="-926.4"/>
    <n v="0"/>
    <s v="ASSC STUDENT GOVRNMT"/>
  </r>
  <r>
    <s v="1213"/>
    <s v="522"/>
    <s v="264"/>
    <s v="2428"/>
    <x v="48"/>
    <s v="J"/>
    <m/>
    <m/>
    <m/>
    <x v="6"/>
    <n v="0"/>
    <n v="0"/>
    <n v="0"/>
    <n v="0"/>
    <n v="0"/>
    <s v="ASSC STUDENT GOVRNMT"/>
  </r>
  <r>
    <s v="1213"/>
    <s v="522"/>
    <s v="264"/>
    <s v="2428"/>
    <x v="48"/>
    <s v="KA"/>
    <m/>
    <m/>
    <m/>
    <x v="7"/>
    <n v="0"/>
    <n v="1659.83"/>
    <n v="0"/>
    <n v="-1659.83"/>
    <n v="0"/>
    <s v="ASSC STUDENT GOVRNMT"/>
  </r>
  <r>
    <s v="1213"/>
    <s v="522"/>
    <s v="264"/>
    <s v="2428"/>
    <x v="48"/>
    <s v="NB"/>
    <m/>
    <m/>
    <m/>
    <x v="11"/>
    <n v="0"/>
    <n v="0"/>
    <n v="0"/>
    <n v="0"/>
    <n v="0"/>
    <s v="ASSC STUDENT GOVRNMT"/>
  </r>
  <r>
    <s v="1213"/>
    <s v="522"/>
    <s v="264"/>
    <s v="2428"/>
    <x v="48"/>
    <s v="NB"/>
    <s v="00"/>
    <m/>
    <m/>
    <x v="11"/>
    <n v="0"/>
    <n v="250"/>
    <n v="0"/>
    <n v="-250"/>
    <n v="0"/>
    <s v="ASSC STUDENT GOVRNMT"/>
  </r>
  <r>
    <s v="1213"/>
    <s v="522"/>
    <s v="264"/>
    <s v="2429"/>
    <x v="49"/>
    <s v="E"/>
    <m/>
    <m/>
    <m/>
    <x v="4"/>
    <n v="0"/>
    <n v="0"/>
    <n v="0"/>
    <n v="0"/>
    <n v="0"/>
    <s v="SHOC"/>
  </r>
  <r>
    <s v="1213"/>
    <s v="522"/>
    <s v="264"/>
    <s v="2430"/>
    <x v="50"/>
    <m/>
    <m/>
    <s v="0499"/>
    <s v="6E"/>
    <x v="0"/>
    <n v="0"/>
    <n v="-3413"/>
    <n v="0"/>
    <n v="3413"/>
    <n v="0"/>
    <s v="EXPLORERS"/>
  </r>
  <r>
    <s v="1213"/>
    <s v="522"/>
    <s v="264"/>
    <s v="2430"/>
    <x v="50"/>
    <m/>
    <m/>
    <s v="0782"/>
    <m/>
    <x v="10"/>
    <n v="0"/>
    <n v="0"/>
    <n v="0"/>
    <n v="0"/>
    <n v="0"/>
    <s v="EXPLORERS"/>
  </r>
  <r>
    <s v="1213"/>
    <s v="522"/>
    <s v="264"/>
    <s v="2430"/>
    <x v="50"/>
    <s v="C"/>
    <m/>
    <m/>
    <m/>
    <x v="12"/>
    <n v="0"/>
    <n v="0"/>
    <n v="0"/>
    <n v="0"/>
    <n v="0"/>
    <s v="EXPLORERS"/>
  </r>
  <r>
    <s v="1213"/>
    <s v="522"/>
    <s v="264"/>
    <s v="2430"/>
    <x v="50"/>
    <s v="CJ"/>
    <s v="00"/>
    <m/>
    <m/>
    <x v="12"/>
    <n v="0"/>
    <n v="0"/>
    <n v="0"/>
    <n v="0"/>
    <n v="0"/>
    <s v="EXPLORERS"/>
  </r>
  <r>
    <s v="1213"/>
    <s v="522"/>
    <s v="264"/>
    <s v="2430"/>
    <x v="50"/>
    <s v="E"/>
    <m/>
    <m/>
    <m/>
    <x v="4"/>
    <n v="4930"/>
    <n v="0"/>
    <n v="0"/>
    <n v="4930"/>
    <n v="0"/>
    <s v="EXPLORERS"/>
  </r>
  <r>
    <s v="1213"/>
    <s v="522"/>
    <s v="264"/>
    <s v="2430"/>
    <x v="50"/>
    <s v="EA"/>
    <s v="00"/>
    <m/>
    <m/>
    <x v="4"/>
    <n v="0"/>
    <n v="6925.26"/>
    <n v="0"/>
    <n v="-6925.26"/>
    <n v="0"/>
    <s v="EXPLORERS"/>
  </r>
  <r>
    <s v="1213"/>
    <s v="522"/>
    <s v="264"/>
    <s v="2430"/>
    <x v="50"/>
    <s v="EG"/>
    <s v="00"/>
    <m/>
    <m/>
    <x v="4"/>
    <n v="0"/>
    <n v="400"/>
    <n v="0"/>
    <n v="-400"/>
    <n v="0"/>
    <s v="EXPLORERS"/>
  </r>
  <r>
    <s v="1213"/>
    <s v="522"/>
    <s v="264"/>
    <s v="2430"/>
    <x v="50"/>
    <s v="EZ"/>
    <s v="00"/>
    <m/>
    <m/>
    <x v="4"/>
    <n v="0"/>
    <n v="357.22"/>
    <n v="0"/>
    <n v="-357.22"/>
    <n v="0"/>
    <s v="EXPLORERS"/>
  </r>
  <r>
    <s v="1213"/>
    <s v="522"/>
    <s v="264"/>
    <s v="2430"/>
    <x v="50"/>
    <s v="EZ"/>
    <s v="10"/>
    <m/>
    <m/>
    <x v="4"/>
    <n v="0"/>
    <n v="2552.19"/>
    <n v="0"/>
    <n v="-2552.19"/>
    <n v="0"/>
    <s v="EXPLORERS"/>
  </r>
  <r>
    <s v="1213"/>
    <s v="522"/>
    <s v="264"/>
    <s v="2430"/>
    <x v="50"/>
    <s v="EZ"/>
    <s v="30"/>
    <m/>
    <m/>
    <x v="4"/>
    <n v="0"/>
    <n v="863.2"/>
    <n v="0"/>
    <n v="-863.2"/>
    <n v="0"/>
    <s v="EXPLORERS"/>
  </r>
  <r>
    <s v="1213"/>
    <s v="522"/>
    <s v="264"/>
    <s v="2430"/>
    <x v="50"/>
    <s v="NB"/>
    <m/>
    <m/>
    <m/>
    <x v="11"/>
    <n v="0"/>
    <n v="0"/>
    <n v="0"/>
    <n v="0"/>
    <n v="0"/>
    <s v="EXPLORERS"/>
  </r>
  <r>
    <s v="1213"/>
    <s v="522"/>
    <s v="264"/>
    <s v="2430"/>
    <x v="50"/>
    <s v="NB"/>
    <s v="00"/>
    <m/>
    <m/>
    <x v="11"/>
    <n v="0"/>
    <n v="600"/>
    <n v="0"/>
    <n v="-600"/>
    <n v="0"/>
    <s v="EXPLORERS"/>
  </r>
  <r>
    <s v="1213"/>
    <s v="522"/>
    <s v="264"/>
    <s v="2431"/>
    <x v="51"/>
    <m/>
    <m/>
    <s v="0499"/>
    <s v="6U"/>
    <x v="0"/>
    <n v="0"/>
    <n v="-563"/>
    <n v="0"/>
    <n v="563"/>
    <n v="0"/>
    <s v="STDT AWARENESS LEAG."/>
  </r>
  <r>
    <s v="1213"/>
    <s v="522"/>
    <s v="264"/>
    <s v="2431"/>
    <x v="51"/>
    <m/>
    <m/>
    <s v="0782"/>
    <m/>
    <x v="10"/>
    <n v="0"/>
    <n v="-363"/>
    <n v="0"/>
    <n v="363"/>
    <n v="0"/>
    <s v="STDT AWARENESS LEAG."/>
  </r>
  <r>
    <s v="1213"/>
    <s v="522"/>
    <s v="264"/>
    <s v="2431"/>
    <x v="51"/>
    <s v="E"/>
    <m/>
    <m/>
    <m/>
    <x v="4"/>
    <n v="10500"/>
    <n v="0"/>
    <n v="0"/>
    <n v="10500"/>
    <n v="0"/>
    <s v="STDT AWARENESS LEAG."/>
  </r>
  <r>
    <s v="1213"/>
    <s v="522"/>
    <s v="264"/>
    <s v="2431"/>
    <x v="51"/>
    <s v="EA"/>
    <s v="00"/>
    <m/>
    <m/>
    <x v="4"/>
    <n v="0"/>
    <n v="2032.94"/>
    <n v="0"/>
    <n v="-2032.94"/>
    <n v="0"/>
    <s v="STDT AWARENESS LEAG."/>
  </r>
  <r>
    <s v="1213"/>
    <s v="522"/>
    <s v="264"/>
    <s v="2431"/>
    <x v="51"/>
    <s v="ED"/>
    <s v="00"/>
    <m/>
    <m/>
    <x v="4"/>
    <n v="0"/>
    <n v="0"/>
    <n v="0"/>
    <n v="0"/>
    <n v="0"/>
    <s v="STDT AWARENESS LEAG."/>
  </r>
  <r>
    <s v="1213"/>
    <s v="522"/>
    <s v="264"/>
    <s v="2431"/>
    <x v="51"/>
    <s v="EH"/>
    <s v="20"/>
    <m/>
    <m/>
    <x v="4"/>
    <n v="0"/>
    <n v="824.25"/>
    <n v="0"/>
    <n v="-824.25"/>
    <n v="0"/>
    <s v="STDT AWARENESS LEAG."/>
  </r>
  <r>
    <s v="1213"/>
    <s v="522"/>
    <s v="264"/>
    <s v="2431"/>
    <x v="51"/>
    <s v="ER"/>
    <s v="00"/>
    <m/>
    <m/>
    <x v="4"/>
    <n v="0"/>
    <n v="934.45"/>
    <n v="0"/>
    <n v="-934.45"/>
    <n v="0"/>
    <s v="STDT AWARENESS LEAG."/>
  </r>
  <r>
    <s v="1213"/>
    <s v="522"/>
    <s v="264"/>
    <s v="2431"/>
    <x v="51"/>
    <s v="EZ"/>
    <s v="00"/>
    <m/>
    <m/>
    <x v="4"/>
    <n v="0"/>
    <n v="206.53"/>
    <n v="0"/>
    <n v="-206.53"/>
    <n v="0"/>
    <s v="STDT AWARENESS LEAG."/>
  </r>
  <r>
    <s v="1213"/>
    <s v="522"/>
    <s v="264"/>
    <s v="2431"/>
    <x v="51"/>
    <s v="EZ"/>
    <s v="20"/>
    <m/>
    <m/>
    <x v="4"/>
    <n v="0"/>
    <n v="652.29"/>
    <n v="0"/>
    <n v="-652.29"/>
    <n v="0"/>
    <s v="STDT AWARENESS LEAG."/>
  </r>
  <r>
    <s v="1213"/>
    <s v="522"/>
    <s v="264"/>
    <s v="2431"/>
    <x v="51"/>
    <s v="EZ"/>
    <s v="30"/>
    <m/>
    <m/>
    <x v="4"/>
    <n v="0"/>
    <n v="4906.97"/>
    <n v="0"/>
    <n v="-4906.97"/>
    <n v="0"/>
    <s v="STDT AWARENESS LEAG."/>
  </r>
  <r>
    <s v="1213"/>
    <s v="522"/>
    <s v="264"/>
    <s v="2431"/>
    <x v="51"/>
    <s v="G"/>
    <m/>
    <m/>
    <m/>
    <x v="5"/>
    <n v="0"/>
    <n v="0"/>
    <n v="0"/>
    <n v="0"/>
    <n v="0"/>
    <s v="STDT AWARENESS LEAG."/>
  </r>
  <r>
    <s v="1213"/>
    <s v="522"/>
    <s v="264"/>
    <s v="2431"/>
    <x v="51"/>
    <s v="NB"/>
    <m/>
    <m/>
    <m/>
    <x v="11"/>
    <n v="0"/>
    <n v="0"/>
    <n v="0"/>
    <n v="0"/>
    <n v="0"/>
    <s v="STDT AWARENESS LEAG."/>
  </r>
  <r>
    <s v="1213"/>
    <s v="522"/>
    <s v="264"/>
    <s v="2432"/>
    <x v="52"/>
    <s v="E"/>
    <m/>
    <m/>
    <m/>
    <x v="4"/>
    <n v="0"/>
    <n v="0"/>
    <n v="0"/>
    <n v="0"/>
    <n v="0"/>
    <s v="SAVIOR'S GRACE"/>
  </r>
  <r>
    <s v="1213"/>
    <s v="522"/>
    <s v="264"/>
    <s v="2432"/>
    <x v="52"/>
    <s v="EA"/>
    <s v="00"/>
    <m/>
    <m/>
    <x v="4"/>
    <n v="0"/>
    <n v="0"/>
    <n v="0"/>
    <n v="0"/>
    <n v="0"/>
    <s v="SAVIOR'S GRACE"/>
  </r>
  <r>
    <s v="1213"/>
    <s v="522"/>
    <s v="264"/>
    <s v="2432"/>
    <x v="52"/>
    <s v="EZ"/>
    <s v="30"/>
    <m/>
    <m/>
    <x v="4"/>
    <n v="0"/>
    <n v="0"/>
    <n v="0"/>
    <n v="0"/>
    <n v="0"/>
    <s v="SAVIOR'S GRACE"/>
  </r>
  <r>
    <s v="1213"/>
    <s v="522"/>
    <s v="264"/>
    <s v="2432"/>
    <x v="52"/>
    <s v="G"/>
    <m/>
    <m/>
    <m/>
    <x v="5"/>
    <n v="0"/>
    <n v="0"/>
    <n v="0"/>
    <n v="0"/>
    <n v="0"/>
    <s v="SAVIOR'S GRACE"/>
  </r>
  <r>
    <s v="1213"/>
    <s v="522"/>
    <s v="264"/>
    <s v="2432"/>
    <x v="52"/>
    <s v="GG"/>
    <s v="00"/>
    <m/>
    <m/>
    <x v="5"/>
    <n v="0"/>
    <n v="231.8"/>
    <n v="0"/>
    <n v="-231.8"/>
    <n v="0"/>
    <s v="SAVIOR'S GRACE"/>
  </r>
  <r>
    <s v="1213"/>
    <s v="522"/>
    <s v="264"/>
    <s v="2433"/>
    <x v="53"/>
    <m/>
    <m/>
    <s v="0499"/>
    <s v="6F"/>
    <x v="0"/>
    <n v="0"/>
    <n v="0"/>
    <n v="0"/>
    <n v="0"/>
    <n v="0"/>
    <s v="SCC COMPUTER CLUB"/>
  </r>
  <r>
    <s v="1213"/>
    <s v="522"/>
    <s v="264"/>
    <s v="2433"/>
    <x v="53"/>
    <m/>
    <m/>
    <s v="0622"/>
    <m/>
    <x v="2"/>
    <n v="0"/>
    <n v="250"/>
    <n v="0"/>
    <n v="-250"/>
    <n v="0"/>
    <s v="SCC COMPUTER CLUB"/>
  </r>
  <r>
    <s v="1213"/>
    <s v="522"/>
    <s v="264"/>
    <s v="2433"/>
    <x v="53"/>
    <m/>
    <m/>
    <s v="0782"/>
    <m/>
    <x v="10"/>
    <n v="0"/>
    <n v="0"/>
    <n v="0"/>
    <n v="0"/>
    <n v="0"/>
    <s v="SCC COMPUTER CLUB"/>
  </r>
  <r>
    <s v="1213"/>
    <s v="522"/>
    <s v="264"/>
    <s v="2433"/>
    <x v="53"/>
    <s v="E"/>
    <m/>
    <m/>
    <m/>
    <x v="4"/>
    <n v="35700"/>
    <n v="0"/>
    <n v="0"/>
    <n v="35700"/>
    <n v="0"/>
    <s v="SCC COMPUTER CLUB"/>
  </r>
  <r>
    <s v="1213"/>
    <s v="522"/>
    <s v="264"/>
    <s v="2433"/>
    <x v="53"/>
    <s v="EA"/>
    <s v="00"/>
    <m/>
    <m/>
    <x v="4"/>
    <n v="0"/>
    <n v="8181.29"/>
    <n v="0"/>
    <n v="-8181.29"/>
    <n v="0"/>
    <s v="SCC COMPUTER CLUB"/>
  </r>
  <r>
    <s v="1213"/>
    <s v="522"/>
    <s v="264"/>
    <s v="2433"/>
    <x v="53"/>
    <s v="EG"/>
    <s v="RG"/>
    <m/>
    <m/>
    <x v="4"/>
    <n v="0"/>
    <n v="5448"/>
    <n v="0"/>
    <n v="-5448"/>
    <n v="0"/>
    <s v="SCC COMPUTER CLUB"/>
  </r>
  <r>
    <s v="1213"/>
    <s v="522"/>
    <s v="264"/>
    <s v="2433"/>
    <x v="53"/>
    <s v="EZ"/>
    <s v="00"/>
    <m/>
    <m/>
    <x v="4"/>
    <n v="0"/>
    <n v="1616.71"/>
    <n v="0"/>
    <n v="-1616.71"/>
    <n v="0"/>
    <s v="SCC COMPUTER CLUB"/>
  </r>
  <r>
    <s v="1213"/>
    <s v="522"/>
    <s v="264"/>
    <s v="2433"/>
    <x v="53"/>
    <s v="EZ"/>
    <s v="30"/>
    <m/>
    <m/>
    <x v="4"/>
    <n v="0"/>
    <n v="2296.69"/>
    <n v="0"/>
    <n v="-2296.69"/>
    <n v="0"/>
    <s v="SCC COMPUTER CLUB"/>
  </r>
  <r>
    <s v="1213"/>
    <s v="522"/>
    <s v="264"/>
    <s v="2433"/>
    <x v="53"/>
    <s v="G"/>
    <m/>
    <m/>
    <m/>
    <x v="5"/>
    <n v="0"/>
    <n v="0"/>
    <n v="0"/>
    <n v="0"/>
    <n v="0"/>
    <s v="SCC COMPUTER CLUB"/>
  </r>
  <r>
    <s v="1213"/>
    <s v="522"/>
    <s v="264"/>
    <s v="2433"/>
    <x v="53"/>
    <s v="GD"/>
    <s v="50"/>
    <m/>
    <m/>
    <x v="5"/>
    <n v="0"/>
    <n v="185"/>
    <n v="0"/>
    <n v="-185"/>
    <n v="0"/>
    <s v="SCC COMPUTER CLUB"/>
  </r>
  <r>
    <s v="1213"/>
    <s v="522"/>
    <s v="264"/>
    <s v="2433"/>
    <x v="53"/>
    <s v="GD"/>
    <s v="70"/>
    <m/>
    <m/>
    <x v="5"/>
    <n v="0"/>
    <n v="601.08000000000004"/>
    <n v="0"/>
    <n v="-601.08000000000004"/>
    <n v="0"/>
    <s v="SCC COMPUTER CLUB"/>
  </r>
  <r>
    <s v="1213"/>
    <s v="522"/>
    <s v="264"/>
    <s v="2433"/>
    <x v="53"/>
    <s v="GF"/>
    <s v="00"/>
    <m/>
    <m/>
    <x v="5"/>
    <n v="0"/>
    <n v="5908"/>
    <n v="0"/>
    <n v="-5908"/>
    <n v="0"/>
    <s v="SCC COMPUTER CLUB"/>
  </r>
  <r>
    <s v="1213"/>
    <s v="522"/>
    <s v="264"/>
    <s v="2433"/>
    <x v="53"/>
    <s v="GG"/>
    <s v="00"/>
    <m/>
    <m/>
    <x v="5"/>
    <n v="0"/>
    <n v="1622.6"/>
    <n v="0"/>
    <n v="-1622.6"/>
    <n v="0"/>
    <s v="SCC COMPUTER CLUB"/>
  </r>
  <r>
    <s v="1213"/>
    <s v="522"/>
    <s v="264"/>
    <s v="2433"/>
    <x v="53"/>
    <s v="J"/>
    <m/>
    <m/>
    <m/>
    <x v="6"/>
    <n v="0"/>
    <n v="0"/>
    <n v="0"/>
    <n v="0"/>
    <n v="0"/>
    <s v="SCC COMPUTER CLUB"/>
  </r>
  <r>
    <s v="1213"/>
    <s v="522"/>
    <s v="264"/>
    <s v="2433"/>
    <x v="53"/>
    <s v="JA"/>
    <s v="00"/>
    <m/>
    <m/>
    <x v="6"/>
    <n v="0"/>
    <n v="8504.65"/>
    <n v="0"/>
    <n v="-8504.65"/>
    <n v="0"/>
    <s v="SCC COMPUTER CLUB"/>
  </r>
  <r>
    <s v="1213"/>
    <s v="522"/>
    <s v="264"/>
    <s v="2433"/>
    <x v="53"/>
    <s v="NB"/>
    <m/>
    <m/>
    <m/>
    <x v="11"/>
    <n v="0"/>
    <n v="0"/>
    <n v="0"/>
    <n v="0"/>
    <n v="0"/>
    <s v="SCC COMPUTER CLUB"/>
  </r>
  <r>
    <s v="1213"/>
    <s v="522"/>
    <s v="264"/>
    <s v="2433"/>
    <x v="53"/>
    <s v="NB"/>
    <s v="00"/>
    <m/>
    <m/>
    <x v="11"/>
    <n v="0"/>
    <n v="900"/>
    <n v="0"/>
    <n v="-900"/>
    <n v="0"/>
    <s v="SCC COMPUTER CLUB"/>
  </r>
  <r>
    <s v="1213"/>
    <s v="522"/>
    <s v="264"/>
    <s v="2434"/>
    <x v="54"/>
    <m/>
    <m/>
    <s v="0499"/>
    <s v="6S"/>
    <x v="0"/>
    <n v="0"/>
    <n v="-703.3"/>
    <n v="0"/>
    <n v="703.3"/>
    <n v="0"/>
    <s v="DISABILITY AWARENESS"/>
  </r>
  <r>
    <s v="1213"/>
    <s v="522"/>
    <s v="264"/>
    <s v="2434"/>
    <x v="54"/>
    <m/>
    <m/>
    <s v="0622"/>
    <m/>
    <x v="2"/>
    <n v="0"/>
    <n v="299"/>
    <n v="0"/>
    <n v="-299"/>
    <n v="0"/>
    <s v="DISABILITY AWARENESS"/>
  </r>
  <r>
    <s v="1213"/>
    <s v="522"/>
    <s v="264"/>
    <s v="2434"/>
    <x v="54"/>
    <m/>
    <m/>
    <s v="0782"/>
    <m/>
    <x v="10"/>
    <n v="0"/>
    <n v="0"/>
    <n v="0"/>
    <n v="0"/>
    <n v="0"/>
    <s v="DISABILITY AWARENESS"/>
  </r>
  <r>
    <s v="1213"/>
    <s v="522"/>
    <s v="264"/>
    <s v="2434"/>
    <x v="54"/>
    <s v="E"/>
    <m/>
    <m/>
    <m/>
    <x v="4"/>
    <n v="9150"/>
    <n v="0"/>
    <n v="0"/>
    <n v="9150"/>
    <n v="0"/>
    <s v="DISABILITY AWARENESS"/>
  </r>
  <r>
    <s v="1213"/>
    <s v="522"/>
    <s v="264"/>
    <s v="2434"/>
    <x v="54"/>
    <s v="EA"/>
    <s v="00"/>
    <m/>
    <m/>
    <x v="4"/>
    <n v="0"/>
    <n v="5181.63"/>
    <n v="0"/>
    <n v="-5181.63"/>
    <n v="0"/>
    <s v="DISABILITY AWARENESS"/>
  </r>
  <r>
    <s v="1213"/>
    <s v="522"/>
    <s v="264"/>
    <s v="2434"/>
    <x v="54"/>
    <s v="ED"/>
    <s v="00"/>
    <m/>
    <m/>
    <x v="4"/>
    <n v="0"/>
    <n v="342"/>
    <n v="0"/>
    <n v="-342"/>
    <n v="0"/>
    <s v="DISABILITY AWARENESS"/>
  </r>
  <r>
    <s v="1213"/>
    <s v="522"/>
    <s v="264"/>
    <s v="2434"/>
    <x v="54"/>
    <s v="EZ"/>
    <s v="00"/>
    <m/>
    <m/>
    <x v="4"/>
    <n v="0"/>
    <n v="2002.84"/>
    <n v="0"/>
    <n v="-2002.84"/>
    <n v="0"/>
    <s v="DISABILITY AWARENESS"/>
  </r>
  <r>
    <s v="1213"/>
    <s v="522"/>
    <s v="264"/>
    <s v="2434"/>
    <x v="54"/>
    <s v="EZ"/>
    <s v="30"/>
    <m/>
    <m/>
    <x v="4"/>
    <n v="0"/>
    <n v="1444.87"/>
    <n v="0"/>
    <n v="-1444.87"/>
    <n v="0"/>
    <s v="DISABILITY AWARENESS"/>
  </r>
  <r>
    <s v="1213"/>
    <s v="522"/>
    <s v="264"/>
    <s v="2434"/>
    <x v="54"/>
    <s v="G"/>
    <m/>
    <m/>
    <m/>
    <x v="5"/>
    <n v="0"/>
    <n v="0"/>
    <n v="0"/>
    <n v="0"/>
    <n v="0"/>
    <s v="DISABILITY AWARENESS"/>
  </r>
  <r>
    <s v="1213"/>
    <s v="522"/>
    <s v="264"/>
    <s v="2434"/>
    <x v="54"/>
    <s v="GD"/>
    <s v="20"/>
    <m/>
    <m/>
    <x v="5"/>
    <n v="0"/>
    <n v="63"/>
    <n v="0"/>
    <n v="-63"/>
    <n v="0"/>
    <s v="DISABILITY AWARENESS"/>
  </r>
  <r>
    <s v="1213"/>
    <s v="522"/>
    <s v="264"/>
    <s v="2434"/>
    <x v="54"/>
    <s v="NB"/>
    <m/>
    <m/>
    <m/>
    <x v="11"/>
    <n v="0"/>
    <n v="0"/>
    <n v="0"/>
    <n v="0"/>
    <n v="0"/>
    <s v="DISABILITY AWARENESS"/>
  </r>
  <r>
    <s v="1213"/>
    <s v="522"/>
    <s v="264"/>
    <s v="2434"/>
    <x v="54"/>
    <s v="NB"/>
    <s v="00"/>
    <m/>
    <m/>
    <x v="11"/>
    <n v="0"/>
    <n v="250"/>
    <n v="0"/>
    <n v="-250"/>
    <n v="0"/>
    <s v="DISABILITY AWARENESS"/>
  </r>
  <r>
    <s v="1213"/>
    <s v="522"/>
    <s v="264"/>
    <s v="2435"/>
    <x v="55"/>
    <m/>
    <m/>
    <s v="0499"/>
    <s v="8D"/>
    <x v="0"/>
    <n v="0"/>
    <n v="0"/>
    <n v="0"/>
    <n v="0"/>
    <n v="0"/>
    <s v="BLACK STUDENT UNION"/>
  </r>
  <r>
    <s v="1213"/>
    <s v="522"/>
    <s v="264"/>
    <s v="2435"/>
    <x v="55"/>
    <m/>
    <m/>
    <s v="0782"/>
    <m/>
    <x v="10"/>
    <n v="0"/>
    <n v="0"/>
    <n v="0"/>
    <n v="0"/>
    <n v="0"/>
    <s v="BLACK STUDENT UNION"/>
  </r>
  <r>
    <s v="1213"/>
    <s v="522"/>
    <s v="264"/>
    <s v="2435"/>
    <x v="55"/>
    <s v="E"/>
    <m/>
    <m/>
    <m/>
    <x v="4"/>
    <n v="5573"/>
    <n v="0"/>
    <n v="0"/>
    <n v="5573"/>
    <n v="0"/>
    <s v="BLACK STUDENT UNION"/>
  </r>
  <r>
    <s v="1213"/>
    <s v="522"/>
    <s v="264"/>
    <s v="2435"/>
    <x v="55"/>
    <s v="EA"/>
    <s v="00"/>
    <m/>
    <m/>
    <x v="4"/>
    <n v="0"/>
    <n v="1200.43"/>
    <n v="0"/>
    <n v="-1200.43"/>
    <n v="0"/>
    <s v="BLACK STUDENT UNION"/>
  </r>
  <r>
    <s v="1213"/>
    <s v="522"/>
    <s v="264"/>
    <s v="2435"/>
    <x v="55"/>
    <s v="ED"/>
    <s v="00"/>
    <m/>
    <m/>
    <x v="4"/>
    <n v="0"/>
    <n v="342"/>
    <n v="0"/>
    <n v="-342"/>
    <n v="0"/>
    <s v="BLACK STUDENT UNION"/>
  </r>
  <r>
    <s v="1213"/>
    <s v="522"/>
    <s v="264"/>
    <s v="2435"/>
    <x v="55"/>
    <s v="EG"/>
    <s v="RG"/>
    <m/>
    <m/>
    <x v="4"/>
    <n v="0"/>
    <n v="487.5"/>
    <n v="0"/>
    <n v="-487.5"/>
    <n v="0"/>
    <s v="BLACK STUDENT UNION"/>
  </r>
  <r>
    <s v="1213"/>
    <s v="522"/>
    <s v="264"/>
    <s v="2435"/>
    <x v="55"/>
    <s v="EZ"/>
    <s v="30"/>
    <m/>
    <m/>
    <x v="4"/>
    <n v="0"/>
    <n v="927.26"/>
    <n v="0"/>
    <n v="-927.26"/>
    <n v="0"/>
    <s v="BLACK STUDENT UNION"/>
  </r>
  <r>
    <s v="1213"/>
    <s v="522"/>
    <s v="264"/>
    <s v="2435"/>
    <x v="55"/>
    <s v="G"/>
    <m/>
    <m/>
    <m/>
    <x v="5"/>
    <n v="0"/>
    <n v="0"/>
    <n v="0"/>
    <n v="0"/>
    <n v="0"/>
    <s v="BLACK STUDENT UNION"/>
  </r>
  <r>
    <s v="1213"/>
    <s v="522"/>
    <s v="264"/>
    <s v="2435"/>
    <x v="55"/>
    <s v="GA"/>
    <s v="00"/>
    <m/>
    <m/>
    <x v="5"/>
    <n v="0"/>
    <n v="66.260000000000005"/>
    <n v="0"/>
    <n v="-66.260000000000005"/>
    <n v="0"/>
    <s v="BLACK STUDENT UNION"/>
  </r>
  <r>
    <s v="1213"/>
    <s v="522"/>
    <s v="264"/>
    <s v="2435"/>
    <x v="55"/>
    <s v="GD"/>
    <s v="20"/>
    <m/>
    <m/>
    <x v="5"/>
    <n v="0"/>
    <n v="63"/>
    <n v="0"/>
    <n v="-63"/>
    <n v="0"/>
    <s v="BLACK STUDENT UNION"/>
  </r>
  <r>
    <s v="1213"/>
    <s v="522"/>
    <s v="264"/>
    <s v="2435"/>
    <x v="55"/>
    <s v="GD"/>
    <s v="30"/>
    <m/>
    <m/>
    <x v="5"/>
    <n v="0"/>
    <n v="247.82"/>
    <n v="0"/>
    <n v="-247.82"/>
    <n v="0"/>
    <s v="BLACK STUDENT UNION"/>
  </r>
  <r>
    <s v="1213"/>
    <s v="522"/>
    <s v="264"/>
    <s v="2435"/>
    <x v="55"/>
    <s v="J"/>
    <m/>
    <m/>
    <m/>
    <x v="6"/>
    <n v="0"/>
    <n v="0"/>
    <n v="0"/>
    <n v="0"/>
    <n v="0"/>
    <s v="BLACK STUDENT UNION"/>
  </r>
  <r>
    <s v="1213"/>
    <s v="522"/>
    <s v="264"/>
    <s v="2435"/>
    <x v="55"/>
    <s v="NB"/>
    <m/>
    <m/>
    <m/>
    <x v="11"/>
    <n v="0"/>
    <n v="0"/>
    <n v="0"/>
    <n v="0"/>
    <n v="0"/>
    <s v="BLACK STUDENT UNION"/>
  </r>
  <r>
    <s v="1213"/>
    <s v="522"/>
    <s v="264"/>
    <s v="2435"/>
    <x v="55"/>
    <s v="NB"/>
    <s v="00"/>
    <m/>
    <m/>
    <x v="11"/>
    <n v="0"/>
    <n v="300"/>
    <n v="0"/>
    <n v="-300"/>
    <n v="0"/>
    <s v="BLACK STUDENT UNION"/>
  </r>
  <r>
    <s v="1213"/>
    <s v="522"/>
    <s v="264"/>
    <s v="2436"/>
    <x v="56"/>
    <m/>
    <m/>
    <s v="0499"/>
    <s v="8N"/>
    <x v="0"/>
    <n v="0"/>
    <n v="-107"/>
    <n v="0"/>
    <n v="107"/>
    <n v="0"/>
    <s v="VETERANS"/>
  </r>
  <r>
    <s v="1213"/>
    <s v="522"/>
    <s v="264"/>
    <s v="2436"/>
    <x v="56"/>
    <m/>
    <m/>
    <s v="0782"/>
    <m/>
    <x v="10"/>
    <n v="0"/>
    <n v="-273"/>
    <n v="0"/>
    <n v="273"/>
    <n v="0"/>
    <s v="VETERANS"/>
  </r>
  <r>
    <s v="1213"/>
    <s v="522"/>
    <s v="264"/>
    <s v="2436"/>
    <x v="56"/>
    <s v="E"/>
    <m/>
    <m/>
    <m/>
    <x v="4"/>
    <n v="13717"/>
    <n v="0"/>
    <n v="0"/>
    <n v="13717"/>
    <n v="0"/>
    <s v="VETERANS"/>
  </r>
  <r>
    <s v="1213"/>
    <s v="522"/>
    <s v="264"/>
    <s v="2436"/>
    <x v="56"/>
    <s v="EA"/>
    <s v="00"/>
    <m/>
    <m/>
    <x v="4"/>
    <n v="0"/>
    <n v="2630.42"/>
    <n v="0"/>
    <n v="-2630.42"/>
    <n v="0"/>
    <s v="VETERANS"/>
  </r>
  <r>
    <s v="1213"/>
    <s v="522"/>
    <s v="264"/>
    <s v="2436"/>
    <x v="56"/>
    <s v="ED"/>
    <s v="00"/>
    <m/>
    <m/>
    <x v="4"/>
    <n v="0"/>
    <n v="342"/>
    <n v="0"/>
    <n v="-342"/>
    <n v="0"/>
    <s v="VETERANS"/>
  </r>
  <r>
    <s v="1213"/>
    <s v="522"/>
    <s v="264"/>
    <s v="2436"/>
    <x v="56"/>
    <s v="EG"/>
    <s v="RG"/>
    <m/>
    <m/>
    <x v="4"/>
    <n v="0"/>
    <n v="300"/>
    <n v="0"/>
    <n v="-300"/>
    <n v="0"/>
    <s v="VETERANS"/>
  </r>
  <r>
    <s v="1213"/>
    <s v="522"/>
    <s v="264"/>
    <s v="2436"/>
    <x v="56"/>
    <s v="EJ"/>
    <s v="00"/>
    <m/>
    <m/>
    <x v="4"/>
    <n v="0"/>
    <n v="239.14"/>
    <n v="0"/>
    <n v="-239.14"/>
    <n v="0"/>
    <s v="VETERANS"/>
  </r>
  <r>
    <s v="1213"/>
    <s v="522"/>
    <s v="264"/>
    <s v="2436"/>
    <x v="56"/>
    <s v="ER"/>
    <s v="00"/>
    <m/>
    <m/>
    <x v="4"/>
    <n v="0"/>
    <n v="56.12"/>
    <n v="0"/>
    <n v="-56.12"/>
    <n v="0"/>
    <s v="VETERANS"/>
  </r>
  <r>
    <s v="1213"/>
    <s v="522"/>
    <s v="264"/>
    <s v="2436"/>
    <x v="56"/>
    <s v="ES"/>
    <s v="50"/>
    <m/>
    <m/>
    <x v="4"/>
    <n v="0"/>
    <n v="94.99"/>
    <n v="0"/>
    <n v="-94.99"/>
    <n v="0"/>
    <s v="VETERANS"/>
  </r>
  <r>
    <s v="1213"/>
    <s v="522"/>
    <s v="264"/>
    <s v="2436"/>
    <x v="56"/>
    <s v="EZ"/>
    <s v="00"/>
    <m/>
    <m/>
    <x v="4"/>
    <n v="0"/>
    <n v="1239.95"/>
    <n v="0"/>
    <n v="-1239.95"/>
    <n v="0"/>
    <s v="VETERANS"/>
  </r>
  <r>
    <s v="1213"/>
    <s v="522"/>
    <s v="264"/>
    <s v="2436"/>
    <x v="56"/>
    <s v="EZ"/>
    <s v="30"/>
    <m/>
    <m/>
    <x v="4"/>
    <n v="0"/>
    <n v="2827.91"/>
    <n v="0"/>
    <n v="-2827.91"/>
    <n v="0"/>
    <s v="VETERANS"/>
  </r>
  <r>
    <s v="1213"/>
    <s v="522"/>
    <s v="264"/>
    <s v="2436"/>
    <x v="56"/>
    <s v="G"/>
    <m/>
    <m/>
    <m/>
    <x v="5"/>
    <n v="0"/>
    <n v="0"/>
    <n v="0"/>
    <n v="0"/>
    <n v="0"/>
    <s v="VETERANS"/>
  </r>
  <r>
    <s v="1213"/>
    <s v="522"/>
    <s v="264"/>
    <s v="2436"/>
    <x v="56"/>
    <s v="GC"/>
    <s v="10"/>
    <m/>
    <m/>
    <x v="5"/>
    <n v="0"/>
    <n v="0"/>
    <n v="0"/>
    <n v="0"/>
    <n v="0"/>
    <s v="VETERANS"/>
  </r>
  <r>
    <s v="1213"/>
    <s v="522"/>
    <s v="264"/>
    <s v="2436"/>
    <x v="56"/>
    <s v="GD"/>
    <s v="00"/>
    <m/>
    <m/>
    <x v="5"/>
    <n v="0"/>
    <n v="207"/>
    <n v="0"/>
    <n v="-207"/>
    <n v="0"/>
    <s v="VETERANS"/>
  </r>
  <r>
    <s v="1213"/>
    <s v="522"/>
    <s v="264"/>
    <s v="2436"/>
    <x v="56"/>
    <s v="GD"/>
    <s v="20"/>
    <m/>
    <m/>
    <x v="5"/>
    <n v="0"/>
    <n v="63"/>
    <n v="0"/>
    <n v="-63"/>
    <n v="0"/>
    <s v="VETERANS"/>
  </r>
  <r>
    <s v="1213"/>
    <s v="522"/>
    <s v="264"/>
    <s v="2436"/>
    <x v="56"/>
    <s v="GD"/>
    <s v="60"/>
    <m/>
    <m/>
    <x v="5"/>
    <n v="0"/>
    <n v="174"/>
    <n v="0"/>
    <n v="-174"/>
    <n v="0"/>
    <s v="VETERANS"/>
  </r>
  <r>
    <s v="1213"/>
    <s v="522"/>
    <s v="264"/>
    <s v="2436"/>
    <x v="56"/>
    <s v="GF"/>
    <s v="00"/>
    <m/>
    <m/>
    <x v="5"/>
    <n v="0"/>
    <n v="2055.56"/>
    <n v="0"/>
    <n v="-2055.56"/>
    <n v="0"/>
    <s v="VETERANS"/>
  </r>
  <r>
    <s v="1213"/>
    <s v="522"/>
    <s v="264"/>
    <s v="2436"/>
    <x v="56"/>
    <s v="GG"/>
    <s v="00"/>
    <m/>
    <m/>
    <x v="5"/>
    <n v="0"/>
    <n v="4689.6000000000004"/>
    <n v="0"/>
    <n v="-4689.6000000000004"/>
    <n v="0"/>
    <s v="VETERANS"/>
  </r>
  <r>
    <s v="1213"/>
    <s v="522"/>
    <s v="264"/>
    <s v="2436"/>
    <x v="56"/>
    <s v="NB"/>
    <m/>
    <m/>
    <m/>
    <x v="11"/>
    <n v="0"/>
    <n v="0"/>
    <n v="0"/>
    <n v="0"/>
    <n v="0"/>
    <s v="VETERANS"/>
  </r>
  <r>
    <s v="1213"/>
    <s v="522"/>
    <s v="264"/>
    <s v="2436"/>
    <x v="56"/>
    <s v="NB"/>
    <s v="00"/>
    <m/>
    <m/>
    <x v="11"/>
    <n v="0"/>
    <n v="150"/>
    <n v="0"/>
    <n v="-150"/>
    <n v="0"/>
    <s v="VETERANS"/>
  </r>
  <r>
    <s v="1213"/>
    <s v="522"/>
    <s v="264"/>
    <s v="2437"/>
    <x v="57"/>
    <m/>
    <m/>
    <s v="0499"/>
    <s v="8P"/>
    <x v="0"/>
    <n v="0"/>
    <n v="0"/>
    <n v="0"/>
    <n v="0"/>
    <n v="0"/>
    <s v="G.L.O.B.A.L."/>
  </r>
  <r>
    <s v="1213"/>
    <s v="522"/>
    <s v="264"/>
    <s v="2437"/>
    <x v="57"/>
    <m/>
    <m/>
    <s v="0782"/>
    <m/>
    <x v="10"/>
    <n v="0"/>
    <n v="0"/>
    <n v="0"/>
    <n v="0"/>
    <n v="0"/>
    <s v="G.L.O.B.A.L."/>
  </r>
  <r>
    <s v="1213"/>
    <s v="522"/>
    <s v="264"/>
    <s v="2437"/>
    <x v="57"/>
    <s v="E"/>
    <m/>
    <m/>
    <m/>
    <x v="4"/>
    <n v="2122"/>
    <n v="0"/>
    <n v="0"/>
    <n v="2122"/>
    <n v="0"/>
    <s v="G.L.O.B.A.L."/>
  </r>
  <r>
    <s v="1213"/>
    <s v="522"/>
    <s v="264"/>
    <s v="2437"/>
    <x v="57"/>
    <s v="EA"/>
    <s v="00"/>
    <m/>
    <m/>
    <x v="4"/>
    <n v="0"/>
    <n v="344.45"/>
    <n v="0"/>
    <n v="-344.45"/>
    <n v="0"/>
    <s v="G.L.O.B.A.L."/>
  </r>
  <r>
    <s v="1213"/>
    <s v="522"/>
    <s v="264"/>
    <s v="2437"/>
    <x v="57"/>
    <s v="ED"/>
    <s v="00"/>
    <m/>
    <m/>
    <x v="4"/>
    <n v="0"/>
    <n v="380"/>
    <n v="0"/>
    <n v="-380"/>
    <n v="0"/>
    <s v="G.L.O.B.A.L."/>
  </r>
  <r>
    <s v="1213"/>
    <s v="522"/>
    <s v="264"/>
    <s v="2437"/>
    <x v="57"/>
    <s v="EZ"/>
    <s v="00"/>
    <m/>
    <m/>
    <x v="4"/>
    <n v="0"/>
    <n v="332.72"/>
    <n v="0"/>
    <n v="-332.72"/>
    <n v="0"/>
    <s v="G.L.O.B.A.L."/>
  </r>
  <r>
    <s v="1213"/>
    <s v="522"/>
    <s v="264"/>
    <s v="2437"/>
    <x v="57"/>
    <s v="EZ"/>
    <s v="30"/>
    <m/>
    <m/>
    <x v="4"/>
    <n v="0"/>
    <n v="482.3"/>
    <n v="0"/>
    <n v="-482.3"/>
    <n v="0"/>
    <s v="G.L.O.B.A.L."/>
  </r>
  <r>
    <s v="1213"/>
    <s v="522"/>
    <s v="264"/>
    <s v="2437"/>
    <x v="57"/>
    <s v="EZ"/>
    <s v="40"/>
    <m/>
    <m/>
    <x v="4"/>
    <n v="0"/>
    <n v="25"/>
    <n v="0"/>
    <n v="-25"/>
    <n v="0"/>
    <s v="G.L.O.B.A.L."/>
  </r>
  <r>
    <s v="1213"/>
    <s v="522"/>
    <s v="264"/>
    <s v="2437"/>
    <x v="57"/>
    <s v="G"/>
    <m/>
    <m/>
    <m/>
    <x v="5"/>
    <n v="0"/>
    <n v="0"/>
    <n v="0"/>
    <n v="0"/>
    <n v="0"/>
    <s v="G.L.O.B.A.L."/>
  </r>
  <r>
    <s v="1213"/>
    <s v="522"/>
    <s v="264"/>
    <s v="2437"/>
    <x v="57"/>
    <s v="GD"/>
    <s v="20"/>
    <m/>
    <m/>
    <x v="5"/>
    <n v="0"/>
    <n v="70"/>
    <n v="0"/>
    <n v="-70"/>
    <n v="0"/>
    <s v="G.L.O.B.A.L."/>
  </r>
  <r>
    <s v="1213"/>
    <s v="522"/>
    <s v="264"/>
    <s v="2438"/>
    <x v="58"/>
    <s v="E"/>
    <m/>
    <m/>
    <m/>
    <x v="4"/>
    <n v="1000"/>
    <n v="0"/>
    <n v="0"/>
    <n v="1000"/>
    <n v="0"/>
    <s v="MULTICULTURL LDRSHIP"/>
  </r>
  <r>
    <s v="1213"/>
    <s v="522"/>
    <s v="264"/>
    <s v="2438"/>
    <x v="58"/>
    <s v="EA"/>
    <s v="00"/>
    <m/>
    <m/>
    <x v="4"/>
    <n v="0"/>
    <n v="591.75"/>
    <n v="0"/>
    <n v="-591.75"/>
    <n v="0"/>
    <s v="MULTICULTURL LDRSHIP"/>
  </r>
  <r>
    <s v="1213"/>
    <s v="522"/>
    <s v="264"/>
    <s v="2438"/>
    <x v="58"/>
    <s v="EZ"/>
    <s v="30"/>
    <m/>
    <m/>
    <x v="4"/>
    <n v="0"/>
    <n v="137.94"/>
    <n v="0"/>
    <n v="-137.94"/>
    <n v="0"/>
    <s v="MULTICULTURL LDRSHIP"/>
  </r>
  <r>
    <s v="1213"/>
    <s v="522"/>
    <s v="264"/>
    <s v="2439"/>
    <x v="59"/>
    <m/>
    <m/>
    <s v="0499"/>
    <m/>
    <x v="0"/>
    <n v="0"/>
    <n v="0"/>
    <n v="0"/>
    <n v="0"/>
    <n v="0"/>
    <s v="X-RAY VISION"/>
  </r>
  <r>
    <s v="1213"/>
    <s v="522"/>
    <s v="264"/>
    <s v="2439"/>
    <x v="59"/>
    <m/>
    <m/>
    <s v="0499"/>
    <s v="9D"/>
    <x v="0"/>
    <n v="0"/>
    <n v="-6458"/>
    <n v="0"/>
    <n v="6458"/>
    <n v="0"/>
    <s v="X-RAY VISION"/>
  </r>
  <r>
    <s v="1213"/>
    <s v="522"/>
    <s v="264"/>
    <s v="2439"/>
    <x v="59"/>
    <m/>
    <m/>
    <s v="0782"/>
    <m/>
    <x v="10"/>
    <n v="0"/>
    <n v="-2429"/>
    <n v="0"/>
    <n v="2429"/>
    <n v="0"/>
    <s v="X-RAY VISION"/>
  </r>
  <r>
    <s v="1213"/>
    <s v="522"/>
    <s v="264"/>
    <s v="2439"/>
    <x v="59"/>
    <s v="E"/>
    <m/>
    <m/>
    <m/>
    <x v="4"/>
    <n v="13194"/>
    <n v="0"/>
    <n v="0"/>
    <n v="13194"/>
    <n v="0"/>
    <s v="X-RAY VISION"/>
  </r>
  <r>
    <s v="1213"/>
    <s v="522"/>
    <s v="264"/>
    <s v="2439"/>
    <x v="59"/>
    <s v="EA"/>
    <s v="00"/>
    <m/>
    <m/>
    <x v="4"/>
    <n v="0"/>
    <n v="2182.58"/>
    <n v="0"/>
    <n v="-2182.58"/>
    <n v="0"/>
    <s v="X-RAY VISION"/>
  </r>
  <r>
    <s v="1213"/>
    <s v="522"/>
    <s v="264"/>
    <s v="2439"/>
    <x v="59"/>
    <s v="EG"/>
    <s v="RG"/>
    <m/>
    <m/>
    <x v="4"/>
    <n v="0"/>
    <n v="4700"/>
    <n v="0"/>
    <n v="-4700"/>
    <n v="0"/>
    <s v="X-RAY VISION"/>
  </r>
  <r>
    <s v="1213"/>
    <s v="522"/>
    <s v="264"/>
    <s v="2439"/>
    <x v="59"/>
    <s v="EH"/>
    <s v="20"/>
    <m/>
    <m/>
    <x v="4"/>
    <n v="0"/>
    <n v="60.87"/>
    <n v="0"/>
    <n v="-60.87"/>
    <n v="0"/>
    <s v="X-RAY VISION"/>
  </r>
  <r>
    <s v="1213"/>
    <s v="522"/>
    <s v="264"/>
    <s v="2439"/>
    <x v="59"/>
    <s v="EZ"/>
    <s v="00"/>
    <m/>
    <m/>
    <x v="4"/>
    <n v="0"/>
    <n v="1062.98"/>
    <n v="0"/>
    <n v="-1062.98"/>
    <n v="0"/>
    <s v="X-RAY VISION"/>
  </r>
  <r>
    <s v="1213"/>
    <s v="522"/>
    <s v="264"/>
    <s v="2439"/>
    <x v="59"/>
    <s v="EZ"/>
    <s v="30"/>
    <m/>
    <m/>
    <x v="4"/>
    <n v="0"/>
    <n v="355"/>
    <n v="0"/>
    <n v="-355"/>
    <n v="0"/>
    <s v="X-RAY VISION"/>
  </r>
  <r>
    <s v="1213"/>
    <s v="522"/>
    <s v="264"/>
    <s v="2439"/>
    <x v="59"/>
    <s v="G"/>
    <m/>
    <m/>
    <m/>
    <x v="5"/>
    <n v="0"/>
    <n v="0"/>
    <n v="0"/>
    <n v="0"/>
    <n v="0"/>
    <s v="X-RAY VISION"/>
  </r>
  <r>
    <s v="1213"/>
    <s v="522"/>
    <s v="264"/>
    <s v="2439"/>
    <x v="59"/>
    <s v="GA"/>
    <s v="00"/>
    <m/>
    <m/>
    <x v="5"/>
    <n v="0"/>
    <n v="5855.6"/>
    <n v="0"/>
    <n v="-5855.6"/>
    <n v="0"/>
    <s v="X-RAY VISION"/>
  </r>
  <r>
    <s v="1213"/>
    <s v="522"/>
    <s v="264"/>
    <s v="2439"/>
    <x v="59"/>
    <s v="GD"/>
    <s v="20"/>
    <m/>
    <m/>
    <x v="5"/>
    <n v="0"/>
    <n v="1725"/>
    <n v="0"/>
    <n v="-1725"/>
    <n v="0"/>
    <s v="X-RAY VISION"/>
  </r>
  <r>
    <s v="1213"/>
    <s v="522"/>
    <s v="264"/>
    <s v="2439"/>
    <x v="59"/>
    <s v="J"/>
    <m/>
    <m/>
    <m/>
    <x v="6"/>
    <n v="0"/>
    <n v="0"/>
    <n v="0"/>
    <n v="0"/>
    <n v="0"/>
    <s v="X-RAY VISION"/>
  </r>
  <r>
    <s v="1213"/>
    <s v="522"/>
    <s v="264"/>
    <s v="2439"/>
    <x v="59"/>
    <s v="JA"/>
    <s v="00"/>
    <m/>
    <m/>
    <x v="6"/>
    <n v="0"/>
    <n v="173.91"/>
    <n v="0"/>
    <n v="-173.91"/>
    <n v="0"/>
    <s v="X-RAY VISION"/>
  </r>
  <r>
    <s v="1213"/>
    <s v="522"/>
    <s v="264"/>
    <s v="2440"/>
    <x v="60"/>
    <m/>
    <m/>
    <s v="0499"/>
    <m/>
    <x v="0"/>
    <n v="0"/>
    <n v="-140"/>
    <n v="0"/>
    <n v="140"/>
    <n v="0"/>
    <s v="GAMING CLUB"/>
  </r>
  <r>
    <s v="1213"/>
    <s v="522"/>
    <s v="264"/>
    <s v="2440"/>
    <x v="60"/>
    <m/>
    <m/>
    <s v="0499"/>
    <s v="8V"/>
    <x v="0"/>
    <n v="0"/>
    <n v="-1176.8499999999999"/>
    <n v="0"/>
    <n v="1176.8499999999999"/>
    <n v="0"/>
    <s v="GAMING CLUB"/>
  </r>
  <r>
    <s v="1213"/>
    <s v="522"/>
    <s v="264"/>
    <s v="2440"/>
    <x v="60"/>
    <m/>
    <m/>
    <s v="0782"/>
    <m/>
    <x v="10"/>
    <n v="0"/>
    <n v="-504"/>
    <n v="0"/>
    <n v="504"/>
    <n v="0"/>
    <s v="GAMING CLUB"/>
  </r>
  <r>
    <s v="1213"/>
    <s v="522"/>
    <s v="264"/>
    <s v="2440"/>
    <x v="60"/>
    <s v="E"/>
    <m/>
    <m/>
    <m/>
    <x v="4"/>
    <n v="3700"/>
    <n v="0"/>
    <n v="0"/>
    <n v="3700"/>
    <n v="0"/>
    <s v="GAMING CLUB"/>
  </r>
  <r>
    <s v="1213"/>
    <s v="522"/>
    <s v="264"/>
    <s v="2440"/>
    <x v="60"/>
    <s v="EA"/>
    <s v="00"/>
    <m/>
    <m/>
    <x v="4"/>
    <n v="0"/>
    <n v="2104.19"/>
    <n v="0"/>
    <n v="-2104.19"/>
    <n v="0"/>
    <s v="GAMING CLUB"/>
  </r>
  <r>
    <s v="1213"/>
    <s v="522"/>
    <s v="264"/>
    <s v="2440"/>
    <x v="60"/>
    <s v="EZ"/>
    <s v="00"/>
    <m/>
    <m/>
    <x v="4"/>
    <n v="0"/>
    <n v="488.8"/>
    <n v="0"/>
    <n v="-488.8"/>
    <n v="0"/>
    <s v="GAMING CLUB"/>
  </r>
  <r>
    <s v="1213"/>
    <s v="522"/>
    <s v="264"/>
    <s v="2440"/>
    <x v="60"/>
    <s v="EZ"/>
    <s v="30"/>
    <m/>
    <m/>
    <x v="4"/>
    <n v="0"/>
    <n v="687.09"/>
    <n v="0"/>
    <n v="-687.09"/>
    <n v="0"/>
    <s v="GAMING CLUB"/>
  </r>
  <r>
    <s v="1213"/>
    <s v="522"/>
    <s v="264"/>
    <s v="2441"/>
    <x v="61"/>
    <m/>
    <m/>
    <s v="0499"/>
    <s v="6P"/>
    <x v="0"/>
    <n v="0"/>
    <n v="-250"/>
    <n v="0"/>
    <n v="250"/>
    <n v="0"/>
    <s v="SCC PLAYERS"/>
  </r>
  <r>
    <s v="1213"/>
    <s v="522"/>
    <s v="264"/>
    <s v="2441"/>
    <x v="61"/>
    <s v="E"/>
    <m/>
    <m/>
    <m/>
    <x v="4"/>
    <n v="4000"/>
    <n v="0"/>
    <n v="0"/>
    <n v="4000"/>
    <n v="0"/>
    <s v="SCC PLAYERS"/>
  </r>
  <r>
    <s v="1213"/>
    <s v="522"/>
    <s v="264"/>
    <s v="2441"/>
    <x v="61"/>
    <s v="EA"/>
    <s v="00"/>
    <m/>
    <m/>
    <x v="4"/>
    <n v="0"/>
    <n v="4070.38"/>
    <n v="0"/>
    <n v="-4070.38"/>
    <n v="0"/>
    <s v="SCC PLAYERS"/>
  </r>
  <r>
    <s v="1213"/>
    <s v="522"/>
    <s v="264"/>
    <s v="2441"/>
    <x v="61"/>
    <s v="EZ"/>
    <s v="20"/>
    <m/>
    <m/>
    <x v="4"/>
    <n v="0"/>
    <n v="231.26"/>
    <n v="0"/>
    <n v="-231.26"/>
    <n v="0"/>
    <s v="SCC PLAYERS"/>
  </r>
  <r>
    <s v="1213"/>
    <s v="522"/>
    <s v="264"/>
    <s v="2441"/>
    <x v="61"/>
    <s v="EZ"/>
    <s v="30"/>
    <m/>
    <m/>
    <x v="4"/>
    <n v="0"/>
    <n v="7.55"/>
    <n v="0"/>
    <n v="-7.55"/>
    <n v="0"/>
    <s v="SCC PLAYERS"/>
  </r>
  <r>
    <s v="1213"/>
    <s v="522"/>
    <s v="264"/>
    <s v="2441"/>
    <x v="61"/>
    <s v="J"/>
    <m/>
    <m/>
    <m/>
    <x v="6"/>
    <n v="0"/>
    <n v="0"/>
    <n v="0"/>
    <n v="0"/>
    <n v="0"/>
    <s v="SCC PLAYERS"/>
  </r>
  <r>
    <s v="1213"/>
    <s v="522"/>
    <s v="264"/>
    <s v="2442"/>
    <x v="62"/>
    <m/>
    <m/>
    <s v="0499"/>
    <s v="6W"/>
    <x v="0"/>
    <n v="0"/>
    <n v="-3900"/>
    <n v="0"/>
    <n v="3900"/>
    <n v="0"/>
    <s v="WATER RESOURCES CLUB"/>
  </r>
  <r>
    <s v="1213"/>
    <s v="522"/>
    <s v="264"/>
    <s v="2442"/>
    <x v="62"/>
    <m/>
    <m/>
    <s v="0622"/>
    <m/>
    <x v="2"/>
    <n v="0"/>
    <n v="100"/>
    <n v="0"/>
    <n v="-100"/>
    <n v="0"/>
    <s v="WATER RESOURCES CLUB"/>
  </r>
  <r>
    <s v="1213"/>
    <s v="522"/>
    <s v="264"/>
    <s v="2442"/>
    <x v="62"/>
    <m/>
    <m/>
    <s v="0782"/>
    <m/>
    <x v="10"/>
    <n v="0"/>
    <n v="-2134.75"/>
    <n v="0"/>
    <n v="2134.75"/>
    <n v="0"/>
    <s v="WATER RESOURCES CLUB"/>
  </r>
  <r>
    <s v="1213"/>
    <s v="522"/>
    <s v="264"/>
    <s v="2442"/>
    <x v="62"/>
    <s v="E"/>
    <m/>
    <m/>
    <m/>
    <x v="4"/>
    <n v="4600"/>
    <n v="0"/>
    <n v="0"/>
    <n v="4600"/>
    <n v="0"/>
    <s v="WATER RESOURCES CLUB"/>
  </r>
  <r>
    <s v="1213"/>
    <s v="522"/>
    <s v="264"/>
    <s v="2442"/>
    <x v="62"/>
    <s v="EA"/>
    <s v="00"/>
    <m/>
    <m/>
    <x v="4"/>
    <n v="0"/>
    <n v="2597.88"/>
    <n v="0"/>
    <n v="-2597.88"/>
    <n v="0"/>
    <s v="WATER RESOURCES CLUB"/>
  </r>
  <r>
    <s v="1213"/>
    <s v="522"/>
    <s v="264"/>
    <s v="2442"/>
    <x v="62"/>
    <s v="EA"/>
    <s v="55"/>
    <m/>
    <m/>
    <x v="4"/>
    <n v="0"/>
    <n v="3.38"/>
    <n v="0"/>
    <n v="-3.38"/>
    <n v="0"/>
    <s v="WATER RESOURCES CLUB"/>
  </r>
  <r>
    <s v="1213"/>
    <s v="522"/>
    <s v="264"/>
    <s v="2442"/>
    <x v="62"/>
    <s v="ED"/>
    <s v="00"/>
    <m/>
    <m/>
    <x v="4"/>
    <n v="0"/>
    <n v="287.48"/>
    <n v="0"/>
    <n v="-287.48"/>
    <n v="0"/>
    <s v="WATER RESOURCES CLUB"/>
  </r>
  <r>
    <s v="1213"/>
    <s v="522"/>
    <s v="264"/>
    <s v="2442"/>
    <x v="62"/>
    <s v="EZ"/>
    <s v="00"/>
    <m/>
    <m/>
    <x v="4"/>
    <n v="0"/>
    <n v="480"/>
    <n v="0"/>
    <n v="-480"/>
    <n v="0"/>
    <s v="WATER RESOURCES CLUB"/>
  </r>
  <r>
    <s v="1213"/>
    <s v="522"/>
    <s v="264"/>
    <s v="2442"/>
    <x v="62"/>
    <s v="EZ"/>
    <s v="30"/>
    <m/>
    <m/>
    <x v="4"/>
    <n v="0"/>
    <n v="3801.89"/>
    <n v="0"/>
    <n v="-3801.89"/>
    <n v="0"/>
    <s v="WATER RESOURCES CLUB"/>
  </r>
  <r>
    <s v="1213"/>
    <s v="522"/>
    <s v="264"/>
    <s v="2442"/>
    <x v="62"/>
    <s v="G"/>
    <m/>
    <m/>
    <m/>
    <x v="5"/>
    <n v="0"/>
    <n v="0"/>
    <n v="0"/>
    <n v="0"/>
    <n v="0"/>
    <s v="WATER RESOURCES CLUB"/>
  </r>
  <r>
    <s v="1213"/>
    <s v="522"/>
    <s v="264"/>
    <s v="2442"/>
    <x v="62"/>
    <s v="NB"/>
    <m/>
    <m/>
    <m/>
    <x v="11"/>
    <n v="0"/>
    <n v="0"/>
    <n v="0"/>
    <n v="0"/>
    <n v="0"/>
    <s v="WATER RESOURCES CLUB"/>
  </r>
  <r>
    <s v="1213"/>
    <s v="522"/>
    <s v="264"/>
    <s v="2443"/>
    <x v="63"/>
    <m/>
    <m/>
    <s v="0782"/>
    <m/>
    <x v="10"/>
    <n v="0"/>
    <n v="-6463.75"/>
    <n v="0"/>
    <n v="6463.75"/>
    <n v="0"/>
    <s v="NATURAL RESRCS ASSN"/>
  </r>
  <r>
    <s v="1213"/>
    <s v="522"/>
    <s v="264"/>
    <s v="2443"/>
    <x v="63"/>
    <s v="E"/>
    <m/>
    <m/>
    <m/>
    <x v="4"/>
    <n v="7540"/>
    <n v="0"/>
    <n v="0"/>
    <n v="7540"/>
    <n v="0"/>
    <s v="NATURAL RESRCS ASSN"/>
  </r>
  <r>
    <s v="1213"/>
    <s v="522"/>
    <s v="264"/>
    <s v="2443"/>
    <x v="63"/>
    <s v="EA"/>
    <s v="00"/>
    <m/>
    <m/>
    <x v="4"/>
    <n v="0"/>
    <n v="2948.35"/>
    <n v="0"/>
    <n v="-2948.35"/>
    <n v="0"/>
    <s v="NATURAL RESRCS ASSN"/>
  </r>
  <r>
    <s v="1213"/>
    <s v="522"/>
    <s v="264"/>
    <s v="2443"/>
    <x v="63"/>
    <s v="EA"/>
    <s v="55"/>
    <m/>
    <m/>
    <x v="4"/>
    <n v="0"/>
    <n v="3.4"/>
    <n v="0"/>
    <n v="-3.4"/>
    <n v="0"/>
    <s v="NATURAL RESRCS ASSN"/>
  </r>
  <r>
    <s v="1213"/>
    <s v="522"/>
    <s v="264"/>
    <s v="2443"/>
    <x v="63"/>
    <s v="ED"/>
    <s v="00"/>
    <m/>
    <m/>
    <x v="4"/>
    <n v="0"/>
    <n v="275"/>
    <n v="0"/>
    <n v="-275"/>
    <n v="0"/>
    <s v="NATURAL RESRCS ASSN"/>
  </r>
  <r>
    <s v="1213"/>
    <s v="522"/>
    <s v="264"/>
    <s v="2443"/>
    <x v="63"/>
    <s v="EZ"/>
    <s v="00"/>
    <m/>
    <m/>
    <x v="4"/>
    <n v="0"/>
    <n v="2174"/>
    <n v="0"/>
    <n v="-2174"/>
    <n v="0"/>
    <s v="NATURAL RESRCS ASSN"/>
  </r>
  <r>
    <s v="1213"/>
    <s v="522"/>
    <s v="264"/>
    <s v="2443"/>
    <x v="63"/>
    <s v="EZ"/>
    <s v="20"/>
    <m/>
    <m/>
    <x v="4"/>
    <n v="0"/>
    <n v="11.55"/>
    <n v="0"/>
    <n v="-11.55"/>
    <n v="0"/>
    <s v="NATURAL RESRCS ASSN"/>
  </r>
  <r>
    <s v="1213"/>
    <s v="522"/>
    <s v="264"/>
    <s v="2443"/>
    <x v="63"/>
    <s v="EZ"/>
    <s v="30"/>
    <m/>
    <m/>
    <x v="4"/>
    <n v="0"/>
    <n v="992.88"/>
    <n v="0"/>
    <n v="-992.88"/>
    <n v="0"/>
    <s v="NATURAL RESRCS ASSN"/>
  </r>
  <r>
    <s v="1213"/>
    <s v="522"/>
    <s v="264"/>
    <s v="2443"/>
    <x v="63"/>
    <s v="G"/>
    <m/>
    <m/>
    <m/>
    <x v="5"/>
    <n v="0"/>
    <n v="0"/>
    <n v="0"/>
    <n v="0"/>
    <n v="0"/>
    <s v="NATURAL RESRCS ASSN"/>
  </r>
  <r>
    <s v="1213"/>
    <s v="522"/>
    <s v="264"/>
    <s v="2444"/>
    <x v="64"/>
    <m/>
    <m/>
    <s v="0782"/>
    <m/>
    <x v="10"/>
    <n v="0"/>
    <n v="0"/>
    <n v="0"/>
    <n v="0"/>
    <n v="0"/>
    <s v="PRE-ENGLISH MAJOR CL"/>
  </r>
  <r>
    <s v="1213"/>
    <s v="522"/>
    <s v="264"/>
    <s v="2445"/>
    <x v="65"/>
    <s v="E"/>
    <m/>
    <m/>
    <m/>
    <x v="4"/>
    <n v="250"/>
    <n v="0"/>
    <n v="0"/>
    <n v="250"/>
    <n v="0"/>
    <s v="DANCE CLUB"/>
  </r>
  <r>
    <s v="1213"/>
    <s v="522"/>
    <s v="264"/>
    <s v="2446"/>
    <x v="66"/>
    <m/>
    <m/>
    <s v="0499"/>
    <m/>
    <x v="0"/>
    <n v="0"/>
    <n v="0"/>
    <n v="0"/>
    <n v="0"/>
    <n v="0"/>
    <s v="NATL ASSC LEGAL SECR"/>
  </r>
  <r>
    <s v="1213"/>
    <s v="522"/>
    <s v="264"/>
    <s v="2446"/>
    <x v="66"/>
    <m/>
    <m/>
    <s v="0499"/>
    <s v="8X"/>
    <x v="0"/>
    <n v="0"/>
    <n v="-562.32000000000005"/>
    <n v="0"/>
    <n v="562.32000000000005"/>
    <n v="0"/>
    <s v="NATL ASSC LEGAL SECR"/>
  </r>
  <r>
    <s v="1213"/>
    <s v="522"/>
    <s v="264"/>
    <s v="2446"/>
    <x v="66"/>
    <m/>
    <m/>
    <s v="0782"/>
    <m/>
    <x v="10"/>
    <n v="0"/>
    <n v="-752"/>
    <n v="0"/>
    <n v="752"/>
    <n v="0"/>
    <s v="NATL ASSC LEGAL SECR"/>
  </r>
  <r>
    <s v="1213"/>
    <s v="522"/>
    <s v="264"/>
    <s v="2446"/>
    <x v="66"/>
    <s v="B"/>
    <m/>
    <m/>
    <m/>
    <x v="9"/>
    <n v="0"/>
    <n v="0"/>
    <n v="0"/>
    <n v="0"/>
    <n v="0"/>
    <s v="NATL ASSC LEGAL SECR"/>
  </r>
  <r>
    <s v="1213"/>
    <s v="522"/>
    <s v="264"/>
    <s v="2446"/>
    <x v="66"/>
    <s v="E"/>
    <m/>
    <m/>
    <m/>
    <x v="4"/>
    <n v="5382"/>
    <n v="0"/>
    <n v="0"/>
    <n v="5382"/>
    <n v="0"/>
    <s v="NATL ASSC LEGAL SECR"/>
  </r>
  <r>
    <s v="1213"/>
    <s v="522"/>
    <s v="264"/>
    <s v="2446"/>
    <x v="66"/>
    <s v="EA"/>
    <s v="00"/>
    <m/>
    <m/>
    <x v="4"/>
    <n v="0"/>
    <n v="15.32"/>
    <n v="0"/>
    <n v="-15.32"/>
    <n v="0"/>
    <s v="NATL ASSC LEGAL SECR"/>
  </r>
  <r>
    <s v="1213"/>
    <s v="522"/>
    <s v="264"/>
    <s v="2446"/>
    <x v="66"/>
    <s v="EG"/>
    <s v="RG"/>
    <m/>
    <m/>
    <x v="4"/>
    <n v="0"/>
    <n v="1070"/>
    <n v="0"/>
    <n v="-1070"/>
    <n v="0"/>
    <s v="NATL ASSC LEGAL SECR"/>
  </r>
  <r>
    <s v="1213"/>
    <s v="522"/>
    <s v="264"/>
    <s v="2446"/>
    <x v="66"/>
    <s v="EZ"/>
    <s v="00"/>
    <m/>
    <m/>
    <x v="4"/>
    <n v="0"/>
    <n v="77"/>
    <n v="0"/>
    <n v="-77"/>
    <n v="0"/>
    <s v="NATL ASSC LEGAL SECR"/>
  </r>
  <r>
    <s v="1213"/>
    <s v="522"/>
    <s v="264"/>
    <s v="2446"/>
    <x v="66"/>
    <s v="EZ"/>
    <s v="20"/>
    <m/>
    <m/>
    <x v="4"/>
    <n v="0"/>
    <n v="3.2"/>
    <n v="0"/>
    <n v="-3.2"/>
    <n v="0"/>
    <s v="NATL ASSC LEGAL SECR"/>
  </r>
  <r>
    <s v="1213"/>
    <s v="522"/>
    <s v="264"/>
    <s v="2446"/>
    <x v="66"/>
    <s v="EZ"/>
    <s v="30"/>
    <m/>
    <m/>
    <x v="4"/>
    <n v="0"/>
    <n v="177.44"/>
    <n v="0"/>
    <n v="-177.44"/>
    <n v="0"/>
    <s v="NATL ASSC LEGAL SECR"/>
  </r>
  <r>
    <s v="1213"/>
    <s v="522"/>
    <s v="264"/>
    <s v="2446"/>
    <x v="66"/>
    <s v="G"/>
    <m/>
    <m/>
    <m/>
    <x v="5"/>
    <n v="0"/>
    <n v="0"/>
    <n v="0"/>
    <n v="0"/>
    <n v="0"/>
    <s v="NATL ASSC LEGAL SECR"/>
  </r>
  <r>
    <s v="1213"/>
    <s v="522"/>
    <s v="264"/>
    <s v="2446"/>
    <x v="66"/>
    <s v="GD"/>
    <s v="00"/>
    <m/>
    <m/>
    <x v="5"/>
    <n v="0"/>
    <n v="100"/>
    <n v="0"/>
    <n v="-100"/>
    <n v="0"/>
    <s v="NATL ASSC LEGAL SECR"/>
  </r>
  <r>
    <s v="1213"/>
    <s v="522"/>
    <s v="264"/>
    <s v="2446"/>
    <x v="66"/>
    <s v="GF"/>
    <s v="00"/>
    <m/>
    <m/>
    <x v="5"/>
    <n v="0"/>
    <n v="2204.6799999999998"/>
    <n v="0"/>
    <n v="-2204.6799999999998"/>
    <n v="0"/>
    <s v="NATL ASSC LEGAL SECR"/>
  </r>
  <r>
    <s v="1213"/>
    <s v="522"/>
    <s v="264"/>
    <s v="2446"/>
    <x v="66"/>
    <s v="GG"/>
    <s v="00"/>
    <m/>
    <m/>
    <x v="5"/>
    <n v="0"/>
    <n v="1312"/>
    <n v="0"/>
    <n v="-1312"/>
    <n v="0"/>
    <s v="NATL ASSC LEGAL SECR"/>
  </r>
  <r>
    <s v="1213"/>
    <s v="522"/>
    <s v="264"/>
    <s v="2446"/>
    <x v="66"/>
    <s v="NB"/>
    <m/>
    <m/>
    <m/>
    <x v="11"/>
    <n v="0"/>
    <n v="0"/>
    <n v="0"/>
    <n v="0"/>
    <n v="0"/>
    <s v="NATL ASSC LEGAL SECR"/>
  </r>
  <r>
    <s v="1213"/>
    <s v="522"/>
    <s v="264"/>
    <s v="2447"/>
    <x v="67"/>
    <m/>
    <m/>
    <s v="0499"/>
    <m/>
    <x v="0"/>
    <n v="0"/>
    <n v="0"/>
    <n v="0"/>
    <n v="0"/>
    <n v="0"/>
    <s v="AMER INST ARCH STDTS"/>
  </r>
  <r>
    <s v="1213"/>
    <s v="522"/>
    <s v="264"/>
    <s v="2447"/>
    <x v="67"/>
    <m/>
    <m/>
    <s v="0499"/>
    <s v="8L"/>
    <x v="0"/>
    <n v="0"/>
    <n v="-309.60000000000002"/>
    <n v="0"/>
    <n v="309.60000000000002"/>
    <n v="0"/>
    <s v="AMER INST ARCH STDTS"/>
  </r>
  <r>
    <s v="1213"/>
    <s v="522"/>
    <s v="264"/>
    <s v="2447"/>
    <x v="67"/>
    <m/>
    <m/>
    <s v="0782"/>
    <m/>
    <x v="10"/>
    <n v="0"/>
    <n v="0"/>
    <n v="0"/>
    <n v="0"/>
    <n v="0"/>
    <s v="AMER INST ARCH STDTS"/>
  </r>
  <r>
    <s v="1213"/>
    <s v="522"/>
    <s v="264"/>
    <s v="2447"/>
    <x v="67"/>
    <s v="E"/>
    <m/>
    <m/>
    <m/>
    <x v="4"/>
    <n v="17605"/>
    <n v="0"/>
    <n v="0"/>
    <n v="17605"/>
    <n v="0"/>
    <s v="AMER INST ARCH STDTS"/>
  </r>
  <r>
    <s v="1213"/>
    <s v="522"/>
    <s v="264"/>
    <s v="2447"/>
    <x v="67"/>
    <s v="EA"/>
    <s v="00"/>
    <m/>
    <m/>
    <x v="4"/>
    <n v="0"/>
    <n v="182.66"/>
    <n v="0"/>
    <n v="-182.66"/>
    <n v="0"/>
    <s v="AMER INST ARCH STDTS"/>
  </r>
  <r>
    <s v="1213"/>
    <s v="522"/>
    <s v="264"/>
    <s v="2447"/>
    <x v="67"/>
    <s v="EG"/>
    <s v="00"/>
    <m/>
    <m/>
    <x v="4"/>
    <n v="0"/>
    <n v="312"/>
    <n v="0"/>
    <n v="-312"/>
    <n v="0"/>
    <s v="AMER INST ARCH STDTS"/>
  </r>
  <r>
    <s v="1213"/>
    <s v="522"/>
    <s v="264"/>
    <s v="2447"/>
    <x v="67"/>
    <s v="EG"/>
    <s v="RG"/>
    <m/>
    <m/>
    <x v="4"/>
    <n v="0"/>
    <n v="360"/>
    <n v="0"/>
    <n v="-360"/>
    <n v="0"/>
    <s v="AMER INST ARCH STDTS"/>
  </r>
  <r>
    <s v="1213"/>
    <s v="522"/>
    <s v="264"/>
    <s v="2447"/>
    <x v="67"/>
    <s v="EZ"/>
    <s v="00"/>
    <m/>
    <m/>
    <x v="4"/>
    <n v="0"/>
    <n v="753.51"/>
    <n v="0"/>
    <n v="-753.51"/>
    <n v="0"/>
    <s v="AMER INST ARCH STDTS"/>
  </r>
  <r>
    <s v="1213"/>
    <s v="522"/>
    <s v="264"/>
    <s v="2447"/>
    <x v="67"/>
    <s v="EZ"/>
    <s v="30"/>
    <m/>
    <m/>
    <x v="4"/>
    <n v="0"/>
    <n v="969.49"/>
    <n v="0"/>
    <n v="-969.49"/>
    <n v="0"/>
    <s v="AMER INST ARCH STDTS"/>
  </r>
  <r>
    <s v="1213"/>
    <s v="522"/>
    <s v="264"/>
    <s v="2447"/>
    <x v="67"/>
    <s v="EZ"/>
    <s v="40"/>
    <m/>
    <m/>
    <x v="4"/>
    <n v="0"/>
    <n v="800"/>
    <n v="0"/>
    <n v="-800"/>
    <n v="0"/>
    <s v="AMER INST ARCH STDTS"/>
  </r>
  <r>
    <s v="1213"/>
    <s v="522"/>
    <s v="264"/>
    <s v="2447"/>
    <x v="67"/>
    <s v="G"/>
    <m/>
    <m/>
    <m/>
    <x v="5"/>
    <n v="0"/>
    <n v="0"/>
    <n v="0"/>
    <n v="0"/>
    <n v="0"/>
    <s v="AMER INST ARCH STDTS"/>
  </r>
  <r>
    <s v="1213"/>
    <s v="522"/>
    <s v="264"/>
    <s v="2447"/>
    <x v="67"/>
    <s v="GA"/>
    <s v="00"/>
    <m/>
    <m/>
    <x v="5"/>
    <n v="0"/>
    <n v="0"/>
    <n v="0"/>
    <n v="0"/>
    <n v="0"/>
    <s v="AMER INST ARCH STDTS"/>
  </r>
  <r>
    <s v="1213"/>
    <s v="522"/>
    <s v="264"/>
    <s v="2447"/>
    <x v="67"/>
    <s v="GB"/>
    <s v="00"/>
    <m/>
    <m/>
    <x v="5"/>
    <n v="0"/>
    <n v="3106.2"/>
    <n v="0"/>
    <n v="-3106.2"/>
    <n v="0"/>
    <s v="AMER INST ARCH STDTS"/>
  </r>
  <r>
    <s v="1213"/>
    <s v="522"/>
    <s v="264"/>
    <s v="2447"/>
    <x v="67"/>
    <s v="GC"/>
    <s v="10"/>
    <m/>
    <m/>
    <x v="5"/>
    <n v="0"/>
    <n v="0"/>
    <n v="0"/>
    <n v="0"/>
    <n v="0"/>
    <s v="AMER INST ARCH STDTS"/>
  </r>
  <r>
    <s v="1213"/>
    <s v="522"/>
    <s v="264"/>
    <s v="2447"/>
    <x v="67"/>
    <s v="GD"/>
    <s v="00"/>
    <m/>
    <m/>
    <x v="5"/>
    <n v="0"/>
    <n v="803.19"/>
    <n v="0"/>
    <n v="-803.19"/>
    <n v="0"/>
    <s v="AMER INST ARCH STDTS"/>
  </r>
  <r>
    <s v="1213"/>
    <s v="522"/>
    <s v="264"/>
    <s v="2447"/>
    <x v="67"/>
    <s v="GD"/>
    <s v="60"/>
    <m/>
    <m/>
    <x v="5"/>
    <n v="0"/>
    <n v="219.25"/>
    <n v="0"/>
    <n v="-219.25"/>
    <n v="0"/>
    <s v="AMER INST ARCH STDTS"/>
  </r>
  <r>
    <s v="1213"/>
    <s v="522"/>
    <s v="264"/>
    <s v="2447"/>
    <x v="67"/>
    <s v="GF"/>
    <s v="00"/>
    <m/>
    <m/>
    <x v="5"/>
    <n v="0"/>
    <n v="7286.22"/>
    <n v="0"/>
    <n v="-7286.22"/>
    <n v="0"/>
    <s v="AMER INST ARCH STDTS"/>
  </r>
  <r>
    <s v="1213"/>
    <s v="522"/>
    <s v="264"/>
    <s v="2447"/>
    <x v="67"/>
    <s v="GG"/>
    <s v="00"/>
    <m/>
    <m/>
    <x v="5"/>
    <n v="0"/>
    <n v="3432.6"/>
    <n v="0"/>
    <n v="-3432.6"/>
    <n v="0"/>
    <s v="AMER INST ARCH STDTS"/>
  </r>
  <r>
    <s v="1213"/>
    <s v="522"/>
    <s v="264"/>
    <s v="2448"/>
    <x v="68"/>
    <s v="E"/>
    <m/>
    <m/>
    <m/>
    <x v="4"/>
    <n v="0"/>
    <n v="0"/>
    <n v="0"/>
    <n v="0"/>
    <n v="0"/>
    <s v="GEOLOGY LECTURE SER"/>
  </r>
  <r>
    <s v="1213"/>
    <s v="522"/>
    <s v="264"/>
    <s v="2448"/>
    <x v="68"/>
    <s v="G"/>
    <m/>
    <m/>
    <m/>
    <x v="5"/>
    <n v="0"/>
    <n v="0"/>
    <n v="0"/>
    <n v="0"/>
    <n v="0"/>
    <s v="GEOLOGY LECTURE SER"/>
  </r>
  <r>
    <s v="1213"/>
    <s v="522"/>
    <s v="264"/>
    <s v="2448"/>
    <x v="68"/>
    <s v="NB"/>
    <m/>
    <m/>
    <m/>
    <x v="11"/>
    <n v="0"/>
    <n v="0"/>
    <n v="0"/>
    <n v="0"/>
    <n v="0"/>
    <s v="GEOLOGY LECTURE SER"/>
  </r>
  <r>
    <s v="1213"/>
    <s v="522"/>
    <s v="264"/>
    <s v="2449"/>
    <x v="69"/>
    <m/>
    <m/>
    <s v="0499"/>
    <s v="6N"/>
    <x v="0"/>
    <n v="0"/>
    <n v="-914.5"/>
    <n v="0"/>
    <n v="914.5"/>
    <n v="0"/>
    <s v="SASQUAD COMICS"/>
  </r>
  <r>
    <s v="1213"/>
    <s v="522"/>
    <s v="264"/>
    <s v="2449"/>
    <x v="69"/>
    <m/>
    <m/>
    <s v="0782"/>
    <m/>
    <x v="10"/>
    <n v="0"/>
    <n v="-385"/>
    <n v="0"/>
    <n v="385"/>
    <n v="0"/>
    <s v="SASQUAD COMICS"/>
  </r>
  <r>
    <s v="1213"/>
    <s v="522"/>
    <s v="264"/>
    <s v="2449"/>
    <x v="69"/>
    <s v="E"/>
    <m/>
    <m/>
    <m/>
    <x v="4"/>
    <n v="2000"/>
    <n v="0"/>
    <n v="0"/>
    <n v="2000"/>
    <n v="0"/>
    <s v="SASQUAD COMICS"/>
  </r>
  <r>
    <s v="1213"/>
    <s v="522"/>
    <s v="264"/>
    <s v="2449"/>
    <x v="69"/>
    <s v="EA"/>
    <s v="00"/>
    <m/>
    <m/>
    <x v="4"/>
    <n v="0"/>
    <n v="972.64"/>
    <n v="0"/>
    <n v="-972.64"/>
    <n v="0"/>
    <s v="SASQUAD COMICS"/>
  </r>
  <r>
    <s v="1213"/>
    <s v="522"/>
    <s v="264"/>
    <s v="2449"/>
    <x v="69"/>
    <s v="EZ"/>
    <s v="00"/>
    <m/>
    <m/>
    <x v="4"/>
    <n v="0"/>
    <n v="474.75"/>
    <n v="0"/>
    <n v="-474.75"/>
    <n v="0"/>
    <s v="SASQUAD COMICS"/>
  </r>
  <r>
    <s v="1213"/>
    <s v="522"/>
    <s v="264"/>
    <s v="2449"/>
    <x v="69"/>
    <s v="EZ"/>
    <s v="30"/>
    <m/>
    <m/>
    <x v="4"/>
    <n v="0"/>
    <n v="178.19"/>
    <n v="0"/>
    <n v="-178.19"/>
    <n v="0"/>
    <s v="SASQUAD COMICS"/>
  </r>
  <r>
    <s v="1213"/>
    <s v="522"/>
    <s v="264"/>
    <s v="2449"/>
    <x v="69"/>
    <s v="G"/>
    <m/>
    <m/>
    <m/>
    <x v="5"/>
    <n v="0"/>
    <n v="0"/>
    <n v="0"/>
    <n v="0"/>
    <n v="0"/>
    <s v="SASQUAD COMICS"/>
  </r>
  <r>
    <s v="1213"/>
    <s v="522"/>
    <s v="264"/>
    <s v="2449"/>
    <x v="69"/>
    <s v="GB"/>
    <s v="00"/>
    <m/>
    <m/>
    <x v="5"/>
    <n v="0"/>
    <n v="643.6"/>
    <n v="0"/>
    <n v="-643.6"/>
    <n v="0"/>
    <s v="SASQUAD COMICS"/>
  </r>
  <r>
    <s v="1213"/>
    <s v="522"/>
    <s v="264"/>
    <s v="2449"/>
    <x v="69"/>
    <s v="GD"/>
    <s v="00"/>
    <m/>
    <m/>
    <x v="5"/>
    <n v="0"/>
    <n v="22"/>
    <n v="0"/>
    <n v="-22"/>
    <n v="0"/>
    <s v="SASQUAD COMICS"/>
  </r>
  <r>
    <s v="1213"/>
    <s v="522"/>
    <s v="264"/>
    <s v="2449"/>
    <x v="69"/>
    <s v="NB"/>
    <m/>
    <m/>
    <m/>
    <x v="11"/>
    <n v="0"/>
    <n v="0"/>
    <n v="0"/>
    <n v="0"/>
    <n v="0"/>
    <s v="SASQUAD COMICS"/>
  </r>
  <r>
    <s v="1213"/>
    <s v="522"/>
    <s v="264"/>
    <s v="2460"/>
    <x v="70"/>
    <m/>
    <m/>
    <s v="0782"/>
    <m/>
    <x v="10"/>
    <n v="0"/>
    <n v="0"/>
    <n v="0"/>
    <n v="0"/>
    <n v="0"/>
    <s v="LATTER DAY SAINTS SA"/>
  </r>
  <r>
    <s v="1213"/>
    <s v="522"/>
    <s v="264"/>
    <s v="2460"/>
    <x v="70"/>
    <s v="E"/>
    <m/>
    <m/>
    <m/>
    <x v="4"/>
    <n v="1000"/>
    <n v="0"/>
    <n v="0"/>
    <n v="1000"/>
    <n v="0"/>
    <s v="LATTER DAY SAINTS SA"/>
  </r>
  <r>
    <s v="1213"/>
    <s v="522"/>
    <s v="264"/>
    <s v="2461"/>
    <x v="71"/>
    <m/>
    <m/>
    <s v="0499"/>
    <s v="8E"/>
    <x v="0"/>
    <n v="0"/>
    <n v="-568.16"/>
    <n v="0"/>
    <n v="568.16"/>
    <n v="0"/>
    <s v="LATIN-AMER STDNT ORG"/>
  </r>
  <r>
    <s v="1213"/>
    <s v="522"/>
    <s v="264"/>
    <s v="2461"/>
    <x v="71"/>
    <s v="E"/>
    <m/>
    <m/>
    <m/>
    <x v="4"/>
    <n v="12159"/>
    <n v="0"/>
    <n v="0"/>
    <n v="12159"/>
    <n v="0"/>
    <s v="LATIN-AMER STDNT ORG"/>
  </r>
  <r>
    <s v="1213"/>
    <s v="522"/>
    <s v="264"/>
    <s v="2461"/>
    <x v="71"/>
    <s v="EA"/>
    <s v="00"/>
    <m/>
    <m/>
    <x v="4"/>
    <n v="0"/>
    <n v="787.38"/>
    <n v="0"/>
    <n v="-787.38"/>
    <n v="0"/>
    <s v="LATIN-AMER STDNT ORG"/>
  </r>
  <r>
    <s v="1213"/>
    <s v="522"/>
    <s v="264"/>
    <s v="2461"/>
    <x v="71"/>
    <s v="ED"/>
    <s v="00"/>
    <m/>
    <m/>
    <x v="4"/>
    <n v="0"/>
    <n v="380"/>
    <n v="0"/>
    <n v="-380"/>
    <n v="0"/>
    <s v="LATIN-AMER STDNT ORG"/>
  </r>
  <r>
    <s v="1213"/>
    <s v="522"/>
    <s v="264"/>
    <s v="2461"/>
    <x v="71"/>
    <s v="EG"/>
    <s v="RG"/>
    <m/>
    <m/>
    <x v="4"/>
    <n v="0"/>
    <n v="637.5"/>
    <n v="0"/>
    <n v="-637.5"/>
    <n v="0"/>
    <s v="LATIN-AMER STDNT ORG"/>
  </r>
  <r>
    <s v="1213"/>
    <s v="522"/>
    <s v="264"/>
    <s v="2461"/>
    <x v="71"/>
    <s v="EJ"/>
    <s v="00"/>
    <m/>
    <m/>
    <x v="4"/>
    <n v="0"/>
    <n v="17.39"/>
    <n v="0"/>
    <n v="-17.39"/>
    <n v="0"/>
    <s v="LATIN-AMER STDNT ORG"/>
  </r>
  <r>
    <s v="1213"/>
    <s v="522"/>
    <s v="264"/>
    <s v="2461"/>
    <x v="71"/>
    <s v="EZ"/>
    <s v="00"/>
    <m/>
    <m/>
    <x v="4"/>
    <n v="0"/>
    <n v="97.83"/>
    <n v="0"/>
    <n v="-97.83"/>
    <n v="0"/>
    <s v="LATIN-AMER STDNT ORG"/>
  </r>
  <r>
    <s v="1213"/>
    <s v="522"/>
    <s v="264"/>
    <s v="2461"/>
    <x v="71"/>
    <s v="EZ"/>
    <s v="30"/>
    <m/>
    <m/>
    <x v="4"/>
    <n v="0"/>
    <n v="3074.55"/>
    <n v="0"/>
    <n v="-3074.55"/>
    <n v="0"/>
    <s v="LATIN-AMER STDNT ORG"/>
  </r>
  <r>
    <s v="1213"/>
    <s v="522"/>
    <s v="264"/>
    <s v="2461"/>
    <x v="71"/>
    <s v="G"/>
    <m/>
    <m/>
    <m/>
    <x v="5"/>
    <n v="0"/>
    <n v="0"/>
    <n v="0"/>
    <n v="0"/>
    <n v="0"/>
    <s v="LATIN-AMER STDNT ORG"/>
  </r>
  <r>
    <s v="1213"/>
    <s v="522"/>
    <s v="264"/>
    <s v="2461"/>
    <x v="71"/>
    <s v="GA"/>
    <s v="00"/>
    <m/>
    <m/>
    <x v="5"/>
    <n v="0"/>
    <n v="394.52"/>
    <n v="0"/>
    <n v="-394.52"/>
    <n v="0"/>
    <s v="LATIN-AMER STDNT ORG"/>
  </r>
  <r>
    <s v="1213"/>
    <s v="522"/>
    <s v="264"/>
    <s v="2461"/>
    <x v="71"/>
    <s v="GB"/>
    <s v="00"/>
    <m/>
    <m/>
    <x v="5"/>
    <n v="0"/>
    <n v="209.8"/>
    <n v="0"/>
    <n v="-209.8"/>
    <n v="0"/>
    <s v="LATIN-AMER STDNT ORG"/>
  </r>
  <r>
    <s v="1213"/>
    <s v="522"/>
    <s v="264"/>
    <s v="2461"/>
    <x v="71"/>
    <s v="GD"/>
    <s v="00"/>
    <m/>
    <m/>
    <x v="5"/>
    <n v="0"/>
    <n v="22"/>
    <n v="0"/>
    <n v="-22"/>
    <n v="0"/>
    <s v="LATIN-AMER STDNT ORG"/>
  </r>
  <r>
    <s v="1213"/>
    <s v="522"/>
    <s v="264"/>
    <s v="2461"/>
    <x v="71"/>
    <s v="GD"/>
    <s v="20"/>
    <m/>
    <m/>
    <x v="5"/>
    <n v="0"/>
    <n v="70"/>
    <n v="0"/>
    <n v="-70"/>
    <n v="0"/>
    <s v="LATIN-AMER STDNT ORG"/>
  </r>
  <r>
    <s v="1213"/>
    <s v="522"/>
    <s v="264"/>
    <s v="2461"/>
    <x v="71"/>
    <s v="GD"/>
    <s v="30"/>
    <m/>
    <m/>
    <x v="5"/>
    <n v="0"/>
    <n v="50.34"/>
    <n v="0"/>
    <n v="-50.34"/>
    <n v="0"/>
    <s v="LATIN-AMER STDNT ORG"/>
  </r>
  <r>
    <s v="1213"/>
    <s v="522"/>
    <s v="264"/>
    <s v="2461"/>
    <x v="71"/>
    <s v="NB"/>
    <m/>
    <m/>
    <m/>
    <x v="11"/>
    <n v="0"/>
    <n v="0"/>
    <n v="0"/>
    <n v="0"/>
    <n v="0"/>
    <s v="LATIN-AMER STDNT ORG"/>
  </r>
  <r>
    <s v="1213"/>
    <s v="522"/>
    <s v="264"/>
    <s v="2461"/>
    <x v="71"/>
    <s v="NB"/>
    <s v="00"/>
    <m/>
    <m/>
    <x v="11"/>
    <n v="0"/>
    <n v="1500"/>
    <n v="0"/>
    <n v="-1500"/>
    <n v="0"/>
    <s v="LATIN-AMER STDNT ORG"/>
  </r>
  <r>
    <s v="1213"/>
    <s v="522"/>
    <s v="264"/>
    <s v="2462"/>
    <x v="72"/>
    <m/>
    <m/>
    <s v="0499"/>
    <s v="8G"/>
    <x v="0"/>
    <n v="0"/>
    <n v="-750"/>
    <n v="0"/>
    <n v="750"/>
    <n v="0"/>
    <s v="INTRNTL STUDENT ORG"/>
  </r>
  <r>
    <s v="1213"/>
    <s v="522"/>
    <s v="264"/>
    <s v="2462"/>
    <x v="72"/>
    <m/>
    <m/>
    <s v="0782"/>
    <m/>
    <x v="10"/>
    <n v="0"/>
    <n v="-89"/>
    <n v="0"/>
    <n v="89"/>
    <n v="0"/>
    <s v="INTRNTL STUDENT ORG"/>
  </r>
  <r>
    <s v="1213"/>
    <s v="522"/>
    <s v="264"/>
    <s v="2462"/>
    <x v="72"/>
    <s v="E"/>
    <m/>
    <m/>
    <m/>
    <x v="4"/>
    <n v="3250"/>
    <n v="0"/>
    <n v="0"/>
    <n v="3250"/>
    <n v="0"/>
    <s v="INTRNTL STUDENT ORG"/>
  </r>
  <r>
    <s v="1213"/>
    <s v="522"/>
    <s v="264"/>
    <s v="2462"/>
    <x v="72"/>
    <s v="EA"/>
    <s v="00"/>
    <m/>
    <m/>
    <x v="4"/>
    <n v="0"/>
    <n v="97.83"/>
    <n v="0"/>
    <n v="-97.83"/>
    <n v="0"/>
    <s v="INTRNTL STUDENT ORG"/>
  </r>
  <r>
    <s v="1213"/>
    <s v="522"/>
    <s v="264"/>
    <s v="2462"/>
    <x v="72"/>
    <s v="EG"/>
    <s v="RG"/>
    <m/>
    <m/>
    <x v="4"/>
    <n v="0"/>
    <n v="237.27"/>
    <n v="0"/>
    <n v="-237.27"/>
    <n v="0"/>
    <s v="INTRNTL STUDENT ORG"/>
  </r>
  <r>
    <s v="1213"/>
    <s v="522"/>
    <s v="264"/>
    <s v="2462"/>
    <x v="72"/>
    <s v="EZ"/>
    <s v="00"/>
    <m/>
    <m/>
    <x v="4"/>
    <n v="0"/>
    <n v="901.86"/>
    <n v="0"/>
    <n v="-901.86"/>
    <n v="0"/>
    <s v="INTRNTL STUDENT ORG"/>
  </r>
  <r>
    <s v="1213"/>
    <s v="522"/>
    <s v="264"/>
    <s v="2462"/>
    <x v="72"/>
    <s v="EZ"/>
    <s v="30"/>
    <m/>
    <m/>
    <x v="4"/>
    <n v="0"/>
    <n v="605.61"/>
    <n v="0"/>
    <n v="-605.61"/>
    <n v="0"/>
    <s v="INTRNTL STUDENT ORG"/>
  </r>
  <r>
    <s v="1213"/>
    <s v="522"/>
    <s v="264"/>
    <s v="2462"/>
    <x v="72"/>
    <s v="G"/>
    <m/>
    <m/>
    <m/>
    <x v="5"/>
    <n v="0"/>
    <n v="0"/>
    <n v="0"/>
    <n v="0"/>
    <n v="0"/>
    <s v="INTRNTL STUDENT ORG"/>
  </r>
  <r>
    <s v="1213"/>
    <s v="522"/>
    <s v="264"/>
    <s v="2462"/>
    <x v="72"/>
    <s v="GD"/>
    <s v="00"/>
    <m/>
    <m/>
    <x v="5"/>
    <n v="0"/>
    <n v="121.31"/>
    <n v="0"/>
    <n v="-121.31"/>
    <n v="0"/>
    <s v="INTRNTL STUDENT ORG"/>
  </r>
  <r>
    <s v="1213"/>
    <s v="522"/>
    <s v="264"/>
    <s v="2462"/>
    <x v="72"/>
    <s v="GD"/>
    <s v="30"/>
    <m/>
    <m/>
    <x v="5"/>
    <n v="0"/>
    <n v="711.07"/>
    <n v="0"/>
    <n v="-711.07"/>
    <n v="0"/>
    <s v="INTRNTL STUDENT ORG"/>
  </r>
  <r>
    <s v="1213"/>
    <s v="522"/>
    <s v="264"/>
    <s v="2462"/>
    <x v="72"/>
    <s v="GD"/>
    <s v="50"/>
    <m/>
    <m/>
    <x v="5"/>
    <n v="0"/>
    <n v="8"/>
    <n v="0"/>
    <n v="-8"/>
    <n v="0"/>
    <s v="INTRNTL STUDENT ORG"/>
  </r>
  <r>
    <s v="1213"/>
    <s v="522"/>
    <s v="264"/>
    <s v="2462"/>
    <x v="72"/>
    <s v="GD"/>
    <s v="70"/>
    <m/>
    <m/>
    <x v="5"/>
    <n v="0"/>
    <n v="257.77999999999997"/>
    <n v="0"/>
    <n v="-257.77999999999997"/>
    <n v="0"/>
    <s v="INTRNTL STUDENT ORG"/>
  </r>
  <r>
    <s v="1213"/>
    <s v="522"/>
    <s v="264"/>
    <s v="2462"/>
    <x v="72"/>
    <s v="GF"/>
    <s v="00"/>
    <m/>
    <m/>
    <x v="5"/>
    <n v="0"/>
    <n v="895.14"/>
    <n v="0"/>
    <n v="-895.14"/>
    <n v="0"/>
    <s v="INTRNTL STUDENT ORG"/>
  </r>
  <r>
    <s v="1213"/>
    <s v="522"/>
    <s v="264"/>
    <s v="2463"/>
    <x v="73"/>
    <m/>
    <m/>
    <s v="0499"/>
    <s v="8H"/>
    <x v="0"/>
    <n v="0"/>
    <n v="-51.25"/>
    <n v="0"/>
    <n v="51.25"/>
    <n v="0"/>
    <s v="ASIAN PACIFIC ISLNDR"/>
  </r>
  <r>
    <s v="1213"/>
    <s v="522"/>
    <s v="264"/>
    <s v="2463"/>
    <x v="73"/>
    <s v="E"/>
    <m/>
    <m/>
    <m/>
    <x v="4"/>
    <n v="6300"/>
    <n v="0"/>
    <n v="0"/>
    <n v="6300"/>
    <n v="0"/>
    <s v="ASIAN PACIFIC ISLNDR"/>
  </r>
  <r>
    <s v="1213"/>
    <s v="522"/>
    <s v="264"/>
    <s v="2463"/>
    <x v="73"/>
    <s v="EA"/>
    <s v="00"/>
    <m/>
    <m/>
    <x v="4"/>
    <n v="0"/>
    <n v="2131.9699999999998"/>
    <n v="0"/>
    <n v="-2131.9699999999998"/>
    <n v="0"/>
    <s v="ASIAN PACIFIC ISLNDR"/>
  </r>
  <r>
    <s v="1213"/>
    <s v="522"/>
    <s v="264"/>
    <s v="2463"/>
    <x v="73"/>
    <s v="EZ"/>
    <s v="00"/>
    <m/>
    <m/>
    <x v="4"/>
    <n v="0"/>
    <n v="1801.13"/>
    <n v="0"/>
    <n v="-1801.13"/>
    <n v="0"/>
    <s v="ASIAN PACIFIC ISLNDR"/>
  </r>
  <r>
    <s v="1213"/>
    <s v="522"/>
    <s v="264"/>
    <s v="2463"/>
    <x v="73"/>
    <s v="EZ"/>
    <s v="30"/>
    <m/>
    <m/>
    <x v="4"/>
    <n v="0"/>
    <n v="1711.11"/>
    <n v="0"/>
    <n v="-1711.11"/>
    <n v="0"/>
    <s v="ASIAN PACIFIC ISLNDR"/>
  </r>
  <r>
    <s v="1213"/>
    <s v="522"/>
    <s v="264"/>
    <s v="2463"/>
    <x v="73"/>
    <s v="G"/>
    <m/>
    <m/>
    <m/>
    <x v="5"/>
    <n v="0"/>
    <n v="0"/>
    <n v="0"/>
    <n v="0"/>
    <n v="0"/>
    <s v="ASIAN PACIFIC ISLNDR"/>
  </r>
  <r>
    <s v="1213"/>
    <s v="522"/>
    <s v="264"/>
    <s v="2463"/>
    <x v="73"/>
    <s v="GD"/>
    <s v="10"/>
    <m/>
    <m/>
    <x v="5"/>
    <n v="0"/>
    <n v="10"/>
    <n v="0"/>
    <n v="-10"/>
    <n v="0"/>
    <s v="ASIAN PACIFIC ISLNDR"/>
  </r>
  <r>
    <s v="1213"/>
    <s v="522"/>
    <s v="264"/>
    <s v="2463"/>
    <x v="73"/>
    <s v="NB"/>
    <m/>
    <m/>
    <m/>
    <x v="11"/>
    <n v="0"/>
    <n v="0"/>
    <n v="0"/>
    <n v="0"/>
    <n v="0"/>
    <s v="ASIAN PACIFIC ISLNDR"/>
  </r>
  <r>
    <s v="1213"/>
    <s v="522"/>
    <s v="264"/>
    <s v="2463"/>
    <x v="73"/>
    <s v="NB"/>
    <s v="00"/>
    <m/>
    <m/>
    <x v="11"/>
    <n v="0"/>
    <n v="600"/>
    <n v="0"/>
    <n v="-600"/>
    <n v="0"/>
    <s v="ASIAN PACIFIC ISLNDR"/>
  </r>
  <r>
    <s v="1213"/>
    <s v="522"/>
    <s v="264"/>
    <s v="2464"/>
    <x v="74"/>
    <s v="E"/>
    <m/>
    <m/>
    <m/>
    <x v="4"/>
    <n v="0"/>
    <n v="0"/>
    <n v="0"/>
    <n v="0"/>
    <n v="0"/>
    <s v="SCC SWIM CLUB"/>
  </r>
  <r>
    <s v="1213"/>
    <s v="522"/>
    <s v="264"/>
    <s v="2464"/>
    <x v="74"/>
    <s v="EA"/>
    <s v="00"/>
    <m/>
    <m/>
    <x v="4"/>
    <n v="0"/>
    <n v="0"/>
    <n v="0"/>
    <n v="0"/>
    <n v="0"/>
    <s v="SCC SWIM CLUB"/>
  </r>
  <r>
    <s v="1213"/>
    <s v="522"/>
    <s v="264"/>
    <s v="2464"/>
    <x v="74"/>
    <s v="ED"/>
    <s v="00"/>
    <m/>
    <m/>
    <x v="4"/>
    <n v="0"/>
    <n v="684"/>
    <n v="0"/>
    <n v="-684"/>
    <n v="0"/>
    <s v="SCC SWIM CLUB"/>
  </r>
  <r>
    <s v="1213"/>
    <s v="522"/>
    <s v="264"/>
    <s v="2465"/>
    <x v="75"/>
    <m/>
    <m/>
    <s v="0499"/>
    <s v="8J"/>
    <x v="0"/>
    <n v="0"/>
    <n v="-464.53"/>
    <n v="0"/>
    <n v="464.53"/>
    <n v="0"/>
    <s v="NATIV AMER STDNT ORG"/>
  </r>
  <r>
    <s v="1213"/>
    <s v="522"/>
    <s v="264"/>
    <s v="2465"/>
    <x v="75"/>
    <m/>
    <m/>
    <s v="0782"/>
    <m/>
    <x v="10"/>
    <n v="0"/>
    <n v="-956"/>
    <n v="0"/>
    <n v="956"/>
    <n v="0"/>
    <s v="NATIV AMER STDNT ORG"/>
  </r>
  <r>
    <s v="1213"/>
    <s v="522"/>
    <s v="264"/>
    <s v="2465"/>
    <x v="75"/>
    <s v="E"/>
    <m/>
    <m/>
    <m/>
    <x v="4"/>
    <n v="13603"/>
    <n v="0"/>
    <n v="0"/>
    <n v="13603"/>
    <n v="0"/>
    <s v="NATIV AMER STDNT ORG"/>
  </r>
  <r>
    <s v="1213"/>
    <s v="522"/>
    <s v="264"/>
    <s v="2465"/>
    <x v="75"/>
    <s v="EA"/>
    <s v="00"/>
    <m/>
    <m/>
    <x v="4"/>
    <n v="0"/>
    <n v="1504.22"/>
    <n v="0"/>
    <n v="-1504.22"/>
    <n v="0"/>
    <s v="NATIV AMER STDNT ORG"/>
  </r>
  <r>
    <s v="1213"/>
    <s v="522"/>
    <s v="264"/>
    <s v="2465"/>
    <x v="75"/>
    <s v="EG"/>
    <s v="RG"/>
    <m/>
    <m/>
    <x v="4"/>
    <n v="0"/>
    <n v="1080.58"/>
    <n v="0"/>
    <n v="-1080.58"/>
    <n v="0"/>
    <s v="NATIV AMER STDNT ORG"/>
  </r>
  <r>
    <s v="1213"/>
    <s v="522"/>
    <s v="264"/>
    <s v="2465"/>
    <x v="75"/>
    <s v="EJ"/>
    <s v="00"/>
    <m/>
    <m/>
    <x v="4"/>
    <n v="0"/>
    <n v="21.71"/>
    <n v="0"/>
    <n v="-21.71"/>
    <n v="0"/>
    <s v="NATIV AMER STDNT ORG"/>
  </r>
  <r>
    <s v="1213"/>
    <s v="522"/>
    <s v="264"/>
    <s v="2465"/>
    <x v="75"/>
    <s v="EZ"/>
    <s v="00"/>
    <m/>
    <m/>
    <x v="4"/>
    <n v="0"/>
    <n v="0"/>
    <n v="0"/>
    <n v="0"/>
    <n v="0"/>
    <s v="NATIV AMER STDNT ORG"/>
  </r>
  <r>
    <s v="1213"/>
    <s v="522"/>
    <s v="264"/>
    <s v="2465"/>
    <x v="75"/>
    <s v="EZ"/>
    <s v="20"/>
    <m/>
    <m/>
    <x v="4"/>
    <n v="0"/>
    <n v="220"/>
    <n v="0"/>
    <n v="-220"/>
    <n v="0"/>
    <s v="NATIV AMER STDNT ORG"/>
  </r>
  <r>
    <s v="1213"/>
    <s v="522"/>
    <s v="264"/>
    <s v="2465"/>
    <x v="75"/>
    <s v="EZ"/>
    <s v="30"/>
    <m/>
    <m/>
    <x v="4"/>
    <n v="0"/>
    <n v="796.86"/>
    <n v="0"/>
    <n v="-796.86"/>
    <n v="0"/>
    <s v="NATIV AMER STDNT ORG"/>
  </r>
  <r>
    <s v="1213"/>
    <s v="522"/>
    <s v="264"/>
    <s v="2465"/>
    <x v="75"/>
    <s v="G"/>
    <m/>
    <m/>
    <m/>
    <x v="5"/>
    <n v="0"/>
    <n v="0"/>
    <n v="0"/>
    <n v="0"/>
    <n v="0"/>
    <s v="NATIV AMER STDNT ORG"/>
  </r>
  <r>
    <s v="1213"/>
    <s v="522"/>
    <s v="264"/>
    <s v="2465"/>
    <x v="75"/>
    <s v="GA"/>
    <s v="00"/>
    <m/>
    <m/>
    <x v="5"/>
    <n v="0"/>
    <n v="1605.46"/>
    <n v="0"/>
    <n v="-1605.46"/>
    <n v="0"/>
    <s v="NATIV AMER STDNT ORG"/>
  </r>
  <r>
    <s v="1213"/>
    <s v="522"/>
    <s v="264"/>
    <s v="2465"/>
    <x v="75"/>
    <s v="GC"/>
    <s v="10"/>
    <m/>
    <m/>
    <x v="5"/>
    <n v="0"/>
    <n v="38.07"/>
    <n v="0"/>
    <n v="-38.07"/>
    <n v="0"/>
    <s v="NATIV AMER STDNT ORG"/>
  </r>
  <r>
    <s v="1213"/>
    <s v="522"/>
    <s v="264"/>
    <s v="2465"/>
    <x v="75"/>
    <s v="GD"/>
    <s v="00"/>
    <m/>
    <m/>
    <x v="5"/>
    <n v="0"/>
    <n v="0"/>
    <n v="0"/>
    <n v="0"/>
    <n v="0"/>
    <s v="NATIV AMER STDNT ORG"/>
  </r>
  <r>
    <s v="1213"/>
    <s v="522"/>
    <s v="264"/>
    <s v="2465"/>
    <x v="75"/>
    <s v="GD"/>
    <s v="20"/>
    <m/>
    <m/>
    <x v="5"/>
    <n v="0"/>
    <n v="126"/>
    <n v="0"/>
    <n v="-126"/>
    <n v="0"/>
    <s v="NATIV AMER STDNT ORG"/>
  </r>
  <r>
    <s v="1213"/>
    <s v="522"/>
    <s v="264"/>
    <s v="2465"/>
    <x v="75"/>
    <s v="J"/>
    <m/>
    <m/>
    <m/>
    <x v="6"/>
    <n v="0"/>
    <n v="0"/>
    <n v="0"/>
    <n v="0"/>
    <n v="0"/>
    <s v="NATIV AMER STDNT ORG"/>
  </r>
  <r>
    <s v="1213"/>
    <s v="522"/>
    <s v="264"/>
    <s v="2465"/>
    <x v="75"/>
    <s v="NB"/>
    <m/>
    <m/>
    <m/>
    <x v="11"/>
    <n v="0"/>
    <n v="0"/>
    <n v="0"/>
    <n v="0"/>
    <n v="0"/>
    <s v="NATIV AMER STDNT ORG"/>
  </r>
  <r>
    <s v="1213"/>
    <s v="522"/>
    <s v="264"/>
    <s v="2465"/>
    <x v="75"/>
    <s v="NB"/>
    <s v="00"/>
    <m/>
    <m/>
    <x v="11"/>
    <n v="0"/>
    <n v="5675"/>
    <n v="0"/>
    <n v="-5675"/>
    <n v="0"/>
    <s v="NATIV AMER STDNT ORG"/>
  </r>
  <r>
    <s v="1213"/>
    <s v="522"/>
    <s v="264"/>
    <s v="2465"/>
    <x v="75"/>
    <s v="TE"/>
    <s v="00"/>
    <m/>
    <m/>
    <x v="13"/>
    <n v="0"/>
    <n v="0"/>
    <n v="0"/>
    <n v="0"/>
    <n v="0"/>
    <s v="NATIV AMER STDNT ORG"/>
  </r>
  <r>
    <s v="1213"/>
    <s v="522"/>
    <s v="264"/>
    <s v="2466"/>
    <x v="76"/>
    <m/>
    <m/>
    <s v="0499"/>
    <s v="9P"/>
    <x v="0"/>
    <n v="0"/>
    <n v="-161.94"/>
    <n v="0"/>
    <n v="161.94"/>
    <n v="0"/>
    <s v="PARANORMAL CLUB"/>
  </r>
  <r>
    <s v="1213"/>
    <s v="522"/>
    <s v="264"/>
    <s v="2466"/>
    <x v="76"/>
    <m/>
    <m/>
    <s v="0782"/>
    <m/>
    <x v="10"/>
    <n v="0"/>
    <n v="-50"/>
    <n v="0"/>
    <n v="50"/>
    <n v="0"/>
    <s v="PARANORMAL CLUB"/>
  </r>
  <r>
    <s v="1213"/>
    <s v="522"/>
    <s v="264"/>
    <s v="2466"/>
    <x v="76"/>
    <s v="E"/>
    <m/>
    <m/>
    <m/>
    <x v="4"/>
    <n v="2000"/>
    <n v="0"/>
    <n v="0"/>
    <n v="2000"/>
    <n v="0"/>
    <s v="PARANORMAL CLUB"/>
  </r>
  <r>
    <s v="1213"/>
    <s v="522"/>
    <s v="264"/>
    <s v="2466"/>
    <x v="76"/>
    <s v="EA"/>
    <s v="00"/>
    <m/>
    <m/>
    <x v="4"/>
    <n v="0"/>
    <n v="861.53"/>
    <n v="0"/>
    <n v="-861.53"/>
    <n v="0"/>
    <s v="PARANORMAL CLUB"/>
  </r>
  <r>
    <s v="1213"/>
    <s v="522"/>
    <s v="264"/>
    <s v="2466"/>
    <x v="76"/>
    <s v="EZ"/>
    <s v="00"/>
    <m/>
    <m/>
    <x v="4"/>
    <n v="0"/>
    <n v="749.26"/>
    <n v="0"/>
    <n v="-749.26"/>
    <n v="0"/>
    <s v="PARANORMAL CLUB"/>
  </r>
  <r>
    <s v="1213"/>
    <s v="522"/>
    <s v="264"/>
    <s v="2467"/>
    <x v="77"/>
    <s v="E"/>
    <m/>
    <m/>
    <m/>
    <x v="4"/>
    <n v="250"/>
    <n v="0"/>
    <n v="0"/>
    <n v="250"/>
    <n v="0"/>
    <s v="EXTREME BOCCE CLUB"/>
  </r>
  <r>
    <s v="1213"/>
    <s v="522"/>
    <s v="264"/>
    <s v="2467"/>
    <x v="77"/>
    <s v="EA"/>
    <s v="00"/>
    <m/>
    <m/>
    <x v="4"/>
    <n v="0"/>
    <n v="65.19"/>
    <n v="0"/>
    <n v="-65.19"/>
    <n v="0"/>
    <s v="EXTREME BOCCE CLUB"/>
  </r>
  <r>
    <s v="1213"/>
    <s v="522"/>
    <s v="264"/>
    <s v="2468"/>
    <x v="78"/>
    <s v="E"/>
    <m/>
    <m/>
    <m/>
    <x v="4"/>
    <n v="250"/>
    <n v="0"/>
    <n v="0"/>
    <n v="250"/>
    <n v="0"/>
    <s v="RESEARCH CLUB"/>
  </r>
  <r>
    <s v="1213"/>
    <s v="522"/>
    <s v="264"/>
    <s v="2469"/>
    <x v="79"/>
    <s v="E"/>
    <m/>
    <m/>
    <m/>
    <x v="4"/>
    <n v="450"/>
    <n v="0"/>
    <n v="0"/>
    <n v="450"/>
    <n v="0"/>
    <s v="MATH CLUB"/>
  </r>
  <r>
    <s v="1213"/>
    <s v="522"/>
    <s v="264"/>
    <s v="2469"/>
    <x v="79"/>
    <s v="EA"/>
    <s v="00"/>
    <m/>
    <m/>
    <x v="4"/>
    <n v="0"/>
    <n v="158.26"/>
    <n v="0"/>
    <n v="-158.26"/>
    <n v="0"/>
    <s v="MATH CLUB"/>
  </r>
  <r>
    <s v="1213"/>
    <s v="522"/>
    <s v="264"/>
    <s v="2469"/>
    <x v="79"/>
    <s v="EZ"/>
    <s v="30"/>
    <m/>
    <m/>
    <x v="4"/>
    <n v="0"/>
    <n v="179.22"/>
    <n v="0"/>
    <n v="-179.22"/>
    <n v="0"/>
    <s v="MATH CLUB"/>
  </r>
  <r>
    <s v="1213"/>
    <s v="522"/>
    <s v="264"/>
    <s v="2473"/>
    <x v="80"/>
    <m/>
    <m/>
    <s v="0782"/>
    <m/>
    <x v="10"/>
    <n v="0"/>
    <n v="0"/>
    <n v="0"/>
    <n v="0"/>
    <n v="0"/>
    <s v="S.A.N.E."/>
  </r>
  <r>
    <s v="1213"/>
    <s v="522"/>
    <s v="264"/>
    <s v="2473"/>
    <x v="80"/>
    <s v="E"/>
    <m/>
    <m/>
    <m/>
    <x v="4"/>
    <n v="4600"/>
    <n v="0"/>
    <n v="0"/>
    <n v="4600"/>
    <n v="0"/>
    <s v="S.A.N.E."/>
  </r>
  <r>
    <s v="1213"/>
    <s v="522"/>
    <s v="264"/>
    <s v="2473"/>
    <x v="80"/>
    <s v="EA"/>
    <s v="00"/>
    <m/>
    <m/>
    <x v="4"/>
    <n v="0"/>
    <n v="2444.21"/>
    <n v="0"/>
    <n v="-2444.21"/>
    <n v="0"/>
    <s v="S.A.N.E."/>
  </r>
  <r>
    <s v="1213"/>
    <s v="522"/>
    <s v="264"/>
    <s v="2473"/>
    <x v="80"/>
    <s v="EG"/>
    <s v="RG"/>
    <m/>
    <m/>
    <x v="4"/>
    <n v="0"/>
    <n v="0"/>
    <n v="0"/>
    <n v="0"/>
    <n v="0"/>
    <s v="S.A.N.E."/>
  </r>
  <r>
    <s v="1213"/>
    <s v="522"/>
    <s v="264"/>
    <s v="2473"/>
    <x v="80"/>
    <s v="EZ"/>
    <s v="00"/>
    <m/>
    <m/>
    <x v="4"/>
    <n v="0"/>
    <n v="808.73"/>
    <n v="0"/>
    <n v="-808.73"/>
    <n v="0"/>
    <s v="S.A.N.E."/>
  </r>
  <r>
    <s v="1213"/>
    <s v="522"/>
    <s v="264"/>
    <s v="2473"/>
    <x v="80"/>
    <s v="EZ"/>
    <s v="30"/>
    <m/>
    <m/>
    <x v="4"/>
    <n v="0"/>
    <n v="176.22"/>
    <n v="0"/>
    <n v="-176.22"/>
    <n v="0"/>
    <s v="S.A.N.E."/>
  </r>
  <r>
    <s v="1213"/>
    <s v="522"/>
    <s v="264"/>
    <s v="2473"/>
    <x v="80"/>
    <s v="G"/>
    <m/>
    <m/>
    <m/>
    <x v="5"/>
    <n v="0"/>
    <n v="0"/>
    <n v="0"/>
    <n v="0"/>
    <n v="0"/>
    <s v="S.A.N.E."/>
  </r>
  <r>
    <s v="1213"/>
    <s v="522"/>
    <s v="264"/>
    <s v="2473"/>
    <x v="80"/>
    <s v="GD"/>
    <s v="00"/>
    <m/>
    <m/>
    <x v="5"/>
    <n v="0"/>
    <n v="0"/>
    <n v="0"/>
    <n v="0"/>
    <n v="0"/>
    <s v="S.A.N.E."/>
  </r>
  <r>
    <s v="1213"/>
    <s v="522"/>
    <s v="264"/>
    <s v="2473"/>
    <x v="80"/>
    <s v="GD"/>
    <s v="10"/>
    <m/>
    <m/>
    <x v="5"/>
    <n v="0"/>
    <n v="0"/>
    <n v="0"/>
    <n v="0"/>
    <n v="0"/>
    <s v="S.A.N.E."/>
  </r>
  <r>
    <s v="1213"/>
    <s v="522"/>
    <s v="264"/>
    <s v="2473"/>
    <x v="80"/>
    <s v="GD"/>
    <s v="70"/>
    <m/>
    <m/>
    <x v="5"/>
    <n v="0"/>
    <n v="0"/>
    <n v="0"/>
    <n v="0"/>
    <n v="0"/>
    <s v="S.A.N.E."/>
  </r>
  <r>
    <s v="1213"/>
    <s v="522"/>
    <s v="264"/>
    <s v="2473"/>
    <x v="80"/>
    <s v="J"/>
    <m/>
    <m/>
    <m/>
    <x v="6"/>
    <n v="0"/>
    <n v="0"/>
    <n v="0"/>
    <n v="0"/>
    <n v="0"/>
    <s v="S.A.N.E."/>
  </r>
  <r>
    <s v="1213"/>
    <s v="522"/>
    <s v="264"/>
    <s v="2473"/>
    <x v="80"/>
    <s v="JA"/>
    <s v="00"/>
    <m/>
    <m/>
    <x v="6"/>
    <n v="0"/>
    <n v="402.05"/>
    <n v="0"/>
    <n v="-402.05"/>
    <n v="0"/>
    <s v="S.A.N.E."/>
  </r>
  <r>
    <s v="1213"/>
    <s v="522"/>
    <s v="264"/>
    <s v="2490"/>
    <x v="81"/>
    <s v="AM"/>
    <s v="01"/>
    <m/>
    <m/>
    <x v="8"/>
    <n v="89109"/>
    <n v="51409.29"/>
    <n v="0"/>
    <n v="37699.71"/>
    <n v="0"/>
    <s v="ASA WORK PROGRAMS"/>
  </r>
  <r>
    <s v="1213"/>
    <s v="522"/>
    <s v="264"/>
    <s v="2490"/>
    <x v="81"/>
    <s v="B"/>
    <m/>
    <m/>
    <m/>
    <x v="9"/>
    <n v="891"/>
    <n v="0"/>
    <n v="0"/>
    <n v="891"/>
    <n v="0"/>
    <s v="ASA WORK PROGRAMS"/>
  </r>
  <r>
    <s v="1213"/>
    <s v="522"/>
    <s v="264"/>
    <s v="2490"/>
    <x v="81"/>
    <s v="BC"/>
    <m/>
    <m/>
    <m/>
    <x v="9"/>
    <n v="0"/>
    <n v="1406.95"/>
    <n v="0"/>
    <n v="-1406.95"/>
    <n v="0"/>
    <s v="ASA WORK PROGRAMS"/>
  </r>
  <r>
    <s v="1213"/>
    <s v="522"/>
    <s v="264"/>
    <s v="2499"/>
    <x v="82"/>
    <m/>
    <m/>
    <s v="0401"/>
    <m/>
    <x v="0"/>
    <n v="0"/>
    <n v="-7803.29"/>
    <n v="0"/>
    <n v="7803.29"/>
    <n v="-2442.7399999999998"/>
    <s v="FEE &amp; INT.REV.ASA"/>
  </r>
  <r>
    <s v="1213"/>
    <s v="522"/>
    <s v="264"/>
    <s v="2499"/>
    <x v="82"/>
    <m/>
    <m/>
    <s v="0424"/>
    <s v="#A"/>
    <x v="0"/>
    <n v="0"/>
    <n v="-1580.03"/>
    <n v="0"/>
    <n v="1580.03"/>
    <n v="0"/>
    <s v="FEE &amp; INT.REV.ASA"/>
  </r>
  <r>
    <s v="1213"/>
    <s v="522"/>
    <s v="264"/>
    <s v="2499"/>
    <x v="82"/>
    <m/>
    <m/>
    <s v="0424"/>
    <s v="#B"/>
    <x v="0"/>
    <n v="0"/>
    <n v="-200.49"/>
    <n v="0"/>
    <n v="200.49"/>
    <n v="0"/>
    <s v="FEE &amp; INT.REV.ASA"/>
  </r>
  <r>
    <s v="1213"/>
    <s v="522"/>
    <s v="264"/>
    <s v="2499"/>
    <x v="82"/>
    <m/>
    <m/>
    <s v="0424"/>
    <s v="#G"/>
    <x v="0"/>
    <n v="0"/>
    <n v="-2932.99"/>
    <n v="0"/>
    <n v="2932.99"/>
    <n v="0"/>
    <s v="FEE &amp; INT.REV.ASA"/>
  </r>
  <r>
    <s v="1213"/>
    <s v="522"/>
    <s v="264"/>
    <s v="2499"/>
    <x v="82"/>
    <m/>
    <m/>
    <s v="0424"/>
    <s v="#P"/>
    <x v="0"/>
    <n v="0"/>
    <n v="-1219.71"/>
    <n v="0"/>
    <n v="1219.71"/>
    <n v="0"/>
    <s v="FEE &amp; INT.REV.ASA"/>
  </r>
  <r>
    <s v="1213"/>
    <s v="522"/>
    <s v="264"/>
    <s v="2499"/>
    <x v="82"/>
    <m/>
    <m/>
    <s v="0424"/>
    <s v="+1"/>
    <x v="0"/>
    <n v="0"/>
    <n v="-259.02999999999997"/>
    <n v="0"/>
    <n v="259.02999999999997"/>
    <n v="0"/>
    <s v="FEE &amp; INT.REV.ASA"/>
  </r>
  <r>
    <s v="1213"/>
    <s v="522"/>
    <s v="264"/>
    <s v="2499"/>
    <x v="82"/>
    <m/>
    <m/>
    <s v="0424"/>
    <s v="+2"/>
    <x v="0"/>
    <n v="0"/>
    <n v="-17.309999999999999"/>
    <n v="0"/>
    <n v="17.309999999999999"/>
    <n v="0"/>
    <s v="FEE &amp; INT.REV.ASA"/>
  </r>
  <r>
    <s v="1213"/>
    <s v="522"/>
    <s v="264"/>
    <s v="2499"/>
    <x v="82"/>
    <m/>
    <m/>
    <s v="0424"/>
    <s v="+A"/>
    <x v="0"/>
    <n v="0"/>
    <n v="-53250.52"/>
    <n v="0"/>
    <n v="53250.52"/>
    <n v="0"/>
    <s v="FEE &amp; INT.REV.ASA"/>
  </r>
  <r>
    <s v="1213"/>
    <s v="522"/>
    <s v="264"/>
    <s v="2499"/>
    <x v="82"/>
    <m/>
    <m/>
    <s v="0424"/>
    <s v="+G"/>
    <x v="0"/>
    <n v="0"/>
    <n v="-94507.99"/>
    <n v="0"/>
    <n v="94507.99"/>
    <n v="0"/>
    <s v="FEE &amp; INT.REV.ASA"/>
  </r>
  <r>
    <s v="1213"/>
    <s v="522"/>
    <s v="264"/>
    <s v="2499"/>
    <x v="82"/>
    <m/>
    <m/>
    <s v="0424"/>
    <s v="+H"/>
    <x v="0"/>
    <n v="0"/>
    <n v="-904.08"/>
    <n v="0"/>
    <n v="904.08"/>
    <n v="0"/>
    <s v="FEE &amp; INT.REV.ASA"/>
  </r>
  <r>
    <s v="1213"/>
    <s v="522"/>
    <s v="264"/>
    <s v="2499"/>
    <x v="82"/>
    <m/>
    <m/>
    <s v="0424"/>
    <s v="+M"/>
    <x v="0"/>
    <n v="0"/>
    <n v="-8772.35"/>
    <n v="0"/>
    <n v="8772.35"/>
    <n v="0"/>
    <s v="FEE &amp; INT.REV.ASA"/>
  </r>
  <r>
    <s v="1213"/>
    <s v="522"/>
    <s v="264"/>
    <s v="2499"/>
    <x v="82"/>
    <m/>
    <m/>
    <s v="0424"/>
    <s v="TN"/>
    <x v="0"/>
    <n v="0"/>
    <n v="-4841.1499999999996"/>
    <n v="0"/>
    <n v="4841.1499999999996"/>
    <n v="0"/>
    <s v="FEE &amp; INT.REV.ASA"/>
  </r>
  <r>
    <s v="1213"/>
    <s v="522"/>
    <s v="264"/>
    <s v="2499"/>
    <x v="82"/>
    <m/>
    <m/>
    <s v="0424"/>
    <s v="TR"/>
    <x v="0"/>
    <n v="0"/>
    <n v="-665712.86"/>
    <n v="0"/>
    <n v="665712.86"/>
    <n v="0"/>
    <s v="FEE &amp; INT.REV.ASA"/>
  </r>
  <r>
    <s v="1213"/>
    <s v="522"/>
    <s v="264"/>
    <s v="2499"/>
    <x v="82"/>
    <m/>
    <m/>
    <s v="0621"/>
    <m/>
    <x v="1"/>
    <n v="0"/>
    <n v="-27000"/>
    <n v="0"/>
    <n v="27000"/>
    <n v="0"/>
    <s v="FEE &amp; INT.REV.AS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8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rowHeaderCaption="Account Title">
  <location ref="A4:E483" firstHeaderRow="0" firstDataRow="1" firstDataCol="1"/>
  <pivotFields count="16">
    <pivotField subtotalTop="0" showAll="0"/>
    <pivotField subtotalTop="0" showAll="0"/>
    <pivotField subtotalTop="0" showAll="0"/>
    <pivotField subtotalTop="0" showAll="0"/>
    <pivotField axis="axisRow" subtotalTop="0" showAll="0" nonAutoSortDefault="1">
      <items count="8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t="default"/>
      </items>
    </pivotField>
    <pivotField subtotalTop="0" showAll="0"/>
    <pivotField subtotalTop="0" showAll="0"/>
    <pivotField subtotalTop="0" showAll="0"/>
    <pivotField subtotalTop="0" showAll="0"/>
    <pivotField axis="axisRow" subtotalTop="0" showAll="0" nonAutoSortDefault="1">
      <items count="15">
        <item x="3"/>
        <item x="0"/>
        <item x="10"/>
        <item x="1"/>
        <item x="2"/>
        <item x="8"/>
        <item x="9"/>
        <item x="12"/>
        <item x="4"/>
        <item x="5"/>
        <item x="6"/>
        <item x="7"/>
        <item x="11"/>
        <item x="13"/>
        <item t="default"/>
      </items>
    </pivotField>
    <pivotField dataField="1" numFmtId="1" subtotalTop="0" showAll="0"/>
    <pivotField dataField="1" numFmtId="2" subtotalTop="0" showAll="0"/>
    <pivotField dataField="1" numFmtId="2" subtotalTop="0" showAll="0"/>
    <pivotField dataField="1" numFmtId="2" subtotalTop="0" showAll="0"/>
    <pivotField numFmtId="2" subtotalTop="0" showAll="0"/>
    <pivotField subtotalTop="0" showAll="0"/>
  </pivotFields>
  <rowFields count="2">
    <field x="4"/>
    <field x="9"/>
  </rowFields>
  <rowItems count="479">
    <i>
      <x/>
    </i>
    <i r="1">
      <x/>
    </i>
    <i r="1">
      <x v="1"/>
    </i>
    <i r="1">
      <x v="3"/>
    </i>
    <i r="1">
      <x v="4"/>
    </i>
    <i r="1">
      <x v="8"/>
    </i>
    <i r="1">
      <x v="9"/>
    </i>
    <i r="1">
      <x v="10"/>
    </i>
    <i r="1">
      <x v="11"/>
    </i>
    <i t="default">
      <x/>
    </i>
    <i>
      <x v="1"/>
    </i>
    <i r="1">
      <x/>
    </i>
    <i t="default">
      <x v="1"/>
    </i>
    <i>
      <x v="2"/>
    </i>
    <i r="1">
      <x v="5"/>
    </i>
    <i r="1">
      <x v="6"/>
    </i>
    <i r="1">
      <x v="8"/>
    </i>
    <i t="default">
      <x v="2"/>
    </i>
    <i>
      <x v="3"/>
    </i>
    <i r="1">
      <x/>
    </i>
    <i r="1">
      <x v="2"/>
    </i>
    <i r="1">
      <x v="8"/>
    </i>
    <i r="1">
      <x v="9"/>
    </i>
    <i t="default">
      <x v="3"/>
    </i>
    <i>
      <x v="4"/>
    </i>
    <i r="1">
      <x v="5"/>
    </i>
    <i r="1">
      <x v="6"/>
    </i>
    <i r="1">
      <x v="8"/>
    </i>
    <i t="default">
      <x v="4"/>
    </i>
    <i>
      <x v="5"/>
    </i>
    <i r="1">
      <x v="5"/>
    </i>
    <i r="1">
      <x v="6"/>
    </i>
    <i r="1">
      <x v="8"/>
    </i>
    <i t="default">
      <x v="5"/>
    </i>
    <i>
      <x v="6"/>
    </i>
    <i r="1">
      <x v="1"/>
    </i>
    <i r="1">
      <x v="8"/>
    </i>
    <i r="1">
      <x v="9"/>
    </i>
    <i r="1">
      <x v="12"/>
    </i>
    <i t="default">
      <x v="6"/>
    </i>
    <i>
      <x v="7"/>
    </i>
    <i r="1">
      <x v="1"/>
    </i>
    <i r="1">
      <x v="4"/>
    </i>
    <i r="1">
      <x v="8"/>
    </i>
    <i r="1">
      <x v="9"/>
    </i>
    <i r="1">
      <x v="10"/>
    </i>
    <i t="default">
      <x v="7"/>
    </i>
    <i>
      <x v="8"/>
    </i>
    <i r="1">
      <x v="1"/>
    </i>
    <i r="1">
      <x v="2"/>
    </i>
    <i r="1">
      <x v="6"/>
    </i>
    <i r="1">
      <x v="8"/>
    </i>
    <i r="1">
      <x v="9"/>
    </i>
    <i r="1">
      <x v="11"/>
    </i>
    <i r="1">
      <x v="12"/>
    </i>
    <i t="default">
      <x v="8"/>
    </i>
    <i>
      <x v="9"/>
    </i>
    <i r="1">
      <x v="9"/>
    </i>
    <i t="default">
      <x v="9"/>
    </i>
    <i>
      <x v="10"/>
    </i>
    <i r="1">
      <x v="8"/>
    </i>
    <i t="default">
      <x v="10"/>
    </i>
    <i>
      <x v="11"/>
    </i>
    <i r="1">
      <x v="1"/>
    </i>
    <i r="1">
      <x v="2"/>
    </i>
    <i r="1">
      <x v="8"/>
    </i>
    <i r="1">
      <x v="9"/>
    </i>
    <i r="1">
      <x v="10"/>
    </i>
    <i t="default">
      <x v="11"/>
    </i>
    <i>
      <x v="12"/>
    </i>
    <i r="1">
      <x v="1"/>
    </i>
    <i r="1">
      <x v="2"/>
    </i>
    <i r="1">
      <x v="8"/>
    </i>
    <i r="1">
      <x v="9"/>
    </i>
    <i t="default">
      <x v="12"/>
    </i>
    <i>
      <x v="13"/>
    </i>
    <i r="1">
      <x v="5"/>
    </i>
    <i r="1">
      <x v="6"/>
    </i>
    <i r="1">
      <x v="8"/>
    </i>
    <i r="1">
      <x v="10"/>
    </i>
    <i r="1">
      <x v="12"/>
    </i>
    <i t="default">
      <x v="13"/>
    </i>
    <i>
      <x v="14"/>
    </i>
    <i r="1">
      <x v="1"/>
    </i>
    <i r="1">
      <x v="2"/>
    </i>
    <i r="1">
      <x v="8"/>
    </i>
    <i r="1">
      <x v="9"/>
    </i>
    <i t="default">
      <x v="14"/>
    </i>
    <i>
      <x v="15"/>
    </i>
    <i r="1">
      <x v="1"/>
    </i>
    <i r="1">
      <x v="2"/>
    </i>
    <i r="1">
      <x v="4"/>
    </i>
    <i r="1">
      <x v="5"/>
    </i>
    <i r="1">
      <x v="6"/>
    </i>
    <i r="1">
      <x v="8"/>
    </i>
    <i r="1">
      <x v="9"/>
    </i>
    <i t="default">
      <x v="15"/>
    </i>
    <i>
      <x v="16"/>
    </i>
    <i r="1">
      <x v="1"/>
    </i>
    <i r="1">
      <x v="2"/>
    </i>
    <i r="1">
      <x v="8"/>
    </i>
    <i r="1">
      <x v="9"/>
    </i>
    <i r="1">
      <x v="12"/>
    </i>
    <i t="default">
      <x v="16"/>
    </i>
    <i>
      <x v="17"/>
    </i>
    <i r="1">
      <x v="1"/>
    </i>
    <i r="1">
      <x v="2"/>
    </i>
    <i r="1">
      <x v="8"/>
    </i>
    <i r="1">
      <x v="9"/>
    </i>
    <i t="default">
      <x v="17"/>
    </i>
    <i>
      <x v="18"/>
    </i>
    <i r="1">
      <x v="1"/>
    </i>
    <i r="1">
      <x v="2"/>
    </i>
    <i r="1">
      <x v="8"/>
    </i>
    <i r="1">
      <x v="9"/>
    </i>
    <i r="1">
      <x v="11"/>
    </i>
    <i r="1">
      <x v="12"/>
    </i>
    <i t="default">
      <x v="18"/>
    </i>
    <i>
      <x v="19"/>
    </i>
    <i r="1">
      <x v="1"/>
    </i>
    <i r="1">
      <x v="6"/>
    </i>
    <i r="1">
      <x v="8"/>
    </i>
    <i r="1">
      <x v="9"/>
    </i>
    <i t="default">
      <x v="19"/>
    </i>
    <i>
      <x v="20"/>
    </i>
    <i r="1">
      <x v="1"/>
    </i>
    <i r="1">
      <x v="2"/>
    </i>
    <i r="1">
      <x v="8"/>
    </i>
    <i r="1">
      <x v="9"/>
    </i>
    <i t="default">
      <x v="20"/>
    </i>
    <i>
      <x v="21"/>
    </i>
    <i r="1">
      <x/>
    </i>
    <i r="1">
      <x v="1"/>
    </i>
    <i r="1">
      <x v="4"/>
    </i>
    <i t="default">
      <x v="21"/>
    </i>
    <i>
      <x v="22"/>
    </i>
    <i r="1">
      <x/>
    </i>
    <i r="1">
      <x v="1"/>
    </i>
    <i r="1">
      <x v="12"/>
    </i>
    <i t="default">
      <x v="22"/>
    </i>
    <i>
      <x v="23"/>
    </i>
    <i r="1">
      <x v="8"/>
    </i>
    <i t="default">
      <x v="23"/>
    </i>
    <i>
      <x v="24"/>
    </i>
    <i r="1">
      <x v="9"/>
    </i>
    <i r="1">
      <x v="12"/>
    </i>
    <i t="default">
      <x v="24"/>
    </i>
    <i>
      <x v="25"/>
    </i>
    <i r="1">
      <x v="1"/>
    </i>
    <i t="default">
      <x v="25"/>
    </i>
    <i>
      <x v="26"/>
    </i>
    <i r="1">
      <x v="8"/>
    </i>
    <i t="default">
      <x v="26"/>
    </i>
    <i>
      <x v="27"/>
    </i>
    <i r="1">
      <x v="1"/>
    </i>
    <i r="1">
      <x v="8"/>
    </i>
    <i t="default">
      <x v="27"/>
    </i>
    <i>
      <x v="28"/>
    </i>
    <i r="1">
      <x v="1"/>
    </i>
    <i r="1">
      <x v="2"/>
    </i>
    <i r="1">
      <x v="8"/>
    </i>
    <i r="1">
      <x v="9"/>
    </i>
    <i t="default">
      <x v="28"/>
    </i>
    <i>
      <x v="29"/>
    </i>
    <i r="1">
      <x v="1"/>
    </i>
    <i r="1">
      <x v="2"/>
    </i>
    <i r="1">
      <x v="8"/>
    </i>
    <i t="default">
      <x v="29"/>
    </i>
    <i>
      <x v="30"/>
    </i>
    <i r="1">
      <x v="5"/>
    </i>
    <i r="1">
      <x v="6"/>
    </i>
    <i r="1">
      <x v="8"/>
    </i>
    <i t="default">
      <x v="30"/>
    </i>
    <i>
      <x v="3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8"/>
    </i>
    <i r="1">
      <x v="9"/>
    </i>
    <i r="1">
      <x v="10"/>
    </i>
    <i r="1">
      <x v="11"/>
    </i>
    <i r="1">
      <x v="12"/>
    </i>
    <i t="default">
      <x v="31"/>
    </i>
    <i>
      <x v="32"/>
    </i>
    <i r="1">
      <x v="2"/>
    </i>
    <i r="1">
      <x v="5"/>
    </i>
    <i r="1">
      <x v="6"/>
    </i>
    <i r="1">
      <x v="8"/>
    </i>
    <i r="1">
      <x v="9"/>
    </i>
    <i r="1">
      <x v="10"/>
    </i>
    <i r="1">
      <x v="12"/>
    </i>
    <i t="default">
      <x v="32"/>
    </i>
    <i>
      <x v="33"/>
    </i>
    <i r="1">
      <x v="5"/>
    </i>
    <i r="1">
      <x v="6"/>
    </i>
    <i r="1">
      <x v="8"/>
    </i>
    <i t="default">
      <x v="33"/>
    </i>
    <i>
      <x v="34"/>
    </i>
    <i r="1">
      <x v="6"/>
    </i>
    <i r="1">
      <x v="8"/>
    </i>
    <i r="1">
      <x v="9"/>
    </i>
    <i r="1">
      <x v="12"/>
    </i>
    <i t="default">
      <x v="34"/>
    </i>
    <i>
      <x v="35"/>
    </i>
    <i r="1">
      <x v="1"/>
    </i>
    <i r="1">
      <x v="8"/>
    </i>
    <i t="default">
      <x v="35"/>
    </i>
    <i>
      <x v="36"/>
    </i>
    <i r="1">
      <x v="1"/>
    </i>
    <i r="1">
      <x v="5"/>
    </i>
    <i r="1">
      <x v="6"/>
    </i>
    <i r="1">
      <x v="8"/>
    </i>
    <i r="1">
      <x v="9"/>
    </i>
    <i r="1">
      <x v="11"/>
    </i>
    <i r="1">
      <x v="12"/>
    </i>
    <i t="default">
      <x v="36"/>
    </i>
    <i>
      <x v="37"/>
    </i>
    <i r="1">
      <x v="1"/>
    </i>
    <i r="1">
      <x v="2"/>
    </i>
    <i r="1">
      <x v="8"/>
    </i>
    <i r="1">
      <x v="9"/>
    </i>
    <i r="1">
      <x v="12"/>
    </i>
    <i t="default">
      <x v="37"/>
    </i>
    <i>
      <x v="38"/>
    </i>
    <i r="1">
      <x v="8"/>
    </i>
    <i t="default">
      <x v="38"/>
    </i>
    <i>
      <x v="39"/>
    </i>
    <i r="1">
      <x v="8"/>
    </i>
    <i t="default">
      <x v="39"/>
    </i>
    <i>
      <x v="40"/>
    </i>
    <i r="1">
      <x v="8"/>
    </i>
    <i r="1">
      <x v="9"/>
    </i>
    <i t="default">
      <x v="40"/>
    </i>
    <i>
      <x v="41"/>
    </i>
    <i r="1">
      <x v="1"/>
    </i>
    <i r="1">
      <x v="2"/>
    </i>
    <i r="1">
      <x v="5"/>
    </i>
    <i r="1">
      <x v="6"/>
    </i>
    <i r="1">
      <x v="8"/>
    </i>
    <i r="1">
      <x v="9"/>
    </i>
    <i r="1">
      <x v="12"/>
    </i>
    <i t="default">
      <x v="41"/>
    </i>
    <i>
      <x v="42"/>
    </i>
    <i r="1">
      <x v="1"/>
    </i>
    <i r="1">
      <x v="2"/>
    </i>
    <i r="1">
      <x v="4"/>
    </i>
    <i r="1">
      <x v="8"/>
    </i>
    <i r="1">
      <x v="12"/>
    </i>
    <i t="default">
      <x v="42"/>
    </i>
    <i>
      <x v="43"/>
    </i>
    <i r="1">
      <x v="1"/>
    </i>
    <i r="1">
      <x v="2"/>
    </i>
    <i r="1">
      <x v="4"/>
    </i>
    <i r="1">
      <x v="8"/>
    </i>
    <i r="1">
      <x v="10"/>
    </i>
    <i t="default">
      <x v="43"/>
    </i>
    <i>
      <x v="44"/>
    </i>
    <i r="1">
      <x v="5"/>
    </i>
    <i r="1">
      <x v="6"/>
    </i>
    <i t="default">
      <x v="44"/>
    </i>
    <i>
      <x v="45"/>
    </i>
    <i r="1">
      <x v="1"/>
    </i>
    <i r="1">
      <x v="8"/>
    </i>
    <i r="1">
      <x v="9"/>
    </i>
    <i r="1">
      <x v="12"/>
    </i>
    <i t="default">
      <x v="45"/>
    </i>
    <i>
      <x v="46"/>
    </i>
    <i r="1">
      <x v="1"/>
    </i>
    <i r="1">
      <x v="8"/>
    </i>
    <i r="1">
      <x v="9"/>
    </i>
    <i t="default">
      <x v="46"/>
    </i>
    <i>
      <x v="47"/>
    </i>
    <i r="1">
      <x v="1"/>
    </i>
    <i r="1">
      <x v="2"/>
    </i>
    <i r="1">
      <x v="3"/>
    </i>
    <i r="1">
      <x v="4"/>
    </i>
    <i r="1">
      <x v="8"/>
    </i>
    <i r="1">
      <x v="9"/>
    </i>
    <i r="1">
      <x v="10"/>
    </i>
    <i t="default">
      <x v="47"/>
    </i>
    <i>
      <x v="48"/>
    </i>
    <i r="1">
      <x v="1"/>
    </i>
    <i r="1">
      <x v="8"/>
    </i>
    <i r="1">
      <x v="9"/>
    </i>
    <i r="1">
      <x v="10"/>
    </i>
    <i r="1">
      <x v="11"/>
    </i>
    <i r="1">
      <x v="12"/>
    </i>
    <i t="default">
      <x v="48"/>
    </i>
    <i>
      <x v="49"/>
    </i>
    <i r="1">
      <x v="8"/>
    </i>
    <i t="default">
      <x v="49"/>
    </i>
    <i>
      <x v="50"/>
    </i>
    <i r="1">
      <x v="1"/>
    </i>
    <i r="1">
      <x v="2"/>
    </i>
    <i r="1">
      <x v="7"/>
    </i>
    <i r="1">
      <x v="8"/>
    </i>
    <i r="1">
      <x v="12"/>
    </i>
    <i t="default">
      <x v="50"/>
    </i>
    <i>
      <x v="51"/>
    </i>
    <i r="1">
      <x v="1"/>
    </i>
    <i r="1">
      <x v="2"/>
    </i>
    <i r="1">
      <x v="8"/>
    </i>
    <i r="1">
      <x v="9"/>
    </i>
    <i r="1">
      <x v="12"/>
    </i>
    <i t="default">
      <x v="51"/>
    </i>
    <i>
      <x v="52"/>
    </i>
    <i r="1">
      <x v="8"/>
    </i>
    <i r="1">
      <x v="9"/>
    </i>
    <i t="default">
      <x v="52"/>
    </i>
    <i>
      <x v="53"/>
    </i>
    <i r="1">
      <x v="1"/>
    </i>
    <i r="1">
      <x v="2"/>
    </i>
    <i r="1">
      <x v="4"/>
    </i>
    <i r="1">
      <x v="8"/>
    </i>
    <i r="1">
      <x v="9"/>
    </i>
    <i r="1">
      <x v="10"/>
    </i>
    <i r="1">
      <x v="12"/>
    </i>
    <i t="default">
      <x v="53"/>
    </i>
    <i>
      <x v="54"/>
    </i>
    <i r="1">
      <x v="1"/>
    </i>
    <i r="1">
      <x v="2"/>
    </i>
    <i r="1">
      <x v="4"/>
    </i>
    <i r="1">
      <x v="8"/>
    </i>
    <i r="1">
      <x v="9"/>
    </i>
    <i r="1">
      <x v="12"/>
    </i>
    <i t="default">
      <x v="54"/>
    </i>
    <i>
      <x v="55"/>
    </i>
    <i r="1">
      <x v="1"/>
    </i>
    <i r="1">
      <x v="2"/>
    </i>
    <i r="1">
      <x v="8"/>
    </i>
    <i r="1">
      <x v="9"/>
    </i>
    <i r="1">
      <x v="10"/>
    </i>
    <i r="1">
      <x v="12"/>
    </i>
    <i t="default">
      <x v="55"/>
    </i>
    <i>
      <x v="56"/>
    </i>
    <i r="1">
      <x v="1"/>
    </i>
    <i r="1">
      <x v="2"/>
    </i>
    <i r="1">
      <x v="8"/>
    </i>
    <i r="1">
      <x v="9"/>
    </i>
    <i r="1">
      <x v="12"/>
    </i>
    <i t="default">
      <x v="56"/>
    </i>
    <i>
      <x v="57"/>
    </i>
    <i r="1">
      <x v="1"/>
    </i>
    <i r="1">
      <x v="2"/>
    </i>
    <i r="1">
      <x v="8"/>
    </i>
    <i r="1">
      <x v="9"/>
    </i>
    <i t="default">
      <x v="57"/>
    </i>
    <i>
      <x v="58"/>
    </i>
    <i r="1">
      <x v="8"/>
    </i>
    <i t="default">
      <x v="58"/>
    </i>
    <i>
      <x v="59"/>
    </i>
    <i r="1">
      <x v="1"/>
    </i>
    <i r="1">
      <x v="2"/>
    </i>
    <i r="1">
      <x v="8"/>
    </i>
    <i r="1">
      <x v="9"/>
    </i>
    <i r="1">
      <x v="10"/>
    </i>
    <i t="default">
      <x v="59"/>
    </i>
    <i>
      <x v="60"/>
    </i>
    <i r="1">
      <x v="1"/>
    </i>
    <i r="1">
      <x v="2"/>
    </i>
    <i r="1">
      <x v="8"/>
    </i>
    <i t="default">
      <x v="60"/>
    </i>
    <i>
      <x v="61"/>
    </i>
    <i r="1">
      <x v="1"/>
    </i>
    <i r="1">
      <x v="8"/>
    </i>
    <i r="1">
      <x v="10"/>
    </i>
    <i t="default">
      <x v="61"/>
    </i>
    <i>
      <x v="62"/>
    </i>
    <i r="1">
      <x v="1"/>
    </i>
    <i r="1">
      <x v="2"/>
    </i>
    <i r="1">
      <x v="4"/>
    </i>
    <i r="1">
      <x v="8"/>
    </i>
    <i r="1">
      <x v="9"/>
    </i>
    <i r="1">
      <x v="12"/>
    </i>
    <i t="default">
      <x v="62"/>
    </i>
    <i>
      <x v="63"/>
    </i>
    <i r="1">
      <x v="2"/>
    </i>
    <i r="1">
      <x v="8"/>
    </i>
    <i r="1">
      <x v="9"/>
    </i>
    <i t="default">
      <x v="63"/>
    </i>
    <i>
      <x v="64"/>
    </i>
    <i r="1">
      <x v="2"/>
    </i>
    <i t="default">
      <x v="64"/>
    </i>
    <i>
      <x v="65"/>
    </i>
    <i r="1">
      <x v="8"/>
    </i>
    <i t="default">
      <x v="65"/>
    </i>
    <i>
      <x v="66"/>
    </i>
    <i r="1">
      <x v="1"/>
    </i>
    <i r="1">
      <x v="2"/>
    </i>
    <i r="1">
      <x v="6"/>
    </i>
    <i r="1">
      <x v="8"/>
    </i>
    <i r="1">
      <x v="9"/>
    </i>
    <i r="1">
      <x v="12"/>
    </i>
    <i t="default">
      <x v="66"/>
    </i>
    <i>
      <x v="67"/>
    </i>
    <i r="1">
      <x v="1"/>
    </i>
    <i r="1">
      <x v="2"/>
    </i>
    <i r="1">
      <x v="8"/>
    </i>
    <i r="1">
      <x v="9"/>
    </i>
    <i t="default">
      <x v="67"/>
    </i>
    <i>
      <x v="68"/>
    </i>
    <i r="1">
      <x v="8"/>
    </i>
    <i r="1">
      <x v="9"/>
    </i>
    <i r="1">
      <x v="12"/>
    </i>
    <i t="default">
      <x v="68"/>
    </i>
    <i>
      <x v="69"/>
    </i>
    <i r="1">
      <x v="1"/>
    </i>
    <i r="1">
      <x v="2"/>
    </i>
    <i r="1">
      <x v="8"/>
    </i>
    <i r="1">
      <x v="9"/>
    </i>
    <i r="1">
      <x v="12"/>
    </i>
    <i t="default">
      <x v="69"/>
    </i>
    <i>
      <x v="70"/>
    </i>
    <i r="1">
      <x v="2"/>
    </i>
    <i r="1">
      <x v="8"/>
    </i>
    <i t="default">
      <x v="70"/>
    </i>
    <i>
      <x v="71"/>
    </i>
    <i r="1">
      <x v="1"/>
    </i>
    <i r="1">
      <x v="8"/>
    </i>
    <i r="1">
      <x v="9"/>
    </i>
    <i r="1">
      <x v="12"/>
    </i>
    <i t="default">
      <x v="71"/>
    </i>
    <i>
      <x v="72"/>
    </i>
    <i r="1">
      <x v="1"/>
    </i>
    <i r="1">
      <x v="2"/>
    </i>
    <i r="1">
      <x v="8"/>
    </i>
    <i r="1">
      <x v="9"/>
    </i>
    <i t="default">
      <x v="72"/>
    </i>
    <i>
      <x v="73"/>
    </i>
    <i r="1">
      <x v="1"/>
    </i>
    <i r="1">
      <x v="8"/>
    </i>
    <i r="1">
      <x v="9"/>
    </i>
    <i r="1">
      <x v="12"/>
    </i>
    <i t="default">
      <x v="73"/>
    </i>
    <i>
      <x v="74"/>
    </i>
    <i r="1">
      <x v="8"/>
    </i>
    <i t="default">
      <x v="74"/>
    </i>
    <i>
      <x v="75"/>
    </i>
    <i r="1">
      <x v="1"/>
    </i>
    <i r="1">
      <x v="2"/>
    </i>
    <i r="1">
      <x v="8"/>
    </i>
    <i r="1">
      <x v="9"/>
    </i>
    <i r="1">
      <x v="10"/>
    </i>
    <i r="1">
      <x v="12"/>
    </i>
    <i r="1">
      <x v="13"/>
    </i>
    <i t="default">
      <x v="75"/>
    </i>
    <i>
      <x v="76"/>
    </i>
    <i r="1">
      <x v="1"/>
    </i>
    <i r="1">
      <x v="2"/>
    </i>
    <i r="1">
      <x v="8"/>
    </i>
    <i t="default">
      <x v="76"/>
    </i>
    <i>
      <x v="77"/>
    </i>
    <i r="1">
      <x v="8"/>
    </i>
    <i t="default">
      <x v="77"/>
    </i>
    <i>
      <x v="78"/>
    </i>
    <i r="1">
      <x v="8"/>
    </i>
    <i t="default">
      <x v="78"/>
    </i>
    <i>
      <x v="79"/>
    </i>
    <i r="1">
      <x v="8"/>
    </i>
    <i t="default">
      <x v="79"/>
    </i>
    <i>
      <x v="80"/>
    </i>
    <i r="1">
      <x v="2"/>
    </i>
    <i r="1">
      <x v="8"/>
    </i>
    <i r="1">
      <x v="9"/>
    </i>
    <i r="1">
      <x v="10"/>
    </i>
    <i t="default">
      <x v="80"/>
    </i>
    <i>
      <x v="81"/>
    </i>
    <i r="1">
      <x v="5"/>
    </i>
    <i r="1">
      <x v="6"/>
    </i>
    <i t="default">
      <x v="81"/>
    </i>
    <i>
      <x v="82"/>
    </i>
    <i r="1">
      <x v="1"/>
    </i>
    <i r="1">
      <x v="3"/>
    </i>
    <i t="default">
      <x v="8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 Budget" fld="10" baseField="9" baseItem="10" numFmtId="41"/>
    <dataField name="(Rev)/Exp" fld="11" baseField="9" baseItem="10" numFmtId="43"/>
    <dataField name=" Encumbered" fld="12" baseField="4" baseItem="4" numFmtId="43"/>
    <dataField name=" Balance" fld="13" baseField="4" baseItem="4" numFmtId="43"/>
  </dataFields>
  <formats count="5">
    <format dxfId="4">
      <pivotArea field="4" type="button" dataOnly="0" labelOnly="1" outline="0" axis="axisRow" fieldPosition="0"/>
    </format>
    <format dxfId="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">
      <pivotArea outline="0" fieldPosition="0">
        <references count="1">
          <reference field="4294967294" count="1">
            <x v="2"/>
          </reference>
        </references>
      </pivotArea>
    </format>
    <format dxfId="1">
      <pivotArea outline="0" fieldPosition="0">
        <references count="1">
          <reference field="4294967294" count="1">
            <x v="3"/>
          </reference>
        </references>
      </pivotArea>
    </format>
    <format dxfId="0">
      <pivotArea dataOnly="0" labelOnly="1" outline="0" fieldPosition="0">
        <references count="1">
          <reference field="4294967294" count="2">
            <x v="2"/>
            <x v="3"/>
          </reference>
        </references>
      </pivotArea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83"/>
  <sheetViews>
    <sheetView tabSelected="1" zoomScaleNormal="100" workbookViewId="0">
      <selection activeCell="F94" sqref="F94"/>
    </sheetView>
  </sheetViews>
  <sheetFormatPr defaultRowHeight="15"/>
  <cols>
    <col min="1" max="1" width="35.28515625" customWidth="1"/>
    <col min="2" max="2" width="9" customWidth="1"/>
    <col min="3" max="3" width="14" customWidth="1"/>
    <col min="4" max="4" width="12.5703125" customWidth="1"/>
    <col min="5" max="5" width="13.28515625" customWidth="1"/>
  </cols>
  <sheetData>
    <row r="1" spans="1:5" s="1" customFormat="1" ht="23.25">
      <c r="A1" s="14" t="s">
        <v>506</v>
      </c>
      <c r="B1" s="14"/>
      <c r="C1" s="14"/>
      <c r="D1" s="14"/>
      <c r="E1" s="14"/>
    </row>
    <row r="2" spans="1:5" ht="18.75">
      <c r="A2" s="15" t="s">
        <v>507</v>
      </c>
      <c r="B2" s="15"/>
      <c r="C2" s="15"/>
      <c r="D2" s="15"/>
      <c r="E2" s="15"/>
    </row>
    <row r="4" spans="1:5">
      <c r="A4" s="11" t="s">
        <v>416</v>
      </c>
      <c r="B4" s="12" t="s">
        <v>419</v>
      </c>
      <c r="C4" s="12" t="s">
        <v>503</v>
      </c>
      <c r="D4" s="12" t="s">
        <v>504</v>
      </c>
      <c r="E4" s="12" t="s">
        <v>505</v>
      </c>
    </row>
    <row r="5" spans="1:5">
      <c r="A5" s="8" t="s">
        <v>402</v>
      </c>
      <c r="B5" s="13"/>
      <c r="C5" s="10"/>
      <c r="D5" s="10"/>
      <c r="E5" s="10"/>
    </row>
    <row r="6" spans="1:5">
      <c r="A6" s="9" t="s">
        <v>271</v>
      </c>
      <c r="B6" s="13">
        <v>0</v>
      </c>
      <c r="C6" s="10">
        <v>-652524.89</v>
      </c>
      <c r="D6" s="10">
        <v>0</v>
      </c>
      <c r="E6" s="10">
        <v>652524.89</v>
      </c>
    </row>
    <row r="7" spans="1:5">
      <c r="A7" s="9" t="s">
        <v>363</v>
      </c>
      <c r="B7" s="13">
        <v>0</v>
      </c>
      <c r="C7" s="10">
        <v>-304696.93</v>
      </c>
      <c r="D7" s="10">
        <v>0</v>
      </c>
      <c r="E7" s="10">
        <v>304696.93</v>
      </c>
    </row>
    <row r="8" spans="1:5">
      <c r="A8" s="9" t="s">
        <v>290</v>
      </c>
      <c r="B8" s="13">
        <v>0</v>
      </c>
      <c r="C8" s="10">
        <v>0</v>
      </c>
      <c r="D8" s="10">
        <v>0</v>
      </c>
      <c r="E8" s="10">
        <v>0</v>
      </c>
    </row>
    <row r="9" spans="1:5">
      <c r="A9" s="9" t="s">
        <v>291</v>
      </c>
      <c r="B9" s="13">
        <v>0</v>
      </c>
      <c r="C9" s="10">
        <v>0</v>
      </c>
      <c r="D9" s="10">
        <v>0</v>
      </c>
      <c r="E9" s="10">
        <v>0</v>
      </c>
    </row>
    <row r="10" spans="1:5">
      <c r="A10" s="9" t="s">
        <v>284</v>
      </c>
      <c r="B10" s="13">
        <v>0</v>
      </c>
      <c r="C10" s="10">
        <v>2787.91</v>
      </c>
      <c r="D10" s="10">
        <v>0</v>
      </c>
      <c r="E10" s="10">
        <v>-2787.91</v>
      </c>
    </row>
    <row r="11" spans="1:5">
      <c r="A11" s="9" t="s">
        <v>285</v>
      </c>
      <c r="B11" s="13">
        <v>0</v>
      </c>
      <c r="C11" s="10">
        <v>0</v>
      </c>
      <c r="D11" s="10">
        <v>0</v>
      </c>
      <c r="E11" s="10">
        <v>0</v>
      </c>
    </row>
    <row r="12" spans="1:5">
      <c r="A12" s="9" t="s">
        <v>286</v>
      </c>
      <c r="B12" s="13">
        <v>0</v>
      </c>
      <c r="C12" s="10">
        <v>0</v>
      </c>
      <c r="D12" s="10">
        <v>0</v>
      </c>
      <c r="E12" s="10">
        <v>0</v>
      </c>
    </row>
    <row r="13" spans="1:5">
      <c r="A13" s="9" t="s">
        <v>287</v>
      </c>
      <c r="B13" s="13">
        <v>0</v>
      </c>
      <c r="C13" s="10">
        <v>0</v>
      </c>
      <c r="D13" s="10">
        <v>0</v>
      </c>
      <c r="E13" s="10">
        <v>0</v>
      </c>
    </row>
    <row r="14" spans="1:5">
      <c r="A14" s="8" t="s">
        <v>420</v>
      </c>
      <c r="B14" s="13">
        <v>0</v>
      </c>
      <c r="C14" s="10">
        <v>-954433.91</v>
      </c>
      <c r="D14" s="10">
        <v>0</v>
      </c>
      <c r="E14" s="10">
        <v>954433.91</v>
      </c>
    </row>
    <row r="15" spans="1:5">
      <c r="A15" s="8" t="s">
        <v>293</v>
      </c>
      <c r="B15" s="13"/>
      <c r="C15" s="10"/>
      <c r="D15" s="10"/>
      <c r="E15" s="10"/>
    </row>
    <row r="16" spans="1:5">
      <c r="A16" s="9" t="s">
        <v>271</v>
      </c>
      <c r="B16" s="13">
        <v>0</v>
      </c>
      <c r="C16" s="10">
        <v>-3339.12</v>
      </c>
      <c r="D16" s="10">
        <v>0</v>
      </c>
      <c r="E16" s="10">
        <v>3339.12</v>
      </c>
    </row>
    <row r="17" spans="1:5">
      <c r="A17" s="8" t="s">
        <v>421</v>
      </c>
      <c r="B17" s="13">
        <v>0</v>
      </c>
      <c r="C17" s="10">
        <v>-3339.12</v>
      </c>
      <c r="D17" s="10">
        <v>0</v>
      </c>
      <c r="E17" s="10">
        <v>3339.12</v>
      </c>
    </row>
    <row r="18" spans="1:5">
      <c r="A18" s="8" t="s">
        <v>294</v>
      </c>
      <c r="B18" s="13"/>
      <c r="C18" s="10"/>
      <c r="D18" s="10"/>
      <c r="E18" s="10"/>
    </row>
    <row r="19" spans="1:5">
      <c r="A19" s="9" t="s">
        <v>281</v>
      </c>
      <c r="B19" s="13">
        <v>48333</v>
      </c>
      <c r="C19" s="10">
        <v>48353.89</v>
      </c>
      <c r="D19" s="10">
        <v>0</v>
      </c>
      <c r="E19" s="10">
        <v>-20.889999999999986</v>
      </c>
    </row>
    <row r="20" spans="1:5">
      <c r="A20" s="9" t="s">
        <v>282</v>
      </c>
      <c r="B20" s="13">
        <v>9667</v>
      </c>
      <c r="C20" s="10">
        <v>8351.01</v>
      </c>
      <c r="D20" s="10">
        <v>0</v>
      </c>
      <c r="E20" s="10">
        <v>1315.9900000000007</v>
      </c>
    </row>
    <row r="21" spans="1:5">
      <c r="A21" s="9" t="s">
        <v>284</v>
      </c>
      <c r="B21" s="13">
        <v>0</v>
      </c>
      <c r="C21" s="10">
        <v>884.55000000000007</v>
      </c>
      <c r="D21" s="10">
        <v>0</v>
      </c>
      <c r="E21" s="10">
        <v>-884.55000000000007</v>
      </c>
    </row>
    <row r="22" spans="1:5">
      <c r="A22" s="8" t="s">
        <v>422</v>
      </c>
      <c r="B22" s="13">
        <v>58000</v>
      </c>
      <c r="C22" s="10">
        <v>57589.450000000004</v>
      </c>
      <c r="D22" s="10">
        <v>0</v>
      </c>
      <c r="E22" s="10">
        <v>410.55000000000075</v>
      </c>
    </row>
    <row r="23" spans="1:5">
      <c r="A23" s="8" t="s">
        <v>295</v>
      </c>
      <c r="B23" s="13"/>
      <c r="C23" s="10"/>
      <c r="D23" s="10"/>
      <c r="E23" s="10"/>
    </row>
    <row r="24" spans="1:5">
      <c r="A24" s="9" t="s">
        <v>271</v>
      </c>
      <c r="B24" s="13">
        <v>0</v>
      </c>
      <c r="C24" s="10">
        <v>179090.33</v>
      </c>
      <c r="D24" s="10">
        <v>0</v>
      </c>
      <c r="E24" s="10">
        <v>-179090.33</v>
      </c>
    </row>
    <row r="25" spans="1:5">
      <c r="A25" s="9" t="s">
        <v>292</v>
      </c>
      <c r="B25" s="13">
        <v>0</v>
      </c>
      <c r="C25" s="10">
        <v>-384041.9</v>
      </c>
      <c r="D25" s="10">
        <v>0</v>
      </c>
      <c r="E25" s="10">
        <v>384041.9</v>
      </c>
    </row>
    <row r="26" spans="1:5">
      <c r="A26" s="9" t="s">
        <v>284</v>
      </c>
      <c r="B26" s="13">
        <v>13893</v>
      </c>
      <c r="C26" s="10">
        <v>5901.6</v>
      </c>
      <c r="D26" s="10">
        <v>0</v>
      </c>
      <c r="E26" s="10">
        <v>7991.4</v>
      </c>
    </row>
    <row r="27" spans="1:5">
      <c r="A27" s="9" t="s">
        <v>285</v>
      </c>
      <c r="B27" s="13">
        <v>0</v>
      </c>
      <c r="C27" s="10">
        <v>148.54</v>
      </c>
      <c r="D27" s="10">
        <v>0</v>
      </c>
      <c r="E27" s="10">
        <v>-148.54</v>
      </c>
    </row>
    <row r="28" spans="1:5">
      <c r="A28" s="8" t="s">
        <v>423</v>
      </c>
      <c r="B28" s="13">
        <v>13893</v>
      </c>
      <c r="C28" s="10">
        <v>-198901.43000000002</v>
      </c>
      <c r="D28" s="10">
        <v>0</v>
      </c>
      <c r="E28" s="10">
        <v>212794.43000000002</v>
      </c>
    </row>
    <row r="29" spans="1:5">
      <c r="A29" s="8" t="s">
        <v>296</v>
      </c>
      <c r="B29" s="13"/>
      <c r="C29" s="10"/>
      <c r="D29" s="10"/>
      <c r="E29" s="10"/>
    </row>
    <row r="30" spans="1:5">
      <c r="A30" s="9" t="s">
        <v>281</v>
      </c>
      <c r="B30" s="13">
        <v>0</v>
      </c>
      <c r="C30" s="10">
        <v>0</v>
      </c>
      <c r="D30" s="10">
        <v>0</v>
      </c>
      <c r="E30" s="10">
        <v>0</v>
      </c>
    </row>
    <row r="31" spans="1:5">
      <c r="A31" s="9" t="s">
        <v>282</v>
      </c>
      <c r="B31" s="13">
        <v>0</v>
      </c>
      <c r="C31" s="10">
        <v>-0.09</v>
      </c>
      <c r="D31" s="10">
        <v>0</v>
      </c>
      <c r="E31" s="10">
        <v>0.09</v>
      </c>
    </row>
    <row r="32" spans="1:5">
      <c r="A32" s="9" t="s">
        <v>284</v>
      </c>
      <c r="B32" s="13">
        <v>0</v>
      </c>
      <c r="C32" s="10">
        <v>0</v>
      </c>
      <c r="D32" s="10">
        <v>0</v>
      </c>
      <c r="E32" s="10">
        <v>0</v>
      </c>
    </row>
    <row r="33" spans="1:5">
      <c r="A33" s="8" t="s">
        <v>424</v>
      </c>
      <c r="B33" s="13">
        <v>0</v>
      </c>
      <c r="C33" s="10">
        <v>-0.09</v>
      </c>
      <c r="D33" s="10">
        <v>0</v>
      </c>
      <c r="E33" s="10">
        <v>0.09</v>
      </c>
    </row>
    <row r="34" spans="1:5">
      <c r="A34" s="8" t="s">
        <v>297</v>
      </c>
      <c r="B34" s="13"/>
      <c r="C34" s="10"/>
      <c r="D34" s="10"/>
      <c r="E34" s="10"/>
    </row>
    <row r="35" spans="1:5">
      <c r="A35" s="9" t="s">
        <v>281</v>
      </c>
      <c r="B35" s="13">
        <v>909</v>
      </c>
      <c r="C35" s="10">
        <v>636.23</v>
      </c>
      <c r="D35" s="10">
        <v>0</v>
      </c>
      <c r="E35" s="10">
        <v>272.77</v>
      </c>
    </row>
    <row r="36" spans="1:5">
      <c r="A36" s="9" t="s">
        <v>282</v>
      </c>
      <c r="B36" s="13">
        <v>91</v>
      </c>
      <c r="C36" s="10">
        <v>71.569999999999993</v>
      </c>
      <c r="D36" s="10">
        <v>0</v>
      </c>
      <c r="E36" s="10">
        <v>19.43</v>
      </c>
    </row>
    <row r="37" spans="1:5">
      <c r="A37" s="9" t="s">
        <v>284</v>
      </c>
      <c r="B37" s="13">
        <v>0</v>
      </c>
      <c r="C37" s="10">
        <v>0</v>
      </c>
      <c r="D37" s="10">
        <v>0</v>
      </c>
      <c r="E37" s="10">
        <v>0</v>
      </c>
    </row>
    <row r="38" spans="1:5">
      <c r="A38" s="8" t="s">
        <v>425</v>
      </c>
      <c r="B38" s="13">
        <v>1000</v>
      </c>
      <c r="C38" s="10">
        <v>707.8</v>
      </c>
      <c r="D38" s="10">
        <v>0</v>
      </c>
      <c r="E38" s="10">
        <v>292.2</v>
      </c>
    </row>
    <row r="39" spans="1:5">
      <c r="A39" s="8" t="s">
        <v>403</v>
      </c>
      <c r="B39" s="13"/>
      <c r="C39" s="10"/>
      <c r="D39" s="10"/>
      <c r="E39" s="10"/>
    </row>
    <row r="40" spans="1:5">
      <c r="A40" s="9" t="s">
        <v>363</v>
      </c>
      <c r="B40" s="13">
        <v>0</v>
      </c>
      <c r="C40" s="10">
        <v>0</v>
      </c>
      <c r="D40" s="10">
        <v>0</v>
      </c>
      <c r="E40" s="10">
        <v>0</v>
      </c>
    </row>
    <row r="41" spans="1:5">
      <c r="A41" s="9" t="s">
        <v>284</v>
      </c>
      <c r="B41" s="13">
        <v>2060</v>
      </c>
      <c r="C41" s="10">
        <v>0</v>
      </c>
      <c r="D41" s="10">
        <v>0</v>
      </c>
      <c r="E41" s="10">
        <v>2060</v>
      </c>
    </row>
    <row r="42" spans="1:5">
      <c r="A42" s="9" t="s">
        <v>285</v>
      </c>
      <c r="B42" s="13">
        <v>0</v>
      </c>
      <c r="C42" s="10">
        <v>0</v>
      </c>
      <c r="D42" s="10">
        <v>0</v>
      </c>
      <c r="E42" s="10">
        <v>0</v>
      </c>
    </row>
    <row r="43" spans="1:5">
      <c r="A43" s="9" t="s">
        <v>288</v>
      </c>
      <c r="B43" s="13">
        <v>0</v>
      </c>
      <c r="C43" s="10">
        <v>0</v>
      </c>
      <c r="D43" s="10">
        <v>0</v>
      </c>
      <c r="E43" s="10">
        <v>0</v>
      </c>
    </row>
    <row r="44" spans="1:5">
      <c r="A44" s="8" t="s">
        <v>426</v>
      </c>
      <c r="B44" s="13">
        <v>2060</v>
      </c>
      <c r="C44" s="10">
        <v>0</v>
      </c>
      <c r="D44" s="10">
        <v>0</v>
      </c>
      <c r="E44" s="10">
        <v>2060</v>
      </c>
    </row>
    <row r="45" spans="1:5">
      <c r="A45" s="8" t="s">
        <v>298</v>
      </c>
      <c r="B45" s="13"/>
      <c r="C45" s="10"/>
      <c r="D45" s="10"/>
      <c r="E45" s="10"/>
    </row>
    <row r="46" spans="1:5">
      <c r="A46" s="9" t="s">
        <v>363</v>
      </c>
      <c r="B46" s="13">
        <v>0</v>
      </c>
      <c r="C46" s="10">
        <v>-73.5</v>
      </c>
      <c r="D46" s="10">
        <v>0</v>
      </c>
      <c r="E46" s="10">
        <v>73.5</v>
      </c>
    </row>
    <row r="47" spans="1:5">
      <c r="A47" s="9" t="s">
        <v>291</v>
      </c>
      <c r="B47" s="13">
        <v>0</v>
      </c>
      <c r="C47" s="10">
        <v>100</v>
      </c>
      <c r="D47" s="10">
        <v>0</v>
      </c>
      <c r="E47" s="10">
        <v>-100</v>
      </c>
    </row>
    <row r="48" spans="1:5">
      <c r="A48" s="9" t="s">
        <v>284</v>
      </c>
      <c r="B48" s="13">
        <v>16295</v>
      </c>
      <c r="C48" s="10">
        <v>4831.47</v>
      </c>
      <c r="D48" s="10">
        <v>0</v>
      </c>
      <c r="E48" s="10">
        <v>11463.529999999999</v>
      </c>
    </row>
    <row r="49" spans="1:5">
      <c r="A49" s="9" t="s">
        <v>285</v>
      </c>
      <c r="B49" s="13">
        <v>0</v>
      </c>
      <c r="C49" s="10">
        <v>5009.71</v>
      </c>
      <c r="D49" s="10">
        <v>0</v>
      </c>
      <c r="E49" s="10">
        <v>-5009.71</v>
      </c>
    </row>
    <row r="50" spans="1:5">
      <c r="A50" s="9" t="s">
        <v>286</v>
      </c>
      <c r="B50" s="13">
        <v>0</v>
      </c>
      <c r="C50" s="10">
        <v>6325.62</v>
      </c>
      <c r="D50" s="10">
        <v>0</v>
      </c>
      <c r="E50" s="10">
        <v>-6325.62</v>
      </c>
    </row>
    <row r="51" spans="1:5">
      <c r="A51" s="8" t="s">
        <v>427</v>
      </c>
      <c r="B51" s="13">
        <v>16295</v>
      </c>
      <c r="C51" s="10">
        <v>16193.3</v>
      </c>
      <c r="D51" s="10">
        <v>0</v>
      </c>
      <c r="E51" s="10">
        <v>101.69999999999891</v>
      </c>
    </row>
    <row r="52" spans="1:5">
      <c r="A52" s="8" t="s">
        <v>299</v>
      </c>
      <c r="B52" s="13"/>
      <c r="C52" s="10"/>
      <c r="D52" s="10"/>
      <c r="E52" s="10"/>
    </row>
    <row r="53" spans="1:5">
      <c r="A53" s="9" t="s">
        <v>363</v>
      </c>
      <c r="B53" s="13">
        <v>0</v>
      </c>
      <c r="C53" s="10">
        <v>0</v>
      </c>
      <c r="D53" s="10">
        <v>0</v>
      </c>
      <c r="E53" s="10">
        <v>0</v>
      </c>
    </row>
    <row r="54" spans="1:5">
      <c r="A54" s="9" t="s">
        <v>292</v>
      </c>
      <c r="B54" s="13">
        <v>0</v>
      </c>
      <c r="C54" s="10">
        <v>0</v>
      </c>
      <c r="D54" s="10">
        <v>0</v>
      </c>
      <c r="E54" s="10">
        <v>0</v>
      </c>
    </row>
    <row r="55" spans="1:5">
      <c r="A55" s="9" t="s">
        <v>282</v>
      </c>
      <c r="B55" s="13">
        <v>0</v>
      </c>
      <c r="C55" s="10">
        <v>0</v>
      </c>
      <c r="D55" s="10">
        <v>0</v>
      </c>
      <c r="E55" s="10">
        <v>0</v>
      </c>
    </row>
    <row r="56" spans="1:5">
      <c r="A56" s="9" t="s">
        <v>284</v>
      </c>
      <c r="B56" s="13">
        <v>31563</v>
      </c>
      <c r="C56" s="10">
        <v>5172.1399999999994</v>
      </c>
      <c r="D56" s="10">
        <v>0</v>
      </c>
      <c r="E56" s="10">
        <v>26390.86</v>
      </c>
    </row>
    <row r="57" spans="1:5">
      <c r="A57" s="9" t="s">
        <v>285</v>
      </c>
      <c r="B57" s="13">
        <v>0</v>
      </c>
      <c r="C57" s="10">
        <v>22312.15</v>
      </c>
      <c r="D57" s="10">
        <v>0</v>
      </c>
      <c r="E57" s="10">
        <v>-22312.15</v>
      </c>
    </row>
    <row r="58" spans="1:5">
      <c r="A58" s="9" t="s">
        <v>287</v>
      </c>
      <c r="B58" s="13">
        <v>0</v>
      </c>
      <c r="C58" s="10">
        <v>2878.35</v>
      </c>
      <c r="D58" s="10">
        <v>0</v>
      </c>
      <c r="E58" s="10">
        <v>-2878.35</v>
      </c>
    </row>
    <row r="59" spans="1:5">
      <c r="A59" s="9" t="s">
        <v>288</v>
      </c>
      <c r="B59" s="13">
        <v>0</v>
      </c>
      <c r="C59" s="10">
        <v>0</v>
      </c>
      <c r="D59" s="10">
        <v>0</v>
      </c>
      <c r="E59" s="10">
        <v>0</v>
      </c>
    </row>
    <row r="60" spans="1:5">
      <c r="A60" s="8" t="s">
        <v>428</v>
      </c>
      <c r="B60" s="13">
        <v>31563</v>
      </c>
      <c r="C60" s="10">
        <v>30362.639999999999</v>
      </c>
      <c r="D60" s="10">
        <v>0</v>
      </c>
      <c r="E60" s="10">
        <v>1200.3599999999992</v>
      </c>
    </row>
    <row r="61" spans="1:5">
      <c r="A61" s="8" t="s">
        <v>404</v>
      </c>
      <c r="B61" s="13"/>
      <c r="C61" s="10"/>
      <c r="D61" s="10"/>
      <c r="E61" s="10"/>
    </row>
    <row r="62" spans="1:5">
      <c r="A62" s="9" t="s">
        <v>285</v>
      </c>
      <c r="B62" s="13">
        <v>0</v>
      </c>
      <c r="C62" s="10">
        <v>0</v>
      </c>
      <c r="D62" s="10">
        <v>0</v>
      </c>
      <c r="E62" s="10">
        <v>0</v>
      </c>
    </row>
    <row r="63" spans="1:5">
      <c r="A63" s="8" t="s">
        <v>429</v>
      </c>
      <c r="B63" s="13">
        <v>0</v>
      </c>
      <c r="C63" s="10">
        <v>0</v>
      </c>
      <c r="D63" s="10">
        <v>0</v>
      </c>
      <c r="E63" s="10">
        <v>0</v>
      </c>
    </row>
    <row r="64" spans="1:5">
      <c r="A64" s="8" t="s">
        <v>300</v>
      </c>
      <c r="B64" s="13"/>
      <c r="C64" s="10"/>
      <c r="D64" s="10"/>
      <c r="E64" s="10"/>
    </row>
    <row r="65" spans="1:5">
      <c r="A65" s="9" t="s">
        <v>284</v>
      </c>
      <c r="B65" s="13">
        <v>0</v>
      </c>
      <c r="C65" s="10">
        <v>0</v>
      </c>
      <c r="D65" s="10">
        <v>0</v>
      </c>
      <c r="E65" s="10">
        <v>0</v>
      </c>
    </row>
    <row r="66" spans="1:5">
      <c r="A66" s="8" t="s">
        <v>430</v>
      </c>
      <c r="B66" s="13">
        <v>0</v>
      </c>
      <c r="C66" s="10">
        <v>0</v>
      </c>
      <c r="D66" s="10">
        <v>0</v>
      </c>
      <c r="E66" s="10">
        <v>0</v>
      </c>
    </row>
    <row r="67" spans="1:5">
      <c r="A67" s="8" t="s">
        <v>301</v>
      </c>
      <c r="B67" s="13"/>
      <c r="C67" s="10"/>
      <c r="D67" s="10"/>
      <c r="E67" s="10"/>
    </row>
    <row r="68" spans="1:5">
      <c r="A68" s="9" t="s">
        <v>363</v>
      </c>
      <c r="B68" s="13">
        <v>0</v>
      </c>
      <c r="C68" s="10">
        <v>-175</v>
      </c>
      <c r="D68" s="10">
        <v>0</v>
      </c>
      <c r="E68" s="10">
        <v>175</v>
      </c>
    </row>
    <row r="69" spans="1:5">
      <c r="A69" s="9" t="s">
        <v>292</v>
      </c>
      <c r="B69" s="13">
        <v>0</v>
      </c>
      <c r="C69" s="10">
        <v>-4672</v>
      </c>
      <c r="D69" s="10">
        <v>0</v>
      </c>
      <c r="E69" s="10">
        <v>4672</v>
      </c>
    </row>
    <row r="70" spans="1:5">
      <c r="A70" s="9" t="s">
        <v>284</v>
      </c>
      <c r="B70" s="13">
        <v>4300</v>
      </c>
      <c r="C70" s="10">
        <v>2485.0300000000002</v>
      </c>
      <c r="D70" s="10">
        <v>0</v>
      </c>
      <c r="E70" s="10">
        <v>1814.9699999999998</v>
      </c>
    </row>
    <row r="71" spans="1:5">
      <c r="A71" s="9" t="s">
        <v>285</v>
      </c>
      <c r="B71" s="13">
        <v>0</v>
      </c>
      <c r="C71" s="10">
        <v>0</v>
      </c>
      <c r="D71" s="10">
        <v>0</v>
      </c>
      <c r="E71" s="10">
        <v>0</v>
      </c>
    </row>
    <row r="72" spans="1:5">
      <c r="A72" s="9" t="s">
        <v>286</v>
      </c>
      <c r="B72" s="13">
        <v>0</v>
      </c>
      <c r="C72" s="10">
        <v>325.01</v>
      </c>
      <c r="D72" s="10">
        <v>0</v>
      </c>
      <c r="E72" s="10">
        <v>-325.01</v>
      </c>
    </row>
    <row r="73" spans="1:5">
      <c r="A73" s="8" t="s">
        <v>431</v>
      </c>
      <c r="B73" s="13">
        <v>4300</v>
      </c>
      <c r="C73" s="10">
        <v>-2036.9599999999998</v>
      </c>
      <c r="D73" s="10">
        <v>0</v>
      </c>
      <c r="E73" s="10">
        <v>6336.9599999999991</v>
      </c>
    </row>
    <row r="74" spans="1:5">
      <c r="A74" s="8" t="s">
        <v>302</v>
      </c>
      <c r="B74" s="13"/>
      <c r="C74" s="10"/>
      <c r="D74" s="10"/>
      <c r="E74" s="10"/>
    </row>
    <row r="75" spans="1:5">
      <c r="A75" s="9" t="s">
        <v>363</v>
      </c>
      <c r="B75" s="13">
        <v>0</v>
      </c>
      <c r="C75" s="10">
        <v>0</v>
      </c>
      <c r="D75" s="10">
        <v>0</v>
      </c>
      <c r="E75" s="10">
        <v>0</v>
      </c>
    </row>
    <row r="76" spans="1:5">
      <c r="A76" s="9" t="s">
        <v>292</v>
      </c>
      <c r="B76" s="13">
        <v>0</v>
      </c>
      <c r="C76" s="10">
        <v>-132</v>
      </c>
      <c r="D76" s="10">
        <v>0</v>
      </c>
      <c r="E76" s="10">
        <v>132</v>
      </c>
    </row>
    <row r="77" spans="1:5">
      <c r="A77" s="9" t="s">
        <v>284</v>
      </c>
      <c r="B77" s="13">
        <v>6975</v>
      </c>
      <c r="C77" s="10">
        <v>280</v>
      </c>
      <c r="D77" s="10">
        <v>0</v>
      </c>
      <c r="E77" s="10">
        <v>6695</v>
      </c>
    </row>
    <row r="78" spans="1:5">
      <c r="A78" s="9" t="s">
        <v>285</v>
      </c>
      <c r="B78" s="13">
        <v>0</v>
      </c>
      <c r="C78" s="10">
        <v>0</v>
      </c>
      <c r="D78" s="10">
        <v>0</v>
      </c>
      <c r="E78" s="10">
        <v>0</v>
      </c>
    </row>
    <row r="79" spans="1:5">
      <c r="A79" s="8" t="s">
        <v>432</v>
      </c>
      <c r="B79" s="13">
        <v>6975</v>
      </c>
      <c r="C79" s="10">
        <v>148</v>
      </c>
      <c r="D79" s="10">
        <v>0</v>
      </c>
      <c r="E79" s="10">
        <v>6827</v>
      </c>
    </row>
    <row r="80" spans="1:5">
      <c r="A80" s="8" t="s">
        <v>303</v>
      </c>
      <c r="B80" s="13"/>
      <c r="C80" s="10"/>
      <c r="D80" s="10"/>
      <c r="E80" s="10"/>
    </row>
    <row r="81" spans="1:5">
      <c r="A81" s="9" t="s">
        <v>281</v>
      </c>
      <c r="B81" s="13">
        <v>0</v>
      </c>
      <c r="C81" s="10">
        <v>0</v>
      </c>
      <c r="D81" s="10">
        <v>0</v>
      </c>
      <c r="E81" s="10">
        <v>0</v>
      </c>
    </row>
    <row r="82" spans="1:5">
      <c r="A82" s="9" t="s">
        <v>282</v>
      </c>
      <c r="B82" s="13">
        <v>0</v>
      </c>
      <c r="C82" s="10">
        <v>0</v>
      </c>
      <c r="D82" s="10">
        <v>0</v>
      </c>
      <c r="E82" s="10">
        <v>0</v>
      </c>
    </row>
    <row r="83" spans="1:5">
      <c r="A83" s="9" t="s">
        <v>284</v>
      </c>
      <c r="B83" s="13">
        <v>10000</v>
      </c>
      <c r="C83" s="10">
        <v>5794.8700000000008</v>
      </c>
      <c r="D83" s="10">
        <v>0</v>
      </c>
      <c r="E83" s="10">
        <v>4205.1299999999983</v>
      </c>
    </row>
    <row r="84" spans="1:5">
      <c r="A84" s="9" t="s">
        <v>286</v>
      </c>
      <c r="B84" s="13">
        <v>0</v>
      </c>
      <c r="C84" s="10">
        <v>4093.97</v>
      </c>
      <c r="D84" s="10">
        <v>0</v>
      </c>
      <c r="E84" s="10">
        <v>-4093.97</v>
      </c>
    </row>
    <row r="85" spans="1:5">
      <c r="A85" s="9" t="s">
        <v>288</v>
      </c>
      <c r="B85" s="13">
        <v>0</v>
      </c>
      <c r="C85" s="10">
        <v>0</v>
      </c>
      <c r="D85" s="10">
        <v>0</v>
      </c>
      <c r="E85" s="10">
        <v>0</v>
      </c>
    </row>
    <row r="86" spans="1:5">
      <c r="A86" s="8" t="s">
        <v>433</v>
      </c>
      <c r="B86" s="13">
        <v>10000</v>
      </c>
      <c r="C86" s="10">
        <v>9888.84</v>
      </c>
      <c r="D86" s="10">
        <v>0</v>
      </c>
      <c r="E86" s="10">
        <v>111.15999999999849</v>
      </c>
    </row>
    <row r="87" spans="1:5">
      <c r="A87" s="8" t="s">
        <v>304</v>
      </c>
      <c r="B87" s="13"/>
      <c r="C87" s="10"/>
      <c r="D87" s="10"/>
      <c r="E87" s="10"/>
    </row>
    <row r="88" spans="1:5">
      <c r="A88" s="9" t="s">
        <v>363</v>
      </c>
      <c r="B88" s="13">
        <v>0</v>
      </c>
      <c r="C88" s="10">
        <v>-4231.71</v>
      </c>
      <c r="D88" s="10">
        <v>0</v>
      </c>
      <c r="E88" s="10">
        <v>4231.71</v>
      </c>
    </row>
    <row r="89" spans="1:5">
      <c r="A89" s="9" t="s">
        <v>292</v>
      </c>
      <c r="B89" s="13">
        <v>0</v>
      </c>
      <c r="C89" s="10">
        <v>-5592.75</v>
      </c>
      <c r="D89" s="10">
        <v>0</v>
      </c>
      <c r="E89" s="10">
        <v>5592.75</v>
      </c>
    </row>
    <row r="90" spans="1:5">
      <c r="A90" s="9" t="s">
        <v>284</v>
      </c>
      <c r="B90" s="13">
        <v>23588</v>
      </c>
      <c r="C90" s="10">
        <v>8220.39</v>
      </c>
      <c r="D90" s="10">
        <v>0</v>
      </c>
      <c r="E90" s="10">
        <v>15367.609999999999</v>
      </c>
    </row>
    <row r="91" spans="1:5">
      <c r="A91" s="9" t="s">
        <v>285</v>
      </c>
      <c r="B91" s="13">
        <v>0</v>
      </c>
      <c r="C91" s="10">
        <v>25263.759999999998</v>
      </c>
      <c r="D91" s="10">
        <v>0</v>
      </c>
      <c r="E91" s="10">
        <v>-25263.759999999998</v>
      </c>
    </row>
    <row r="92" spans="1:5">
      <c r="A92" s="8" t="s">
        <v>434</v>
      </c>
      <c r="B92" s="13">
        <v>23588</v>
      </c>
      <c r="C92" s="10">
        <v>23659.69</v>
      </c>
      <c r="D92" s="10">
        <v>0</v>
      </c>
      <c r="E92" s="10">
        <v>-71.68999999999869</v>
      </c>
    </row>
    <row r="93" spans="1:5">
      <c r="A93" s="8" t="s">
        <v>305</v>
      </c>
      <c r="B93" s="13"/>
      <c r="C93" s="10"/>
      <c r="D93" s="10"/>
      <c r="E93" s="10"/>
    </row>
    <row r="94" spans="1:5">
      <c r="A94" s="9" t="s">
        <v>363</v>
      </c>
      <c r="B94" s="13">
        <v>0</v>
      </c>
      <c r="C94" s="10">
        <v>-10329</v>
      </c>
      <c r="D94" s="10">
        <v>0</v>
      </c>
      <c r="E94" s="10">
        <v>10329</v>
      </c>
    </row>
    <row r="95" spans="1:5">
      <c r="A95" s="9" t="s">
        <v>292</v>
      </c>
      <c r="B95" s="13">
        <v>0</v>
      </c>
      <c r="C95" s="10">
        <v>0</v>
      </c>
      <c r="D95" s="10">
        <v>0</v>
      </c>
      <c r="E95" s="10">
        <v>0</v>
      </c>
    </row>
    <row r="96" spans="1:5">
      <c r="A96" s="9" t="s">
        <v>291</v>
      </c>
      <c r="B96" s="13">
        <v>0</v>
      </c>
      <c r="C96" s="10">
        <v>0</v>
      </c>
      <c r="D96" s="10">
        <v>0</v>
      </c>
      <c r="E96" s="10">
        <v>0</v>
      </c>
    </row>
    <row r="97" spans="1:5">
      <c r="A97" s="9" t="s">
        <v>281</v>
      </c>
      <c r="B97" s="13">
        <v>0</v>
      </c>
      <c r="C97" s="10">
        <v>0</v>
      </c>
      <c r="D97" s="10">
        <v>0</v>
      </c>
      <c r="E97" s="10">
        <v>0</v>
      </c>
    </row>
    <row r="98" spans="1:5">
      <c r="A98" s="9" t="s">
        <v>282</v>
      </c>
      <c r="B98" s="13">
        <v>0</v>
      </c>
      <c r="C98" s="10">
        <v>0</v>
      </c>
      <c r="D98" s="10">
        <v>0</v>
      </c>
      <c r="E98" s="10">
        <v>0</v>
      </c>
    </row>
    <row r="99" spans="1:5">
      <c r="A99" s="9" t="s">
        <v>284</v>
      </c>
      <c r="B99" s="13">
        <v>0</v>
      </c>
      <c r="C99" s="10">
        <v>5370.9699999999993</v>
      </c>
      <c r="D99" s="10">
        <v>0</v>
      </c>
      <c r="E99" s="10">
        <v>-5370.9699999999993</v>
      </c>
    </row>
    <row r="100" spans="1:5">
      <c r="A100" s="9" t="s">
        <v>285</v>
      </c>
      <c r="B100" s="13">
        <v>0</v>
      </c>
      <c r="C100" s="10">
        <v>788</v>
      </c>
      <c r="D100" s="10">
        <v>0</v>
      </c>
      <c r="E100" s="10">
        <v>-788</v>
      </c>
    </row>
    <row r="101" spans="1:5">
      <c r="A101" s="8" t="s">
        <v>435</v>
      </c>
      <c r="B101" s="13">
        <v>0</v>
      </c>
      <c r="C101" s="10">
        <v>-4170.0300000000007</v>
      </c>
      <c r="D101" s="10">
        <v>0</v>
      </c>
      <c r="E101" s="10">
        <v>4170.0300000000007</v>
      </c>
    </row>
    <row r="102" spans="1:5">
      <c r="A102" s="8" t="s">
        <v>306</v>
      </c>
      <c r="B102" s="13"/>
      <c r="C102" s="10"/>
      <c r="D102" s="10"/>
      <c r="E102" s="10"/>
    </row>
    <row r="103" spans="1:5">
      <c r="A103" s="9" t="s">
        <v>363</v>
      </c>
      <c r="B103" s="13">
        <v>0</v>
      </c>
      <c r="C103" s="10">
        <v>-2621.71</v>
      </c>
      <c r="D103" s="10">
        <v>0</v>
      </c>
      <c r="E103" s="10">
        <v>2621.71</v>
      </c>
    </row>
    <row r="104" spans="1:5">
      <c r="A104" s="9" t="s">
        <v>292</v>
      </c>
      <c r="B104" s="13">
        <v>0</v>
      </c>
      <c r="C104" s="10">
        <v>-2134.75</v>
      </c>
      <c r="D104" s="10">
        <v>0</v>
      </c>
      <c r="E104" s="10">
        <v>2134.75</v>
      </c>
    </row>
    <row r="105" spans="1:5">
      <c r="A105" s="9" t="s">
        <v>284</v>
      </c>
      <c r="B105" s="13">
        <v>21086</v>
      </c>
      <c r="C105" s="10">
        <v>8478.26</v>
      </c>
      <c r="D105" s="10">
        <v>0</v>
      </c>
      <c r="E105" s="10">
        <v>12607.74</v>
      </c>
    </row>
    <row r="106" spans="1:5">
      <c r="A106" s="9" t="s">
        <v>285</v>
      </c>
      <c r="B106" s="13">
        <v>0</v>
      </c>
      <c r="C106" s="10">
        <v>12531.380000000001</v>
      </c>
      <c r="D106" s="10">
        <v>0</v>
      </c>
      <c r="E106" s="10">
        <v>-12531.380000000001</v>
      </c>
    </row>
    <row r="107" spans="1:5">
      <c r="A107" s="9" t="s">
        <v>288</v>
      </c>
      <c r="B107" s="13">
        <v>0</v>
      </c>
      <c r="C107" s="10">
        <v>0</v>
      </c>
      <c r="D107" s="10">
        <v>0</v>
      </c>
      <c r="E107" s="10">
        <v>0</v>
      </c>
    </row>
    <row r="108" spans="1:5">
      <c r="A108" s="8" t="s">
        <v>436</v>
      </c>
      <c r="B108" s="13">
        <v>21086</v>
      </c>
      <c r="C108" s="10">
        <v>16253.18</v>
      </c>
      <c r="D108" s="10">
        <v>0</v>
      </c>
      <c r="E108" s="10">
        <v>4832.82</v>
      </c>
    </row>
    <row r="109" spans="1:5">
      <c r="A109" s="8" t="s">
        <v>307</v>
      </c>
      <c r="B109" s="13"/>
      <c r="C109" s="10"/>
      <c r="D109" s="10"/>
      <c r="E109" s="10"/>
    </row>
    <row r="110" spans="1:5">
      <c r="A110" s="9" t="s">
        <v>363</v>
      </c>
      <c r="B110" s="13">
        <v>0</v>
      </c>
      <c r="C110" s="10">
        <v>-1335</v>
      </c>
      <c r="D110" s="10">
        <v>0</v>
      </c>
      <c r="E110" s="10">
        <v>1335</v>
      </c>
    </row>
    <row r="111" spans="1:5">
      <c r="A111" s="9" t="s">
        <v>292</v>
      </c>
      <c r="B111" s="13">
        <v>0</v>
      </c>
      <c r="C111" s="10">
        <v>0</v>
      </c>
      <c r="D111" s="10">
        <v>0</v>
      </c>
      <c r="E111" s="10">
        <v>0</v>
      </c>
    </row>
    <row r="112" spans="1:5">
      <c r="A112" s="9" t="s">
        <v>284</v>
      </c>
      <c r="B112" s="13">
        <v>5635</v>
      </c>
      <c r="C112" s="10">
        <v>2211.4499999999998</v>
      </c>
      <c r="D112" s="10">
        <v>0</v>
      </c>
      <c r="E112" s="10">
        <v>3423.5499999999997</v>
      </c>
    </row>
    <row r="113" spans="1:5">
      <c r="A113" s="9" t="s">
        <v>285</v>
      </c>
      <c r="B113" s="13">
        <v>0</v>
      </c>
      <c r="C113" s="10">
        <v>5297.87</v>
      </c>
      <c r="D113" s="10">
        <v>0</v>
      </c>
      <c r="E113" s="10">
        <v>-5297.87</v>
      </c>
    </row>
    <row r="114" spans="1:5">
      <c r="A114" s="8" t="s">
        <v>437</v>
      </c>
      <c r="B114" s="13">
        <v>5635</v>
      </c>
      <c r="C114" s="10">
        <v>6174.32</v>
      </c>
      <c r="D114" s="10">
        <v>0</v>
      </c>
      <c r="E114" s="10">
        <v>-539.32000000000062</v>
      </c>
    </row>
    <row r="115" spans="1:5">
      <c r="A115" s="8" t="s">
        <v>308</v>
      </c>
      <c r="B115" s="13"/>
      <c r="C115" s="10"/>
      <c r="D115" s="10"/>
      <c r="E115" s="10"/>
    </row>
    <row r="116" spans="1:5">
      <c r="A116" s="9" t="s">
        <v>363</v>
      </c>
      <c r="B116" s="13">
        <v>0</v>
      </c>
      <c r="C116" s="10">
        <v>-6385.65</v>
      </c>
      <c r="D116" s="10">
        <v>0</v>
      </c>
      <c r="E116" s="10">
        <v>6385.65</v>
      </c>
    </row>
    <row r="117" spans="1:5">
      <c r="A117" s="9" t="s">
        <v>292</v>
      </c>
      <c r="B117" s="13">
        <v>0</v>
      </c>
      <c r="C117" s="10">
        <v>0</v>
      </c>
      <c r="D117" s="10">
        <v>0</v>
      </c>
      <c r="E117" s="10">
        <v>0</v>
      </c>
    </row>
    <row r="118" spans="1:5">
      <c r="A118" s="9" t="s">
        <v>284</v>
      </c>
      <c r="B118" s="13">
        <v>36847</v>
      </c>
      <c r="C118" s="10">
        <v>12050.900000000001</v>
      </c>
      <c r="D118" s="10">
        <v>0</v>
      </c>
      <c r="E118" s="10">
        <v>24796.1</v>
      </c>
    </row>
    <row r="119" spans="1:5">
      <c r="A119" s="9" t="s">
        <v>285</v>
      </c>
      <c r="B119" s="13">
        <v>0</v>
      </c>
      <c r="C119" s="10">
        <v>19214.23</v>
      </c>
      <c r="D119" s="10">
        <v>0</v>
      </c>
      <c r="E119" s="10">
        <v>-19214.23</v>
      </c>
    </row>
    <row r="120" spans="1:5">
      <c r="A120" s="9" t="s">
        <v>287</v>
      </c>
      <c r="B120" s="13">
        <v>0</v>
      </c>
      <c r="C120" s="10">
        <v>908.63</v>
      </c>
      <c r="D120" s="10">
        <v>0</v>
      </c>
      <c r="E120" s="10">
        <v>-908.63</v>
      </c>
    </row>
    <row r="121" spans="1:5">
      <c r="A121" s="9" t="s">
        <v>288</v>
      </c>
      <c r="B121" s="13">
        <v>0</v>
      </c>
      <c r="C121" s="10">
        <v>0</v>
      </c>
      <c r="D121" s="10">
        <v>0</v>
      </c>
      <c r="E121" s="10">
        <v>0</v>
      </c>
    </row>
    <row r="122" spans="1:5">
      <c r="A122" s="8" t="s">
        <v>438</v>
      </c>
      <c r="B122" s="13">
        <v>36847</v>
      </c>
      <c r="C122" s="10">
        <v>25788.110000000004</v>
      </c>
      <c r="D122" s="10">
        <v>0</v>
      </c>
      <c r="E122" s="10">
        <v>11058.890000000001</v>
      </c>
    </row>
    <row r="123" spans="1:5">
      <c r="A123" s="8" t="s">
        <v>309</v>
      </c>
      <c r="B123" s="13"/>
      <c r="C123" s="10"/>
      <c r="D123" s="10"/>
      <c r="E123" s="10"/>
    </row>
    <row r="124" spans="1:5">
      <c r="A124" s="9" t="s">
        <v>363</v>
      </c>
      <c r="B124" s="13">
        <v>0</v>
      </c>
      <c r="C124" s="10">
        <v>-983.05</v>
      </c>
      <c r="D124" s="10">
        <v>0</v>
      </c>
      <c r="E124" s="10">
        <v>983.05</v>
      </c>
    </row>
    <row r="125" spans="1:5">
      <c r="A125" s="9" t="s">
        <v>282</v>
      </c>
      <c r="B125" s="13">
        <v>0</v>
      </c>
      <c r="C125" s="10">
        <v>3.34</v>
      </c>
      <c r="D125" s="10">
        <v>0</v>
      </c>
      <c r="E125" s="10">
        <v>-3.34</v>
      </c>
    </row>
    <row r="126" spans="1:5">
      <c r="A126" s="9" t="s">
        <v>284</v>
      </c>
      <c r="B126" s="13">
        <v>19160</v>
      </c>
      <c r="C126" s="10">
        <v>7086.6</v>
      </c>
      <c r="D126" s="10">
        <v>0</v>
      </c>
      <c r="E126" s="10">
        <v>12073.400000000001</v>
      </c>
    </row>
    <row r="127" spans="1:5">
      <c r="A127" s="9" t="s">
        <v>285</v>
      </c>
      <c r="B127" s="13">
        <v>0</v>
      </c>
      <c r="C127" s="10">
        <v>2036.6499999999999</v>
      </c>
      <c r="D127" s="10">
        <v>0</v>
      </c>
      <c r="E127" s="10">
        <v>-2036.6499999999999</v>
      </c>
    </row>
    <row r="128" spans="1:5">
      <c r="A128" s="8" t="s">
        <v>439</v>
      </c>
      <c r="B128" s="13">
        <v>19160</v>
      </c>
      <c r="C128" s="10">
        <v>8143.54</v>
      </c>
      <c r="D128" s="10">
        <v>0</v>
      </c>
      <c r="E128" s="10">
        <v>11016.460000000001</v>
      </c>
    </row>
    <row r="129" spans="1:5">
      <c r="A129" s="8" t="s">
        <v>310</v>
      </c>
      <c r="B129" s="13"/>
      <c r="C129" s="10"/>
      <c r="D129" s="10"/>
      <c r="E129" s="10"/>
    </row>
    <row r="130" spans="1:5">
      <c r="A130" s="9" t="s">
        <v>363</v>
      </c>
      <c r="B130" s="13">
        <v>0</v>
      </c>
      <c r="C130" s="10">
        <v>-4402</v>
      </c>
      <c r="D130" s="10">
        <v>0</v>
      </c>
      <c r="E130" s="10">
        <v>4402</v>
      </c>
    </row>
    <row r="131" spans="1:5">
      <c r="A131" s="9" t="s">
        <v>292</v>
      </c>
      <c r="B131" s="13">
        <v>0</v>
      </c>
      <c r="C131" s="10">
        <v>-869</v>
      </c>
      <c r="D131" s="10">
        <v>0</v>
      </c>
      <c r="E131" s="10">
        <v>869</v>
      </c>
    </row>
    <row r="132" spans="1:5">
      <c r="A132" s="9" t="s">
        <v>284</v>
      </c>
      <c r="B132" s="13">
        <v>12150</v>
      </c>
      <c r="C132" s="10">
        <v>3825.23</v>
      </c>
      <c r="D132" s="10">
        <v>0</v>
      </c>
      <c r="E132" s="10">
        <v>8324.77</v>
      </c>
    </row>
    <row r="133" spans="1:5">
      <c r="A133" s="9" t="s">
        <v>285</v>
      </c>
      <c r="B133" s="13">
        <v>0</v>
      </c>
      <c r="C133" s="10">
        <v>12798.5</v>
      </c>
      <c r="D133" s="10">
        <v>0</v>
      </c>
      <c r="E133" s="10">
        <v>-12798.5</v>
      </c>
    </row>
    <row r="134" spans="1:5">
      <c r="A134" s="8" t="s">
        <v>440</v>
      </c>
      <c r="B134" s="13">
        <v>12150</v>
      </c>
      <c r="C134" s="10">
        <v>11352.73</v>
      </c>
      <c r="D134" s="10">
        <v>0</v>
      </c>
      <c r="E134" s="10">
        <v>797.27000000000044</v>
      </c>
    </row>
    <row r="135" spans="1:5">
      <c r="A135" s="8" t="s">
        <v>311</v>
      </c>
      <c r="B135" s="13"/>
      <c r="C135" s="10"/>
      <c r="D135" s="10"/>
      <c r="E135" s="10"/>
    </row>
    <row r="136" spans="1:5">
      <c r="A136" s="9" t="s">
        <v>271</v>
      </c>
      <c r="B136" s="13">
        <v>0</v>
      </c>
      <c r="C136" s="10">
        <v>-70.260000000000005</v>
      </c>
      <c r="D136" s="10">
        <v>0</v>
      </c>
      <c r="E136" s="10">
        <v>70.260000000000005</v>
      </c>
    </row>
    <row r="137" spans="1:5">
      <c r="A137" s="9" t="s">
        <v>363</v>
      </c>
      <c r="B137" s="13">
        <v>0</v>
      </c>
      <c r="C137" s="10">
        <v>-88595.81</v>
      </c>
      <c r="D137" s="10">
        <v>0</v>
      </c>
      <c r="E137" s="10">
        <v>88595.81</v>
      </c>
    </row>
    <row r="138" spans="1:5">
      <c r="A138" s="9" t="s">
        <v>291</v>
      </c>
      <c r="B138" s="13">
        <v>0</v>
      </c>
      <c r="C138" s="10">
        <v>64553</v>
      </c>
      <c r="D138" s="10">
        <v>0</v>
      </c>
      <c r="E138" s="10">
        <v>-64553</v>
      </c>
    </row>
    <row r="139" spans="1:5">
      <c r="A139" s="8" t="s">
        <v>441</v>
      </c>
      <c r="B139" s="13">
        <v>0</v>
      </c>
      <c r="C139" s="10">
        <v>-24113.069999999992</v>
      </c>
      <c r="D139" s="10">
        <v>0</v>
      </c>
      <c r="E139" s="10">
        <v>24113.069999999992</v>
      </c>
    </row>
    <row r="140" spans="1:5">
      <c r="A140" s="8" t="s">
        <v>312</v>
      </c>
      <c r="B140" s="13"/>
      <c r="C140" s="10"/>
      <c r="D140" s="10"/>
      <c r="E140" s="10"/>
    </row>
    <row r="141" spans="1:5">
      <c r="A141" s="9" t="s">
        <v>271</v>
      </c>
      <c r="B141" s="13">
        <v>0</v>
      </c>
      <c r="C141" s="10">
        <v>-112915.26</v>
      </c>
      <c r="D141" s="10">
        <v>0</v>
      </c>
      <c r="E141" s="10">
        <v>112915.26</v>
      </c>
    </row>
    <row r="142" spans="1:5">
      <c r="A142" s="9" t="s">
        <v>363</v>
      </c>
      <c r="B142" s="13">
        <v>0</v>
      </c>
      <c r="C142" s="10">
        <v>-66116.3</v>
      </c>
      <c r="D142" s="10">
        <v>0</v>
      </c>
      <c r="E142" s="10">
        <v>66116.3</v>
      </c>
    </row>
    <row r="143" spans="1:5">
      <c r="A143" s="9" t="s">
        <v>288</v>
      </c>
      <c r="B143" s="13">
        <v>0</v>
      </c>
      <c r="C143" s="10">
        <v>133426.79999999999</v>
      </c>
      <c r="D143" s="10">
        <v>0</v>
      </c>
      <c r="E143" s="10">
        <v>-133426.79999999999</v>
      </c>
    </row>
    <row r="144" spans="1:5">
      <c r="A144" s="8" t="s">
        <v>442</v>
      </c>
      <c r="B144" s="13">
        <v>0</v>
      </c>
      <c r="C144" s="10">
        <v>-45604.760000000009</v>
      </c>
      <c r="D144" s="10">
        <v>0</v>
      </c>
      <c r="E144" s="10">
        <v>45604.760000000009</v>
      </c>
    </row>
    <row r="145" spans="1:5">
      <c r="A145" s="8" t="s">
        <v>405</v>
      </c>
      <c r="B145" s="13"/>
      <c r="C145" s="10"/>
      <c r="D145" s="10"/>
      <c r="E145" s="10"/>
    </row>
    <row r="146" spans="1:5">
      <c r="A146" s="9" t="s">
        <v>284</v>
      </c>
      <c r="B146" s="13">
        <v>0</v>
      </c>
      <c r="C146" s="10">
        <v>0</v>
      </c>
      <c r="D146" s="10">
        <v>0</v>
      </c>
      <c r="E146" s="10">
        <v>0</v>
      </c>
    </row>
    <row r="147" spans="1:5">
      <c r="A147" s="8" t="s">
        <v>443</v>
      </c>
      <c r="B147" s="13">
        <v>0</v>
      </c>
      <c r="C147" s="10">
        <v>0</v>
      </c>
      <c r="D147" s="10">
        <v>0</v>
      </c>
      <c r="E147" s="10">
        <v>0</v>
      </c>
    </row>
    <row r="148" spans="1:5">
      <c r="A148" s="8" t="s">
        <v>313</v>
      </c>
      <c r="B148" s="13"/>
      <c r="C148" s="10"/>
      <c r="D148" s="10"/>
      <c r="E148" s="10"/>
    </row>
    <row r="149" spans="1:5">
      <c r="A149" s="9" t="s">
        <v>285</v>
      </c>
      <c r="B149" s="13">
        <v>0</v>
      </c>
      <c r="C149" s="10">
        <v>45</v>
      </c>
      <c r="D149" s="10">
        <v>0</v>
      </c>
      <c r="E149" s="10">
        <v>-45</v>
      </c>
    </row>
    <row r="150" spans="1:5">
      <c r="A150" s="9" t="s">
        <v>288</v>
      </c>
      <c r="B150" s="13">
        <v>0</v>
      </c>
      <c r="C150" s="10">
        <v>-529.78</v>
      </c>
      <c r="D150" s="10">
        <v>0</v>
      </c>
      <c r="E150" s="10">
        <v>529.78</v>
      </c>
    </row>
    <row r="151" spans="1:5">
      <c r="A151" s="8" t="s">
        <v>444</v>
      </c>
      <c r="B151" s="13">
        <v>0</v>
      </c>
      <c r="C151" s="10">
        <v>-484.78</v>
      </c>
      <c r="D151" s="10">
        <v>0</v>
      </c>
      <c r="E151" s="10">
        <v>484.78</v>
      </c>
    </row>
    <row r="152" spans="1:5">
      <c r="A152" s="8" t="s">
        <v>406</v>
      </c>
      <c r="B152" s="13"/>
      <c r="C152" s="10"/>
      <c r="D152" s="10"/>
      <c r="E152" s="10"/>
    </row>
    <row r="153" spans="1:5">
      <c r="A153" s="9" t="s">
        <v>363</v>
      </c>
      <c r="B153" s="13">
        <v>0</v>
      </c>
      <c r="C153" s="10">
        <v>-668.8</v>
      </c>
      <c r="D153" s="10">
        <v>0</v>
      </c>
      <c r="E153" s="10">
        <v>668.8</v>
      </c>
    </row>
    <row r="154" spans="1:5">
      <c r="A154" s="8" t="s">
        <v>445</v>
      </c>
      <c r="B154" s="13">
        <v>0</v>
      </c>
      <c r="C154" s="10">
        <v>-668.8</v>
      </c>
      <c r="D154" s="10">
        <v>0</v>
      </c>
      <c r="E154" s="10">
        <v>668.8</v>
      </c>
    </row>
    <row r="155" spans="1:5">
      <c r="A155" s="8" t="s">
        <v>314</v>
      </c>
      <c r="B155" s="13"/>
      <c r="C155" s="10"/>
      <c r="D155" s="10"/>
      <c r="E155" s="10"/>
    </row>
    <row r="156" spans="1:5">
      <c r="A156" s="9" t="s">
        <v>284</v>
      </c>
      <c r="B156" s="13">
        <v>30000</v>
      </c>
      <c r="C156" s="10">
        <v>21727</v>
      </c>
      <c r="D156" s="10">
        <v>0</v>
      </c>
      <c r="E156" s="10">
        <v>8273</v>
      </c>
    </row>
    <row r="157" spans="1:5">
      <c r="A157" s="8" t="s">
        <v>446</v>
      </c>
      <c r="B157" s="13">
        <v>30000</v>
      </c>
      <c r="C157" s="10">
        <v>21727</v>
      </c>
      <c r="D157" s="10">
        <v>0</v>
      </c>
      <c r="E157" s="10">
        <v>8273</v>
      </c>
    </row>
    <row r="158" spans="1:5">
      <c r="A158" s="8" t="s">
        <v>315</v>
      </c>
      <c r="B158" s="13"/>
      <c r="C158" s="10"/>
      <c r="D158" s="10"/>
      <c r="E158" s="10"/>
    </row>
    <row r="159" spans="1:5">
      <c r="A159" s="9" t="s">
        <v>363</v>
      </c>
      <c r="B159" s="13">
        <v>0</v>
      </c>
      <c r="C159" s="10">
        <v>0</v>
      </c>
      <c r="D159" s="10">
        <v>0</v>
      </c>
      <c r="E159" s="10">
        <v>0</v>
      </c>
    </row>
    <row r="160" spans="1:5">
      <c r="A160" s="9" t="s">
        <v>284</v>
      </c>
      <c r="B160" s="13">
        <v>0</v>
      </c>
      <c r="C160" s="10">
        <v>0</v>
      </c>
      <c r="D160" s="10">
        <v>0</v>
      </c>
      <c r="E160" s="10">
        <v>0</v>
      </c>
    </row>
    <row r="161" spans="1:5">
      <c r="A161" s="8" t="s">
        <v>447</v>
      </c>
      <c r="B161" s="13">
        <v>0</v>
      </c>
      <c r="C161" s="10">
        <v>0</v>
      </c>
      <c r="D161" s="10">
        <v>0</v>
      </c>
      <c r="E161" s="10">
        <v>0</v>
      </c>
    </row>
    <row r="162" spans="1:5">
      <c r="A162" s="8" t="s">
        <v>316</v>
      </c>
      <c r="B162" s="13"/>
      <c r="C162" s="10"/>
      <c r="D162" s="10"/>
      <c r="E162" s="10"/>
    </row>
    <row r="163" spans="1:5">
      <c r="A163" s="9" t="s">
        <v>363</v>
      </c>
      <c r="B163" s="13">
        <v>0</v>
      </c>
      <c r="C163" s="10">
        <v>-137</v>
      </c>
      <c r="D163" s="10">
        <v>0</v>
      </c>
      <c r="E163" s="10">
        <v>137</v>
      </c>
    </row>
    <row r="164" spans="1:5">
      <c r="A164" s="9" t="s">
        <v>292</v>
      </c>
      <c r="B164" s="13">
        <v>0</v>
      </c>
      <c r="C164" s="10">
        <v>0</v>
      </c>
      <c r="D164" s="10">
        <v>0</v>
      </c>
      <c r="E164" s="10">
        <v>0</v>
      </c>
    </row>
    <row r="165" spans="1:5">
      <c r="A165" s="9" t="s">
        <v>284</v>
      </c>
      <c r="B165" s="13">
        <v>18500</v>
      </c>
      <c r="C165" s="10">
        <v>9454.52</v>
      </c>
      <c r="D165" s="10">
        <v>0</v>
      </c>
      <c r="E165" s="10">
        <v>9045.48</v>
      </c>
    </row>
    <row r="166" spans="1:5">
      <c r="A166" s="9" t="s">
        <v>285</v>
      </c>
      <c r="B166" s="13">
        <v>0</v>
      </c>
      <c r="C166" s="10">
        <v>401.1</v>
      </c>
      <c r="D166" s="10">
        <v>0</v>
      </c>
      <c r="E166" s="10">
        <v>-401.1</v>
      </c>
    </row>
    <row r="167" spans="1:5">
      <c r="A167" s="8" t="s">
        <v>448</v>
      </c>
      <c r="B167" s="13">
        <v>18500</v>
      </c>
      <c r="C167" s="10">
        <v>9718.6200000000008</v>
      </c>
      <c r="D167" s="10">
        <v>0</v>
      </c>
      <c r="E167" s="10">
        <v>8781.3799999999992</v>
      </c>
    </row>
    <row r="168" spans="1:5">
      <c r="A168" s="8" t="s">
        <v>317</v>
      </c>
      <c r="B168" s="13"/>
      <c r="C168" s="10"/>
      <c r="D168" s="10"/>
      <c r="E168" s="10"/>
    </row>
    <row r="169" spans="1:5">
      <c r="A169" s="9" t="s">
        <v>363</v>
      </c>
      <c r="B169" s="13">
        <v>0</v>
      </c>
      <c r="C169" s="10">
        <v>0</v>
      </c>
      <c r="D169" s="10">
        <v>0</v>
      </c>
      <c r="E169" s="10">
        <v>0</v>
      </c>
    </row>
    <row r="170" spans="1:5">
      <c r="A170" s="9" t="s">
        <v>292</v>
      </c>
      <c r="B170" s="13">
        <v>0</v>
      </c>
      <c r="C170" s="10">
        <v>0</v>
      </c>
      <c r="D170" s="10">
        <v>0</v>
      </c>
      <c r="E170" s="10">
        <v>0</v>
      </c>
    </row>
    <row r="171" spans="1:5">
      <c r="A171" s="9" t="s">
        <v>284</v>
      </c>
      <c r="B171" s="13">
        <v>4000</v>
      </c>
      <c r="C171" s="10">
        <v>901.89</v>
      </c>
      <c r="D171" s="10">
        <v>0</v>
      </c>
      <c r="E171" s="10">
        <v>3098.11</v>
      </c>
    </row>
    <row r="172" spans="1:5">
      <c r="A172" s="8" t="s">
        <v>449</v>
      </c>
      <c r="B172" s="13">
        <v>4000</v>
      </c>
      <c r="C172" s="10">
        <v>901.89</v>
      </c>
      <c r="D172" s="10">
        <v>0</v>
      </c>
      <c r="E172" s="10">
        <v>3098.11</v>
      </c>
    </row>
    <row r="173" spans="1:5">
      <c r="A173" s="8" t="s">
        <v>318</v>
      </c>
      <c r="B173" s="13"/>
      <c r="C173" s="10"/>
      <c r="D173" s="10"/>
      <c r="E173" s="10"/>
    </row>
    <row r="174" spans="1:5">
      <c r="A174" s="9" t="s">
        <v>281</v>
      </c>
      <c r="B174" s="13">
        <v>0</v>
      </c>
      <c r="C174" s="10">
        <v>0</v>
      </c>
      <c r="D174" s="10">
        <v>0</v>
      </c>
      <c r="E174" s="10">
        <v>0</v>
      </c>
    </row>
    <row r="175" spans="1:5">
      <c r="A175" s="9" t="s">
        <v>282</v>
      </c>
      <c r="B175" s="13">
        <v>0</v>
      </c>
      <c r="C175" s="10">
        <v>0</v>
      </c>
      <c r="D175" s="10">
        <v>0</v>
      </c>
      <c r="E175" s="10">
        <v>0</v>
      </c>
    </row>
    <row r="176" spans="1:5">
      <c r="A176" s="9" t="s">
        <v>284</v>
      </c>
      <c r="B176" s="13">
        <v>0</v>
      </c>
      <c r="C176" s="10">
        <v>0</v>
      </c>
      <c r="D176" s="10">
        <v>0</v>
      </c>
      <c r="E176" s="10">
        <v>0</v>
      </c>
    </row>
    <row r="177" spans="1:5">
      <c r="A177" s="8" t="s">
        <v>450</v>
      </c>
      <c r="B177" s="13">
        <v>0</v>
      </c>
      <c r="C177" s="10">
        <v>0</v>
      </c>
      <c r="D177" s="10">
        <v>0</v>
      </c>
      <c r="E177" s="10">
        <v>0</v>
      </c>
    </row>
    <row r="178" spans="1:5">
      <c r="A178" s="8" t="s">
        <v>319</v>
      </c>
      <c r="B178" s="13"/>
      <c r="C178" s="10"/>
      <c r="D178" s="10"/>
      <c r="E178" s="10"/>
    </row>
    <row r="179" spans="1:5">
      <c r="A179" s="9" t="s">
        <v>271</v>
      </c>
      <c r="B179" s="13">
        <v>0</v>
      </c>
      <c r="C179" s="10">
        <v>-1125529.81</v>
      </c>
      <c r="D179" s="10">
        <v>0</v>
      </c>
      <c r="E179" s="10">
        <v>1125529.81</v>
      </c>
    </row>
    <row r="180" spans="1:5">
      <c r="A180" s="9" t="s">
        <v>363</v>
      </c>
      <c r="B180" s="13">
        <v>0</v>
      </c>
      <c r="C180" s="10">
        <v>0</v>
      </c>
      <c r="D180" s="10">
        <v>0</v>
      </c>
      <c r="E180" s="10">
        <v>0</v>
      </c>
    </row>
    <row r="181" spans="1:5">
      <c r="A181" s="9" t="s">
        <v>292</v>
      </c>
      <c r="B181" s="13">
        <v>0</v>
      </c>
      <c r="C181" s="10">
        <v>416516.9</v>
      </c>
      <c r="D181" s="10">
        <v>0</v>
      </c>
      <c r="E181" s="10">
        <v>-416516.9</v>
      </c>
    </row>
    <row r="182" spans="1:5">
      <c r="A182" s="9" t="s">
        <v>290</v>
      </c>
      <c r="B182" s="13">
        <v>0</v>
      </c>
      <c r="C182" s="10">
        <v>0</v>
      </c>
      <c r="D182" s="10">
        <v>0</v>
      </c>
      <c r="E182" s="10">
        <v>0</v>
      </c>
    </row>
    <row r="183" spans="1:5">
      <c r="A183" s="9" t="s">
        <v>291</v>
      </c>
      <c r="B183" s="13">
        <v>0</v>
      </c>
      <c r="C183" s="10">
        <v>101000</v>
      </c>
      <c r="D183" s="10">
        <v>0</v>
      </c>
      <c r="E183" s="10">
        <v>-101000</v>
      </c>
    </row>
    <row r="184" spans="1:5">
      <c r="A184" s="9" t="s">
        <v>281</v>
      </c>
      <c r="B184" s="13">
        <v>19802</v>
      </c>
      <c r="C184" s="10">
        <v>10622.73</v>
      </c>
      <c r="D184" s="10">
        <v>0</v>
      </c>
      <c r="E184" s="10">
        <v>9179.27</v>
      </c>
    </row>
    <row r="185" spans="1:5">
      <c r="A185" s="9" t="s">
        <v>282</v>
      </c>
      <c r="B185" s="13">
        <v>198</v>
      </c>
      <c r="C185" s="10">
        <v>1132.8599999999999</v>
      </c>
      <c r="D185" s="10">
        <v>0</v>
      </c>
      <c r="E185" s="10">
        <v>-934.86</v>
      </c>
    </row>
    <row r="186" spans="1:5">
      <c r="A186" s="9" t="s">
        <v>284</v>
      </c>
      <c r="B186" s="13">
        <v>130916</v>
      </c>
      <c r="C186" s="10">
        <v>104000.40000000001</v>
      </c>
      <c r="D186" s="10">
        <v>0</v>
      </c>
      <c r="E186" s="10">
        <v>26915.599999999991</v>
      </c>
    </row>
    <row r="187" spans="1:5">
      <c r="A187" s="9" t="s">
        <v>285</v>
      </c>
      <c r="B187" s="13">
        <v>0</v>
      </c>
      <c r="C187" s="10">
        <v>600.66999999999996</v>
      </c>
      <c r="D187" s="10">
        <v>0</v>
      </c>
      <c r="E187" s="10">
        <v>-600.66999999999996</v>
      </c>
    </row>
    <row r="188" spans="1:5">
      <c r="A188" s="9" t="s">
        <v>286</v>
      </c>
      <c r="B188" s="13">
        <v>0</v>
      </c>
      <c r="C188" s="10">
        <v>4959.62</v>
      </c>
      <c r="D188" s="10">
        <v>0</v>
      </c>
      <c r="E188" s="10">
        <v>-4959.62</v>
      </c>
    </row>
    <row r="189" spans="1:5">
      <c r="A189" s="9" t="s">
        <v>287</v>
      </c>
      <c r="B189" s="13">
        <v>0</v>
      </c>
      <c r="C189" s="10">
        <v>5912.88</v>
      </c>
      <c r="D189" s="10">
        <v>0</v>
      </c>
      <c r="E189" s="10">
        <v>-5912.88</v>
      </c>
    </row>
    <row r="190" spans="1:5">
      <c r="A190" s="9" t="s">
        <v>288</v>
      </c>
      <c r="B190" s="13">
        <v>0</v>
      </c>
      <c r="C190" s="10">
        <v>1000</v>
      </c>
      <c r="D190" s="10">
        <v>0</v>
      </c>
      <c r="E190" s="10">
        <v>-1000</v>
      </c>
    </row>
    <row r="191" spans="1:5">
      <c r="A191" s="8" t="s">
        <v>451</v>
      </c>
      <c r="B191" s="13">
        <v>150916</v>
      </c>
      <c r="C191" s="10">
        <v>-479783.75000000006</v>
      </c>
      <c r="D191" s="10">
        <v>0</v>
      </c>
      <c r="E191" s="10">
        <v>630699.75</v>
      </c>
    </row>
    <row r="192" spans="1:5">
      <c r="A192" s="8" t="s">
        <v>320</v>
      </c>
      <c r="B192" s="13"/>
      <c r="C192" s="10"/>
      <c r="D192" s="10"/>
      <c r="E192" s="10"/>
    </row>
    <row r="193" spans="1:5">
      <c r="A193" s="9" t="s">
        <v>292</v>
      </c>
      <c r="B193" s="13">
        <v>0</v>
      </c>
      <c r="C193" s="10">
        <v>0</v>
      </c>
      <c r="D193" s="10">
        <v>0</v>
      </c>
      <c r="E193" s="10">
        <v>0</v>
      </c>
    </row>
    <row r="194" spans="1:5">
      <c r="A194" s="9" t="s">
        <v>281</v>
      </c>
      <c r="B194" s="13">
        <v>0</v>
      </c>
      <c r="C194" s="10">
        <v>321.45999999999998</v>
      </c>
      <c r="D194" s="10">
        <v>0</v>
      </c>
      <c r="E194" s="10">
        <v>-321.45999999999998</v>
      </c>
    </row>
    <row r="195" spans="1:5">
      <c r="A195" s="9" t="s">
        <v>282</v>
      </c>
      <c r="B195" s="13">
        <v>0</v>
      </c>
      <c r="C195" s="10">
        <v>51.169999999999995</v>
      </c>
      <c r="D195" s="10">
        <v>0</v>
      </c>
      <c r="E195" s="10">
        <v>-51.169999999999995</v>
      </c>
    </row>
    <row r="196" spans="1:5">
      <c r="A196" s="9" t="s">
        <v>284</v>
      </c>
      <c r="B196" s="13">
        <v>25000</v>
      </c>
      <c r="C196" s="10">
        <v>8350.7799999999988</v>
      </c>
      <c r="D196" s="10">
        <v>0</v>
      </c>
      <c r="E196" s="10">
        <v>16649.219999999998</v>
      </c>
    </row>
    <row r="197" spans="1:5">
      <c r="A197" s="9" t="s">
        <v>285</v>
      </c>
      <c r="B197" s="13">
        <v>0</v>
      </c>
      <c r="C197" s="10">
        <v>407.18</v>
      </c>
      <c r="D197" s="10">
        <v>0</v>
      </c>
      <c r="E197" s="10">
        <v>-407.18</v>
      </c>
    </row>
    <row r="198" spans="1:5">
      <c r="A198" s="9" t="s">
        <v>286</v>
      </c>
      <c r="B198" s="13">
        <v>0</v>
      </c>
      <c r="C198" s="10">
        <v>0</v>
      </c>
      <c r="D198" s="10">
        <v>0</v>
      </c>
      <c r="E198" s="10">
        <v>0</v>
      </c>
    </row>
    <row r="199" spans="1:5">
      <c r="A199" s="9" t="s">
        <v>288</v>
      </c>
      <c r="B199" s="13">
        <v>0</v>
      </c>
      <c r="C199" s="10">
        <v>10000</v>
      </c>
      <c r="D199" s="10">
        <v>0</v>
      </c>
      <c r="E199" s="10">
        <v>-10000</v>
      </c>
    </row>
    <row r="200" spans="1:5">
      <c r="A200" s="8" t="s">
        <v>452</v>
      </c>
      <c r="B200" s="13">
        <v>25000</v>
      </c>
      <c r="C200" s="10">
        <v>19130.589999999997</v>
      </c>
      <c r="D200" s="10">
        <v>0</v>
      </c>
      <c r="E200" s="10">
        <v>5869.409999999998</v>
      </c>
    </row>
    <row r="201" spans="1:5">
      <c r="A201" s="8" t="s">
        <v>321</v>
      </c>
      <c r="B201" s="13"/>
      <c r="C201" s="10"/>
      <c r="D201" s="10"/>
      <c r="E201" s="10"/>
    </row>
    <row r="202" spans="1:5">
      <c r="A202" s="9" t="s">
        <v>281</v>
      </c>
      <c r="B202" s="13">
        <v>0</v>
      </c>
      <c r="C202" s="10">
        <v>349.18</v>
      </c>
      <c r="D202" s="10">
        <v>0</v>
      </c>
      <c r="E202" s="10">
        <v>-349.18</v>
      </c>
    </row>
    <row r="203" spans="1:5">
      <c r="A203" s="9" t="s">
        <v>282</v>
      </c>
      <c r="B203" s="13">
        <v>0</v>
      </c>
      <c r="C203" s="10">
        <v>34.49</v>
      </c>
      <c r="D203" s="10">
        <v>0</v>
      </c>
      <c r="E203" s="10">
        <v>-34.49</v>
      </c>
    </row>
    <row r="204" spans="1:5">
      <c r="A204" s="9" t="s">
        <v>284</v>
      </c>
      <c r="B204" s="13">
        <v>0</v>
      </c>
      <c r="C204" s="10">
        <v>0</v>
      </c>
      <c r="D204" s="10">
        <v>0</v>
      </c>
      <c r="E204" s="10">
        <v>0</v>
      </c>
    </row>
    <row r="205" spans="1:5">
      <c r="A205" s="8" t="s">
        <v>453</v>
      </c>
      <c r="B205" s="13">
        <v>0</v>
      </c>
      <c r="C205" s="10">
        <v>383.67</v>
      </c>
      <c r="D205" s="10">
        <v>0</v>
      </c>
      <c r="E205" s="10">
        <v>-383.67</v>
      </c>
    </row>
    <row r="206" spans="1:5">
      <c r="A206" s="8" t="s">
        <v>322</v>
      </c>
      <c r="B206" s="13"/>
      <c r="C206" s="10"/>
      <c r="D206" s="10"/>
      <c r="E206" s="10"/>
    </row>
    <row r="207" spans="1:5">
      <c r="A207" s="9" t="s">
        <v>282</v>
      </c>
      <c r="B207" s="13">
        <v>0</v>
      </c>
      <c r="C207" s="10">
        <v>0</v>
      </c>
      <c r="D207" s="10">
        <v>0</v>
      </c>
      <c r="E207" s="10">
        <v>0</v>
      </c>
    </row>
    <row r="208" spans="1:5">
      <c r="A208" s="9" t="s">
        <v>284</v>
      </c>
      <c r="B208" s="13">
        <v>4000</v>
      </c>
      <c r="C208" s="10">
        <v>451</v>
      </c>
      <c r="D208" s="10">
        <v>0</v>
      </c>
      <c r="E208" s="10">
        <v>3549</v>
      </c>
    </row>
    <row r="209" spans="1:5">
      <c r="A209" s="9" t="s">
        <v>285</v>
      </c>
      <c r="B209" s="13">
        <v>0</v>
      </c>
      <c r="C209" s="10">
        <v>2674.59</v>
      </c>
      <c r="D209" s="10">
        <v>0</v>
      </c>
      <c r="E209" s="10">
        <v>-2674.59</v>
      </c>
    </row>
    <row r="210" spans="1:5">
      <c r="A210" s="9" t="s">
        <v>288</v>
      </c>
      <c r="B210" s="13">
        <v>0</v>
      </c>
      <c r="C210" s="10">
        <v>0</v>
      </c>
      <c r="D210" s="10">
        <v>0</v>
      </c>
      <c r="E210" s="10">
        <v>0</v>
      </c>
    </row>
    <row r="211" spans="1:5">
      <c r="A211" s="8" t="s">
        <v>454</v>
      </c>
      <c r="B211" s="13">
        <v>4000</v>
      </c>
      <c r="C211" s="10">
        <v>3125.59</v>
      </c>
      <c r="D211" s="10">
        <v>0</v>
      </c>
      <c r="E211" s="10">
        <v>874.40999999999985</v>
      </c>
    </row>
    <row r="212" spans="1:5">
      <c r="A212" s="8" t="s">
        <v>323</v>
      </c>
      <c r="B212" s="13"/>
      <c r="C212" s="10"/>
      <c r="D212" s="10"/>
      <c r="E212" s="10"/>
    </row>
    <row r="213" spans="1:5">
      <c r="A213" s="9" t="s">
        <v>363</v>
      </c>
      <c r="B213" s="13">
        <v>0</v>
      </c>
      <c r="C213" s="10">
        <v>0</v>
      </c>
      <c r="D213" s="10">
        <v>0</v>
      </c>
      <c r="E213" s="10">
        <v>0</v>
      </c>
    </row>
    <row r="214" spans="1:5">
      <c r="A214" s="9" t="s">
        <v>284</v>
      </c>
      <c r="B214" s="13">
        <v>2500</v>
      </c>
      <c r="C214" s="10">
        <v>1173.72</v>
      </c>
      <c r="D214" s="10">
        <v>0</v>
      </c>
      <c r="E214" s="10">
        <v>1326.28</v>
      </c>
    </row>
    <row r="215" spans="1:5">
      <c r="A215" s="8" t="s">
        <v>455</v>
      </c>
      <c r="B215" s="13">
        <v>2500</v>
      </c>
      <c r="C215" s="10">
        <v>1173.72</v>
      </c>
      <c r="D215" s="10">
        <v>0</v>
      </c>
      <c r="E215" s="10">
        <v>1326.28</v>
      </c>
    </row>
    <row r="216" spans="1:5">
      <c r="A216" s="8" t="s">
        <v>324</v>
      </c>
      <c r="B216" s="13"/>
      <c r="C216" s="10"/>
      <c r="D216" s="10"/>
      <c r="E216" s="10"/>
    </row>
    <row r="217" spans="1:5">
      <c r="A217" s="9" t="s">
        <v>363</v>
      </c>
      <c r="B217" s="13">
        <v>0</v>
      </c>
      <c r="C217" s="10">
        <v>0</v>
      </c>
      <c r="D217" s="10">
        <v>0</v>
      </c>
      <c r="E217" s="10">
        <v>0</v>
      </c>
    </row>
    <row r="218" spans="1:5">
      <c r="A218" s="9" t="s">
        <v>281</v>
      </c>
      <c r="B218" s="13">
        <v>0</v>
      </c>
      <c r="C218" s="10">
        <v>0</v>
      </c>
      <c r="D218" s="10">
        <v>0</v>
      </c>
      <c r="E218" s="10">
        <v>0</v>
      </c>
    </row>
    <row r="219" spans="1:5">
      <c r="A219" s="9" t="s">
        <v>282</v>
      </c>
      <c r="B219" s="13">
        <v>0</v>
      </c>
      <c r="C219" s="10">
        <v>0</v>
      </c>
      <c r="D219" s="10">
        <v>0</v>
      </c>
      <c r="E219" s="10">
        <v>0</v>
      </c>
    </row>
    <row r="220" spans="1:5">
      <c r="A220" s="9" t="s">
        <v>284</v>
      </c>
      <c r="B220" s="13">
        <v>52000</v>
      </c>
      <c r="C220" s="10">
        <v>8588.81</v>
      </c>
      <c r="D220" s="10">
        <v>0</v>
      </c>
      <c r="E220" s="10">
        <v>43411.189999999995</v>
      </c>
    </row>
    <row r="221" spans="1:5">
      <c r="A221" s="9" t="s">
        <v>285</v>
      </c>
      <c r="B221" s="13">
        <v>0</v>
      </c>
      <c r="C221" s="10">
        <v>98.31</v>
      </c>
      <c r="D221" s="10">
        <v>0</v>
      </c>
      <c r="E221" s="10">
        <v>-98.31</v>
      </c>
    </row>
    <row r="222" spans="1:5">
      <c r="A222" s="9" t="s">
        <v>287</v>
      </c>
      <c r="B222" s="13">
        <v>0</v>
      </c>
      <c r="C222" s="10">
        <v>0</v>
      </c>
      <c r="D222" s="10">
        <v>0</v>
      </c>
      <c r="E222" s="10">
        <v>0</v>
      </c>
    </row>
    <row r="223" spans="1:5">
      <c r="A223" s="9" t="s">
        <v>288</v>
      </c>
      <c r="B223" s="13">
        <v>0</v>
      </c>
      <c r="C223" s="10">
        <v>24948</v>
      </c>
      <c r="D223" s="10">
        <v>0</v>
      </c>
      <c r="E223" s="10">
        <v>-24948</v>
      </c>
    </row>
    <row r="224" spans="1:5">
      <c r="A224" s="8" t="s">
        <v>456</v>
      </c>
      <c r="B224" s="13">
        <v>52000</v>
      </c>
      <c r="C224" s="10">
        <v>33635.119999999995</v>
      </c>
      <c r="D224" s="10">
        <v>0</v>
      </c>
      <c r="E224" s="10">
        <v>18364.879999999997</v>
      </c>
    </row>
    <row r="225" spans="1:5">
      <c r="A225" s="8" t="s">
        <v>325</v>
      </c>
      <c r="B225" s="13"/>
      <c r="C225" s="10"/>
      <c r="D225" s="10"/>
      <c r="E225" s="10"/>
    </row>
    <row r="226" spans="1:5">
      <c r="A226" s="9" t="s">
        <v>363</v>
      </c>
      <c r="B226" s="13">
        <v>0</v>
      </c>
      <c r="C226" s="10">
        <v>-577</v>
      </c>
      <c r="D226" s="10">
        <v>0</v>
      </c>
      <c r="E226" s="10">
        <v>577</v>
      </c>
    </row>
    <row r="227" spans="1:5">
      <c r="A227" s="9" t="s">
        <v>292</v>
      </c>
      <c r="B227" s="13">
        <v>0</v>
      </c>
      <c r="C227" s="10">
        <v>-169</v>
      </c>
      <c r="D227" s="10">
        <v>0</v>
      </c>
      <c r="E227" s="10">
        <v>169</v>
      </c>
    </row>
    <row r="228" spans="1:5">
      <c r="A228" s="9" t="s">
        <v>284</v>
      </c>
      <c r="B228" s="13">
        <v>4200</v>
      </c>
      <c r="C228" s="10">
        <v>1977.9499999999998</v>
      </c>
      <c r="D228" s="10">
        <v>0</v>
      </c>
      <c r="E228" s="10">
        <v>2222.0500000000002</v>
      </c>
    </row>
    <row r="229" spans="1:5">
      <c r="A229" s="9" t="s">
        <v>285</v>
      </c>
      <c r="B229" s="13">
        <v>0</v>
      </c>
      <c r="C229" s="10">
        <v>0</v>
      </c>
      <c r="D229" s="10">
        <v>0</v>
      </c>
      <c r="E229" s="10">
        <v>0</v>
      </c>
    </row>
    <row r="230" spans="1:5">
      <c r="A230" s="9" t="s">
        <v>288</v>
      </c>
      <c r="B230" s="13">
        <v>0</v>
      </c>
      <c r="C230" s="10">
        <v>2350</v>
      </c>
      <c r="D230" s="10">
        <v>0</v>
      </c>
      <c r="E230" s="10">
        <v>-2350</v>
      </c>
    </row>
    <row r="231" spans="1:5">
      <c r="A231" s="8" t="s">
        <v>457</v>
      </c>
      <c r="B231" s="13">
        <v>4200</v>
      </c>
      <c r="C231" s="10">
        <v>3581.95</v>
      </c>
      <c r="D231" s="10">
        <v>0</v>
      </c>
      <c r="E231" s="10">
        <v>618.05000000000018</v>
      </c>
    </row>
    <row r="232" spans="1:5">
      <c r="A232" s="8" t="s">
        <v>326</v>
      </c>
      <c r="B232" s="13"/>
      <c r="C232" s="10"/>
      <c r="D232" s="10"/>
      <c r="E232" s="10"/>
    </row>
    <row r="233" spans="1:5">
      <c r="A233" s="9" t="s">
        <v>284</v>
      </c>
      <c r="B233" s="13">
        <v>3230</v>
      </c>
      <c r="C233" s="10">
        <v>3751.4399999999996</v>
      </c>
      <c r="D233" s="10">
        <v>0</v>
      </c>
      <c r="E233" s="10">
        <v>-521.44000000000005</v>
      </c>
    </row>
    <row r="234" spans="1:5">
      <c r="A234" s="8" t="s">
        <v>458</v>
      </c>
      <c r="B234" s="13">
        <v>3230</v>
      </c>
      <c r="C234" s="10">
        <v>3751.4399999999996</v>
      </c>
      <c r="D234" s="10">
        <v>0</v>
      </c>
      <c r="E234" s="10">
        <v>-521.44000000000005</v>
      </c>
    </row>
    <row r="235" spans="1:5">
      <c r="A235" s="8" t="s">
        <v>407</v>
      </c>
      <c r="B235" s="13"/>
      <c r="C235" s="10"/>
      <c r="D235" s="10"/>
      <c r="E235" s="10"/>
    </row>
    <row r="236" spans="1:5">
      <c r="A236" s="9" t="s">
        <v>284</v>
      </c>
      <c r="B236" s="13">
        <v>0</v>
      </c>
      <c r="C236" s="10">
        <v>0</v>
      </c>
      <c r="D236" s="10">
        <v>0</v>
      </c>
      <c r="E236" s="10">
        <v>0</v>
      </c>
    </row>
    <row r="237" spans="1:5">
      <c r="A237" s="8" t="s">
        <v>459</v>
      </c>
      <c r="B237" s="13">
        <v>0</v>
      </c>
      <c r="C237" s="10">
        <v>0</v>
      </c>
      <c r="D237" s="10">
        <v>0</v>
      </c>
      <c r="E237" s="10">
        <v>0</v>
      </c>
    </row>
    <row r="238" spans="1:5">
      <c r="A238" s="8" t="s">
        <v>327</v>
      </c>
      <c r="B238" s="13"/>
      <c r="C238" s="10"/>
      <c r="D238" s="10"/>
      <c r="E238" s="10"/>
    </row>
    <row r="239" spans="1:5">
      <c r="A239" s="9" t="s">
        <v>284</v>
      </c>
      <c r="B239" s="13">
        <v>6900</v>
      </c>
      <c r="C239" s="10">
        <v>4119.6000000000004</v>
      </c>
      <c r="D239" s="10">
        <v>0</v>
      </c>
      <c r="E239" s="10">
        <v>2780.3999999999996</v>
      </c>
    </row>
    <row r="240" spans="1:5">
      <c r="A240" s="9" t="s">
        <v>285</v>
      </c>
      <c r="B240" s="13">
        <v>0</v>
      </c>
      <c r="C240" s="10">
        <v>1658.2599999999998</v>
      </c>
      <c r="D240" s="10">
        <v>0</v>
      </c>
      <c r="E240" s="10">
        <v>-1658.2599999999998</v>
      </c>
    </row>
    <row r="241" spans="1:5">
      <c r="A241" s="8" t="s">
        <v>460</v>
      </c>
      <c r="B241" s="13">
        <v>6900</v>
      </c>
      <c r="C241" s="10">
        <v>5777.8600000000006</v>
      </c>
      <c r="D241" s="10">
        <v>0</v>
      </c>
      <c r="E241" s="10">
        <v>1122.1399999999999</v>
      </c>
    </row>
    <row r="242" spans="1:5">
      <c r="A242" s="8" t="s">
        <v>328</v>
      </c>
      <c r="B242" s="13"/>
      <c r="C242" s="10"/>
      <c r="D242" s="10"/>
      <c r="E242" s="10"/>
    </row>
    <row r="243" spans="1:5">
      <c r="A243" s="9" t="s">
        <v>363</v>
      </c>
      <c r="B243" s="13">
        <v>0</v>
      </c>
      <c r="C243" s="10">
        <v>-6114.12</v>
      </c>
      <c r="D243" s="10">
        <v>0</v>
      </c>
      <c r="E243" s="10">
        <v>6114.12</v>
      </c>
    </row>
    <row r="244" spans="1:5">
      <c r="A244" s="9" t="s">
        <v>292</v>
      </c>
      <c r="B244" s="13">
        <v>0</v>
      </c>
      <c r="C244" s="10">
        <v>-3274</v>
      </c>
      <c r="D244" s="10">
        <v>0</v>
      </c>
      <c r="E244" s="10">
        <v>3274</v>
      </c>
    </row>
    <row r="245" spans="1:5">
      <c r="A245" s="9" t="s">
        <v>281</v>
      </c>
      <c r="B245" s="13">
        <v>0</v>
      </c>
      <c r="C245" s="10">
        <v>0</v>
      </c>
      <c r="D245" s="10">
        <v>0</v>
      </c>
      <c r="E245" s="10">
        <v>0</v>
      </c>
    </row>
    <row r="246" spans="1:5">
      <c r="A246" s="9" t="s">
        <v>282</v>
      </c>
      <c r="B246" s="13">
        <v>0</v>
      </c>
      <c r="C246" s="10">
        <v>0</v>
      </c>
      <c r="D246" s="10">
        <v>0</v>
      </c>
      <c r="E246" s="10">
        <v>0</v>
      </c>
    </row>
    <row r="247" spans="1:5">
      <c r="A247" s="9" t="s">
        <v>284</v>
      </c>
      <c r="B247" s="13">
        <v>5000</v>
      </c>
      <c r="C247" s="10">
        <v>7985.7199999999993</v>
      </c>
      <c r="D247" s="10">
        <v>0</v>
      </c>
      <c r="E247" s="10">
        <v>-2985.7200000000003</v>
      </c>
    </row>
    <row r="248" spans="1:5">
      <c r="A248" s="9" t="s">
        <v>285</v>
      </c>
      <c r="B248" s="13">
        <v>0</v>
      </c>
      <c r="C248" s="10">
        <v>2157.48</v>
      </c>
      <c r="D248" s="10">
        <v>0</v>
      </c>
      <c r="E248" s="10">
        <v>-2157.48</v>
      </c>
    </row>
    <row r="249" spans="1:5">
      <c r="A249" s="9" t="s">
        <v>288</v>
      </c>
      <c r="B249" s="13">
        <v>0</v>
      </c>
      <c r="C249" s="10">
        <v>0</v>
      </c>
      <c r="D249" s="10">
        <v>0</v>
      </c>
      <c r="E249" s="10">
        <v>0</v>
      </c>
    </row>
    <row r="250" spans="1:5">
      <c r="A250" s="8" t="s">
        <v>461</v>
      </c>
      <c r="B250" s="13">
        <v>5000</v>
      </c>
      <c r="C250" s="10">
        <v>755.08000000000038</v>
      </c>
      <c r="D250" s="10">
        <v>0</v>
      </c>
      <c r="E250" s="10">
        <v>4244.9199999999983</v>
      </c>
    </row>
    <row r="251" spans="1:5">
      <c r="A251" s="8" t="s">
        <v>329</v>
      </c>
      <c r="B251" s="13"/>
      <c r="C251" s="10"/>
      <c r="D251" s="10"/>
      <c r="E251" s="10"/>
    </row>
    <row r="252" spans="1:5">
      <c r="A252" s="9" t="s">
        <v>363</v>
      </c>
      <c r="B252" s="13">
        <v>0</v>
      </c>
      <c r="C252" s="10">
        <v>0</v>
      </c>
      <c r="D252" s="10">
        <v>0</v>
      </c>
      <c r="E252" s="10">
        <v>0</v>
      </c>
    </row>
    <row r="253" spans="1:5">
      <c r="A253" s="9" t="s">
        <v>292</v>
      </c>
      <c r="B253" s="13">
        <v>0</v>
      </c>
      <c r="C253" s="10">
        <v>-1232</v>
      </c>
      <c r="D253" s="10">
        <v>0</v>
      </c>
      <c r="E253" s="10">
        <v>1232</v>
      </c>
    </row>
    <row r="254" spans="1:5">
      <c r="A254" s="9" t="s">
        <v>291</v>
      </c>
      <c r="B254" s="13">
        <v>0</v>
      </c>
      <c r="C254" s="10">
        <v>299</v>
      </c>
      <c r="D254" s="10">
        <v>0</v>
      </c>
      <c r="E254" s="10">
        <v>-299</v>
      </c>
    </row>
    <row r="255" spans="1:5">
      <c r="A255" s="9" t="s">
        <v>284</v>
      </c>
      <c r="B255" s="13">
        <v>7000</v>
      </c>
      <c r="C255" s="10">
        <v>3391.86</v>
      </c>
      <c r="D255" s="10">
        <v>0</v>
      </c>
      <c r="E255" s="10">
        <v>3608.14</v>
      </c>
    </row>
    <row r="256" spans="1:5">
      <c r="A256" s="9" t="s">
        <v>288</v>
      </c>
      <c r="B256" s="13">
        <v>0</v>
      </c>
      <c r="C256" s="10">
        <v>500</v>
      </c>
      <c r="D256" s="10">
        <v>0</v>
      </c>
      <c r="E256" s="10">
        <v>-500</v>
      </c>
    </row>
    <row r="257" spans="1:5">
      <c r="A257" s="8" t="s">
        <v>462</v>
      </c>
      <c r="B257" s="13">
        <v>7000</v>
      </c>
      <c r="C257" s="10">
        <v>2958.86</v>
      </c>
      <c r="D257" s="10">
        <v>0</v>
      </c>
      <c r="E257" s="10">
        <v>4041.1399999999994</v>
      </c>
    </row>
    <row r="258" spans="1:5">
      <c r="A258" s="8" t="s">
        <v>330</v>
      </c>
      <c r="B258" s="13"/>
      <c r="C258" s="10"/>
      <c r="D258" s="10"/>
      <c r="E258" s="10"/>
    </row>
    <row r="259" spans="1:5">
      <c r="A259" s="9" t="s">
        <v>363</v>
      </c>
      <c r="B259" s="13">
        <v>0</v>
      </c>
      <c r="C259" s="10">
        <v>0</v>
      </c>
      <c r="D259" s="10">
        <v>0</v>
      </c>
      <c r="E259" s="10">
        <v>0</v>
      </c>
    </row>
    <row r="260" spans="1:5">
      <c r="A260" s="9" t="s">
        <v>292</v>
      </c>
      <c r="B260" s="13">
        <v>0</v>
      </c>
      <c r="C260" s="10">
        <v>0</v>
      </c>
      <c r="D260" s="10">
        <v>0</v>
      </c>
      <c r="E260" s="10">
        <v>0</v>
      </c>
    </row>
    <row r="261" spans="1:5">
      <c r="A261" s="9" t="s">
        <v>291</v>
      </c>
      <c r="B261" s="13">
        <v>0</v>
      </c>
      <c r="C261" s="10">
        <v>0</v>
      </c>
      <c r="D261" s="10">
        <v>0</v>
      </c>
      <c r="E261" s="10">
        <v>0</v>
      </c>
    </row>
    <row r="262" spans="1:5">
      <c r="A262" s="9" t="s">
        <v>284</v>
      </c>
      <c r="B262" s="13">
        <v>3000</v>
      </c>
      <c r="C262" s="10">
        <v>1279.8200000000002</v>
      </c>
      <c r="D262" s="10">
        <v>0</v>
      </c>
      <c r="E262" s="10">
        <v>1720.1799999999998</v>
      </c>
    </row>
    <row r="263" spans="1:5">
      <c r="A263" s="9" t="s">
        <v>286</v>
      </c>
      <c r="B263" s="13">
        <v>0</v>
      </c>
      <c r="C263" s="10">
        <v>0</v>
      </c>
      <c r="D263" s="10">
        <v>0</v>
      </c>
      <c r="E263" s="10">
        <v>0</v>
      </c>
    </row>
    <row r="264" spans="1:5">
      <c r="A264" s="8" t="s">
        <v>463</v>
      </c>
      <c r="B264" s="13">
        <v>3000</v>
      </c>
      <c r="C264" s="10">
        <v>1279.8200000000002</v>
      </c>
      <c r="D264" s="10">
        <v>0</v>
      </c>
      <c r="E264" s="10">
        <v>1720.1799999999998</v>
      </c>
    </row>
    <row r="265" spans="1:5">
      <c r="A265" s="8" t="s">
        <v>408</v>
      </c>
      <c r="B265" s="13"/>
      <c r="C265" s="10"/>
      <c r="D265" s="10"/>
      <c r="E265" s="10"/>
    </row>
    <row r="266" spans="1:5">
      <c r="A266" s="9" t="s">
        <v>281</v>
      </c>
      <c r="B266" s="13">
        <v>0</v>
      </c>
      <c r="C266" s="10">
        <v>0</v>
      </c>
      <c r="D266" s="10">
        <v>0</v>
      </c>
      <c r="E266" s="10">
        <v>0</v>
      </c>
    </row>
    <row r="267" spans="1:5">
      <c r="A267" s="9" t="s">
        <v>282</v>
      </c>
      <c r="B267" s="13">
        <v>0</v>
      </c>
      <c r="C267" s="10">
        <v>0</v>
      </c>
      <c r="D267" s="10">
        <v>0</v>
      </c>
      <c r="E267" s="10">
        <v>0</v>
      </c>
    </row>
    <row r="268" spans="1:5">
      <c r="A268" s="8" t="s">
        <v>464</v>
      </c>
      <c r="B268" s="13">
        <v>0</v>
      </c>
      <c r="C268" s="10">
        <v>0</v>
      </c>
      <c r="D268" s="10">
        <v>0</v>
      </c>
      <c r="E268" s="10">
        <v>0</v>
      </c>
    </row>
    <row r="269" spans="1:5">
      <c r="A269" s="8" t="s">
        <v>331</v>
      </c>
      <c r="B269" s="13"/>
      <c r="C269" s="10"/>
      <c r="D269" s="10"/>
      <c r="E269" s="10"/>
    </row>
    <row r="270" spans="1:5">
      <c r="A270" s="9" t="s">
        <v>363</v>
      </c>
      <c r="B270" s="13">
        <v>0</v>
      </c>
      <c r="C270" s="10">
        <v>0</v>
      </c>
      <c r="D270" s="10">
        <v>0</v>
      </c>
      <c r="E270" s="10">
        <v>0</v>
      </c>
    </row>
    <row r="271" spans="1:5">
      <c r="A271" s="9" t="s">
        <v>284</v>
      </c>
      <c r="B271" s="13">
        <v>2504</v>
      </c>
      <c r="C271" s="10">
        <v>0</v>
      </c>
      <c r="D271" s="10">
        <v>0</v>
      </c>
      <c r="E271" s="10">
        <v>2504</v>
      </c>
    </row>
    <row r="272" spans="1:5">
      <c r="A272" s="9" t="s">
        <v>285</v>
      </c>
      <c r="B272" s="13">
        <v>0</v>
      </c>
      <c r="C272" s="10">
        <v>0</v>
      </c>
      <c r="D272" s="10">
        <v>0</v>
      </c>
      <c r="E272" s="10">
        <v>0</v>
      </c>
    </row>
    <row r="273" spans="1:5">
      <c r="A273" s="9" t="s">
        <v>288</v>
      </c>
      <c r="B273" s="13">
        <v>0</v>
      </c>
      <c r="C273" s="10">
        <v>1250</v>
      </c>
      <c r="D273" s="10">
        <v>0</v>
      </c>
      <c r="E273" s="10">
        <v>-1250</v>
      </c>
    </row>
    <row r="274" spans="1:5">
      <c r="A274" s="8" t="s">
        <v>465</v>
      </c>
      <c r="B274" s="13">
        <v>2504</v>
      </c>
      <c r="C274" s="10">
        <v>1250</v>
      </c>
      <c r="D274" s="10">
        <v>0</v>
      </c>
      <c r="E274" s="10">
        <v>1254</v>
      </c>
    </row>
    <row r="275" spans="1:5">
      <c r="A275" s="8" t="s">
        <v>332</v>
      </c>
      <c r="B275" s="13"/>
      <c r="C275" s="10"/>
      <c r="D275" s="10"/>
      <c r="E275" s="10"/>
    </row>
    <row r="276" spans="1:5">
      <c r="A276" s="9" t="s">
        <v>363</v>
      </c>
      <c r="B276" s="13">
        <v>0</v>
      </c>
      <c r="C276" s="10">
        <v>-407</v>
      </c>
      <c r="D276" s="10">
        <v>0</v>
      </c>
      <c r="E276" s="10">
        <v>407</v>
      </c>
    </row>
    <row r="277" spans="1:5">
      <c r="A277" s="9" t="s">
        <v>284</v>
      </c>
      <c r="B277" s="13">
        <v>3000</v>
      </c>
      <c r="C277" s="10">
        <v>857.85</v>
      </c>
      <c r="D277" s="10">
        <v>0</v>
      </c>
      <c r="E277" s="10">
        <v>2142.15</v>
      </c>
    </row>
    <row r="278" spans="1:5">
      <c r="A278" s="9" t="s">
        <v>285</v>
      </c>
      <c r="B278" s="13">
        <v>0</v>
      </c>
      <c r="C278" s="10">
        <v>1425.77</v>
      </c>
      <c r="D278" s="10">
        <v>0</v>
      </c>
      <c r="E278" s="10">
        <v>-1425.77</v>
      </c>
    </row>
    <row r="279" spans="1:5">
      <c r="A279" s="8" t="s">
        <v>466</v>
      </c>
      <c r="B279" s="13">
        <v>3000</v>
      </c>
      <c r="C279" s="10">
        <v>1876.62</v>
      </c>
      <c r="D279" s="10">
        <v>0</v>
      </c>
      <c r="E279" s="10">
        <v>1123.3800000000001</v>
      </c>
    </row>
    <row r="280" spans="1:5">
      <c r="A280" s="8" t="s">
        <v>333</v>
      </c>
      <c r="B280" s="13"/>
      <c r="C280" s="10"/>
      <c r="D280" s="10"/>
      <c r="E280" s="10"/>
    </row>
    <row r="281" spans="1:5">
      <c r="A281" s="9" t="s">
        <v>363</v>
      </c>
      <c r="B281" s="13">
        <v>0</v>
      </c>
      <c r="C281" s="10">
        <v>-1178</v>
      </c>
      <c r="D281" s="10">
        <v>0</v>
      </c>
      <c r="E281" s="10">
        <v>1178</v>
      </c>
    </row>
    <row r="282" spans="1:5">
      <c r="A282" s="9" t="s">
        <v>292</v>
      </c>
      <c r="B282" s="13">
        <v>0</v>
      </c>
      <c r="C282" s="10">
        <v>0</v>
      </c>
      <c r="D282" s="10">
        <v>0</v>
      </c>
      <c r="E282" s="10">
        <v>0</v>
      </c>
    </row>
    <row r="283" spans="1:5">
      <c r="A283" s="9" t="s">
        <v>290</v>
      </c>
      <c r="B283" s="13">
        <v>0</v>
      </c>
      <c r="C283" s="10">
        <v>-256</v>
      </c>
      <c r="D283" s="10">
        <v>0</v>
      </c>
      <c r="E283" s="10">
        <v>256</v>
      </c>
    </row>
    <row r="284" spans="1:5">
      <c r="A284" s="9" t="s">
        <v>291</v>
      </c>
      <c r="B284" s="13">
        <v>0</v>
      </c>
      <c r="C284" s="10">
        <v>50</v>
      </c>
      <c r="D284" s="10">
        <v>0</v>
      </c>
      <c r="E284" s="10">
        <v>-50</v>
      </c>
    </row>
    <row r="285" spans="1:5">
      <c r="A285" s="9" t="s">
        <v>284</v>
      </c>
      <c r="B285" s="13">
        <v>3953</v>
      </c>
      <c r="C285" s="10">
        <v>2553.4899999999998</v>
      </c>
      <c r="D285" s="10">
        <v>0</v>
      </c>
      <c r="E285" s="10">
        <v>1399.51</v>
      </c>
    </row>
    <row r="286" spans="1:5">
      <c r="A286" s="9" t="s">
        <v>285</v>
      </c>
      <c r="B286" s="13">
        <v>0</v>
      </c>
      <c r="C286" s="10">
        <v>3252.96</v>
      </c>
      <c r="D286" s="10">
        <v>0</v>
      </c>
      <c r="E286" s="10">
        <v>-3252.96</v>
      </c>
    </row>
    <row r="287" spans="1:5">
      <c r="A287" s="9" t="s">
        <v>286</v>
      </c>
      <c r="B287" s="13">
        <v>0</v>
      </c>
      <c r="C287" s="10">
        <v>0</v>
      </c>
      <c r="D287" s="10">
        <v>0</v>
      </c>
      <c r="E287" s="10">
        <v>0</v>
      </c>
    </row>
    <row r="288" spans="1:5">
      <c r="A288" s="8" t="s">
        <v>467</v>
      </c>
      <c r="B288" s="13">
        <v>3953</v>
      </c>
      <c r="C288" s="10">
        <v>4422.45</v>
      </c>
      <c r="D288" s="10">
        <v>0</v>
      </c>
      <c r="E288" s="10">
        <v>-469.44999999999982</v>
      </c>
    </row>
    <row r="289" spans="1:5">
      <c r="A289" s="8" t="s">
        <v>334</v>
      </c>
      <c r="B289" s="13"/>
      <c r="C289" s="10"/>
      <c r="D289" s="10"/>
      <c r="E289" s="10"/>
    </row>
    <row r="290" spans="1:5">
      <c r="A290" s="9" t="s">
        <v>363</v>
      </c>
      <c r="B290" s="13">
        <v>0</v>
      </c>
      <c r="C290" s="10">
        <v>-297</v>
      </c>
      <c r="D290" s="10">
        <v>0</v>
      </c>
      <c r="E290" s="10">
        <v>297</v>
      </c>
    </row>
    <row r="291" spans="1:5">
      <c r="A291" s="9" t="s">
        <v>284</v>
      </c>
      <c r="B291" s="13">
        <v>36920</v>
      </c>
      <c r="C291" s="10">
        <v>28285.829999999998</v>
      </c>
      <c r="D291" s="10">
        <v>0</v>
      </c>
      <c r="E291" s="10">
        <v>8634.1700000000019</v>
      </c>
    </row>
    <row r="292" spans="1:5">
      <c r="A292" s="9" t="s">
        <v>285</v>
      </c>
      <c r="B292" s="13">
        <v>0</v>
      </c>
      <c r="C292" s="10">
        <v>7103.7499999999991</v>
      </c>
      <c r="D292" s="10">
        <v>0</v>
      </c>
      <c r="E292" s="10">
        <v>-7103.7499999999991</v>
      </c>
    </row>
    <row r="293" spans="1:5">
      <c r="A293" s="9" t="s">
        <v>286</v>
      </c>
      <c r="B293" s="13">
        <v>0</v>
      </c>
      <c r="C293" s="10">
        <v>0</v>
      </c>
      <c r="D293" s="10">
        <v>0</v>
      </c>
      <c r="E293" s="10">
        <v>0</v>
      </c>
    </row>
    <row r="294" spans="1:5">
      <c r="A294" s="9" t="s">
        <v>287</v>
      </c>
      <c r="B294" s="13">
        <v>0</v>
      </c>
      <c r="C294" s="10">
        <v>1659.83</v>
      </c>
      <c r="D294" s="10">
        <v>0</v>
      </c>
      <c r="E294" s="10">
        <v>-1659.83</v>
      </c>
    </row>
    <row r="295" spans="1:5">
      <c r="A295" s="9" t="s">
        <v>288</v>
      </c>
      <c r="B295" s="13">
        <v>0</v>
      </c>
      <c r="C295" s="10">
        <v>250</v>
      </c>
      <c r="D295" s="10">
        <v>0</v>
      </c>
      <c r="E295" s="10">
        <v>-250</v>
      </c>
    </row>
    <row r="296" spans="1:5">
      <c r="A296" s="8" t="s">
        <v>468</v>
      </c>
      <c r="B296" s="13">
        <v>36920</v>
      </c>
      <c r="C296" s="10">
        <v>37002.409999999996</v>
      </c>
      <c r="D296" s="10">
        <v>0</v>
      </c>
      <c r="E296" s="10">
        <v>-82.409999999997126</v>
      </c>
    </row>
    <row r="297" spans="1:5">
      <c r="A297" s="8" t="s">
        <v>409</v>
      </c>
      <c r="B297" s="13"/>
      <c r="C297" s="10"/>
      <c r="D297" s="10"/>
      <c r="E297" s="10"/>
    </row>
    <row r="298" spans="1:5">
      <c r="A298" s="9" t="s">
        <v>284</v>
      </c>
      <c r="B298" s="13">
        <v>0</v>
      </c>
      <c r="C298" s="10">
        <v>0</v>
      </c>
      <c r="D298" s="10">
        <v>0</v>
      </c>
      <c r="E298" s="10">
        <v>0</v>
      </c>
    </row>
    <row r="299" spans="1:5">
      <c r="A299" s="8" t="s">
        <v>469</v>
      </c>
      <c r="B299" s="13">
        <v>0</v>
      </c>
      <c r="C299" s="10">
        <v>0</v>
      </c>
      <c r="D299" s="10">
        <v>0</v>
      </c>
      <c r="E299" s="10">
        <v>0</v>
      </c>
    </row>
    <row r="300" spans="1:5">
      <c r="A300" s="8" t="s">
        <v>335</v>
      </c>
      <c r="B300" s="13"/>
      <c r="C300" s="10"/>
      <c r="D300" s="10"/>
      <c r="E300" s="10"/>
    </row>
    <row r="301" spans="1:5">
      <c r="A301" s="9" t="s">
        <v>363</v>
      </c>
      <c r="B301" s="13">
        <v>0</v>
      </c>
      <c r="C301" s="10">
        <v>-3413</v>
      </c>
      <c r="D301" s="10">
        <v>0</v>
      </c>
      <c r="E301" s="10">
        <v>3413</v>
      </c>
    </row>
    <row r="302" spans="1:5">
      <c r="A302" s="9" t="s">
        <v>292</v>
      </c>
      <c r="B302" s="13">
        <v>0</v>
      </c>
      <c r="C302" s="10">
        <v>0</v>
      </c>
      <c r="D302" s="10">
        <v>0</v>
      </c>
      <c r="E302" s="10">
        <v>0</v>
      </c>
    </row>
    <row r="303" spans="1:5">
      <c r="A303" s="9" t="s">
        <v>283</v>
      </c>
      <c r="B303" s="13">
        <v>0</v>
      </c>
      <c r="C303" s="10">
        <v>0</v>
      </c>
      <c r="D303" s="10">
        <v>0</v>
      </c>
      <c r="E303" s="10">
        <v>0</v>
      </c>
    </row>
    <row r="304" spans="1:5">
      <c r="A304" s="9" t="s">
        <v>284</v>
      </c>
      <c r="B304" s="13">
        <v>4930</v>
      </c>
      <c r="C304" s="10">
        <v>11097.87</v>
      </c>
      <c r="D304" s="10">
        <v>0</v>
      </c>
      <c r="E304" s="10">
        <v>-6167.87</v>
      </c>
    </row>
    <row r="305" spans="1:5">
      <c r="A305" s="9" t="s">
        <v>288</v>
      </c>
      <c r="B305" s="13">
        <v>0</v>
      </c>
      <c r="C305" s="10">
        <v>600</v>
      </c>
      <c r="D305" s="10">
        <v>0</v>
      </c>
      <c r="E305" s="10">
        <v>-600</v>
      </c>
    </row>
    <row r="306" spans="1:5">
      <c r="A306" s="8" t="s">
        <v>470</v>
      </c>
      <c r="B306" s="13">
        <v>4930</v>
      </c>
      <c r="C306" s="10">
        <v>8284.8700000000008</v>
      </c>
      <c r="D306" s="10">
        <v>0</v>
      </c>
      <c r="E306" s="10">
        <v>-3354.87</v>
      </c>
    </row>
    <row r="307" spans="1:5">
      <c r="A307" s="8" t="s">
        <v>336</v>
      </c>
      <c r="B307" s="13"/>
      <c r="C307" s="10"/>
      <c r="D307" s="10"/>
      <c r="E307" s="10"/>
    </row>
    <row r="308" spans="1:5">
      <c r="A308" s="9" t="s">
        <v>363</v>
      </c>
      <c r="B308" s="13">
        <v>0</v>
      </c>
      <c r="C308" s="10">
        <v>-563</v>
      </c>
      <c r="D308" s="10">
        <v>0</v>
      </c>
      <c r="E308" s="10">
        <v>563</v>
      </c>
    </row>
    <row r="309" spans="1:5">
      <c r="A309" s="9" t="s">
        <v>292</v>
      </c>
      <c r="B309" s="13">
        <v>0</v>
      </c>
      <c r="C309" s="10">
        <v>-363</v>
      </c>
      <c r="D309" s="10">
        <v>0</v>
      </c>
      <c r="E309" s="10">
        <v>363</v>
      </c>
    </row>
    <row r="310" spans="1:5">
      <c r="A310" s="9" t="s">
        <v>284</v>
      </c>
      <c r="B310" s="13">
        <v>10500</v>
      </c>
      <c r="C310" s="10">
        <v>9557.43</v>
      </c>
      <c r="D310" s="10">
        <v>0</v>
      </c>
      <c r="E310" s="10">
        <v>942.56999999999971</v>
      </c>
    </row>
    <row r="311" spans="1:5">
      <c r="A311" s="9" t="s">
        <v>285</v>
      </c>
      <c r="B311" s="13">
        <v>0</v>
      </c>
      <c r="C311" s="10">
        <v>0</v>
      </c>
      <c r="D311" s="10">
        <v>0</v>
      </c>
      <c r="E311" s="10">
        <v>0</v>
      </c>
    </row>
    <row r="312" spans="1:5">
      <c r="A312" s="9" t="s">
        <v>288</v>
      </c>
      <c r="B312" s="13">
        <v>0</v>
      </c>
      <c r="C312" s="10">
        <v>0</v>
      </c>
      <c r="D312" s="10">
        <v>0</v>
      </c>
      <c r="E312" s="10">
        <v>0</v>
      </c>
    </row>
    <row r="313" spans="1:5">
      <c r="A313" s="8" t="s">
        <v>471</v>
      </c>
      <c r="B313" s="13">
        <v>10500</v>
      </c>
      <c r="C313" s="10">
        <v>8631.43</v>
      </c>
      <c r="D313" s="10">
        <v>0</v>
      </c>
      <c r="E313" s="10">
        <v>1868.5699999999997</v>
      </c>
    </row>
    <row r="314" spans="1:5">
      <c r="A314" s="8" t="s">
        <v>337</v>
      </c>
      <c r="B314" s="13"/>
      <c r="C314" s="10"/>
      <c r="D314" s="10"/>
      <c r="E314" s="10"/>
    </row>
    <row r="315" spans="1:5">
      <c r="A315" s="9" t="s">
        <v>284</v>
      </c>
      <c r="B315" s="13">
        <v>0</v>
      </c>
      <c r="C315" s="10">
        <v>0</v>
      </c>
      <c r="D315" s="10">
        <v>0</v>
      </c>
      <c r="E315" s="10">
        <v>0</v>
      </c>
    </row>
    <row r="316" spans="1:5">
      <c r="A316" s="9" t="s">
        <v>285</v>
      </c>
      <c r="B316" s="13">
        <v>0</v>
      </c>
      <c r="C316" s="10">
        <v>231.8</v>
      </c>
      <c r="D316" s="10">
        <v>0</v>
      </c>
      <c r="E316" s="10">
        <v>-231.8</v>
      </c>
    </row>
    <row r="317" spans="1:5">
      <c r="A317" s="8" t="s">
        <v>472</v>
      </c>
      <c r="B317" s="13">
        <v>0</v>
      </c>
      <c r="C317" s="10">
        <v>231.8</v>
      </c>
      <c r="D317" s="10">
        <v>0</v>
      </c>
      <c r="E317" s="10">
        <v>-231.8</v>
      </c>
    </row>
    <row r="318" spans="1:5">
      <c r="A318" s="8" t="s">
        <v>338</v>
      </c>
      <c r="B318" s="13"/>
      <c r="C318" s="10"/>
      <c r="D318" s="10"/>
      <c r="E318" s="10"/>
    </row>
    <row r="319" spans="1:5">
      <c r="A319" s="9" t="s">
        <v>363</v>
      </c>
      <c r="B319" s="13">
        <v>0</v>
      </c>
      <c r="C319" s="10">
        <v>0</v>
      </c>
      <c r="D319" s="10">
        <v>0</v>
      </c>
      <c r="E319" s="10">
        <v>0</v>
      </c>
    </row>
    <row r="320" spans="1:5">
      <c r="A320" s="9" t="s">
        <v>292</v>
      </c>
      <c r="B320" s="13">
        <v>0</v>
      </c>
      <c r="C320" s="10">
        <v>0</v>
      </c>
      <c r="D320" s="10">
        <v>0</v>
      </c>
      <c r="E320" s="10">
        <v>0</v>
      </c>
    </row>
    <row r="321" spans="1:5">
      <c r="A321" s="9" t="s">
        <v>291</v>
      </c>
      <c r="B321" s="13">
        <v>0</v>
      </c>
      <c r="C321" s="10">
        <v>250</v>
      </c>
      <c r="D321" s="10">
        <v>0</v>
      </c>
      <c r="E321" s="10">
        <v>-250</v>
      </c>
    </row>
    <row r="322" spans="1:5">
      <c r="A322" s="9" t="s">
        <v>284</v>
      </c>
      <c r="B322" s="13">
        <v>35700</v>
      </c>
      <c r="C322" s="10">
        <v>17542.689999999999</v>
      </c>
      <c r="D322" s="10">
        <v>0</v>
      </c>
      <c r="E322" s="10">
        <v>18157.310000000001</v>
      </c>
    </row>
    <row r="323" spans="1:5">
      <c r="A323" s="9" t="s">
        <v>285</v>
      </c>
      <c r="B323" s="13">
        <v>0</v>
      </c>
      <c r="C323" s="10">
        <v>8316.68</v>
      </c>
      <c r="D323" s="10">
        <v>0</v>
      </c>
      <c r="E323" s="10">
        <v>-8316.68</v>
      </c>
    </row>
    <row r="324" spans="1:5">
      <c r="A324" s="9" t="s">
        <v>286</v>
      </c>
      <c r="B324" s="13">
        <v>0</v>
      </c>
      <c r="C324" s="10">
        <v>8504.65</v>
      </c>
      <c r="D324" s="10">
        <v>0</v>
      </c>
      <c r="E324" s="10">
        <v>-8504.65</v>
      </c>
    </row>
    <row r="325" spans="1:5">
      <c r="A325" s="9" t="s">
        <v>288</v>
      </c>
      <c r="B325" s="13">
        <v>0</v>
      </c>
      <c r="C325" s="10">
        <v>900</v>
      </c>
      <c r="D325" s="10">
        <v>0</v>
      </c>
      <c r="E325" s="10">
        <v>-900</v>
      </c>
    </row>
    <row r="326" spans="1:5">
      <c r="A326" s="8" t="s">
        <v>473</v>
      </c>
      <c r="B326" s="13">
        <v>35700</v>
      </c>
      <c r="C326" s="10">
        <v>35514.019999999997</v>
      </c>
      <c r="D326" s="10">
        <v>0</v>
      </c>
      <c r="E326" s="10">
        <v>185.98000000000138</v>
      </c>
    </row>
    <row r="327" spans="1:5">
      <c r="A327" s="8" t="s">
        <v>339</v>
      </c>
      <c r="B327" s="13"/>
      <c r="C327" s="10"/>
      <c r="D327" s="10"/>
      <c r="E327" s="10"/>
    </row>
    <row r="328" spans="1:5">
      <c r="A328" s="9" t="s">
        <v>363</v>
      </c>
      <c r="B328" s="13">
        <v>0</v>
      </c>
      <c r="C328" s="10">
        <v>-703.3</v>
      </c>
      <c r="D328" s="10">
        <v>0</v>
      </c>
      <c r="E328" s="10">
        <v>703.3</v>
      </c>
    </row>
    <row r="329" spans="1:5">
      <c r="A329" s="9" t="s">
        <v>292</v>
      </c>
      <c r="B329" s="13">
        <v>0</v>
      </c>
      <c r="C329" s="10">
        <v>0</v>
      </c>
      <c r="D329" s="10">
        <v>0</v>
      </c>
      <c r="E329" s="10">
        <v>0</v>
      </c>
    </row>
    <row r="330" spans="1:5">
      <c r="A330" s="9" t="s">
        <v>291</v>
      </c>
      <c r="B330" s="13">
        <v>0</v>
      </c>
      <c r="C330" s="10">
        <v>299</v>
      </c>
      <c r="D330" s="10">
        <v>0</v>
      </c>
      <c r="E330" s="10">
        <v>-299</v>
      </c>
    </row>
    <row r="331" spans="1:5">
      <c r="A331" s="9" t="s">
        <v>284</v>
      </c>
      <c r="B331" s="13">
        <v>9150</v>
      </c>
      <c r="C331" s="10">
        <v>8971.34</v>
      </c>
      <c r="D331" s="10">
        <v>0</v>
      </c>
      <c r="E331" s="10">
        <v>178.66000000000008</v>
      </c>
    </row>
    <row r="332" spans="1:5">
      <c r="A332" s="9" t="s">
        <v>285</v>
      </c>
      <c r="B332" s="13">
        <v>0</v>
      </c>
      <c r="C332" s="10">
        <v>63</v>
      </c>
      <c r="D332" s="10">
        <v>0</v>
      </c>
      <c r="E332" s="10">
        <v>-63</v>
      </c>
    </row>
    <row r="333" spans="1:5">
      <c r="A333" s="9" t="s">
        <v>288</v>
      </c>
      <c r="B333" s="13">
        <v>0</v>
      </c>
      <c r="C333" s="10">
        <v>250</v>
      </c>
      <c r="D333" s="10">
        <v>0</v>
      </c>
      <c r="E333" s="10">
        <v>-250</v>
      </c>
    </row>
    <row r="334" spans="1:5">
      <c r="A334" s="8" t="s">
        <v>474</v>
      </c>
      <c r="B334" s="13">
        <v>9150</v>
      </c>
      <c r="C334" s="10">
        <v>8880.0400000000009</v>
      </c>
      <c r="D334" s="10">
        <v>0</v>
      </c>
      <c r="E334" s="10">
        <v>269.96000000000004</v>
      </c>
    </row>
    <row r="335" spans="1:5">
      <c r="A335" s="8" t="s">
        <v>340</v>
      </c>
      <c r="B335" s="13"/>
      <c r="C335" s="10"/>
      <c r="D335" s="10"/>
      <c r="E335" s="10"/>
    </row>
    <row r="336" spans="1:5">
      <c r="A336" s="9" t="s">
        <v>363</v>
      </c>
      <c r="B336" s="13">
        <v>0</v>
      </c>
      <c r="C336" s="10">
        <v>0</v>
      </c>
      <c r="D336" s="10">
        <v>0</v>
      </c>
      <c r="E336" s="10">
        <v>0</v>
      </c>
    </row>
    <row r="337" spans="1:5">
      <c r="A337" s="9" t="s">
        <v>292</v>
      </c>
      <c r="B337" s="13">
        <v>0</v>
      </c>
      <c r="C337" s="10">
        <v>0</v>
      </c>
      <c r="D337" s="10">
        <v>0</v>
      </c>
      <c r="E337" s="10">
        <v>0</v>
      </c>
    </row>
    <row r="338" spans="1:5">
      <c r="A338" s="9" t="s">
        <v>284</v>
      </c>
      <c r="B338" s="13">
        <v>5573</v>
      </c>
      <c r="C338" s="10">
        <v>2957.19</v>
      </c>
      <c r="D338" s="10">
        <v>0</v>
      </c>
      <c r="E338" s="10">
        <v>2615.8099999999995</v>
      </c>
    </row>
    <row r="339" spans="1:5">
      <c r="A339" s="9" t="s">
        <v>285</v>
      </c>
      <c r="B339" s="13">
        <v>0</v>
      </c>
      <c r="C339" s="10">
        <v>377.08</v>
      </c>
      <c r="D339" s="10">
        <v>0</v>
      </c>
      <c r="E339" s="10">
        <v>-377.08</v>
      </c>
    </row>
    <row r="340" spans="1:5">
      <c r="A340" s="9" t="s">
        <v>286</v>
      </c>
      <c r="B340" s="13">
        <v>0</v>
      </c>
      <c r="C340" s="10">
        <v>0</v>
      </c>
      <c r="D340" s="10">
        <v>0</v>
      </c>
      <c r="E340" s="10">
        <v>0</v>
      </c>
    </row>
    <row r="341" spans="1:5">
      <c r="A341" s="9" t="s">
        <v>288</v>
      </c>
      <c r="B341" s="13">
        <v>0</v>
      </c>
      <c r="C341" s="10">
        <v>300</v>
      </c>
      <c r="D341" s="10">
        <v>0</v>
      </c>
      <c r="E341" s="10">
        <v>-300</v>
      </c>
    </row>
    <row r="342" spans="1:5">
      <c r="A342" s="8" t="s">
        <v>475</v>
      </c>
      <c r="B342" s="13">
        <v>5573</v>
      </c>
      <c r="C342" s="10">
        <v>3634.27</v>
      </c>
      <c r="D342" s="10">
        <v>0</v>
      </c>
      <c r="E342" s="10">
        <v>1938.7299999999996</v>
      </c>
    </row>
    <row r="343" spans="1:5">
      <c r="A343" s="8" t="s">
        <v>341</v>
      </c>
      <c r="B343" s="13"/>
      <c r="C343" s="10"/>
      <c r="D343" s="10"/>
      <c r="E343" s="10"/>
    </row>
    <row r="344" spans="1:5">
      <c r="A344" s="9" t="s">
        <v>363</v>
      </c>
      <c r="B344" s="13">
        <v>0</v>
      </c>
      <c r="C344" s="10">
        <v>-107</v>
      </c>
      <c r="D344" s="10">
        <v>0</v>
      </c>
      <c r="E344" s="10">
        <v>107</v>
      </c>
    </row>
    <row r="345" spans="1:5">
      <c r="A345" s="9" t="s">
        <v>292</v>
      </c>
      <c r="B345" s="13">
        <v>0</v>
      </c>
      <c r="C345" s="10">
        <v>-273</v>
      </c>
      <c r="D345" s="10">
        <v>0</v>
      </c>
      <c r="E345" s="10">
        <v>273</v>
      </c>
    </row>
    <row r="346" spans="1:5">
      <c r="A346" s="9" t="s">
        <v>284</v>
      </c>
      <c r="B346" s="13">
        <v>13717</v>
      </c>
      <c r="C346" s="10">
        <v>7730.53</v>
      </c>
      <c r="D346" s="10">
        <v>0</v>
      </c>
      <c r="E346" s="10">
        <v>5986.4699999999993</v>
      </c>
    </row>
    <row r="347" spans="1:5">
      <c r="A347" s="9" t="s">
        <v>285</v>
      </c>
      <c r="B347" s="13">
        <v>0</v>
      </c>
      <c r="C347" s="10">
        <v>7189.16</v>
      </c>
      <c r="D347" s="10">
        <v>0</v>
      </c>
      <c r="E347" s="10">
        <v>-7189.16</v>
      </c>
    </row>
    <row r="348" spans="1:5">
      <c r="A348" s="9" t="s">
        <v>288</v>
      </c>
      <c r="B348" s="13">
        <v>0</v>
      </c>
      <c r="C348" s="10">
        <v>150</v>
      </c>
      <c r="D348" s="10">
        <v>0</v>
      </c>
      <c r="E348" s="10">
        <v>-150</v>
      </c>
    </row>
    <row r="349" spans="1:5">
      <c r="A349" s="8" t="s">
        <v>476</v>
      </c>
      <c r="B349" s="13">
        <v>13717</v>
      </c>
      <c r="C349" s="10">
        <v>14689.689999999999</v>
      </c>
      <c r="D349" s="10">
        <v>0</v>
      </c>
      <c r="E349" s="10">
        <v>-972.69000000000051</v>
      </c>
    </row>
    <row r="350" spans="1:5">
      <c r="A350" s="8" t="s">
        <v>342</v>
      </c>
      <c r="B350" s="13"/>
      <c r="C350" s="10"/>
      <c r="D350" s="10"/>
      <c r="E350" s="10"/>
    </row>
    <row r="351" spans="1:5">
      <c r="A351" s="9" t="s">
        <v>363</v>
      </c>
      <c r="B351" s="13">
        <v>0</v>
      </c>
      <c r="C351" s="10">
        <v>0</v>
      </c>
      <c r="D351" s="10">
        <v>0</v>
      </c>
      <c r="E351" s="10">
        <v>0</v>
      </c>
    </row>
    <row r="352" spans="1:5">
      <c r="A352" s="9" t="s">
        <v>292</v>
      </c>
      <c r="B352" s="13">
        <v>0</v>
      </c>
      <c r="C352" s="10">
        <v>0</v>
      </c>
      <c r="D352" s="10">
        <v>0</v>
      </c>
      <c r="E352" s="10">
        <v>0</v>
      </c>
    </row>
    <row r="353" spans="1:5">
      <c r="A353" s="9" t="s">
        <v>284</v>
      </c>
      <c r="B353" s="13">
        <v>2122</v>
      </c>
      <c r="C353" s="10">
        <v>1564.47</v>
      </c>
      <c r="D353" s="10">
        <v>0</v>
      </c>
      <c r="E353" s="10">
        <v>557.53</v>
      </c>
    </row>
    <row r="354" spans="1:5">
      <c r="A354" s="9" t="s">
        <v>285</v>
      </c>
      <c r="B354" s="13">
        <v>0</v>
      </c>
      <c r="C354" s="10">
        <v>70</v>
      </c>
      <c r="D354" s="10">
        <v>0</v>
      </c>
      <c r="E354" s="10">
        <v>-70</v>
      </c>
    </row>
    <row r="355" spans="1:5">
      <c r="A355" s="8" t="s">
        <v>477</v>
      </c>
      <c r="B355" s="13">
        <v>2122</v>
      </c>
      <c r="C355" s="10">
        <v>1634.47</v>
      </c>
      <c r="D355" s="10">
        <v>0</v>
      </c>
      <c r="E355" s="10">
        <v>487.53</v>
      </c>
    </row>
    <row r="356" spans="1:5">
      <c r="A356" s="8" t="s">
        <v>343</v>
      </c>
      <c r="B356" s="13"/>
      <c r="C356" s="10"/>
      <c r="D356" s="10"/>
      <c r="E356" s="10"/>
    </row>
    <row r="357" spans="1:5">
      <c r="A357" s="9" t="s">
        <v>284</v>
      </c>
      <c r="B357" s="13">
        <v>1000</v>
      </c>
      <c r="C357" s="10">
        <v>729.69</v>
      </c>
      <c r="D357" s="10">
        <v>0</v>
      </c>
      <c r="E357" s="10">
        <v>270.31</v>
      </c>
    </row>
    <row r="358" spans="1:5">
      <c r="A358" s="8" t="s">
        <v>478</v>
      </c>
      <c r="B358" s="13">
        <v>1000</v>
      </c>
      <c r="C358" s="10">
        <v>729.69</v>
      </c>
      <c r="D358" s="10">
        <v>0</v>
      </c>
      <c r="E358" s="10">
        <v>270.31</v>
      </c>
    </row>
    <row r="359" spans="1:5">
      <c r="A359" s="8" t="s">
        <v>344</v>
      </c>
      <c r="B359" s="13"/>
      <c r="C359" s="10"/>
      <c r="D359" s="10"/>
      <c r="E359" s="10"/>
    </row>
    <row r="360" spans="1:5">
      <c r="A360" s="9" t="s">
        <v>363</v>
      </c>
      <c r="B360" s="13">
        <v>0</v>
      </c>
      <c r="C360" s="10">
        <v>-6458</v>
      </c>
      <c r="D360" s="10">
        <v>0</v>
      </c>
      <c r="E360" s="10">
        <v>6458</v>
      </c>
    </row>
    <row r="361" spans="1:5">
      <c r="A361" s="9" t="s">
        <v>292</v>
      </c>
      <c r="B361" s="13">
        <v>0</v>
      </c>
      <c r="C361" s="10">
        <v>-2429</v>
      </c>
      <c r="D361" s="10">
        <v>0</v>
      </c>
      <c r="E361" s="10">
        <v>2429</v>
      </c>
    </row>
    <row r="362" spans="1:5">
      <c r="A362" s="9" t="s">
        <v>284</v>
      </c>
      <c r="B362" s="13">
        <v>13194</v>
      </c>
      <c r="C362" s="10">
        <v>8361.43</v>
      </c>
      <c r="D362" s="10">
        <v>0</v>
      </c>
      <c r="E362" s="10">
        <v>4832.57</v>
      </c>
    </row>
    <row r="363" spans="1:5">
      <c r="A363" s="9" t="s">
        <v>285</v>
      </c>
      <c r="B363" s="13">
        <v>0</v>
      </c>
      <c r="C363" s="10">
        <v>7580.6</v>
      </c>
      <c r="D363" s="10">
        <v>0</v>
      </c>
      <c r="E363" s="10">
        <v>-7580.6</v>
      </c>
    </row>
    <row r="364" spans="1:5">
      <c r="A364" s="9" t="s">
        <v>286</v>
      </c>
      <c r="B364" s="13">
        <v>0</v>
      </c>
      <c r="C364" s="10">
        <v>173.91</v>
      </c>
      <c r="D364" s="10">
        <v>0</v>
      </c>
      <c r="E364" s="10">
        <v>-173.91</v>
      </c>
    </row>
    <row r="365" spans="1:5">
      <c r="A365" s="8" t="s">
        <v>479</v>
      </c>
      <c r="B365" s="13">
        <v>13194</v>
      </c>
      <c r="C365" s="10">
        <v>7228.9400000000005</v>
      </c>
      <c r="D365" s="10">
        <v>0</v>
      </c>
      <c r="E365" s="10">
        <v>5965.0599999999995</v>
      </c>
    </row>
    <row r="366" spans="1:5">
      <c r="A366" s="8" t="s">
        <v>345</v>
      </c>
      <c r="B366" s="13"/>
      <c r="C366" s="10"/>
      <c r="D366" s="10"/>
      <c r="E366" s="10"/>
    </row>
    <row r="367" spans="1:5">
      <c r="A367" s="9" t="s">
        <v>363</v>
      </c>
      <c r="B367" s="13">
        <v>0</v>
      </c>
      <c r="C367" s="10">
        <v>-1316.85</v>
      </c>
      <c r="D367" s="10">
        <v>0</v>
      </c>
      <c r="E367" s="10">
        <v>1316.85</v>
      </c>
    </row>
    <row r="368" spans="1:5">
      <c r="A368" s="9" t="s">
        <v>292</v>
      </c>
      <c r="B368" s="13">
        <v>0</v>
      </c>
      <c r="C368" s="10">
        <v>-504</v>
      </c>
      <c r="D368" s="10">
        <v>0</v>
      </c>
      <c r="E368" s="10">
        <v>504</v>
      </c>
    </row>
    <row r="369" spans="1:5">
      <c r="A369" s="9" t="s">
        <v>284</v>
      </c>
      <c r="B369" s="13">
        <v>3700</v>
      </c>
      <c r="C369" s="10">
        <v>3280.0800000000004</v>
      </c>
      <c r="D369" s="10">
        <v>0</v>
      </c>
      <c r="E369" s="10">
        <v>419.91999999999996</v>
      </c>
    </row>
    <row r="370" spans="1:5">
      <c r="A370" s="8" t="s">
        <v>480</v>
      </c>
      <c r="B370" s="13">
        <v>3700</v>
      </c>
      <c r="C370" s="10">
        <v>1459.2300000000005</v>
      </c>
      <c r="D370" s="10">
        <v>0</v>
      </c>
      <c r="E370" s="10">
        <v>2240.77</v>
      </c>
    </row>
    <row r="371" spans="1:5">
      <c r="A371" s="8" t="s">
        <v>346</v>
      </c>
      <c r="B371" s="13"/>
      <c r="C371" s="10"/>
      <c r="D371" s="10"/>
      <c r="E371" s="10"/>
    </row>
    <row r="372" spans="1:5">
      <c r="A372" s="9" t="s">
        <v>363</v>
      </c>
      <c r="B372" s="13">
        <v>0</v>
      </c>
      <c r="C372" s="10">
        <v>-250</v>
      </c>
      <c r="D372" s="10">
        <v>0</v>
      </c>
      <c r="E372" s="10">
        <v>250</v>
      </c>
    </row>
    <row r="373" spans="1:5">
      <c r="A373" s="9" t="s">
        <v>284</v>
      </c>
      <c r="B373" s="13">
        <v>4000</v>
      </c>
      <c r="C373" s="10">
        <v>4309.1900000000005</v>
      </c>
      <c r="D373" s="10">
        <v>0</v>
      </c>
      <c r="E373" s="10">
        <v>-309.19000000000011</v>
      </c>
    </row>
    <row r="374" spans="1:5">
      <c r="A374" s="9" t="s">
        <v>286</v>
      </c>
      <c r="B374" s="13">
        <v>0</v>
      </c>
      <c r="C374" s="10">
        <v>0</v>
      </c>
      <c r="D374" s="10">
        <v>0</v>
      </c>
      <c r="E374" s="10">
        <v>0</v>
      </c>
    </row>
    <row r="375" spans="1:5">
      <c r="A375" s="8" t="s">
        <v>481</v>
      </c>
      <c r="B375" s="13">
        <v>4000</v>
      </c>
      <c r="C375" s="10">
        <v>4059.1900000000005</v>
      </c>
      <c r="D375" s="10">
        <v>0</v>
      </c>
      <c r="E375" s="10">
        <v>-59.190000000000111</v>
      </c>
    </row>
    <row r="376" spans="1:5">
      <c r="A376" s="8" t="s">
        <v>347</v>
      </c>
      <c r="B376" s="13"/>
      <c r="C376" s="10"/>
      <c r="D376" s="10"/>
      <c r="E376" s="10"/>
    </row>
    <row r="377" spans="1:5">
      <c r="A377" s="9" t="s">
        <v>363</v>
      </c>
      <c r="B377" s="13">
        <v>0</v>
      </c>
      <c r="C377" s="10">
        <v>-3900</v>
      </c>
      <c r="D377" s="10">
        <v>0</v>
      </c>
      <c r="E377" s="10">
        <v>3900</v>
      </c>
    </row>
    <row r="378" spans="1:5">
      <c r="A378" s="9" t="s">
        <v>292</v>
      </c>
      <c r="B378" s="13">
        <v>0</v>
      </c>
      <c r="C378" s="10">
        <v>-2134.75</v>
      </c>
      <c r="D378" s="10">
        <v>0</v>
      </c>
      <c r="E378" s="10">
        <v>2134.75</v>
      </c>
    </row>
    <row r="379" spans="1:5">
      <c r="A379" s="9" t="s">
        <v>291</v>
      </c>
      <c r="B379" s="13">
        <v>0</v>
      </c>
      <c r="C379" s="10">
        <v>100</v>
      </c>
      <c r="D379" s="10">
        <v>0</v>
      </c>
      <c r="E379" s="10">
        <v>-100</v>
      </c>
    </row>
    <row r="380" spans="1:5">
      <c r="A380" s="9" t="s">
        <v>284</v>
      </c>
      <c r="B380" s="13">
        <v>4600</v>
      </c>
      <c r="C380" s="10">
        <v>7170.63</v>
      </c>
      <c r="D380" s="10">
        <v>0</v>
      </c>
      <c r="E380" s="10">
        <v>-2570.63</v>
      </c>
    </row>
    <row r="381" spans="1:5">
      <c r="A381" s="9" t="s">
        <v>285</v>
      </c>
      <c r="B381" s="13">
        <v>0</v>
      </c>
      <c r="C381" s="10">
        <v>0</v>
      </c>
      <c r="D381" s="10">
        <v>0</v>
      </c>
      <c r="E381" s="10">
        <v>0</v>
      </c>
    </row>
    <row r="382" spans="1:5">
      <c r="A382" s="9" t="s">
        <v>288</v>
      </c>
      <c r="B382" s="13">
        <v>0</v>
      </c>
      <c r="C382" s="10">
        <v>0</v>
      </c>
      <c r="D382" s="10">
        <v>0</v>
      </c>
      <c r="E382" s="10">
        <v>0</v>
      </c>
    </row>
    <row r="383" spans="1:5">
      <c r="A383" s="8" t="s">
        <v>482</v>
      </c>
      <c r="B383" s="13">
        <v>4600</v>
      </c>
      <c r="C383" s="10">
        <v>1235.8800000000001</v>
      </c>
      <c r="D383" s="10">
        <v>0</v>
      </c>
      <c r="E383" s="10">
        <v>3364.12</v>
      </c>
    </row>
    <row r="384" spans="1:5">
      <c r="A384" s="8" t="s">
        <v>348</v>
      </c>
      <c r="B384" s="13"/>
      <c r="C384" s="10"/>
      <c r="D384" s="10"/>
      <c r="E384" s="10"/>
    </row>
    <row r="385" spans="1:5">
      <c r="A385" s="9" t="s">
        <v>292</v>
      </c>
      <c r="B385" s="13">
        <v>0</v>
      </c>
      <c r="C385" s="10">
        <v>-6463.75</v>
      </c>
      <c r="D385" s="10">
        <v>0</v>
      </c>
      <c r="E385" s="10">
        <v>6463.75</v>
      </c>
    </row>
    <row r="386" spans="1:5">
      <c r="A386" s="9" t="s">
        <v>284</v>
      </c>
      <c r="B386" s="13">
        <v>7540</v>
      </c>
      <c r="C386" s="10">
        <v>6405.18</v>
      </c>
      <c r="D386" s="10">
        <v>0</v>
      </c>
      <c r="E386" s="10">
        <v>1134.8199999999997</v>
      </c>
    </row>
    <row r="387" spans="1:5">
      <c r="A387" s="9" t="s">
        <v>285</v>
      </c>
      <c r="B387" s="13">
        <v>0</v>
      </c>
      <c r="C387" s="10">
        <v>0</v>
      </c>
      <c r="D387" s="10">
        <v>0</v>
      </c>
      <c r="E387" s="10">
        <v>0</v>
      </c>
    </row>
    <row r="388" spans="1:5">
      <c r="A388" s="8" t="s">
        <v>483</v>
      </c>
      <c r="B388" s="13">
        <v>7540</v>
      </c>
      <c r="C388" s="10">
        <v>-58.569999999999709</v>
      </c>
      <c r="D388" s="10">
        <v>0</v>
      </c>
      <c r="E388" s="10">
        <v>7598.57</v>
      </c>
    </row>
    <row r="389" spans="1:5">
      <c r="A389" s="8" t="s">
        <v>410</v>
      </c>
      <c r="B389" s="13"/>
      <c r="C389" s="10"/>
      <c r="D389" s="10"/>
      <c r="E389" s="10"/>
    </row>
    <row r="390" spans="1:5">
      <c r="A390" s="9" t="s">
        <v>292</v>
      </c>
      <c r="B390" s="13">
        <v>0</v>
      </c>
      <c r="C390" s="10">
        <v>0</v>
      </c>
      <c r="D390" s="10">
        <v>0</v>
      </c>
      <c r="E390" s="10">
        <v>0</v>
      </c>
    </row>
    <row r="391" spans="1:5">
      <c r="A391" s="8" t="s">
        <v>484</v>
      </c>
      <c r="B391" s="13">
        <v>0</v>
      </c>
      <c r="C391" s="10">
        <v>0</v>
      </c>
      <c r="D391" s="10">
        <v>0</v>
      </c>
      <c r="E391" s="10">
        <v>0</v>
      </c>
    </row>
    <row r="392" spans="1:5">
      <c r="A392" s="8" t="s">
        <v>411</v>
      </c>
      <c r="B392" s="13"/>
      <c r="C392" s="10"/>
      <c r="D392" s="10"/>
      <c r="E392" s="10"/>
    </row>
    <row r="393" spans="1:5">
      <c r="A393" s="9" t="s">
        <v>284</v>
      </c>
      <c r="B393" s="13">
        <v>250</v>
      </c>
      <c r="C393" s="10">
        <v>0</v>
      </c>
      <c r="D393" s="10">
        <v>0</v>
      </c>
      <c r="E393" s="10">
        <v>250</v>
      </c>
    </row>
    <row r="394" spans="1:5">
      <c r="A394" s="8" t="s">
        <v>485</v>
      </c>
      <c r="B394" s="13">
        <v>250</v>
      </c>
      <c r="C394" s="10">
        <v>0</v>
      </c>
      <c r="D394" s="10">
        <v>0</v>
      </c>
      <c r="E394" s="10">
        <v>250</v>
      </c>
    </row>
    <row r="395" spans="1:5">
      <c r="A395" s="8" t="s">
        <v>349</v>
      </c>
      <c r="B395" s="13"/>
      <c r="C395" s="10"/>
      <c r="D395" s="10"/>
      <c r="E395" s="10"/>
    </row>
    <row r="396" spans="1:5">
      <c r="A396" s="9" t="s">
        <v>363</v>
      </c>
      <c r="B396" s="13">
        <v>0</v>
      </c>
      <c r="C396" s="10">
        <v>-562.32000000000005</v>
      </c>
      <c r="D396" s="10">
        <v>0</v>
      </c>
      <c r="E396" s="10">
        <v>562.32000000000005</v>
      </c>
    </row>
    <row r="397" spans="1:5">
      <c r="A397" s="9" t="s">
        <v>292</v>
      </c>
      <c r="B397" s="13">
        <v>0</v>
      </c>
      <c r="C397" s="10">
        <v>-752</v>
      </c>
      <c r="D397" s="10">
        <v>0</v>
      </c>
      <c r="E397" s="10">
        <v>752</v>
      </c>
    </row>
    <row r="398" spans="1:5">
      <c r="A398" s="9" t="s">
        <v>282</v>
      </c>
      <c r="B398" s="13">
        <v>0</v>
      </c>
      <c r="C398" s="10">
        <v>0</v>
      </c>
      <c r="D398" s="10">
        <v>0</v>
      </c>
      <c r="E398" s="10">
        <v>0</v>
      </c>
    </row>
    <row r="399" spans="1:5">
      <c r="A399" s="9" t="s">
        <v>284</v>
      </c>
      <c r="B399" s="13">
        <v>5382</v>
      </c>
      <c r="C399" s="10">
        <v>1342.96</v>
      </c>
      <c r="D399" s="10">
        <v>0</v>
      </c>
      <c r="E399" s="10">
        <v>4039.0400000000004</v>
      </c>
    </row>
    <row r="400" spans="1:5">
      <c r="A400" s="9" t="s">
        <v>285</v>
      </c>
      <c r="B400" s="13">
        <v>0</v>
      </c>
      <c r="C400" s="10">
        <v>3616.68</v>
      </c>
      <c r="D400" s="10">
        <v>0</v>
      </c>
      <c r="E400" s="10">
        <v>-3616.68</v>
      </c>
    </row>
    <row r="401" spans="1:5">
      <c r="A401" s="9" t="s">
        <v>288</v>
      </c>
      <c r="B401" s="13">
        <v>0</v>
      </c>
      <c r="C401" s="10">
        <v>0</v>
      </c>
      <c r="D401" s="10">
        <v>0</v>
      </c>
      <c r="E401" s="10">
        <v>0</v>
      </c>
    </row>
    <row r="402" spans="1:5">
      <c r="A402" s="8" t="s">
        <v>486</v>
      </c>
      <c r="B402" s="13">
        <v>5382</v>
      </c>
      <c r="C402" s="10">
        <v>3645.3199999999997</v>
      </c>
      <c r="D402" s="10">
        <v>0</v>
      </c>
      <c r="E402" s="10">
        <v>1736.6800000000007</v>
      </c>
    </row>
    <row r="403" spans="1:5">
      <c r="A403" s="8" t="s">
        <v>350</v>
      </c>
      <c r="B403" s="13"/>
      <c r="C403" s="10"/>
      <c r="D403" s="10"/>
      <c r="E403" s="10"/>
    </row>
    <row r="404" spans="1:5">
      <c r="A404" s="9" t="s">
        <v>363</v>
      </c>
      <c r="B404" s="13">
        <v>0</v>
      </c>
      <c r="C404" s="10">
        <v>-309.60000000000002</v>
      </c>
      <c r="D404" s="10">
        <v>0</v>
      </c>
      <c r="E404" s="10">
        <v>309.60000000000002</v>
      </c>
    </row>
    <row r="405" spans="1:5">
      <c r="A405" s="9" t="s">
        <v>292</v>
      </c>
      <c r="B405" s="13">
        <v>0</v>
      </c>
      <c r="C405" s="10">
        <v>0</v>
      </c>
      <c r="D405" s="10">
        <v>0</v>
      </c>
      <c r="E405" s="10">
        <v>0</v>
      </c>
    </row>
    <row r="406" spans="1:5">
      <c r="A406" s="9" t="s">
        <v>284</v>
      </c>
      <c r="B406" s="13">
        <v>17605</v>
      </c>
      <c r="C406" s="10">
        <v>3377.66</v>
      </c>
      <c r="D406" s="10">
        <v>0</v>
      </c>
      <c r="E406" s="10">
        <v>14227.34</v>
      </c>
    </row>
    <row r="407" spans="1:5">
      <c r="A407" s="9" t="s">
        <v>285</v>
      </c>
      <c r="B407" s="13">
        <v>0</v>
      </c>
      <c r="C407" s="10">
        <v>14847.460000000001</v>
      </c>
      <c r="D407" s="10">
        <v>0</v>
      </c>
      <c r="E407" s="10">
        <v>-14847.460000000001</v>
      </c>
    </row>
    <row r="408" spans="1:5">
      <c r="A408" s="8" t="s">
        <v>487</v>
      </c>
      <c r="B408" s="13">
        <v>17605</v>
      </c>
      <c r="C408" s="10">
        <v>17915.52</v>
      </c>
      <c r="D408" s="10">
        <v>0</v>
      </c>
      <c r="E408" s="10">
        <v>-310.52000000000044</v>
      </c>
    </row>
    <row r="409" spans="1:5">
      <c r="A409" s="8" t="s">
        <v>412</v>
      </c>
      <c r="B409" s="13"/>
      <c r="C409" s="10"/>
      <c r="D409" s="10"/>
      <c r="E409" s="10"/>
    </row>
    <row r="410" spans="1:5">
      <c r="A410" s="9" t="s">
        <v>284</v>
      </c>
      <c r="B410" s="13">
        <v>0</v>
      </c>
      <c r="C410" s="10">
        <v>0</v>
      </c>
      <c r="D410" s="10">
        <v>0</v>
      </c>
      <c r="E410" s="10">
        <v>0</v>
      </c>
    </row>
    <row r="411" spans="1:5">
      <c r="A411" s="9" t="s">
        <v>285</v>
      </c>
      <c r="B411" s="13">
        <v>0</v>
      </c>
      <c r="C411" s="10">
        <v>0</v>
      </c>
      <c r="D411" s="10">
        <v>0</v>
      </c>
      <c r="E411" s="10">
        <v>0</v>
      </c>
    </row>
    <row r="412" spans="1:5">
      <c r="A412" s="9" t="s">
        <v>288</v>
      </c>
      <c r="B412" s="13">
        <v>0</v>
      </c>
      <c r="C412" s="10">
        <v>0</v>
      </c>
      <c r="D412" s="10">
        <v>0</v>
      </c>
      <c r="E412" s="10">
        <v>0</v>
      </c>
    </row>
    <row r="413" spans="1:5">
      <c r="A413" s="8" t="s">
        <v>488</v>
      </c>
      <c r="B413" s="13">
        <v>0</v>
      </c>
      <c r="C413" s="10">
        <v>0</v>
      </c>
      <c r="D413" s="10">
        <v>0</v>
      </c>
      <c r="E413" s="10">
        <v>0</v>
      </c>
    </row>
    <row r="414" spans="1:5">
      <c r="A414" s="8" t="s">
        <v>351</v>
      </c>
      <c r="B414" s="13"/>
      <c r="C414" s="10"/>
      <c r="D414" s="10"/>
      <c r="E414" s="10"/>
    </row>
    <row r="415" spans="1:5">
      <c r="A415" s="9" t="s">
        <v>363</v>
      </c>
      <c r="B415" s="13">
        <v>0</v>
      </c>
      <c r="C415" s="10">
        <v>-914.5</v>
      </c>
      <c r="D415" s="10">
        <v>0</v>
      </c>
      <c r="E415" s="10">
        <v>914.5</v>
      </c>
    </row>
    <row r="416" spans="1:5">
      <c r="A416" s="9" t="s">
        <v>292</v>
      </c>
      <c r="B416" s="13">
        <v>0</v>
      </c>
      <c r="C416" s="10">
        <v>-385</v>
      </c>
      <c r="D416" s="10">
        <v>0</v>
      </c>
      <c r="E416" s="10">
        <v>385</v>
      </c>
    </row>
    <row r="417" spans="1:5">
      <c r="A417" s="9" t="s">
        <v>284</v>
      </c>
      <c r="B417" s="13">
        <v>2000</v>
      </c>
      <c r="C417" s="10">
        <v>1625.58</v>
      </c>
      <c r="D417" s="10">
        <v>0</v>
      </c>
      <c r="E417" s="10">
        <v>374.42000000000013</v>
      </c>
    </row>
    <row r="418" spans="1:5">
      <c r="A418" s="9" t="s">
        <v>285</v>
      </c>
      <c r="B418" s="13">
        <v>0</v>
      </c>
      <c r="C418" s="10">
        <v>665.6</v>
      </c>
      <c r="D418" s="10">
        <v>0</v>
      </c>
      <c r="E418" s="10">
        <v>-665.6</v>
      </c>
    </row>
    <row r="419" spans="1:5">
      <c r="A419" s="9" t="s">
        <v>288</v>
      </c>
      <c r="B419" s="13">
        <v>0</v>
      </c>
      <c r="C419" s="10">
        <v>0</v>
      </c>
      <c r="D419" s="10">
        <v>0</v>
      </c>
      <c r="E419" s="10">
        <v>0</v>
      </c>
    </row>
    <row r="420" spans="1:5">
      <c r="A420" s="8" t="s">
        <v>489</v>
      </c>
      <c r="B420" s="13">
        <v>2000</v>
      </c>
      <c r="C420" s="10">
        <v>991.68</v>
      </c>
      <c r="D420" s="10">
        <v>0</v>
      </c>
      <c r="E420" s="10">
        <v>1008.32</v>
      </c>
    </row>
    <row r="421" spans="1:5">
      <c r="A421" s="8" t="s">
        <v>413</v>
      </c>
      <c r="B421" s="13"/>
      <c r="C421" s="10"/>
      <c r="D421" s="10"/>
      <c r="E421" s="10"/>
    </row>
    <row r="422" spans="1:5">
      <c r="A422" s="9" t="s">
        <v>292</v>
      </c>
      <c r="B422" s="13">
        <v>0</v>
      </c>
      <c r="C422" s="10">
        <v>0</v>
      </c>
      <c r="D422" s="10">
        <v>0</v>
      </c>
      <c r="E422" s="10">
        <v>0</v>
      </c>
    </row>
    <row r="423" spans="1:5">
      <c r="A423" s="9" t="s">
        <v>284</v>
      </c>
      <c r="B423" s="13">
        <v>1000</v>
      </c>
      <c r="C423" s="10">
        <v>0</v>
      </c>
      <c r="D423" s="10">
        <v>0</v>
      </c>
      <c r="E423" s="10">
        <v>1000</v>
      </c>
    </row>
    <row r="424" spans="1:5">
      <c r="A424" s="8" t="s">
        <v>490</v>
      </c>
      <c r="B424" s="13">
        <v>1000</v>
      </c>
      <c r="C424" s="10">
        <v>0</v>
      </c>
      <c r="D424" s="10">
        <v>0</v>
      </c>
      <c r="E424" s="10">
        <v>1000</v>
      </c>
    </row>
    <row r="425" spans="1:5">
      <c r="A425" s="8" t="s">
        <v>352</v>
      </c>
      <c r="B425" s="13"/>
      <c r="C425" s="10"/>
      <c r="D425" s="10"/>
      <c r="E425" s="10"/>
    </row>
    <row r="426" spans="1:5">
      <c r="A426" s="9" t="s">
        <v>363</v>
      </c>
      <c r="B426" s="13">
        <v>0</v>
      </c>
      <c r="C426" s="10">
        <v>-568.16</v>
      </c>
      <c r="D426" s="10">
        <v>0</v>
      </c>
      <c r="E426" s="10">
        <v>568.16</v>
      </c>
    </row>
    <row r="427" spans="1:5">
      <c r="A427" s="9" t="s">
        <v>284</v>
      </c>
      <c r="B427" s="13">
        <v>12159</v>
      </c>
      <c r="C427" s="10">
        <v>4994.6500000000005</v>
      </c>
      <c r="D427" s="10">
        <v>0</v>
      </c>
      <c r="E427" s="10">
        <v>7164.3500000000013</v>
      </c>
    </row>
    <row r="428" spans="1:5">
      <c r="A428" s="9" t="s">
        <v>285</v>
      </c>
      <c r="B428" s="13">
        <v>0</v>
      </c>
      <c r="C428" s="10">
        <v>746.66</v>
      </c>
      <c r="D428" s="10">
        <v>0</v>
      </c>
      <c r="E428" s="10">
        <v>-746.66</v>
      </c>
    </row>
    <row r="429" spans="1:5">
      <c r="A429" s="9" t="s">
        <v>288</v>
      </c>
      <c r="B429" s="13">
        <v>0</v>
      </c>
      <c r="C429" s="10">
        <v>1500</v>
      </c>
      <c r="D429" s="10">
        <v>0</v>
      </c>
      <c r="E429" s="10">
        <v>-1500</v>
      </c>
    </row>
    <row r="430" spans="1:5">
      <c r="A430" s="8" t="s">
        <v>491</v>
      </c>
      <c r="B430" s="13">
        <v>12159</v>
      </c>
      <c r="C430" s="10">
        <v>6673.1500000000005</v>
      </c>
      <c r="D430" s="10">
        <v>0</v>
      </c>
      <c r="E430" s="10">
        <v>5485.8500000000013</v>
      </c>
    </row>
    <row r="431" spans="1:5">
      <c r="A431" s="8" t="s">
        <v>353</v>
      </c>
      <c r="B431" s="13"/>
      <c r="C431" s="10"/>
      <c r="D431" s="10"/>
      <c r="E431" s="10"/>
    </row>
    <row r="432" spans="1:5">
      <c r="A432" s="9" t="s">
        <v>363</v>
      </c>
      <c r="B432" s="13">
        <v>0</v>
      </c>
      <c r="C432" s="10">
        <v>-750</v>
      </c>
      <c r="D432" s="10">
        <v>0</v>
      </c>
      <c r="E432" s="10">
        <v>750</v>
      </c>
    </row>
    <row r="433" spans="1:5">
      <c r="A433" s="9" t="s">
        <v>292</v>
      </c>
      <c r="B433" s="13">
        <v>0</v>
      </c>
      <c r="C433" s="10">
        <v>-89</v>
      </c>
      <c r="D433" s="10">
        <v>0</v>
      </c>
      <c r="E433" s="10">
        <v>89</v>
      </c>
    </row>
    <row r="434" spans="1:5">
      <c r="A434" s="9" t="s">
        <v>284</v>
      </c>
      <c r="B434" s="13">
        <v>3250</v>
      </c>
      <c r="C434" s="10">
        <v>1842.5700000000002</v>
      </c>
      <c r="D434" s="10">
        <v>0</v>
      </c>
      <c r="E434" s="10">
        <v>1407.4299999999998</v>
      </c>
    </row>
    <row r="435" spans="1:5">
      <c r="A435" s="9" t="s">
        <v>285</v>
      </c>
      <c r="B435" s="13">
        <v>0</v>
      </c>
      <c r="C435" s="10">
        <v>1993.3000000000002</v>
      </c>
      <c r="D435" s="10">
        <v>0</v>
      </c>
      <c r="E435" s="10">
        <v>-1993.3000000000002</v>
      </c>
    </row>
    <row r="436" spans="1:5">
      <c r="A436" s="8" t="s">
        <v>492</v>
      </c>
      <c r="B436" s="13">
        <v>3250</v>
      </c>
      <c r="C436" s="10">
        <v>2996.8700000000003</v>
      </c>
      <c r="D436" s="10">
        <v>0</v>
      </c>
      <c r="E436" s="10">
        <v>253.12999999999965</v>
      </c>
    </row>
    <row r="437" spans="1:5">
      <c r="A437" s="8" t="s">
        <v>354</v>
      </c>
      <c r="B437" s="13"/>
      <c r="C437" s="10"/>
      <c r="D437" s="10"/>
      <c r="E437" s="10"/>
    </row>
    <row r="438" spans="1:5">
      <c r="A438" s="9" t="s">
        <v>363</v>
      </c>
      <c r="B438" s="13">
        <v>0</v>
      </c>
      <c r="C438" s="10">
        <v>-51.25</v>
      </c>
      <c r="D438" s="10">
        <v>0</v>
      </c>
      <c r="E438" s="10">
        <v>51.25</v>
      </c>
    </row>
    <row r="439" spans="1:5">
      <c r="A439" s="9" t="s">
        <v>284</v>
      </c>
      <c r="B439" s="13">
        <v>6300</v>
      </c>
      <c r="C439" s="10">
        <v>5644.21</v>
      </c>
      <c r="D439" s="10">
        <v>0</v>
      </c>
      <c r="E439" s="10">
        <v>655.79000000000065</v>
      </c>
    </row>
    <row r="440" spans="1:5">
      <c r="A440" s="9" t="s">
        <v>285</v>
      </c>
      <c r="B440" s="13">
        <v>0</v>
      </c>
      <c r="C440" s="10">
        <v>10</v>
      </c>
      <c r="D440" s="10">
        <v>0</v>
      </c>
      <c r="E440" s="10">
        <v>-10</v>
      </c>
    </row>
    <row r="441" spans="1:5">
      <c r="A441" s="9" t="s">
        <v>288</v>
      </c>
      <c r="B441" s="13">
        <v>0</v>
      </c>
      <c r="C441" s="10">
        <v>600</v>
      </c>
      <c r="D441" s="10">
        <v>0</v>
      </c>
      <c r="E441" s="10">
        <v>-600</v>
      </c>
    </row>
    <row r="442" spans="1:5">
      <c r="A442" s="8" t="s">
        <v>493</v>
      </c>
      <c r="B442" s="13">
        <v>6300</v>
      </c>
      <c r="C442" s="10">
        <v>6202.96</v>
      </c>
      <c r="D442" s="10">
        <v>0</v>
      </c>
      <c r="E442" s="10">
        <v>97.040000000000646</v>
      </c>
    </row>
    <row r="443" spans="1:5">
      <c r="A443" s="8" t="s">
        <v>355</v>
      </c>
      <c r="B443" s="13"/>
      <c r="C443" s="10"/>
      <c r="D443" s="10"/>
      <c r="E443" s="10"/>
    </row>
    <row r="444" spans="1:5">
      <c r="A444" s="9" t="s">
        <v>284</v>
      </c>
      <c r="B444" s="13">
        <v>0</v>
      </c>
      <c r="C444" s="10">
        <v>684</v>
      </c>
      <c r="D444" s="10">
        <v>0</v>
      </c>
      <c r="E444" s="10">
        <v>-684</v>
      </c>
    </row>
    <row r="445" spans="1:5">
      <c r="A445" s="8" t="s">
        <v>494</v>
      </c>
      <c r="B445" s="13">
        <v>0</v>
      </c>
      <c r="C445" s="10">
        <v>684</v>
      </c>
      <c r="D445" s="10">
        <v>0</v>
      </c>
      <c r="E445" s="10">
        <v>-684</v>
      </c>
    </row>
    <row r="446" spans="1:5">
      <c r="A446" s="8" t="s">
        <v>356</v>
      </c>
      <c r="B446" s="13"/>
      <c r="C446" s="10"/>
      <c r="D446" s="10"/>
      <c r="E446" s="10"/>
    </row>
    <row r="447" spans="1:5">
      <c r="A447" s="9" t="s">
        <v>363</v>
      </c>
      <c r="B447" s="13">
        <v>0</v>
      </c>
      <c r="C447" s="10">
        <v>-464.53</v>
      </c>
      <c r="D447" s="10">
        <v>0</v>
      </c>
      <c r="E447" s="10">
        <v>464.53</v>
      </c>
    </row>
    <row r="448" spans="1:5">
      <c r="A448" s="9" t="s">
        <v>292</v>
      </c>
      <c r="B448" s="13">
        <v>0</v>
      </c>
      <c r="C448" s="10">
        <v>-956</v>
      </c>
      <c r="D448" s="10">
        <v>0</v>
      </c>
      <c r="E448" s="10">
        <v>956</v>
      </c>
    </row>
    <row r="449" spans="1:5">
      <c r="A449" s="9" t="s">
        <v>284</v>
      </c>
      <c r="B449" s="13">
        <v>13603</v>
      </c>
      <c r="C449" s="10">
        <v>3623.3700000000003</v>
      </c>
      <c r="D449" s="10">
        <v>0</v>
      </c>
      <c r="E449" s="10">
        <v>9979.630000000001</v>
      </c>
    </row>
    <row r="450" spans="1:5">
      <c r="A450" s="9" t="s">
        <v>285</v>
      </c>
      <c r="B450" s="13">
        <v>0</v>
      </c>
      <c r="C450" s="10">
        <v>1769.53</v>
      </c>
      <c r="D450" s="10">
        <v>0</v>
      </c>
      <c r="E450" s="10">
        <v>-1769.53</v>
      </c>
    </row>
    <row r="451" spans="1:5">
      <c r="A451" s="9" t="s">
        <v>286</v>
      </c>
      <c r="B451" s="13">
        <v>0</v>
      </c>
      <c r="C451" s="10">
        <v>0</v>
      </c>
      <c r="D451" s="10">
        <v>0</v>
      </c>
      <c r="E451" s="10">
        <v>0</v>
      </c>
    </row>
    <row r="452" spans="1:5">
      <c r="A452" s="9" t="s">
        <v>288</v>
      </c>
      <c r="B452" s="13">
        <v>0</v>
      </c>
      <c r="C452" s="10">
        <v>5675</v>
      </c>
      <c r="D452" s="10">
        <v>0</v>
      </c>
      <c r="E452" s="10">
        <v>-5675</v>
      </c>
    </row>
    <row r="453" spans="1:5">
      <c r="A453" s="9" t="s">
        <v>289</v>
      </c>
      <c r="B453" s="13">
        <v>0</v>
      </c>
      <c r="C453" s="10">
        <v>0</v>
      </c>
      <c r="D453" s="10">
        <v>0</v>
      </c>
      <c r="E453" s="10">
        <v>0</v>
      </c>
    </row>
    <row r="454" spans="1:5">
      <c r="A454" s="8" t="s">
        <v>495</v>
      </c>
      <c r="B454" s="13">
        <v>13603</v>
      </c>
      <c r="C454" s="10">
        <v>9647.369999999999</v>
      </c>
      <c r="D454" s="10">
        <v>0</v>
      </c>
      <c r="E454" s="10">
        <v>3955.630000000001</v>
      </c>
    </row>
    <row r="455" spans="1:5">
      <c r="A455" s="8" t="s">
        <v>357</v>
      </c>
      <c r="B455" s="13"/>
      <c r="C455" s="10"/>
      <c r="D455" s="10"/>
      <c r="E455" s="10"/>
    </row>
    <row r="456" spans="1:5">
      <c r="A456" s="9" t="s">
        <v>363</v>
      </c>
      <c r="B456" s="13">
        <v>0</v>
      </c>
      <c r="C456" s="10">
        <v>-161.94</v>
      </c>
      <c r="D456" s="10">
        <v>0</v>
      </c>
      <c r="E456" s="10">
        <v>161.94</v>
      </c>
    </row>
    <row r="457" spans="1:5">
      <c r="A457" s="9" t="s">
        <v>292</v>
      </c>
      <c r="B457" s="13">
        <v>0</v>
      </c>
      <c r="C457" s="10">
        <v>-50</v>
      </c>
      <c r="D457" s="10">
        <v>0</v>
      </c>
      <c r="E457" s="10">
        <v>50</v>
      </c>
    </row>
    <row r="458" spans="1:5">
      <c r="A458" s="9" t="s">
        <v>284</v>
      </c>
      <c r="B458" s="13">
        <v>2000</v>
      </c>
      <c r="C458" s="10">
        <v>1610.79</v>
      </c>
      <c r="D458" s="10">
        <v>0</v>
      </c>
      <c r="E458" s="10">
        <v>389.21000000000004</v>
      </c>
    </row>
    <row r="459" spans="1:5">
      <c r="A459" s="8" t="s">
        <v>496</v>
      </c>
      <c r="B459" s="13">
        <v>2000</v>
      </c>
      <c r="C459" s="10">
        <v>1398.85</v>
      </c>
      <c r="D459" s="10">
        <v>0</v>
      </c>
      <c r="E459" s="10">
        <v>601.15000000000009</v>
      </c>
    </row>
    <row r="460" spans="1:5">
      <c r="A460" s="8" t="s">
        <v>358</v>
      </c>
      <c r="B460" s="13"/>
      <c r="C460" s="10"/>
      <c r="D460" s="10"/>
      <c r="E460" s="10"/>
    </row>
    <row r="461" spans="1:5">
      <c r="A461" s="9" t="s">
        <v>284</v>
      </c>
      <c r="B461" s="13">
        <v>250</v>
      </c>
      <c r="C461" s="10">
        <v>65.19</v>
      </c>
      <c r="D461" s="10">
        <v>0</v>
      </c>
      <c r="E461" s="10">
        <v>184.81</v>
      </c>
    </row>
    <row r="462" spans="1:5">
      <c r="A462" s="8" t="s">
        <v>497</v>
      </c>
      <c r="B462" s="13">
        <v>250</v>
      </c>
      <c r="C462" s="10">
        <v>65.19</v>
      </c>
      <c r="D462" s="10">
        <v>0</v>
      </c>
      <c r="E462" s="10">
        <v>184.81</v>
      </c>
    </row>
    <row r="463" spans="1:5">
      <c r="A463" s="8" t="s">
        <v>414</v>
      </c>
      <c r="B463" s="13"/>
      <c r="C463" s="10"/>
      <c r="D463" s="10"/>
      <c r="E463" s="10"/>
    </row>
    <row r="464" spans="1:5">
      <c r="A464" s="9" t="s">
        <v>284</v>
      </c>
      <c r="B464" s="13">
        <v>250</v>
      </c>
      <c r="C464" s="10">
        <v>0</v>
      </c>
      <c r="D464" s="10">
        <v>0</v>
      </c>
      <c r="E464" s="10">
        <v>250</v>
      </c>
    </row>
    <row r="465" spans="1:5">
      <c r="A465" s="8" t="s">
        <v>498</v>
      </c>
      <c r="B465" s="13">
        <v>250</v>
      </c>
      <c r="C465" s="10">
        <v>0</v>
      </c>
      <c r="D465" s="10">
        <v>0</v>
      </c>
      <c r="E465" s="10">
        <v>250</v>
      </c>
    </row>
    <row r="466" spans="1:5">
      <c r="A466" s="8" t="s">
        <v>359</v>
      </c>
      <c r="B466" s="13"/>
      <c r="C466" s="10"/>
      <c r="D466" s="10"/>
      <c r="E466" s="10"/>
    </row>
    <row r="467" spans="1:5">
      <c r="A467" s="9" t="s">
        <v>284</v>
      </c>
      <c r="B467" s="13">
        <v>450</v>
      </c>
      <c r="C467" s="10">
        <v>337.48</v>
      </c>
      <c r="D467" s="10">
        <v>0</v>
      </c>
      <c r="E467" s="10">
        <v>112.52000000000001</v>
      </c>
    </row>
    <row r="468" spans="1:5">
      <c r="A468" s="8" t="s">
        <v>499</v>
      </c>
      <c r="B468" s="13">
        <v>450</v>
      </c>
      <c r="C468" s="10">
        <v>337.48</v>
      </c>
      <c r="D468" s="10">
        <v>0</v>
      </c>
      <c r="E468" s="10">
        <v>112.52000000000001</v>
      </c>
    </row>
    <row r="469" spans="1:5">
      <c r="A469" s="8" t="s">
        <v>360</v>
      </c>
      <c r="B469" s="13"/>
      <c r="C469" s="10"/>
      <c r="D469" s="10"/>
      <c r="E469" s="10"/>
    </row>
    <row r="470" spans="1:5">
      <c r="A470" s="9" t="s">
        <v>292</v>
      </c>
      <c r="B470" s="13">
        <v>0</v>
      </c>
      <c r="C470" s="10">
        <v>0</v>
      </c>
      <c r="D470" s="10">
        <v>0</v>
      </c>
      <c r="E470" s="10">
        <v>0</v>
      </c>
    </row>
    <row r="471" spans="1:5">
      <c r="A471" s="9" t="s">
        <v>284</v>
      </c>
      <c r="B471" s="13">
        <v>4600</v>
      </c>
      <c r="C471" s="10">
        <v>3429.16</v>
      </c>
      <c r="D471" s="10">
        <v>0</v>
      </c>
      <c r="E471" s="10">
        <v>1170.8399999999999</v>
      </c>
    </row>
    <row r="472" spans="1:5">
      <c r="A472" s="9" t="s">
        <v>285</v>
      </c>
      <c r="B472" s="13">
        <v>0</v>
      </c>
      <c r="C472" s="10">
        <v>0</v>
      </c>
      <c r="D472" s="10">
        <v>0</v>
      </c>
      <c r="E472" s="10">
        <v>0</v>
      </c>
    </row>
    <row r="473" spans="1:5">
      <c r="A473" s="9" t="s">
        <v>286</v>
      </c>
      <c r="B473" s="13">
        <v>0</v>
      </c>
      <c r="C473" s="10">
        <v>402.05</v>
      </c>
      <c r="D473" s="10">
        <v>0</v>
      </c>
      <c r="E473" s="10">
        <v>-402.05</v>
      </c>
    </row>
    <row r="474" spans="1:5">
      <c r="A474" s="8" t="s">
        <v>500</v>
      </c>
      <c r="B474" s="13">
        <v>4600</v>
      </c>
      <c r="C474" s="10">
        <v>3831.21</v>
      </c>
      <c r="D474" s="10">
        <v>0</v>
      </c>
      <c r="E474" s="10">
        <v>768.79</v>
      </c>
    </row>
    <row r="475" spans="1:5">
      <c r="A475" s="8" t="s">
        <v>361</v>
      </c>
      <c r="B475" s="13"/>
      <c r="C475" s="10"/>
      <c r="D475" s="10"/>
      <c r="E475" s="10"/>
    </row>
    <row r="476" spans="1:5">
      <c r="A476" s="9" t="s">
        <v>281</v>
      </c>
      <c r="B476" s="13">
        <v>89109</v>
      </c>
      <c r="C476" s="10">
        <v>51409.29</v>
      </c>
      <c r="D476" s="10">
        <v>0</v>
      </c>
      <c r="E476" s="10">
        <v>37699.71</v>
      </c>
    </row>
    <row r="477" spans="1:5">
      <c r="A477" s="9" t="s">
        <v>282</v>
      </c>
      <c r="B477" s="13">
        <v>891</v>
      </c>
      <c r="C477" s="10">
        <v>1406.95</v>
      </c>
      <c r="D477" s="10">
        <v>0</v>
      </c>
      <c r="E477" s="10">
        <v>-515.95000000000005</v>
      </c>
    </row>
    <row r="478" spans="1:5">
      <c r="A478" s="8" t="s">
        <v>501</v>
      </c>
      <c r="B478" s="13">
        <v>90000</v>
      </c>
      <c r="C478" s="10">
        <v>52816.24</v>
      </c>
      <c r="D478" s="10">
        <v>0</v>
      </c>
      <c r="E478" s="10">
        <v>37183.760000000002</v>
      </c>
    </row>
    <row r="479" spans="1:5">
      <c r="A479" s="8" t="s">
        <v>415</v>
      </c>
      <c r="B479" s="13"/>
      <c r="C479" s="10"/>
      <c r="D479" s="10"/>
      <c r="E479" s="10"/>
    </row>
    <row r="480" spans="1:5">
      <c r="A480" s="9" t="s">
        <v>363</v>
      </c>
      <c r="B480" s="13">
        <v>0</v>
      </c>
      <c r="C480" s="10">
        <v>-842001.79999999993</v>
      </c>
      <c r="D480" s="10">
        <v>0</v>
      </c>
      <c r="E480" s="10">
        <v>842001.79999999993</v>
      </c>
    </row>
    <row r="481" spans="1:5">
      <c r="A481" s="9" t="s">
        <v>290</v>
      </c>
      <c r="B481" s="13">
        <v>0</v>
      </c>
      <c r="C481" s="10">
        <v>-27000</v>
      </c>
      <c r="D481" s="10">
        <v>0</v>
      </c>
      <c r="E481" s="10">
        <v>27000</v>
      </c>
    </row>
    <row r="482" spans="1:5">
      <c r="A482" s="8" t="s">
        <v>502</v>
      </c>
      <c r="B482" s="13">
        <v>0</v>
      </c>
      <c r="C482" s="10">
        <v>-869001.79999999993</v>
      </c>
      <c r="D482" s="10">
        <v>0</v>
      </c>
      <c r="E482" s="10">
        <v>869001.79999999993</v>
      </c>
    </row>
    <row r="483" spans="1:5">
      <c r="A483" s="8" t="s">
        <v>362</v>
      </c>
      <c r="B483" s="13">
        <v>900000</v>
      </c>
      <c r="C483" s="10">
        <v>-2020463.4200000009</v>
      </c>
      <c r="D483" s="10">
        <v>0</v>
      </c>
      <c r="E483" s="10">
        <v>2920463.4200000009</v>
      </c>
    </row>
  </sheetData>
  <mergeCells count="2">
    <mergeCell ref="A1:E1"/>
    <mergeCell ref="A2:E2"/>
  </mergeCells>
  <printOptions horizontalCentered="1"/>
  <pageMargins left="0.45" right="0.45" top="0.5" bottom="0.5" header="0.3" footer="0.25"/>
  <pageSetup orientation="portrait" r:id="rId2"/>
  <headerFooter>
    <oddFooter>&amp;LPage &amp;P of &amp;N&amp;RDennis Eaker 434-5184</oddFooter>
  </headerFooter>
  <rowBreaks count="9" manualBreakCount="9">
    <brk id="44" max="16383" man="1"/>
    <brk id="86" max="16383" man="1"/>
    <brk id="128" max="16383" man="1"/>
    <brk id="215" max="16383" man="1"/>
    <brk id="257" max="16383" man="1"/>
    <brk id="299" max="16383" man="1"/>
    <brk id="342" max="16383" man="1"/>
    <brk id="383" max="16383" man="1"/>
    <brk id="424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40"/>
  <sheetViews>
    <sheetView topLeftCell="H809" workbookViewId="0">
      <selection activeCell="L2" sqref="L2:L840"/>
    </sheetView>
  </sheetViews>
  <sheetFormatPr defaultRowHeight="15"/>
  <cols>
    <col min="1" max="1" width="5.7109375" style="2" customWidth="1"/>
    <col min="2" max="2" width="11.7109375" style="2" customWidth="1"/>
    <col min="3" max="4" width="10.7109375" style="2" customWidth="1"/>
    <col min="5" max="5" width="30" style="4" bestFit="1" customWidth="1"/>
    <col min="6" max="6" width="6.7109375" style="2" customWidth="1"/>
    <col min="7" max="7" width="7.7109375" style="2" customWidth="1"/>
    <col min="8" max="8" width="9.7109375" style="2" customWidth="1"/>
    <col min="9" max="9" width="6.7109375" style="2" customWidth="1"/>
    <col min="10" max="10" width="28.7109375" style="4" bestFit="1" customWidth="1"/>
    <col min="11" max="11" width="12.7109375" style="2" customWidth="1"/>
    <col min="12" max="13" width="13.7109375" style="3" customWidth="1"/>
    <col min="14" max="14" width="16.7109375" style="3" customWidth="1"/>
    <col min="15" max="15" width="13.7109375" style="3" customWidth="1"/>
    <col min="16" max="16" width="20.7109375" style="2" customWidth="1"/>
    <col min="17" max="16384" width="9.140625" style="1"/>
  </cols>
  <sheetData>
    <row r="1" spans="1:16">
      <c r="A1" s="2" t="s">
        <v>192</v>
      </c>
      <c r="B1" s="2" t="s">
        <v>272</v>
      </c>
      <c r="C1" s="2" t="s">
        <v>273</v>
      </c>
      <c r="D1" s="2" t="s">
        <v>274</v>
      </c>
      <c r="E1" s="4" t="s">
        <v>264</v>
      </c>
      <c r="F1" s="2" t="s">
        <v>275</v>
      </c>
      <c r="G1" s="2" t="s">
        <v>276</v>
      </c>
      <c r="H1" s="2" t="s">
        <v>277</v>
      </c>
      <c r="I1" s="2" t="s">
        <v>278</v>
      </c>
      <c r="J1" s="4" t="s">
        <v>279</v>
      </c>
      <c r="K1" s="2" t="s">
        <v>397</v>
      </c>
      <c r="L1" s="3" t="s">
        <v>398</v>
      </c>
      <c r="M1" s="3" t="s">
        <v>399</v>
      </c>
      <c r="N1" s="3" t="s">
        <v>400</v>
      </c>
      <c r="O1" s="3" t="s">
        <v>401</v>
      </c>
      <c r="P1" s="2" t="s">
        <v>417</v>
      </c>
    </row>
    <row r="2" spans="1:16">
      <c r="A2" s="2" t="s">
        <v>280</v>
      </c>
      <c r="B2" s="2" t="s">
        <v>1</v>
      </c>
      <c r="C2" s="2" t="s">
        <v>2</v>
      </c>
      <c r="D2" s="2" t="s">
        <v>3</v>
      </c>
      <c r="E2" s="4" t="str">
        <f t="shared" ref="E2:E65" si="0">D2&amp;" - "&amp;P2</f>
        <v>2221 - SPEC.BLDG FUND-SCC</v>
      </c>
      <c r="H2" s="2" t="s">
        <v>4</v>
      </c>
      <c r="J2" s="5" t="str">
        <f>IF(H2="",VLOOKUP(LEFT(F2,1),'Exp-Rev Categories'!A:B,2,FALSE),IF(ISNA(VLOOKUP(H2,'Exp-Rev Categories'!A:B,2,FALSE)),"Revenue",VLOOKUP(H2,'Exp-Rev Categories'!A:B,2,FALSE)))</f>
        <v>Revenue</v>
      </c>
      <c r="K2" s="2">
        <v>0</v>
      </c>
      <c r="L2" s="3">
        <v>-5473.54</v>
      </c>
      <c r="M2" s="3">
        <v>0</v>
      </c>
      <c r="N2" s="3">
        <v>5473.54</v>
      </c>
      <c r="O2" s="3">
        <v>-1964.34</v>
      </c>
      <c r="P2" s="2" t="s">
        <v>364</v>
      </c>
    </row>
    <row r="3" spans="1:16">
      <c r="A3" s="2" t="s">
        <v>280</v>
      </c>
      <c r="B3" s="2" t="s">
        <v>1</v>
      </c>
      <c r="C3" s="2" t="s">
        <v>2</v>
      </c>
      <c r="D3" s="2" t="s">
        <v>3</v>
      </c>
      <c r="E3" s="4" t="str">
        <f t="shared" si="0"/>
        <v>2221 - SPEC.BLDG FUND-SCC</v>
      </c>
      <c r="H3" s="2" t="s">
        <v>8</v>
      </c>
      <c r="I3" s="2" t="s">
        <v>9</v>
      </c>
      <c r="J3" s="5" t="str">
        <f>IF(H3="",VLOOKUP(LEFT(F3,1),'Exp-Rev Categories'!A:B,2,FALSE),IF(ISNA(VLOOKUP(H3,'Exp-Rev Categories'!A:B,2,FALSE)),"Revenue",VLOOKUP(H3,'Exp-Rev Categories'!A:B,2,FALSE)))</f>
        <v>Revenue</v>
      </c>
      <c r="K3" s="2">
        <v>0</v>
      </c>
      <c r="L3" s="3">
        <v>-566.75</v>
      </c>
      <c r="M3" s="3">
        <v>0</v>
      </c>
      <c r="N3" s="3">
        <v>566.75</v>
      </c>
      <c r="O3" s="3">
        <v>0</v>
      </c>
      <c r="P3" s="2" t="s">
        <v>364</v>
      </c>
    </row>
    <row r="4" spans="1:16">
      <c r="A4" s="2" t="s">
        <v>280</v>
      </c>
      <c r="B4" s="2" t="s">
        <v>1</v>
      </c>
      <c r="C4" s="2" t="s">
        <v>2</v>
      </c>
      <c r="D4" s="2" t="s">
        <v>3</v>
      </c>
      <c r="E4" s="4" t="str">
        <f t="shared" si="0"/>
        <v>2221 - SPEC.BLDG FUND-SCC</v>
      </c>
      <c r="H4" s="2" t="s">
        <v>8</v>
      </c>
      <c r="I4" s="2" t="s">
        <v>10</v>
      </c>
      <c r="J4" s="5" t="str">
        <f>IF(H4="",VLOOKUP(LEFT(F4,1),'Exp-Rev Categories'!A:B,2,FALSE),IF(ISNA(VLOOKUP(H4,'Exp-Rev Categories'!A:B,2,FALSE)),"Revenue",VLOOKUP(H4,'Exp-Rev Categories'!A:B,2,FALSE)))</f>
        <v>Revenue</v>
      </c>
      <c r="K4" s="2">
        <v>0</v>
      </c>
      <c r="L4" s="3">
        <v>-71.91</v>
      </c>
      <c r="M4" s="3">
        <v>0</v>
      </c>
      <c r="N4" s="3">
        <v>71.91</v>
      </c>
      <c r="O4" s="3">
        <v>0</v>
      </c>
      <c r="P4" s="2" t="s">
        <v>364</v>
      </c>
    </row>
    <row r="5" spans="1:16">
      <c r="A5" s="2" t="s">
        <v>280</v>
      </c>
      <c r="B5" s="2" t="s">
        <v>1</v>
      </c>
      <c r="C5" s="2" t="s">
        <v>2</v>
      </c>
      <c r="D5" s="2" t="s">
        <v>3</v>
      </c>
      <c r="E5" s="4" t="str">
        <f t="shared" si="0"/>
        <v>2221 - SPEC.BLDG FUND-SCC</v>
      </c>
      <c r="H5" s="2" t="s">
        <v>8</v>
      </c>
      <c r="I5" s="2" t="s">
        <v>11</v>
      </c>
      <c r="J5" s="5" t="str">
        <f>IF(H5="",VLOOKUP(LEFT(F5,1),'Exp-Rev Categories'!A:B,2,FALSE),IF(ISNA(VLOOKUP(H5,'Exp-Rev Categories'!A:B,2,FALSE)),"Revenue",VLOOKUP(H5,'Exp-Rev Categories'!A:B,2,FALSE)))</f>
        <v>Revenue</v>
      </c>
      <c r="K5" s="2">
        <v>0</v>
      </c>
      <c r="L5" s="3">
        <v>-1052.07</v>
      </c>
      <c r="M5" s="3">
        <v>0</v>
      </c>
      <c r="N5" s="3">
        <v>1052.07</v>
      </c>
      <c r="O5" s="3">
        <v>0</v>
      </c>
      <c r="P5" s="2" t="s">
        <v>364</v>
      </c>
    </row>
    <row r="6" spans="1:16">
      <c r="A6" s="2" t="s">
        <v>280</v>
      </c>
      <c r="B6" s="2" t="s">
        <v>1</v>
      </c>
      <c r="C6" s="2" t="s">
        <v>2</v>
      </c>
      <c r="D6" s="2" t="s">
        <v>3</v>
      </c>
      <c r="E6" s="4" t="str">
        <f t="shared" si="0"/>
        <v>2221 - SPEC.BLDG FUND-SCC</v>
      </c>
      <c r="H6" s="2" t="s">
        <v>8</v>
      </c>
      <c r="I6" s="2" t="s">
        <v>12</v>
      </c>
      <c r="J6" s="5" t="str">
        <f>IF(H6="",VLOOKUP(LEFT(F6,1),'Exp-Rev Categories'!A:B,2,FALSE),IF(ISNA(VLOOKUP(H6,'Exp-Rev Categories'!A:B,2,FALSE)),"Revenue",VLOOKUP(H6,'Exp-Rev Categories'!A:B,2,FALSE)))</f>
        <v>Revenue</v>
      </c>
      <c r="K6" s="2">
        <v>0</v>
      </c>
      <c r="L6" s="3">
        <v>-437.51</v>
      </c>
      <c r="M6" s="3">
        <v>0</v>
      </c>
      <c r="N6" s="3">
        <v>437.51</v>
      </c>
      <c r="O6" s="3">
        <v>0</v>
      </c>
      <c r="P6" s="2" t="s">
        <v>364</v>
      </c>
    </row>
    <row r="7" spans="1:16">
      <c r="A7" s="2" t="s">
        <v>280</v>
      </c>
      <c r="B7" s="2" t="s">
        <v>1</v>
      </c>
      <c r="C7" s="2" t="s">
        <v>2</v>
      </c>
      <c r="D7" s="2" t="s">
        <v>3</v>
      </c>
      <c r="E7" s="4" t="str">
        <f t="shared" si="0"/>
        <v>2221 - SPEC.BLDG FUND-SCC</v>
      </c>
      <c r="H7" s="2" t="s">
        <v>8</v>
      </c>
      <c r="I7" s="2" t="s">
        <v>13</v>
      </c>
      <c r="J7" s="5" t="str">
        <f>IF(H7="",VLOOKUP(LEFT(F7,1),'Exp-Rev Categories'!A:B,2,FALSE),IF(ISNA(VLOOKUP(H7,'Exp-Rev Categories'!A:B,2,FALSE)),"Revenue",VLOOKUP(H7,'Exp-Rev Categories'!A:B,2,FALSE)))</f>
        <v>Revenue</v>
      </c>
      <c r="K7" s="2">
        <v>0</v>
      </c>
      <c r="L7" s="3">
        <v>-92.92</v>
      </c>
      <c r="M7" s="3">
        <v>0</v>
      </c>
      <c r="N7" s="3">
        <v>92.92</v>
      </c>
      <c r="O7" s="3">
        <v>0</v>
      </c>
      <c r="P7" s="2" t="s">
        <v>364</v>
      </c>
    </row>
    <row r="8" spans="1:16">
      <c r="A8" s="2" t="s">
        <v>280</v>
      </c>
      <c r="B8" s="2" t="s">
        <v>1</v>
      </c>
      <c r="C8" s="2" t="s">
        <v>2</v>
      </c>
      <c r="D8" s="2" t="s">
        <v>3</v>
      </c>
      <c r="E8" s="4" t="str">
        <f t="shared" si="0"/>
        <v>2221 - SPEC.BLDG FUND-SCC</v>
      </c>
      <c r="H8" s="2" t="s">
        <v>8</v>
      </c>
      <c r="I8" s="2" t="s">
        <v>14</v>
      </c>
      <c r="J8" s="5" t="str">
        <f>IF(H8="",VLOOKUP(LEFT(F8,1),'Exp-Rev Categories'!A:B,2,FALSE),IF(ISNA(VLOOKUP(H8,'Exp-Rev Categories'!A:B,2,FALSE)),"Revenue",VLOOKUP(H8,'Exp-Rev Categories'!A:B,2,FALSE)))</f>
        <v>Revenue</v>
      </c>
      <c r="K8" s="2">
        <v>0</v>
      </c>
      <c r="L8" s="3">
        <v>-6.21</v>
      </c>
      <c r="M8" s="3">
        <v>0</v>
      </c>
      <c r="N8" s="3">
        <v>6.21</v>
      </c>
      <c r="O8" s="3">
        <v>0</v>
      </c>
      <c r="P8" s="2" t="s">
        <v>364</v>
      </c>
    </row>
    <row r="9" spans="1:16">
      <c r="A9" s="2" t="s">
        <v>280</v>
      </c>
      <c r="B9" s="2" t="s">
        <v>1</v>
      </c>
      <c r="C9" s="2" t="s">
        <v>2</v>
      </c>
      <c r="D9" s="2" t="s">
        <v>3</v>
      </c>
      <c r="E9" s="4" t="str">
        <f t="shared" si="0"/>
        <v>2221 - SPEC.BLDG FUND-SCC</v>
      </c>
      <c r="H9" s="2" t="s">
        <v>8</v>
      </c>
      <c r="I9" s="2" t="s">
        <v>15</v>
      </c>
      <c r="J9" s="5" t="str">
        <f>IF(H9="",VLOOKUP(LEFT(F9,1),'Exp-Rev Categories'!A:B,2,FALSE),IF(ISNA(VLOOKUP(H9,'Exp-Rev Categories'!A:B,2,FALSE)),"Revenue",VLOOKUP(H9,'Exp-Rev Categories'!A:B,2,FALSE)))</f>
        <v>Revenue</v>
      </c>
      <c r="K9" s="2">
        <v>0</v>
      </c>
      <c r="L9" s="3">
        <v>-19100.759999999998</v>
      </c>
      <c r="M9" s="3">
        <v>0</v>
      </c>
      <c r="N9" s="3">
        <v>19100.759999999998</v>
      </c>
      <c r="O9" s="3">
        <v>0</v>
      </c>
      <c r="P9" s="2" t="s">
        <v>364</v>
      </c>
    </row>
    <row r="10" spans="1:16">
      <c r="A10" s="2" t="s">
        <v>280</v>
      </c>
      <c r="B10" s="2" t="s">
        <v>1</v>
      </c>
      <c r="C10" s="2" t="s">
        <v>2</v>
      </c>
      <c r="D10" s="2" t="s">
        <v>3</v>
      </c>
      <c r="E10" s="4" t="str">
        <f t="shared" si="0"/>
        <v>2221 - SPEC.BLDG FUND-SCC</v>
      </c>
      <c r="H10" s="2" t="s">
        <v>8</v>
      </c>
      <c r="I10" s="2" t="s">
        <v>16</v>
      </c>
      <c r="J10" s="5" t="str">
        <f>IF(H10="",VLOOKUP(LEFT(F10,1),'Exp-Rev Categories'!A:B,2,FALSE),IF(ISNA(VLOOKUP(H10,'Exp-Rev Categories'!A:B,2,FALSE)),"Revenue",VLOOKUP(H10,'Exp-Rev Categories'!A:B,2,FALSE)))</f>
        <v>Revenue</v>
      </c>
      <c r="K10" s="2">
        <v>0</v>
      </c>
      <c r="L10" s="3">
        <v>-33899.589999999997</v>
      </c>
      <c r="M10" s="3">
        <v>0</v>
      </c>
      <c r="N10" s="3">
        <v>33899.589999999997</v>
      </c>
      <c r="O10" s="3">
        <v>0</v>
      </c>
      <c r="P10" s="2" t="s">
        <v>364</v>
      </c>
    </row>
    <row r="11" spans="1:16">
      <c r="A11" s="2" t="s">
        <v>280</v>
      </c>
      <c r="B11" s="2" t="s">
        <v>1</v>
      </c>
      <c r="C11" s="2" t="s">
        <v>2</v>
      </c>
      <c r="D11" s="2" t="s">
        <v>3</v>
      </c>
      <c r="E11" s="4" t="str">
        <f t="shared" si="0"/>
        <v>2221 - SPEC.BLDG FUND-SCC</v>
      </c>
      <c r="H11" s="2" t="s">
        <v>8</v>
      </c>
      <c r="I11" s="2" t="s">
        <v>17</v>
      </c>
      <c r="J11" s="5" t="str">
        <f>IF(H11="",VLOOKUP(LEFT(F11,1),'Exp-Rev Categories'!A:B,2,FALSE),IF(ISNA(VLOOKUP(H11,'Exp-Rev Categories'!A:B,2,FALSE)),"Revenue",VLOOKUP(H11,'Exp-Rev Categories'!A:B,2,FALSE)))</f>
        <v>Revenue</v>
      </c>
      <c r="K11" s="2">
        <v>0</v>
      </c>
      <c r="L11" s="3">
        <v>-324.27999999999997</v>
      </c>
      <c r="M11" s="3">
        <v>0</v>
      </c>
      <c r="N11" s="3">
        <v>324.27999999999997</v>
      </c>
      <c r="O11" s="3">
        <v>0</v>
      </c>
      <c r="P11" s="2" t="s">
        <v>364</v>
      </c>
    </row>
    <row r="12" spans="1:16">
      <c r="A12" s="2" t="s">
        <v>280</v>
      </c>
      <c r="B12" s="2" t="s">
        <v>1</v>
      </c>
      <c r="C12" s="2" t="s">
        <v>2</v>
      </c>
      <c r="D12" s="2" t="s">
        <v>3</v>
      </c>
      <c r="E12" s="4" t="str">
        <f t="shared" si="0"/>
        <v>2221 - SPEC.BLDG FUND-SCC</v>
      </c>
      <c r="H12" s="2" t="s">
        <v>8</v>
      </c>
      <c r="I12" s="2" t="s">
        <v>18</v>
      </c>
      <c r="J12" s="5" t="str">
        <f>IF(H12="",VLOOKUP(LEFT(F12,1),'Exp-Rev Categories'!A:B,2,FALSE),IF(ISNA(VLOOKUP(H12,'Exp-Rev Categories'!A:B,2,FALSE)),"Revenue",VLOOKUP(H12,'Exp-Rev Categories'!A:B,2,FALSE)))</f>
        <v>Revenue</v>
      </c>
      <c r="K12" s="2">
        <v>0</v>
      </c>
      <c r="L12" s="3">
        <v>-3146.61</v>
      </c>
      <c r="M12" s="3">
        <v>0</v>
      </c>
      <c r="N12" s="3">
        <v>3146.61</v>
      </c>
      <c r="O12" s="3">
        <v>0</v>
      </c>
      <c r="P12" s="2" t="s">
        <v>364</v>
      </c>
    </row>
    <row r="13" spans="1:16">
      <c r="A13" s="2" t="s">
        <v>280</v>
      </c>
      <c r="B13" s="2" t="s">
        <v>1</v>
      </c>
      <c r="C13" s="2" t="s">
        <v>2</v>
      </c>
      <c r="D13" s="2" t="s">
        <v>3</v>
      </c>
      <c r="E13" s="4" t="str">
        <f t="shared" si="0"/>
        <v>2221 - SPEC.BLDG FUND-SCC</v>
      </c>
      <c r="H13" s="2" t="s">
        <v>8</v>
      </c>
      <c r="I13" s="2" t="s">
        <v>19</v>
      </c>
      <c r="J13" s="5" t="str">
        <f>IF(H13="",VLOOKUP(LEFT(F13,1),'Exp-Rev Categories'!A:B,2,FALSE),IF(ISNA(VLOOKUP(H13,'Exp-Rev Categories'!A:B,2,FALSE)),"Revenue",VLOOKUP(H13,'Exp-Rev Categories'!A:B,2,FALSE)))</f>
        <v>Revenue</v>
      </c>
      <c r="K13" s="2">
        <v>0</v>
      </c>
      <c r="L13" s="3">
        <v>-1736.51</v>
      </c>
      <c r="M13" s="3">
        <v>0</v>
      </c>
      <c r="N13" s="3">
        <v>1736.51</v>
      </c>
      <c r="O13" s="3">
        <v>0</v>
      </c>
      <c r="P13" s="2" t="s">
        <v>364</v>
      </c>
    </row>
    <row r="14" spans="1:16">
      <c r="A14" s="2" t="s">
        <v>280</v>
      </c>
      <c r="B14" s="2" t="s">
        <v>1</v>
      </c>
      <c r="C14" s="2" t="s">
        <v>2</v>
      </c>
      <c r="D14" s="2" t="s">
        <v>3</v>
      </c>
      <c r="E14" s="4" t="str">
        <f t="shared" si="0"/>
        <v>2221 - SPEC.BLDG FUND-SCC</v>
      </c>
      <c r="H14" s="2" t="s">
        <v>8</v>
      </c>
      <c r="I14" s="2" t="s">
        <v>20</v>
      </c>
      <c r="J14" s="5" t="str">
        <f>IF(H14="",VLOOKUP(LEFT(F14,1),'Exp-Rev Categories'!A:B,2,FALSE),IF(ISNA(VLOOKUP(H14,'Exp-Rev Categories'!A:B,2,FALSE)),"Revenue",VLOOKUP(H14,'Exp-Rev Categories'!A:B,2,FALSE)))</f>
        <v>Revenue</v>
      </c>
      <c r="K14" s="2">
        <v>0</v>
      </c>
      <c r="L14" s="3">
        <v>-238788.27</v>
      </c>
      <c r="M14" s="3">
        <v>0</v>
      </c>
      <c r="N14" s="3">
        <v>238788.27</v>
      </c>
      <c r="O14" s="3">
        <v>0</v>
      </c>
      <c r="P14" s="2" t="s">
        <v>364</v>
      </c>
    </row>
    <row r="15" spans="1:16">
      <c r="A15" s="2" t="s">
        <v>280</v>
      </c>
      <c r="B15" s="2" t="s">
        <v>1</v>
      </c>
      <c r="C15" s="2" t="s">
        <v>2</v>
      </c>
      <c r="D15" s="2" t="s">
        <v>3</v>
      </c>
      <c r="E15" s="4" t="str">
        <f t="shared" si="0"/>
        <v>2221 - SPEC.BLDG FUND-SCC</v>
      </c>
      <c r="H15" s="2" t="s">
        <v>139</v>
      </c>
      <c r="J15" s="5" t="str">
        <f>IF(H15="",VLOOKUP(LEFT(F15,1),'Exp-Rev Categories'!A:B,2,FALSE),IF(ISNA(VLOOKUP(H15,'Exp-Rev Categories'!A:B,2,FALSE)),"Revenue",VLOOKUP(H15,'Exp-Rev Categories'!A:B,2,FALSE)))</f>
        <v>Rev-Fund Transfers - In</v>
      </c>
      <c r="K15" s="2">
        <v>0</v>
      </c>
      <c r="L15" s="3">
        <v>0</v>
      </c>
      <c r="M15" s="3">
        <v>0</v>
      </c>
      <c r="N15" s="3">
        <v>0</v>
      </c>
      <c r="O15" s="3">
        <v>0</v>
      </c>
      <c r="P15" s="2" t="s">
        <v>364</v>
      </c>
    </row>
    <row r="16" spans="1:16">
      <c r="A16" s="2" t="s">
        <v>280</v>
      </c>
      <c r="B16" s="2" t="s">
        <v>1</v>
      </c>
      <c r="C16" s="2" t="s">
        <v>2</v>
      </c>
      <c r="D16" s="2" t="s">
        <v>3</v>
      </c>
      <c r="E16" s="4" t="str">
        <f t="shared" si="0"/>
        <v>2221 - SPEC.BLDG FUND-SCC</v>
      </c>
      <c r="H16" s="2" t="s">
        <v>53</v>
      </c>
      <c r="J16" s="5" t="str">
        <f>IF(H16="",VLOOKUP(LEFT(F16,1),'Exp-Rev Categories'!A:B,2,FALSE),IF(ISNA(VLOOKUP(H16,'Exp-Rev Categories'!A:B,2,FALSE)),"Revenue",VLOOKUP(H16,'Exp-Rev Categories'!A:B,2,FALSE)))</f>
        <v>Rev-Fund Transfers - Out</v>
      </c>
      <c r="K16" s="2">
        <v>0</v>
      </c>
      <c r="L16" s="3">
        <v>0</v>
      </c>
      <c r="M16" s="3">
        <v>0</v>
      </c>
      <c r="N16" s="3">
        <v>0</v>
      </c>
      <c r="O16" s="3">
        <v>0</v>
      </c>
      <c r="P16" s="2" t="s">
        <v>364</v>
      </c>
    </row>
    <row r="17" spans="1:16">
      <c r="A17" s="2" t="s">
        <v>280</v>
      </c>
      <c r="B17" s="2" t="s">
        <v>1</v>
      </c>
      <c r="C17" s="2" t="s">
        <v>2</v>
      </c>
      <c r="D17" s="2" t="s">
        <v>3</v>
      </c>
      <c r="E17" s="4" t="str">
        <f t="shared" si="0"/>
        <v>2221 - SPEC.BLDG FUND-SCC</v>
      </c>
      <c r="H17" s="2" t="s">
        <v>22</v>
      </c>
      <c r="J17" s="5" t="str">
        <f>IF(H17="",VLOOKUP(LEFT(F17,1),'Exp-Rev Categories'!A:B,2,FALSE),IF(ISNA(VLOOKUP(H17,'Exp-Rev Categories'!A:B,2,FALSE)),"Revenue",VLOOKUP(H17,'Exp-Rev Categories'!A:B,2,FALSE)))</f>
        <v>Carryforward</v>
      </c>
      <c r="K17" s="2">
        <v>0</v>
      </c>
      <c r="L17" s="3">
        <v>-652524.89</v>
      </c>
      <c r="M17" s="3">
        <v>0</v>
      </c>
      <c r="N17" s="3">
        <v>652524.89</v>
      </c>
      <c r="O17" s="3">
        <v>0</v>
      </c>
      <c r="P17" s="2" t="s">
        <v>364</v>
      </c>
    </row>
    <row r="18" spans="1:16">
      <c r="A18" s="2" t="s">
        <v>280</v>
      </c>
      <c r="B18" s="2" t="s">
        <v>1</v>
      </c>
      <c r="C18" s="2" t="s">
        <v>2</v>
      </c>
      <c r="D18" s="2" t="s">
        <v>3</v>
      </c>
      <c r="E18" s="4" t="str">
        <f t="shared" si="0"/>
        <v>2221 - SPEC.BLDG FUND-SCC</v>
      </c>
      <c r="F18" s="2" t="s">
        <v>29</v>
      </c>
      <c r="J18" s="5" t="str">
        <f>IF(H18="",VLOOKUP(LEFT(F18,1),'Exp-Rev Categories'!A:B,2,FALSE),IF(ISNA(VLOOKUP(H18,'Exp-Rev Categories'!A:B,2,FALSE)),"Revenue",VLOOKUP(H18,'Exp-Rev Categories'!A:B,2,FALSE)))</f>
        <v>Exp-Goods &amp; Services</v>
      </c>
      <c r="K18" s="2">
        <v>0</v>
      </c>
      <c r="L18" s="3">
        <v>0</v>
      </c>
      <c r="M18" s="3">
        <v>0</v>
      </c>
      <c r="N18" s="3">
        <v>0</v>
      </c>
      <c r="O18" s="3">
        <v>0</v>
      </c>
      <c r="P18" s="2" t="s">
        <v>364</v>
      </c>
    </row>
    <row r="19" spans="1:16">
      <c r="A19" s="2" t="s">
        <v>280</v>
      </c>
      <c r="B19" s="2" t="s">
        <v>1</v>
      </c>
      <c r="C19" s="2" t="s">
        <v>2</v>
      </c>
      <c r="D19" s="2" t="s">
        <v>3</v>
      </c>
      <c r="E19" s="4" t="str">
        <f t="shared" si="0"/>
        <v>2221 - SPEC.BLDG FUND-SCC</v>
      </c>
      <c r="F19" s="2" t="s">
        <v>23</v>
      </c>
      <c r="G19" s="2" t="s">
        <v>24</v>
      </c>
      <c r="J19" s="5" t="str">
        <f>IF(H19="",VLOOKUP(LEFT(F19,1),'Exp-Rev Categories'!A:B,2,FALSE),IF(ISNA(VLOOKUP(H19,'Exp-Rev Categories'!A:B,2,FALSE)),"Revenue",VLOOKUP(H19,'Exp-Rev Categories'!A:B,2,FALSE)))</f>
        <v>Exp-Goods &amp; Services</v>
      </c>
      <c r="K19" s="2">
        <v>0</v>
      </c>
      <c r="L19" s="3">
        <v>2787.91</v>
      </c>
      <c r="M19" s="3">
        <v>0</v>
      </c>
      <c r="N19" s="3">
        <v>-2787.91</v>
      </c>
      <c r="O19" s="3">
        <v>0</v>
      </c>
      <c r="P19" s="2" t="s">
        <v>364</v>
      </c>
    </row>
    <row r="20" spans="1:16">
      <c r="A20" s="2" t="s">
        <v>280</v>
      </c>
      <c r="B20" s="2" t="s">
        <v>1</v>
      </c>
      <c r="C20" s="2" t="s">
        <v>2</v>
      </c>
      <c r="D20" s="2" t="s">
        <v>3</v>
      </c>
      <c r="E20" s="4" t="str">
        <f t="shared" si="0"/>
        <v>2221 - SPEC.BLDG FUND-SCC</v>
      </c>
      <c r="F20" s="2" t="s">
        <v>267</v>
      </c>
      <c r="J20" s="5" t="str">
        <f>IF(H20="",VLOOKUP(LEFT(F20,1),'Exp-Rev Categories'!A:B,2,FALSE),IF(ISNA(VLOOKUP(H20,'Exp-Rev Categories'!A:B,2,FALSE)),"Revenue",VLOOKUP(H20,'Exp-Rev Categories'!A:B,2,FALSE)))</f>
        <v>Exp-Travel</v>
      </c>
      <c r="K20" s="2">
        <v>0</v>
      </c>
      <c r="L20" s="3">
        <v>0</v>
      </c>
      <c r="M20" s="3">
        <v>0</v>
      </c>
      <c r="N20" s="3">
        <v>0</v>
      </c>
      <c r="O20" s="3">
        <v>0</v>
      </c>
      <c r="P20" s="2" t="s">
        <v>364</v>
      </c>
    </row>
    <row r="21" spans="1:16">
      <c r="A21" s="2" t="s">
        <v>280</v>
      </c>
      <c r="B21" s="2" t="s">
        <v>1</v>
      </c>
      <c r="C21" s="2" t="s">
        <v>2</v>
      </c>
      <c r="D21" s="2" t="s">
        <v>3</v>
      </c>
      <c r="E21" s="4" t="str">
        <f t="shared" si="0"/>
        <v>2221 - SPEC.BLDG FUND-SCC</v>
      </c>
      <c r="F21" s="2" t="s">
        <v>268</v>
      </c>
      <c r="J21" s="5" t="str">
        <f>IF(H21="",VLOOKUP(LEFT(F21,1),'Exp-Rev Categories'!A:B,2,FALSE),IF(ISNA(VLOOKUP(H21,'Exp-Rev Categories'!A:B,2,FALSE)),"Revenue",VLOOKUP(H21,'Exp-Rev Categories'!A:B,2,FALSE)))</f>
        <v>Exp-Equipment</v>
      </c>
      <c r="K21" s="2">
        <v>0</v>
      </c>
      <c r="L21" s="3">
        <v>0</v>
      </c>
      <c r="M21" s="3">
        <v>0</v>
      </c>
      <c r="N21" s="3">
        <v>0</v>
      </c>
      <c r="O21" s="3">
        <v>0</v>
      </c>
      <c r="P21" s="2" t="s">
        <v>364</v>
      </c>
    </row>
    <row r="22" spans="1:16">
      <c r="A22" s="2" t="s">
        <v>280</v>
      </c>
      <c r="B22" s="2" t="s">
        <v>1</v>
      </c>
      <c r="C22" s="2" t="s">
        <v>2</v>
      </c>
      <c r="D22" s="2" t="s">
        <v>3</v>
      </c>
      <c r="E22" s="4" t="str">
        <f t="shared" si="0"/>
        <v>2221 - SPEC.BLDG FUND-SCC</v>
      </c>
      <c r="F22" s="2" t="s">
        <v>68</v>
      </c>
      <c r="J22" s="5" t="str">
        <f>IF(H22="",VLOOKUP(LEFT(F22,1),'Exp-Rev Categories'!A:B,2,FALSE),IF(ISNA(VLOOKUP(H22,'Exp-Rev Categories'!A:B,2,FALSE)),"Revenue",VLOOKUP(H22,'Exp-Rev Categories'!A:B,2,FALSE)))</f>
        <v>Exp-Computer Equipment</v>
      </c>
      <c r="K22" s="2">
        <v>0</v>
      </c>
      <c r="L22" s="3">
        <v>0</v>
      </c>
      <c r="M22" s="3">
        <v>0</v>
      </c>
      <c r="N22" s="3">
        <v>0</v>
      </c>
      <c r="O22" s="3">
        <v>0</v>
      </c>
      <c r="P22" s="2" t="s">
        <v>364</v>
      </c>
    </row>
    <row r="23" spans="1:16">
      <c r="A23" s="2" t="s">
        <v>280</v>
      </c>
      <c r="B23" s="2" t="s">
        <v>1</v>
      </c>
      <c r="C23" s="2" t="s">
        <v>2</v>
      </c>
      <c r="D23" s="2" t="s">
        <v>3</v>
      </c>
      <c r="E23" s="4" t="str">
        <f t="shared" si="0"/>
        <v>2221 - SPEC.BLDG FUND-SCC</v>
      </c>
      <c r="F23" s="2" t="s">
        <v>365</v>
      </c>
      <c r="J23" s="5" t="str">
        <f>IF(H23="",VLOOKUP(LEFT(F23,1),'Exp-Rev Categories'!A:B,2,FALSE),IF(ISNA(VLOOKUP(H23,'Exp-Rev Categories'!A:B,2,FALSE)),"Revenue",VLOOKUP(H23,'Exp-Rev Categories'!A:B,2,FALSE)))</f>
        <v>Exp-Computer Equipment</v>
      </c>
      <c r="K23" s="2">
        <v>0</v>
      </c>
      <c r="L23" s="3">
        <v>0</v>
      </c>
      <c r="M23" s="3">
        <v>0</v>
      </c>
      <c r="N23" s="3">
        <v>0</v>
      </c>
      <c r="O23" s="3">
        <v>0</v>
      </c>
      <c r="P23" s="2" t="s">
        <v>364</v>
      </c>
    </row>
    <row r="24" spans="1:16">
      <c r="A24" s="2" t="s">
        <v>280</v>
      </c>
      <c r="B24" s="2" t="s">
        <v>1</v>
      </c>
      <c r="C24" s="2" t="s">
        <v>2</v>
      </c>
      <c r="D24" s="2" t="s">
        <v>25</v>
      </c>
      <c r="E24" s="4" t="str">
        <f t="shared" si="0"/>
        <v>2222 - SBF-SCC-LAIR FURNISH</v>
      </c>
      <c r="H24" s="2" t="s">
        <v>22</v>
      </c>
      <c r="J24" s="5" t="str">
        <f>IF(H24="",VLOOKUP(LEFT(F24,1),'Exp-Rev Categories'!A:B,2,FALSE),IF(ISNA(VLOOKUP(H24,'Exp-Rev Categories'!A:B,2,FALSE)),"Revenue",VLOOKUP(H24,'Exp-Rev Categories'!A:B,2,FALSE)))</f>
        <v>Carryforward</v>
      </c>
      <c r="K24" s="2">
        <v>0</v>
      </c>
      <c r="L24" s="3">
        <v>-3339.12</v>
      </c>
      <c r="M24" s="3">
        <v>0</v>
      </c>
      <c r="N24" s="3">
        <v>3339.12</v>
      </c>
      <c r="O24" s="3">
        <v>0</v>
      </c>
      <c r="P24" s="2" t="s">
        <v>195</v>
      </c>
    </row>
    <row r="25" spans="1:16">
      <c r="A25" s="2" t="s">
        <v>280</v>
      </c>
      <c r="B25" s="2" t="s">
        <v>1</v>
      </c>
      <c r="C25" s="2" t="s">
        <v>2</v>
      </c>
      <c r="D25" s="2" t="s">
        <v>26</v>
      </c>
      <c r="E25" s="4" t="str">
        <f t="shared" si="0"/>
        <v>2309 - IRP CLUB ADVISORS</v>
      </c>
      <c r="F25" s="2" t="s">
        <v>27</v>
      </c>
      <c r="G25" s="2" t="s">
        <v>28</v>
      </c>
      <c r="J25" s="5" t="str">
        <f>IF(H25="",VLOOKUP(LEFT(F25,1),'Exp-Rev Categories'!A:B,2,FALSE),IF(ISNA(VLOOKUP(H25,'Exp-Rev Categories'!A:B,2,FALSE)),"Revenue",VLOOKUP(H25,'Exp-Rev Categories'!A:B,2,FALSE)))</f>
        <v>Exp-Salaries &amp; Wages</v>
      </c>
      <c r="K25" s="2">
        <v>0</v>
      </c>
      <c r="L25" s="3">
        <v>963</v>
      </c>
      <c r="M25" s="3">
        <v>0</v>
      </c>
      <c r="N25" s="3">
        <v>-963</v>
      </c>
      <c r="O25" s="3">
        <v>0</v>
      </c>
      <c r="P25" s="2" t="s">
        <v>196</v>
      </c>
    </row>
    <row r="26" spans="1:16">
      <c r="A26" s="2" t="s">
        <v>280</v>
      </c>
      <c r="B26" s="2" t="s">
        <v>1</v>
      </c>
      <c r="C26" s="2" t="s">
        <v>2</v>
      </c>
      <c r="D26" s="2" t="s">
        <v>26</v>
      </c>
      <c r="E26" s="4" t="str">
        <f t="shared" si="0"/>
        <v>2309 - IRP CLUB ADVISORS</v>
      </c>
      <c r="F26" s="2" t="s">
        <v>31</v>
      </c>
      <c r="G26" s="2" t="s">
        <v>28</v>
      </c>
      <c r="J26" s="5" t="str">
        <f>IF(H26="",VLOOKUP(LEFT(F26,1),'Exp-Rev Categories'!A:B,2,FALSE),IF(ISNA(VLOOKUP(H26,'Exp-Rev Categories'!A:B,2,FALSE)),"Revenue",VLOOKUP(H26,'Exp-Rev Categories'!A:B,2,FALSE)))</f>
        <v>Exp-Salaries &amp; Wages</v>
      </c>
      <c r="K26" s="2">
        <v>48333</v>
      </c>
      <c r="L26" s="3">
        <v>45421.5</v>
      </c>
      <c r="M26" s="3">
        <v>0</v>
      </c>
      <c r="N26" s="3">
        <v>2911.5</v>
      </c>
      <c r="O26" s="3">
        <v>0</v>
      </c>
      <c r="P26" s="2" t="s">
        <v>196</v>
      </c>
    </row>
    <row r="27" spans="1:16">
      <c r="A27" s="2" t="s">
        <v>280</v>
      </c>
      <c r="B27" s="2" t="s">
        <v>1</v>
      </c>
      <c r="C27" s="2" t="s">
        <v>2</v>
      </c>
      <c r="D27" s="2" t="s">
        <v>26</v>
      </c>
      <c r="E27" s="4" t="str">
        <f t="shared" si="0"/>
        <v>2309 - IRP CLUB ADVISORS</v>
      </c>
      <c r="F27" s="2" t="s">
        <v>31</v>
      </c>
      <c r="G27" s="2" t="s">
        <v>33</v>
      </c>
      <c r="J27" s="5" t="str">
        <f>IF(H27="",VLOOKUP(LEFT(F27,1),'Exp-Rev Categories'!A:B,2,FALSE),IF(ISNA(VLOOKUP(H27,'Exp-Rev Categories'!A:B,2,FALSE)),"Revenue",VLOOKUP(H27,'Exp-Rev Categories'!A:B,2,FALSE)))</f>
        <v>Exp-Salaries &amp; Wages</v>
      </c>
      <c r="K27" s="2">
        <v>0</v>
      </c>
      <c r="L27" s="3">
        <v>1765.5</v>
      </c>
      <c r="M27" s="3">
        <v>0</v>
      </c>
      <c r="N27" s="3">
        <v>-1765.5</v>
      </c>
      <c r="O27" s="3">
        <v>0</v>
      </c>
      <c r="P27" s="2" t="s">
        <v>196</v>
      </c>
    </row>
    <row r="28" spans="1:16">
      <c r="A28" s="2" t="s">
        <v>280</v>
      </c>
      <c r="B28" s="2" t="s">
        <v>1</v>
      </c>
      <c r="C28" s="2" t="s">
        <v>2</v>
      </c>
      <c r="D28" s="2" t="s">
        <v>26</v>
      </c>
      <c r="E28" s="4" t="str">
        <f t="shared" si="0"/>
        <v>2309 - IRP CLUB ADVISORS</v>
      </c>
      <c r="F28" s="2" t="s">
        <v>34</v>
      </c>
      <c r="G28" s="2" t="s">
        <v>0</v>
      </c>
      <c r="J28" s="5" t="str">
        <f>IF(H28="",VLOOKUP(LEFT(F28,1),'Exp-Rev Categories'!A:B,2,FALSE),IF(ISNA(VLOOKUP(H28,'Exp-Rev Categories'!A:B,2,FALSE)),"Revenue",VLOOKUP(H28,'Exp-Rev Categories'!A:B,2,FALSE)))</f>
        <v>Exp-Salaries &amp; Wages</v>
      </c>
      <c r="K28" s="2">
        <v>0</v>
      </c>
      <c r="L28" s="3">
        <v>203.89</v>
      </c>
      <c r="M28" s="3">
        <v>0</v>
      </c>
      <c r="N28" s="3">
        <v>-203.89</v>
      </c>
      <c r="O28" s="3">
        <v>0</v>
      </c>
      <c r="P28" s="2" t="s">
        <v>196</v>
      </c>
    </row>
    <row r="29" spans="1:16">
      <c r="A29" s="2" t="s">
        <v>280</v>
      </c>
      <c r="B29" s="2" t="s">
        <v>1</v>
      </c>
      <c r="C29" s="2" t="s">
        <v>2</v>
      </c>
      <c r="D29" s="2" t="s">
        <v>26</v>
      </c>
      <c r="E29" s="4" t="str">
        <f t="shared" si="0"/>
        <v>2309 - IRP CLUB ADVISORS</v>
      </c>
      <c r="F29" s="2" t="s">
        <v>265</v>
      </c>
      <c r="J29" s="5" t="str">
        <f>IF(H29="",VLOOKUP(LEFT(F29,1),'Exp-Rev Categories'!A:B,2,FALSE),IF(ISNA(VLOOKUP(H29,'Exp-Rev Categories'!A:B,2,FALSE)),"Revenue",VLOOKUP(H29,'Exp-Rev Categories'!A:B,2,FALSE)))</f>
        <v>Exp-Benefits</v>
      </c>
      <c r="K29" s="2">
        <v>9667</v>
      </c>
      <c r="L29" s="3">
        <v>0</v>
      </c>
      <c r="M29" s="3">
        <v>0</v>
      </c>
      <c r="N29" s="3">
        <v>9667</v>
      </c>
      <c r="O29" s="3">
        <v>0</v>
      </c>
      <c r="P29" s="2" t="s">
        <v>196</v>
      </c>
    </row>
    <row r="30" spans="1:16">
      <c r="A30" s="2" t="s">
        <v>280</v>
      </c>
      <c r="B30" s="2" t="s">
        <v>1</v>
      </c>
      <c r="C30" s="2" t="s">
        <v>2</v>
      </c>
      <c r="D30" s="2" t="s">
        <v>26</v>
      </c>
      <c r="E30" s="4" t="str">
        <f t="shared" si="0"/>
        <v>2309 - IRP CLUB ADVISORS</v>
      </c>
      <c r="F30" s="2" t="s">
        <v>35</v>
      </c>
      <c r="J30" s="5" t="str">
        <f>IF(H30="",VLOOKUP(LEFT(F30,1),'Exp-Rev Categories'!A:B,2,FALSE),IF(ISNA(VLOOKUP(H30,'Exp-Rev Categories'!A:B,2,FALSE)),"Revenue",VLOOKUP(H30,'Exp-Rev Categories'!A:B,2,FALSE)))</f>
        <v>Exp-Benefits</v>
      </c>
      <c r="K30" s="2">
        <v>0</v>
      </c>
      <c r="L30" s="3">
        <v>3655.48</v>
      </c>
      <c r="M30" s="3">
        <v>0</v>
      </c>
      <c r="N30" s="3">
        <v>-3655.48</v>
      </c>
      <c r="O30" s="3">
        <v>0</v>
      </c>
      <c r="P30" s="2" t="s">
        <v>196</v>
      </c>
    </row>
    <row r="31" spans="1:16">
      <c r="A31" s="2" t="s">
        <v>280</v>
      </c>
      <c r="B31" s="2" t="s">
        <v>1</v>
      </c>
      <c r="C31" s="2" t="s">
        <v>2</v>
      </c>
      <c r="D31" s="2" t="s">
        <v>26</v>
      </c>
      <c r="E31" s="4" t="str">
        <f t="shared" si="0"/>
        <v>2309 - IRP CLUB ADVISORS</v>
      </c>
      <c r="F31" s="2" t="s">
        <v>36</v>
      </c>
      <c r="J31" s="5" t="str">
        <f>IF(H31="",VLOOKUP(LEFT(F31,1),'Exp-Rev Categories'!A:B,2,FALSE),IF(ISNA(VLOOKUP(H31,'Exp-Rev Categories'!A:B,2,FALSE)),"Revenue",VLOOKUP(H31,'Exp-Rev Categories'!A:B,2,FALSE)))</f>
        <v>Exp-Benefits</v>
      </c>
      <c r="K31" s="2">
        <v>0</v>
      </c>
      <c r="L31" s="3">
        <v>4306.8599999999997</v>
      </c>
      <c r="M31" s="3">
        <v>0</v>
      </c>
      <c r="N31" s="3">
        <v>-4306.8599999999997</v>
      </c>
      <c r="O31" s="3">
        <v>0</v>
      </c>
      <c r="P31" s="2" t="s">
        <v>196</v>
      </c>
    </row>
    <row r="32" spans="1:16">
      <c r="A32" s="2" t="s">
        <v>280</v>
      </c>
      <c r="B32" s="2" t="s">
        <v>1</v>
      </c>
      <c r="C32" s="2" t="s">
        <v>2</v>
      </c>
      <c r="D32" s="2" t="s">
        <v>26</v>
      </c>
      <c r="E32" s="4" t="str">
        <f t="shared" si="0"/>
        <v>2309 - IRP CLUB ADVISORS</v>
      </c>
      <c r="F32" s="2" t="s">
        <v>37</v>
      </c>
      <c r="J32" s="5" t="str">
        <f>IF(H32="",VLOOKUP(LEFT(F32,1),'Exp-Rev Categories'!A:B,2,FALSE),IF(ISNA(VLOOKUP(H32,'Exp-Rev Categories'!A:B,2,FALSE)),"Revenue",VLOOKUP(H32,'Exp-Rev Categories'!A:B,2,FALSE)))</f>
        <v>Exp-Benefits</v>
      </c>
      <c r="K32" s="2">
        <v>0</v>
      </c>
      <c r="L32" s="3">
        <v>2.92</v>
      </c>
      <c r="M32" s="3">
        <v>0</v>
      </c>
      <c r="N32" s="3">
        <v>-2.92</v>
      </c>
      <c r="O32" s="3">
        <v>0</v>
      </c>
      <c r="P32" s="2" t="s">
        <v>196</v>
      </c>
    </row>
    <row r="33" spans="1:16">
      <c r="A33" s="2" t="s">
        <v>280</v>
      </c>
      <c r="B33" s="2" t="s">
        <v>1</v>
      </c>
      <c r="C33" s="2" t="s">
        <v>2</v>
      </c>
      <c r="D33" s="2" t="s">
        <v>26</v>
      </c>
      <c r="E33" s="4" t="str">
        <f t="shared" si="0"/>
        <v>2309 - IRP CLUB ADVISORS</v>
      </c>
      <c r="F33" s="2" t="s">
        <v>38</v>
      </c>
      <c r="J33" s="5" t="str">
        <f>IF(H33="",VLOOKUP(LEFT(F33,1),'Exp-Rev Categories'!A:B,2,FALSE),IF(ISNA(VLOOKUP(H33,'Exp-Rev Categories'!A:B,2,FALSE)),"Revenue",VLOOKUP(H33,'Exp-Rev Categories'!A:B,2,FALSE)))</f>
        <v>Exp-Benefits</v>
      </c>
      <c r="K33" s="2">
        <v>0</v>
      </c>
      <c r="L33" s="3">
        <v>37.6</v>
      </c>
      <c r="M33" s="3">
        <v>0</v>
      </c>
      <c r="N33" s="3">
        <v>-37.6</v>
      </c>
      <c r="O33" s="3">
        <v>0</v>
      </c>
      <c r="P33" s="2" t="s">
        <v>196</v>
      </c>
    </row>
    <row r="34" spans="1:16">
      <c r="A34" s="2" t="s">
        <v>280</v>
      </c>
      <c r="B34" s="2" t="s">
        <v>1</v>
      </c>
      <c r="C34" s="2" t="s">
        <v>2</v>
      </c>
      <c r="D34" s="2" t="s">
        <v>26</v>
      </c>
      <c r="E34" s="4" t="str">
        <f t="shared" si="0"/>
        <v>2309 - IRP CLUB ADVISORS</v>
      </c>
      <c r="F34" s="2" t="s">
        <v>39</v>
      </c>
      <c r="J34" s="5" t="str">
        <f>IF(H34="",VLOOKUP(LEFT(F34,1),'Exp-Rev Categories'!A:B,2,FALSE),IF(ISNA(VLOOKUP(H34,'Exp-Rev Categories'!A:B,2,FALSE)),"Revenue",VLOOKUP(H34,'Exp-Rev Categories'!A:B,2,FALSE)))</f>
        <v>Exp-Benefits</v>
      </c>
      <c r="K34" s="2">
        <v>0</v>
      </c>
      <c r="L34" s="3">
        <v>348.15</v>
      </c>
      <c r="M34" s="3">
        <v>0</v>
      </c>
      <c r="N34" s="3">
        <v>-348.15</v>
      </c>
      <c r="O34" s="3">
        <v>0</v>
      </c>
      <c r="P34" s="2" t="s">
        <v>196</v>
      </c>
    </row>
    <row r="35" spans="1:16">
      <c r="A35" s="2" t="s">
        <v>280</v>
      </c>
      <c r="B35" s="2" t="s">
        <v>1</v>
      </c>
      <c r="C35" s="2" t="s">
        <v>2</v>
      </c>
      <c r="D35" s="2" t="s">
        <v>26</v>
      </c>
      <c r="E35" s="4" t="str">
        <f t="shared" si="0"/>
        <v>2309 - IRP CLUB ADVISORS</v>
      </c>
      <c r="F35" s="2" t="s">
        <v>29</v>
      </c>
      <c r="J35" s="5" t="str">
        <f>IF(H35="",VLOOKUP(LEFT(F35,1),'Exp-Rev Categories'!A:B,2,FALSE),IF(ISNA(VLOOKUP(H35,'Exp-Rev Categories'!A:B,2,FALSE)),"Revenue",VLOOKUP(H35,'Exp-Rev Categories'!A:B,2,FALSE)))</f>
        <v>Exp-Goods &amp; Services</v>
      </c>
      <c r="K35" s="2">
        <v>0</v>
      </c>
      <c r="L35" s="3">
        <v>0</v>
      </c>
      <c r="M35" s="3">
        <v>0</v>
      </c>
      <c r="N35" s="3">
        <v>0</v>
      </c>
      <c r="O35" s="3">
        <v>0</v>
      </c>
      <c r="P35" s="2" t="s">
        <v>196</v>
      </c>
    </row>
    <row r="36" spans="1:16">
      <c r="A36" s="2" t="s">
        <v>280</v>
      </c>
      <c r="B36" s="2" t="s">
        <v>1</v>
      </c>
      <c r="C36" s="2" t="s">
        <v>2</v>
      </c>
      <c r="D36" s="2" t="s">
        <v>26</v>
      </c>
      <c r="E36" s="4" t="str">
        <f t="shared" si="0"/>
        <v>2309 - IRP CLUB ADVISORS</v>
      </c>
      <c r="F36" s="2" t="s">
        <v>40</v>
      </c>
      <c r="G36" s="2" t="s">
        <v>30</v>
      </c>
      <c r="J36" s="5" t="str">
        <f>IF(H36="",VLOOKUP(LEFT(F36,1),'Exp-Rev Categories'!A:B,2,FALSE),IF(ISNA(VLOOKUP(H36,'Exp-Rev Categories'!A:B,2,FALSE)),"Revenue",VLOOKUP(H36,'Exp-Rev Categories'!A:B,2,FALSE)))</f>
        <v>Exp-Goods &amp; Services</v>
      </c>
      <c r="K36" s="2">
        <v>0</v>
      </c>
      <c r="L36" s="3">
        <v>9.67</v>
      </c>
      <c r="M36" s="3">
        <v>0</v>
      </c>
      <c r="N36" s="3">
        <v>-9.67</v>
      </c>
      <c r="O36" s="3">
        <v>0</v>
      </c>
      <c r="P36" s="2" t="s">
        <v>196</v>
      </c>
    </row>
    <row r="37" spans="1:16">
      <c r="A37" s="2" t="s">
        <v>280</v>
      </c>
      <c r="B37" s="2" t="s">
        <v>1</v>
      </c>
      <c r="C37" s="2" t="s">
        <v>2</v>
      </c>
      <c r="D37" s="2" t="s">
        <v>26</v>
      </c>
      <c r="E37" s="4" t="str">
        <f t="shared" si="0"/>
        <v>2309 - IRP CLUB ADVISORS</v>
      </c>
      <c r="F37" s="2" t="s">
        <v>40</v>
      </c>
      <c r="G37" s="2" t="s">
        <v>32</v>
      </c>
      <c r="J37" s="5" t="str">
        <f>IF(H37="",VLOOKUP(LEFT(F37,1),'Exp-Rev Categories'!A:B,2,FALSE),IF(ISNA(VLOOKUP(H37,'Exp-Rev Categories'!A:B,2,FALSE)),"Revenue",VLOOKUP(H37,'Exp-Rev Categories'!A:B,2,FALSE)))</f>
        <v>Exp-Goods &amp; Services</v>
      </c>
      <c r="K37" s="2">
        <v>0</v>
      </c>
      <c r="L37" s="3">
        <v>0.03</v>
      </c>
      <c r="M37" s="3">
        <v>0</v>
      </c>
      <c r="N37" s="3">
        <v>-0.03</v>
      </c>
      <c r="O37" s="3">
        <v>0</v>
      </c>
      <c r="P37" s="2" t="s">
        <v>196</v>
      </c>
    </row>
    <row r="38" spans="1:16">
      <c r="A38" s="2" t="s">
        <v>280</v>
      </c>
      <c r="B38" s="2" t="s">
        <v>1</v>
      </c>
      <c r="C38" s="2" t="s">
        <v>2</v>
      </c>
      <c r="D38" s="2" t="s">
        <v>26</v>
      </c>
      <c r="E38" s="4" t="str">
        <f t="shared" si="0"/>
        <v>2309 - IRP CLUB ADVISORS</v>
      </c>
      <c r="F38" s="2" t="s">
        <v>41</v>
      </c>
      <c r="G38" s="2" t="s">
        <v>7</v>
      </c>
      <c r="J38" s="5" t="str">
        <f>IF(H38="",VLOOKUP(LEFT(F38,1),'Exp-Rev Categories'!A:B,2,FALSE),IF(ISNA(VLOOKUP(H38,'Exp-Rev Categories'!A:B,2,FALSE)),"Revenue",VLOOKUP(H38,'Exp-Rev Categories'!A:B,2,FALSE)))</f>
        <v>Exp-Goods &amp; Services</v>
      </c>
      <c r="K38" s="2">
        <v>0</v>
      </c>
      <c r="L38" s="3">
        <v>874.85</v>
      </c>
      <c r="M38" s="3">
        <v>0</v>
      </c>
      <c r="N38" s="3">
        <v>-874.85</v>
      </c>
      <c r="O38" s="3">
        <v>0</v>
      </c>
      <c r="P38" s="2" t="s">
        <v>196</v>
      </c>
    </row>
    <row r="39" spans="1:16">
      <c r="A39" s="2" t="s">
        <v>280</v>
      </c>
      <c r="B39" s="2" t="s">
        <v>1</v>
      </c>
      <c r="C39" s="2" t="s">
        <v>2</v>
      </c>
      <c r="D39" s="2" t="s">
        <v>42</v>
      </c>
      <c r="E39" s="4" t="str">
        <f t="shared" si="0"/>
        <v>2310 - IRP-GENERAL FUND</v>
      </c>
      <c r="H39" s="2" t="s">
        <v>43</v>
      </c>
      <c r="J39" s="5" t="str">
        <f>IF(H39="",VLOOKUP(LEFT(F39,1),'Exp-Rev Categories'!A:B,2,FALSE),IF(ISNA(VLOOKUP(H39,'Exp-Rev Categories'!A:B,2,FALSE)),"Revenue",VLOOKUP(H39,'Exp-Rev Categories'!A:B,2,FALSE)))</f>
        <v>Rev-Intra-Fund Transfer</v>
      </c>
      <c r="K39" s="2">
        <v>0</v>
      </c>
      <c r="L39" s="3">
        <v>-384041.9</v>
      </c>
      <c r="M39" s="3">
        <v>0</v>
      </c>
      <c r="N39" s="3">
        <v>384041.9</v>
      </c>
      <c r="O39" s="3">
        <v>-162237</v>
      </c>
      <c r="P39" s="2" t="s">
        <v>197</v>
      </c>
    </row>
    <row r="40" spans="1:16">
      <c r="A40" s="2" t="s">
        <v>280</v>
      </c>
      <c r="B40" s="2" t="s">
        <v>1</v>
      </c>
      <c r="C40" s="2" t="s">
        <v>2</v>
      </c>
      <c r="D40" s="2" t="s">
        <v>42</v>
      </c>
      <c r="E40" s="4" t="str">
        <f t="shared" si="0"/>
        <v>2310 - IRP-GENERAL FUND</v>
      </c>
      <c r="H40" s="2" t="s">
        <v>22</v>
      </c>
      <c r="J40" s="5" t="str">
        <f>IF(H40="",VLOOKUP(LEFT(F40,1),'Exp-Rev Categories'!A:B,2,FALSE),IF(ISNA(VLOOKUP(H40,'Exp-Rev Categories'!A:B,2,FALSE)),"Revenue",VLOOKUP(H40,'Exp-Rev Categories'!A:B,2,FALSE)))</f>
        <v>Carryforward</v>
      </c>
      <c r="K40" s="2">
        <v>0</v>
      </c>
      <c r="L40" s="3">
        <v>179090.33</v>
      </c>
      <c r="M40" s="3">
        <v>0</v>
      </c>
      <c r="N40" s="3">
        <v>-179090.33</v>
      </c>
      <c r="O40" s="3">
        <v>0</v>
      </c>
      <c r="P40" s="2" t="s">
        <v>197</v>
      </c>
    </row>
    <row r="41" spans="1:16">
      <c r="A41" s="2" t="s">
        <v>280</v>
      </c>
      <c r="B41" s="2" t="s">
        <v>1</v>
      </c>
      <c r="C41" s="2" t="s">
        <v>2</v>
      </c>
      <c r="D41" s="2" t="s">
        <v>42</v>
      </c>
      <c r="E41" s="4" t="str">
        <f t="shared" si="0"/>
        <v>2310 - IRP-GENERAL FUND</v>
      </c>
      <c r="F41" s="2" t="s">
        <v>29</v>
      </c>
      <c r="J41" s="5" t="str">
        <f>IF(H41="",VLOOKUP(LEFT(F41,1),'Exp-Rev Categories'!A:B,2,FALSE),IF(ISNA(VLOOKUP(H41,'Exp-Rev Categories'!A:B,2,FALSE)),"Revenue",VLOOKUP(H41,'Exp-Rev Categories'!A:B,2,FALSE)))</f>
        <v>Exp-Goods &amp; Services</v>
      </c>
      <c r="K41" s="2">
        <v>13893</v>
      </c>
      <c r="L41" s="3">
        <v>0</v>
      </c>
      <c r="M41" s="3">
        <v>0</v>
      </c>
      <c r="N41" s="3">
        <v>13893</v>
      </c>
      <c r="O41" s="3">
        <v>0</v>
      </c>
      <c r="P41" s="2" t="s">
        <v>197</v>
      </c>
    </row>
    <row r="42" spans="1:16">
      <c r="A42" s="2" t="s">
        <v>280</v>
      </c>
      <c r="B42" s="2" t="s">
        <v>1</v>
      </c>
      <c r="C42" s="2" t="s">
        <v>2</v>
      </c>
      <c r="D42" s="2" t="s">
        <v>42</v>
      </c>
      <c r="E42" s="4" t="str">
        <f t="shared" si="0"/>
        <v>2310 - IRP-GENERAL FUND</v>
      </c>
      <c r="F42" s="2" t="s">
        <v>23</v>
      </c>
      <c r="G42" s="2" t="s">
        <v>24</v>
      </c>
      <c r="J42" s="5" t="str">
        <f>IF(H42="",VLOOKUP(LEFT(F42,1),'Exp-Rev Categories'!A:B,2,FALSE),IF(ISNA(VLOOKUP(H42,'Exp-Rev Categories'!A:B,2,FALSE)),"Revenue",VLOOKUP(H42,'Exp-Rev Categories'!A:B,2,FALSE)))</f>
        <v>Exp-Goods &amp; Services</v>
      </c>
      <c r="K42" s="2">
        <v>0</v>
      </c>
      <c r="L42" s="3">
        <v>2783.38</v>
      </c>
      <c r="M42" s="3">
        <v>0</v>
      </c>
      <c r="N42" s="3">
        <v>-2783.38</v>
      </c>
      <c r="O42" s="3">
        <v>0</v>
      </c>
      <c r="P42" s="2" t="s">
        <v>197</v>
      </c>
    </row>
    <row r="43" spans="1:16">
      <c r="A43" s="2" t="s">
        <v>280</v>
      </c>
      <c r="B43" s="2" t="s">
        <v>1</v>
      </c>
      <c r="C43" s="2" t="s">
        <v>2</v>
      </c>
      <c r="D43" s="2" t="s">
        <v>42</v>
      </c>
      <c r="E43" s="4" t="str">
        <f t="shared" si="0"/>
        <v>2310 - IRP-GENERAL FUND</v>
      </c>
      <c r="F43" s="2" t="s">
        <v>41</v>
      </c>
      <c r="G43" s="2" t="s">
        <v>7</v>
      </c>
      <c r="J43" s="5" t="str">
        <f>IF(H43="",VLOOKUP(LEFT(F43,1),'Exp-Rev Categories'!A:B,2,FALSE),IF(ISNA(VLOOKUP(H43,'Exp-Rev Categories'!A:B,2,FALSE)),"Revenue",VLOOKUP(H43,'Exp-Rev Categories'!A:B,2,FALSE)))</f>
        <v>Exp-Goods &amp; Services</v>
      </c>
      <c r="K43" s="2">
        <v>0</v>
      </c>
      <c r="L43" s="3">
        <v>3118.22</v>
      </c>
      <c r="M43" s="3">
        <v>0</v>
      </c>
      <c r="N43" s="3">
        <v>-3118.22</v>
      </c>
      <c r="O43" s="3">
        <v>0</v>
      </c>
      <c r="P43" s="2" t="s">
        <v>197</v>
      </c>
    </row>
    <row r="44" spans="1:16">
      <c r="A44" s="2" t="s">
        <v>280</v>
      </c>
      <c r="B44" s="2" t="s">
        <v>1</v>
      </c>
      <c r="C44" s="2" t="s">
        <v>2</v>
      </c>
      <c r="D44" s="2" t="s">
        <v>42</v>
      </c>
      <c r="E44" s="4" t="str">
        <f t="shared" si="0"/>
        <v>2310 - IRP-GENERAL FUND</v>
      </c>
      <c r="F44" s="2" t="s">
        <v>267</v>
      </c>
      <c r="J44" s="5" t="str">
        <f>IF(H44="",VLOOKUP(LEFT(F44,1),'Exp-Rev Categories'!A:B,2,FALSE),IF(ISNA(VLOOKUP(H44,'Exp-Rev Categories'!A:B,2,FALSE)),"Revenue",VLOOKUP(H44,'Exp-Rev Categories'!A:B,2,FALSE)))</f>
        <v>Exp-Travel</v>
      </c>
      <c r="K44" s="2">
        <v>0</v>
      </c>
      <c r="L44" s="3">
        <v>0</v>
      </c>
      <c r="M44" s="3">
        <v>0</v>
      </c>
      <c r="N44" s="3">
        <v>0</v>
      </c>
      <c r="O44" s="3">
        <v>0</v>
      </c>
      <c r="P44" s="2" t="s">
        <v>197</v>
      </c>
    </row>
    <row r="45" spans="1:16">
      <c r="A45" s="2" t="s">
        <v>280</v>
      </c>
      <c r="B45" s="2" t="s">
        <v>1</v>
      </c>
      <c r="C45" s="2" t="s">
        <v>2</v>
      </c>
      <c r="D45" s="2" t="s">
        <v>42</v>
      </c>
      <c r="E45" s="4" t="str">
        <f t="shared" si="0"/>
        <v>2310 - IRP-GENERAL FUND</v>
      </c>
      <c r="F45" s="2" t="s">
        <v>44</v>
      </c>
      <c r="G45" s="2" t="s">
        <v>7</v>
      </c>
      <c r="J45" s="5" t="str">
        <f>IF(H45="",VLOOKUP(LEFT(F45,1),'Exp-Rev Categories'!A:B,2,FALSE),IF(ISNA(VLOOKUP(H45,'Exp-Rev Categories'!A:B,2,FALSE)),"Revenue",VLOOKUP(H45,'Exp-Rev Categories'!A:B,2,FALSE)))</f>
        <v>Exp-Travel</v>
      </c>
      <c r="K45" s="2">
        <v>0</v>
      </c>
      <c r="L45" s="3">
        <v>138.54</v>
      </c>
      <c r="M45" s="3">
        <v>0</v>
      </c>
      <c r="N45" s="3">
        <v>-138.54</v>
      </c>
      <c r="O45" s="3">
        <v>0</v>
      </c>
      <c r="P45" s="2" t="s">
        <v>197</v>
      </c>
    </row>
    <row r="46" spans="1:16">
      <c r="A46" s="2" t="s">
        <v>280</v>
      </c>
      <c r="B46" s="2" t="s">
        <v>1</v>
      </c>
      <c r="C46" s="2" t="s">
        <v>2</v>
      </c>
      <c r="D46" s="2" t="s">
        <v>42</v>
      </c>
      <c r="E46" s="4" t="str">
        <f t="shared" si="0"/>
        <v>2310 - IRP-GENERAL FUND</v>
      </c>
      <c r="F46" s="2" t="s">
        <v>44</v>
      </c>
      <c r="G46" s="2" t="s">
        <v>45</v>
      </c>
      <c r="J46" s="5" t="str">
        <f>IF(H46="",VLOOKUP(LEFT(F46,1),'Exp-Rev Categories'!A:B,2,FALSE),IF(ISNA(VLOOKUP(H46,'Exp-Rev Categories'!A:B,2,FALSE)),"Revenue",VLOOKUP(H46,'Exp-Rev Categories'!A:B,2,FALSE)))</f>
        <v>Exp-Travel</v>
      </c>
      <c r="K46" s="2">
        <v>0</v>
      </c>
      <c r="L46" s="3">
        <v>10</v>
      </c>
      <c r="M46" s="3">
        <v>0</v>
      </c>
      <c r="N46" s="3">
        <v>-10</v>
      </c>
      <c r="O46" s="3">
        <v>0</v>
      </c>
      <c r="P46" s="2" t="s">
        <v>197</v>
      </c>
    </row>
    <row r="47" spans="1:16">
      <c r="A47" s="2" t="s">
        <v>280</v>
      </c>
      <c r="B47" s="2" t="s">
        <v>1</v>
      </c>
      <c r="C47" s="2" t="s">
        <v>2</v>
      </c>
      <c r="D47" s="2" t="s">
        <v>46</v>
      </c>
      <c r="E47" s="4" t="str">
        <f t="shared" si="0"/>
        <v>2311 - PRES SPEAKER SERIES</v>
      </c>
      <c r="F47" s="2" t="s">
        <v>34</v>
      </c>
      <c r="G47" s="2" t="s">
        <v>0</v>
      </c>
      <c r="J47" s="5" t="str">
        <f>IF(H47="",VLOOKUP(LEFT(F47,1),'Exp-Rev Categories'!A:B,2,FALSE),IF(ISNA(VLOOKUP(H47,'Exp-Rev Categories'!A:B,2,FALSE)),"Revenue",VLOOKUP(H47,'Exp-Rev Categories'!A:B,2,FALSE)))</f>
        <v>Exp-Salaries &amp; Wages</v>
      </c>
      <c r="K47" s="2">
        <v>0</v>
      </c>
      <c r="L47" s="3">
        <v>0</v>
      </c>
      <c r="M47" s="3">
        <v>0</v>
      </c>
      <c r="N47" s="3">
        <v>0</v>
      </c>
      <c r="O47" s="3">
        <v>0</v>
      </c>
      <c r="P47" s="2" t="s">
        <v>198</v>
      </c>
    </row>
    <row r="48" spans="1:16">
      <c r="A48" s="2" t="s">
        <v>280</v>
      </c>
      <c r="B48" s="2" t="s">
        <v>1</v>
      </c>
      <c r="C48" s="2" t="s">
        <v>2</v>
      </c>
      <c r="D48" s="2" t="s">
        <v>46</v>
      </c>
      <c r="E48" s="4" t="str">
        <f t="shared" si="0"/>
        <v>2311 - PRES SPEAKER SERIES</v>
      </c>
      <c r="F48" s="2" t="s">
        <v>265</v>
      </c>
      <c r="J48" s="5" t="str">
        <f>IF(H48="",VLOOKUP(LEFT(F48,1),'Exp-Rev Categories'!A:B,2,FALSE),IF(ISNA(VLOOKUP(H48,'Exp-Rev Categories'!A:B,2,FALSE)),"Revenue",VLOOKUP(H48,'Exp-Rev Categories'!A:B,2,FALSE)))</f>
        <v>Exp-Benefits</v>
      </c>
      <c r="K48" s="2">
        <v>0</v>
      </c>
      <c r="L48" s="3">
        <v>0</v>
      </c>
      <c r="M48" s="3">
        <v>0</v>
      </c>
      <c r="N48" s="3">
        <v>0</v>
      </c>
      <c r="O48" s="3">
        <v>0</v>
      </c>
      <c r="P48" s="2" t="s">
        <v>198</v>
      </c>
    </row>
    <row r="49" spans="1:16">
      <c r="A49" s="2" t="s">
        <v>280</v>
      </c>
      <c r="B49" s="2" t="s">
        <v>1</v>
      </c>
      <c r="C49" s="2" t="s">
        <v>2</v>
      </c>
      <c r="D49" s="2" t="s">
        <v>46</v>
      </c>
      <c r="E49" s="4" t="str">
        <f t="shared" si="0"/>
        <v>2311 - PRES SPEAKER SERIES</v>
      </c>
      <c r="F49" s="2" t="s">
        <v>36</v>
      </c>
      <c r="J49" s="5" t="str">
        <f>IF(H49="",VLOOKUP(LEFT(F49,1),'Exp-Rev Categories'!A:B,2,FALSE),IF(ISNA(VLOOKUP(H49,'Exp-Rev Categories'!A:B,2,FALSE)),"Revenue",VLOOKUP(H49,'Exp-Rev Categories'!A:B,2,FALSE)))</f>
        <v>Exp-Benefits</v>
      </c>
      <c r="K49" s="2">
        <v>0</v>
      </c>
      <c r="L49" s="3">
        <v>-0.09</v>
      </c>
      <c r="M49" s="3">
        <v>0</v>
      </c>
      <c r="N49" s="3">
        <v>0.09</v>
      </c>
      <c r="O49" s="3">
        <v>0</v>
      </c>
      <c r="P49" s="2" t="s">
        <v>198</v>
      </c>
    </row>
    <row r="50" spans="1:16">
      <c r="A50" s="2" t="s">
        <v>280</v>
      </c>
      <c r="B50" s="2" t="s">
        <v>1</v>
      </c>
      <c r="C50" s="2" t="s">
        <v>2</v>
      </c>
      <c r="D50" s="2" t="s">
        <v>46</v>
      </c>
      <c r="E50" s="4" t="str">
        <f t="shared" si="0"/>
        <v>2311 - PRES SPEAKER SERIES</v>
      </c>
      <c r="F50" s="2" t="s">
        <v>29</v>
      </c>
      <c r="J50" s="5" t="str">
        <f>IF(H50="",VLOOKUP(LEFT(F50,1),'Exp-Rev Categories'!A:B,2,FALSE),IF(ISNA(VLOOKUP(H50,'Exp-Rev Categories'!A:B,2,FALSE)),"Revenue",VLOOKUP(H50,'Exp-Rev Categories'!A:B,2,FALSE)))</f>
        <v>Exp-Goods &amp; Services</v>
      </c>
      <c r="K50" s="2">
        <v>0</v>
      </c>
      <c r="L50" s="3">
        <v>0</v>
      </c>
      <c r="M50" s="3">
        <v>0</v>
      </c>
      <c r="N50" s="3">
        <v>0</v>
      </c>
      <c r="O50" s="3">
        <v>0</v>
      </c>
      <c r="P50" s="2" t="s">
        <v>198</v>
      </c>
    </row>
    <row r="51" spans="1:16">
      <c r="A51" s="2" t="s">
        <v>280</v>
      </c>
      <c r="B51" s="2" t="s">
        <v>1</v>
      </c>
      <c r="C51" s="2" t="s">
        <v>2</v>
      </c>
      <c r="D51" s="2" t="s">
        <v>47</v>
      </c>
      <c r="E51" s="4" t="str">
        <f t="shared" si="0"/>
        <v>2312 - ADA ACCESSIBILITY</v>
      </c>
      <c r="F51" s="2" t="s">
        <v>48</v>
      </c>
      <c r="G51" s="2" t="s">
        <v>49</v>
      </c>
      <c r="J51" s="5" t="str">
        <f>IF(H51="",VLOOKUP(LEFT(F51,1),'Exp-Rev Categories'!A:B,2,FALSE),IF(ISNA(VLOOKUP(H51,'Exp-Rev Categories'!A:B,2,FALSE)),"Revenue",VLOOKUP(H51,'Exp-Rev Categories'!A:B,2,FALSE)))</f>
        <v>Exp-Salaries &amp; Wages</v>
      </c>
      <c r="K51" s="2">
        <v>909</v>
      </c>
      <c r="L51" s="3">
        <v>636.23</v>
      </c>
      <c r="M51" s="3">
        <v>0</v>
      </c>
      <c r="N51" s="3">
        <v>272.77</v>
      </c>
      <c r="O51" s="3">
        <v>0</v>
      </c>
      <c r="P51" s="2" t="s">
        <v>199</v>
      </c>
    </row>
    <row r="52" spans="1:16">
      <c r="A52" s="2" t="s">
        <v>280</v>
      </c>
      <c r="B52" s="2" t="s">
        <v>1</v>
      </c>
      <c r="C52" s="2" t="s">
        <v>2</v>
      </c>
      <c r="D52" s="2" t="s">
        <v>47</v>
      </c>
      <c r="E52" s="4" t="str">
        <f t="shared" si="0"/>
        <v>2312 - ADA ACCESSIBILITY</v>
      </c>
      <c r="F52" s="2" t="s">
        <v>265</v>
      </c>
      <c r="J52" s="5" t="str">
        <f>IF(H52="",VLOOKUP(LEFT(F52,1),'Exp-Rev Categories'!A:B,2,FALSE),IF(ISNA(VLOOKUP(H52,'Exp-Rev Categories'!A:B,2,FALSE)),"Revenue",VLOOKUP(H52,'Exp-Rev Categories'!A:B,2,FALSE)))</f>
        <v>Exp-Benefits</v>
      </c>
      <c r="K52" s="2">
        <v>91</v>
      </c>
      <c r="L52" s="3">
        <v>0</v>
      </c>
      <c r="M52" s="3">
        <v>0</v>
      </c>
      <c r="N52" s="3">
        <v>91</v>
      </c>
      <c r="O52" s="3">
        <v>0</v>
      </c>
      <c r="P52" s="2" t="s">
        <v>199</v>
      </c>
    </row>
    <row r="53" spans="1:16">
      <c r="A53" s="2" t="s">
        <v>280</v>
      </c>
      <c r="B53" s="2" t="s">
        <v>1</v>
      </c>
      <c r="C53" s="2" t="s">
        <v>2</v>
      </c>
      <c r="D53" s="2" t="s">
        <v>47</v>
      </c>
      <c r="E53" s="4" t="str">
        <f t="shared" si="0"/>
        <v>2312 - ADA ACCESSIBILITY</v>
      </c>
      <c r="F53" s="2" t="s">
        <v>35</v>
      </c>
      <c r="J53" s="5" t="str">
        <f>IF(H53="",VLOOKUP(LEFT(F53,1),'Exp-Rev Categories'!A:B,2,FALSE),IF(ISNA(VLOOKUP(H53,'Exp-Rev Categories'!A:B,2,FALSE)),"Revenue",VLOOKUP(H53,'Exp-Rev Categories'!A:B,2,FALSE)))</f>
        <v>Exp-Benefits</v>
      </c>
      <c r="K53" s="2">
        <v>0</v>
      </c>
      <c r="L53" s="3">
        <v>48.54</v>
      </c>
      <c r="M53" s="3">
        <v>0</v>
      </c>
      <c r="N53" s="3">
        <v>-48.54</v>
      </c>
      <c r="O53" s="3">
        <v>0</v>
      </c>
      <c r="P53" s="2" t="s">
        <v>199</v>
      </c>
    </row>
    <row r="54" spans="1:16">
      <c r="A54" s="2" t="s">
        <v>280</v>
      </c>
      <c r="B54" s="2" t="s">
        <v>1</v>
      </c>
      <c r="C54" s="2" t="s">
        <v>2</v>
      </c>
      <c r="D54" s="2" t="s">
        <v>47</v>
      </c>
      <c r="E54" s="4" t="str">
        <f t="shared" si="0"/>
        <v>2312 - ADA ACCESSIBILITY</v>
      </c>
      <c r="F54" s="2" t="s">
        <v>36</v>
      </c>
      <c r="J54" s="5" t="str">
        <f>IF(H54="",VLOOKUP(LEFT(F54,1),'Exp-Rev Categories'!A:B,2,FALSE),IF(ISNA(VLOOKUP(H54,'Exp-Rev Categories'!A:B,2,FALSE)),"Revenue",VLOOKUP(H54,'Exp-Rev Categories'!A:B,2,FALSE)))</f>
        <v>Exp-Benefits</v>
      </c>
      <c r="K54" s="2">
        <v>0</v>
      </c>
      <c r="L54" s="3">
        <v>9.15</v>
      </c>
      <c r="M54" s="3">
        <v>0</v>
      </c>
      <c r="N54" s="3">
        <v>-9.15</v>
      </c>
      <c r="O54" s="3">
        <v>0</v>
      </c>
      <c r="P54" s="2" t="s">
        <v>199</v>
      </c>
    </row>
    <row r="55" spans="1:16">
      <c r="A55" s="2" t="s">
        <v>280</v>
      </c>
      <c r="B55" s="2" t="s">
        <v>1</v>
      </c>
      <c r="C55" s="2" t="s">
        <v>2</v>
      </c>
      <c r="D55" s="2" t="s">
        <v>47</v>
      </c>
      <c r="E55" s="4" t="str">
        <f t="shared" si="0"/>
        <v>2312 - ADA ACCESSIBILITY</v>
      </c>
      <c r="F55" s="2" t="s">
        <v>37</v>
      </c>
      <c r="J55" s="5" t="str">
        <f>IF(H55="",VLOOKUP(LEFT(F55,1),'Exp-Rev Categories'!A:B,2,FALSE),IF(ISNA(VLOOKUP(H55,'Exp-Rev Categories'!A:B,2,FALSE)),"Revenue",VLOOKUP(H55,'Exp-Rev Categories'!A:B,2,FALSE)))</f>
        <v>Exp-Benefits</v>
      </c>
      <c r="K55" s="2">
        <v>0</v>
      </c>
      <c r="L55" s="3">
        <v>9.3000000000000007</v>
      </c>
      <c r="M55" s="3">
        <v>0</v>
      </c>
      <c r="N55" s="3">
        <v>-9.3000000000000007</v>
      </c>
      <c r="O55" s="3">
        <v>0</v>
      </c>
      <c r="P55" s="2" t="s">
        <v>199</v>
      </c>
    </row>
    <row r="56" spans="1:16">
      <c r="A56" s="2" t="s">
        <v>280</v>
      </c>
      <c r="B56" s="2" t="s">
        <v>1</v>
      </c>
      <c r="C56" s="2" t="s">
        <v>2</v>
      </c>
      <c r="D56" s="2" t="s">
        <v>47</v>
      </c>
      <c r="E56" s="4" t="str">
        <f t="shared" si="0"/>
        <v>2312 - ADA ACCESSIBILITY</v>
      </c>
      <c r="F56" s="2" t="s">
        <v>39</v>
      </c>
      <c r="J56" s="5" t="str">
        <f>IF(H56="",VLOOKUP(LEFT(F56,1),'Exp-Rev Categories'!A:B,2,FALSE),IF(ISNA(VLOOKUP(H56,'Exp-Rev Categories'!A:B,2,FALSE)),"Revenue",VLOOKUP(H56,'Exp-Rev Categories'!A:B,2,FALSE)))</f>
        <v>Exp-Benefits</v>
      </c>
      <c r="K56" s="2">
        <v>0</v>
      </c>
      <c r="L56" s="3">
        <v>4.58</v>
      </c>
      <c r="M56" s="3">
        <v>0</v>
      </c>
      <c r="N56" s="3">
        <v>-4.58</v>
      </c>
      <c r="O56" s="3">
        <v>0</v>
      </c>
      <c r="P56" s="2" t="s">
        <v>199</v>
      </c>
    </row>
    <row r="57" spans="1:16">
      <c r="A57" s="2" t="s">
        <v>280</v>
      </c>
      <c r="B57" s="2" t="s">
        <v>1</v>
      </c>
      <c r="C57" s="2" t="s">
        <v>2</v>
      </c>
      <c r="D57" s="2" t="s">
        <v>47</v>
      </c>
      <c r="E57" s="4" t="str">
        <f t="shared" si="0"/>
        <v>2312 - ADA ACCESSIBILITY</v>
      </c>
      <c r="F57" s="2" t="s">
        <v>29</v>
      </c>
      <c r="J57" s="5" t="str">
        <f>IF(H57="",VLOOKUP(LEFT(F57,1),'Exp-Rev Categories'!A:B,2,FALSE),IF(ISNA(VLOOKUP(H57,'Exp-Rev Categories'!A:B,2,FALSE)),"Revenue",VLOOKUP(H57,'Exp-Rev Categories'!A:B,2,FALSE)))</f>
        <v>Exp-Goods &amp; Services</v>
      </c>
      <c r="K57" s="2">
        <v>0</v>
      </c>
      <c r="L57" s="3">
        <v>0</v>
      </c>
      <c r="M57" s="3">
        <v>0</v>
      </c>
      <c r="N57" s="3">
        <v>0</v>
      </c>
      <c r="O57" s="3">
        <v>0</v>
      </c>
      <c r="P57" s="2" t="s">
        <v>199</v>
      </c>
    </row>
    <row r="58" spans="1:16">
      <c r="A58" s="2" t="s">
        <v>280</v>
      </c>
      <c r="B58" s="2" t="s">
        <v>1</v>
      </c>
      <c r="C58" s="2" t="s">
        <v>2</v>
      </c>
      <c r="D58" s="2" t="s">
        <v>200</v>
      </c>
      <c r="E58" s="4" t="str">
        <f t="shared" si="0"/>
        <v>2313 - HLTH INFO MANAGEMNT</v>
      </c>
      <c r="H58" s="2" t="s">
        <v>51</v>
      </c>
      <c r="I58" s="2" t="s">
        <v>366</v>
      </c>
      <c r="J58" s="5" t="str">
        <f>IF(H58="",VLOOKUP(LEFT(F58,1),'Exp-Rev Categories'!A:B,2,FALSE),IF(ISNA(VLOOKUP(H58,'Exp-Rev Categories'!A:B,2,FALSE)),"Revenue",VLOOKUP(H58,'Exp-Rev Categories'!A:B,2,FALSE)))</f>
        <v>Revenue</v>
      </c>
      <c r="K58" s="2">
        <v>0</v>
      </c>
      <c r="L58" s="3">
        <v>0</v>
      </c>
      <c r="M58" s="3">
        <v>0</v>
      </c>
      <c r="N58" s="3">
        <v>0</v>
      </c>
      <c r="O58" s="3">
        <v>0</v>
      </c>
      <c r="P58" s="2" t="s">
        <v>201</v>
      </c>
    </row>
    <row r="59" spans="1:16">
      <c r="A59" s="2" t="s">
        <v>280</v>
      </c>
      <c r="B59" s="2" t="s">
        <v>1</v>
      </c>
      <c r="C59" s="2" t="s">
        <v>2</v>
      </c>
      <c r="D59" s="2" t="s">
        <v>200</v>
      </c>
      <c r="E59" s="4" t="str">
        <f t="shared" si="0"/>
        <v>2313 - HLTH INFO MANAGEMNT</v>
      </c>
      <c r="F59" s="2" t="s">
        <v>29</v>
      </c>
      <c r="J59" s="5" t="str">
        <f>IF(H59="",VLOOKUP(LEFT(F59,1),'Exp-Rev Categories'!A:B,2,FALSE),IF(ISNA(VLOOKUP(H59,'Exp-Rev Categories'!A:B,2,FALSE)),"Revenue",VLOOKUP(H59,'Exp-Rev Categories'!A:B,2,FALSE)))</f>
        <v>Exp-Goods &amp; Services</v>
      </c>
      <c r="K59" s="2">
        <v>2060</v>
      </c>
      <c r="L59" s="3">
        <v>0</v>
      </c>
      <c r="M59" s="3">
        <v>0</v>
      </c>
      <c r="N59" s="3">
        <v>2060</v>
      </c>
      <c r="O59" s="3">
        <v>0</v>
      </c>
      <c r="P59" s="2" t="s">
        <v>201</v>
      </c>
    </row>
    <row r="60" spans="1:16">
      <c r="A60" s="2" t="s">
        <v>280</v>
      </c>
      <c r="B60" s="2" t="s">
        <v>1</v>
      </c>
      <c r="C60" s="2" t="s">
        <v>2</v>
      </c>
      <c r="D60" s="2" t="s">
        <v>200</v>
      </c>
      <c r="E60" s="4" t="str">
        <f t="shared" si="0"/>
        <v>2313 - HLTH INFO MANAGEMNT</v>
      </c>
      <c r="F60" s="2" t="s">
        <v>267</v>
      </c>
      <c r="J60" s="5" t="str">
        <f>IF(H60="",VLOOKUP(LEFT(F60,1),'Exp-Rev Categories'!A:B,2,FALSE),IF(ISNA(VLOOKUP(H60,'Exp-Rev Categories'!A:B,2,FALSE)),"Revenue",VLOOKUP(H60,'Exp-Rev Categories'!A:B,2,FALSE)))</f>
        <v>Exp-Travel</v>
      </c>
      <c r="K60" s="2">
        <v>0</v>
      </c>
      <c r="L60" s="3">
        <v>0</v>
      </c>
      <c r="M60" s="3">
        <v>0</v>
      </c>
      <c r="N60" s="3">
        <v>0</v>
      </c>
      <c r="O60" s="3">
        <v>0</v>
      </c>
      <c r="P60" s="2" t="s">
        <v>201</v>
      </c>
    </row>
    <row r="61" spans="1:16">
      <c r="A61" s="2" t="s">
        <v>280</v>
      </c>
      <c r="B61" s="2" t="s">
        <v>1</v>
      </c>
      <c r="C61" s="2" t="s">
        <v>2</v>
      </c>
      <c r="D61" s="2" t="s">
        <v>200</v>
      </c>
      <c r="E61" s="4" t="str">
        <f t="shared" si="0"/>
        <v>2313 - HLTH INFO MANAGEMNT</v>
      </c>
      <c r="F61" s="2" t="s">
        <v>117</v>
      </c>
      <c r="J61" s="5" t="str">
        <f>IF(H61="",VLOOKUP(LEFT(F61,1),'Exp-Rev Categories'!A:B,2,FALSE),IF(ISNA(VLOOKUP(H61,'Exp-Rev Categories'!A:B,2,FALSE)),"Revenue",VLOOKUP(H61,'Exp-Rev Categories'!A:B,2,FALSE)))</f>
        <v>Exp-Grants/Scholarships</v>
      </c>
      <c r="K61" s="2">
        <v>0</v>
      </c>
      <c r="L61" s="3">
        <v>0</v>
      </c>
      <c r="M61" s="3">
        <v>0</v>
      </c>
      <c r="N61" s="3">
        <v>0</v>
      </c>
      <c r="O61" s="3">
        <v>0</v>
      </c>
      <c r="P61" s="2" t="s">
        <v>201</v>
      </c>
    </row>
    <row r="62" spans="1:16">
      <c r="A62" s="2" t="s">
        <v>280</v>
      </c>
      <c r="B62" s="2" t="s">
        <v>1</v>
      </c>
      <c r="C62" s="2" t="s">
        <v>2</v>
      </c>
      <c r="D62" s="2" t="s">
        <v>50</v>
      </c>
      <c r="E62" s="4" t="str">
        <f t="shared" si="0"/>
        <v>2314 - AMER DESGN DRFTG S A</v>
      </c>
      <c r="H62" s="2" t="s">
        <v>51</v>
      </c>
      <c r="I62" s="2" t="s">
        <v>52</v>
      </c>
      <c r="J62" s="5" t="str">
        <f>IF(H62="",VLOOKUP(LEFT(F62,1),'Exp-Rev Categories'!A:B,2,FALSE),IF(ISNA(VLOOKUP(H62,'Exp-Rev Categories'!A:B,2,FALSE)),"Revenue",VLOOKUP(H62,'Exp-Rev Categories'!A:B,2,FALSE)))</f>
        <v>Revenue</v>
      </c>
      <c r="K62" s="2">
        <v>0</v>
      </c>
      <c r="L62" s="3">
        <v>-73.5</v>
      </c>
      <c r="M62" s="3">
        <v>0</v>
      </c>
      <c r="N62" s="3">
        <v>73.5</v>
      </c>
      <c r="O62" s="3">
        <v>0</v>
      </c>
      <c r="P62" s="2" t="s">
        <v>202</v>
      </c>
    </row>
    <row r="63" spans="1:16">
      <c r="A63" s="2" t="s">
        <v>280</v>
      </c>
      <c r="B63" s="2" t="s">
        <v>1</v>
      </c>
      <c r="C63" s="2" t="s">
        <v>2</v>
      </c>
      <c r="D63" s="2" t="s">
        <v>50</v>
      </c>
      <c r="E63" s="4" t="str">
        <f t="shared" si="0"/>
        <v>2314 - AMER DESGN DRFTG S A</v>
      </c>
      <c r="H63" s="2" t="s">
        <v>53</v>
      </c>
      <c r="J63" s="5" t="str">
        <f>IF(H63="",VLOOKUP(LEFT(F63,1),'Exp-Rev Categories'!A:B,2,FALSE),IF(ISNA(VLOOKUP(H63,'Exp-Rev Categories'!A:B,2,FALSE)),"Revenue",VLOOKUP(H63,'Exp-Rev Categories'!A:B,2,FALSE)))</f>
        <v>Rev-Fund Transfers - Out</v>
      </c>
      <c r="K63" s="2">
        <v>0</v>
      </c>
      <c r="L63" s="3">
        <v>100</v>
      </c>
      <c r="M63" s="3">
        <v>0</v>
      </c>
      <c r="N63" s="3">
        <v>-100</v>
      </c>
      <c r="O63" s="3">
        <v>0</v>
      </c>
      <c r="P63" s="2" t="s">
        <v>202</v>
      </c>
    </row>
    <row r="64" spans="1:16">
      <c r="A64" s="2" t="s">
        <v>280</v>
      </c>
      <c r="B64" s="2" t="s">
        <v>1</v>
      </c>
      <c r="C64" s="2" t="s">
        <v>2</v>
      </c>
      <c r="D64" s="2" t="s">
        <v>50</v>
      </c>
      <c r="E64" s="4" t="str">
        <f t="shared" si="0"/>
        <v>2314 - AMER DESGN DRFTG S A</v>
      </c>
      <c r="F64" s="2" t="s">
        <v>29</v>
      </c>
      <c r="J64" s="5" t="str">
        <f>IF(H64="",VLOOKUP(LEFT(F64,1),'Exp-Rev Categories'!A:B,2,FALSE),IF(ISNA(VLOOKUP(H64,'Exp-Rev Categories'!A:B,2,FALSE)),"Revenue",VLOOKUP(H64,'Exp-Rev Categories'!A:B,2,FALSE)))</f>
        <v>Exp-Goods &amp; Services</v>
      </c>
      <c r="K64" s="2">
        <v>16295</v>
      </c>
      <c r="L64" s="3">
        <v>0</v>
      </c>
      <c r="M64" s="3">
        <v>0</v>
      </c>
      <c r="N64" s="3">
        <v>16295</v>
      </c>
      <c r="O64" s="3">
        <v>0</v>
      </c>
      <c r="P64" s="2" t="s">
        <v>202</v>
      </c>
    </row>
    <row r="65" spans="1:16">
      <c r="A65" s="2" t="s">
        <v>280</v>
      </c>
      <c r="B65" s="2" t="s">
        <v>1</v>
      </c>
      <c r="C65" s="2" t="s">
        <v>2</v>
      </c>
      <c r="D65" s="2" t="s">
        <v>50</v>
      </c>
      <c r="E65" s="4" t="str">
        <f t="shared" si="0"/>
        <v>2314 - AMER DESGN DRFTG S A</v>
      </c>
      <c r="F65" s="2" t="s">
        <v>23</v>
      </c>
      <c r="G65" s="2" t="s">
        <v>24</v>
      </c>
      <c r="J65" s="5" t="str">
        <f>IF(H65="",VLOOKUP(LEFT(F65,1),'Exp-Rev Categories'!A:B,2,FALSE),IF(ISNA(VLOOKUP(H65,'Exp-Rev Categories'!A:B,2,FALSE)),"Revenue",VLOOKUP(H65,'Exp-Rev Categories'!A:B,2,FALSE)))</f>
        <v>Exp-Goods &amp; Services</v>
      </c>
      <c r="K65" s="2">
        <v>0</v>
      </c>
      <c r="L65" s="3">
        <v>457.34</v>
      </c>
      <c r="M65" s="3">
        <v>0</v>
      </c>
      <c r="N65" s="3">
        <v>-457.34</v>
      </c>
      <c r="O65" s="3">
        <v>0</v>
      </c>
      <c r="P65" s="2" t="s">
        <v>202</v>
      </c>
    </row>
    <row r="66" spans="1:16">
      <c r="A66" s="2" t="s">
        <v>280</v>
      </c>
      <c r="B66" s="2" t="s">
        <v>1</v>
      </c>
      <c r="C66" s="2" t="s">
        <v>2</v>
      </c>
      <c r="D66" s="2" t="s">
        <v>50</v>
      </c>
      <c r="E66" s="4" t="str">
        <f t="shared" ref="E66:E129" si="1">D66&amp;" - "&amp;P66</f>
        <v>2314 - AMER DESGN DRFTG S A</v>
      </c>
      <c r="F66" s="2" t="s">
        <v>54</v>
      </c>
      <c r="G66" s="2" t="s">
        <v>55</v>
      </c>
      <c r="J66" s="5" t="str">
        <f>IF(H66="",VLOOKUP(LEFT(F66,1),'Exp-Rev Categories'!A:B,2,FALSE),IF(ISNA(VLOOKUP(H66,'Exp-Rev Categories'!A:B,2,FALSE)),"Revenue",VLOOKUP(H66,'Exp-Rev Categories'!A:B,2,FALSE)))</f>
        <v>Exp-Goods &amp; Services</v>
      </c>
      <c r="K66" s="2">
        <v>0</v>
      </c>
      <c r="L66" s="3">
        <v>25</v>
      </c>
      <c r="M66" s="3">
        <v>0</v>
      </c>
      <c r="N66" s="3">
        <v>-25</v>
      </c>
      <c r="O66" s="3">
        <v>0</v>
      </c>
      <c r="P66" s="2" t="s">
        <v>202</v>
      </c>
    </row>
    <row r="67" spans="1:16">
      <c r="A67" s="2" t="s">
        <v>280</v>
      </c>
      <c r="B67" s="2" t="s">
        <v>1</v>
      </c>
      <c r="C67" s="2" t="s">
        <v>2</v>
      </c>
      <c r="D67" s="2" t="s">
        <v>50</v>
      </c>
      <c r="E67" s="4" t="str">
        <f t="shared" si="1"/>
        <v>2314 - AMER DESGN DRFTG S A</v>
      </c>
      <c r="F67" s="2" t="s">
        <v>54</v>
      </c>
      <c r="G67" s="2" t="s">
        <v>56</v>
      </c>
      <c r="J67" s="5" t="str">
        <f>IF(H67="",VLOOKUP(LEFT(F67,1),'Exp-Rev Categories'!A:B,2,FALSE),IF(ISNA(VLOOKUP(H67,'Exp-Rev Categories'!A:B,2,FALSE)),"Revenue",VLOOKUP(H67,'Exp-Rev Categories'!A:B,2,FALSE)))</f>
        <v>Exp-Goods &amp; Services</v>
      </c>
      <c r="K67" s="2">
        <v>0</v>
      </c>
      <c r="L67" s="3">
        <v>3525</v>
      </c>
      <c r="M67" s="3">
        <v>0</v>
      </c>
      <c r="N67" s="3">
        <v>-3525</v>
      </c>
      <c r="O67" s="3">
        <v>0</v>
      </c>
      <c r="P67" s="2" t="s">
        <v>202</v>
      </c>
    </row>
    <row r="68" spans="1:16">
      <c r="A68" s="2" t="s">
        <v>280</v>
      </c>
      <c r="B68" s="2" t="s">
        <v>1</v>
      </c>
      <c r="C68" s="2" t="s">
        <v>2</v>
      </c>
      <c r="D68" s="2" t="s">
        <v>50</v>
      </c>
      <c r="E68" s="4" t="str">
        <f t="shared" si="1"/>
        <v>2314 - AMER DESGN DRFTG S A</v>
      </c>
      <c r="F68" s="2" t="s">
        <v>57</v>
      </c>
      <c r="G68" s="2" t="s">
        <v>24</v>
      </c>
      <c r="J68" s="5" t="str">
        <f>IF(H68="",VLOOKUP(LEFT(F68,1),'Exp-Rev Categories'!A:B,2,FALSE),IF(ISNA(VLOOKUP(H68,'Exp-Rev Categories'!A:B,2,FALSE)),"Revenue",VLOOKUP(H68,'Exp-Rev Categories'!A:B,2,FALSE)))</f>
        <v>Exp-Goods &amp; Services</v>
      </c>
      <c r="K68" s="2">
        <v>0</v>
      </c>
      <c r="L68" s="3">
        <v>32.6</v>
      </c>
      <c r="M68" s="3">
        <v>0</v>
      </c>
      <c r="N68" s="3">
        <v>-32.6</v>
      </c>
      <c r="O68" s="3">
        <v>0</v>
      </c>
      <c r="P68" s="2" t="s">
        <v>202</v>
      </c>
    </row>
    <row r="69" spans="1:16">
      <c r="A69" s="2" t="s">
        <v>280</v>
      </c>
      <c r="B69" s="2" t="s">
        <v>1</v>
      </c>
      <c r="C69" s="2" t="s">
        <v>2</v>
      </c>
      <c r="D69" s="2" t="s">
        <v>50</v>
      </c>
      <c r="E69" s="4" t="str">
        <f t="shared" si="1"/>
        <v>2314 - AMER DESGN DRFTG S A</v>
      </c>
      <c r="F69" s="2" t="s">
        <v>41</v>
      </c>
      <c r="G69" s="2" t="s">
        <v>24</v>
      </c>
      <c r="J69" s="5" t="str">
        <f>IF(H69="",VLOOKUP(LEFT(F69,1),'Exp-Rev Categories'!A:B,2,FALSE),IF(ISNA(VLOOKUP(H69,'Exp-Rev Categories'!A:B,2,FALSE)),"Revenue",VLOOKUP(H69,'Exp-Rev Categories'!A:B,2,FALSE)))</f>
        <v>Exp-Goods &amp; Services</v>
      </c>
      <c r="K69" s="2">
        <v>0</v>
      </c>
      <c r="L69" s="3">
        <v>570</v>
      </c>
      <c r="M69" s="3">
        <v>0</v>
      </c>
      <c r="N69" s="3">
        <v>-570</v>
      </c>
      <c r="O69" s="3">
        <v>0</v>
      </c>
      <c r="P69" s="2" t="s">
        <v>202</v>
      </c>
    </row>
    <row r="70" spans="1:16">
      <c r="A70" s="2" t="s">
        <v>280</v>
      </c>
      <c r="B70" s="2" t="s">
        <v>1</v>
      </c>
      <c r="C70" s="2" t="s">
        <v>2</v>
      </c>
      <c r="D70" s="2" t="s">
        <v>50</v>
      </c>
      <c r="E70" s="4" t="str">
        <f t="shared" si="1"/>
        <v>2314 - AMER DESGN DRFTG S A</v>
      </c>
      <c r="F70" s="2" t="s">
        <v>41</v>
      </c>
      <c r="G70" s="2" t="s">
        <v>7</v>
      </c>
      <c r="J70" s="5" t="str">
        <f>IF(H70="",VLOOKUP(LEFT(F70,1),'Exp-Rev Categories'!A:B,2,FALSE),IF(ISNA(VLOOKUP(H70,'Exp-Rev Categories'!A:B,2,FALSE)),"Revenue",VLOOKUP(H70,'Exp-Rev Categories'!A:B,2,FALSE)))</f>
        <v>Exp-Goods &amp; Services</v>
      </c>
      <c r="K70" s="2">
        <v>0</v>
      </c>
      <c r="L70" s="3">
        <v>221.53</v>
      </c>
      <c r="M70" s="3">
        <v>0</v>
      </c>
      <c r="N70" s="3">
        <v>-221.53</v>
      </c>
      <c r="O70" s="3">
        <v>0</v>
      </c>
      <c r="P70" s="2" t="s">
        <v>202</v>
      </c>
    </row>
    <row r="71" spans="1:16">
      <c r="A71" s="2" t="s">
        <v>280</v>
      </c>
      <c r="B71" s="2" t="s">
        <v>1</v>
      </c>
      <c r="C71" s="2" t="s">
        <v>2</v>
      </c>
      <c r="D71" s="2" t="s">
        <v>50</v>
      </c>
      <c r="E71" s="4" t="str">
        <f t="shared" si="1"/>
        <v>2314 - AMER DESGN DRFTG S A</v>
      </c>
      <c r="F71" s="2" t="s">
        <v>267</v>
      </c>
      <c r="J71" s="5" t="str">
        <f>IF(H71="",VLOOKUP(LEFT(F71,1),'Exp-Rev Categories'!A:B,2,FALSE),IF(ISNA(VLOOKUP(H71,'Exp-Rev Categories'!A:B,2,FALSE)),"Revenue",VLOOKUP(H71,'Exp-Rev Categories'!A:B,2,FALSE)))</f>
        <v>Exp-Travel</v>
      </c>
      <c r="K71" s="2">
        <v>0</v>
      </c>
      <c r="L71" s="3">
        <v>0</v>
      </c>
      <c r="M71" s="3">
        <v>0</v>
      </c>
      <c r="N71" s="3">
        <v>0</v>
      </c>
      <c r="O71" s="3">
        <v>0</v>
      </c>
      <c r="P71" s="2" t="s">
        <v>202</v>
      </c>
    </row>
    <row r="72" spans="1:16">
      <c r="A72" s="2" t="s">
        <v>280</v>
      </c>
      <c r="B72" s="2" t="s">
        <v>1</v>
      </c>
      <c r="C72" s="2" t="s">
        <v>2</v>
      </c>
      <c r="D72" s="2" t="s">
        <v>50</v>
      </c>
      <c r="E72" s="4" t="str">
        <f t="shared" si="1"/>
        <v>2314 - AMER DESGN DRFTG S A</v>
      </c>
      <c r="F72" s="2" t="s">
        <v>44</v>
      </c>
      <c r="G72" s="2" t="s">
        <v>24</v>
      </c>
      <c r="J72" s="5" t="str">
        <f>IF(H72="",VLOOKUP(LEFT(F72,1),'Exp-Rev Categories'!A:B,2,FALSE),IF(ISNA(VLOOKUP(H72,'Exp-Rev Categories'!A:B,2,FALSE)),"Revenue",VLOOKUP(H72,'Exp-Rev Categories'!A:B,2,FALSE)))</f>
        <v>Exp-Travel</v>
      </c>
      <c r="K72" s="2">
        <v>0</v>
      </c>
      <c r="L72" s="3">
        <v>149.11000000000001</v>
      </c>
      <c r="M72" s="3">
        <v>0</v>
      </c>
      <c r="N72" s="3">
        <v>-149.11000000000001</v>
      </c>
      <c r="O72" s="3">
        <v>0</v>
      </c>
      <c r="P72" s="2" t="s">
        <v>202</v>
      </c>
    </row>
    <row r="73" spans="1:16">
      <c r="A73" s="2" t="s">
        <v>280</v>
      </c>
      <c r="B73" s="2" t="s">
        <v>1</v>
      </c>
      <c r="C73" s="2" t="s">
        <v>2</v>
      </c>
      <c r="D73" s="2" t="s">
        <v>50</v>
      </c>
      <c r="E73" s="4" t="str">
        <f t="shared" si="1"/>
        <v>2314 - AMER DESGN DRFTG S A</v>
      </c>
      <c r="F73" s="2" t="s">
        <v>44</v>
      </c>
      <c r="G73" s="2" t="s">
        <v>58</v>
      </c>
      <c r="J73" s="5" t="str">
        <f>IF(H73="",VLOOKUP(LEFT(F73,1),'Exp-Rev Categories'!A:B,2,FALSE),IF(ISNA(VLOOKUP(H73,'Exp-Rev Categories'!A:B,2,FALSE)),"Revenue",VLOOKUP(H73,'Exp-Rev Categories'!A:B,2,FALSE)))</f>
        <v>Exp-Travel</v>
      </c>
      <c r="K73" s="2">
        <v>0</v>
      </c>
      <c r="L73" s="3">
        <v>39.229999999999997</v>
      </c>
      <c r="M73" s="3">
        <v>0</v>
      </c>
      <c r="N73" s="3">
        <v>-39.229999999999997</v>
      </c>
      <c r="O73" s="3">
        <v>0</v>
      </c>
      <c r="P73" s="2" t="s">
        <v>202</v>
      </c>
    </row>
    <row r="74" spans="1:16">
      <c r="A74" s="2" t="s">
        <v>280</v>
      </c>
      <c r="B74" s="2" t="s">
        <v>1</v>
      </c>
      <c r="C74" s="2" t="s">
        <v>2</v>
      </c>
      <c r="D74" s="2" t="s">
        <v>50</v>
      </c>
      <c r="E74" s="4" t="str">
        <f t="shared" si="1"/>
        <v>2314 - AMER DESGN DRFTG S A</v>
      </c>
      <c r="F74" s="2" t="s">
        <v>59</v>
      </c>
      <c r="G74" s="2" t="s">
        <v>24</v>
      </c>
      <c r="J74" s="5" t="str">
        <f>IF(H74="",VLOOKUP(LEFT(F74,1),'Exp-Rev Categories'!A:B,2,FALSE),IF(ISNA(VLOOKUP(H74,'Exp-Rev Categories'!A:B,2,FALSE)),"Revenue",VLOOKUP(H74,'Exp-Rev Categories'!A:B,2,FALSE)))</f>
        <v>Exp-Travel</v>
      </c>
      <c r="K74" s="2">
        <v>0</v>
      </c>
      <c r="L74" s="3">
        <v>2603.77</v>
      </c>
      <c r="M74" s="3">
        <v>0</v>
      </c>
      <c r="N74" s="3">
        <v>-2603.77</v>
      </c>
      <c r="O74" s="3">
        <v>0</v>
      </c>
      <c r="P74" s="2" t="s">
        <v>202</v>
      </c>
    </row>
    <row r="75" spans="1:16">
      <c r="A75" s="2" t="s">
        <v>280</v>
      </c>
      <c r="B75" s="2" t="s">
        <v>1</v>
      </c>
      <c r="C75" s="2" t="s">
        <v>2</v>
      </c>
      <c r="D75" s="2" t="s">
        <v>50</v>
      </c>
      <c r="E75" s="4" t="str">
        <f t="shared" si="1"/>
        <v>2314 - AMER DESGN DRFTG S A</v>
      </c>
      <c r="F75" s="2" t="s">
        <v>60</v>
      </c>
      <c r="G75" s="2" t="s">
        <v>24</v>
      </c>
      <c r="J75" s="5" t="str">
        <f>IF(H75="",VLOOKUP(LEFT(F75,1),'Exp-Rev Categories'!A:B,2,FALSE),IF(ISNA(VLOOKUP(H75,'Exp-Rev Categories'!A:B,2,FALSE)),"Revenue",VLOOKUP(H75,'Exp-Rev Categories'!A:B,2,FALSE)))</f>
        <v>Exp-Travel</v>
      </c>
      <c r="K75" s="2">
        <v>0</v>
      </c>
      <c r="L75" s="3">
        <v>2217.6</v>
      </c>
      <c r="M75" s="3">
        <v>0</v>
      </c>
      <c r="N75" s="3">
        <v>-2217.6</v>
      </c>
      <c r="O75" s="3">
        <v>0</v>
      </c>
      <c r="P75" s="2" t="s">
        <v>202</v>
      </c>
    </row>
    <row r="76" spans="1:16">
      <c r="A76" s="2" t="s">
        <v>280</v>
      </c>
      <c r="B76" s="2" t="s">
        <v>1</v>
      </c>
      <c r="C76" s="2" t="s">
        <v>2</v>
      </c>
      <c r="D76" s="2" t="s">
        <v>50</v>
      </c>
      <c r="E76" s="4" t="str">
        <f t="shared" si="1"/>
        <v>2314 - AMER DESGN DRFTG S A</v>
      </c>
      <c r="F76" s="2" t="s">
        <v>268</v>
      </c>
      <c r="J76" s="5" t="str">
        <f>IF(H76="",VLOOKUP(LEFT(F76,1),'Exp-Rev Categories'!A:B,2,FALSE),IF(ISNA(VLOOKUP(H76,'Exp-Rev Categories'!A:B,2,FALSE)),"Revenue",VLOOKUP(H76,'Exp-Rev Categories'!A:B,2,FALSE)))</f>
        <v>Exp-Equipment</v>
      </c>
      <c r="K76" s="2">
        <v>0</v>
      </c>
      <c r="L76" s="3">
        <v>0</v>
      </c>
      <c r="M76" s="3">
        <v>0</v>
      </c>
      <c r="N76" s="3">
        <v>0</v>
      </c>
      <c r="O76" s="3">
        <v>0</v>
      </c>
      <c r="P76" s="2" t="s">
        <v>202</v>
      </c>
    </row>
    <row r="77" spans="1:16">
      <c r="A77" s="2" t="s">
        <v>280</v>
      </c>
      <c r="B77" s="2" t="s">
        <v>1</v>
      </c>
      <c r="C77" s="2" t="s">
        <v>2</v>
      </c>
      <c r="D77" s="2" t="s">
        <v>50</v>
      </c>
      <c r="E77" s="4" t="str">
        <f t="shared" si="1"/>
        <v>2314 - AMER DESGN DRFTG S A</v>
      </c>
      <c r="F77" s="2" t="s">
        <v>61</v>
      </c>
      <c r="G77" s="2" t="s">
        <v>24</v>
      </c>
      <c r="J77" s="5" t="str">
        <f>IF(H77="",VLOOKUP(LEFT(F77,1),'Exp-Rev Categories'!A:B,2,FALSE),IF(ISNA(VLOOKUP(H77,'Exp-Rev Categories'!A:B,2,FALSE)),"Revenue",VLOOKUP(H77,'Exp-Rev Categories'!A:B,2,FALSE)))</f>
        <v>Exp-Equipment</v>
      </c>
      <c r="K77" s="2">
        <v>0</v>
      </c>
      <c r="L77" s="3">
        <v>6325.62</v>
      </c>
      <c r="M77" s="3">
        <v>0</v>
      </c>
      <c r="N77" s="3">
        <v>-6325.62</v>
      </c>
      <c r="O77" s="3">
        <v>0</v>
      </c>
      <c r="P77" s="2" t="s">
        <v>202</v>
      </c>
    </row>
    <row r="78" spans="1:16">
      <c r="A78" s="2" t="s">
        <v>280</v>
      </c>
      <c r="B78" s="2" t="s">
        <v>1</v>
      </c>
      <c r="C78" s="2" t="s">
        <v>2</v>
      </c>
      <c r="D78" s="2" t="s">
        <v>62</v>
      </c>
      <c r="E78" s="4" t="str">
        <f t="shared" si="1"/>
        <v>2319 - SKILLS USA (VICA)</v>
      </c>
      <c r="H78" s="2" t="s">
        <v>51</v>
      </c>
      <c r="I78" s="2" t="s">
        <v>367</v>
      </c>
      <c r="J78" s="5" t="str">
        <f>IF(H78="",VLOOKUP(LEFT(F78,1),'Exp-Rev Categories'!A:B,2,FALSE),IF(ISNA(VLOOKUP(H78,'Exp-Rev Categories'!A:B,2,FALSE)),"Revenue",VLOOKUP(H78,'Exp-Rev Categories'!A:B,2,FALSE)))</f>
        <v>Revenue</v>
      </c>
      <c r="K78" s="2">
        <v>0</v>
      </c>
      <c r="L78" s="3">
        <v>0</v>
      </c>
      <c r="M78" s="3">
        <v>0</v>
      </c>
      <c r="N78" s="3">
        <v>0</v>
      </c>
      <c r="O78" s="3">
        <v>0</v>
      </c>
      <c r="P78" s="2" t="s">
        <v>203</v>
      </c>
    </row>
    <row r="79" spans="1:16">
      <c r="A79" s="2" t="s">
        <v>280</v>
      </c>
      <c r="B79" s="2" t="s">
        <v>1</v>
      </c>
      <c r="C79" s="2" t="s">
        <v>2</v>
      </c>
      <c r="D79" s="2" t="s">
        <v>62</v>
      </c>
      <c r="E79" s="4" t="str">
        <f t="shared" si="1"/>
        <v>2319 - SKILLS USA (VICA)</v>
      </c>
      <c r="H79" s="2" t="s">
        <v>43</v>
      </c>
      <c r="J79" s="5" t="str">
        <f>IF(H79="",VLOOKUP(LEFT(F79,1),'Exp-Rev Categories'!A:B,2,FALSE),IF(ISNA(VLOOKUP(H79,'Exp-Rev Categories'!A:B,2,FALSE)),"Revenue",VLOOKUP(H79,'Exp-Rev Categories'!A:B,2,FALSE)))</f>
        <v>Rev-Intra-Fund Transfer</v>
      </c>
      <c r="K79" s="2">
        <v>0</v>
      </c>
      <c r="L79" s="3">
        <v>0</v>
      </c>
      <c r="M79" s="3">
        <v>0</v>
      </c>
      <c r="N79" s="3">
        <v>0</v>
      </c>
      <c r="O79" s="3">
        <v>0</v>
      </c>
      <c r="P79" s="2" t="s">
        <v>203</v>
      </c>
    </row>
    <row r="80" spans="1:16">
      <c r="A80" s="2" t="s">
        <v>280</v>
      </c>
      <c r="B80" s="2" t="s">
        <v>1</v>
      </c>
      <c r="C80" s="2" t="s">
        <v>2</v>
      </c>
      <c r="D80" s="2" t="s">
        <v>62</v>
      </c>
      <c r="E80" s="4" t="str">
        <f t="shared" si="1"/>
        <v>2319 - SKILLS USA (VICA)</v>
      </c>
      <c r="F80" s="2" t="s">
        <v>265</v>
      </c>
      <c r="J80" s="5" t="str">
        <f>IF(H80="",VLOOKUP(LEFT(F80,1),'Exp-Rev Categories'!A:B,2,FALSE),IF(ISNA(VLOOKUP(H80,'Exp-Rev Categories'!A:B,2,FALSE)),"Revenue",VLOOKUP(H80,'Exp-Rev Categories'!A:B,2,FALSE)))</f>
        <v>Exp-Benefits</v>
      </c>
      <c r="K80" s="2">
        <v>0</v>
      </c>
      <c r="L80" s="3">
        <v>0</v>
      </c>
      <c r="M80" s="3">
        <v>0</v>
      </c>
      <c r="N80" s="3">
        <v>0</v>
      </c>
      <c r="O80" s="3">
        <v>0</v>
      </c>
      <c r="P80" s="2" t="s">
        <v>203</v>
      </c>
    </row>
    <row r="81" spans="1:16">
      <c r="A81" s="2" t="s">
        <v>280</v>
      </c>
      <c r="B81" s="2" t="s">
        <v>1</v>
      </c>
      <c r="C81" s="2" t="s">
        <v>2</v>
      </c>
      <c r="D81" s="2" t="s">
        <v>62</v>
      </c>
      <c r="E81" s="4" t="str">
        <f t="shared" si="1"/>
        <v>2319 - SKILLS USA (VICA)</v>
      </c>
      <c r="F81" s="2" t="s">
        <v>29</v>
      </c>
      <c r="J81" s="5" t="str">
        <f>IF(H81="",VLOOKUP(LEFT(F81,1),'Exp-Rev Categories'!A:B,2,FALSE),IF(ISNA(VLOOKUP(H81,'Exp-Rev Categories'!A:B,2,FALSE)),"Revenue",VLOOKUP(H81,'Exp-Rev Categories'!A:B,2,FALSE)))</f>
        <v>Exp-Goods &amp; Services</v>
      </c>
      <c r="K81" s="2">
        <v>31563</v>
      </c>
      <c r="L81" s="3">
        <v>0</v>
      </c>
      <c r="M81" s="3">
        <v>0</v>
      </c>
      <c r="N81" s="3">
        <v>31563</v>
      </c>
      <c r="O81" s="3">
        <v>0</v>
      </c>
      <c r="P81" s="2" t="s">
        <v>203</v>
      </c>
    </row>
    <row r="82" spans="1:16">
      <c r="A82" s="2" t="s">
        <v>280</v>
      </c>
      <c r="B82" s="2" t="s">
        <v>1</v>
      </c>
      <c r="C82" s="2" t="s">
        <v>2</v>
      </c>
      <c r="D82" s="2" t="s">
        <v>62</v>
      </c>
      <c r="E82" s="4" t="str">
        <f t="shared" si="1"/>
        <v>2319 - SKILLS USA (VICA)</v>
      </c>
      <c r="F82" s="2" t="s">
        <v>23</v>
      </c>
      <c r="G82" s="2" t="s">
        <v>24</v>
      </c>
      <c r="J82" s="5" t="str">
        <f>IF(H82="",VLOOKUP(LEFT(F82,1),'Exp-Rev Categories'!A:B,2,FALSE),IF(ISNA(VLOOKUP(H82,'Exp-Rev Categories'!A:B,2,FALSE)),"Revenue",VLOOKUP(H82,'Exp-Rev Categories'!A:B,2,FALSE)))</f>
        <v>Exp-Goods &amp; Services</v>
      </c>
      <c r="K82" s="2">
        <v>0</v>
      </c>
      <c r="L82" s="3">
        <v>1576.14</v>
      </c>
      <c r="M82" s="3">
        <v>0</v>
      </c>
      <c r="N82" s="3">
        <v>-1576.14</v>
      </c>
      <c r="O82" s="3">
        <v>0</v>
      </c>
      <c r="P82" s="2" t="s">
        <v>203</v>
      </c>
    </row>
    <row r="83" spans="1:16">
      <c r="A83" s="2" t="s">
        <v>280</v>
      </c>
      <c r="B83" s="2" t="s">
        <v>1</v>
      </c>
      <c r="C83" s="2" t="s">
        <v>2</v>
      </c>
      <c r="D83" s="2" t="s">
        <v>62</v>
      </c>
      <c r="E83" s="4" t="str">
        <f t="shared" si="1"/>
        <v>2319 - SKILLS USA (VICA)</v>
      </c>
      <c r="F83" s="2" t="s">
        <v>63</v>
      </c>
      <c r="G83" s="2" t="s">
        <v>64</v>
      </c>
      <c r="J83" s="5" t="str">
        <f>IF(H83="",VLOOKUP(LEFT(F83,1),'Exp-Rev Categories'!A:B,2,FALSE),IF(ISNA(VLOOKUP(H83,'Exp-Rev Categories'!A:B,2,FALSE)),"Revenue",VLOOKUP(H83,'Exp-Rev Categories'!A:B,2,FALSE)))</f>
        <v>Exp-Goods &amp; Services</v>
      </c>
      <c r="K83" s="2">
        <v>0</v>
      </c>
      <c r="L83" s="3">
        <v>43.5</v>
      </c>
      <c r="M83" s="3">
        <v>0</v>
      </c>
      <c r="N83" s="3">
        <v>-43.5</v>
      </c>
      <c r="O83" s="3">
        <v>0</v>
      </c>
      <c r="P83" s="2" t="s">
        <v>203</v>
      </c>
    </row>
    <row r="84" spans="1:16">
      <c r="A84" s="2" t="s">
        <v>280</v>
      </c>
      <c r="B84" s="2" t="s">
        <v>1</v>
      </c>
      <c r="C84" s="2" t="s">
        <v>2</v>
      </c>
      <c r="D84" s="2" t="s">
        <v>62</v>
      </c>
      <c r="E84" s="4" t="str">
        <f t="shared" si="1"/>
        <v>2319 - SKILLS USA (VICA)</v>
      </c>
      <c r="F84" s="2" t="s">
        <v>54</v>
      </c>
      <c r="G84" s="2" t="s">
        <v>65</v>
      </c>
      <c r="J84" s="5" t="str">
        <f>IF(H84="",VLOOKUP(LEFT(F84,1),'Exp-Rev Categories'!A:B,2,FALSE),IF(ISNA(VLOOKUP(H84,'Exp-Rev Categories'!A:B,2,FALSE)),"Revenue",VLOOKUP(H84,'Exp-Rev Categories'!A:B,2,FALSE)))</f>
        <v>Exp-Goods &amp; Services</v>
      </c>
      <c r="K84" s="2">
        <v>0</v>
      </c>
      <c r="L84" s="3">
        <v>172</v>
      </c>
      <c r="M84" s="3">
        <v>0</v>
      </c>
      <c r="N84" s="3">
        <v>-172</v>
      </c>
      <c r="O84" s="3">
        <v>0</v>
      </c>
      <c r="P84" s="2" t="s">
        <v>203</v>
      </c>
    </row>
    <row r="85" spans="1:16">
      <c r="A85" s="2" t="s">
        <v>280</v>
      </c>
      <c r="B85" s="2" t="s">
        <v>1</v>
      </c>
      <c r="C85" s="2" t="s">
        <v>2</v>
      </c>
      <c r="D85" s="2" t="s">
        <v>62</v>
      </c>
      <c r="E85" s="4" t="str">
        <f t="shared" si="1"/>
        <v>2319 - SKILLS USA (VICA)</v>
      </c>
      <c r="F85" s="2" t="s">
        <v>54</v>
      </c>
      <c r="G85" s="2" t="s">
        <v>56</v>
      </c>
      <c r="J85" s="5" t="str">
        <f>IF(H85="",VLOOKUP(LEFT(F85,1),'Exp-Rev Categories'!A:B,2,FALSE),IF(ISNA(VLOOKUP(H85,'Exp-Rev Categories'!A:B,2,FALSE)),"Revenue",VLOOKUP(H85,'Exp-Rev Categories'!A:B,2,FALSE)))</f>
        <v>Exp-Goods &amp; Services</v>
      </c>
      <c r="K85" s="2">
        <v>0</v>
      </c>
      <c r="L85" s="3">
        <v>2865</v>
      </c>
      <c r="M85" s="3">
        <v>0</v>
      </c>
      <c r="N85" s="3">
        <v>-2865</v>
      </c>
      <c r="O85" s="3">
        <v>0</v>
      </c>
      <c r="P85" s="2" t="s">
        <v>203</v>
      </c>
    </row>
    <row r="86" spans="1:16">
      <c r="A86" s="2" t="s">
        <v>280</v>
      </c>
      <c r="B86" s="2" t="s">
        <v>1</v>
      </c>
      <c r="C86" s="2" t="s">
        <v>2</v>
      </c>
      <c r="D86" s="2" t="s">
        <v>62</v>
      </c>
      <c r="E86" s="4" t="str">
        <f t="shared" si="1"/>
        <v>2319 - SKILLS USA (VICA)</v>
      </c>
      <c r="F86" s="2" t="s">
        <v>41</v>
      </c>
      <c r="G86" s="2" t="s">
        <v>24</v>
      </c>
      <c r="J86" s="5" t="str">
        <f>IF(H86="",VLOOKUP(LEFT(F86,1),'Exp-Rev Categories'!A:B,2,FALSE),IF(ISNA(VLOOKUP(H86,'Exp-Rev Categories'!A:B,2,FALSE)),"Revenue",VLOOKUP(H86,'Exp-Rev Categories'!A:B,2,FALSE)))</f>
        <v>Exp-Goods &amp; Services</v>
      </c>
      <c r="K86" s="2">
        <v>0</v>
      </c>
      <c r="L86" s="3">
        <v>0</v>
      </c>
      <c r="M86" s="3">
        <v>0</v>
      </c>
      <c r="N86" s="3">
        <v>0</v>
      </c>
      <c r="O86" s="3">
        <v>0</v>
      </c>
      <c r="P86" s="2" t="s">
        <v>203</v>
      </c>
    </row>
    <row r="87" spans="1:16">
      <c r="A87" s="2" t="s">
        <v>280</v>
      </c>
      <c r="B87" s="2" t="s">
        <v>1</v>
      </c>
      <c r="C87" s="2" t="s">
        <v>2</v>
      </c>
      <c r="D87" s="2" t="s">
        <v>62</v>
      </c>
      <c r="E87" s="4" t="str">
        <f t="shared" si="1"/>
        <v>2319 - SKILLS USA (VICA)</v>
      </c>
      <c r="F87" s="2" t="s">
        <v>41</v>
      </c>
      <c r="G87" s="2" t="s">
        <v>66</v>
      </c>
      <c r="J87" s="5" t="str">
        <f>IF(H87="",VLOOKUP(LEFT(F87,1),'Exp-Rev Categories'!A:B,2,FALSE),IF(ISNA(VLOOKUP(H87,'Exp-Rev Categories'!A:B,2,FALSE)),"Revenue",VLOOKUP(H87,'Exp-Rev Categories'!A:B,2,FALSE)))</f>
        <v>Exp-Goods &amp; Services</v>
      </c>
      <c r="K87" s="2">
        <v>0</v>
      </c>
      <c r="L87" s="3">
        <v>8.48</v>
      </c>
      <c r="M87" s="3">
        <v>0</v>
      </c>
      <c r="N87" s="3">
        <v>-8.48</v>
      </c>
      <c r="O87" s="3">
        <v>0</v>
      </c>
      <c r="P87" s="2" t="s">
        <v>203</v>
      </c>
    </row>
    <row r="88" spans="1:16">
      <c r="A88" s="2" t="s">
        <v>280</v>
      </c>
      <c r="B88" s="2" t="s">
        <v>1</v>
      </c>
      <c r="C88" s="2" t="s">
        <v>2</v>
      </c>
      <c r="D88" s="2" t="s">
        <v>62</v>
      </c>
      <c r="E88" s="4" t="str">
        <f t="shared" si="1"/>
        <v>2319 - SKILLS USA (VICA)</v>
      </c>
      <c r="F88" s="2" t="s">
        <v>41</v>
      </c>
      <c r="G88" s="2" t="s">
        <v>7</v>
      </c>
      <c r="J88" s="5" t="str">
        <f>IF(H88="",VLOOKUP(LEFT(F88,1),'Exp-Rev Categories'!A:B,2,FALSE),IF(ISNA(VLOOKUP(H88,'Exp-Rev Categories'!A:B,2,FALSE)),"Revenue",VLOOKUP(H88,'Exp-Rev Categories'!A:B,2,FALSE)))</f>
        <v>Exp-Goods &amp; Services</v>
      </c>
      <c r="K88" s="2">
        <v>0</v>
      </c>
      <c r="L88" s="3">
        <v>507.02</v>
      </c>
      <c r="M88" s="3">
        <v>0</v>
      </c>
      <c r="N88" s="3">
        <v>-507.02</v>
      </c>
      <c r="O88" s="3">
        <v>0</v>
      </c>
      <c r="P88" s="2" t="s">
        <v>203</v>
      </c>
    </row>
    <row r="89" spans="1:16">
      <c r="A89" s="2" t="s">
        <v>280</v>
      </c>
      <c r="B89" s="2" t="s">
        <v>1</v>
      </c>
      <c r="C89" s="2" t="s">
        <v>2</v>
      </c>
      <c r="D89" s="2" t="s">
        <v>62</v>
      </c>
      <c r="E89" s="4" t="str">
        <f t="shared" si="1"/>
        <v>2319 - SKILLS USA (VICA)</v>
      </c>
      <c r="F89" s="2" t="s">
        <v>267</v>
      </c>
      <c r="J89" s="5" t="str">
        <f>IF(H89="",VLOOKUP(LEFT(F89,1),'Exp-Rev Categories'!A:B,2,FALSE),IF(ISNA(VLOOKUP(H89,'Exp-Rev Categories'!A:B,2,FALSE)),"Revenue",VLOOKUP(H89,'Exp-Rev Categories'!A:B,2,FALSE)))</f>
        <v>Exp-Travel</v>
      </c>
      <c r="K89" s="2">
        <v>0</v>
      </c>
      <c r="L89" s="3">
        <v>0</v>
      </c>
      <c r="M89" s="3">
        <v>0</v>
      </c>
      <c r="N89" s="3">
        <v>0</v>
      </c>
      <c r="O89" s="3">
        <v>0</v>
      </c>
      <c r="P89" s="2" t="s">
        <v>203</v>
      </c>
    </row>
    <row r="90" spans="1:16">
      <c r="A90" s="2" t="s">
        <v>280</v>
      </c>
      <c r="B90" s="2" t="s">
        <v>1</v>
      </c>
      <c r="C90" s="2" t="s">
        <v>2</v>
      </c>
      <c r="D90" s="2" t="s">
        <v>62</v>
      </c>
      <c r="E90" s="4" t="str">
        <f t="shared" si="1"/>
        <v>2319 - SKILLS USA (VICA)</v>
      </c>
      <c r="F90" s="2" t="s">
        <v>67</v>
      </c>
      <c r="G90" s="2" t="s">
        <v>24</v>
      </c>
      <c r="J90" s="5" t="str">
        <f>IF(H90="",VLOOKUP(LEFT(F90,1),'Exp-Rev Categories'!A:B,2,FALSE),IF(ISNA(VLOOKUP(H90,'Exp-Rev Categories'!A:B,2,FALSE)),"Revenue",VLOOKUP(H90,'Exp-Rev Categories'!A:B,2,FALSE)))</f>
        <v>Exp-Travel</v>
      </c>
      <c r="K90" s="2">
        <v>0</v>
      </c>
      <c r="L90" s="3">
        <v>4429.08</v>
      </c>
      <c r="M90" s="3">
        <v>0</v>
      </c>
      <c r="N90" s="3">
        <v>-4429.08</v>
      </c>
      <c r="O90" s="3">
        <v>0</v>
      </c>
      <c r="P90" s="2" t="s">
        <v>203</v>
      </c>
    </row>
    <row r="91" spans="1:16">
      <c r="A91" s="2" t="s">
        <v>280</v>
      </c>
      <c r="B91" s="2" t="s">
        <v>1</v>
      </c>
      <c r="C91" s="2" t="s">
        <v>2</v>
      </c>
      <c r="D91" s="2" t="s">
        <v>62</v>
      </c>
      <c r="E91" s="4" t="str">
        <f t="shared" si="1"/>
        <v>2319 - SKILLS USA (VICA)</v>
      </c>
      <c r="F91" s="2" t="s">
        <v>44</v>
      </c>
      <c r="G91" s="2" t="s">
        <v>24</v>
      </c>
      <c r="J91" s="5" t="str">
        <f>IF(H91="",VLOOKUP(LEFT(F91,1),'Exp-Rev Categories'!A:B,2,FALSE),IF(ISNA(VLOOKUP(H91,'Exp-Rev Categories'!A:B,2,FALSE)),"Revenue",VLOOKUP(H91,'Exp-Rev Categories'!A:B,2,FALSE)))</f>
        <v>Exp-Travel</v>
      </c>
      <c r="K91" s="2">
        <v>0</v>
      </c>
      <c r="L91" s="3">
        <v>647.14</v>
      </c>
      <c r="M91" s="3">
        <v>0</v>
      </c>
      <c r="N91" s="3">
        <v>-647.14</v>
      </c>
      <c r="O91" s="3">
        <v>0</v>
      </c>
      <c r="P91" s="2" t="s">
        <v>203</v>
      </c>
    </row>
    <row r="92" spans="1:16">
      <c r="A92" s="2" t="s">
        <v>280</v>
      </c>
      <c r="B92" s="2" t="s">
        <v>1</v>
      </c>
      <c r="C92" s="2" t="s">
        <v>2</v>
      </c>
      <c r="D92" s="2" t="s">
        <v>62</v>
      </c>
      <c r="E92" s="4" t="str">
        <f t="shared" si="1"/>
        <v>2319 - SKILLS USA (VICA)</v>
      </c>
      <c r="F92" s="2" t="s">
        <v>44</v>
      </c>
      <c r="G92" s="2" t="s">
        <v>21</v>
      </c>
      <c r="J92" s="5" t="str">
        <f>IF(H92="",VLOOKUP(LEFT(F92,1),'Exp-Rev Categories'!A:B,2,FALSE),IF(ISNA(VLOOKUP(H92,'Exp-Rev Categories'!A:B,2,FALSE)),"Revenue",VLOOKUP(H92,'Exp-Rev Categories'!A:B,2,FALSE)))</f>
        <v>Exp-Travel</v>
      </c>
      <c r="K92" s="2">
        <v>0</v>
      </c>
      <c r="L92" s="3">
        <v>0</v>
      </c>
      <c r="M92" s="3">
        <v>0</v>
      </c>
      <c r="N92" s="3">
        <v>0</v>
      </c>
      <c r="O92" s="3">
        <v>0</v>
      </c>
      <c r="P92" s="2" t="s">
        <v>203</v>
      </c>
    </row>
    <row r="93" spans="1:16">
      <c r="A93" s="2" t="s">
        <v>280</v>
      </c>
      <c r="B93" s="2" t="s">
        <v>1</v>
      </c>
      <c r="C93" s="2" t="s">
        <v>2</v>
      </c>
      <c r="D93" s="2" t="s">
        <v>62</v>
      </c>
      <c r="E93" s="4" t="str">
        <f t="shared" si="1"/>
        <v>2319 - SKILLS USA (VICA)</v>
      </c>
      <c r="F93" s="2" t="s">
        <v>44</v>
      </c>
      <c r="G93" s="2" t="s">
        <v>7</v>
      </c>
      <c r="J93" s="5" t="str">
        <f>IF(H93="",VLOOKUP(LEFT(F93,1),'Exp-Rev Categories'!A:B,2,FALSE),IF(ISNA(VLOOKUP(H93,'Exp-Rev Categories'!A:B,2,FALSE)),"Revenue",VLOOKUP(H93,'Exp-Rev Categories'!A:B,2,FALSE)))</f>
        <v>Exp-Travel</v>
      </c>
      <c r="K93" s="2">
        <v>0</v>
      </c>
      <c r="L93" s="3">
        <v>1351.05</v>
      </c>
      <c r="M93" s="3">
        <v>0</v>
      </c>
      <c r="N93" s="3">
        <v>-1351.05</v>
      </c>
      <c r="O93" s="3">
        <v>0</v>
      </c>
      <c r="P93" s="2" t="s">
        <v>203</v>
      </c>
    </row>
    <row r="94" spans="1:16">
      <c r="A94" s="2" t="s">
        <v>280</v>
      </c>
      <c r="B94" s="2" t="s">
        <v>1</v>
      </c>
      <c r="C94" s="2" t="s">
        <v>2</v>
      </c>
      <c r="D94" s="2" t="s">
        <v>62</v>
      </c>
      <c r="E94" s="4" t="str">
        <f t="shared" si="1"/>
        <v>2319 - SKILLS USA (VICA)</v>
      </c>
      <c r="F94" s="2" t="s">
        <v>44</v>
      </c>
      <c r="G94" s="2" t="s">
        <v>45</v>
      </c>
      <c r="J94" s="5" t="str">
        <f>IF(H94="",VLOOKUP(LEFT(F94,1),'Exp-Rev Categories'!A:B,2,FALSE),IF(ISNA(VLOOKUP(H94,'Exp-Rev Categories'!A:B,2,FALSE)),"Revenue",VLOOKUP(H94,'Exp-Rev Categories'!A:B,2,FALSE)))</f>
        <v>Exp-Travel</v>
      </c>
      <c r="K94" s="2">
        <v>0</v>
      </c>
      <c r="L94" s="3">
        <v>1056.5999999999999</v>
      </c>
      <c r="M94" s="3">
        <v>0</v>
      </c>
      <c r="N94" s="3">
        <v>-1056.5999999999999</v>
      </c>
      <c r="O94" s="3">
        <v>0</v>
      </c>
      <c r="P94" s="2" t="s">
        <v>203</v>
      </c>
    </row>
    <row r="95" spans="1:16">
      <c r="A95" s="2" t="s">
        <v>280</v>
      </c>
      <c r="B95" s="2" t="s">
        <v>1</v>
      </c>
      <c r="C95" s="2" t="s">
        <v>2</v>
      </c>
      <c r="D95" s="2" t="s">
        <v>62</v>
      </c>
      <c r="E95" s="4" t="str">
        <f t="shared" si="1"/>
        <v>2319 - SKILLS USA (VICA)</v>
      </c>
      <c r="F95" s="2" t="s">
        <v>44</v>
      </c>
      <c r="G95" s="2" t="s">
        <v>65</v>
      </c>
      <c r="J95" s="5" t="str">
        <f>IF(H95="",VLOOKUP(LEFT(F95,1),'Exp-Rev Categories'!A:B,2,FALSE),IF(ISNA(VLOOKUP(H95,'Exp-Rev Categories'!A:B,2,FALSE)),"Revenue",VLOOKUP(H95,'Exp-Rev Categories'!A:B,2,FALSE)))</f>
        <v>Exp-Travel</v>
      </c>
      <c r="K95" s="2">
        <v>0</v>
      </c>
      <c r="L95" s="3">
        <v>824.58</v>
      </c>
      <c r="M95" s="3">
        <v>0</v>
      </c>
      <c r="N95" s="3">
        <v>-824.58</v>
      </c>
      <c r="O95" s="3">
        <v>0</v>
      </c>
      <c r="P95" s="2" t="s">
        <v>203</v>
      </c>
    </row>
    <row r="96" spans="1:16">
      <c r="A96" s="2" t="s">
        <v>280</v>
      </c>
      <c r="B96" s="2" t="s">
        <v>1</v>
      </c>
      <c r="C96" s="2" t="s">
        <v>2</v>
      </c>
      <c r="D96" s="2" t="s">
        <v>62</v>
      </c>
      <c r="E96" s="4" t="str">
        <f t="shared" si="1"/>
        <v>2319 - SKILLS USA (VICA)</v>
      </c>
      <c r="F96" s="2" t="s">
        <v>59</v>
      </c>
      <c r="G96" s="2" t="s">
        <v>24</v>
      </c>
      <c r="J96" s="5" t="str">
        <f>IF(H96="",VLOOKUP(LEFT(F96,1),'Exp-Rev Categories'!A:B,2,FALSE),IF(ISNA(VLOOKUP(H96,'Exp-Rev Categories'!A:B,2,FALSE)),"Revenue",VLOOKUP(H96,'Exp-Rev Categories'!A:B,2,FALSE)))</f>
        <v>Exp-Travel</v>
      </c>
      <c r="K96" s="2">
        <v>0</v>
      </c>
      <c r="L96" s="3">
        <v>8356</v>
      </c>
      <c r="M96" s="3">
        <v>0</v>
      </c>
      <c r="N96" s="3">
        <v>-8356</v>
      </c>
      <c r="O96" s="3">
        <v>0</v>
      </c>
      <c r="P96" s="2" t="s">
        <v>203</v>
      </c>
    </row>
    <row r="97" spans="1:16">
      <c r="A97" s="2" t="s">
        <v>280</v>
      </c>
      <c r="B97" s="2" t="s">
        <v>1</v>
      </c>
      <c r="C97" s="2" t="s">
        <v>2</v>
      </c>
      <c r="D97" s="2" t="s">
        <v>62</v>
      </c>
      <c r="E97" s="4" t="str">
        <f t="shared" si="1"/>
        <v>2319 - SKILLS USA (VICA)</v>
      </c>
      <c r="F97" s="2" t="s">
        <v>60</v>
      </c>
      <c r="G97" s="2" t="s">
        <v>24</v>
      </c>
      <c r="J97" s="5" t="str">
        <f>IF(H97="",VLOOKUP(LEFT(F97,1),'Exp-Rev Categories'!A:B,2,FALSE),IF(ISNA(VLOOKUP(H97,'Exp-Rev Categories'!A:B,2,FALSE)),"Revenue",VLOOKUP(H97,'Exp-Rev Categories'!A:B,2,FALSE)))</f>
        <v>Exp-Travel</v>
      </c>
      <c r="K97" s="2">
        <v>0</v>
      </c>
      <c r="L97" s="3">
        <v>5647.7</v>
      </c>
      <c r="M97" s="3">
        <v>0</v>
      </c>
      <c r="N97" s="3">
        <v>-5647.7</v>
      </c>
      <c r="O97" s="3">
        <v>0</v>
      </c>
      <c r="P97" s="2" t="s">
        <v>203</v>
      </c>
    </row>
    <row r="98" spans="1:16">
      <c r="A98" s="2" t="s">
        <v>280</v>
      </c>
      <c r="B98" s="2" t="s">
        <v>1</v>
      </c>
      <c r="C98" s="2" t="s">
        <v>2</v>
      </c>
      <c r="D98" s="2" t="s">
        <v>62</v>
      </c>
      <c r="E98" s="4" t="str">
        <f t="shared" si="1"/>
        <v>2319 - SKILLS USA (VICA)</v>
      </c>
      <c r="F98" s="2" t="s">
        <v>68</v>
      </c>
      <c r="J98" s="5" t="str">
        <f>IF(H98="",VLOOKUP(LEFT(F98,1),'Exp-Rev Categories'!A:B,2,FALSE),IF(ISNA(VLOOKUP(H98,'Exp-Rev Categories'!A:B,2,FALSE)),"Revenue",VLOOKUP(H98,'Exp-Rev Categories'!A:B,2,FALSE)))</f>
        <v>Exp-Computer Equipment</v>
      </c>
      <c r="K98" s="2">
        <v>0</v>
      </c>
      <c r="L98" s="3">
        <v>2878.35</v>
      </c>
      <c r="M98" s="3">
        <v>0</v>
      </c>
      <c r="N98" s="3">
        <v>-2878.35</v>
      </c>
      <c r="O98" s="3">
        <v>0</v>
      </c>
      <c r="P98" s="2" t="s">
        <v>203</v>
      </c>
    </row>
    <row r="99" spans="1:16">
      <c r="A99" s="2" t="s">
        <v>280</v>
      </c>
      <c r="B99" s="2" t="s">
        <v>1</v>
      </c>
      <c r="C99" s="2" t="s">
        <v>2</v>
      </c>
      <c r="D99" s="2" t="s">
        <v>62</v>
      </c>
      <c r="E99" s="4" t="str">
        <f t="shared" si="1"/>
        <v>2319 - SKILLS USA (VICA)</v>
      </c>
      <c r="F99" s="2" t="s">
        <v>117</v>
      </c>
      <c r="J99" s="5" t="str">
        <f>IF(H99="",VLOOKUP(LEFT(F99,1),'Exp-Rev Categories'!A:B,2,FALSE),IF(ISNA(VLOOKUP(H99,'Exp-Rev Categories'!A:B,2,FALSE)),"Revenue",VLOOKUP(H99,'Exp-Rev Categories'!A:B,2,FALSE)))</f>
        <v>Exp-Grants/Scholarships</v>
      </c>
      <c r="K99" s="2">
        <v>0</v>
      </c>
      <c r="L99" s="3">
        <v>0</v>
      </c>
      <c r="M99" s="3">
        <v>0</v>
      </c>
      <c r="N99" s="3">
        <v>0</v>
      </c>
      <c r="O99" s="3">
        <v>0</v>
      </c>
      <c r="P99" s="2" t="s">
        <v>203</v>
      </c>
    </row>
    <row r="100" spans="1:16">
      <c r="A100" s="2" t="s">
        <v>280</v>
      </c>
      <c r="B100" s="2" t="s">
        <v>1</v>
      </c>
      <c r="C100" s="2" t="s">
        <v>2</v>
      </c>
      <c r="D100" s="2" t="s">
        <v>204</v>
      </c>
      <c r="E100" s="4" t="str">
        <f t="shared" si="1"/>
        <v>2324 - WRITERS ON THE STORM</v>
      </c>
      <c r="F100" s="2" t="s">
        <v>267</v>
      </c>
      <c r="J100" s="5" t="str">
        <f>IF(H100="",VLOOKUP(LEFT(F100,1),'Exp-Rev Categories'!A:B,2,FALSE),IF(ISNA(VLOOKUP(H100,'Exp-Rev Categories'!A:B,2,FALSE)),"Revenue",VLOOKUP(H100,'Exp-Rev Categories'!A:B,2,FALSE)))</f>
        <v>Exp-Travel</v>
      </c>
      <c r="K100" s="2">
        <v>0</v>
      </c>
      <c r="L100" s="3">
        <v>0</v>
      </c>
      <c r="M100" s="3">
        <v>0</v>
      </c>
      <c r="N100" s="3">
        <v>0</v>
      </c>
      <c r="O100" s="3">
        <v>0</v>
      </c>
      <c r="P100" s="2" t="s">
        <v>205</v>
      </c>
    </row>
    <row r="101" spans="1:16">
      <c r="A101" s="2" t="s">
        <v>280</v>
      </c>
      <c r="B101" s="2" t="s">
        <v>1</v>
      </c>
      <c r="C101" s="2" t="s">
        <v>2</v>
      </c>
      <c r="D101" s="2" t="s">
        <v>69</v>
      </c>
      <c r="E101" s="4" t="str">
        <f t="shared" si="1"/>
        <v>2330 - MATH CLUB</v>
      </c>
      <c r="F101" s="2" t="s">
        <v>29</v>
      </c>
      <c r="J101" s="5" t="str">
        <f>IF(H101="",VLOOKUP(LEFT(F101,1),'Exp-Rev Categories'!A:B,2,FALSE),IF(ISNA(VLOOKUP(H101,'Exp-Rev Categories'!A:B,2,FALSE)),"Revenue",VLOOKUP(H101,'Exp-Rev Categories'!A:B,2,FALSE)))</f>
        <v>Exp-Goods &amp; Services</v>
      </c>
      <c r="K101" s="2">
        <v>0</v>
      </c>
      <c r="L101" s="3">
        <v>0</v>
      </c>
      <c r="M101" s="3">
        <v>0</v>
      </c>
      <c r="N101" s="3">
        <v>0</v>
      </c>
      <c r="O101" s="3">
        <v>0</v>
      </c>
      <c r="P101" s="2" t="s">
        <v>260</v>
      </c>
    </row>
    <row r="102" spans="1:16">
      <c r="A102" s="2" t="s">
        <v>280</v>
      </c>
      <c r="B102" s="2" t="s">
        <v>1</v>
      </c>
      <c r="C102" s="2" t="s">
        <v>2</v>
      </c>
      <c r="D102" s="2" t="s">
        <v>69</v>
      </c>
      <c r="E102" s="4" t="str">
        <f t="shared" si="1"/>
        <v>2330 - MATH CLUB</v>
      </c>
      <c r="F102" s="2" t="s">
        <v>23</v>
      </c>
      <c r="G102" s="2" t="s">
        <v>24</v>
      </c>
      <c r="J102" s="5" t="str">
        <f>IF(H102="",VLOOKUP(LEFT(F102,1),'Exp-Rev Categories'!A:B,2,FALSE),IF(ISNA(VLOOKUP(H102,'Exp-Rev Categories'!A:B,2,FALSE)),"Revenue",VLOOKUP(H102,'Exp-Rev Categories'!A:B,2,FALSE)))</f>
        <v>Exp-Goods &amp; Services</v>
      </c>
      <c r="K102" s="2">
        <v>0</v>
      </c>
      <c r="L102" s="3">
        <v>0</v>
      </c>
      <c r="M102" s="3">
        <v>0</v>
      </c>
      <c r="N102" s="3">
        <v>0</v>
      </c>
      <c r="O102" s="3">
        <v>0</v>
      </c>
      <c r="P102" s="2" t="s">
        <v>260</v>
      </c>
    </row>
    <row r="103" spans="1:16">
      <c r="A103" s="2" t="s">
        <v>280</v>
      </c>
      <c r="B103" s="2" t="s">
        <v>1</v>
      </c>
      <c r="C103" s="2" t="s">
        <v>2</v>
      </c>
      <c r="D103" s="2" t="s">
        <v>70</v>
      </c>
      <c r="E103" s="4" t="str">
        <f t="shared" si="1"/>
        <v>2343 - SCC AUTOMOTIVE ASSNS</v>
      </c>
      <c r="H103" s="2" t="s">
        <v>51</v>
      </c>
      <c r="I103" s="2" t="s">
        <v>71</v>
      </c>
      <c r="J103" s="5" t="str">
        <f>IF(H103="",VLOOKUP(LEFT(F103,1),'Exp-Rev Categories'!A:B,2,FALSE),IF(ISNA(VLOOKUP(H103,'Exp-Rev Categories'!A:B,2,FALSE)),"Revenue",VLOOKUP(H103,'Exp-Rev Categories'!A:B,2,FALSE)))</f>
        <v>Revenue</v>
      </c>
      <c r="K103" s="2">
        <v>0</v>
      </c>
      <c r="L103" s="3">
        <v>-175</v>
      </c>
      <c r="M103" s="3">
        <v>0</v>
      </c>
      <c r="N103" s="3">
        <v>175</v>
      </c>
      <c r="O103" s="3">
        <v>0</v>
      </c>
      <c r="P103" s="2" t="s">
        <v>206</v>
      </c>
    </row>
    <row r="104" spans="1:16">
      <c r="A104" s="2" t="s">
        <v>280</v>
      </c>
      <c r="B104" s="2" t="s">
        <v>1</v>
      </c>
      <c r="C104" s="2" t="s">
        <v>2</v>
      </c>
      <c r="D104" s="2" t="s">
        <v>70</v>
      </c>
      <c r="E104" s="4" t="str">
        <f t="shared" si="1"/>
        <v>2343 - SCC AUTOMOTIVE ASSNS</v>
      </c>
      <c r="H104" s="2" t="s">
        <v>43</v>
      </c>
      <c r="J104" s="5" t="str">
        <f>IF(H104="",VLOOKUP(LEFT(F104,1),'Exp-Rev Categories'!A:B,2,FALSE),IF(ISNA(VLOOKUP(H104,'Exp-Rev Categories'!A:B,2,FALSE)),"Revenue",VLOOKUP(H104,'Exp-Rev Categories'!A:B,2,FALSE)))</f>
        <v>Rev-Intra-Fund Transfer</v>
      </c>
      <c r="K104" s="2">
        <v>0</v>
      </c>
      <c r="L104" s="3">
        <v>-4672</v>
      </c>
      <c r="M104" s="3">
        <v>0</v>
      </c>
      <c r="N104" s="3">
        <v>4672</v>
      </c>
      <c r="O104" s="3">
        <v>0</v>
      </c>
      <c r="P104" s="2" t="s">
        <v>206</v>
      </c>
    </row>
    <row r="105" spans="1:16">
      <c r="A105" s="2" t="s">
        <v>280</v>
      </c>
      <c r="B105" s="2" t="s">
        <v>1</v>
      </c>
      <c r="C105" s="2" t="s">
        <v>2</v>
      </c>
      <c r="D105" s="2" t="s">
        <v>70</v>
      </c>
      <c r="E105" s="4" t="str">
        <f t="shared" si="1"/>
        <v>2343 - SCC AUTOMOTIVE ASSNS</v>
      </c>
      <c r="F105" s="2" t="s">
        <v>29</v>
      </c>
      <c r="J105" s="5" t="str">
        <f>IF(H105="",VLOOKUP(LEFT(F105,1),'Exp-Rev Categories'!A:B,2,FALSE),IF(ISNA(VLOOKUP(H105,'Exp-Rev Categories'!A:B,2,FALSE)),"Revenue",VLOOKUP(H105,'Exp-Rev Categories'!A:B,2,FALSE)))</f>
        <v>Exp-Goods &amp; Services</v>
      </c>
      <c r="K105" s="2">
        <v>4300</v>
      </c>
      <c r="L105" s="3">
        <v>0</v>
      </c>
      <c r="M105" s="3">
        <v>0</v>
      </c>
      <c r="N105" s="3">
        <v>4300</v>
      </c>
      <c r="O105" s="3">
        <v>0</v>
      </c>
      <c r="P105" s="2" t="s">
        <v>206</v>
      </c>
    </row>
    <row r="106" spans="1:16">
      <c r="A106" s="2" t="s">
        <v>280</v>
      </c>
      <c r="B106" s="2" t="s">
        <v>1</v>
      </c>
      <c r="C106" s="2" t="s">
        <v>2</v>
      </c>
      <c r="D106" s="2" t="s">
        <v>70</v>
      </c>
      <c r="E106" s="4" t="str">
        <f t="shared" si="1"/>
        <v>2343 - SCC AUTOMOTIVE ASSNS</v>
      </c>
      <c r="F106" s="2" t="s">
        <v>23</v>
      </c>
      <c r="G106" s="2" t="s">
        <v>24</v>
      </c>
      <c r="J106" s="5" t="str">
        <f>IF(H106="",VLOOKUP(LEFT(F106,1),'Exp-Rev Categories'!A:B,2,FALSE),IF(ISNA(VLOOKUP(H106,'Exp-Rev Categories'!A:B,2,FALSE)),"Revenue",VLOOKUP(H106,'Exp-Rev Categories'!A:B,2,FALSE)))</f>
        <v>Exp-Goods &amp; Services</v>
      </c>
      <c r="K106" s="2">
        <v>0</v>
      </c>
      <c r="L106" s="3">
        <v>2485.0300000000002</v>
      </c>
      <c r="M106" s="3">
        <v>0</v>
      </c>
      <c r="N106" s="3">
        <v>-2485.0300000000002</v>
      </c>
      <c r="O106" s="3">
        <v>0</v>
      </c>
      <c r="P106" s="2" t="s">
        <v>206</v>
      </c>
    </row>
    <row r="107" spans="1:16">
      <c r="A107" s="2" t="s">
        <v>280</v>
      </c>
      <c r="B107" s="2" t="s">
        <v>1</v>
      </c>
      <c r="C107" s="2" t="s">
        <v>2</v>
      </c>
      <c r="D107" s="2" t="s">
        <v>70</v>
      </c>
      <c r="E107" s="4" t="str">
        <f t="shared" si="1"/>
        <v>2343 - SCC AUTOMOTIVE ASSNS</v>
      </c>
      <c r="F107" s="2" t="s">
        <v>41</v>
      </c>
      <c r="G107" s="2" t="s">
        <v>7</v>
      </c>
      <c r="J107" s="5" t="str">
        <f>IF(H107="",VLOOKUP(LEFT(F107,1),'Exp-Rev Categories'!A:B,2,FALSE),IF(ISNA(VLOOKUP(H107,'Exp-Rev Categories'!A:B,2,FALSE)),"Revenue",VLOOKUP(H107,'Exp-Rev Categories'!A:B,2,FALSE)))</f>
        <v>Exp-Goods &amp; Services</v>
      </c>
      <c r="K107" s="2">
        <v>0</v>
      </c>
      <c r="L107" s="3">
        <v>0</v>
      </c>
      <c r="M107" s="3">
        <v>0</v>
      </c>
      <c r="N107" s="3">
        <v>0</v>
      </c>
      <c r="O107" s="3">
        <v>0</v>
      </c>
      <c r="P107" s="2" t="s">
        <v>206</v>
      </c>
    </row>
    <row r="108" spans="1:16">
      <c r="A108" s="2" t="s">
        <v>280</v>
      </c>
      <c r="B108" s="2" t="s">
        <v>1</v>
      </c>
      <c r="C108" s="2" t="s">
        <v>2</v>
      </c>
      <c r="D108" s="2" t="s">
        <v>70</v>
      </c>
      <c r="E108" s="4" t="str">
        <f t="shared" si="1"/>
        <v>2343 - SCC AUTOMOTIVE ASSNS</v>
      </c>
      <c r="F108" s="2" t="s">
        <v>267</v>
      </c>
      <c r="J108" s="5" t="str">
        <f>IF(H108="",VLOOKUP(LEFT(F108,1),'Exp-Rev Categories'!A:B,2,FALSE),IF(ISNA(VLOOKUP(H108,'Exp-Rev Categories'!A:B,2,FALSE)),"Revenue",VLOOKUP(H108,'Exp-Rev Categories'!A:B,2,FALSE)))</f>
        <v>Exp-Travel</v>
      </c>
      <c r="K108" s="2">
        <v>0</v>
      </c>
      <c r="L108" s="3">
        <v>0</v>
      </c>
      <c r="M108" s="3">
        <v>0</v>
      </c>
      <c r="N108" s="3">
        <v>0</v>
      </c>
      <c r="O108" s="3">
        <v>0</v>
      </c>
      <c r="P108" s="2" t="s">
        <v>206</v>
      </c>
    </row>
    <row r="109" spans="1:16">
      <c r="A109" s="2" t="s">
        <v>280</v>
      </c>
      <c r="B109" s="2" t="s">
        <v>1</v>
      </c>
      <c r="C109" s="2" t="s">
        <v>2</v>
      </c>
      <c r="D109" s="2" t="s">
        <v>70</v>
      </c>
      <c r="E109" s="4" t="str">
        <f t="shared" si="1"/>
        <v>2343 - SCC AUTOMOTIVE ASSNS</v>
      </c>
      <c r="F109" s="2" t="s">
        <v>268</v>
      </c>
      <c r="J109" s="5" t="str">
        <f>IF(H109="",VLOOKUP(LEFT(F109,1),'Exp-Rev Categories'!A:B,2,FALSE),IF(ISNA(VLOOKUP(H109,'Exp-Rev Categories'!A:B,2,FALSE)),"Revenue",VLOOKUP(H109,'Exp-Rev Categories'!A:B,2,FALSE)))</f>
        <v>Exp-Equipment</v>
      </c>
      <c r="K109" s="2">
        <v>0</v>
      </c>
      <c r="L109" s="3">
        <v>0</v>
      </c>
      <c r="M109" s="3">
        <v>0</v>
      </c>
      <c r="N109" s="3">
        <v>0</v>
      </c>
      <c r="O109" s="3">
        <v>0</v>
      </c>
      <c r="P109" s="2" t="s">
        <v>206</v>
      </c>
    </row>
    <row r="110" spans="1:16">
      <c r="A110" s="2" t="s">
        <v>280</v>
      </c>
      <c r="B110" s="2" t="s">
        <v>1</v>
      </c>
      <c r="C110" s="2" t="s">
        <v>2</v>
      </c>
      <c r="D110" s="2" t="s">
        <v>70</v>
      </c>
      <c r="E110" s="4" t="str">
        <f t="shared" si="1"/>
        <v>2343 - SCC AUTOMOTIVE ASSNS</v>
      </c>
      <c r="F110" s="2" t="s">
        <v>61</v>
      </c>
      <c r="G110" s="2" t="s">
        <v>24</v>
      </c>
      <c r="J110" s="5" t="str">
        <f>IF(H110="",VLOOKUP(LEFT(F110,1),'Exp-Rev Categories'!A:B,2,FALSE),IF(ISNA(VLOOKUP(H110,'Exp-Rev Categories'!A:B,2,FALSE)),"Revenue",VLOOKUP(H110,'Exp-Rev Categories'!A:B,2,FALSE)))</f>
        <v>Exp-Equipment</v>
      </c>
      <c r="K110" s="2">
        <v>0</v>
      </c>
      <c r="L110" s="3">
        <v>325.01</v>
      </c>
      <c r="M110" s="3">
        <v>0</v>
      </c>
      <c r="N110" s="3">
        <v>-325.01</v>
      </c>
      <c r="O110" s="3">
        <v>0</v>
      </c>
      <c r="P110" s="2" t="s">
        <v>206</v>
      </c>
    </row>
    <row r="111" spans="1:16">
      <c r="A111" s="2" t="s">
        <v>280</v>
      </c>
      <c r="B111" s="2" t="s">
        <v>1</v>
      </c>
      <c r="C111" s="2" t="s">
        <v>2</v>
      </c>
      <c r="D111" s="2" t="s">
        <v>72</v>
      </c>
      <c r="E111" s="4" t="str">
        <f t="shared" si="1"/>
        <v>2345 - CULINARY ARTS CLUB</v>
      </c>
      <c r="H111" s="2" t="s">
        <v>51</v>
      </c>
      <c r="I111" s="2" t="s">
        <v>368</v>
      </c>
      <c r="J111" s="5" t="str">
        <f>IF(H111="",VLOOKUP(LEFT(F111,1),'Exp-Rev Categories'!A:B,2,FALSE),IF(ISNA(VLOOKUP(H111,'Exp-Rev Categories'!A:B,2,FALSE)),"Revenue",VLOOKUP(H111,'Exp-Rev Categories'!A:B,2,FALSE)))</f>
        <v>Revenue</v>
      </c>
      <c r="K111" s="2">
        <v>0</v>
      </c>
      <c r="L111" s="3">
        <v>0</v>
      </c>
      <c r="M111" s="3">
        <v>0</v>
      </c>
      <c r="N111" s="3">
        <v>0</v>
      </c>
      <c r="O111" s="3">
        <v>0</v>
      </c>
      <c r="P111" s="2" t="s">
        <v>207</v>
      </c>
    </row>
    <row r="112" spans="1:16">
      <c r="A112" s="2" t="s">
        <v>280</v>
      </c>
      <c r="B112" s="2" t="s">
        <v>1</v>
      </c>
      <c r="C112" s="2" t="s">
        <v>2</v>
      </c>
      <c r="D112" s="2" t="s">
        <v>72</v>
      </c>
      <c r="E112" s="4" t="str">
        <f t="shared" si="1"/>
        <v>2345 - CULINARY ARTS CLUB</v>
      </c>
      <c r="H112" s="2" t="s">
        <v>43</v>
      </c>
      <c r="J112" s="5" t="str">
        <f>IF(H112="",VLOOKUP(LEFT(F112,1),'Exp-Rev Categories'!A:B,2,FALSE),IF(ISNA(VLOOKUP(H112,'Exp-Rev Categories'!A:B,2,FALSE)),"Revenue",VLOOKUP(H112,'Exp-Rev Categories'!A:B,2,FALSE)))</f>
        <v>Rev-Intra-Fund Transfer</v>
      </c>
      <c r="K112" s="2">
        <v>0</v>
      </c>
      <c r="L112" s="3">
        <v>-132</v>
      </c>
      <c r="M112" s="3">
        <v>0</v>
      </c>
      <c r="N112" s="3">
        <v>132</v>
      </c>
      <c r="O112" s="3">
        <v>0</v>
      </c>
      <c r="P112" s="2" t="s">
        <v>207</v>
      </c>
    </row>
    <row r="113" spans="1:16">
      <c r="A113" s="2" t="s">
        <v>280</v>
      </c>
      <c r="B113" s="2" t="s">
        <v>1</v>
      </c>
      <c r="C113" s="2" t="s">
        <v>2</v>
      </c>
      <c r="D113" s="2" t="s">
        <v>72</v>
      </c>
      <c r="E113" s="4" t="str">
        <f t="shared" si="1"/>
        <v>2345 - CULINARY ARTS CLUB</v>
      </c>
      <c r="F113" s="2" t="s">
        <v>29</v>
      </c>
      <c r="J113" s="5" t="str">
        <f>IF(H113="",VLOOKUP(LEFT(F113,1),'Exp-Rev Categories'!A:B,2,FALSE),IF(ISNA(VLOOKUP(H113,'Exp-Rev Categories'!A:B,2,FALSE)),"Revenue",VLOOKUP(H113,'Exp-Rev Categories'!A:B,2,FALSE)))</f>
        <v>Exp-Goods &amp; Services</v>
      </c>
      <c r="K113" s="2">
        <v>6975</v>
      </c>
      <c r="L113" s="3">
        <v>0</v>
      </c>
      <c r="M113" s="3">
        <v>0</v>
      </c>
      <c r="N113" s="3">
        <v>6975</v>
      </c>
      <c r="O113" s="3">
        <v>0</v>
      </c>
      <c r="P113" s="2" t="s">
        <v>207</v>
      </c>
    </row>
    <row r="114" spans="1:16">
      <c r="A114" s="2" t="s">
        <v>280</v>
      </c>
      <c r="B114" s="2" t="s">
        <v>1</v>
      </c>
      <c r="C114" s="2" t="s">
        <v>2</v>
      </c>
      <c r="D114" s="2" t="s">
        <v>72</v>
      </c>
      <c r="E114" s="4" t="str">
        <f t="shared" si="1"/>
        <v>2345 - CULINARY ARTS CLUB</v>
      </c>
      <c r="F114" s="2" t="s">
        <v>54</v>
      </c>
      <c r="G114" s="2" t="s">
        <v>56</v>
      </c>
      <c r="J114" s="5" t="str">
        <f>IF(H114="",VLOOKUP(LEFT(F114,1),'Exp-Rev Categories'!A:B,2,FALSE),IF(ISNA(VLOOKUP(H114,'Exp-Rev Categories'!A:B,2,FALSE)),"Revenue",VLOOKUP(H114,'Exp-Rev Categories'!A:B,2,FALSE)))</f>
        <v>Exp-Goods &amp; Services</v>
      </c>
      <c r="K114" s="2">
        <v>0</v>
      </c>
      <c r="L114" s="3">
        <v>295</v>
      </c>
      <c r="M114" s="3">
        <v>0</v>
      </c>
      <c r="N114" s="3">
        <v>-295</v>
      </c>
      <c r="O114" s="3">
        <v>0</v>
      </c>
      <c r="P114" s="2" t="s">
        <v>207</v>
      </c>
    </row>
    <row r="115" spans="1:16">
      <c r="A115" s="2" t="s">
        <v>280</v>
      </c>
      <c r="B115" s="2" t="s">
        <v>1</v>
      </c>
      <c r="C115" s="2" t="s">
        <v>2</v>
      </c>
      <c r="D115" s="2" t="s">
        <v>72</v>
      </c>
      <c r="E115" s="4" t="str">
        <f t="shared" si="1"/>
        <v>2345 - CULINARY ARTS CLUB</v>
      </c>
      <c r="F115" s="2" t="s">
        <v>41</v>
      </c>
      <c r="G115" s="2" t="s">
        <v>24</v>
      </c>
      <c r="J115" s="5" t="str">
        <f>IF(H115="",VLOOKUP(LEFT(F115,1),'Exp-Rev Categories'!A:B,2,FALSE),IF(ISNA(VLOOKUP(H115,'Exp-Rev Categories'!A:B,2,FALSE)),"Revenue",VLOOKUP(H115,'Exp-Rev Categories'!A:B,2,FALSE)))</f>
        <v>Exp-Goods &amp; Services</v>
      </c>
      <c r="K115" s="2">
        <v>0</v>
      </c>
      <c r="L115" s="3">
        <v>-15</v>
      </c>
      <c r="M115" s="3">
        <v>0</v>
      </c>
      <c r="N115" s="3">
        <v>15</v>
      </c>
      <c r="O115" s="3">
        <v>0</v>
      </c>
      <c r="P115" s="2" t="s">
        <v>207</v>
      </c>
    </row>
    <row r="116" spans="1:16">
      <c r="A116" s="2" t="s">
        <v>280</v>
      </c>
      <c r="B116" s="2" t="s">
        <v>1</v>
      </c>
      <c r="C116" s="2" t="s">
        <v>2</v>
      </c>
      <c r="D116" s="2" t="s">
        <v>72</v>
      </c>
      <c r="E116" s="4" t="str">
        <f t="shared" si="1"/>
        <v>2345 - CULINARY ARTS CLUB</v>
      </c>
      <c r="F116" s="2" t="s">
        <v>267</v>
      </c>
      <c r="J116" s="5" t="str">
        <f>IF(H116="",VLOOKUP(LEFT(F116,1),'Exp-Rev Categories'!A:B,2,FALSE),IF(ISNA(VLOOKUP(H116,'Exp-Rev Categories'!A:B,2,FALSE)),"Revenue",VLOOKUP(H116,'Exp-Rev Categories'!A:B,2,FALSE)))</f>
        <v>Exp-Travel</v>
      </c>
      <c r="K116" s="2">
        <v>0</v>
      </c>
      <c r="L116" s="3">
        <v>0</v>
      </c>
      <c r="M116" s="3">
        <v>0</v>
      </c>
      <c r="N116" s="3">
        <v>0</v>
      </c>
      <c r="O116" s="3">
        <v>0</v>
      </c>
      <c r="P116" s="2" t="s">
        <v>207</v>
      </c>
    </row>
    <row r="117" spans="1:16">
      <c r="A117" s="2" t="s">
        <v>280</v>
      </c>
      <c r="B117" s="2" t="s">
        <v>1</v>
      </c>
      <c r="C117" s="2" t="s">
        <v>2</v>
      </c>
      <c r="D117" s="2" t="s">
        <v>73</v>
      </c>
      <c r="E117" s="4" t="str">
        <f t="shared" si="1"/>
        <v>2350 - LEGENDS</v>
      </c>
      <c r="F117" s="2" t="s">
        <v>190</v>
      </c>
      <c r="G117" s="2" t="s">
        <v>0</v>
      </c>
      <c r="J117" s="5" t="str">
        <f>IF(H117="",VLOOKUP(LEFT(F117,1),'Exp-Rev Categories'!A:B,2,FALSE),IF(ISNA(VLOOKUP(H117,'Exp-Rev Categories'!A:B,2,FALSE)),"Revenue",VLOOKUP(H117,'Exp-Rev Categories'!A:B,2,FALSE)))</f>
        <v>Exp-Salaries &amp; Wages</v>
      </c>
      <c r="K117" s="2">
        <v>0</v>
      </c>
      <c r="L117" s="3">
        <v>0</v>
      </c>
      <c r="M117" s="3">
        <v>0</v>
      </c>
      <c r="N117" s="3">
        <v>0</v>
      </c>
      <c r="O117" s="3">
        <v>0</v>
      </c>
      <c r="P117" s="2" t="s">
        <v>208</v>
      </c>
    </row>
    <row r="118" spans="1:16">
      <c r="A118" s="2" t="s">
        <v>280</v>
      </c>
      <c r="B118" s="2" t="s">
        <v>1</v>
      </c>
      <c r="C118" s="2" t="s">
        <v>2</v>
      </c>
      <c r="D118" s="2" t="s">
        <v>73</v>
      </c>
      <c r="E118" s="4" t="str">
        <f t="shared" si="1"/>
        <v>2350 - LEGENDS</v>
      </c>
      <c r="F118" s="2" t="s">
        <v>265</v>
      </c>
      <c r="J118" s="5" t="str">
        <f>IF(H118="",VLOOKUP(LEFT(F118,1),'Exp-Rev Categories'!A:B,2,FALSE),IF(ISNA(VLOOKUP(H118,'Exp-Rev Categories'!A:B,2,FALSE)),"Revenue",VLOOKUP(H118,'Exp-Rev Categories'!A:B,2,FALSE)))</f>
        <v>Exp-Benefits</v>
      </c>
      <c r="K118" s="2">
        <v>0</v>
      </c>
      <c r="L118" s="3">
        <v>0</v>
      </c>
      <c r="M118" s="3">
        <v>0</v>
      </c>
      <c r="N118" s="3">
        <v>0</v>
      </c>
      <c r="O118" s="3">
        <v>0</v>
      </c>
      <c r="P118" s="2" t="s">
        <v>208</v>
      </c>
    </row>
    <row r="119" spans="1:16">
      <c r="A119" s="2" t="s">
        <v>280</v>
      </c>
      <c r="B119" s="2" t="s">
        <v>1</v>
      </c>
      <c r="C119" s="2" t="s">
        <v>2</v>
      </c>
      <c r="D119" s="2" t="s">
        <v>73</v>
      </c>
      <c r="E119" s="4" t="str">
        <f t="shared" si="1"/>
        <v>2350 - LEGENDS</v>
      </c>
      <c r="F119" s="2" t="s">
        <v>29</v>
      </c>
      <c r="J119" s="5" t="str">
        <f>IF(H119="",VLOOKUP(LEFT(F119,1),'Exp-Rev Categories'!A:B,2,FALSE),IF(ISNA(VLOOKUP(H119,'Exp-Rev Categories'!A:B,2,FALSE)),"Revenue",VLOOKUP(H119,'Exp-Rev Categories'!A:B,2,FALSE)))</f>
        <v>Exp-Goods &amp; Services</v>
      </c>
      <c r="K119" s="2">
        <v>10000</v>
      </c>
      <c r="L119" s="3">
        <v>0</v>
      </c>
      <c r="M119" s="3">
        <v>0</v>
      </c>
      <c r="N119" s="3">
        <v>10000</v>
      </c>
      <c r="O119" s="3">
        <v>0</v>
      </c>
      <c r="P119" s="2" t="s">
        <v>208</v>
      </c>
    </row>
    <row r="120" spans="1:16">
      <c r="A120" s="2" t="s">
        <v>280</v>
      </c>
      <c r="B120" s="2" t="s">
        <v>1</v>
      </c>
      <c r="C120" s="2" t="s">
        <v>2</v>
      </c>
      <c r="D120" s="2" t="s">
        <v>73</v>
      </c>
      <c r="E120" s="4" t="str">
        <f t="shared" si="1"/>
        <v>2350 - LEGENDS</v>
      </c>
      <c r="F120" s="2" t="s">
        <v>23</v>
      </c>
      <c r="G120" s="2" t="s">
        <v>24</v>
      </c>
      <c r="J120" s="5" t="str">
        <f>IF(H120="",VLOOKUP(LEFT(F120,1),'Exp-Rev Categories'!A:B,2,FALSE),IF(ISNA(VLOOKUP(H120,'Exp-Rev Categories'!A:B,2,FALSE)),"Revenue",VLOOKUP(H120,'Exp-Rev Categories'!A:B,2,FALSE)))</f>
        <v>Exp-Goods &amp; Services</v>
      </c>
      <c r="K120" s="2">
        <v>0</v>
      </c>
      <c r="L120" s="3">
        <v>218.69</v>
      </c>
      <c r="M120" s="3">
        <v>0</v>
      </c>
      <c r="N120" s="3">
        <v>-218.69</v>
      </c>
      <c r="O120" s="3">
        <v>0</v>
      </c>
      <c r="P120" s="2" t="s">
        <v>208</v>
      </c>
    </row>
    <row r="121" spans="1:16">
      <c r="A121" s="2" t="s">
        <v>280</v>
      </c>
      <c r="B121" s="2" t="s">
        <v>1</v>
      </c>
      <c r="C121" s="2" t="s">
        <v>2</v>
      </c>
      <c r="D121" s="2" t="s">
        <v>73</v>
      </c>
      <c r="E121" s="4" t="str">
        <f t="shared" si="1"/>
        <v>2350 - LEGENDS</v>
      </c>
      <c r="F121" s="2" t="s">
        <v>74</v>
      </c>
      <c r="G121" s="2" t="s">
        <v>24</v>
      </c>
      <c r="J121" s="5" t="str">
        <f>IF(H121="",VLOOKUP(LEFT(F121,1),'Exp-Rev Categories'!A:B,2,FALSE),IF(ISNA(VLOOKUP(H121,'Exp-Rev Categories'!A:B,2,FALSE)),"Revenue",VLOOKUP(H121,'Exp-Rev Categories'!A:B,2,FALSE)))</f>
        <v>Exp-Goods &amp; Services</v>
      </c>
      <c r="K121" s="2">
        <v>0</v>
      </c>
      <c r="L121" s="3">
        <v>4486.05</v>
      </c>
      <c r="M121" s="3">
        <v>0</v>
      </c>
      <c r="N121" s="3">
        <v>-4486.05</v>
      </c>
      <c r="O121" s="3">
        <v>0</v>
      </c>
      <c r="P121" s="2" t="s">
        <v>208</v>
      </c>
    </row>
    <row r="122" spans="1:16">
      <c r="A122" s="2" t="s">
        <v>280</v>
      </c>
      <c r="B122" s="2" t="s">
        <v>1</v>
      </c>
      <c r="C122" s="2" t="s">
        <v>2</v>
      </c>
      <c r="D122" s="2" t="s">
        <v>73</v>
      </c>
      <c r="E122" s="4" t="str">
        <f t="shared" si="1"/>
        <v>2350 - LEGENDS</v>
      </c>
      <c r="F122" s="2" t="s">
        <v>74</v>
      </c>
      <c r="G122" s="2" t="s">
        <v>7</v>
      </c>
      <c r="J122" s="5" t="str">
        <f>IF(H122="",VLOOKUP(LEFT(F122,1),'Exp-Rev Categories'!A:B,2,FALSE),IF(ISNA(VLOOKUP(H122,'Exp-Rev Categories'!A:B,2,FALSE)),"Revenue",VLOOKUP(H122,'Exp-Rev Categories'!A:B,2,FALSE)))</f>
        <v>Exp-Goods &amp; Services</v>
      </c>
      <c r="K122" s="2">
        <v>0</v>
      </c>
      <c r="L122" s="3">
        <v>1.93</v>
      </c>
      <c r="M122" s="3">
        <v>0</v>
      </c>
      <c r="N122" s="3">
        <v>-1.93</v>
      </c>
      <c r="O122" s="3">
        <v>0</v>
      </c>
      <c r="P122" s="2" t="s">
        <v>208</v>
      </c>
    </row>
    <row r="123" spans="1:16">
      <c r="A123" s="2" t="s">
        <v>280</v>
      </c>
      <c r="B123" s="2" t="s">
        <v>1</v>
      </c>
      <c r="C123" s="2" t="s">
        <v>2</v>
      </c>
      <c r="D123" s="2" t="s">
        <v>73</v>
      </c>
      <c r="E123" s="4" t="str">
        <f t="shared" si="1"/>
        <v>2350 - LEGENDS</v>
      </c>
      <c r="F123" s="2" t="s">
        <v>41</v>
      </c>
      <c r="G123" s="2" t="s">
        <v>24</v>
      </c>
      <c r="J123" s="5" t="str">
        <f>IF(H123="",VLOOKUP(LEFT(F123,1),'Exp-Rev Categories'!A:B,2,FALSE),IF(ISNA(VLOOKUP(H123,'Exp-Rev Categories'!A:B,2,FALSE)),"Revenue",VLOOKUP(H123,'Exp-Rev Categories'!A:B,2,FALSE)))</f>
        <v>Exp-Goods &amp; Services</v>
      </c>
      <c r="K123" s="2">
        <v>0</v>
      </c>
      <c r="L123" s="3">
        <v>150</v>
      </c>
      <c r="M123" s="3">
        <v>0</v>
      </c>
      <c r="N123" s="3">
        <v>-150</v>
      </c>
      <c r="O123" s="3">
        <v>0</v>
      </c>
      <c r="P123" s="2" t="s">
        <v>208</v>
      </c>
    </row>
    <row r="124" spans="1:16">
      <c r="A124" s="2" t="s">
        <v>280</v>
      </c>
      <c r="B124" s="2" t="s">
        <v>1</v>
      </c>
      <c r="C124" s="2" t="s">
        <v>2</v>
      </c>
      <c r="D124" s="2" t="s">
        <v>73</v>
      </c>
      <c r="E124" s="4" t="str">
        <f t="shared" si="1"/>
        <v>2350 - LEGENDS</v>
      </c>
      <c r="F124" s="2" t="s">
        <v>41</v>
      </c>
      <c r="G124" s="2" t="s">
        <v>66</v>
      </c>
      <c r="J124" s="5" t="str">
        <f>IF(H124="",VLOOKUP(LEFT(F124,1),'Exp-Rev Categories'!A:B,2,FALSE),IF(ISNA(VLOOKUP(H124,'Exp-Rev Categories'!A:B,2,FALSE)),"Revenue",VLOOKUP(H124,'Exp-Rev Categories'!A:B,2,FALSE)))</f>
        <v>Exp-Goods &amp; Services</v>
      </c>
      <c r="K124" s="2">
        <v>0</v>
      </c>
      <c r="L124" s="3">
        <v>162.56</v>
      </c>
      <c r="M124" s="3">
        <v>0</v>
      </c>
      <c r="N124" s="3">
        <v>-162.56</v>
      </c>
      <c r="O124" s="3">
        <v>0</v>
      </c>
      <c r="P124" s="2" t="s">
        <v>208</v>
      </c>
    </row>
    <row r="125" spans="1:16">
      <c r="A125" s="2" t="s">
        <v>280</v>
      </c>
      <c r="B125" s="2" t="s">
        <v>1</v>
      </c>
      <c r="C125" s="2" t="s">
        <v>2</v>
      </c>
      <c r="D125" s="2" t="s">
        <v>73</v>
      </c>
      <c r="E125" s="4" t="str">
        <f t="shared" si="1"/>
        <v>2350 - LEGENDS</v>
      </c>
      <c r="F125" s="2" t="s">
        <v>41</v>
      </c>
      <c r="G125" s="2" t="s">
        <v>7</v>
      </c>
      <c r="J125" s="5" t="str">
        <f>IF(H125="",VLOOKUP(LEFT(F125,1),'Exp-Rev Categories'!A:B,2,FALSE),IF(ISNA(VLOOKUP(H125,'Exp-Rev Categories'!A:B,2,FALSE)),"Revenue",VLOOKUP(H125,'Exp-Rev Categories'!A:B,2,FALSE)))</f>
        <v>Exp-Goods &amp; Services</v>
      </c>
      <c r="K125" s="2">
        <v>0</v>
      </c>
      <c r="L125" s="3">
        <v>775.64</v>
      </c>
      <c r="M125" s="3">
        <v>0</v>
      </c>
      <c r="N125" s="3">
        <v>-775.64</v>
      </c>
      <c r="O125" s="3">
        <v>0</v>
      </c>
      <c r="P125" s="2" t="s">
        <v>208</v>
      </c>
    </row>
    <row r="126" spans="1:16">
      <c r="A126" s="2" t="s">
        <v>280</v>
      </c>
      <c r="B126" s="2" t="s">
        <v>1</v>
      </c>
      <c r="C126" s="2" t="s">
        <v>2</v>
      </c>
      <c r="D126" s="2" t="s">
        <v>73</v>
      </c>
      <c r="E126" s="4" t="str">
        <f t="shared" si="1"/>
        <v>2350 - LEGENDS</v>
      </c>
      <c r="F126" s="2" t="s">
        <v>268</v>
      </c>
      <c r="J126" s="5" t="str">
        <f>IF(H126="",VLOOKUP(LEFT(F126,1),'Exp-Rev Categories'!A:B,2,FALSE),IF(ISNA(VLOOKUP(H126,'Exp-Rev Categories'!A:B,2,FALSE)),"Revenue",VLOOKUP(H126,'Exp-Rev Categories'!A:B,2,FALSE)))</f>
        <v>Exp-Equipment</v>
      </c>
      <c r="K126" s="2">
        <v>0</v>
      </c>
      <c r="L126" s="3">
        <v>0</v>
      </c>
      <c r="M126" s="3">
        <v>0</v>
      </c>
      <c r="N126" s="3">
        <v>0</v>
      </c>
      <c r="O126" s="3">
        <v>0</v>
      </c>
      <c r="P126" s="2" t="s">
        <v>208</v>
      </c>
    </row>
    <row r="127" spans="1:16">
      <c r="A127" s="2" t="s">
        <v>280</v>
      </c>
      <c r="B127" s="2" t="s">
        <v>1</v>
      </c>
      <c r="C127" s="2" t="s">
        <v>2</v>
      </c>
      <c r="D127" s="2" t="s">
        <v>73</v>
      </c>
      <c r="E127" s="4" t="str">
        <f t="shared" si="1"/>
        <v>2350 - LEGENDS</v>
      </c>
      <c r="F127" s="2" t="s">
        <v>61</v>
      </c>
      <c r="G127" s="2" t="s">
        <v>24</v>
      </c>
      <c r="J127" s="5" t="str">
        <f>IF(H127="",VLOOKUP(LEFT(F127,1),'Exp-Rev Categories'!A:B,2,FALSE),IF(ISNA(VLOOKUP(H127,'Exp-Rev Categories'!A:B,2,FALSE)),"Revenue",VLOOKUP(H127,'Exp-Rev Categories'!A:B,2,FALSE)))</f>
        <v>Exp-Equipment</v>
      </c>
      <c r="K127" s="2">
        <v>0</v>
      </c>
      <c r="L127" s="3">
        <v>4093.97</v>
      </c>
      <c r="M127" s="3">
        <v>0</v>
      </c>
      <c r="N127" s="3">
        <v>-4093.97</v>
      </c>
      <c r="O127" s="3">
        <v>0</v>
      </c>
      <c r="P127" s="2" t="s">
        <v>208</v>
      </c>
    </row>
    <row r="128" spans="1:16">
      <c r="A128" s="2" t="s">
        <v>280</v>
      </c>
      <c r="B128" s="2" t="s">
        <v>1</v>
      </c>
      <c r="C128" s="2" t="s">
        <v>2</v>
      </c>
      <c r="D128" s="2" t="s">
        <v>73</v>
      </c>
      <c r="E128" s="4" t="str">
        <f t="shared" si="1"/>
        <v>2350 - LEGENDS</v>
      </c>
      <c r="F128" s="2" t="s">
        <v>117</v>
      </c>
      <c r="J128" s="5" t="str">
        <f>IF(H128="",VLOOKUP(LEFT(F128,1),'Exp-Rev Categories'!A:B,2,FALSE),IF(ISNA(VLOOKUP(H128,'Exp-Rev Categories'!A:B,2,FALSE)),"Revenue",VLOOKUP(H128,'Exp-Rev Categories'!A:B,2,FALSE)))</f>
        <v>Exp-Grants/Scholarships</v>
      </c>
      <c r="K128" s="2">
        <v>0</v>
      </c>
      <c r="L128" s="3">
        <v>0</v>
      </c>
      <c r="M128" s="3">
        <v>0</v>
      </c>
      <c r="N128" s="3">
        <v>0</v>
      </c>
      <c r="O128" s="3">
        <v>0</v>
      </c>
      <c r="P128" s="2" t="s">
        <v>208</v>
      </c>
    </row>
    <row r="129" spans="1:16">
      <c r="A129" s="2" t="s">
        <v>280</v>
      </c>
      <c r="B129" s="2" t="s">
        <v>1</v>
      </c>
      <c r="C129" s="2" t="s">
        <v>2</v>
      </c>
      <c r="D129" s="2" t="s">
        <v>75</v>
      </c>
      <c r="E129" s="4" t="str">
        <f t="shared" si="1"/>
        <v>2353 - AGRICULTURE</v>
      </c>
      <c r="H129" s="2" t="s">
        <v>51</v>
      </c>
      <c r="I129" s="2" t="s">
        <v>76</v>
      </c>
      <c r="J129" s="5" t="str">
        <f>IF(H129="",VLOOKUP(LEFT(F129,1),'Exp-Rev Categories'!A:B,2,FALSE),IF(ISNA(VLOOKUP(H129,'Exp-Rev Categories'!A:B,2,FALSE)),"Revenue",VLOOKUP(H129,'Exp-Rev Categories'!A:B,2,FALSE)))</f>
        <v>Revenue</v>
      </c>
      <c r="K129" s="2">
        <v>0</v>
      </c>
      <c r="L129" s="3">
        <v>-4231.71</v>
      </c>
      <c r="M129" s="3">
        <v>0</v>
      </c>
      <c r="N129" s="3">
        <v>4231.71</v>
      </c>
      <c r="O129" s="3">
        <v>0</v>
      </c>
      <c r="P129" s="2" t="s">
        <v>209</v>
      </c>
    </row>
    <row r="130" spans="1:16">
      <c r="A130" s="2" t="s">
        <v>280</v>
      </c>
      <c r="B130" s="2" t="s">
        <v>1</v>
      </c>
      <c r="C130" s="2" t="s">
        <v>2</v>
      </c>
      <c r="D130" s="2" t="s">
        <v>75</v>
      </c>
      <c r="E130" s="4" t="str">
        <f t="shared" ref="E130:E193" si="2">D130&amp;" - "&amp;P130</f>
        <v>2353 - AGRICULTURE</v>
      </c>
      <c r="H130" s="2" t="s">
        <v>43</v>
      </c>
      <c r="J130" s="5" t="str">
        <f>IF(H130="",VLOOKUP(LEFT(F130,1),'Exp-Rev Categories'!A:B,2,FALSE),IF(ISNA(VLOOKUP(H130,'Exp-Rev Categories'!A:B,2,FALSE)),"Revenue",VLOOKUP(H130,'Exp-Rev Categories'!A:B,2,FALSE)))</f>
        <v>Rev-Intra-Fund Transfer</v>
      </c>
      <c r="K130" s="2">
        <v>0</v>
      </c>
      <c r="L130" s="3">
        <v>-5592.75</v>
      </c>
      <c r="M130" s="3">
        <v>0</v>
      </c>
      <c r="N130" s="3">
        <v>5592.75</v>
      </c>
      <c r="O130" s="3">
        <v>0</v>
      </c>
      <c r="P130" s="2" t="s">
        <v>209</v>
      </c>
    </row>
    <row r="131" spans="1:16">
      <c r="A131" s="2" t="s">
        <v>280</v>
      </c>
      <c r="B131" s="2" t="s">
        <v>1</v>
      </c>
      <c r="C131" s="2" t="s">
        <v>2</v>
      </c>
      <c r="D131" s="2" t="s">
        <v>75</v>
      </c>
      <c r="E131" s="4" t="str">
        <f t="shared" si="2"/>
        <v>2353 - AGRICULTURE</v>
      </c>
      <c r="F131" s="2" t="s">
        <v>29</v>
      </c>
      <c r="J131" s="5" t="str">
        <f>IF(H131="",VLOOKUP(LEFT(F131,1),'Exp-Rev Categories'!A:B,2,FALSE),IF(ISNA(VLOOKUP(H131,'Exp-Rev Categories'!A:B,2,FALSE)),"Revenue",VLOOKUP(H131,'Exp-Rev Categories'!A:B,2,FALSE)))</f>
        <v>Exp-Goods &amp; Services</v>
      </c>
      <c r="K131" s="2">
        <v>23588</v>
      </c>
      <c r="L131" s="3">
        <v>0</v>
      </c>
      <c r="M131" s="3">
        <v>0</v>
      </c>
      <c r="N131" s="3">
        <v>23588</v>
      </c>
      <c r="O131" s="3">
        <v>0</v>
      </c>
      <c r="P131" s="2" t="s">
        <v>209</v>
      </c>
    </row>
    <row r="132" spans="1:16">
      <c r="A132" s="2" t="s">
        <v>280</v>
      </c>
      <c r="B132" s="2" t="s">
        <v>1</v>
      </c>
      <c r="C132" s="2" t="s">
        <v>2</v>
      </c>
      <c r="D132" s="2" t="s">
        <v>75</v>
      </c>
      <c r="E132" s="4" t="str">
        <f t="shared" si="2"/>
        <v>2353 - AGRICULTURE</v>
      </c>
      <c r="F132" s="2" t="s">
        <v>23</v>
      </c>
      <c r="G132" s="2" t="s">
        <v>24</v>
      </c>
      <c r="J132" s="5" t="str">
        <f>IF(H132="",VLOOKUP(LEFT(F132,1),'Exp-Rev Categories'!A:B,2,FALSE),IF(ISNA(VLOOKUP(H132,'Exp-Rev Categories'!A:B,2,FALSE)),"Revenue",VLOOKUP(H132,'Exp-Rev Categories'!A:B,2,FALSE)))</f>
        <v>Exp-Goods &amp; Services</v>
      </c>
      <c r="K132" s="2">
        <v>0</v>
      </c>
      <c r="L132" s="3">
        <v>2273.9899999999998</v>
      </c>
      <c r="M132" s="3">
        <v>0</v>
      </c>
      <c r="N132" s="3">
        <v>-2273.9899999999998</v>
      </c>
      <c r="O132" s="3">
        <v>0</v>
      </c>
      <c r="P132" s="2" t="s">
        <v>209</v>
      </c>
    </row>
    <row r="133" spans="1:16">
      <c r="A133" s="2" t="s">
        <v>280</v>
      </c>
      <c r="B133" s="2" t="s">
        <v>1</v>
      </c>
      <c r="C133" s="2" t="s">
        <v>2</v>
      </c>
      <c r="D133" s="2" t="s">
        <v>75</v>
      </c>
      <c r="E133" s="4" t="str">
        <f t="shared" si="2"/>
        <v>2353 - AGRICULTURE</v>
      </c>
      <c r="F133" s="2" t="s">
        <v>23</v>
      </c>
      <c r="G133" s="2" t="s">
        <v>77</v>
      </c>
      <c r="J133" s="5" t="str">
        <f>IF(H133="",VLOOKUP(LEFT(F133,1),'Exp-Rev Categories'!A:B,2,FALSE),IF(ISNA(VLOOKUP(H133,'Exp-Rev Categories'!A:B,2,FALSE)),"Revenue",VLOOKUP(H133,'Exp-Rev Categories'!A:B,2,FALSE)))</f>
        <v>Exp-Goods &amp; Services</v>
      </c>
      <c r="K133" s="2">
        <v>0</v>
      </c>
      <c r="L133" s="3">
        <v>3.4</v>
      </c>
      <c r="M133" s="3">
        <v>0</v>
      </c>
      <c r="N133" s="3">
        <v>-3.4</v>
      </c>
      <c r="O133" s="3">
        <v>0</v>
      </c>
      <c r="P133" s="2" t="s">
        <v>209</v>
      </c>
    </row>
    <row r="134" spans="1:16">
      <c r="A134" s="2" t="s">
        <v>280</v>
      </c>
      <c r="B134" s="2" t="s">
        <v>1</v>
      </c>
      <c r="C134" s="2" t="s">
        <v>2</v>
      </c>
      <c r="D134" s="2" t="s">
        <v>75</v>
      </c>
      <c r="E134" s="4" t="str">
        <f t="shared" si="2"/>
        <v>2353 - AGRICULTURE</v>
      </c>
      <c r="F134" s="2" t="s">
        <v>78</v>
      </c>
      <c r="G134" s="2" t="s">
        <v>24</v>
      </c>
      <c r="J134" s="5" t="str">
        <f>IF(H134="",VLOOKUP(LEFT(F134,1),'Exp-Rev Categories'!A:B,2,FALSE),IF(ISNA(VLOOKUP(H134,'Exp-Rev Categories'!A:B,2,FALSE)),"Revenue",VLOOKUP(H134,'Exp-Rev Categories'!A:B,2,FALSE)))</f>
        <v>Exp-Goods &amp; Services</v>
      </c>
      <c r="K134" s="2">
        <v>0</v>
      </c>
      <c r="L134" s="3">
        <v>808.55</v>
      </c>
      <c r="M134" s="3">
        <v>0</v>
      </c>
      <c r="N134" s="3">
        <v>-808.55</v>
      </c>
      <c r="O134" s="3">
        <v>0</v>
      </c>
      <c r="P134" s="2" t="s">
        <v>209</v>
      </c>
    </row>
    <row r="135" spans="1:16">
      <c r="A135" s="2" t="s">
        <v>280</v>
      </c>
      <c r="B135" s="2" t="s">
        <v>1</v>
      </c>
      <c r="C135" s="2" t="s">
        <v>2</v>
      </c>
      <c r="D135" s="2" t="s">
        <v>75</v>
      </c>
      <c r="E135" s="4" t="str">
        <f t="shared" si="2"/>
        <v>2353 - AGRICULTURE</v>
      </c>
      <c r="F135" s="2" t="s">
        <v>54</v>
      </c>
      <c r="G135" s="2" t="s">
        <v>55</v>
      </c>
      <c r="J135" s="5" t="str">
        <f>IF(H135="",VLOOKUP(LEFT(F135,1),'Exp-Rev Categories'!A:B,2,FALSE),IF(ISNA(VLOOKUP(H135,'Exp-Rev Categories'!A:B,2,FALSE)),"Revenue",VLOOKUP(H135,'Exp-Rev Categories'!A:B,2,FALSE)))</f>
        <v>Exp-Goods &amp; Services</v>
      </c>
      <c r="K135" s="2">
        <v>0</v>
      </c>
      <c r="L135" s="3">
        <v>150</v>
      </c>
      <c r="M135" s="3">
        <v>0</v>
      </c>
      <c r="N135" s="3">
        <v>-150</v>
      </c>
      <c r="O135" s="3">
        <v>0</v>
      </c>
      <c r="P135" s="2" t="s">
        <v>209</v>
      </c>
    </row>
    <row r="136" spans="1:16">
      <c r="A136" s="2" t="s">
        <v>280</v>
      </c>
      <c r="B136" s="2" t="s">
        <v>1</v>
      </c>
      <c r="C136" s="2" t="s">
        <v>2</v>
      </c>
      <c r="D136" s="2" t="s">
        <v>75</v>
      </c>
      <c r="E136" s="4" t="str">
        <f t="shared" si="2"/>
        <v>2353 - AGRICULTURE</v>
      </c>
      <c r="F136" s="2" t="s">
        <v>54</v>
      </c>
      <c r="G136" s="2" t="s">
        <v>56</v>
      </c>
      <c r="J136" s="5" t="str">
        <f>IF(H136="",VLOOKUP(LEFT(F136,1),'Exp-Rev Categories'!A:B,2,FALSE),IF(ISNA(VLOOKUP(H136,'Exp-Rev Categories'!A:B,2,FALSE)),"Revenue",VLOOKUP(H136,'Exp-Rev Categories'!A:B,2,FALSE)))</f>
        <v>Exp-Goods &amp; Services</v>
      </c>
      <c r="K136" s="2">
        <v>0</v>
      </c>
      <c r="L136" s="3">
        <v>3390</v>
      </c>
      <c r="M136" s="3">
        <v>0</v>
      </c>
      <c r="N136" s="3">
        <v>-3390</v>
      </c>
      <c r="O136" s="3">
        <v>0</v>
      </c>
      <c r="P136" s="2" t="s">
        <v>209</v>
      </c>
    </row>
    <row r="137" spans="1:16">
      <c r="A137" s="2" t="s">
        <v>280</v>
      </c>
      <c r="B137" s="2" t="s">
        <v>1</v>
      </c>
      <c r="C137" s="2" t="s">
        <v>2</v>
      </c>
      <c r="D137" s="2" t="s">
        <v>75</v>
      </c>
      <c r="E137" s="4" t="str">
        <f t="shared" si="2"/>
        <v>2353 - AGRICULTURE</v>
      </c>
      <c r="F137" s="2" t="s">
        <v>79</v>
      </c>
      <c r="G137" s="2" t="s">
        <v>66</v>
      </c>
      <c r="J137" s="5" t="str">
        <f>IF(H137="",VLOOKUP(LEFT(F137,1),'Exp-Rev Categories'!A:B,2,FALSE),IF(ISNA(VLOOKUP(H137,'Exp-Rev Categories'!A:B,2,FALSE)),"Revenue",VLOOKUP(H137,'Exp-Rev Categories'!A:B,2,FALSE)))</f>
        <v>Exp-Goods &amp; Services</v>
      </c>
      <c r="K137" s="2">
        <v>0</v>
      </c>
      <c r="L137" s="3">
        <v>184.79</v>
      </c>
      <c r="M137" s="3">
        <v>0</v>
      </c>
      <c r="N137" s="3">
        <v>-184.79</v>
      </c>
      <c r="O137" s="3">
        <v>0</v>
      </c>
      <c r="P137" s="2" t="s">
        <v>209</v>
      </c>
    </row>
    <row r="138" spans="1:16">
      <c r="A138" s="2" t="s">
        <v>280</v>
      </c>
      <c r="B138" s="2" t="s">
        <v>1</v>
      </c>
      <c r="C138" s="2" t="s">
        <v>2</v>
      </c>
      <c r="D138" s="2" t="s">
        <v>75</v>
      </c>
      <c r="E138" s="4" t="str">
        <f t="shared" si="2"/>
        <v>2353 - AGRICULTURE</v>
      </c>
      <c r="F138" s="2" t="s">
        <v>41</v>
      </c>
      <c r="G138" s="2" t="s">
        <v>24</v>
      </c>
      <c r="J138" s="5" t="str">
        <f>IF(H138="",VLOOKUP(LEFT(F138,1),'Exp-Rev Categories'!A:B,2,FALSE),IF(ISNA(VLOOKUP(H138,'Exp-Rev Categories'!A:B,2,FALSE)),"Revenue",VLOOKUP(H138,'Exp-Rev Categories'!A:B,2,FALSE)))</f>
        <v>Exp-Goods &amp; Services</v>
      </c>
      <c r="K138" s="2">
        <v>0</v>
      </c>
      <c r="L138" s="3">
        <v>277.72000000000003</v>
      </c>
      <c r="M138" s="3">
        <v>0</v>
      </c>
      <c r="N138" s="3">
        <v>-277.72000000000003</v>
      </c>
      <c r="O138" s="3">
        <v>0</v>
      </c>
      <c r="P138" s="2" t="s">
        <v>209</v>
      </c>
    </row>
    <row r="139" spans="1:16">
      <c r="A139" s="2" t="s">
        <v>280</v>
      </c>
      <c r="B139" s="2" t="s">
        <v>1</v>
      </c>
      <c r="C139" s="2" t="s">
        <v>2</v>
      </c>
      <c r="D139" s="2" t="s">
        <v>75</v>
      </c>
      <c r="E139" s="4" t="str">
        <f t="shared" si="2"/>
        <v>2353 - AGRICULTURE</v>
      </c>
      <c r="F139" s="2" t="s">
        <v>41</v>
      </c>
      <c r="G139" s="2" t="s">
        <v>66</v>
      </c>
      <c r="J139" s="5" t="str">
        <f>IF(H139="",VLOOKUP(LEFT(F139,1),'Exp-Rev Categories'!A:B,2,FALSE),IF(ISNA(VLOOKUP(H139,'Exp-Rev Categories'!A:B,2,FALSE)),"Revenue",VLOOKUP(H139,'Exp-Rev Categories'!A:B,2,FALSE)))</f>
        <v>Exp-Goods &amp; Services</v>
      </c>
      <c r="K139" s="2">
        <v>0</v>
      </c>
      <c r="L139" s="3">
        <v>186.32</v>
      </c>
      <c r="M139" s="3">
        <v>0</v>
      </c>
      <c r="N139" s="3">
        <v>-186.32</v>
      </c>
      <c r="O139" s="3">
        <v>0</v>
      </c>
      <c r="P139" s="2" t="s">
        <v>209</v>
      </c>
    </row>
    <row r="140" spans="1:16">
      <c r="A140" s="2" t="s">
        <v>280</v>
      </c>
      <c r="B140" s="2" t="s">
        <v>1</v>
      </c>
      <c r="C140" s="2" t="s">
        <v>2</v>
      </c>
      <c r="D140" s="2" t="s">
        <v>75</v>
      </c>
      <c r="E140" s="4" t="str">
        <f t="shared" si="2"/>
        <v>2353 - AGRICULTURE</v>
      </c>
      <c r="F140" s="2" t="s">
        <v>41</v>
      </c>
      <c r="G140" s="2" t="s">
        <v>7</v>
      </c>
      <c r="J140" s="5" t="str">
        <f>IF(H140="",VLOOKUP(LEFT(F140,1),'Exp-Rev Categories'!A:B,2,FALSE),IF(ISNA(VLOOKUP(H140,'Exp-Rev Categories'!A:B,2,FALSE)),"Revenue",VLOOKUP(H140,'Exp-Rev Categories'!A:B,2,FALSE)))</f>
        <v>Exp-Goods &amp; Services</v>
      </c>
      <c r="K140" s="2">
        <v>0</v>
      </c>
      <c r="L140" s="3">
        <v>945.62</v>
      </c>
      <c r="M140" s="3">
        <v>0</v>
      </c>
      <c r="N140" s="3">
        <v>-945.62</v>
      </c>
      <c r="O140" s="3">
        <v>0</v>
      </c>
      <c r="P140" s="2" t="s">
        <v>209</v>
      </c>
    </row>
    <row r="141" spans="1:16">
      <c r="A141" s="2" t="s">
        <v>280</v>
      </c>
      <c r="B141" s="2" t="s">
        <v>1</v>
      </c>
      <c r="C141" s="2" t="s">
        <v>2</v>
      </c>
      <c r="D141" s="2" t="s">
        <v>75</v>
      </c>
      <c r="E141" s="4" t="str">
        <f t="shared" si="2"/>
        <v>2353 - AGRICULTURE</v>
      </c>
      <c r="F141" s="2" t="s">
        <v>267</v>
      </c>
      <c r="J141" s="5" t="str">
        <f>IF(H141="",VLOOKUP(LEFT(F141,1),'Exp-Rev Categories'!A:B,2,FALSE),IF(ISNA(VLOOKUP(H141,'Exp-Rev Categories'!A:B,2,FALSE)),"Revenue",VLOOKUP(H141,'Exp-Rev Categories'!A:B,2,FALSE)))</f>
        <v>Exp-Travel</v>
      </c>
      <c r="K141" s="2">
        <v>0</v>
      </c>
      <c r="L141" s="3">
        <v>0</v>
      </c>
      <c r="M141" s="3">
        <v>0</v>
      </c>
      <c r="N141" s="3">
        <v>0</v>
      </c>
      <c r="O141" s="3">
        <v>0</v>
      </c>
      <c r="P141" s="2" t="s">
        <v>209</v>
      </c>
    </row>
    <row r="142" spans="1:16">
      <c r="A142" s="2" t="s">
        <v>280</v>
      </c>
      <c r="B142" s="2" t="s">
        <v>1</v>
      </c>
      <c r="C142" s="2" t="s">
        <v>2</v>
      </c>
      <c r="D142" s="2" t="s">
        <v>75</v>
      </c>
      <c r="E142" s="4" t="str">
        <f t="shared" si="2"/>
        <v>2353 - AGRICULTURE</v>
      </c>
      <c r="F142" s="2" t="s">
        <v>67</v>
      </c>
      <c r="G142" s="2" t="s">
        <v>24</v>
      </c>
      <c r="J142" s="5" t="str">
        <f>IF(H142="",VLOOKUP(LEFT(F142,1),'Exp-Rev Categories'!A:B,2,FALSE),IF(ISNA(VLOOKUP(H142,'Exp-Rev Categories'!A:B,2,FALSE)),"Revenue",VLOOKUP(H142,'Exp-Rev Categories'!A:B,2,FALSE)))</f>
        <v>Exp-Travel</v>
      </c>
      <c r="K142" s="2">
        <v>0</v>
      </c>
      <c r="L142" s="3">
        <v>3344.3</v>
      </c>
      <c r="M142" s="3">
        <v>0</v>
      </c>
      <c r="N142" s="3">
        <v>-3344.3</v>
      </c>
      <c r="O142" s="3">
        <v>0</v>
      </c>
      <c r="P142" s="2" t="s">
        <v>209</v>
      </c>
    </row>
    <row r="143" spans="1:16">
      <c r="A143" s="2" t="s">
        <v>280</v>
      </c>
      <c r="B143" s="2" t="s">
        <v>1</v>
      </c>
      <c r="C143" s="2" t="s">
        <v>2</v>
      </c>
      <c r="D143" s="2" t="s">
        <v>75</v>
      </c>
      <c r="E143" s="4" t="str">
        <f t="shared" si="2"/>
        <v>2353 - AGRICULTURE</v>
      </c>
      <c r="F143" s="2" t="s">
        <v>80</v>
      </c>
      <c r="G143" s="2" t="s">
        <v>21</v>
      </c>
      <c r="J143" s="5" t="str">
        <f>IF(H143="",VLOOKUP(LEFT(F143,1),'Exp-Rev Categories'!A:B,2,FALSE),IF(ISNA(VLOOKUP(H143,'Exp-Rev Categories'!A:B,2,FALSE)),"Revenue",VLOOKUP(H143,'Exp-Rev Categories'!A:B,2,FALSE)))</f>
        <v>Exp-Travel</v>
      </c>
      <c r="K143" s="2">
        <v>0</v>
      </c>
      <c r="L143" s="3">
        <v>66.42</v>
      </c>
      <c r="M143" s="3">
        <v>0</v>
      </c>
      <c r="N143" s="3">
        <v>-66.42</v>
      </c>
      <c r="O143" s="3">
        <v>0</v>
      </c>
      <c r="P143" s="2" t="s">
        <v>209</v>
      </c>
    </row>
    <row r="144" spans="1:16">
      <c r="A144" s="2" t="s">
        <v>280</v>
      </c>
      <c r="B144" s="2" t="s">
        <v>1</v>
      </c>
      <c r="C144" s="2" t="s">
        <v>2</v>
      </c>
      <c r="D144" s="2" t="s">
        <v>75</v>
      </c>
      <c r="E144" s="4" t="str">
        <f t="shared" si="2"/>
        <v>2353 - AGRICULTURE</v>
      </c>
      <c r="F144" s="2" t="s">
        <v>44</v>
      </c>
      <c r="G144" s="2" t="s">
        <v>24</v>
      </c>
      <c r="J144" s="5" t="str">
        <f>IF(H144="",VLOOKUP(LEFT(F144,1),'Exp-Rev Categories'!A:B,2,FALSE),IF(ISNA(VLOOKUP(H144,'Exp-Rev Categories'!A:B,2,FALSE)),"Revenue",VLOOKUP(H144,'Exp-Rev Categories'!A:B,2,FALSE)))</f>
        <v>Exp-Travel</v>
      </c>
      <c r="K144" s="2">
        <v>0</v>
      </c>
      <c r="L144" s="3">
        <v>608.03</v>
      </c>
      <c r="M144" s="3">
        <v>0</v>
      </c>
      <c r="N144" s="3">
        <v>-608.03</v>
      </c>
      <c r="O144" s="3">
        <v>0</v>
      </c>
      <c r="P144" s="2" t="s">
        <v>209</v>
      </c>
    </row>
    <row r="145" spans="1:16">
      <c r="A145" s="2" t="s">
        <v>280</v>
      </c>
      <c r="B145" s="2" t="s">
        <v>1</v>
      </c>
      <c r="C145" s="2" t="s">
        <v>2</v>
      </c>
      <c r="D145" s="2" t="s">
        <v>75</v>
      </c>
      <c r="E145" s="4" t="str">
        <f t="shared" si="2"/>
        <v>2353 - AGRICULTURE</v>
      </c>
      <c r="F145" s="2" t="s">
        <v>44</v>
      </c>
      <c r="G145" s="2" t="s">
        <v>7</v>
      </c>
      <c r="J145" s="5" t="str">
        <f>IF(H145="",VLOOKUP(LEFT(F145,1),'Exp-Rev Categories'!A:B,2,FALSE),IF(ISNA(VLOOKUP(H145,'Exp-Rev Categories'!A:B,2,FALSE)),"Revenue",VLOOKUP(H145,'Exp-Rev Categories'!A:B,2,FALSE)))</f>
        <v>Exp-Travel</v>
      </c>
      <c r="K145" s="2">
        <v>0</v>
      </c>
      <c r="L145" s="3">
        <v>910.42</v>
      </c>
      <c r="M145" s="3">
        <v>0</v>
      </c>
      <c r="N145" s="3">
        <v>-910.42</v>
      </c>
      <c r="O145" s="3">
        <v>0</v>
      </c>
      <c r="P145" s="2" t="s">
        <v>209</v>
      </c>
    </row>
    <row r="146" spans="1:16">
      <c r="A146" s="2" t="s">
        <v>280</v>
      </c>
      <c r="B146" s="2" t="s">
        <v>1</v>
      </c>
      <c r="C146" s="2" t="s">
        <v>2</v>
      </c>
      <c r="D146" s="2" t="s">
        <v>75</v>
      </c>
      <c r="E146" s="4" t="str">
        <f t="shared" si="2"/>
        <v>2353 - AGRICULTURE</v>
      </c>
      <c r="F146" s="2" t="s">
        <v>44</v>
      </c>
      <c r="G146" s="2" t="s">
        <v>45</v>
      </c>
      <c r="J146" s="5" t="str">
        <f>IF(H146="",VLOOKUP(LEFT(F146,1),'Exp-Rev Categories'!A:B,2,FALSE),IF(ISNA(VLOOKUP(H146,'Exp-Rev Categories'!A:B,2,FALSE)),"Revenue",VLOOKUP(H146,'Exp-Rev Categories'!A:B,2,FALSE)))</f>
        <v>Exp-Travel</v>
      </c>
      <c r="K146" s="2">
        <v>0</v>
      </c>
      <c r="L146" s="3">
        <v>8</v>
      </c>
      <c r="M146" s="3">
        <v>0</v>
      </c>
      <c r="N146" s="3">
        <v>-8</v>
      </c>
      <c r="O146" s="3">
        <v>0</v>
      </c>
      <c r="P146" s="2" t="s">
        <v>209</v>
      </c>
    </row>
    <row r="147" spans="1:16">
      <c r="A147" s="2" t="s">
        <v>280</v>
      </c>
      <c r="B147" s="2" t="s">
        <v>1</v>
      </c>
      <c r="C147" s="2" t="s">
        <v>2</v>
      </c>
      <c r="D147" s="2" t="s">
        <v>75</v>
      </c>
      <c r="E147" s="4" t="str">
        <f t="shared" si="2"/>
        <v>2353 - AGRICULTURE</v>
      </c>
      <c r="F147" s="2" t="s">
        <v>44</v>
      </c>
      <c r="G147" s="2" t="s">
        <v>65</v>
      </c>
      <c r="J147" s="5" t="str">
        <f>IF(H147="",VLOOKUP(LEFT(F147,1),'Exp-Rev Categories'!A:B,2,FALSE),IF(ISNA(VLOOKUP(H147,'Exp-Rev Categories'!A:B,2,FALSE)),"Revenue",VLOOKUP(H147,'Exp-Rev Categories'!A:B,2,FALSE)))</f>
        <v>Exp-Travel</v>
      </c>
      <c r="K147" s="2">
        <v>0</v>
      </c>
      <c r="L147" s="3">
        <v>844.29</v>
      </c>
      <c r="M147" s="3">
        <v>0</v>
      </c>
      <c r="N147" s="3">
        <v>-844.29</v>
      </c>
      <c r="O147" s="3">
        <v>0</v>
      </c>
      <c r="P147" s="2" t="s">
        <v>209</v>
      </c>
    </row>
    <row r="148" spans="1:16">
      <c r="A148" s="2" t="s">
        <v>280</v>
      </c>
      <c r="B148" s="2" t="s">
        <v>1</v>
      </c>
      <c r="C148" s="2" t="s">
        <v>2</v>
      </c>
      <c r="D148" s="2" t="s">
        <v>75</v>
      </c>
      <c r="E148" s="4" t="str">
        <f t="shared" si="2"/>
        <v>2353 - AGRICULTURE</v>
      </c>
      <c r="F148" s="2" t="s">
        <v>59</v>
      </c>
      <c r="G148" s="2" t="s">
        <v>24</v>
      </c>
      <c r="J148" s="5" t="str">
        <f>IF(H148="",VLOOKUP(LEFT(F148,1),'Exp-Rev Categories'!A:B,2,FALSE),IF(ISNA(VLOOKUP(H148,'Exp-Rev Categories'!A:B,2,FALSE)),"Revenue",VLOOKUP(H148,'Exp-Rev Categories'!A:B,2,FALSE)))</f>
        <v>Exp-Travel</v>
      </c>
      <c r="K148" s="2">
        <v>0</v>
      </c>
      <c r="L148" s="3">
        <v>5735.46</v>
      </c>
      <c r="M148" s="3">
        <v>0</v>
      </c>
      <c r="N148" s="3">
        <v>-5735.46</v>
      </c>
      <c r="O148" s="3">
        <v>0</v>
      </c>
      <c r="P148" s="2" t="s">
        <v>209</v>
      </c>
    </row>
    <row r="149" spans="1:16">
      <c r="A149" s="2" t="s">
        <v>280</v>
      </c>
      <c r="B149" s="2" t="s">
        <v>1</v>
      </c>
      <c r="C149" s="2" t="s">
        <v>2</v>
      </c>
      <c r="D149" s="2" t="s">
        <v>75</v>
      </c>
      <c r="E149" s="4" t="str">
        <f t="shared" si="2"/>
        <v>2353 - AGRICULTURE</v>
      </c>
      <c r="F149" s="2" t="s">
        <v>59</v>
      </c>
      <c r="G149" s="2" t="s">
        <v>55</v>
      </c>
      <c r="J149" s="5" t="str">
        <f>IF(H149="",VLOOKUP(LEFT(F149,1),'Exp-Rev Categories'!A:B,2,FALSE),IF(ISNA(VLOOKUP(H149,'Exp-Rev Categories'!A:B,2,FALSE)),"Revenue",VLOOKUP(H149,'Exp-Rev Categories'!A:B,2,FALSE)))</f>
        <v>Exp-Travel</v>
      </c>
      <c r="K149" s="2">
        <v>0</v>
      </c>
      <c r="L149" s="3">
        <v>1155.04</v>
      </c>
      <c r="M149" s="3">
        <v>0</v>
      </c>
      <c r="N149" s="3">
        <v>-1155.04</v>
      </c>
      <c r="O149" s="3">
        <v>0</v>
      </c>
      <c r="P149" s="2" t="s">
        <v>209</v>
      </c>
    </row>
    <row r="150" spans="1:16">
      <c r="A150" s="2" t="s">
        <v>280</v>
      </c>
      <c r="B150" s="2" t="s">
        <v>1</v>
      </c>
      <c r="C150" s="2" t="s">
        <v>2</v>
      </c>
      <c r="D150" s="2" t="s">
        <v>75</v>
      </c>
      <c r="E150" s="4" t="str">
        <f t="shared" si="2"/>
        <v>2353 - AGRICULTURE</v>
      </c>
      <c r="F150" s="2" t="s">
        <v>60</v>
      </c>
      <c r="G150" s="2" t="s">
        <v>24</v>
      </c>
      <c r="J150" s="5" t="str">
        <f>IF(H150="",VLOOKUP(LEFT(F150,1),'Exp-Rev Categories'!A:B,2,FALSE),IF(ISNA(VLOOKUP(H150,'Exp-Rev Categories'!A:B,2,FALSE)),"Revenue",VLOOKUP(H150,'Exp-Rev Categories'!A:B,2,FALSE)))</f>
        <v>Exp-Travel</v>
      </c>
      <c r="K150" s="2">
        <v>0</v>
      </c>
      <c r="L150" s="3">
        <v>12591.8</v>
      </c>
      <c r="M150" s="3">
        <v>0</v>
      </c>
      <c r="N150" s="3">
        <v>-12591.8</v>
      </c>
      <c r="O150" s="3">
        <v>0</v>
      </c>
      <c r="P150" s="2" t="s">
        <v>209</v>
      </c>
    </row>
    <row r="151" spans="1:16">
      <c r="A151" s="2" t="s">
        <v>280</v>
      </c>
      <c r="B151" s="2" t="s">
        <v>1</v>
      </c>
      <c r="C151" s="2" t="s">
        <v>2</v>
      </c>
      <c r="D151" s="2" t="s">
        <v>81</v>
      </c>
      <c r="E151" s="4" t="str">
        <f t="shared" si="2"/>
        <v>2354 - CRAFT FAIR</v>
      </c>
      <c r="H151" s="2" t="s">
        <v>51</v>
      </c>
      <c r="I151" s="2" t="s">
        <v>82</v>
      </c>
      <c r="J151" s="5" t="str">
        <f>IF(H151="",VLOOKUP(LEFT(F151,1),'Exp-Rev Categories'!A:B,2,FALSE),IF(ISNA(VLOOKUP(H151,'Exp-Rev Categories'!A:B,2,FALSE)),"Revenue",VLOOKUP(H151,'Exp-Rev Categories'!A:B,2,FALSE)))</f>
        <v>Revenue</v>
      </c>
      <c r="K151" s="2">
        <v>0</v>
      </c>
      <c r="L151" s="3">
        <v>-10329</v>
      </c>
      <c r="M151" s="3">
        <v>0</v>
      </c>
      <c r="N151" s="3">
        <v>10329</v>
      </c>
      <c r="O151" s="3">
        <v>0</v>
      </c>
      <c r="P151" s="2" t="s">
        <v>83</v>
      </c>
    </row>
    <row r="152" spans="1:16">
      <c r="A152" s="2" t="s">
        <v>280</v>
      </c>
      <c r="B152" s="2" t="s">
        <v>1</v>
      </c>
      <c r="C152" s="2" t="s">
        <v>2</v>
      </c>
      <c r="D152" s="2" t="s">
        <v>81</v>
      </c>
      <c r="E152" s="4" t="str">
        <f t="shared" si="2"/>
        <v>2354 - CRAFT FAIR</v>
      </c>
      <c r="H152" s="2" t="s">
        <v>53</v>
      </c>
      <c r="J152" s="5" t="str">
        <f>IF(H152="",VLOOKUP(LEFT(F152,1),'Exp-Rev Categories'!A:B,2,FALSE),IF(ISNA(VLOOKUP(H152,'Exp-Rev Categories'!A:B,2,FALSE)),"Revenue",VLOOKUP(H152,'Exp-Rev Categories'!A:B,2,FALSE)))</f>
        <v>Rev-Fund Transfers - Out</v>
      </c>
      <c r="K152" s="2">
        <v>0</v>
      </c>
      <c r="L152" s="3">
        <v>0</v>
      </c>
      <c r="M152" s="3">
        <v>0</v>
      </c>
      <c r="N152" s="3">
        <v>0</v>
      </c>
      <c r="O152" s="3">
        <v>0</v>
      </c>
      <c r="P152" s="2" t="s">
        <v>83</v>
      </c>
    </row>
    <row r="153" spans="1:16">
      <c r="A153" s="2" t="s">
        <v>280</v>
      </c>
      <c r="B153" s="2" t="s">
        <v>1</v>
      </c>
      <c r="C153" s="2" t="s">
        <v>2</v>
      </c>
      <c r="D153" s="2" t="s">
        <v>81</v>
      </c>
      <c r="E153" s="4" t="str">
        <f t="shared" si="2"/>
        <v>2354 - CRAFT FAIR</v>
      </c>
      <c r="H153" s="2" t="s">
        <v>43</v>
      </c>
      <c r="J153" s="5" t="str">
        <f>IF(H153="",VLOOKUP(LEFT(F153,1),'Exp-Rev Categories'!A:B,2,FALSE),IF(ISNA(VLOOKUP(H153,'Exp-Rev Categories'!A:B,2,FALSE)),"Revenue",VLOOKUP(H153,'Exp-Rev Categories'!A:B,2,FALSE)))</f>
        <v>Rev-Intra-Fund Transfer</v>
      </c>
      <c r="K153" s="2">
        <v>0</v>
      </c>
      <c r="L153" s="3">
        <v>0</v>
      </c>
      <c r="M153" s="3">
        <v>0</v>
      </c>
      <c r="N153" s="3">
        <v>0</v>
      </c>
      <c r="O153" s="3">
        <v>0</v>
      </c>
      <c r="P153" s="2" t="s">
        <v>83</v>
      </c>
    </row>
    <row r="154" spans="1:16">
      <c r="A154" s="2" t="s">
        <v>280</v>
      </c>
      <c r="B154" s="2" t="s">
        <v>1</v>
      </c>
      <c r="C154" s="2" t="s">
        <v>2</v>
      </c>
      <c r="D154" s="2" t="s">
        <v>81</v>
      </c>
      <c r="E154" s="4" t="str">
        <f t="shared" si="2"/>
        <v>2354 - CRAFT FAIR</v>
      </c>
      <c r="F154" s="2" t="s">
        <v>369</v>
      </c>
      <c r="G154" s="2" t="s">
        <v>370</v>
      </c>
      <c r="J154" s="5" t="str">
        <f>IF(H154="",VLOOKUP(LEFT(F154,1),'Exp-Rev Categories'!A:B,2,FALSE),IF(ISNA(VLOOKUP(H154,'Exp-Rev Categories'!A:B,2,FALSE)),"Revenue",VLOOKUP(H154,'Exp-Rev Categories'!A:B,2,FALSE)))</f>
        <v>Exp-Salaries &amp; Wages</v>
      </c>
      <c r="K154" s="2">
        <v>0</v>
      </c>
      <c r="L154" s="3">
        <v>0</v>
      </c>
      <c r="M154" s="3">
        <v>0</v>
      </c>
      <c r="N154" s="3">
        <v>0</v>
      </c>
      <c r="O154" s="3">
        <v>0</v>
      </c>
      <c r="P154" s="2" t="s">
        <v>83</v>
      </c>
    </row>
    <row r="155" spans="1:16">
      <c r="A155" s="2" t="s">
        <v>280</v>
      </c>
      <c r="B155" s="2" t="s">
        <v>1</v>
      </c>
      <c r="C155" s="2" t="s">
        <v>2</v>
      </c>
      <c r="D155" s="2" t="s">
        <v>81</v>
      </c>
      <c r="E155" s="4" t="str">
        <f t="shared" si="2"/>
        <v>2354 - CRAFT FAIR</v>
      </c>
      <c r="F155" s="2" t="s">
        <v>265</v>
      </c>
      <c r="J155" s="5" t="str">
        <f>IF(H155="",VLOOKUP(LEFT(F155,1),'Exp-Rev Categories'!A:B,2,FALSE),IF(ISNA(VLOOKUP(H155,'Exp-Rev Categories'!A:B,2,FALSE)),"Revenue",VLOOKUP(H155,'Exp-Rev Categories'!A:B,2,FALSE)))</f>
        <v>Exp-Benefits</v>
      </c>
      <c r="K155" s="2">
        <v>0</v>
      </c>
      <c r="L155" s="3">
        <v>0</v>
      </c>
      <c r="M155" s="3">
        <v>0</v>
      </c>
      <c r="N155" s="3">
        <v>0</v>
      </c>
      <c r="O155" s="3">
        <v>0</v>
      </c>
      <c r="P155" s="2" t="s">
        <v>83</v>
      </c>
    </row>
    <row r="156" spans="1:16">
      <c r="A156" s="2" t="s">
        <v>280</v>
      </c>
      <c r="B156" s="2" t="s">
        <v>1</v>
      </c>
      <c r="C156" s="2" t="s">
        <v>2</v>
      </c>
      <c r="D156" s="2" t="s">
        <v>81</v>
      </c>
      <c r="E156" s="4" t="str">
        <f t="shared" si="2"/>
        <v>2354 - CRAFT FAIR</v>
      </c>
      <c r="F156" s="2" t="s">
        <v>29</v>
      </c>
      <c r="J156" s="5" t="str">
        <f>IF(H156="",VLOOKUP(LEFT(F156,1),'Exp-Rev Categories'!A:B,2,FALSE),IF(ISNA(VLOOKUP(H156,'Exp-Rev Categories'!A:B,2,FALSE)),"Revenue",VLOOKUP(H156,'Exp-Rev Categories'!A:B,2,FALSE)))</f>
        <v>Exp-Goods &amp; Services</v>
      </c>
      <c r="K156" s="2">
        <v>0</v>
      </c>
      <c r="L156" s="3">
        <v>0</v>
      </c>
      <c r="M156" s="3">
        <v>0</v>
      </c>
      <c r="N156" s="3">
        <v>0</v>
      </c>
      <c r="O156" s="3">
        <v>0</v>
      </c>
      <c r="P156" s="2" t="s">
        <v>83</v>
      </c>
    </row>
    <row r="157" spans="1:16">
      <c r="A157" s="2" t="s">
        <v>280</v>
      </c>
      <c r="B157" s="2" t="s">
        <v>1</v>
      </c>
      <c r="C157" s="2" t="s">
        <v>2</v>
      </c>
      <c r="D157" s="2" t="s">
        <v>81</v>
      </c>
      <c r="E157" s="4" t="str">
        <f t="shared" si="2"/>
        <v>2354 - CRAFT FAIR</v>
      </c>
      <c r="F157" s="2" t="s">
        <v>23</v>
      </c>
      <c r="G157" s="2" t="s">
        <v>24</v>
      </c>
      <c r="J157" s="5" t="str">
        <f>IF(H157="",VLOOKUP(LEFT(F157,1),'Exp-Rev Categories'!A:B,2,FALSE),IF(ISNA(VLOOKUP(H157,'Exp-Rev Categories'!A:B,2,FALSE)),"Revenue",VLOOKUP(H157,'Exp-Rev Categories'!A:B,2,FALSE)))</f>
        <v>Exp-Goods &amp; Services</v>
      </c>
      <c r="K157" s="2">
        <v>0</v>
      </c>
      <c r="L157" s="3">
        <v>215.74</v>
      </c>
      <c r="M157" s="3">
        <v>0</v>
      </c>
      <c r="N157" s="3">
        <v>-215.74</v>
      </c>
      <c r="O157" s="3">
        <v>0</v>
      </c>
      <c r="P157" s="2" t="s">
        <v>83</v>
      </c>
    </row>
    <row r="158" spans="1:16">
      <c r="A158" s="2" t="s">
        <v>280</v>
      </c>
      <c r="B158" s="2" t="s">
        <v>1</v>
      </c>
      <c r="C158" s="2" t="s">
        <v>2</v>
      </c>
      <c r="D158" s="2" t="s">
        <v>81</v>
      </c>
      <c r="E158" s="4" t="str">
        <f t="shared" si="2"/>
        <v>2354 - CRAFT FAIR</v>
      </c>
      <c r="F158" s="2" t="s">
        <v>54</v>
      </c>
      <c r="G158" s="2" t="s">
        <v>65</v>
      </c>
      <c r="J158" s="5" t="str">
        <f>IF(H158="",VLOOKUP(LEFT(F158,1),'Exp-Rev Categories'!A:B,2,FALSE),IF(ISNA(VLOOKUP(H158,'Exp-Rev Categories'!A:B,2,FALSE)),"Revenue",VLOOKUP(H158,'Exp-Rev Categories'!A:B,2,FALSE)))</f>
        <v>Exp-Goods &amp; Services</v>
      </c>
      <c r="K158" s="2">
        <v>0</v>
      </c>
      <c r="L158" s="3">
        <v>540</v>
      </c>
      <c r="M158" s="3">
        <v>0</v>
      </c>
      <c r="N158" s="3">
        <v>-540</v>
      </c>
      <c r="O158" s="3">
        <v>0</v>
      </c>
      <c r="P158" s="2" t="s">
        <v>83</v>
      </c>
    </row>
    <row r="159" spans="1:16">
      <c r="A159" s="2" t="s">
        <v>280</v>
      </c>
      <c r="B159" s="2" t="s">
        <v>1</v>
      </c>
      <c r="C159" s="2" t="s">
        <v>2</v>
      </c>
      <c r="D159" s="2" t="s">
        <v>81</v>
      </c>
      <c r="E159" s="4" t="str">
        <f t="shared" si="2"/>
        <v>2354 - CRAFT FAIR</v>
      </c>
      <c r="F159" s="2" t="s">
        <v>84</v>
      </c>
      <c r="G159" s="2" t="s">
        <v>24</v>
      </c>
      <c r="J159" s="5" t="str">
        <f>IF(H159="",VLOOKUP(LEFT(F159,1),'Exp-Rev Categories'!A:B,2,FALSE),IF(ISNA(VLOOKUP(H159,'Exp-Rev Categories'!A:B,2,FALSE)),"Revenue",VLOOKUP(H159,'Exp-Rev Categories'!A:B,2,FALSE)))</f>
        <v>Exp-Goods &amp; Services</v>
      </c>
      <c r="K159" s="2">
        <v>0</v>
      </c>
      <c r="L159" s="3">
        <v>3000</v>
      </c>
      <c r="M159" s="3">
        <v>0</v>
      </c>
      <c r="N159" s="3">
        <v>-3000</v>
      </c>
      <c r="O159" s="3">
        <v>0</v>
      </c>
      <c r="P159" s="2" t="s">
        <v>83</v>
      </c>
    </row>
    <row r="160" spans="1:16">
      <c r="A160" s="2" t="s">
        <v>280</v>
      </c>
      <c r="B160" s="2" t="s">
        <v>1</v>
      </c>
      <c r="C160" s="2" t="s">
        <v>2</v>
      </c>
      <c r="D160" s="2" t="s">
        <v>81</v>
      </c>
      <c r="E160" s="4" t="str">
        <f t="shared" si="2"/>
        <v>2354 - CRAFT FAIR</v>
      </c>
      <c r="F160" s="2" t="s">
        <v>41</v>
      </c>
      <c r="G160" s="2" t="s">
        <v>21</v>
      </c>
      <c r="J160" s="5" t="str">
        <f>IF(H160="",VLOOKUP(LEFT(F160,1),'Exp-Rev Categories'!A:B,2,FALSE),IF(ISNA(VLOOKUP(H160,'Exp-Rev Categories'!A:B,2,FALSE)),"Revenue",VLOOKUP(H160,'Exp-Rev Categories'!A:B,2,FALSE)))</f>
        <v>Exp-Goods &amp; Services</v>
      </c>
      <c r="K160" s="2">
        <v>0</v>
      </c>
      <c r="L160" s="3">
        <v>1177.3699999999999</v>
      </c>
      <c r="M160" s="3">
        <v>0</v>
      </c>
      <c r="N160" s="3">
        <v>-1177.3699999999999</v>
      </c>
      <c r="O160" s="3">
        <v>0</v>
      </c>
      <c r="P160" s="2" t="s">
        <v>83</v>
      </c>
    </row>
    <row r="161" spans="1:16">
      <c r="A161" s="2" t="s">
        <v>280</v>
      </c>
      <c r="B161" s="2" t="s">
        <v>1</v>
      </c>
      <c r="C161" s="2" t="s">
        <v>2</v>
      </c>
      <c r="D161" s="2" t="s">
        <v>81</v>
      </c>
      <c r="E161" s="4" t="str">
        <f t="shared" si="2"/>
        <v>2354 - CRAFT FAIR</v>
      </c>
      <c r="F161" s="2" t="s">
        <v>41</v>
      </c>
      <c r="G161" s="2" t="s">
        <v>7</v>
      </c>
      <c r="J161" s="5" t="str">
        <f>IF(H161="",VLOOKUP(LEFT(F161,1),'Exp-Rev Categories'!A:B,2,FALSE),IF(ISNA(VLOOKUP(H161,'Exp-Rev Categories'!A:B,2,FALSE)),"Revenue",VLOOKUP(H161,'Exp-Rev Categories'!A:B,2,FALSE)))</f>
        <v>Exp-Goods &amp; Services</v>
      </c>
      <c r="K161" s="2">
        <v>0</v>
      </c>
      <c r="L161" s="3">
        <v>437.86</v>
      </c>
      <c r="M161" s="3">
        <v>0</v>
      </c>
      <c r="N161" s="3">
        <v>-437.86</v>
      </c>
      <c r="O161" s="3">
        <v>0</v>
      </c>
      <c r="P161" s="2" t="s">
        <v>83</v>
      </c>
    </row>
    <row r="162" spans="1:16">
      <c r="A162" s="2" t="s">
        <v>280</v>
      </c>
      <c r="B162" s="2" t="s">
        <v>1</v>
      </c>
      <c r="C162" s="2" t="s">
        <v>2</v>
      </c>
      <c r="D162" s="2" t="s">
        <v>81</v>
      </c>
      <c r="E162" s="4" t="str">
        <f t="shared" si="2"/>
        <v>2354 - CRAFT FAIR</v>
      </c>
      <c r="F162" s="2" t="s">
        <v>267</v>
      </c>
      <c r="J162" s="5" t="str">
        <f>IF(H162="",VLOOKUP(LEFT(F162,1),'Exp-Rev Categories'!A:B,2,FALSE),IF(ISNA(VLOOKUP(H162,'Exp-Rev Categories'!A:B,2,FALSE)),"Revenue",VLOOKUP(H162,'Exp-Rev Categories'!A:B,2,FALSE)))</f>
        <v>Exp-Travel</v>
      </c>
      <c r="K162" s="2">
        <v>0</v>
      </c>
      <c r="L162" s="3">
        <v>0</v>
      </c>
      <c r="M162" s="3">
        <v>0</v>
      </c>
      <c r="N162" s="3">
        <v>0</v>
      </c>
      <c r="O162" s="3">
        <v>0</v>
      </c>
      <c r="P162" s="2" t="s">
        <v>83</v>
      </c>
    </row>
    <row r="163" spans="1:16">
      <c r="A163" s="2" t="s">
        <v>280</v>
      </c>
      <c r="B163" s="2" t="s">
        <v>1</v>
      </c>
      <c r="C163" s="2" t="s">
        <v>2</v>
      </c>
      <c r="D163" s="2" t="s">
        <v>81</v>
      </c>
      <c r="E163" s="4" t="str">
        <f t="shared" si="2"/>
        <v>2354 - CRAFT FAIR</v>
      </c>
      <c r="F163" s="2" t="s">
        <v>59</v>
      </c>
      <c r="G163" s="2" t="s">
        <v>24</v>
      </c>
      <c r="J163" s="5" t="str">
        <f>IF(H163="",VLOOKUP(LEFT(F163,1),'Exp-Rev Categories'!A:B,2,FALSE),IF(ISNA(VLOOKUP(H163,'Exp-Rev Categories'!A:B,2,FALSE)),"Revenue",VLOOKUP(H163,'Exp-Rev Categories'!A:B,2,FALSE)))</f>
        <v>Exp-Travel</v>
      </c>
      <c r="K163" s="2">
        <v>0</v>
      </c>
      <c r="L163" s="3">
        <v>788</v>
      </c>
      <c r="M163" s="3">
        <v>0</v>
      </c>
      <c r="N163" s="3">
        <v>-788</v>
      </c>
      <c r="O163" s="3">
        <v>0</v>
      </c>
      <c r="P163" s="2" t="s">
        <v>83</v>
      </c>
    </row>
    <row r="164" spans="1:16">
      <c r="A164" s="2" t="s">
        <v>280</v>
      </c>
      <c r="B164" s="2" t="s">
        <v>1</v>
      </c>
      <c r="C164" s="2" t="s">
        <v>2</v>
      </c>
      <c r="D164" s="2" t="s">
        <v>85</v>
      </c>
      <c r="E164" s="4" t="str">
        <f t="shared" si="2"/>
        <v>2355 - HORTICULTURE CLUB</v>
      </c>
      <c r="H164" s="2" t="s">
        <v>51</v>
      </c>
      <c r="I164" s="2" t="s">
        <v>86</v>
      </c>
      <c r="J164" s="5" t="str">
        <f>IF(H164="",VLOOKUP(LEFT(F164,1),'Exp-Rev Categories'!A:B,2,FALSE),IF(ISNA(VLOOKUP(H164,'Exp-Rev Categories'!A:B,2,FALSE)),"Revenue",VLOOKUP(H164,'Exp-Rev Categories'!A:B,2,FALSE)))</f>
        <v>Revenue</v>
      </c>
      <c r="K164" s="2">
        <v>0</v>
      </c>
      <c r="L164" s="3">
        <v>-2621.71</v>
      </c>
      <c r="M164" s="3">
        <v>0</v>
      </c>
      <c r="N164" s="3">
        <v>2621.71</v>
      </c>
      <c r="O164" s="3">
        <v>0</v>
      </c>
      <c r="P164" s="2" t="s">
        <v>210</v>
      </c>
    </row>
    <row r="165" spans="1:16">
      <c r="A165" s="2" t="s">
        <v>280</v>
      </c>
      <c r="B165" s="2" t="s">
        <v>1</v>
      </c>
      <c r="C165" s="2" t="s">
        <v>2</v>
      </c>
      <c r="D165" s="2" t="s">
        <v>85</v>
      </c>
      <c r="E165" s="4" t="str">
        <f t="shared" si="2"/>
        <v>2355 - HORTICULTURE CLUB</v>
      </c>
      <c r="H165" s="2" t="s">
        <v>43</v>
      </c>
      <c r="J165" s="5" t="str">
        <f>IF(H165="",VLOOKUP(LEFT(F165,1),'Exp-Rev Categories'!A:B,2,FALSE),IF(ISNA(VLOOKUP(H165,'Exp-Rev Categories'!A:B,2,FALSE)),"Revenue",VLOOKUP(H165,'Exp-Rev Categories'!A:B,2,FALSE)))</f>
        <v>Rev-Intra-Fund Transfer</v>
      </c>
      <c r="K165" s="2">
        <v>0</v>
      </c>
      <c r="L165" s="3">
        <v>-2134.75</v>
      </c>
      <c r="M165" s="3">
        <v>0</v>
      </c>
      <c r="N165" s="3">
        <v>2134.75</v>
      </c>
      <c r="O165" s="3">
        <v>0</v>
      </c>
      <c r="P165" s="2" t="s">
        <v>210</v>
      </c>
    </row>
    <row r="166" spans="1:16">
      <c r="A166" s="2" t="s">
        <v>280</v>
      </c>
      <c r="B166" s="2" t="s">
        <v>1</v>
      </c>
      <c r="C166" s="2" t="s">
        <v>2</v>
      </c>
      <c r="D166" s="2" t="s">
        <v>85</v>
      </c>
      <c r="E166" s="4" t="str">
        <f t="shared" si="2"/>
        <v>2355 - HORTICULTURE CLUB</v>
      </c>
      <c r="F166" s="2" t="s">
        <v>29</v>
      </c>
      <c r="J166" s="5" t="str">
        <f>IF(H166="",VLOOKUP(LEFT(F166,1),'Exp-Rev Categories'!A:B,2,FALSE),IF(ISNA(VLOOKUP(H166,'Exp-Rev Categories'!A:B,2,FALSE)),"Revenue",VLOOKUP(H166,'Exp-Rev Categories'!A:B,2,FALSE)))</f>
        <v>Exp-Goods &amp; Services</v>
      </c>
      <c r="K166" s="2">
        <v>21086</v>
      </c>
      <c r="L166" s="3">
        <v>0</v>
      </c>
      <c r="M166" s="3">
        <v>0</v>
      </c>
      <c r="N166" s="3">
        <v>21086</v>
      </c>
      <c r="O166" s="3">
        <v>0</v>
      </c>
      <c r="P166" s="2" t="s">
        <v>210</v>
      </c>
    </row>
    <row r="167" spans="1:16">
      <c r="A167" s="2" t="s">
        <v>280</v>
      </c>
      <c r="B167" s="2" t="s">
        <v>1</v>
      </c>
      <c r="C167" s="2" t="s">
        <v>2</v>
      </c>
      <c r="D167" s="2" t="s">
        <v>85</v>
      </c>
      <c r="E167" s="4" t="str">
        <f t="shared" si="2"/>
        <v>2355 - HORTICULTURE CLUB</v>
      </c>
      <c r="F167" s="2" t="s">
        <v>23</v>
      </c>
      <c r="G167" s="2" t="s">
        <v>24</v>
      </c>
      <c r="J167" s="5" t="str">
        <f>IF(H167="",VLOOKUP(LEFT(F167,1),'Exp-Rev Categories'!A:B,2,FALSE),IF(ISNA(VLOOKUP(H167,'Exp-Rev Categories'!A:B,2,FALSE)),"Revenue",VLOOKUP(H167,'Exp-Rev Categories'!A:B,2,FALSE)))</f>
        <v>Exp-Goods &amp; Services</v>
      </c>
      <c r="K167" s="2">
        <v>0</v>
      </c>
      <c r="L167" s="3">
        <v>3237.28</v>
      </c>
      <c r="M167" s="3">
        <v>0</v>
      </c>
      <c r="N167" s="3">
        <v>-3237.28</v>
      </c>
      <c r="O167" s="3">
        <v>0</v>
      </c>
      <c r="P167" s="2" t="s">
        <v>210</v>
      </c>
    </row>
    <row r="168" spans="1:16">
      <c r="A168" s="2" t="s">
        <v>280</v>
      </c>
      <c r="B168" s="2" t="s">
        <v>1</v>
      </c>
      <c r="C168" s="2" t="s">
        <v>2</v>
      </c>
      <c r="D168" s="2" t="s">
        <v>85</v>
      </c>
      <c r="E168" s="4" t="str">
        <f t="shared" si="2"/>
        <v>2355 - HORTICULTURE CLUB</v>
      </c>
      <c r="F168" s="2" t="s">
        <v>23</v>
      </c>
      <c r="G168" s="2" t="s">
        <v>77</v>
      </c>
      <c r="J168" s="5" t="str">
        <f>IF(H168="",VLOOKUP(LEFT(F168,1),'Exp-Rev Categories'!A:B,2,FALSE),IF(ISNA(VLOOKUP(H168,'Exp-Rev Categories'!A:B,2,FALSE)),"Revenue",VLOOKUP(H168,'Exp-Rev Categories'!A:B,2,FALSE)))</f>
        <v>Exp-Goods &amp; Services</v>
      </c>
      <c r="K168" s="2">
        <v>0</v>
      </c>
      <c r="L168" s="3">
        <v>3.4</v>
      </c>
      <c r="M168" s="3">
        <v>0</v>
      </c>
      <c r="N168" s="3">
        <v>-3.4</v>
      </c>
      <c r="O168" s="3">
        <v>0</v>
      </c>
      <c r="P168" s="2" t="s">
        <v>210</v>
      </c>
    </row>
    <row r="169" spans="1:16">
      <c r="A169" s="2" t="s">
        <v>280</v>
      </c>
      <c r="B169" s="2" t="s">
        <v>1</v>
      </c>
      <c r="C169" s="2" t="s">
        <v>2</v>
      </c>
      <c r="D169" s="2" t="s">
        <v>85</v>
      </c>
      <c r="E169" s="4" t="str">
        <f t="shared" si="2"/>
        <v>2355 - HORTICULTURE CLUB</v>
      </c>
      <c r="F169" s="2" t="s">
        <v>54</v>
      </c>
      <c r="G169" s="2" t="s">
        <v>55</v>
      </c>
      <c r="J169" s="5" t="str">
        <f>IF(H169="",VLOOKUP(LEFT(F169,1),'Exp-Rev Categories'!A:B,2,FALSE),IF(ISNA(VLOOKUP(H169,'Exp-Rev Categories'!A:B,2,FALSE)),"Revenue",VLOOKUP(H169,'Exp-Rev Categories'!A:B,2,FALSE)))</f>
        <v>Exp-Goods &amp; Services</v>
      </c>
      <c r="K169" s="2">
        <v>0</v>
      </c>
      <c r="L169" s="3">
        <v>448</v>
      </c>
      <c r="M169" s="3">
        <v>0</v>
      </c>
      <c r="N169" s="3">
        <v>-448</v>
      </c>
      <c r="O169" s="3">
        <v>0</v>
      </c>
      <c r="P169" s="2" t="s">
        <v>210</v>
      </c>
    </row>
    <row r="170" spans="1:16">
      <c r="A170" s="2" t="s">
        <v>280</v>
      </c>
      <c r="B170" s="2" t="s">
        <v>1</v>
      </c>
      <c r="C170" s="2" t="s">
        <v>2</v>
      </c>
      <c r="D170" s="2" t="s">
        <v>85</v>
      </c>
      <c r="E170" s="4" t="str">
        <f t="shared" si="2"/>
        <v>2355 - HORTICULTURE CLUB</v>
      </c>
      <c r="F170" s="2" t="s">
        <v>54</v>
      </c>
      <c r="G170" s="2" t="s">
        <v>56</v>
      </c>
      <c r="J170" s="5" t="str">
        <f>IF(H170="",VLOOKUP(LEFT(F170,1),'Exp-Rev Categories'!A:B,2,FALSE),IF(ISNA(VLOOKUP(H170,'Exp-Rev Categories'!A:B,2,FALSE)),"Revenue",VLOOKUP(H170,'Exp-Rev Categories'!A:B,2,FALSE)))</f>
        <v>Exp-Goods &amp; Services</v>
      </c>
      <c r="K170" s="2">
        <v>0</v>
      </c>
      <c r="L170" s="3">
        <v>2160</v>
      </c>
      <c r="M170" s="3">
        <v>0</v>
      </c>
      <c r="N170" s="3">
        <v>-2160</v>
      </c>
      <c r="O170" s="3">
        <v>0</v>
      </c>
      <c r="P170" s="2" t="s">
        <v>210</v>
      </c>
    </row>
    <row r="171" spans="1:16">
      <c r="A171" s="2" t="s">
        <v>280</v>
      </c>
      <c r="B171" s="2" t="s">
        <v>1</v>
      </c>
      <c r="C171" s="2" t="s">
        <v>2</v>
      </c>
      <c r="D171" s="2" t="s">
        <v>85</v>
      </c>
      <c r="E171" s="4" t="str">
        <f t="shared" si="2"/>
        <v>2355 - HORTICULTURE CLUB</v>
      </c>
      <c r="F171" s="2" t="s">
        <v>79</v>
      </c>
      <c r="G171" s="2" t="s">
        <v>66</v>
      </c>
      <c r="J171" s="5" t="str">
        <f>IF(H171="",VLOOKUP(LEFT(F171,1),'Exp-Rev Categories'!A:B,2,FALSE),IF(ISNA(VLOOKUP(H171,'Exp-Rev Categories'!A:B,2,FALSE)),"Revenue",VLOOKUP(H171,'Exp-Rev Categories'!A:B,2,FALSE)))</f>
        <v>Exp-Goods &amp; Services</v>
      </c>
      <c r="K171" s="2">
        <v>0</v>
      </c>
      <c r="L171" s="3">
        <v>184.79</v>
      </c>
      <c r="M171" s="3">
        <v>0</v>
      </c>
      <c r="N171" s="3">
        <v>-184.79</v>
      </c>
      <c r="O171" s="3">
        <v>0</v>
      </c>
      <c r="P171" s="2" t="s">
        <v>210</v>
      </c>
    </row>
    <row r="172" spans="1:16">
      <c r="A172" s="2" t="s">
        <v>280</v>
      </c>
      <c r="B172" s="2" t="s">
        <v>1</v>
      </c>
      <c r="C172" s="2" t="s">
        <v>2</v>
      </c>
      <c r="D172" s="2" t="s">
        <v>85</v>
      </c>
      <c r="E172" s="4" t="str">
        <f t="shared" si="2"/>
        <v>2355 - HORTICULTURE CLUB</v>
      </c>
      <c r="F172" s="2" t="s">
        <v>41</v>
      </c>
      <c r="G172" s="2" t="s">
        <v>24</v>
      </c>
      <c r="J172" s="5" t="str">
        <f>IF(H172="",VLOOKUP(LEFT(F172,1),'Exp-Rev Categories'!A:B,2,FALSE),IF(ISNA(VLOOKUP(H172,'Exp-Rev Categories'!A:B,2,FALSE)),"Revenue",VLOOKUP(H172,'Exp-Rev Categories'!A:B,2,FALSE)))</f>
        <v>Exp-Goods &amp; Services</v>
      </c>
      <c r="K172" s="2">
        <v>0</v>
      </c>
      <c r="L172" s="3">
        <v>277.72000000000003</v>
      </c>
      <c r="M172" s="3">
        <v>0</v>
      </c>
      <c r="N172" s="3">
        <v>-277.72000000000003</v>
      </c>
      <c r="O172" s="3">
        <v>0</v>
      </c>
      <c r="P172" s="2" t="s">
        <v>210</v>
      </c>
    </row>
    <row r="173" spans="1:16">
      <c r="A173" s="2" t="s">
        <v>280</v>
      </c>
      <c r="B173" s="2" t="s">
        <v>1</v>
      </c>
      <c r="C173" s="2" t="s">
        <v>2</v>
      </c>
      <c r="D173" s="2" t="s">
        <v>85</v>
      </c>
      <c r="E173" s="4" t="str">
        <f t="shared" si="2"/>
        <v>2355 - HORTICULTURE CLUB</v>
      </c>
      <c r="F173" s="2" t="s">
        <v>41</v>
      </c>
      <c r="G173" s="2" t="s">
        <v>21</v>
      </c>
      <c r="J173" s="5" t="str">
        <f>IF(H173="",VLOOKUP(LEFT(F173,1),'Exp-Rev Categories'!A:B,2,FALSE),IF(ISNA(VLOOKUP(H173,'Exp-Rev Categories'!A:B,2,FALSE)),"Revenue",VLOOKUP(H173,'Exp-Rev Categories'!A:B,2,FALSE)))</f>
        <v>Exp-Goods &amp; Services</v>
      </c>
      <c r="K173" s="2">
        <v>0</v>
      </c>
      <c r="L173" s="3">
        <v>808</v>
      </c>
      <c r="M173" s="3">
        <v>0</v>
      </c>
      <c r="N173" s="3">
        <v>-808</v>
      </c>
      <c r="O173" s="3">
        <v>0</v>
      </c>
      <c r="P173" s="2" t="s">
        <v>210</v>
      </c>
    </row>
    <row r="174" spans="1:16">
      <c r="A174" s="2" t="s">
        <v>280</v>
      </c>
      <c r="B174" s="2" t="s">
        <v>1</v>
      </c>
      <c r="C174" s="2" t="s">
        <v>2</v>
      </c>
      <c r="D174" s="2" t="s">
        <v>85</v>
      </c>
      <c r="E174" s="4" t="str">
        <f t="shared" si="2"/>
        <v>2355 - HORTICULTURE CLUB</v>
      </c>
      <c r="F174" s="2" t="s">
        <v>41</v>
      </c>
      <c r="G174" s="2" t="s">
        <v>66</v>
      </c>
      <c r="J174" s="5" t="str">
        <f>IF(H174="",VLOOKUP(LEFT(F174,1),'Exp-Rev Categories'!A:B,2,FALSE),IF(ISNA(VLOOKUP(H174,'Exp-Rev Categories'!A:B,2,FALSE)),"Revenue",VLOOKUP(H174,'Exp-Rev Categories'!A:B,2,FALSE)))</f>
        <v>Exp-Goods &amp; Services</v>
      </c>
      <c r="K174" s="2">
        <v>0</v>
      </c>
      <c r="L174" s="3">
        <v>200.83</v>
      </c>
      <c r="M174" s="3">
        <v>0</v>
      </c>
      <c r="N174" s="3">
        <v>-200.83</v>
      </c>
      <c r="O174" s="3">
        <v>0</v>
      </c>
      <c r="P174" s="2" t="s">
        <v>210</v>
      </c>
    </row>
    <row r="175" spans="1:16">
      <c r="A175" s="2" t="s">
        <v>280</v>
      </c>
      <c r="B175" s="2" t="s">
        <v>1</v>
      </c>
      <c r="C175" s="2" t="s">
        <v>2</v>
      </c>
      <c r="D175" s="2" t="s">
        <v>85</v>
      </c>
      <c r="E175" s="4" t="str">
        <f t="shared" si="2"/>
        <v>2355 - HORTICULTURE CLUB</v>
      </c>
      <c r="F175" s="2" t="s">
        <v>41</v>
      </c>
      <c r="G175" s="2" t="s">
        <v>7</v>
      </c>
      <c r="J175" s="5" t="str">
        <f>IF(H175="",VLOOKUP(LEFT(F175,1),'Exp-Rev Categories'!A:B,2,FALSE),IF(ISNA(VLOOKUP(H175,'Exp-Rev Categories'!A:B,2,FALSE)),"Revenue",VLOOKUP(H175,'Exp-Rev Categories'!A:B,2,FALSE)))</f>
        <v>Exp-Goods &amp; Services</v>
      </c>
      <c r="K175" s="2">
        <v>0</v>
      </c>
      <c r="L175" s="3">
        <v>1158.24</v>
      </c>
      <c r="M175" s="3">
        <v>0</v>
      </c>
      <c r="N175" s="3">
        <v>-1158.24</v>
      </c>
      <c r="O175" s="3">
        <v>0</v>
      </c>
      <c r="P175" s="2" t="s">
        <v>210</v>
      </c>
    </row>
    <row r="176" spans="1:16">
      <c r="A176" s="2" t="s">
        <v>280</v>
      </c>
      <c r="B176" s="2" t="s">
        <v>1</v>
      </c>
      <c r="C176" s="2" t="s">
        <v>2</v>
      </c>
      <c r="D176" s="2" t="s">
        <v>85</v>
      </c>
      <c r="E176" s="4" t="str">
        <f t="shared" si="2"/>
        <v>2355 - HORTICULTURE CLUB</v>
      </c>
      <c r="F176" s="2" t="s">
        <v>267</v>
      </c>
      <c r="J176" s="5" t="str">
        <f>IF(H176="",VLOOKUP(LEFT(F176,1),'Exp-Rev Categories'!A:B,2,FALSE),IF(ISNA(VLOOKUP(H176,'Exp-Rev Categories'!A:B,2,FALSE)),"Revenue",VLOOKUP(H176,'Exp-Rev Categories'!A:B,2,FALSE)))</f>
        <v>Exp-Travel</v>
      </c>
      <c r="K176" s="2">
        <v>0</v>
      </c>
      <c r="L176" s="3">
        <v>0</v>
      </c>
      <c r="M176" s="3">
        <v>0</v>
      </c>
      <c r="N176" s="3">
        <v>0</v>
      </c>
      <c r="O176" s="3">
        <v>0</v>
      </c>
      <c r="P176" s="2" t="s">
        <v>210</v>
      </c>
    </row>
    <row r="177" spans="1:16">
      <c r="A177" s="2" t="s">
        <v>280</v>
      </c>
      <c r="B177" s="2" t="s">
        <v>1</v>
      </c>
      <c r="C177" s="2" t="s">
        <v>2</v>
      </c>
      <c r="D177" s="2" t="s">
        <v>85</v>
      </c>
      <c r="E177" s="4" t="str">
        <f t="shared" si="2"/>
        <v>2355 - HORTICULTURE CLUB</v>
      </c>
      <c r="F177" s="2" t="s">
        <v>87</v>
      </c>
      <c r="G177" s="2" t="s">
        <v>24</v>
      </c>
      <c r="J177" s="5" t="str">
        <f>IF(H177="",VLOOKUP(LEFT(F177,1),'Exp-Rev Categories'!A:B,2,FALSE),IF(ISNA(VLOOKUP(H177,'Exp-Rev Categories'!A:B,2,FALSE)),"Revenue",VLOOKUP(H177,'Exp-Rev Categories'!A:B,2,FALSE)))</f>
        <v>Exp-Travel</v>
      </c>
      <c r="K177" s="2">
        <v>0</v>
      </c>
      <c r="L177" s="3">
        <v>92.6</v>
      </c>
      <c r="M177" s="3">
        <v>0</v>
      </c>
      <c r="N177" s="3">
        <v>-92.6</v>
      </c>
      <c r="O177" s="3">
        <v>0</v>
      </c>
      <c r="P177" s="2" t="s">
        <v>210</v>
      </c>
    </row>
    <row r="178" spans="1:16">
      <c r="A178" s="2" t="s">
        <v>280</v>
      </c>
      <c r="B178" s="2" t="s">
        <v>1</v>
      </c>
      <c r="C178" s="2" t="s">
        <v>2</v>
      </c>
      <c r="D178" s="2" t="s">
        <v>85</v>
      </c>
      <c r="E178" s="4" t="str">
        <f t="shared" si="2"/>
        <v>2355 - HORTICULTURE CLUB</v>
      </c>
      <c r="F178" s="2" t="s">
        <v>44</v>
      </c>
      <c r="G178" s="2" t="s">
        <v>24</v>
      </c>
      <c r="J178" s="5" t="str">
        <f>IF(H178="",VLOOKUP(LEFT(F178,1),'Exp-Rev Categories'!A:B,2,FALSE),IF(ISNA(VLOOKUP(H178,'Exp-Rev Categories'!A:B,2,FALSE)),"Revenue",VLOOKUP(H178,'Exp-Rev Categories'!A:B,2,FALSE)))</f>
        <v>Exp-Travel</v>
      </c>
      <c r="K178" s="2">
        <v>0</v>
      </c>
      <c r="L178" s="3">
        <v>1046.8599999999999</v>
      </c>
      <c r="M178" s="3">
        <v>0</v>
      </c>
      <c r="N178" s="3">
        <v>-1046.8599999999999</v>
      </c>
      <c r="O178" s="3">
        <v>0</v>
      </c>
      <c r="P178" s="2" t="s">
        <v>210</v>
      </c>
    </row>
    <row r="179" spans="1:16">
      <c r="A179" s="2" t="s">
        <v>280</v>
      </c>
      <c r="B179" s="2" t="s">
        <v>1</v>
      </c>
      <c r="C179" s="2" t="s">
        <v>2</v>
      </c>
      <c r="D179" s="2" t="s">
        <v>85</v>
      </c>
      <c r="E179" s="4" t="str">
        <f t="shared" si="2"/>
        <v>2355 - HORTICULTURE CLUB</v>
      </c>
      <c r="F179" s="2" t="s">
        <v>44</v>
      </c>
      <c r="G179" s="2" t="s">
        <v>21</v>
      </c>
      <c r="J179" s="5" t="str">
        <f>IF(H179="",VLOOKUP(LEFT(F179,1),'Exp-Rev Categories'!A:B,2,FALSE),IF(ISNA(VLOOKUP(H179,'Exp-Rev Categories'!A:B,2,FALSE)),"Revenue",VLOOKUP(H179,'Exp-Rev Categories'!A:B,2,FALSE)))</f>
        <v>Exp-Travel</v>
      </c>
      <c r="K179" s="2">
        <v>0</v>
      </c>
      <c r="L179" s="3">
        <v>37.5</v>
      </c>
      <c r="M179" s="3">
        <v>0</v>
      </c>
      <c r="N179" s="3">
        <v>-37.5</v>
      </c>
      <c r="O179" s="3">
        <v>0</v>
      </c>
      <c r="P179" s="2" t="s">
        <v>210</v>
      </c>
    </row>
    <row r="180" spans="1:16">
      <c r="A180" s="2" t="s">
        <v>280</v>
      </c>
      <c r="B180" s="2" t="s">
        <v>1</v>
      </c>
      <c r="C180" s="2" t="s">
        <v>2</v>
      </c>
      <c r="D180" s="2" t="s">
        <v>85</v>
      </c>
      <c r="E180" s="4" t="str">
        <f t="shared" si="2"/>
        <v>2355 - HORTICULTURE CLUB</v>
      </c>
      <c r="F180" s="2" t="s">
        <v>44</v>
      </c>
      <c r="G180" s="2" t="s">
        <v>45</v>
      </c>
      <c r="J180" s="5" t="str">
        <f>IF(H180="",VLOOKUP(LEFT(F180,1),'Exp-Rev Categories'!A:B,2,FALSE),IF(ISNA(VLOOKUP(H180,'Exp-Rev Categories'!A:B,2,FALSE)),"Revenue",VLOOKUP(H180,'Exp-Rev Categories'!A:B,2,FALSE)))</f>
        <v>Exp-Travel</v>
      </c>
      <c r="K180" s="2">
        <v>0</v>
      </c>
      <c r="L180" s="3">
        <v>9</v>
      </c>
      <c r="M180" s="3">
        <v>0</v>
      </c>
      <c r="N180" s="3">
        <v>-9</v>
      </c>
      <c r="O180" s="3">
        <v>0</v>
      </c>
      <c r="P180" s="2" t="s">
        <v>210</v>
      </c>
    </row>
    <row r="181" spans="1:16">
      <c r="A181" s="2" t="s">
        <v>280</v>
      </c>
      <c r="B181" s="2" t="s">
        <v>1</v>
      </c>
      <c r="C181" s="2" t="s">
        <v>2</v>
      </c>
      <c r="D181" s="2" t="s">
        <v>85</v>
      </c>
      <c r="E181" s="4" t="str">
        <f t="shared" si="2"/>
        <v>2355 - HORTICULTURE CLUB</v>
      </c>
      <c r="F181" s="2" t="s">
        <v>44</v>
      </c>
      <c r="G181" s="2" t="s">
        <v>58</v>
      </c>
      <c r="J181" s="5" t="str">
        <f>IF(H181="",VLOOKUP(LEFT(F181,1),'Exp-Rev Categories'!A:B,2,FALSE),IF(ISNA(VLOOKUP(H181,'Exp-Rev Categories'!A:B,2,FALSE)),"Revenue",VLOOKUP(H181,'Exp-Rev Categories'!A:B,2,FALSE)))</f>
        <v>Exp-Travel</v>
      </c>
      <c r="K181" s="2">
        <v>0</v>
      </c>
      <c r="L181" s="3">
        <v>0</v>
      </c>
      <c r="M181" s="3">
        <v>0</v>
      </c>
      <c r="N181" s="3">
        <v>0</v>
      </c>
      <c r="O181" s="3">
        <v>0</v>
      </c>
      <c r="P181" s="2" t="s">
        <v>210</v>
      </c>
    </row>
    <row r="182" spans="1:16">
      <c r="A182" s="2" t="s">
        <v>280</v>
      </c>
      <c r="B182" s="2" t="s">
        <v>1</v>
      </c>
      <c r="C182" s="2" t="s">
        <v>2</v>
      </c>
      <c r="D182" s="2" t="s">
        <v>85</v>
      </c>
      <c r="E182" s="4" t="str">
        <f t="shared" si="2"/>
        <v>2355 - HORTICULTURE CLUB</v>
      </c>
      <c r="F182" s="2" t="s">
        <v>44</v>
      </c>
      <c r="G182" s="2" t="s">
        <v>65</v>
      </c>
      <c r="J182" s="5" t="str">
        <f>IF(H182="",VLOOKUP(LEFT(F182,1),'Exp-Rev Categories'!A:B,2,FALSE),IF(ISNA(VLOOKUP(H182,'Exp-Rev Categories'!A:B,2,FALSE)),"Revenue",VLOOKUP(H182,'Exp-Rev Categories'!A:B,2,FALSE)))</f>
        <v>Exp-Travel</v>
      </c>
      <c r="K182" s="2">
        <v>0</v>
      </c>
      <c r="L182" s="3">
        <v>1018.79</v>
      </c>
      <c r="M182" s="3">
        <v>0</v>
      </c>
      <c r="N182" s="3">
        <v>-1018.79</v>
      </c>
      <c r="O182" s="3">
        <v>0</v>
      </c>
      <c r="P182" s="2" t="s">
        <v>210</v>
      </c>
    </row>
    <row r="183" spans="1:16">
      <c r="A183" s="2" t="s">
        <v>280</v>
      </c>
      <c r="B183" s="2" t="s">
        <v>1</v>
      </c>
      <c r="C183" s="2" t="s">
        <v>2</v>
      </c>
      <c r="D183" s="2" t="s">
        <v>85</v>
      </c>
      <c r="E183" s="4" t="str">
        <f t="shared" si="2"/>
        <v>2355 - HORTICULTURE CLUB</v>
      </c>
      <c r="F183" s="2" t="s">
        <v>59</v>
      </c>
      <c r="G183" s="2" t="s">
        <v>24</v>
      </c>
      <c r="J183" s="5" t="str">
        <f>IF(H183="",VLOOKUP(LEFT(F183,1),'Exp-Rev Categories'!A:B,2,FALSE),IF(ISNA(VLOOKUP(H183,'Exp-Rev Categories'!A:B,2,FALSE)),"Revenue",VLOOKUP(H183,'Exp-Rev Categories'!A:B,2,FALSE)))</f>
        <v>Exp-Travel</v>
      </c>
      <c r="K183" s="2">
        <v>0</v>
      </c>
      <c r="L183" s="3">
        <v>3056.83</v>
      </c>
      <c r="M183" s="3">
        <v>0</v>
      </c>
      <c r="N183" s="3">
        <v>-3056.83</v>
      </c>
      <c r="O183" s="3">
        <v>0</v>
      </c>
      <c r="P183" s="2" t="s">
        <v>210</v>
      </c>
    </row>
    <row r="184" spans="1:16">
      <c r="A184" s="2" t="s">
        <v>280</v>
      </c>
      <c r="B184" s="2" t="s">
        <v>1</v>
      </c>
      <c r="C184" s="2" t="s">
        <v>2</v>
      </c>
      <c r="D184" s="2" t="s">
        <v>85</v>
      </c>
      <c r="E184" s="4" t="str">
        <f t="shared" si="2"/>
        <v>2355 - HORTICULTURE CLUB</v>
      </c>
      <c r="F184" s="2" t="s">
        <v>60</v>
      </c>
      <c r="G184" s="2" t="s">
        <v>24</v>
      </c>
      <c r="J184" s="5" t="str">
        <f>IF(H184="",VLOOKUP(LEFT(F184,1),'Exp-Rev Categories'!A:B,2,FALSE),IF(ISNA(VLOOKUP(H184,'Exp-Rev Categories'!A:B,2,FALSE)),"Revenue",VLOOKUP(H184,'Exp-Rev Categories'!A:B,2,FALSE)))</f>
        <v>Exp-Travel</v>
      </c>
      <c r="K184" s="2">
        <v>0</v>
      </c>
      <c r="L184" s="3">
        <v>7269.8</v>
      </c>
      <c r="M184" s="3">
        <v>0</v>
      </c>
      <c r="N184" s="3">
        <v>-7269.8</v>
      </c>
      <c r="O184" s="3">
        <v>0</v>
      </c>
      <c r="P184" s="2" t="s">
        <v>210</v>
      </c>
    </row>
    <row r="185" spans="1:16">
      <c r="A185" s="2" t="s">
        <v>280</v>
      </c>
      <c r="B185" s="2" t="s">
        <v>1</v>
      </c>
      <c r="C185" s="2" t="s">
        <v>2</v>
      </c>
      <c r="D185" s="2" t="s">
        <v>85</v>
      </c>
      <c r="E185" s="4" t="str">
        <f t="shared" si="2"/>
        <v>2355 - HORTICULTURE CLUB</v>
      </c>
      <c r="F185" s="2" t="s">
        <v>117</v>
      </c>
      <c r="J185" s="5" t="str">
        <f>IF(H185="",VLOOKUP(LEFT(F185,1),'Exp-Rev Categories'!A:B,2,FALSE),IF(ISNA(VLOOKUP(H185,'Exp-Rev Categories'!A:B,2,FALSE)),"Revenue",VLOOKUP(H185,'Exp-Rev Categories'!A:B,2,FALSE)))</f>
        <v>Exp-Grants/Scholarships</v>
      </c>
      <c r="K185" s="2">
        <v>0</v>
      </c>
      <c r="L185" s="3">
        <v>0</v>
      </c>
      <c r="M185" s="3">
        <v>0</v>
      </c>
      <c r="N185" s="3">
        <v>0</v>
      </c>
      <c r="O185" s="3">
        <v>0</v>
      </c>
      <c r="P185" s="2" t="s">
        <v>210</v>
      </c>
    </row>
    <row r="186" spans="1:16">
      <c r="A186" s="2" t="s">
        <v>280</v>
      </c>
      <c r="B186" s="2" t="s">
        <v>1</v>
      </c>
      <c r="C186" s="2" t="s">
        <v>2</v>
      </c>
      <c r="D186" s="2" t="s">
        <v>88</v>
      </c>
      <c r="E186" s="4" t="str">
        <f t="shared" si="2"/>
        <v>2357 - PHI THETA KAPPA</v>
      </c>
      <c r="H186" s="2" t="s">
        <v>51</v>
      </c>
      <c r="I186" s="2" t="s">
        <v>89</v>
      </c>
      <c r="J186" s="5" t="str">
        <f>IF(H186="",VLOOKUP(LEFT(F186,1),'Exp-Rev Categories'!A:B,2,FALSE),IF(ISNA(VLOOKUP(H186,'Exp-Rev Categories'!A:B,2,FALSE)),"Revenue",VLOOKUP(H186,'Exp-Rev Categories'!A:B,2,FALSE)))</f>
        <v>Revenue</v>
      </c>
      <c r="K186" s="2">
        <v>0</v>
      </c>
      <c r="L186" s="3">
        <v>-1335</v>
      </c>
      <c r="M186" s="3">
        <v>0</v>
      </c>
      <c r="N186" s="3">
        <v>1335</v>
      </c>
      <c r="O186" s="3">
        <v>0</v>
      </c>
      <c r="P186" s="2" t="s">
        <v>90</v>
      </c>
    </row>
    <row r="187" spans="1:16">
      <c r="A187" s="2" t="s">
        <v>280</v>
      </c>
      <c r="B187" s="2" t="s">
        <v>1</v>
      </c>
      <c r="C187" s="2" t="s">
        <v>2</v>
      </c>
      <c r="D187" s="2" t="s">
        <v>88</v>
      </c>
      <c r="E187" s="4" t="str">
        <f t="shared" si="2"/>
        <v>2357 - PHI THETA KAPPA</v>
      </c>
      <c r="H187" s="2" t="s">
        <v>43</v>
      </c>
      <c r="J187" s="5" t="str">
        <f>IF(H187="",VLOOKUP(LEFT(F187,1),'Exp-Rev Categories'!A:B,2,FALSE),IF(ISNA(VLOOKUP(H187,'Exp-Rev Categories'!A:B,2,FALSE)),"Revenue",VLOOKUP(H187,'Exp-Rev Categories'!A:B,2,FALSE)))</f>
        <v>Rev-Intra-Fund Transfer</v>
      </c>
      <c r="K187" s="2">
        <v>0</v>
      </c>
      <c r="L187" s="3">
        <v>0</v>
      </c>
      <c r="M187" s="3">
        <v>0</v>
      </c>
      <c r="N187" s="3">
        <v>0</v>
      </c>
      <c r="O187" s="3">
        <v>0</v>
      </c>
      <c r="P187" s="2" t="s">
        <v>90</v>
      </c>
    </row>
    <row r="188" spans="1:16">
      <c r="A188" s="2" t="s">
        <v>280</v>
      </c>
      <c r="B188" s="2" t="s">
        <v>1</v>
      </c>
      <c r="C188" s="2" t="s">
        <v>2</v>
      </c>
      <c r="D188" s="2" t="s">
        <v>88</v>
      </c>
      <c r="E188" s="4" t="str">
        <f t="shared" si="2"/>
        <v>2357 - PHI THETA KAPPA</v>
      </c>
      <c r="F188" s="2" t="s">
        <v>29</v>
      </c>
      <c r="J188" s="5" t="str">
        <f>IF(H188="",VLOOKUP(LEFT(F188,1),'Exp-Rev Categories'!A:B,2,FALSE),IF(ISNA(VLOOKUP(H188,'Exp-Rev Categories'!A:B,2,FALSE)),"Revenue",VLOOKUP(H188,'Exp-Rev Categories'!A:B,2,FALSE)))</f>
        <v>Exp-Goods &amp; Services</v>
      </c>
      <c r="K188" s="2">
        <v>5635</v>
      </c>
      <c r="L188" s="3">
        <v>0</v>
      </c>
      <c r="M188" s="3">
        <v>0</v>
      </c>
      <c r="N188" s="3">
        <v>5635</v>
      </c>
      <c r="O188" s="3">
        <v>0</v>
      </c>
      <c r="P188" s="2" t="s">
        <v>90</v>
      </c>
    </row>
    <row r="189" spans="1:16">
      <c r="A189" s="2" t="s">
        <v>280</v>
      </c>
      <c r="B189" s="2" t="s">
        <v>1</v>
      </c>
      <c r="C189" s="2" t="s">
        <v>2</v>
      </c>
      <c r="D189" s="2" t="s">
        <v>88</v>
      </c>
      <c r="E189" s="4" t="str">
        <f t="shared" si="2"/>
        <v>2357 - PHI THETA KAPPA</v>
      </c>
      <c r="F189" s="2" t="s">
        <v>23</v>
      </c>
      <c r="G189" s="2" t="s">
        <v>24</v>
      </c>
      <c r="J189" s="5" t="str">
        <f>IF(H189="",VLOOKUP(LEFT(F189,1),'Exp-Rev Categories'!A:B,2,FALSE),IF(ISNA(VLOOKUP(H189,'Exp-Rev Categories'!A:B,2,FALSE)),"Revenue",VLOOKUP(H189,'Exp-Rev Categories'!A:B,2,FALSE)))</f>
        <v>Exp-Goods &amp; Services</v>
      </c>
      <c r="K189" s="2">
        <v>0</v>
      </c>
      <c r="L189" s="3">
        <v>457.09</v>
      </c>
      <c r="M189" s="3">
        <v>0</v>
      </c>
      <c r="N189" s="3">
        <v>-457.09</v>
      </c>
      <c r="O189" s="3">
        <v>0</v>
      </c>
      <c r="P189" s="2" t="s">
        <v>90</v>
      </c>
    </row>
    <row r="190" spans="1:16">
      <c r="A190" s="2" t="s">
        <v>280</v>
      </c>
      <c r="B190" s="2" t="s">
        <v>1</v>
      </c>
      <c r="C190" s="2" t="s">
        <v>2</v>
      </c>
      <c r="D190" s="2" t="s">
        <v>88</v>
      </c>
      <c r="E190" s="4" t="str">
        <f t="shared" si="2"/>
        <v>2357 - PHI THETA KAPPA</v>
      </c>
      <c r="F190" s="2" t="s">
        <v>54</v>
      </c>
      <c r="G190" s="2" t="s">
        <v>65</v>
      </c>
      <c r="J190" s="5" t="str">
        <f>IF(H190="",VLOOKUP(LEFT(F190,1),'Exp-Rev Categories'!A:B,2,FALSE),IF(ISNA(VLOOKUP(H190,'Exp-Rev Categories'!A:B,2,FALSE)),"Revenue",VLOOKUP(H190,'Exp-Rev Categories'!A:B,2,FALSE)))</f>
        <v>Exp-Goods &amp; Services</v>
      </c>
      <c r="K190" s="2">
        <v>0</v>
      </c>
      <c r="L190" s="3">
        <v>0</v>
      </c>
      <c r="M190" s="3">
        <v>0</v>
      </c>
      <c r="N190" s="3">
        <v>0</v>
      </c>
      <c r="O190" s="3">
        <v>0</v>
      </c>
      <c r="P190" s="2" t="s">
        <v>90</v>
      </c>
    </row>
    <row r="191" spans="1:16">
      <c r="A191" s="2" t="s">
        <v>280</v>
      </c>
      <c r="B191" s="2" t="s">
        <v>1</v>
      </c>
      <c r="C191" s="2" t="s">
        <v>2</v>
      </c>
      <c r="D191" s="2" t="s">
        <v>88</v>
      </c>
      <c r="E191" s="4" t="str">
        <f t="shared" si="2"/>
        <v>2357 - PHI THETA KAPPA</v>
      </c>
      <c r="F191" s="2" t="s">
        <v>54</v>
      </c>
      <c r="G191" s="2" t="s">
        <v>56</v>
      </c>
      <c r="J191" s="5" t="str">
        <f>IF(H191="",VLOOKUP(LEFT(F191,1),'Exp-Rev Categories'!A:B,2,FALSE),IF(ISNA(VLOOKUP(H191,'Exp-Rev Categories'!A:B,2,FALSE)),"Revenue",VLOOKUP(H191,'Exp-Rev Categories'!A:B,2,FALSE)))</f>
        <v>Exp-Goods &amp; Services</v>
      </c>
      <c r="K191" s="2">
        <v>0</v>
      </c>
      <c r="L191" s="3">
        <v>867</v>
      </c>
      <c r="M191" s="3">
        <v>0</v>
      </c>
      <c r="N191" s="3">
        <v>-867</v>
      </c>
      <c r="O191" s="3">
        <v>0</v>
      </c>
      <c r="P191" s="2" t="s">
        <v>90</v>
      </c>
    </row>
    <row r="192" spans="1:16">
      <c r="A192" s="2" t="s">
        <v>280</v>
      </c>
      <c r="B192" s="2" t="s">
        <v>1</v>
      </c>
      <c r="C192" s="2" t="s">
        <v>2</v>
      </c>
      <c r="D192" s="2" t="s">
        <v>88</v>
      </c>
      <c r="E192" s="4" t="str">
        <f t="shared" si="2"/>
        <v>2357 - PHI THETA KAPPA</v>
      </c>
      <c r="F192" s="2" t="s">
        <v>84</v>
      </c>
      <c r="G192" s="2" t="s">
        <v>24</v>
      </c>
      <c r="J192" s="5" t="str">
        <f>IF(H192="",VLOOKUP(LEFT(F192,1),'Exp-Rev Categories'!A:B,2,FALSE),IF(ISNA(VLOOKUP(H192,'Exp-Rev Categories'!A:B,2,FALSE)),"Revenue",VLOOKUP(H192,'Exp-Rev Categories'!A:B,2,FALSE)))</f>
        <v>Exp-Goods &amp; Services</v>
      </c>
      <c r="K192" s="2">
        <v>0</v>
      </c>
      <c r="L192" s="3">
        <v>0</v>
      </c>
      <c r="M192" s="3">
        <v>0</v>
      </c>
      <c r="N192" s="3">
        <v>0</v>
      </c>
      <c r="O192" s="3">
        <v>0</v>
      </c>
      <c r="P192" s="2" t="s">
        <v>90</v>
      </c>
    </row>
    <row r="193" spans="1:16">
      <c r="A193" s="2" t="s">
        <v>280</v>
      </c>
      <c r="B193" s="2" t="s">
        <v>1</v>
      </c>
      <c r="C193" s="2" t="s">
        <v>2</v>
      </c>
      <c r="D193" s="2" t="s">
        <v>88</v>
      </c>
      <c r="E193" s="4" t="str">
        <f t="shared" si="2"/>
        <v>2357 - PHI THETA KAPPA</v>
      </c>
      <c r="F193" s="2" t="s">
        <v>41</v>
      </c>
      <c r="G193" s="2" t="s">
        <v>66</v>
      </c>
      <c r="J193" s="5" t="str">
        <f>IF(H193="",VLOOKUP(LEFT(F193,1),'Exp-Rev Categories'!A:B,2,FALSE),IF(ISNA(VLOOKUP(H193,'Exp-Rev Categories'!A:B,2,FALSE)),"Revenue",VLOOKUP(H193,'Exp-Rev Categories'!A:B,2,FALSE)))</f>
        <v>Exp-Goods &amp; Services</v>
      </c>
      <c r="K193" s="2">
        <v>0</v>
      </c>
      <c r="L193" s="3">
        <v>11.5</v>
      </c>
      <c r="M193" s="3">
        <v>0</v>
      </c>
      <c r="N193" s="3">
        <v>-11.5</v>
      </c>
      <c r="O193" s="3">
        <v>0</v>
      </c>
      <c r="P193" s="2" t="s">
        <v>90</v>
      </c>
    </row>
    <row r="194" spans="1:16">
      <c r="A194" s="2" t="s">
        <v>280</v>
      </c>
      <c r="B194" s="2" t="s">
        <v>1</v>
      </c>
      <c r="C194" s="2" t="s">
        <v>2</v>
      </c>
      <c r="D194" s="2" t="s">
        <v>88</v>
      </c>
      <c r="E194" s="4" t="str">
        <f t="shared" ref="E194:E257" si="3">D194&amp;" - "&amp;P194</f>
        <v>2357 - PHI THETA KAPPA</v>
      </c>
      <c r="F194" s="2" t="s">
        <v>41</v>
      </c>
      <c r="G194" s="2" t="s">
        <v>7</v>
      </c>
      <c r="J194" s="5" t="str">
        <f>IF(H194="",VLOOKUP(LEFT(F194,1),'Exp-Rev Categories'!A:B,2,FALSE),IF(ISNA(VLOOKUP(H194,'Exp-Rev Categories'!A:B,2,FALSE)),"Revenue",VLOOKUP(H194,'Exp-Rev Categories'!A:B,2,FALSE)))</f>
        <v>Exp-Goods &amp; Services</v>
      </c>
      <c r="K194" s="2">
        <v>0</v>
      </c>
      <c r="L194" s="3">
        <v>875.86</v>
      </c>
      <c r="M194" s="3">
        <v>0</v>
      </c>
      <c r="N194" s="3">
        <v>-875.86</v>
      </c>
      <c r="O194" s="3">
        <v>0</v>
      </c>
      <c r="P194" s="2" t="s">
        <v>90</v>
      </c>
    </row>
    <row r="195" spans="1:16">
      <c r="A195" s="2" t="s">
        <v>280</v>
      </c>
      <c r="B195" s="2" t="s">
        <v>1</v>
      </c>
      <c r="C195" s="2" t="s">
        <v>2</v>
      </c>
      <c r="D195" s="2" t="s">
        <v>88</v>
      </c>
      <c r="E195" s="4" t="str">
        <f t="shared" si="3"/>
        <v>2357 - PHI THETA KAPPA</v>
      </c>
      <c r="F195" s="2" t="s">
        <v>267</v>
      </c>
      <c r="J195" s="5" t="str">
        <f>IF(H195="",VLOOKUP(LEFT(F195,1),'Exp-Rev Categories'!A:B,2,FALSE),IF(ISNA(VLOOKUP(H195,'Exp-Rev Categories'!A:B,2,FALSE)),"Revenue",VLOOKUP(H195,'Exp-Rev Categories'!A:B,2,FALSE)))</f>
        <v>Exp-Travel</v>
      </c>
      <c r="K195" s="2">
        <v>0</v>
      </c>
      <c r="L195" s="3">
        <v>0</v>
      </c>
      <c r="M195" s="3">
        <v>0</v>
      </c>
      <c r="N195" s="3">
        <v>0</v>
      </c>
      <c r="O195" s="3">
        <v>0</v>
      </c>
      <c r="P195" s="2" t="s">
        <v>90</v>
      </c>
    </row>
    <row r="196" spans="1:16">
      <c r="A196" s="2" t="s">
        <v>280</v>
      </c>
      <c r="B196" s="2" t="s">
        <v>1</v>
      </c>
      <c r="C196" s="2" t="s">
        <v>2</v>
      </c>
      <c r="D196" s="2" t="s">
        <v>88</v>
      </c>
      <c r="E196" s="4" t="str">
        <f t="shared" si="3"/>
        <v>2357 - PHI THETA KAPPA</v>
      </c>
      <c r="F196" s="2" t="s">
        <v>87</v>
      </c>
      <c r="G196" s="2" t="s">
        <v>24</v>
      </c>
      <c r="J196" s="5" t="str">
        <f>IF(H196="",VLOOKUP(LEFT(F196,1),'Exp-Rev Categories'!A:B,2,FALSE),IF(ISNA(VLOOKUP(H196,'Exp-Rev Categories'!A:B,2,FALSE)),"Revenue",VLOOKUP(H196,'Exp-Rev Categories'!A:B,2,FALSE)))</f>
        <v>Exp-Travel</v>
      </c>
      <c r="K196" s="2">
        <v>0</v>
      </c>
      <c r="L196" s="3">
        <v>629.4</v>
      </c>
      <c r="M196" s="3">
        <v>0</v>
      </c>
      <c r="N196" s="3">
        <v>-629.4</v>
      </c>
      <c r="O196" s="3">
        <v>0</v>
      </c>
      <c r="P196" s="2" t="s">
        <v>90</v>
      </c>
    </row>
    <row r="197" spans="1:16">
      <c r="A197" s="2" t="s">
        <v>280</v>
      </c>
      <c r="B197" s="2" t="s">
        <v>1</v>
      </c>
      <c r="C197" s="2" t="s">
        <v>2</v>
      </c>
      <c r="D197" s="2" t="s">
        <v>88</v>
      </c>
      <c r="E197" s="4" t="str">
        <f t="shared" si="3"/>
        <v>2357 - PHI THETA KAPPA</v>
      </c>
      <c r="F197" s="2" t="s">
        <v>44</v>
      </c>
      <c r="G197" s="2" t="s">
        <v>24</v>
      </c>
      <c r="J197" s="5" t="str">
        <f>IF(H197="",VLOOKUP(LEFT(F197,1),'Exp-Rev Categories'!A:B,2,FALSE),IF(ISNA(VLOOKUP(H197,'Exp-Rev Categories'!A:B,2,FALSE)),"Revenue",VLOOKUP(H197,'Exp-Rev Categories'!A:B,2,FALSE)))</f>
        <v>Exp-Travel</v>
      </c>
      <c r="K197" s="2">
        <v>0</v>
      </c>
      <c r="L197" s="3">
        <v>132</v>
      </c>
      <c r="M197" s="3">
        <v>0</v>
      </c>
      <c r="N197" s="3">
        <v>-132</v>
      </c>
      <c r="O197" s="3">
        <v>0</v>
      </c>
      <c r="P197" s="2" t="s">
        <v>90</v>
      </c>
    </row>
    <row r="198" spans="1:16">
      <c r="A198" s="2" t="s">
        <v>280</v>
      </c>
      <c r="B198" s="2" t="s">
        <v>1</v>
      </c>
      <c r="C198" s="2" t="s">
        <v>2</v>
      </c>
      <c r="D198" s="2" t="s">
        <v>88</v>
      </c>
      <c r="E198" s="4" t="str">
        <f t="shared" si="3"/>
        <v>2357 - PHI THETA KAPPA</v>
      </c>
      <c r="F198" s="2" t="s">
        <v>44</v>
      </c>
      <c r="G198" s="2" t="s">
        <v>21</v>
      </c>
      <c r="J198" s="5" t="str">
        <f>IF(H198="",VLOOKUP(LEFT(F198,1),'Exp-Rev Categories'!A:B,2,FALSE),IF(ISNA(VLOOKUP(H198,'Exp-Rev Categories'!A:B,2,FALSE)),"Revenue",VLOOKUP(H198,'Exp-Rev Categories'!A:B,2,FALSE)))</f>
        <v>Exp-Travel</v>
      </c>
      <c r="K198" s="2">
        <v>0</v>
      </c>
      <c r="L198" s="3">
        <v>9.5</v>
      </c>
      <c r="M198" s="3">
        <v>0</v>
      </c>
      <c r="N198" s="3">
        <v>-9.5</v>
      </c>
      <c r="O198" s="3">
        <v>0</v>
      </c>
      <c r="P198" s="2" t="s">
        <v>90</v>
      </c>
    </row>
    <row r="199" spans="1:16">
      <c r="A199" s="2" t="s">
        <v>280</v>
      </c>
      <c r="B199" s="2" t="s">
        <v>1</v>
      </c>
      <c r="C199" s="2" t="s">
        <v>2</v>
      </c>
      <c r="D199" s="2" t="s">
        <v>88</v>
      </c>
      <c r="E199" s="4" t="str">
        <f t="shared" si="3"/>
        <v>2357 - PHI THETA KAPPA</v>
      </c>
      <c r="F199" s="2" t="s">
        <v>44</v>
      </c>
      <c r="G199" s="2" t="s">
        <v>7</v>
      </c>
      <c r="J199" s="5" t="str">
        <f>IF(H199="",VLOOKUP(LEFT(F199,1),'Exp-Rev Categories'!A:B,2,FALSE),IF(ISNA(VLOOKUP(H199,'Exp-Rev Categories'!A:B,2,FALSE)),"Revenue",VLOOKUP(H199,'Exp-Rev Categories'!A:B,2,FALSE)))</f>
        <v>Exp-Travel</v>
      </c>
      <c r="K199" s="2">
        <v>0</v>
      </c>
      <c r="L199" s="3">
        <v>67.64</v>
      </c>
      <c r="M199" s="3">
        <v>0</v>
      </c>
      <c r="N199" s="3">
        <v>-67.64</v>
      </c>
      <c r="O199" s="3">
        <v>0</v>
      </c>
      <c r="P199" s="2" t="s">
        <v>90</v>
      </c>
    </row>
    <row r="200" spans="1:16">
      <c r="A200" s="2" t="s">
        <v>280</v>
      </c>
      <c r="B200" s="2" t="s">
        <v>1</v>
      </c>
      <c r="C200" s="2" t="s">
        <v>2</v>
      </c>
      <c r="D200" s="2" t="s">
        <v>88</v>
      </c>
      <c r="E200" s="4" t="str">
        <f t="shared" si="3"/>
        <v>2357 - PHI THETA KAPPA</v>
      </c>
      <c r="F200" s="2" t="s">
        <v>44</v>
      </c>
      <c r="G200" s="2" t="s">
        <v>65</v>
      </c>
      <c r="J200" s="5" t="str">
        <f>IF(H200="",VLOOKUP(LEFT(F200,1),'Exp-Rev Categories'!A:B,2,FALSE),IF(ISNA(VLOOKUP(H200,'Exp-Rev Categories'!A:B,2,FALSE)),"Revenue",VLOOKUP(H200,'Exp-Rev Categories'!A:B,2,FALSE)))</f>
        <v>Exp-Travel</v>
      </c>
      <c r="K200" s="2">
        <v>0</v>
      </c>
      <c r="L200" s="3">
        <v>748.58</v>
      </c>
      <c r="M200" s="3">
        <v>0</v>
      </c>
      <c r="N200" s="3">
        <v>-748.58</v>
      </c>
      <c r="O200" s="3">
        <v>0</v>
      </c>
      <c r="P200" s="2" t="s">
        <v>90</v>
      </c>
    </row>
    <row r="201" spans="1:16">
      <c r="A201" s="2" t="s">
        <v>280</v>
      </c>
      <c r="B201" s="2" t="s">
        <v>1</v>
      </c>
      <c r="C201" s="2" t="s">
        <v>2</v>
      </c>
      <c r="D201" s="2" t="s">
        <v>88</v>
      </c>
      <c r="E201" s="4" t="str">
        <f t="shared" si="3"/>
        <v>2357 - PHI THETA KAPPA</v>
      </c>
      <c r="F201" s="2" t="s">
        <v>59</v>
      </c>
      <c r="G201" s="2" t="s">
        <v>24</v>
      </c>
      <c r="J201" s="5" t="str">
        <f>IF(H201="",VLOOKUP(LEFT(F201,1),'Exp-Rev Categories'!A:B,2,FALSE),IF(ISNA(VLOOKUP(H201,'Exp-Rev Categories'!A:B,2,FALSE)),"Revenue",VLOOKUP(H201,'Exp-Rev Categories'!A:B,2,FALSE)))</f>
        <v>Exp-Travel</v>
      </c>
      <c r="K201" s="2">
        <v>0</v>
      </c>
      <c r="L201" s="3">
        <v>1868.35</v>
      </c>
      <c r="M201" s="3">
        <v>0</v>
      </c>
      <c r="N201" s="3">
        <v>-1868.35</v>
      </c>
      <c r="O201" s="3">
        <v>0</v>
      </c>
      <c r="P201" s="2" t="s">
        <v>90</v>
      </c>
    </row>
    <row r="202" spans="1:16">
      <c r="A202" s="2" t="s">
        <v>280</v>
      </c>
      <c r="B202" s="2" t="s">
        <v>1</v>
      </c>
      <c r="C202" s="2" t="s">
        <v>2</v>
      </c>
      <c r="D202" s="2" t="s">
        <v>88</v>
      </c>
      <c r="E202" s="4" t="str">
        <f t="shared" si="3"/>
        <v>2357 - PHI THETA KAPPA</v>
      </c>
      <c r="F202" s="2" t="s">
        <v>59</v>
      </c>
      <c r="G202" s="2" t="s">
        <v>55</v>
      </c>
      <c r="J202" s="5" t="str">
        <f>IF(H202="",VLOOKUP(LEFT(F202,1),'Exp-Rev Categories'!A:B,2,FALSE),IF(ISNA(VLOOKUP(H202,'Exp-Rev Categories'!A:B,2,FALSE)),"Revenue",VLOOKUP(H202,'Exp-Rev Categories'!A:B,2,FALSE)))</f>
        <v>Exp-Travel</v>
      </c>
      <c r="K202" s="2">
        <v>0</v>
      </c>
      <c r="L202" s="3">
        <v>331.6</v>
      </c>
      <c r="M202" s="3">
        <v>0</v>
      </c>
      <c r="N202" s="3">
        <v>-331.6</v>
      </c>
      <c r="O202" s="3">
        <v>0</v>
      </c>
      <c r="P202" s="2" t="s">
        <v>90</v>
      </c>
    </row>
    <row r="203" spans="1:16">
      <c r="A203" s="2" t="s">
        <v>280</v>
      </c>
      <c r="B203" s="2" t="s">
        <v>1</v>
      </c>
      <c r="C203" s="2" t="s">
        <v>2</v>
      </c>
      <c r="D203" s="2" t="s">
        <v>88</v>
      </c>
      <c r="E203" s="4" t="str">
        <f t="shared" si="3"/>
        <v>2357 - PHI THETA KAPPA</v>
      </c>
      <c r="F203" s="2" t="s">
        <v>60</v>
      </c>
      <c r="G203" s="2" t="s">
        <v>24</v>
      </c>
      <c r="J203" s="5" t="str">
        <f>IF(H203="",VLOOKUP(LEFT(F203,1),'Exp-Rev Categories'!A:B,2,FALSE),IF(ISNA(VLOOKUP(H203,'Exp-Rev Categories'!A:B,2,FALSE)),"Revenue",VLOOKUP(H203,'Exp-Rev Categories'!A:B,2,FALSE)))</f>
        <v>Exp-Travel</v>
      </c>
      <c r="K203" s="2">
        <v>0</v>
      </c>
      <c r="L203" s="3">
        <v>1510.8</v>
      </c>
      <c r="M203" s="3">
        <v>0</v>
      </c>
      <c r="N203" s="3">
        <v>-1510.8</v>
      </c>
      <c r="O203" s="3">
        <v>0</v>
      </c>
      <c r="P203" s="2" t="s">
        <v>90</v>
      </c>
    </row>
    <row r="204" spans="1:16">
      <c r="A204" s="2" t="s">
        <v>280</v>
      </c>
      <c r="B204" s="2" t="s">
        <v>1</v>
      </c>
      <c r="C204" s="2" t="s">
        <v>2</v>
      </c>
      <c r="D204" s="2" t="s">
        <v>91</v>
      </c>
      <c r="E204" s="4" t="str">
        <f t="shared" si="3"/>
        <v>2360 - DELTA EPSILON CHI</v>
      </c>
      <c r="H204" s="2" t="s">
        <v>51</v>
      </c>
      <c r="I204" s="2" t="s">
        <v>92</v>
      </c>
      <c r="J204" s="5" t="str">
        <f>IF(H204="",VLOOKUP(LEFT(F204,1),'Exp-Rev Categories'!A:B,2,FALSE),IF(ISNA(VLOOKUP(H204,'Exp-Rev Categories'!A:B,2,FALSE)),"Revenue",VLOOKUP(H204,'Exp-Rev Categories'!A:B,2,FALSE)))</f>
        <v>Revenue</v>
      </c>
      <c r="K204" s="2">
        <v>0</v>
      </c>
      <c r="L204" s="3">
        <v>-6385.65</v>
      </c>
      <c r="M204" s="3">
        <v>0</v>
      </c>
      <c r="N204" s="3">
        <v>6385.65</v>
      </c>
      <c r="O204" s="3">
        <v>0</v>
      </c>
      <c r="P204" s="2" t="s">
        <v>93</v>
      </c>
    </row>
    <row r="205" spans="1:16">
      <c r="A205" s="2" t="s">
        <v>280</v>
      </c>
      <c r="B205" s="2" t="s">
        <v>1</v>
      </c>
      <c r="C205" s="2" t="s">
        <v>2</v>
      </c>
      <c r="D205" s="2" t="s">
        <v>91</v>
      </c>
      <c r="E205" s="4" t="str">
        <f t="shared" si="3"/>
        <v>2360 - DELTA EPSILON CHI</v>
      </c>
      <c r="H205" s="2" t="s">
        <v>43</v>
      </c>
      <c r="J205" s="5" t="str">
        <f>IF(H205="",VLOOKUP(LEFT(F205,1),'Exp-Rev Categories'!A:B,2,FALSE),IF(ISNA(VLOOKUP(H205,'Exp-Rev Categories'!A:B,2,FALSE)),"Revenue",VLOOKUP(H205,'Exp-Rev Categories'!A:B,2,FALSE)))</f>
        <v>Rev-Intra-Fund Transfer</v>
      </c>
      <c r="K205" s="2">
        <v>0</v>
      </c>
      <c r="L205" s="3">
        <v>0</v>
      </c>
      <c r="M205" s="3">
        <v>0</v>
      </c>
      <c r="N205" s="3">
        <v>0</v>
      </c>
      <c r="O205" s="3">
        <v>0</v>
      </c>
      <c r="P205" s="2" t="s">
        <v>93</v>
      </c>
    </row>
    <row r="206" spans="1:16">
      <c r="A206" s="2" t="s">
        <v>280</v>
      </c>
      <c r="B206" s="2" t="s">
        <v>1</v>
      </c>
      <c r="C206" s="2" t="s">
        <v>2</v>
      </c>
      <c r="D206" s="2" t="s">
        <v>91</v>
      </c>
      <c r="E206" s="4" t="str">
        <f t="shared" si="3"/>
        <v>2360 - DELTA EPSILON CHI</v>
      </c>
      <c r="F206" s="2" t="s">
        <v>29</v>
      </c>
      <c r="J206" s="5" t="str">
        <f>IF(H206="",VLOOKUP(LEFT(F206,1),'Exp-Rev Categories'!A:B,2,FALSE),IF(ISNA(VLOOKUP(H206,'Exp-Rev Categories'!A:B,2,FALSE)),"Revenue",VLOOKUP(H206,'Exp-Rev Categories'!A:B,2,FALSE)))</f>
        <v>Exp-Goods &amp; Services</v>
      </c>
      <c r="K206" s="2">
        <v>36847</v>
      </c>
      <c r="L206" s="3">
        <v>0</v>
      </c>
      <c r="M206" s="3">
        <v>0</v>
      </c>
      <c r="N206" s="3">
        <v>36847</v>
      </c>
      <c r="O206" s="3">
        <v>0</v>
      </c>
      <c r="P206" s="2" t="s">
        <v>93</v>
      </c>
    </row>
    <row r="207" spans="1:16">
      <c r="A207" s="2" t="s">
        <v>280</v>
      </c>
      <c r="B207" s="2" t="s">
        <v>1</v>
      </c>
      <c r="C207" s="2" t="s">
        <v>2</v>
      </c>
      <c r="D207" s="2" t="s">
        <v>91</v>
      </c>
      <c r="E207" s="4" t="str">
        <f t="shared" si="3"/>
        <v>2360 - DELTA EPSILON CHI</v>
      </c>
      <c r="F207" s="2" t="s">
        <v>23</v>
      </c>
      <c r="G207" s="2" t="s">
        <v>24</v>
      </c>
      <c r="J207" s="5" t="str">
        <f>IF(H207="",VLOOKUP(LEFT(F207,1),'Exp-Rev Categories'!A:B,2,FALSE),IF(ISNA(VLOOKUP(H207,'Exp-Rev Categories'!A:B,2,FALSE)),"Revenue",VLOOKUP(H207,'Exp-Rev Categories'!A:B,2,FALSE)))</f>
        <v>Exp-Goods &amp; Services</v>
      </c>
      <c r="K207" s="2">
        <v>0</v>
      </c>
      <c r="L207" s="3">
        <v>992.92</v>
      </c>
      <c r="M207" s="3">
        <v>0</v>
      </c>
      <c r="N207" s="3">
        <v>-992.92</v>
      </c>
      <c r="O207" s="3">
        <v>0</v>
      </c>
      <c r="P207" s="2" t="s">
        <v>93</v>
      </c>
    </row>
    <row r="208" spans="1:16">
      <c r="A208" s="2" t="s">
        <v>280</v>
      </c>
      <c r="B208" s="2" t="s">
        <v>1</v>
      </c>
      <c r="C208" s="2" t="s">
        <v>2</v>
      </c>
      <c r="D208" s="2" t="s">
        <v>91</v>
      </c>
      <c r="E208" s="4" t="str">
        <f t="shared" si="3"/>
        <v>2360 - DELTA EPSILON CHI</v>
      </c>
      <c r="F208" s="2" t="s">
        <v>94</v>
      </c>
      <c r="G208" s="2" t="s">
        <v>95</v>
      </c>
      <c r="J208" s="5" t="str">
        <f>IF(H208="",VLOOKUP(LEFT(F208,1),'Exp-Rev Categories'!A:B,2,FALSE),IF(ISNA(VLOOKUP(H208,'Exp-Rev Categories'!A:B,2,FALSE)),"Revenue",VLOOKUP(H208,'Exp-Rev Categories'!A:B,2,FALSE)))</f>
        <v>Exp-Goods &amp; Services</v>
      </c>
      <c r="K208" s="2">
        <v>0</v>
      </c>
      <c r="L208" s="3">
        <v>208.71</v>
      </c>
      <c r="M208" s="3">
        <v>0</v>
      </c>
      <c r="N208" s="3">
        <v>-208.71</v>
      </c>
      <c r="O208" s="3">
        <v>0</v>
      </c>
      <c r="P208" s="2" t="s">
        <v>93</v>
      </c>
    </row>
    <row r="209" spans="1:16">
      <c r="A209" s="2" t="s">
        <v>280</v>
      </c>
      <c r="B209" s="2" t="s">
        <v>1</v>
      </c>
      <c r="C209" s="2" t="s">
        <v>2</v>
      </c>
      <c r="D209" s="2" t="s">
        <v>91</v>
      </c>
      <c r="E209" s="4" t="str">
        <f t="shared" si="3"/>
        <v>2360 - DELTA EPSILON CHI</v>
      </c>
      <c r="F209" s="2" t="s">
        <v>94</v>
      </c>
      <c r="G209" s="2" t="s">
        <v>96</v>
      </c>
      <c r="J209" s="5" t="str">
        <f>IF(H209="",VLOOKUP(LEFT(F209,1),'Exp-Rev Categories'!A:B,2,FALSE),IF(ISNA(VLOOKUP(H209,'Exp-Rev Categories'!A:B,2,FALSE)),"Revenue",VLOOKUP(H209,'Exp-Rev Categories'!A:B,2,FALSE)))</f>
        <v>Exp-Goods &amp; Services</v>
      </c>
      <c r="K209" s="2">
        <v>0</v>
      </c>
      <c r="L209" s="3">
        <v>211.15</v>
      </c>
      <c r="M209" s="3">
        <v>0</v>
      </c>
      <c r="N209" s="3">
        <v>-211.15</v>
      </c>
      <c r="O209" s="3">
        <v>0</v>
      </c>
      <c r="P209" s="2" t="s">
        <v>93</v>
      </c>
    </row>
    <row r="210" spans="1:16">
      <c r="A210" s="2" t="s">
        <v>280</v>
      </c>
      <c r="B210" s="2" t="s">
        <v>1</v>
      </c>
      <c r="C210" s="2" t="s">
        <v>2</v>
      </c>
      <c r="D210" s="2" t="s">
        <v>91</v>
      </c>
      <c r="E210" s="4" t="str">
        <f t="shared" si="3"/>
        <v>2360 - DELTA EPSILON CHI</v>
      </c>
      <c r="F210" s="2" t="s">
        <v>54</v>
      </c>
      <c r="G210" s="2" t="s">
        <v>65</v>
      </c>
      <c r="J210" s="5" t="str">
        <f>IF(H210="",VLOOKUP(LEFT(F210,1),'Exp-Rev Categories'!A:B,2,FALSE),IF(ISNA(VLOOKUP(H210,'Exp-Rev Categories'!A:B,2,FALSE)),"Revenue",VLOOKUP(H210,'Exp-Rev Categories'!A:B,2,FALSE)))</f>
        <v>Exp-Goods &amp; Services</v>
      </c>
      <c r="K210" s="2">
        <v>0</v>
      </c>
      <c r="L210" s="3">
        <v>260</v>
      </c>
      <c r="M210" s="3">
        <v>0</v>
      </c>
      <c r="N210" s="3">
        <v>-260</v>
      </c>
      <c r="O210" s="3">
        <v>0</v>
      </c>
      <c r="P210" s="2" t="s">
        <v>93</v>
      </c>
    </row>
    <row r="211" spans="1:16">
      <c r="A211" s="2" t="s">
        <v>280</v>
      </c>
      <c r="B211" s="2" t="s">
        <v>1</v>
      </c>
      <c r="C211" s="2" t="s">
        <v>2</v>
      </c>
      <c r="D211" s="2" t="s">
        <v>91</v>
      </c>
      <c r="E211" s="4" t="str">
        <f t="shared" si="3"/>
        <v>2360 - DELTA EPSILON CHI</v>
      </c>
      <c r="F211" s="2" t="s">
        <v>54</v>
      </c>
      <c r="G211" s="2" t="s">
        <v>56</v>
      </c>
      <c r="J211" s="5" t="str">
        <f>IF(H211="",VLOOKUP(LEFT(F211,1),'Exp-Rev Categories'!A:B,2,FALSE),IF(ISNA(VLOOKUP(H211,'Exp-Rev Categories'!A:B,2,FALSE)),"Revenue",VLOOKUP(H211,'Exp-Rev Categories'!A:B,2,FALSE)))</f>
        <v>Exp-Goods &amp; Services</v>
      </c>
      <c r="K211" s="2">
        <v>0</v>
      </c>
      <c r="L211" s="3">
        <v>8621.68</v>
      </c>
      <c r="M211" s="3">
        <v>0</v>
      </c>
      <c r="N211" s="3">
        <v>-8621.68</v>
      </c>
      <c r="O211" s="3">
        <v>0</v>
      </c>
      <c r="P211" s="2" t="s">
        <v>93</v>
      </c>
    </row>
    <row r="212" spans="1:16">
      <c r="A212" s="2" t="s">
        <v>280</v>
      </c>
      <c r="B212" s="2" t="s">
        <v>1</v>
      </c>
      <c r="C212" s="2" t="s">
        <v>2</v>
      </c>
      <c r="D212" s="2" t="s">
        <v>91</v>
      </c>
      <c r="E212" s="4" t="str">
        <f t="shared" si="3"/>
        <v>2360 - DELTA EPSILON CHI</v>
      </c>
      <c r="F212" s="2" t="s">
        <v>41</v>
      </c>
      <c r="G212" s="2" t="s">
        <v>24</v>
      </c>
      <c r="J212" s="5" t="str">
        <f>IF(H212="",VLOOKUP(LEFT(F212,1),'Exp-Rev Categories'!A:B,2,FALSE),IF(ISNA(VLOOKUP(H212,'Exp-Rev Categories'!A:B,2,FALSE)),"Revenue",VLOOKUP(H212,'Exp-Rev Categories'!A:B,2,FALSE)))</f>
        <v>Exp-Goods &amp; Services</v>
      </c>
      <c r="K212" s="2">
        <v>0</v>
      </c>
      <c r="L212" s="3">
        <v>14</v>
      </c>
      <c r="M212" s="3">
        <v>0</v>
      </c>
      <c r="N212" s="3">
        <v>-14</v>
      </c>
      <c r="O212" s="3">
        <v>0</v>
      </c>
      <c r="P212" s="2" t="s">
        <v>93</v>
      </c>
    </row>
    <row r="213" spans="1:16">
      <c r="A213" s="2" t="s">
        <v>280</v>
      </c>
      <c r="B213" s="2" t="s">
        <v>1</v>
      </c>
      <c r="C213" s="2" t="s">
        <v>2</v>
      </c>
      <c r="D213" s="2" t="s">
        <v>91</v>
      </c>
      <c r="E213" s="4" t="str">
        <f t="shared" si="3"/>
        <v>2360 - DELTA EPSILON CHI</v>
      </c>
      <c r="F213" s="2" t="s">
        <v>41</v>
      </c>
      <c r="G213" s="2" t="s">
        <v>66</v>
      </c>
      <c r="J213" s="5" t="str">
        <f>IF(H213="",VLOOKUP(LEFT(F213,1),'Exp-Rev Categories'!A:B,2,FALSE),IF(ISNA(VLOOKUP(H213,'Exp-Rev Categories'!A:B,2,FALSE)),"Revenue",VLOOKUP(H213,'Exp-Rev Categories'!A:B,2,FALSE)))</f>
        <v>Exp-Goods &amp; Services</v>
      </c>
      <c r="K213" s="2">
        <v>0</v>
      </c>
      <c r="L213" s="3">
        <v>288.89999999999998</v>
      </c>
      <c r="M213" s="3">
        <v>0</v>
      </c>
      <c r="N213" s="3">
        <v>-288.89999999999998</v>
      </c>
      <c r="O213" s="3">
        <v>0</v>
      </c>
      <c r="P213" s="2" t="s">
        <v>93</v>
      </c>
    </row>
    <row r="214" spans="1:16">
      <c r="A214" s="2" t="s">
        <v>280</v>
      </c>
      <c r="B214" s="2" t="s">
        <v>1</v>
      </c>
      <c r="C214" s="2" t="s">
        <v>2</v>
      </c>
      <c r="D214" s="2" t="s">
        <v>91</v>
      </c>
      <c r="E214" s="4" t="str">
        <f t="shared" si="3"/>
        <v>2360 - DELTA EPSILON CHI</v>
      </c>
      <c r="F214" s="2" t="s">
        <v>41</v>
      </c>
      <c r="G214" s="2" t="s">
        <v>7</v>
      </c>
      <c r="J214" s="5" t="str">
        <f>IF(H214="",VLOOKUP(LEFT(F214,1),'Exp-Rev Categories'!A:B,2,FALSE),IF(ISNA(VLOOKUP(H214,'Exp-Rev Categories'!A:B,2,FALSE)),"Revenue",VLOOKUP(H214,'Exp-Rev Categories'!A:B,2,FALSE)))</f>
        <v>Exp-Goods &amp; Services</v>
      </c>
      <c r="K214" s="2">
        <v>0</v>
      </c>
      <c r="L214" s="3">
        <v>1453.54</v>
      </c>
      <c r="M214" s="3">
        <v>0</v>
      </c>
      <c r="N214" s="3">
        <v>-1453.54</v>
      </c>
      <c r="O214" s="3">
        <v>0</v>
      </c>
      <c r="P214" s="2" t="s">
        <v>93</v>
      </c>
    </row>
    <row r="215" spans="1:16">
      <c r="A215" s="2" t="s">
        <v>280</v>
      </c>
      <c r="B215" s="2" t="s">
        <v>1</v>
      </c>
      <c r="C215" s="2" t="s">
        <v>2</v>
      </c>
      <c r="D215" s="2" t="s">
        <v>91</v>
      </c>
      <c r="E215" s="4" t="str">
        <f t="shared" si="3"/>
        <v>2360 - DELTA EPSILON CHI</v>
      </c>
      <c r="F215" s="2" t="s">
        <v>267</v>
      </c>
      <c r="J215" s="5" t="str">
        <f>IF(H215="",VLOOKUP(LEFT(F215,1),'Exp-Rev Categories'!A:B,2,FALSE),IF(ISNA(VLOOKUP(H215,'Exp-Rev Categories'!A:B,2,FALSE)),"Revenue",VLOOKUP(H215,'Exp-Rev Categories'!A:B,2,FALSE)))</f>
        <v>Exp-Travel</v>
      </c>
      <c r="K215" s="2">
        <v>0</v>
      </c>
      <c r="L215" s="3">
        <v>0</v>
      </c>
      <c r="M215" s="3">
        <v>0</v>
      </c>
      <c r="N215" s="3">
        <v>0</v>
      </c>
      <c r="O215" s="3">
        <v>0</v>
      </c>
      <c r="P215" s="2" t="s">
        <v>93</v>
      </c>
    </row>
    <row r="216" spans="1:16">
      <c r="A216" s="2" t="s">
        <v>280</v>
      </c>
      <c r="B216" s="2" t="s">
        <v>1</v>
      </c>
      <c r="C216" s="2" t="s">
        <v>2</v>
      </c>
      <c r="D216" s="2" t="s">
        <v>91</v>
      </c>
      <c r="E216" s="4" t="str">
        <f t="shared" si="3"/>
        <v>2360 - DELTA EPSILON CHI</v>
      </c>
      <c r="F216" s="2" t="s">
        <v>67</v>
      </c>
      <c r="G216" s="2" t="s">
        <v>24</v>
      </c>
      <c r="J216" s="5" t="str">
        <f>IF(H216="",VLOOKUP(LEFT(F216,1),'Exp-Rev Categories'!A:B,2,FALSE),IF(ISNA(VLOOKUP(H216,'Exp-Rev Categories'!A:B,2,FALSE)),"Revenue",VLOOKUP(H216,'Exp-Rev Categories'!A:B,2,FALSE)))</f>
        <v>Exp-Travel</v>
      </c>
      <c r="K216" s="2">
        <v>0</v>
      </c>
      <c r="L216" s="3">
        <v>4954.84</v>
      </c>
      <c r="M216" s="3">
        <v>0</v>
      </c>
      <c r="N216" s="3">
        <v>-4954.84</v>
      </c>
      <c r="O216" s="3">
        <v>0</v>
      </c>
      <c r="P216" s="2" t="s">
        <v>93</v>
      </c>
    </row>
    <row r="217" spans="1:16">
      <c r="A217" s="2" t="s">
        <v>280</v>
      </c>
      <c r="B217" s="2" t="s">
        <v>1</v>
      </c>
      <c r="C217" s="2" t="s">
        <v>2</v>
      </c>
      <c r="D217" s="2" t="s">
        <v>91</v>
      </c>
      <c r="E217" s="4" t="str">
        <f t="shared" si="3"/>
        <v>2360 - DELTA EPSILON CHI</v>
      </c>
      <c r="F217" s="2" t="s">
        <v>87</v>
      </c>
      <c r="G217" s="2" t="s">
        <v>24</v>
      </c>
      <c r="J217" s="5" t="str">
        <f>IF(H217="",VLOOKUP(LEFT(F217,1),'Exp-Rev Categories'!A:B,2,FALSE),IF(ISNA(VLOOKUP(H217,'Exp-Rev Categories'!A:B,2,FALSE)),"Revenue",VLOOKUP(H217,'Exp-Rev Categories'!A:B,2,FALSE)))</f>
        <v>Exp-Travel</v>
      </c>
      <c r="K217" s="2">
        <v>0</v>
      </c>
      <c r="L217" s="3">
        <v>18</v>
      </c>
      <c r="M217" s="3">
        <v>0</v>
      </c>
      <c r="N217" s="3">
        <v>-18</v>
      </c>
      <c r="O217" s="3">
        <v>0</v>
      </c>
      <c r="P217" s="2" t="s">
        <v>93</v>
      </c>
    </row>
    <row r="218" spans="1:16">
      <c r="A218" s="2" t="s">
        <v>280</v>
      </c>
      <c r="B218" s="2" t="s">
        <v>1</v>
      </c>
      <c r="C218" s="2" t="s">
        <v>2</v>
      </c>
      <c r="D218" s="2" t="s">
        <v>91</v>
      </c>
      <c r="E218" s="4" t="str">
        <f t="shared" si="3"/>
        <v>2360 - DELTA EPSILON CHI</v>
      </c>
      <c r="F218" s="2" t="s">
        <v>44</v>
      </c>
      <c r="G218" s="2" t="s">
        <v>24</v>
      </c>
      <c r="J218" s="5" t="str">
        <f>IF(H218="",VLOOKUP(LEFT(F218,1),'Exp-Rev Categories'!A:B,2,FALSE),IF(ISNA(VLOOKUP(H218,'Exp-Rev Categories'!A:B,2,FALSE)),"Revenue",VLOOKUP(H218,'Exp-Rev Categories'!A:B,2,FALSE)))</f>
        <v>Exp-Travel</v>
      </c>
      <c r="K218" s="2">
        <v>0</v>
      </c>
      <c r="L218" s="3">
        <v>752</v>
      </c>
      <c r="M218" s="3">
        <v>0</v>
      </c>
      <c r="N218" s="3">
        <v>-752</v>
      </c>
      <c r="O218" s="3">
        <v>0</v>
      </c>
      <c r="P218" s="2" t="s">
        <v>93</v>
      </c>
    </row>
    <row r="219" spans="1:16">
      <c r="A219" s="2" t="s">
        <v>280</v>
      </c>
      <c r="B219" s="2" t="s">
        <v>1</v>
      </c>
      <c r="C219" s="2" t="s">
        <v>2</v>
      </c>
      <c r="D219" s="2" t="s">
        <v>91</v>
      </c>
      <c r="E219" s="4" t="str">
        <f t="shared" si="3"/>
        <v>2360 - DELTA EPSILON CHI</v>
      </c>
      <c r="F219" s="2" t="s">
        <v>44</v>
      </c>
      <c r="G219" s="2" t="s">
        <v>66</v>
      </c>
      <c r="J219" s="5" t="str">
        <f>IF(H219="",VLOOKUP(LEFT(F219,1),'Exp-Rev Categories'!A:B,2,FALSE),IF(ISNA(VLOOKUP(H219,'Exp-Rev Categories'!A:B,2,FALSE)),"Revenue",VLOOKUP(H219,'Exp-Rev Categories'!A:B,2,FALSE)))</f>
        <v>Exp-Travel</v>
      </c>
      <c r="K219" s="2">
        <v>0</v>
      </c>
      <c r="L219" s="3">
        <v>1650</v>
      </c>
      <c r="M219" s="3">
        <v>0</v>
      </c>
      <c r="N219" s="3">
        <v>-1650</v>
      </c>
      <c r="O219" s="3">
        <v>0</v>
      </c>
      <c r="P219" s="2" t="s">
        <v>93</v>
      </c>
    </row>
    <row r="220" spans="1:16">
      <c r="A220" s="2" t="s">
        <v>280</v>
      </c>
      <c r="B220" s="2" t="s">
        <v>1</v>
      </c>
      <c r="C220" s="2" t="s">
        <v>2</v>
      </c>
      <c r="D220" s="2" t="s">
        <v>91</v>
      </c>
      <c r="E220" s="4" t="str">
        <f t="shared" si="3"/>
        <v>2360 - DELTA EPSILON CHI</v>
      </c>
      <c r="F220" s="2" t="s">
        <v>44</v>
      </c>
      <c r="G220" s="2" t="s">
        <v>58</v>
      </c>
      <c r="J220" s="5" t="str">
        <f>IF(H220="",VLOOKUP(LEFT(F220,1),'Exp-Rev Categories'!A:B,2,FALSE),IF(ISNA(VLOOKUP(H220,'Exp-Rev Categories'!A:B,2,FALSE)),"Revenue",VLOOKUP(H220,'Exp-Rev Categories'!A:B,2,FALSE)))</f>
        <v>Exp-Travel</v>
      </c>
      <c r="K220" s="2">
        <v>0</v>
      </c>
      <c r="L220" s="3">
        <v>354.49</v>
      </c>
      <c r="M220" s="3">
        <v>0</v>
      </c>
      <c r="N220" s="3">
        <v>-354.49</v>
      </c>
      <c r="O220" s="3">
        <v>0</v>
      </c>
      <c r="P220" s="2" t="s">
        <v>93</v>
      </c>
    </row>
    <row r="221" spans="1:16">
      <c r="A221" s="2" t="s">
        <v>280</v>
      </c>
      <c r="B221" s="2" t="s">
        <v>1</v>
      </c>
      <c r="C221" s="2" t="s">
        <v>2</v>
      </c>
      <c r="D221" s="2" t="s">
        <v>91</v>
      </c>
      <c r="E221" s="4" t="str">
        <f t="shared" si="3"/>
        <v>2360 - DELTA EPSILON CHI</v>
      </c>
      <c r="F221" s="2" t="s">
        <v>44</v>
      </c>
      <c r="G221" s="2" t="s">
        <v>65</v>
      </c>
      <c r="J221" s="5" t="str">
        <f>IF(H221="",VLOOKUP(LEFT(F221,1),'Exp-Rev Categories'!A:B,2,FALSE),IF(ISNA(VLOOKUP(H221,'Exp-Rev Categories'!A:B,2,FALSE)),"Revenue",VLOOKUP(H221,'Exp-Rev Categories'!A:B,2,FALSE)))</f>
        <v>Exp-Travel</v>
      </c>
      <c r="K221" s="2">
        <v>0</v>
      </c>
      <c r="L221" s="3">
        <v>299.10000000000002</v>
      </c>
      <c r="M221" s="3">
        <v>0</v>
      </c>
      <c r="N221" s="3">
        <v>-299.10000000000002</v>
      </c>
      <c r="O221" s="3">
        <v>0</v>
      </c>
      <c r="P221" s="2" t="s">
        <v>93</v>
      </c>
    </row>
    <row r="222" spans="1:16">
      <c r="A222" s="2" t="s">
        <v>280</v>
      </c>
      <c r="B222" s="2" t="s">
        <v>1</v>
      </c>
      <c r="C222" s="2" t="s">
        <v>2</v>
      </c>
      <c r="D222" s="2" t="s">
        <v>91</v>
      </c>
      <c r="E222" s="4" t="str">
        <f t="shared" si="3"/>
        <v>2360 - DELTA EPSILON CHI</v>
      </c>
      <c r="F222" s="2" t="s">
        <v>59</v>
      </c>
      <c r="G222" s="2" t="s">
        <v>24</v>
      </c>
      <c r="J222" s="5" t="str">
        <f>IF(H222="",VLOOKUP(LEFT(F222,1),'Exp-Rev Categories'!A:B,2,FALSE),IF(ISNA(VLOOKUP(H222,'Exp-Rev Categories'!A:B,2,FALSE)),"Revenue",VLOOKUP(H222,'Exp-Rev Categories'!A:B,2,FALSE)))</f>
        <v>Exp-Travel</v>
      </c>
      <c r="K222" s="2">
        <v>0</v>
      </c>
      <c r="L222" s="3">
        <v>4033</v>
      </c>
      <c r="M222" s="3">
        <v>0</v>
      </c>
      <c r="N222" s="3">
        <v>-4033</v>
      </c>
      <c r="O222" s="3">
        <v>0</v>
      </c>
      <c r="P222" s="2" t="s">
        <v>93</v>
      </c>
    </row>
    <row r="223" spans="1:16">
      <c r="A223" s="2" t="s">
        <v>280</v>
      </c>
      <c r="B223" s="2" t="s">
        <v>1</v>
      </c>
      <c r="C223" s="2" t="s">
        <v>2</v>
      </c>
      <c r="D223" s="2" t="s">
        <v>91</v>
      </c>
      <c r="E223" s="4" t="str">
        <f t="shared" si="3"/>
        <v>2360 - DELTA EPSILON CHI</v>
      </c>
      <c r="F223" s="2" t="s">
        <v>59</v>
      </c>
      <c r="G223" s="2" t="s">
        <v>55</v>
      </c>
      <c r="J223" s="5" t="str">
        <f>IF(H223="",VLOOKUP(LEFT(F223,1),'Exp-Rev Categories'!A:B,2,FALSE),IF(ISNA(VLOOKUP(H223,'Exp-Rev Categories'!A:B,2,FALSE)),"Revenue",VLOOKUP(H223,'Exp-Rev Categories'!A:B,2,FALSE)))</f>
        <v>Exp-Travel</v>
      </c>
      <c r="K223" s="2">
        <v>0</v>
      </c>
      <c r="L223" s="3">
        <v>331.6</v>
      </c>
      <c r="M223" s="3">
        <v>0</v>
      </c>
      <c r="N223" s="3">
        <v>-331.6</v>
      </c>
      <c r="O223" s="3">
        <v>0</v>
      </c>
      <c r="P223" s="2" t="s">
        <v>93</v>
      </c>
    </row>
    <row r="224" spans="1:16">
      <c r="A224" s="2" t="s">
        <v>280</v>
      </c>
      <c r="B224" s="2" t="s">
        <v>1</v>
      </c>
      <c r="C224" s="2" t="s">
        <v>2</v>
      </c>
      <c r="D224" s="2" t="s">
        <v>91</v>
      </c>
      <c r="E224" s="4" t="str">
        <f t="shared" si="3"/>
        <v>2360 - DELTA EPSILON CHI</v>
      </c>
      <c r="F224" s="2" t="s">
        <v>60</v>
      </c>
      <c r="G224" s="2" t="s">
        <v>24</v>
      </c>
      <c r="J224" s="5" t="str">
        <f>IF(H224="",VLOOKUP(LEFT(F224,1),'Exp-Rev Categories'!A:B,2,FALSE),IF(ISNA(VLOOKUP(H224,'Exp-Rev Categories'!A:B,2,FALSE)),"Revenue",VLOOKUP(H224,'Exp-Rev Categories'!A:B,2,FALSE)))</f>
        <v>Exp-Travel</v>
      </c>
      <c r="K224" s="2">
        <v>0</v>
      </c>
      <c r="L224" s="3">
        <v>6821.2</v>
      </c>
      <c r="M224" s="3">
        <v>0</v>
      </c>
      <c r="N224" s="3">
        <v>-6821.2</v>
      </c>
      <c r="O224" s="3">
        <v>0</v>
      </c>
      <c r="P224" s="2" t="s">
        <v>93</v>
      </c>
    </row>
    <row r="225" spans="1:16">
      <c r="A225" s="2" t="s">
        <v>280</v>
      </c>
      <c r="B225" s="2" t="s">
        <v>1</v>
      </c>
      <c r="C225" s="2" t="s">
        <v>2</v>
      </c>
      <c r="D225" s="2" t="s">
        <v>91</v>
      </c>
      <c r="E225" s="4" t="str">
        <f t="shared" si="3"/>
        <v>2360 - DELTA EPSILON CHI</v>
      </c>
      <c r="F225" s="2" t="s">
        <v>68</v>
      </c>
      <c r="J225" s="5" t="str">
        <f>IF(H225="",VLOOKUP(LEFT(F225,1),'Exp-Rev Categories'!A:B,2,FALSE),IF(ISNA(VLOOKUP(H225,'Exp-Rev Categories'!A:B,2,FALSE)),"Revenue",VLOOKUP(H225,'Exp-Rev Categories'!A:B,2,FALSE)))</f>
        <v>Exp-Computer Equipment</v>
      </c>
      <c r="K225" s="2">
        <v>0</v>
      </c>
      <c r="L225" s="3">
        <v>908.63</v>
      </c>
      <c r="M225" s="3">
        <v>0</v>
      </c>
      <c r="N225" s="3">
        <v>-908.63</v>
      </c>
      <c r="O225" s="3">
        <v>0</v>
      </c>
      <c r="P225" s="2" t="s">
        <v>93</v>
      </c>
    </row>
    <row r="226" spans="1:16">
      <c r="A226" s="2" t="s">
        <v>280</v>
      </c>
      <c r="B226" s="2" t="s">
        <v>1</v>
      </c>
      <c r="C226" s="2" t="s">
        <v>2</v>
      </c>
      <c r="D226" s="2" t="s">
        <v>91</v>
      </c>
      <c r="E226" s="4" t="str">
        <f t="shared" si="3"/>
        <v>2360 - DELTA EPSILON CHI</v>
      </c>
      <c r="F226" s="2" t="s">
        <v>117</v>
      </c>
      <c r="J226" s="5" t="str">
        <f>IF(H226="",VLOOKUP(LEFT(F226,1),'Exp-Rev Categories'!A:B,2,FALSE),IF(ISNA(VLOOKUP(H226,'Exp-Rev Categories'!A:B,2,FALSE)),"Revenue",VLOOKUP(H226,'Exp-Rev Categories'!A:B,2,FALSE)))</f>
        <v>Exp-Grants/Scholarships</v>
      </c>
      <c r="K226" s="2">
        <v>0</v>
      </c>
      <c r="L226" s="3">
        <v>0</v>
      </c>
      <c r="M226" s="3">
        <v>0</v>
      </c>
      <c r="N226" s="3">
        <v>0</v>
      </c>
      <c r="O226" s="3">
        <v>0</v>
      </c>
      <c r="P226" s="2" t="s">
        <v>93</v>
      </c>
    </row>
    <row r="227" spans="1:16">
      <c r="A227" s="2" t="s">
        <v>280</v>
      </c>
      <c r="B227" s="2" t="s">
        <v>1</v>
      </c>
      <c r="C227" s="2" t="s">
        <v>2</v>
      </c>
      <c r="D227" s="2" t="s">
        <v>97</v>
      </c>
      <c r="E227" s="4" t="str">
        <f t="shared" si="3"/>
        <v>2363 - TIMBER SPORTS</v>
      </c>
      <c r="H227" s="2" t="s">
        <v>98</v>
      </c>
      <c r="J227" s="5" t="str">
        <f>IF(H227="",VLOOKUP(LEFT(F227,1),'Exp-Rev Categories'!A:B,2,FALSE),IF(ISNA(VLOOKUP(H227,'Exp-Rev Categories'!A:B,2,FALSE)),"Revenue",VLOOKUP(H227,'Exp-Rev Categories'!A:B,2,FALSE)))</f>
        <v>Revenue</v>
      </c>
      <c r="K227" s="2">
        <v>0</v>
      </c>
      <c r="L227" s="3">
        <v>-820</v>
      </c>
      <c r="M227" s="3">
        <v>0</v>
      </c>
      <c r="N227" s="3">
        <v>820</v>
      </c>
      <c r="O227" s="3">
        <v>0</v>
      </c>
      <c r="P227" s="2" t="s">
        <v>211</v>
      </c>
    </row>
    <row r="228" spans="1:16">
      <c r="A228" s="2" t="s">
        <v>280</v>
      </c>
      <c r="B228" s="2" t="s">
        <v>1</v>
      </c>
      <c r="C228" s="2" t="s">
        <v>2</v>
      </c>
      <c r="D228" s="2" t="s">
        <v>97</v>
      </c>
      <c r="E228" s="4" t="str">
        <f t="shared" si="3"/>
        <v>2363 - TIMBER SPORTS</v>
      </c>
      <c r="H228" s="2" t="s">
        <v>51</v>
      </c>
      <c r="I228" s="2" t="s">
        <v>99</v>
      </c>
      <c r="J228" s="5" t="str">
        <f>IF(H228="",VLOOKUP(LEFT(F228,1),'Exp-Rev Categories'!A:B,2,FALSE),IF(ISNA(VLOOKUP(H228,'Exp-Rev Categories'!A:B,2,FALSE)),"Revenue",VLOOKUP(H228,'Exp-Rev Categories'!A:B,2,FALSE)))</f>
        <v>Revenue</v>
      </c>
      <c r="K228" s="2">
        <v>0</v>
      </c>
      <c r="L228" s="3">
        <v>-163.05000000000001</v>
      </c>
      <c r="M228" s="3">
        <v>0</v>
      </c>
      <c r="N228" s="3">
        <v>163.05000000000001</v>
      </c>
      <c r="O228" s="3">
        <v>0</v>
      </c>
      <c r="P228" s="2" t="s">
        <v>211</v>
      </c>
    </row>
    <row r="229" spans="1:16">
      <c r="A229" s="2" t="s">
        <v>280</v>
      </c>
      <c r="B229" s="2" t="s">
        <v>1</v>
      </c>
      <c r="C229" s="2" t="s">
        <v>2</v>
      </c>
      <c r="D229" s="2" t="s">
        <v>97</v>
      </c>
      <c r="E229" s="4" t="str">
        <f t="shared" si="3"/>
        <v>2363 - TIMBER SPORTS</v>
      </c>
      <c r="F229" s="2" t="s">
        <v>265</v>
      </c>
      <c r="J229" s="5" t="str">
        <f>IF(H229="",VLOOKUP(LEFT(F229,1),'Exp-Rev Categories'!A:B,2,FALSE),IF(ISNA(VLOOKUP(H229,'Exp-Rev Categories'!A:B,2,FALSE)),"Revenue",VLOOKUP(H229,'Exp-Rev Categories'!A:B,2,FALSE)))</f>
        <v>Exp-Benefits</v>
      </c>
      <c r="K229" s="2">
        <v>0</v>
      </c>
      <c r="L229" s="3">
        <v>0</v>
      </c>
      <c r="M229" s="3">
        <v>0</v>
      </c>
      <c r="N229" s="3">
        <v>0</v>
      </c>
      <c r="O229" s="3">
        <v>0</v>
      </c>
      <c r="P229" s="2" t="s">
        <v>211</v>
      </c>
    </row>
    <row r="230" spans="1:16">
      <c r="A230" s="2" t="s">
        <v>280</v>
      </c>
      <c r="B230" s="2" t="s">
        <v>1</v>
      </c>
      <c r="C230" s="2" t="s">
        <v>2</v>
      </c>
      <c r="D230" s="2" t="s">
        <v>97</v>
      </c>
      <c r="E230" s="4" t="str">
        <f t="shared" si="3"/>
        <v>2363 - TIMBER SPORTS</v>
      </c>
      <c r="F230" s="2" t="s">
        <v>35</v>
      </c>
      <c r="J230" s="5" t="str">
        <f>IF(H230="",VLOOKUP(LEFT(F230,1),'Exp-Rev Categories'!A:B,2,FALSE),IF(ISNA(VLOOKUP(H230,'Exp-Rev Categories'!A:B,2,FALSE)),"Revenue",VLOOKUP(H230,'Exp-Rev Categories'!A:B,2,FALSE)))</f>
        <v>Exp-Benefits</v>
      </c>
      <c r="K230" s="2">
        <v>0</v>
      </c>
      <c r="L230" s="3">
        <v>3.34</v>
      </c>
      <c r="M230" s="3">
        <v>0</v>
      </c>
      <c r="N230" s="3">
        <v>-3.34</v>
      </c>
      <c r="O230" s="3">
        <v>0</v>
      </c>
      <c r="P230" s="2" t="s">
        <v>211</v>
      </c>
    </row>
    <row r="231" spans="1:16">
      <c r="A231" s="2" t="s">
        <v>280</v>
      </c>
      <c r="B231" s="2" t="s">
        <v>1</v>
      </c>
      <c r="C231" s="2" t="s">
        <v>2</v>
      </c>
      <c r="D231" s="2" t="s">
        <v>97</v>
      </c>
      <c r="E231" s="4" t="str">
        <f t="shared" si="3"/>
        <v>2363 - TIMBER SPORTS</v>
      </c>
      <c r="F231" s="2" t="s">
        <v>29</v>
      </c>
      <c r="J231" s="5" t="str">
        <f>IF(H231="",VLOOKUP(LEFT(F231,1),'Exp-Rev Categories'!A:B,2,FALSE),IF(ISNA(VLOOKUP(H231,'Exp-Rev Categories'!A:B,2,FALSE)),"Revenue",VLOOKUP(H231,'Exp-Rev Categories'!A:B,2,FALSE)))</f>
        <v>Exp-Goods &amp; Services</v>
      </c>
      <c r="K231" s="2">
        <v>19160</v>
      </c>
      <c r="L231" s="3">
        <v>0</v>
      </c>
      <c r="M231" s="3">
        <v>0</v>
      </c>
      <c r="N231" s="3">
        <v>19160</v>
      </c>
      <c r="O231" s="3">
        <v>0</v>
      </c>
      <c r="P231" s="2" t="s">
        <v>211</v>
      </c>
    </row>
    <row r="232" spans="1:16">
      <c r="A232" s="2" t="s">
        <v>280</v>
      </c>
      <c r="B232" s="2" t="s">
        <v>1</v>
      </c>
      <c r="C232" s="2" t="s">
        <v>2</v>
      </c>
      <c r="D232" s="2" t="s">
        <v>97</v>
      </c>
      <c r="E232" s="4" t="str">
        <f t="shared" si="3"/>
        <v>2363 - TIMBER SPORTS</v>
      </c>
      <c r="F232" s="2" t="s">
        <v>23</v>
      </c>
      <c r="G232" s="2" t="s">
        <v>24</v>
      </c>
      <c r="J232" s="5" t="str">
        <f>IF(H232="",VLOOKUP(LEFT(F232,1),'Exp-Rev Categories'!A:B,2,FALSE),IF(ISNA(VLOOKUP(H232,'Exp-Rev Categories'!A:B,2,FALSE)),"Revenue",VLOOKUP(H232,'Exp-Rev Categories'!A:B,2,FALSE)))</f>
        <v>Exp-Goods &amp; Services</v>
      </c>
      <c r="K232" s="2">
        <v>0</v>
      </c>
      <c r="L232" s="3">
        <v>2711.6</v>
      </c>
      <c r="M232" s="3">
        <v>0</v>
      </c>
      <c r="N232" s="3">
        <v>-2711.6</v>
      </c>
      <c r="O232" s="3">
        <v>0</v>
      </c>
      <c r="P232" s="2" t="s">
        <v>211</v>
      </c>
    </row>
    <row r="233" spans="1:16">
      <c r="A233" s="2" t="s">
        <v>280</v>
      </c>
      <c r="B233" s="2" t="s">
        <v>1</v>
      </c>
      <c r="C233" s="2" t="s">
        <v>2</v>
      </c>
      <c r="D233" s="2" t="s">
        <v>97</v>
      </c>
      <c r="E233" s="4" t="str">
        <f t="shared" si="3"/>
        <v>2363 - TIMBER SPORTS</v>
      </c>
      <c r="F233" s="2" t="s">
        <v>54</v>
      </c>
      <c r="G233" s="2" t="s">
        <v>56</v>
      </c>
      <c r="J233" s="5" t="str">
        <f>IF(H233="",VLOOKUP(LEFT(F233,1),'Exp-Rev Categories'!A:B,2,FALSE),IF(ISNA(VLOOKUP(H233,'Exp-Rev Categories'!A:B,2,FALSE)),"Revenue",VLOOKUP(H233,'Exp-Rev Categories'!A:B,2,FALSE)))</f>
        <v>Exp-Goods &amp; Services</v>
      </c>
      <c r="K233" s="2">
        <v>0</v>
      </c>
      <c r="L233" s="3">
        <v>4375</v>
      </c>
      <c r="M233" s="3">
        <v>0</v>
      </c>
      <c r="N233" s="3">
        <v>-4375</v>
      </c>
      <c r="O233" s="3">
        <v>0</v>
      </c>
      <c r="P233" s="2" t="s">
        <v>211</v>
      </c>
    </row>
    <row r="234" spans="1:16">
      <c r="A234" s="2" t="s">
        <v>280</v>
      </c>
      <c r="B234" s="2" t="s">
        <v>1</v>
      </c>
      <c r="C234" s="2" t="s">
        <v>2</v>
      </c>
      <c r="D234" s="2" t="s">
        <v>97</v>
      </c>
      <c r="E234" s="4" t="str">
        <f t="shared" si="3"/>
        <v>2363 - TIMBER SPORTS</v>
      </c>
      <c r="F234" s="2" t="s">
        <v>41</v>
      </c>
      <c r="G234" s="2" t="s">
        <v>24</v>
      </c>
      <c r="J234" s="5" t="str">
        <f>IF(H234="",VLOOKUP(LEFT(F234,1),'Exp-Rev Categories'!A:B,2,FALSE),IF(ISNA(VLOOKUP(H234,'Exp-Rev Categories'!A:B,2,FALSE)),"Revenue",VLOOKUP(H234,'Exp-Rev Categories'!A:B,2,FALSE)))</f>
        <v>Exp-Goods &amp; Services</v>
      </c>
      <c r="K234" s="2">
        <v>0</v>
      </c>
      <c r="L234" s="3">
        <v>0</v>
      </c>
      <c r="M234" s="3">
        <v>0</v>
      </c>
      <c r="N234" s="3">
        <v>0</v>
      </c>
      <c r="O234" s="3">
        <v>0</v>
      </c>
      <c r="P234" s="2" t="s">
        <v>211</v>
      </c>
    </row>
    <row r="235" spans="1:16">
      <c r="A235" s="2" t="s">
        <v>280</v>
      </c>
      <c r="B235" s="2" t="s">
        <v>1</v>
      </c>
      <c r="C235" s="2" t="s">
        <v>2</v>
      </c>
      <c r="D235" s="2" t="s">
        <v>97</v>
      </c>
      <c r="E235" s="4" t="str">
        <f t="shared" si="3"/>
        <v>2363 - TIMBER SPORTS</v>
      </c>
      <c r="F235" s="2" t="s">
        <v>267</v>
      </c>
      <c r="J235" s="5" t="str">
        <f>IF(H235="",VLOOKUP(LEFT(F235,1),'Exp-Rev Categories'!A:B,2,FALSE),IF(ISNA(VLOOKUP(H235,'Exp-Rev Categories'!A:B,2,FALSE)),"Revenue",VLOOKUP(H235,'Exp-Rev Categories'!A:B,2,FALSE)))</f>
        <v>Exp-Travel</v>
      </c>
      <c r="K235" s="2">
        <v>0</v>
      </c>
      <c r="L235" s="3">
        <v>0</v>
      </c>
      <c r="M235" s="3">
        <v>0</v>
      </c>
      <c r="N235" s="3">
        <v>0</v>
      </c>
      <c r="O235" s="3">
        <v>0</v>
      </c>
      <c r="P235" s="2" t="s">
        <v>211</v>
      </c>
    </row>
    <row r="236" spans="1:16">
      <c r="A236" s="2" t="s">
        <v>280</v>
      </c>
      <c r="B236" s="2" t="s">
        <v>1</v>
      </c>
      <c r="C236" s="2" t="s">
        <v>2</v>
      </c>
      <c r="D236" s="2" t="s">
        <v>97</v>
      </c>
      <c r="E236" s="4" t="str">
        <f t="shared" si="3"/>
        <v>2363 - TIMBER SPORTS</v>
      </c>
      <c r="F236" s="2" t="s">
        <v>67</v>
      </c>
      <c r="G236" s="2" t="s">
        <v>24</v>
      </c>
      <c r="J236" s="5" t="str">
        <f>IF(H236="",VLOOKUP(LEFT(F236,1),'Exp-Rev Categories'!A:B,2,FALSE),IF(ISNA(VLOOKUP(H236,'Exp-Rev Categories'!A:B,2,FALSE)),"Revenue",VLOOKUP(H236,'Exp-Rev Categories'!A:B,2,FALSE)))</f>
        <v>Exp-Travel</v>
      </c>
      <c r="K236" s="2">
        <v>0</v>
      </c>
      <c r="L236" s="3">
        <v>138</v>
      </c>
      <c r="M236" s="3">
        <v>0</v>
      </c>
      <c r="N236" s="3">
        <v>-138</v>
      </c>
      <c r="O236" s="3">
        <v>0</v>
      </c>
      <c r="P236" s="2" t="s">
        <v>211</v>
      </c>
    </row>
    <row r="237" spans="1:16">
      <c r="A237" s="2" t="s">
        <v>280</v>
      </c>
      <c r="B237" s="2" t="s">
        <v>1</v>
      </c>
      <c r="C237" s="2" t="s">
        <v>2</v>
      </c>
      <c r="D237" s="2" t="s">
        <v>97</v>
      </c>
      <c r="E237" s="4" t="str">
        <f t="shared" si="3"/>
        <v>2363 - TIMBER SPORTS</v>
      </c>
      <c r="F237" s="2" t="s">
        <v>80</v>
      </c>
      <c r="G237" s="2" t="s">
        <v>21</v>
      </c>
      <c r="J237" s="5" t="str">
        <f>IF(H237="",VLOOKUP(LEFT(F237,1),'Exp-Rev Categories'!A:B,2,FALSE),IF(ISNA(VLOOKUP(H237,'Exp-Rev Categories'!A:B,2,FALSE)),"Revenue",VLOOKUP(H237,'Exp-Rev Categories'!A:B,2,FALSE)))</f>
        <v>Exp-Travel</v>
      </c>
      <c r="K237" s="2">
        <v>0</v>
      </c>
      <c r="L237" s="3">
        <v>76.14</v>
      </c>
      <c r="M237" s="3">
        <v>0</v>
      </c>
      <c r="N237" s="3">
        <v>-76.14</v>
      </c>
      <c r="O237" s="3">
        <v>0</v>
      </c>
      <c r="P237" s="2" t="s">
        <v>211</v>
      </c>
    </row>
    <row r="238" spans="1:16">
      <c r="A238" s="2" t="s">
        <v>280</v>
      </c>
      <c r="B238" s="2" t="s">
        <v>1</v>
      </c>
      <c r="C238" s="2" t="s">
        <v>2</v>
      </c>
      <c r="D238" s="2" t="s">
        <v>97</v>
      </c>
      <c r="E238" s="4" t="str">
        <f t="shared" si="3"/>
        <v>2363 - TIMBER SPORTS</v>
      </c>
      <c r="F238" s="2" t="s">
        <v>80</v>
      </c>
      <c r="G238" s="2" t="s">
        <v>66</v>
      </c>
      <c r="J238" s="5" t="str">
        <f>IF(H238="",VLOOKUP(LEFT(F238,1),'Exp-Rev Categories'!A:B,2,FALSE),IF(ISNA(VLOOKUP(H238,'Exp-Rev Categories'!A:B,2,FALSE)),"Revenue",VLOOKUP(H238,'Exp-Rev Categories'!A:B,2,FALSE)))</f>
        <v>Exp-Travel</v>
      </c>
      <c r="K238" s="2">
        <v>0</v>
      </c>
      <c r="L238" s="3">
        <v>210.2</v>
      </c>
      <c r="M238" s="3">
        <v>0</v>
      </c>
      <c r="N238" s="3">
        <v>-210.2</v>
      </c>
      <c r="O238" s="3">
        <v>0</v>
      </c>
      <c r="P238" s="2" t="s">
        <v>211</v>
      </c>
    </row>
    <row r="239" spans="1:16">
      <c r="A239" s="2" t="s">
        <v>280</v>
      </c>
      <c r="B239" s="2" t="s">
        <v>1</v>
      </c>
      <c r="C239" s="2" t="s">
        <v>2</v>
      </c>
      <c r="D239" s="2" t="s">
        <v>97</v>
      </c>
      <c r="E239" s="4" t="str">
        <f t="shared" si="3"/>
        <v>2363 - TIMBER SPORTS</v>
      </c>
      <c r="F239" s="2" t="s">
        <v>59</v>
      </c>
      <c r="G239" s="2" t="s">
        <v>24</v>
      </c>
      <c r="J239" s="5" t="str">
        <f>IF(H239="",VLOOKUP(LEFT(F239,1),'Exp-Rev Categories'!A:B,2,FALSE),IF(ISNA(VLOOKUP(H239,'Exp-Rev Categories'!A:B,2,FALSE)),"Revenue",VLOOKUP(H239,'Exp-Rev Categories'!A:B,2,FALSE)))</f>
        <v>Exp-Travel</v>
      </c>
      <c r="K239" s="2">
        <v>0</v>
      </c>
      <c r="L239" s="3">
        <v>1612.31</v>
      </c>
      <c r="M239" s="3">
        <v>0</v>
      </c>
      <c r="N239" s="3">
        <v>-1612.31</v>
      </c>
      <c r="O239" s="3">
        <v>0</v>
      </c>
      <c r="P239" s="2" t="s">
        <v>211</v>
      </c>
    </row>
    <row r="240" spans="1:16">
      <c r="A240" s="2" t="s">
        <v>280</v>
      </c>
      <c r="B240" s="2" t="s">
        <v>1</v>
      </c>
      <c r="C240" s="2" t="s">
        <v>2</v>
      </c>
      <c r="D240" s="2" t="s">
        <v>100</v>
      </c>
      <c r="E240" s="4" t="str">
        <f t="shared" si="3"/>
        <v>2370 - RHO BETA PSI</v>
      </c>
      <c r="H240" s="2" t="s">
        <v>51</v>
      </c>
      <c r="I240" s="2" t="s">
        <v>101</v>
      </c>
      <c r="J240" s="5" t="str">
        <f>IF(H240="",VLOOKUP(LEFT(F240,1),'Exp-Rev Categories'!A:B,2,FALSE),IF(ISNA(VLOOKUP(H240,'Exp-Rev Categories'!A:B,2,FALSE)),"Revenue",VLOOKUP(H240,'Exp-Rev Categories'!A:B,2,FALSE)))</f>
        <v>Revenue</v>
      </c>
      <c r="K240" s="2">
        <v>0</v>
      </c>
      <c r="L240" s="3">
        <v>-4402</v>
      </c>
      <c r="M240" s="3">
        <v>0</v>
      </c>
      <c r="N240" s="3">
        <v>4402</v>
      </c>
      <c r="O240" s="3">
        <v>0</v>
      </c>
      <c r="P240" s="2" t="s">
        <v>102</v>
      </c>
    </row>
    <row r="241" spans="1:16">
      <c r="A241" s="2" t="s">
        <v>280</v>
      </c>
      <c r="B241" s="2" t="s">
        <v>1</v>
      </c>
      <c r="C241" s="2" t="s">
        <v>2</v>
      </c>
      <c r="D241" s="2" t="s">
        <v>100</v>
      </c>
      <c r="E241" s="4" t="str">
        <f t="shared" si="3"/>
        <v>2370 - RHO BETA PSI</v>
      </c>
      <c r="H241" s="2" t="s">
        <v>43</v>
      </c>
      <c r="J241" s="5" t="str">
        <f>IF(H241="",VLOOKUP(LEFT(F241,1),'Exp-Rev Categories'!A:B,2,FALSE),IF(ISNA(VLOOKUP(H241,'Exp-Rev Categories'!A:B,2,FALSE)),"Revenue",VLOOKUP(H241,'Exp-Rev Categories'!A:B,2,FALSE)))</f>
        <v>Rev-Intra-Fund Transfer</v>
      </c>
      <c r="K241" s="2">
        <v>0</v>
      </c>
      <c r="L241" s="3">
        <v>-869</v>
      </c>
      <c r="M241" s="3">
        <v>0</v>
      </c>
      <c r="N241" s="3">
        <v>869</v>
      </c>
      <c r="O241" s="3">
        <v>0</v>
      </c>
      <c r="P241" s="2" t="s">
        <v>102</v>
      </c>
    </row>
    <row r="242" spans="1:16">
      <c r="A242" s="2" t="s">
        <v>280</v>
      </c>
      <c r="B242" s="2" t="s">
        <v>1</v>
      </c>
      <c r="C242" s="2" t="s">
        <v>2</v>
      </c>
      <c r="D242" s="2" t="s">
        <v>100</v>
      </c>
      <c r="E242" s="4" t="str">
        <f t="shared" si="3"/>
        <v>2370 - RHO BETA PSI</v>
      </c>
      <c r="F242" s="2" t="s">
        <v>29</v>
      </c>
      <c r="J242" s="5" t="str">
        <f>IF(H242="",VLOOKUP(LEFT(F242,1),'Exp-Rev Categories'!A:B,2,FALSE),IF(ISNA(VLOOKUP(H242,'Exp-Rev Categories'!A:B,2,FALSE)),"Revenue",VLOOKUP(H242,'Exp-Rev Categories'!A:B,2,FALSE)))</f>
        <v>Exp-Goods &amp; Services</v>
      </c>
      <c r="K242" s="2">
        <v>12150</v>
      </c>
      <c r="L242" s="3">
        <v>0</v>
      </c>
      <c r="M242" s="3">
        <v>0</v>
      </c>
      <c r="N242" s="3">
        <v>12150</v>
      </c>
      <c r="O242" s="3">
        <v>0</v>
      </c>
      <c r="P242" s="2" t="s">
        <v>102</v>
      </c>
    </row>
    <row r="243" spans="1:16">
      <c r="A243" s="2" t="s">
        <v>280</v>
      </c>
      <c r="B243" s="2" t="s">
        <v>1</v>
      </c>
      <c r="C243" s="2" t="s">
        <v>2</v>
      </c>
      <c r="D243" s="2" t="s">
        <v>100</v>
      </c>
      <c r="E243" s="4" t="str">
        <f t="shared" si="3"/>
        <v>2370 - RHO BETA PSI</v>
      </c>
      <c r="F243" s="2" t="s">
        <v>23</v>
      </c>
      <c r="G243" s="2" t="s">
        <v>24</v>
      </c>
      <c r="J243" s="5" t="str">
        <f>IF(H243="",VLOOKUP(LEFT(F243,1),'Exp-Rev Categories'!A:B,2,FALSE),IF(ISNA(VLOOKUP(H243,'Exp-Rev Categories'!A:B,2,FALSE)),"Revenue",VLOOKUP(H243,'Exp-Rev Categories'!A:B,2,FALSE)))</f>
        <v>Exp-Goods &amp; Services</v>
      </c>
      <c r="K243" s="2">
        <v>0</v>
      </c>
      <c r="L243" s="3">
        <v>2065.23</v>
      </c>
      <c r="M243" s="3">
        <v>0</v>
      </c>
      <c r="N243" s="3">
        <v>-2065.23</v>
      </c>
      <c r="O243" s="3">
        <v>0</v>
      </c>
      <c r="P243" s="2" t="s">
        <v>102</v>
      </c>
    </row>
    <row r="244" spans="1:16">
      <c r="A244" s="2" t="s">
        <v>280</v>
      </c>
      <c r="B244" s="2" t="s">
        <v>1</v>
      </c>
      <c r="C244" s="2" t="s">
        <v>2</v>
      </c>
      <c r="D244" s="2" t="s">
        <v>100</v>
      </c>
      <c r="E244" s="4" t="str">
        <f t="shared" si="3"/>
        <v>2370 - RHO BETA PSI</v>
      </c>
      <c r="F244" s="2" t="s">
        <v>54</v>
      </c>
      <c r="G244" s="2" t="s">
        <v>56</v>
      </c>
      <c r="J244" s="5" t="str">
        <f>IF(H244="",VLOOKUP(LEFT(F244,1),'Exp-Rev Categories'!A:B,2,FALSE),IF(ISNA(VLOOKUP(H244,'Exp-Rev Categories'!A:B,2,FALSE)),"Revenue",VLOOKUP(H244,'Exp-Rev Categories'!A:B,2,FALSE)))</f>
        <v>Exp-Goods &amp; Services</v>
      </c>
      <c r="K244" s="2">
        <v>0</v>
      </c>
      <c r="L244" s="3">
        <v>1760</v>
      </c>
      <c r="M244" s="3">
        <v>0</v>
      </c>
      <c r="N244" s="3">
        <v>-1760</v>
      </c>
      <c r="O244" s="3">
        <v>0</v>
      </c>
      <c r="P244" s="2" t="s">
        <v>102</v>
      </c>
    </row>
    <row r="245" spans="1:16">
      <c r="A245" s="2" t="s">
        <v>280</v>
      </c>
      <c r="B245" s="2" t="s">
        <v>1</v>
      </c>
      <c r="C245" s="2" t="s">
        <v>2</v>
      </c>
      <c r="D245" s="2" t="s">
        <v>100</v>
      </c>
      <c r="E245" s="4" t="str">
        <f t="shared" si="3"/>
        <v>2370 - RHO BETA PSI</v>
      </c>
      <c r="F245" s="2" t="s">
        <v>41</v>
      </c>
      <c r="G245" s="2" t="s">
        <v>24</v>
      </c>
      <c r="J245" s="5" t="str">
        <f>IF(H245="",VLOOKUP(LEFT(F245,1),'Exp-Rev Categories'!A:B,2,FALSE),IF(ISNA(VLOOKUP(H245,'Exp-Rev Categories'!A:B,2,FALSE)),"Revenue",VLOOKUP(H245,'Exp-Rev Categories'!A:B,2,FALSE)))</f>
        <v>Exp-Goods &amp; Services</v>
      </c>
      <c r="K245" s="2">
        <v>0</v>
      </c>
      <c r="L245" s="3">
        <v>0</v>
      </c>
      <c r="M245" s="3">
        <v>0</v>
      </c>
      <c r="N245" s="3">
        <v>0</v>
      </c>
      <c r="O245" s="3">
        <v>0</v>
      </c>
      <c r="P245" s="2" t="s">
        <v>102</v>
      </c>
    </row>
    <row r="246" spans="1:16">
      <c r="A246" s="2" t="s">
        <v>280</v>
      </c>
      <c r="B246" s="2" t="s">
        <v>1</v>
      </c>
      <c r="C246" s="2" t="s">
        <v>2</v>
      </c>
      <c r="D246" s="2" t="s">
        <v>100</v>
      </c>
      <c r="E246" s="4" t="str">
        <f t="shared" si="3"/>
        <v>2370 - RHO BETA PSI</v>
      </c>
      <c r="F246" s="2" t="s">
        <v>267</v>
      </c>
      <c r="J246" s="5" t="str">
        <f>IF(H246="",VLOOKUP(LEFT(F246,1),'Exp-Rev Categories'!A:B,2,FALSE),IF(ISNA(VLOOKUP(H246,'Exp-Rev Categories'!A:B,2,FALSE)),"Revenue",VLOOKUP(H246,'Exp-Rev Categories'!A:B,2,FALSE)))</f>
        <v>Exp-Travel</v>
      </c>
      <c r="K246" s="2">
        <v>0</v>
      </c>
      <c r="L246" s="3">
        <v>0</v>
      </c>
      <c r="M246" s="3">
        <v>0</v>
      </c>
      <c r="N246" s="3">
        <v>0</v>
      </c>
      <c r="O246" s="3">
        <v>0</v>
      </c>
      <c r="P246" s="2" t="s">
        <v>102</v>
      </c>
    </row>
    <row r="247" spans="1:16">
      <c r="A247" s="2" t="s">
        <v>280</v>
      </c>
      <c r="B247" s="2" t="s">
        <v>1</v>
      </c>
      <c r="C247" s="2" t="s">
        <v>2</v>
      </c>
      <c r="D247" s="2" t="s">
        <v>100</v>
      </c>
      <c r="E247" s="4" t="str">
        <f t="shared" si="3"/>
        <v>2370 - RHO BETA PSI</v>
      </c>
      <c r="F247" s="2" t="s">
        <v>44</v>
      </c>
      <c r="G247" s="2" t="s">
        <v>24</v>
      </c>
      <c r="J247" s="5" t="str">
        <f>IF(H247="",VLOOKUP(LEFT(F247,1),'Exp-Rev Categories'!A:B,2,FALSE),IF(ISNA(VLOOKUP(H247,'Exp-Rev Categories'!A:B,2,FALSE)),"Revenue",VLOOKUP(H247,'Exp-Rev Categories'!A:B,2,FALSE)))</f>
        <v>Exp-Travel</v>
      </c>
      <c r="K247" s="2">
        <v>0</v>
      </c>
      <c r="L247" s="3">
        <v>621.09</v>
      </c>
      <c r="M247" s="3">
        <v>0</v>
      </c>
      <c r="N247" s="3">
        <v>-621.09</v>
      </c>
      <c r="O247" s="3">
        <v>0</v>
      </c>
      <c r="P247" s="2" t="s">
        <v>102</v>
      </c>
    </row>
    <row r="248" spans="1:16">
      <c r="A248" s="2" t="s">
        <v>280</v>
      </c>
      <c r="B248" s="2" t="s">
        <v>1</v>
      </c>
      <c r="C248" s="2" t="s">
        <v>2</v>
      </c>
      <c r="D248" s="2" t="s">
        <v>100</v>
      </c>
      <c r="E248" s="4" t="str">
        <f t="shared" si="3"/>
        <v>2370 - RHO BETA PSI</v>
      </c>
      <c r="F248" s="2" t="s">
        <v>44</v>
      </c>
      <c r="G248" s="2" t="s">
        <v>21</v>
      </c>
      <c r="J248" s="5" t="str">
        <f>IF(H248="",VLOOKUP(LEFT(F248,1),'Exp-Rev Categories'!A:B,2,FALSE),IF(ISNA(VLOOKUP(H248,'Exp-Rev Categories'!A:B,2,FALSE)),"Revenue",VLOOKUP(H248,'Exp-Rev Categories'!A:B,2,FALSE)))</f>
        <v>Exp-Travel</v>
      </c>
      <c r="K248" s="2">
        <v>0</v>
      </c>
      <c r="L248" s="3">
        <v>48</v>
      </c>
      <c r="M248" s="3">
        <v>0</v>
      </c>
      <c r="N248" s="3">
        <v>-48</v>
      </c>
      <c r="O248" s="3">
        <v>0</v>
      </c>
      <c r="P248" s="2" t="s">
        <v>102</v>
      </c>
    </row>
    <row r="249" spans="1:16">
      <c r="A249" s="2" t="s">
        <v>280</v>
      </c>
      <c r="B249" s="2" t="s">
        <v>1</v>
      </c>
      <c r="C249" s="2" t="s">
        <v>2</v>
      </c>
      <c r="D249" s="2" t="s">
        <v>100</v>
      </c>
      <c r="E249" s="4" t="str">
        <f t="shared" si="3"/>
        <v>2370 - RHO BETA PSI</v>
      </c>
      <c r="F249" s="2" t="s">
        <v>44</v>
      </c>
      <c r="G249" s="2" t="s">
        <v>7</v>
      </c>
      <c r="J249" s="5" t="str">
        <f>IF(H249="",VLOOKUP(LEFT(F249,1),'Exp-Rev Categories'!A:B,2,FALSE),IF(ISNA(VLOOKUP(H249,'Exp-Rev Categories'!A:B,2,FALSE)),"Revenue",VLOOKUP(H249,'Exp-Rev Categories'!A:B,2,FALSE)))</f>
        <v>Exp-Travel</v>
      </c>
      <c r="K249" s="2">
        <v>0</v>
      </c>
      <c r="L249" s="3">
        <v>54.19</v>
      </c>
      <c r="M249" s="3">
        <v>0</v>
      </c>
      <c r="N249" s="3">
        <v>-54.19</v>
      </c>
      <c r="O249" s="3">
        <v>0</v>
      </c>
      <c r="P249" s="2" t="s">
        <v>102</v>
      </c>
    </row>
    <row r="250" spans="1:16">
      <c r="A250" s="2" t="s">
        <v>280</v>
      </c>
      <c r="B250" s="2" t="s">
        <v>1</v>
      </c>
      <c r="C250" s="2" t="s">
        <v>2</v>
      </c>
      <c r="D250" s="2" t="s">
        <v>100</v>
      </c>
      <c r="E250" s="4" t="str">
        <f t="shared" si="3"/>
        <v>2370 - RHO BETA PSI</v>
      </c>
      <c r="F250" s="2" t="s">
        <v>44</v>
      </c>
      <c r="G250" s="2" t="s">
        <v>45</v>
      </c>
      <c r="J250" s="5" t="str">
        <f>IF(H250="",VLOOKUP(LEFT(F250,1),'Exp-Rev Categories'!A:B,2,FALSE),IF(ISNA(VLOOKUP(H250,'Exp-Rev Categories'!A:B,2,FALSE)),"Revenue",VLOOKUP(H250,'Exp-Rev Categories'!A:B,2,FALSE)))</f>
        <v>Exp-Travel</v>
      </c>
      <c r="K250" s="2">
        <v>0</v>
      </c>
      <c r="L250" s="3">
        <v>73</v>
      </c>
      <c r="M250" s="3">
        <v>0</v>
      </c>
      <c r="N250" s="3">
        <v>-73</v>
      </c>
      <c r="O250" s="3">
        <v>0</v>
      </c>
      <c r="P250" s="2" t="s">
        <v>102</v>
      </c>
    </row>
    <row r="251" spans="1:16">
      <c r="A251" s="2" t="s">
        <v>280</v>
      </c>
      <c r="B251" s="2" t="s">
        <v>1</v>
      </c>
      <c r="C251" s="2" t="s">
        <v>2</v>
      </c>
      <c r="D251" s="2" t="s">
        <v>100</v>
      </c>
      <c r="E251" s="4" t="str">
        <f t="shared" si="3"/>
        <v>2370 - RHO BETA PSI</v>
      </c>
      <c r="F251" s="2" t="s">
        <v>44</v>
      </c>
      <c r="G251" s="2" t="s">
        <v>65</v>
      </c>
      <c r="J251" s="5" t="str">
        <f>IF(H251="",VLOOKUP(LEFT(F251,1),'Exp-Rev Categories'!A:B,2,FALSE),IF(ISNA(VLOOKUP(H251,'Exp-Rev Categories'!A:B,2,FALSE)),"Revenue",VLOOKUP(H251,'Exp-Rev Categories'!A:B,2,FALSE)))</f>
        <v>Exp-Travel</v>
      </c>
      <c r="K251" s="2">
        <v>0</v>
      </c>
      <c r="L251" s="3">
        <v>997.61</v>
      </c>
      <c r="M251" s="3">
        <v>0</v>
      </c>
      <c r="N251" s="3">
        <v>-997.61</v>
      </c>
      <c r="O251" s="3">
        <v>0</v>
      </c>
      <c r="P251" s="2" t="s">
        <v>102</v>
      </c>
    </row>
    <row r="252" spans="1:16">
      <c r="A252" s="2" t="s">
        <v>280</v>
      </c>
      <c r="B252" s="2" t="s">
        <v>1</v>
      </c>
      <c r="C252" s="2" t="s">
        <v>2</v>
      </c>
      <c r="D252" s="2" t="s">
        <v>100</v>
      </c>
      <c r="E252" s="4" t="str">
        <f t="shared" si="3"/>
        <v>2370 - RHO BETA PSI</v>
      </c>
      <c r="F252" s="2" t="s">
        <v>59</v>
      </c>
      <c r="G252" s="2" t="s">
        <v>24</v>
      </c>
      <c r="J252" s="5" t="str">
        <f>IF(H252="",VLOOKUP(LEFT(F252,1),'Exp-Rev Categories'!A:B,2,FALSE),IF(ISNA(VLOOKUP(H252,'Exp-Rev Categories'!A:B,2,FALSE)),"Revenue",VLOOKUP(H252,'Exp-Rev Categories'!A:B,2,FALSE)))</f>
        <v>Exp-Travel</v>
      </c>
      <c r="K252" s="2">
        <v>0</v>
      </c>
      <c r="L252" s="3">
        <v>5548.61</v>
      </c>
      <c r="M252" s="3">
        <v>0</v>
      </c>
      <c r="N252" s="3">
        <v>-5548.61</v>
      </c>
      <c r="O252" s="3">
        <v>0</v>
      </c>
      <c r="P252" s="2" t="s">
        <v>102</v>
      </c>
    </row>
    <row r="253" spans="1:16">
      <c r="A253" s="2" t="s">
        <v>280</v>
      </c>
      <c r="B253" s="2" t="s">
        <v>1</v>
      </c>
      <c r="C253" s="2" t="s">
        <v>2</v>
      </c>
      <c r="D253" s="2" t="s">
        <v>100</v>
      </c>
      <c r="E253" s="4" t="str">
        <f t="shared" si="3"/>
        <v>2370 - RHO BETA PSI</v>
      </c>
      <c r="F253" s="2" t="s">
        <v>59</v>
      </c>
      <c r="G253" s="2" t="s">
        <v>55</v>
      </c>
      <c r="J253" s="5" t="str">
        <f>IF(H253="",VLOOKUP(LEFT(F253,1),'Exp-Rev Categories'!A:B,2,FALSE),IF(ISNA(VLOOKUP(H253,'Exp-Rev Categories'!A:B,2,FALSE)),"Revenue",VLOOKUP(H253,'Exp-Rev Categories'!A:B,2,FALSE)))</f>
        <v>Exp-Travel</v>
      </c>
      <c r="K253" s="2">
        <v>0</v>
      </c>
      <c r="L253" s="3">
        <v>496</v>
      </c>
      <c r="M253" s="3">
        <v>0</v>
      </c>
      <c r="N253" s="3">
        <v>-496</v>
      </c>
      <c r="O253" s="3">
        <v>0</v>
      </c>
      <c r="P253" s="2" t="s">
        <v>102</v>
      </c>
    </row>
    <row r="254" spans="1:16">
      <c r="A254" s="2" t="s">
        <v>280</v>
      </c>
      <c r="B254" s="2" t="s">
        <v>1</v>
      </c>
      <c r="C254" s="2" t="s">
        <v>2</v>
      </c>
      <c r="D254" s="2" t="s">
        <v>100</v>
      </c>
      <c r="E254" s="4" t="str">
        <f t="shared" si="3"/>
        <v>2370 - RHO BETA PSI</v>
      </c>
      <c r="F254" s="2" t="s">
        <v>60</v>
      </c>
      <c r="G254" s="2" t="s">
        <v>24</v>
      </c>
      <c r="J254" s="5" t="str">
        <f>IF(H254="",VLOOKUP(LEFT(F254,1),'Exp-Rev Categories'!A:B,2,FALSE),IF(ISNA(VLOOKUP(H254,'Exp-Rev Categories'!A:B,2,FALSE)),"Revenue",VLOOKUP(H254,'Exp-Rev Categories'!A:B,2,FALSE)))</f>
        <v>Exp-Travel</v>
      </c>
      <c r="K254" s="2">
        <v>0</v>
      </c>
      <c r="L254" s="3">
        <v>4960</v>
      </c>
      <c r="M254" s="3">
        <v>0</v>
      </c>
      <c r="N254" s="3">
        <v>-4960</v>
      </c>
      <c r="O254" s="3">
        <v>0</v>
      </c>
      <c r="P254" s="2" t="s">
        <v>102</v>
      </c>
    </row>
    <row r="255" spans="1:16">
      <c r="A255" s="2" t="s">
        <v>280</v>
      </c>
      <c r="B255" s="2" t="s">
        <v>1</v>
      </c>
      <c r="C255" s="2" t="s">
        <v>2</v>
      </c>
      <c r="D255" s="2" t="s">
        <v>103</v>
      </c>
      <c r="E255" s="4" t="str">
        <f t="shared" si="3"/>
        <v>2382 - ATHLETIC SCHOLARSHIP</v>
      </c>
      <c r="H255" s="2" t="s">
        <v>8</v>
      </c>
      <c r="I255" s="2" t="s">
        <v>9</v>
      </c>
      <c r="J255" s="5" t="str">
        <f>IF(H255="",VLOOKUP(LEFT(F255,1),'Exp-Rev Categories'!A:B,2,FALSE),IF(ISNA(VLOOKUP(H255,'Exp-Rev Categories'!A:B,2,FALSE)),"Revenue",VLOOKUP(H255,'Exp-Rev Categories'!A:B,2,FALSE)))</f>
        <v>Revenue</v>
      </c>
      <c r="K255" s="2">
        <v>0</v>
      </c>
      <c r="L255" s="3">
        <v>-167.82</v>
      </c>
      <c r="M255" s="3">
        <v>0</v>
      </c>
      <c r="N255" s="3">
        <v>167.82</v>
      </c>
      <c r="O255" s="3">
        <v>0</v>
      </c>
      <c r="P255" s="2" t="s">
        <v>212</v>
      </c>
    </row>
    <row r="256" spans="1:16">
      <c r="A256" s="2" t="s">
        <v>280</v>
      </c>
      <c r="B256" s="2" t="s">
        <v>1</v>
      </c>
      <c r="C256" s="2" t="s">
        <v>2</v>
      </c>
      <c r="D256" s="2" t="s">
        <v>103</v>
      </c>
      <c r="E256" s="4" t="str">
        <f t="shared" si="3"/>
        <v>2382 - ATHLETIC SCHOLARSHIP</v>
      </c>
      <c r="H256" s="2" t="s">
        <v>8</v>
      </c>
      <c r="I256" s="2" t="s">
        <v>10</v>
      </c>
      <c r="J256" s="5" t="str">
        <f>IF(H256="",VLOOKUP(LEFT(F256,1),'Exp-Rev Categories'!A:B,2,FALSE),IF(ISNA(VLOOKUP(H256,'Exp-Rev Categories'!A:B,2,FALSE)),"Revenue",VLOOKUP(H256,'Exp-Rev Categories'!A:B,2,FALSE)))</f>
        <v>Revenue</v>
      </c>
      <c r="K256" s="2">
        <v>0</v>
      </c>
      <c r="L256" s="3">
        <v>-21.29</v>
      </c>
      <c r="M256" s="3">
        <v>0</v>
      </c>
      <c r="N256" s="3">
        <v>21.29</v>
      </c>
      <c r="O256" s="3">
        <v>0</v>
      </c>
      <c r="P256" s="2" t="s">
        <v>212</v>
      </c>
    </row>
    <row r="257" spans="1:16">
      <c r="A257" s="2" t="s">
        <v>280</v>
      </c>
      <c r="B257" s="2" t="s">
        <v>1</v>
      </c>
      <c r="C257" s="2" t="s">
        <v>2</v>
      </c>
      <c r="D257" s="2" t="s">
        <v>103</v>
      </c>
      <c r="E257" s="4" t="str">
        <f t="shared" si="3"/>
        <v>2382 - ATHLETIC SCHOLARSHIP</v>
      </c>
      <c r="H257" s="2" t="s">
        <v>8</v>
      </c>
      <c r="I257" s="2" t="s">
        <v>11</v>
      </c>
      <c r="J257" s="5" t="str">
        <f>IF(H257="",VLOOKUP(LEFT(F257,1),'Exp-Rev Categories'!A:B,2,FALSE),IF(ISNA(VLOOKUP(H257,'Exp-Rev Categories'!A:B,2,FALSE)),"Revenue",VLOOKUP(H257,'Exp-Rev Categories'!A:B,2,FALSE)))</f>
        <v>Revenue</v>
      </c>
      <c r="K257" s="2">
        <v>0</v>
      </c>
      <c r="L257" s="3">
        <v>-311.47000000000003</v>
      </c>
      <c r="M257" s="3">
        <v>0</v>
      </c>
      <c r="N257" s="3">
        <v>311.47000000000003</v>
      </c>
      <c r="O257" s="3">
        <v>0</v>
      </c>
      <c r="P257" s="2" t="s">
        <v>212</v>
      </c>
    </row>
    <row r="258" spans="1:16">
      <c r="A258" s="2" t="s">
        <v>280</v>
      </c>
      <c r="B258" s="2" t="s">
        <v>1</v>
      </c>
      <c r="C258" s="2" t="s">
        <v>2</v>
      </c>
      <c r="D258" s="2" t="s">
        <v>103</v>
      </c>
      <c r="E258" s="4" t="str">
        <f t="shared" ref="E258:E321" si="4">D258&amp;" - "&amp;P258</f>
        <v>2382 - ATHLETIC SCHOLARSHIP</v>
      </c>
      <c r="H258" s="2" t="s">
        <v>8</v>
      </c>
      <c r="I258" s="2" t="s">
        <v>12</v>
      </c>
      <c r="J258" s="5" t="str">
        <f>IF(H258="",VLOOKUP(LEFT(F258,1),'Exp-Rev Categories'!A:B,2,FALSE),IF(ISNA(VLOOKUP(H258,'Exp-Rev Categories'!A:B,2,FALSE)),"Revenue",VLOOKUP(H258,'Exp-Rev Categories'!A:B,2,FALSE)))</f>
        <v>Revenue</v>
      </c>
      <c r="K258" s="2">
        <v>0</v>
      </c>
      <c r="L258" s="3">
        <v>-129.54</v>
      </c>
      <c r="M258" s="3">
        <v>0</v>
      </c>
      <c r="N258" s="3">
        <v>129.54</v>
      </c>
      <c r="O258" s="3">
        <v>0</v>
      </c>
      <c r="P258" s="2" t="s">
        <v>212</v>
      </c>
    </row>
    <row r="259" spans="1:16">
      <c r="A259" s="2" t="s">
        <v>280</v>
      </c>
      <c r="B259" s="2" t="s">
        <v>1</v>
      </c>
      <c r="C259" s="2" t="s">
        <v>2</v>
      </c>
      <c r="D259" s="2" t="s">
        <v>103</v>
      </c>
      <c r="E259" s="4" t="str">
        <f t="shared" si="4"/>
        <v>2382 - ATHLETIC SCHOLARSHIP</v>
      </c>
      <c r="H259" s="2" t="s">
        <v>8</v>
      </c>
      <c r="I259" s="2" t="s">
        <v>13</v>
      </c>
      <c r="J259" s="5" t="str">
        <f>IF(H259="",VLOOKUP(LEFT(F259,1),'Exp-Rev Categories'!A:B,2,FALSE),IF(ISNA(VLOOKUP(H259,'Exp-Rev Categories'!A:B,2,FALSE)),"Revenue",VLOOKUP(H259,'Exp-Rev Categories'!A:B,2,FALSE)))</f>
        <v>Revenue</v>
      </c>
      <c r="K259" s="2">
        <v>0</v>
      </c>
      <c r="L259" s="3">
        <v>-27.48</v>
      </c>
      <c r="M259" s="3">
        <v>0</v>
      </c>
      <c r="N259" s="3">
        <v>27.48</v>
      </c>
      <c r="O259" s="3">
        <v>0</v>
      </c>
      <c r="P259" s="2" t="s">
        <v>212</v>
      </c>
    </row>
    <row r="260" spans="1:16">
      <c r="A260" s="2" t="s">
        <v>280</v>
      </c>
      <c r="B260" s="2" t="s">
        <v>1</v>
      </c>
      <c r="C260" s="2" t="s">
        <v>2</v>
      </c>
      <c r="D260" s="2" t="s">
        <v>103</v>
      </c>
      <c r="E260" s="4" t="str">
        <f t="shared" si="4"/>
        <v>2382 - ATHLETIC SCHOLARSHIP</v>
      </c>
      <c r="H260" s="2" t="s">
        <v>8</v>
      </c>
      <c r="I260" s="2" t="s">
        <v>14</v>
      </c>
      <c r="J260" s="5" t="str">
        <f>IF(H260="",VLOOKUP(LEFT(F260,1),'Exp-Rev Categories'!A:B,2,FALSE),IF(ISNA(VLOOKUP(H260,'Exp-Rev Categories'!A:B,2,FALSE)),"Revenue",VLOOKUP(H260,'Exp-Rev Categories'!A:B,2,FALSE)))</f>
        <v>Revenue</v>
      </c>
      <c r="K260" s="2">
        <v>0</v>
      </c>
      <c r="L260" s="3">
        <v>-1.84</v>
      </c>
      <c r="M260" s="3">
        <v>0</v>
      </c>
      <c r="N260" s="3">
        <v>1.84</v>
      </c>
      <c r="O260" s="3">
        <v>0</v>
      </c>
      <c r="P260" s="2" t="s">
        <v>212</v>
      </c>
    </row>
    <row r="261" spans="1:16">
      <c r="A261" s="2" t="s">
        <v>280</v>
      </c>
      <c r="B261" s="2" t="s">
        <v>1</v>
      </c>
      <c r="C261" s="2" t="s">
        <v>2</v>
      </c>
      <c r="D261" s="2" t="s">
        <v>103</v>
      </c>
      <c r="E261" s="4" t="str">
        <f t="shared" si="4"/>
        <v>2382 - ATHLETIC SCHOLARSHIP</v>
      </c>
      <c r="H261" s="2" t="s">
        <v>8</v>
      </c>
      <c r="I261" s="2" t="s">
        <v>15</v>
      </c>
      <c r="J261" s="5" t="str">
        <f>IF(H261="",VLOOKUP(LEFT(F261,1),'Exp-Rev Categories'!A:B,2,FALSE),IF(ISNA(VLOOKUP(H261,'Exp-Rev Categories'!A:B,2,FALSE)),"Revenue",VLOOKUP(H261,'Exp-Rev Categories'!A:B,2,FALSE)))</f>
        <v>Revenue</v>
      </c>
      <c r="K261" s="2">
        <v>0</v>
      </c>
      <c r="L261" s="3">
        <v>-5655.46</v>
      </c>
      <c r="M261" s="3">
        <v>0</v>
      </c>
      <c r="N261" s="3">
        <v>5655.46</v>
      </c>
      <c r="O261" s="3">
        <v>0</v>
      </c>
      <c r="P261" s="2" t="s">
        <v>212</v>
      </c>
    </row>
    <row r="262" spans="1:16">
      <c r="A262" s="2" t="s">
        <v>280</v>
      </c>
      <c r="B262" s="2" t="s">
        <v>1</v>
      </c>
      <c r="C262" s="2" t="s">
        <v>2</v>
      </c>
      <c r="D262" s="2" t="s">
        <v>103</v>
      </c>
      <c r="E262" s="4" t="str">
        <f t="shared" si="4"/>
        <v>2382 - ATHLETIC SCHOLARSHIP</v>
      </c>
      <c r="H262" s="2" t="s">
        <v>8</v>
      </c>
      <c r="I262" s="2" t="s">
        <v>16</v>
      </c>
      <c r="J262" s="5" t="str">
        <f>IF(H262="",VLOOKUP(LEFT(F262,1),'Exp-Rev Categories'!A:B,2,FALSE),IF(ISNA(VLOOKUP(H262,'Exp-Rev Categories'!A:B,2,FALSE)),"Revenue",VLOOKUP(H262,'Exp-Rev Categories'!A:B,2,FALSE)))</f>
        <v>Revenue</v>
      </c>
      <c r="K262" s="2">
        <v>0</v>
      </c>
      <c r="L262" s="3">
        <v>-10037.209999999999</v>
      </c>
      <c r="M262" s="3">
        <v>0</v>
      </c>
      <c r="N262" s="3">
        <v>10037.209999999999</v>
      </c>
      <c r="O262" s="3">
        <v>0</v>
      </c>
      <c r="P262" s="2" t="s">
        <v>212</v>
      </c>
    </row>
    <row r="263" spans="1:16">
      <c r="A263" s="2" t="s">
        <v>280</v>
      </c>
      <c r="B263" s="2" t="s">
        <v>1</v>
      </c>
      <c r="C263" s="2" t="s">
        <v>2</v>
      </c>
      <c r="D263" s="2" t="s">
        <v>103</v>
      </c>
      <c r="E263" s="4" t="str">
        <f t="shared" si="4"/>
        <v>2382 - ATHLETIC SCHOLARSHIP</v>
      </c>
      <c r="H263" s="2" t="s">
        <v>8</v>
      </c>
      <c r="I263" s="2" t="s">
        <v>17</v>
      </c>
      <c r="J263" s="5" t="str">
        <f>IF(H263="",VLOOKUP(LEFT(F263,1),'Exp-Rev Categories'!A:B,2,FALSE),IF(ISNA(VLOOKUP(H263,'Exp-Rev Categories'!A:B,2,FALSE)),"Revenue",VLOOKUP(H263,'Exp-Rev Categories'!A:B,2,FALSE)))</f>
        <v>Revenue</v>
      </c>
      <c r="K263" s="2">
        <v>0</v>
      </c>
      <c r="L263" s="3">
        <v>-96</v>
      </c>
      <c r="M263" s="3">
        <v>0</v>
      </c>
      <c r="N263" s="3">
        <v>96</v>
      </c>
      <c r="O263" s="3">
        <v>0</v>
      </c>
      <c r="P263" s="2" t="s">
        <v>212</v>
      </c>
    </row>
    <row r="264" spans="1:16">
      <c r="A264" s="2" t="s">
        <v>280</v>
      </c>
      <c r="B264" s="2" t="s">
        <v>1</v>
      </c>
      <c r="C264" s="2" t="s">
        <v>2</v>
      </c>
      <c r="D264" s="2" t="s">
        <v>103</v>
      </c>
      <c r="E264" s="4" t="str">
        <f t="shared" si="4"/>
        <v>2382 - ATHLETIC SCHOLARSHIP</v>
      </c>
      <c r="H264" s="2" t="s">
        <v>8</v>
      </c>
      <c r="I264" s="2" t="s">
        <v>18</v>
      </c>
      <c r="J264" s="5" t="str">
        <f>IF(H264="",VLOOKUP(LEFT(F264,1),'Exp-Rev Categories'!A:B,2,FALSE),IF(ISNA(VLOOKUP(H264,'Exp-Rev Categories'!A:B,2,FALSE)),"Revenue",VLOOKUP(H264,'Exp-Rev Categories'!A:B,2,FALSE)))</f>
        <v>Revenue</v>
      </c>
      <c r="K264" s="2">
        <v>0</v>
      </c>
      <c r="L264" s="3">
        <v>-931.68</v>
      </c>
      <c r="M264" s="3">
        <v>0</v>
      </c>
      <c r="N264" s="3">
        <v>931.68</v>
      </c>
      <c r="O264" s="3">
        <v>0</v>
      </c>
      <c r="P264" s="2" t="s">
        <v>212</v>
      </c>
    </row>
    <row r="265" spans="1:16">
      <c r="A265" s="2" t="s">
        <v>280</v>
      </c>
      <c r="B265" s="2" t="s">
        <v>1</v>
      </c>
      <c r="C265" s="2" t="s">
        <v>2</v>
      </c>
      <c r="D265" s="2" t="s">
        <v>103</v>
      </c>
      <c r="E265" s="4" t="str">
        <f t="shared" si="4"/>
        <v>2382 - ATHLETIC SCHOLARSHIP</v>
      </c>
      <c r="H265" s="2" t="s">
        <v>8</v>
      </c>
      <c r="I265" s="2" t="s">
        <v>19</v>
      </c>
      <c r="J265" s="5" t="str">
        <f>IF(H265="",VLOOKUP(LEFT(F265,1),'Exp-Rev Categories'!A:B,2,FALSE),IF(ISNA(VLOOKUP(H265,'Exp-Rev Categories'!A:B,2,FALSE)),"Revenue",VLOOKUP(H265,'Exp-Rev Categories'!A:B,2,FALSE)))</f>
        <v>Revenue</v>
      </c>
      <c r="K265" s="2">
        <v>0</v>
      </c>
      <c r="L265" s="3">
        <v>-514.16999999999996</v>
      </c>
      <c r="M265" s="3">
        <v>0</v>
      </c>
      <c r="N265" s="3">
        <v>514.16999999999996</v>
      </c>
      <c r="O265" s="3">
        <v>0</v>
      </c>
      <c r="P265" s="2" t="s">
        <v>212</v>
      </c>
    </row>
    <row r="266" spans="1:16">
      <c r="A266" s="2" t="s">
        <v>280</v>
      </c>
      <c r="B266" s="2" t="s">
        <v>1</v>
      </c>
      <c r="C266" s="2" t="s">
        <v>2</v>
      </c>
      <c r="D266" s="2" t="s">
        <v>103</v>
      </c>
      <c r="E266" s="4" t="str">
        <f t="shared" si="4"/>
        <v>2382 - ATHLETIC SCHOLARSHIP</v>
      </c>
      <c r="H266" s="2" t="s">
        <v>8</v>
      </c>
      <c r="I266" s="2" t="s">
        <v>20</v>
      </c>
      <c r="J266" s="5" t="str">
        <f>IF(H266="",VLOOKUP(LEFT(F266,1),'Exp-Rev Categories'!A:B,2,FALSE),IF(ISNA(VLOOKUP(H266,'Exp-Rev Categories'!A:B,2,FALSE)),"Revenue",VLOOKUP(H266,'Exp-Rev Categories'!A:B,2,FALSE)))</f>
        <v>Revenue</v>
      </c>
      <c r="K266" s="2">
        <v>0</v>
      </c>
      <c r="L266" s="3">
        <v>-70701.850000000006</v>
      </c>
      <c r="M266" s="3">
        <v>0</v>
      </c>
      <c r="N266" s="3">
        <v>70701.850000000006</v>
      </c>
      <c r="O266" s="3">
        <v>0</v>
      </c>
      <c r="P266" s="2" t="s">
        <v>212</v>
      </c>
    </row>
    <row r="267" spans="1:16">
      <c r="A267" s="2" t="s">
        <v>280</v>
      </c>
      <c r="B267" s="2" t="s">
        <v>1</v>
      </c>
      <c r="C267" s="2" t="s">
        <v>2</v>
      </c>
      <c r="D267" s="2" t="s">
        <v>103</v>
      </c>
      <c r="E267" s="4" t="str">
        <f t="shared" si="4"/>
        <v>2382 - ATHLETIC SCHOLARSHIP</v>
      </c>
      <c r="H267" s="2" t="s">
        <v>53</v>
      </c>
      <c r="J267" s="5" t="str">
        <f>IF(H267="",VLOOKUP(LEFT(F267,1),'Exp-Rev Categories'!A:B,2,FALSE),IF(ISNA(VLOOKUP(H267,'Exp-Rev Categories'!A:B,2,FALSE)),"Revenue",VLOOKUP(H267,'Exp-Rev Categories'!A:B,2,FALSE)))</f>
        <v>Rev-Fund Transfers - Out</v>
      </c>
      <c r="K267" s="2">
        <v>0</v>
      </c>
      <c r="L267" s="3">
        <v>64553</v>
      </c>
      <c r="M267" s="3">
        <v>0</v>
      </c>
      <c r="N267" s="3">
        <v>-64553</v>
      </c>
      <c r="O267" s="3">
        <v>0</v>
      </c>
      <c r="P267" s="2" t="s">
        <v>212</v>
      </c>
    </row>
    <row r="268" spans="1:16">
      <c r="A268" s="2" t="s">
        <v>280</v>
      </c>
      <c r="B268" s="2" t="s">
        <v>1</v>
      </c>
      <c r="C268" s="2" t="s">
        <v>2</v>
      </c>
      <c r="D268" s="2" t="s">
        <v>103</v>
      </c>
      <c r="E268" s="4" t="str">
        <f t="shared" si="4"/>
        <v>2382 - ATHLETIC SCHOLARSHIP</v>
      </c>
      <c r="H268" s="2" t="s">
        <v>22</v>
      </c>
      <c r="J268" s="5" t="str">
        <f>IF(H268="",VLOOKUP(LEFT(F268,1),'Exp-Rev Categories'!A:B,2,FALSE),IF(ISNA(VLOOKUP(H268,'Exp-Rev Categories'!A:B,2,FALSE)),"Revenue",VLOOKUP(H268,'Exp-Rev Categories'!A:B,2,FALSE)))</f>
        <v>Carryforward</v>
      </c>
      <c r="K268" s="2">
        <v>0</v>
      </c>
      <c r="L268" s="3">
        <v>-70.260000000000005</v>
      </c>
      <c r="M268" s="3">
        <v>0</v>
      </c>
      <c r="N268" s="3">
        <v>70.260000000000005</v>
      </c>
      <c r="O268" s="3">
        <v>0</v>
      </c>
      <c r="P268" s="2" t="s">
        <v>212</v>
      </c>
    </row>
    <row r="269" spans="1:16">
      <c r="A269" s="2" t="s">
        <v>280</v>
      </c>
      <c r="B269" s="2" t="s">
        <v>1</v>
      </c>
      <c r="C269" s="2" t="s">
        <v>2</v>
      </c>
      <c r="D269" s="2" t="s">
        <v>104</v>
      </c>
      <c r="E269" s="4" t="str">
        <f t="shared" si="4"/>
        <v>2383 - S&amp;A FINANCIAL AID</v>
      </c>
      <c r="H269" s="2" t="s">
        <v>8</v>
      </c>
      <c r="I269" s="2" t="s">
        <v>9</v>
      </c>
      <c r="J269" s="5" t="str">
        <f>IF(H269="",VLOOKUP(LEFT(F269,1),'Exp-Rev Categories'!A:B,2,FALSE),IF(ISNA(VLOOKUP(H269,'Exp-Rev Categories'!A:B,2,FALSE)),"Revenue",VLOOKUP(H269,'Exp-Rev Categories'!A:B,2,FALSE)))</f>
        <v>Revenue</v>
      </c>
      <c r="K269" s="2">
        <v>0</v>
      </c>
      <c r="L269" s="3">
        <v>-125.23</v>
      </c>
      <c r="M269" s="3">
        <v>0</v>
      </c>
      <c r="N269" s="3">
        <v>125.23</v>
      </c>
      <c r="O269" s="3">
        <v>0</v>
      </c>
      <c r="P269" s="2" t="s">
        <v>213</v>
      </c>
    </row>
    <row r="270" spans="1:16">
      <c r="A270" s="2" t="s">
        <v>280</v>
      </c>
      <c r="B270" s="2" t="s">
        <v>1</v>
      </c>
      <c r="C270" s="2" t="s">
        <v>2</v>
      </c>
      <c r="D270" s="2" t="s">
        <v>104</v>
      </c>
      <c r="E270" s="4" t="str">
        <f t="shared" si="4"/>
        <v>2383 - S&amp;A FINANCIAL AID</v>
      </c>
      <c r="H270" s="2" t="s">
        <v>8</v>
      </c>
      <c r="I270" s="2" t="s">
        <v>10</v>
      </c>
      <c r="J270" s="5" t="str">
        <f>IF(H270="",VLOOKUP(LEFT(F270,1),'Exp-Rev Categories'!A:B,2,FALSE),IF(ISNA(VLOOKUP(H270,'Exp-Rev Categories'!A:B,2,FALSE)),"Revenue",VLOOKUP(H270,'Exp-Rev Categories'!A:B,2,FALSE)))</f>
        <v>Revenue</v>
      </c>
      <c r="K270" s="2">
        <v>0</v>
      </c>
      <c r="L270" s="3">
        <v>-15.89</v>
      </c>
      <c r="M270" s="3">
        <v>0</v>
      </c>
      <c r="N270" s="3">
        <v>15.89</v>
      </c>
      <c r="O270" s="3">
        <v>0</v>
      </c>
      <c r="P270" s="2" t="s">
        <v>213</v>
      </c>
    </row>
    <row r="271" spans="1:16">
      <c r="A271" s="2" t="s">
        <v>280</v>
      </c>
      <c r="B271" s="2" t="s">
        <v>1</v>
      </c>
      <c r="C271" s="2" t="s">
        <v>2</v>
      </c>
      <c r="D271" s="2" t="s">
        <v>104</v>
      </c>
      <c r="E271" s="4" t="str">
        <f t="shared" si="4"/>
        <v>2383 - S&amp;A FINANCIAL AID</v>
      </c>
      <c r="H271" s="2" t="s">
        <v>8</v>
      </c>
      <c r="I271" s="2" t="s">
        <v>11</v>
      </c>
      <c r="J271" s="5" t="str">
        <f>IF(H271="",VLOOKUP(LEFT(F271,1),'Exp-Rev Categories'!A:B,2,FALSE),IF(ISNA(VLOOKUP(H271,'Exp-Rev Categories'!A:B,2,FALSE)),"Revenue",VLOOKUP(H271,'Exp-Rev Categories'!A:B,2,FALSE)))</f>
        <v>Revenue</v>
      </c>
      <c r="K271" s="2">
        <v>0</v>
      </c>
      <c r="L271" s="3">
        <v>-232.45</v>
      </c>
      <c r="M271" s="3">
        <v>0</v>
      </c>
      <c r="N271" s="3">
        <v>232.45</v>
      </c>
      <c r="O271" s="3">
        <v>0</v>
      </c>
      <c r="P271" s="2" t="s">
        <v>213</v>
      </c>
    </row>
    <row r="272" spans="1:16">
      <c r="A272" s="2" t="s">
        <v>280</v>
      </c>
      <c r="B272" s="2" t="s">
        <v>1</v>
      </c>
      <c r="C272" s="2" t="s">
        <v>2</v>
      </c>
      <c r="D272" s="2" t="s">
        <v>104</v>
      </c>
      <c r="E272" s="4" t="str">
        <f t="shared" si="4"/>
        <v>2383 - S&amp;A FINANCIAL AID</v>
      </c>
      <c r="H272" s="2" t="s">
        <v>8</v>
      </c>
      <c r="I272" s="2" t="s">
        <v>12</v>
      </c>
      <c r="J272" s="5" t="str">
        <f>IF(H272="",VLOOKUP(LEFT(F272,1),'Exp-Rev Categories'!A:B,2,FALSE),IF(ISNA(VLOOKUP(H272,'Exp-Rev Categories'!A:B,2,FALSE)),"Revenue",VLOOKUP(H272,'Exp-Rev Categories'!A:B,2,FALSE)))</f>
        <v>Revenue</v>
      </c>
      <c r="K272" s="2">
        <v>0</v>
      </c>
      <c r="L272" s="3">
        <v>-96.67</v>
      </c>
      <c r="M272" s="3">
        <v>0</v>
      </c>
      <c r="N272" s="3">
        <v>96.67</v>
      </c>
      <c r="O272" s="3">
        <v>0</v>
      </c>
      <c r="P272" s="2" t="s">
        <v>213</v>
      </c>
    </row>
    <row r="273" spans="1:16">
      <c r="A273" s="2" t="s">
        <v>280</v>
      </c>
      <c r="B273" s="2" t="s">
        <v>1</v>
      </c>
      <c r="C273" s="2" t="s">
        <v>2</v>
      </c>
      <c r="D273" s="2" t="s">
        <v>104</v>
      </c>
      <c r="E273" s="4" t="str">
        <f t="shared" si="4"/>
        <v>2383 - S&amp;A FINANCIAL AID</v>
      </c>
      <c r="H273" s="2" t="s">
        <v>8</v>
      </c>
      <c r="I273" s="2" t="s">
        <v>13</v>
      </c>
      <c r="J273" s="5" t="str">
        <f>IF(H273="",VLOOKUP(LEFT(F273,1),'Exp-Rev Categories'!A:B,2,FALSE),IF(ISNA(VLOOKUP(H273,'Exp-Rev Categories'!A:B,2,FALSE)),"Revenue",VLOOKUP(H273,'Exp-Rev Categories'!A:B,2,FALSE)))</f>
        <v>Revenue</v>
      </c>
      <c r="K273" s="2">
        <v>0</v>
      </c>
      <c r="L273" s="3">
        <v>-20.52</v>
      </c>
      <c r="M273" s="3">
        <v>0</v>
      </c>
      <c r="N273" s="3">
        <v>20.52</v>
      </c>
      <c r="O273" s="3">
        <v>0</v>
      </c>
      <c r="P273" s="2" t="s">
        <v>213</v>
      </c>
    </row>
    <row r="274" spans="1:16">
      <c r="A274" s="2" t="s">
        <v>280</v>
      </c>
      <c r="B274" s="2" t="s">
        <v>1</v>
      </c>
      <c r="C274" s="2" t="s">
        <v>2</v>
      </c>
      <c r="D274" s="2" t="s">
        <v>104</v>
      </c>
      <c r="E274" s="4" t="str">
        <f t="shared" si="4"/>
        <v>2383 - S&amp;A FINANCIAL AID</v>
      </c>
      <c r="H274" s="2" t="s">
        <v>8</v>
      </c>
      <c r="I274" s="2" t="s">
        <v>14</v>
      </c>
      <c r="J274" s="5" t="str">
        <f>IF(H274="",VLOOKUP(LEFT(F274,1),'Exp-Rev Categories'!A:B,2,FALSE),IF(ISNA(VLOOKUP(H274,'Exp-Rev Categories'!A:B,2,FALSE)),"Revenue",VLOOKUP(H274,'Exp-Rev Categories'!A:B,2,FALSE)))</f>
        <v>Revenue</v>
      </c>
      <c r="K274" s="2">
        <v>0</v>
      </c>
      <c r="L274" s="3">
        <v>-1.37</v>
      </c>
      <c r="M274" s="3">
        <v>0</v>
      </c>
      <c r="N274" s="3">
        <v>1.37</v>
      </c>
      <c r="O274" s="3">
        <v>0</v>
      </c>
      <c r="P274" s="2" t="s">
        <v>213</v>
      </c>
    </row>
    <row r="275" spans="1:16">
      <c r="A275" s="2" t="s">
        <v>280</v>
      </c>
      <c r="B275" s="2" t="s">
        <v>1</v>
      </c>
      <c r="C275" s="2" t="s">
        <v>2</v>
      </c>
      <c r="D275" s="2" t="s">
        <v>104</v>
      </c>
      <c r="E275" s="4" t="str">
        <f t="shared" si="4"/>
        <v>2383 - S&amp;A FINANCIAL AID</v>
      </c>
      <c r="H275" s="2" t="s">
        <v>8</v>
      </c>
      <c r="I275" s="2" t="s">
        <v>15</v>
      </c>
      <c r="J275" s="5" t="str">
        <f>IF(H275="",VLOOKUP(LEFT(F275,1),'Exp-Rev Categories'!A:B,2,FALSE),IF(ISNA(VLOOKUP(H275,'Exp-Rev Categories'!A:B,2,FALSE)),"Revenue",VLOOKUP(H275,'Exp-Rev Categories'!A:B,2,FALSE)))</f>
        <v>Revenue</v>
      </c>
      <c r="K275" s="2">
        <v>0</v>
      </c>
      <c r="L275" s="3">
        <v>-4220.49</v>
      </c>
      <c r="M275" s="3">
        <v>0</v>
      </c>
      <c r="N275" s="3">
        <v>4220.49</v>
      </c>
      <c r="O275" s="3">
        <v>0</v>
      </c>
      <c r="P275" s="2" t="s">
        <v>213</v>
      </c>
    </row>
    <row r="276" spans="1:16">
      <c r="A276" s="2" t="s">
        <v>280</v>
      </c>
      <c r="B276" s="2" t="s">
        <v>1</v>
      </c>
      <c r="C276" s="2" t="s">
        <v>2</v>
      </c>
      <c r="D276" s="2" t="s">
        <v>104</v>
      </c>
      <c r="E276" s="4" t="str">
        <f t="shared" si="4"/>
        <v>2383 - S&amp;A FINANCIAL AID</v>
      </c>
      <c r="H276" s="2" t="s">
        <v>8</v>
      </c>
      <c r="I276" s="2" t="s">
        <v>16</v>
      </c>
      <c r="J276" s="5" t="str">
        <f>IF(H276="",VLOOKUP(LEFT(F276,1),'Exp-Rev Categories'!A:B,2,FALSE),IF(ISNA(VLOOKUP(H276,'Exp-Rev Categories'!A:B,2,FALSE)),"Revenue",VLOOKUP(H276,'Exp-Rev Categories'!A:B,2,FALSE)))</f>
        <v>Revenue</v>
      </c>
      <c r="K276" s="2">
        <v>0</v>
      </c>
      <c r="L276" s="3">
        <v>-7490.46</v>
      </c>
      <c r="M276" s="3">
        <v>0</v>
      </c>
      <c r="N276" s="3">
        <v>7490.46</v>
      </c>
      <c r="O276" s="3">
        <v>0</v>
      </c>
      <c r="P276" s="2" t="s">
        <v>213</v>
      </c>
    </row>
    <row r="277" spans="1:16">
      <c r="A277" s="2" t="s">
        <v>280</v>
      </c>
      <c r="B277" s="2" t="s">
        <v>1</v>
      </c>
      <c r="C277" s="2" t="s">
        <v>2</v>
      </c>
      <c r="D277" s="2" t="s">
        <v>104</v>
      </c>
      <c r="E277" s="4" t="str">
        <f t="shared" si="4"/>
        <v>2383 - S&amp;A FINANCIAL AID</v>
      </c>
      <c r="H277" s="2" t="s">
        <v>8</v>
      </c>
      <c r="I277" s="2" t="s">
        <v>17</v>
      </c>
      <c r="J277" s="5" t="str">
        <f>IF(H277="",VLOOKUP(LEFT(F277,1),'Exp-Rev Categories'!A:B,2,FALSE),IF(ISNA(VLOOKUP(H277,'Exp-Rev Categories'!A:B,2,FALSE)),"Revenue",VLOOKUP(H277,'Exp-Rev Categories'!A:B,2,FALSE)))</f>
        <v>Revenue</v>
      </c>
      <c r="K277" s="2">
        <v>0</v>
      </c>
      <c r="L277" s="3">
        <v>-71.64</v>
      </c>
      <c r="M277" s="3">
        <v>0</v>
      </c>
      <c r="N277" s="3">
        <v>71.64</v>
      </c>
      <c r="O277" s="3">
        <v>0</v>
      </c>
      <c r="P277" s="2" t="s">
        <v>213</v>
      </c>
    </row>
    <row r="278" spans="1:16">
      <c r="A278" s="2" t="s">
        <v>280</v>
      </c>
      <c r="B278" s="2" t="s">
        <v>1</v>
      </c>
      <c r="C278" s="2" t="s">
        <v>2</v>
      </c>
      <c r="D278" s="2" t="s">
        <v>104</v>
      </c>
      <c r="E278" s="4" t="str">
        <f t="shared" si="4"/>
        <v>2383 - S&amp;A FINANCIAL AID</v>
      </c>
      <c r="H278" s="2" t="s">
        <v>8</v>
      </c>
      <c r="I278" s="2" t="s">
        <v>18</v>
      </c>
      <c r="J278" s="5" t="str">
        <f>IF(H278="",VLOOKUP(LEFT(F278,1),'Exp-Rev Categories'!A:B,2,FALSE),IF(ISNA(VLOOKUP(H278,'Exp-Rev Categories'!A:B,2,FALSE)),"Revenue",VLOOKUP(H278,'Exp-Rev Categories'!A:B,2,FALSE)))</f>
        <v>Revenue</v>
      </c>
      <c r="K278" s="2">
        <v>0</v>
      </c>
      <c r="L278" s="3">
        <v>-695.3</v>
      </c>
      <c r="M278" s="3">
        <v>0</v>
      </c>
      <c r="N278" s="3">
        <v>695.3</v>
      </c>
      <c r="O278" s="3">
        <v>0</v>
      </c>
      <c r="P278" s="2" t="s">
        <v>213</v>
      </c>
    </row>
    <row r="279" spans="1:16">
      <c r="A279" s="2" t="s">
        <v>280</v>
      </c>
      <c r="B279" s="2" t="s">
        <v>1</v>
      </c>
      <c r="C279" s="2" t="s">
        <v>2</v>
      </c>
      <c r="D279" s="2" t="s">
        <v>104</v>
      </c>
      <c r="E279" s="4" t="str">
        <f t="shared" si="4"/>
        <v>2383 - S&amp;A FINANCIAL AID</v>
      </c>
      <c r="H279" s="2" t="s">
        <v>8</v>
      </c>
      <c r="I279" s="2" t="s">
        <v>19</v>
      </c>
      <c r="J279" s="5" t="str">
        <f>IF(H279="",VLOOKUP(LEFT(F279,1),'Exp-Rev Categories'!A:B,2,FALSE),IF(ISNA(VLOOKUP(H279,'Exp-Rev Categories'!A:B,2,FALSE)),"Revenue",VLOOKUP(H279,'Exp-Rev Categories'!A:B,2,FALSE)))</f>
        <v>Revenue</v>
      </c>
      <c r="K279" s="2">
        <v>0</v>
      </c>
      <c r="L279" s="3">
        <v>-383.71</v>
      </c>
      <c r="M279" s="3">
        <v>0</v>
      </c>
      <c r="N279" s="3">
        <v>383.71</v>
      </c>
      <c r="O279" s="3">
        <v>0</v>
      </c>
      <c r="P279" s="2" t="s">
        <v>213</v>
      </c>
    </row>
    <row r="280" spans="1:16">
      <c r="A280" s="2" t="s">
        <v>280</v>
      </c>
      <c r="B280" s="2" t="s">
        <v>1</v>
      </c>
      <c r="C280" s="2" t="s">
        <v>2</v>
      </c>
      <c r="D280" s="2" t="s">
        <v>104</v>
      </c>
      <c r="E280" s="4" t="str">
        <f t="shared" si="4"/>
        <v>2383 - S&amp;A FINANCIAL AID</v>
      </c>
      <c r="H280" s="2" t="s">
        <v>8</v>
      </c>
      <c r="I280" s="2" t="s">
        <v>20</v>
      </c>
      <c r="J280" s="5" t="str">
        <f>IF(H280="",VLOOKUP(LEFT(F280,1),'Exp-Rev Categories'!A:B,2,FALSE),IF(ISNA(VLOOKUP(H280,'Exp-Rev Categories'!A:B,2,FALSE)),"Revenue",VLOOKUP(H280,'Exp-Rev Categories'!A:B,2,FALSE)))</f>
        <v>Revenue</v>
      </c>
      <c r="K280" s="2">
        <v>0</v>
      </c>
      <c r="L280" s="3">
        <v>-52762.57</v>
      </c>
      <c r="M280" s="3">
        <v>0</v>
      </c>
      <c r="N280" s="3">
        <v>52762.57</v>
      </c>
      <c r="O280" s="3">
        <v>0</v>
      </c>
      <c r="P280" s="2" t="s">
        <v>213</v>
      </c>
    </row>
    <row r="281" spans="1:16">
      <c r="A281" s="2" t="s">
        <v>280</v>
      </c>
      <c r="B281" s="2" t="s">
        <v>1</v>
      </c>
      <c r="C281" s="2" t="s">
        <v>2</v>
      </c>
      <c r="D281" s="2" t="s">
        <v>104</v>
      </c>
      <c r="E281" s="4" t="str">
        <f t="shared" si="4"/>
        <v>2383 - S&amp;A FINANCIAL AID</v>
      </c>
      <c r="H281" s="2" t="s">
        <v>22</v>
      </c>
      <c r="J281" s="5" t="str">
        <f>IF(H281="",VLOOKUP(LEFT(F281,1),'Exp-Rev Categories'!A:B,2,FALSE),IF(ISNA(VLOOKUP(H281,'Exp-Rev Categories'!A:B,2,FALSE)),"Revenue",VLOOKUP(H281,'Exp-Rev Categories'!A:B,2,FALSE)))</f>
        <v>Carryforward</v>
      </c>
      <c r="K281" s="2">
        <v>0</v>
      </c>
      <c r="L281" s="3">
        <v>-112915.26</v>
      </c>
      <c r="M281" s="3">
        <v>0</v>
      </c>
      <c r="N281" s="3">
        <v>112915.26</v>
      </c>
      <c r="O281" s="3">
        <v>0</v>
      </c>
      <c r="P281" s="2" t="s">
        <v>213</v>
      </c>
    </row>
    <row r="282" spans="1:16">
      <c r="A282" s="2" t="s">
        <v>280</v>
      </c>
      <c r="B282" s="2" t="s">
        <v>1</v>
      </c>
      <c r="C282" s="2" t="s">
        <v>2</v>
      </c>
      <c r="D282" s="2" t="s">
        <v>104</v>
      </c>
      <c r="E282" s="4" t="str">
        <f t="shared" si="4"/>
        <v>2383 - S&amp;A FINANCIAL AID</v>
      </c>
      <c r="F282" s="2" t="s">
        <v>105</v>
      </c>
      <c r="J282" s="5" t="str">
        <f>IF(H282="",VLOOKUP(LEFT(F282,1),'Exp-Rev Categories'!A:B,2,FALSE),IF(ISNA(VLOOKUP(H282,'Exp-Rev Categories'!A:B,2,FALSE)),"Revenue",VLOOKUP(H282,'Exp-Rev Categories'!A:B,2,FALSE)))</f>
        <v>Exp-Grants/Scholarships</v>
      </c>
      <c r="K282" s="2">
        <v>0</v>
      </c>
      <c r="L282" s="3">
        <v>133426.79999999999</v>
      </c>
      <c r="M282" s="3">
        <v>0</v>
      </c>
      <c r="N282" s="3">
        <v>-133426.79999999999</v>
      </c>
      <c r="O282" s="3">
        <v>0</v>
      </c>
      <c r="P282" s="2" t="s">
        <v>213</v>
      </c>
    </row>
    <row r="283" spans="1:16">
      <c r="A283" s="2" t="s">
        <v>280</v>
      </c>
      <c r="B283" s="2" t="s">
        <v>1</v>
      </c>
      <c r="C283" s="2" t="s">
        <v>2</v>
      </c>
      <c r="D283" s="2" t="s">
        <v>214</v>
      </c>
      <c r="E283" s="4" t="str">
        <f t="shared" si="4"/>
        <v>2385 - SODEXO - SCC CLUBS</v>
      </c>
      <c r="F283" s="2" t="s">
        <v>29</v>
      </c>
      <c r="J283" s="5" t="str">
        <f>IF(H283="",VLOOKUP(LEFT(F283,1),'Exp-Rev Categories'!A:B,2,FALSE),IF(ISNA(VLOOKUP(H283,'Exp-Rev Categories'!A:B,2,FALSE)),"Revenue",VLOOKUP(H283,'Exp-Rev Categories'!A:B,2,FALSE)))</f>
        <v>Exp-Goods &amp; Services</v>
      </c>
      <c r="K283" s="2">
        <v>0</v>
      </c>
      <c r="L283" s="3">
        <v>0</v>
      </c>
      <c r="M283" s="3">
        <v>0</v>
      </c>
      <c r="N283" s="3">
        <v>0</v>
      </c>
      <c r="O283" s="3">
        <v>0</v>
      </c>
      <c r="P283" s="2" t="s">
        <v>215</v>
      </c>
    </row>
    <row r="284" spans="1:16">
      <c r="A284" s="2" t="s">
        <v>280</v>
      </c>
      <c r="B284" s="2" t="s">
        <v>1</v>
      </c>
      <c r="C284" s="2" t="s">
        <v>2</v>
      </c>
      <c r="D284" s="2" t="s">
        <v>214</v>
      </c>
      <c r="E284" s="4" t="str">
        <f t="shared" si="4"/>
        <v>2385 - SODEXO - SCC CLUBS</v>
      </c>
      <c r="F284" s="2" t="s">
        <v>41</v>
      </c>
      <c r="G284" s="2" t="s">
        <v>7</v>
      </c>
      <c r="J284" s="5" t="str">
        <f>IF(H284="",VLOOKUP(LEFT(F284,1),'Exp-Rev Categories'!A:B,2,FALSE),IF(ISNA(VLOOKUP(H284,'Exp-Rev Categories'!A:B,2,FALSE)),"Revenue",VLOOKUP(H284,'Exp-Rev Categories'!A:B,2,FALSE)))</f>
        <v>Exp-Goods &amp; Services</v>
      </c>
      <c r="K284" s="2">
        <v>0</v>
      </c>
      <c r="L284" s="3">
        <v>0</v>
      </c>
      <c r="M284" s="3">
        <v>0</v>
      </c>
      <c r="N284" s="3">
        <v>0</v>
      </c>
      <c r="O284" s="3">
        <v>0</v>
      </c>
      <c r="P284" s="2" t="s">
        <v>215</v>
      </c>
    </row>
    <row r="285" spans="1:16">
      <c r="A285" s="2" t="s">
        <v>280</v>
      </c>
      <c r="B285" s="2" t="s">
        <v>1</v>
      </c>
      <c r="C285" s="2" t="s">
        <v>2</v>
      </c>
      <c r="D285" s="2" t="s">
        <v>106</v>
      </c>
      <c r="E285" s="4" t="str">
        <f t="shared" si="4"/>
        <v>2387 - SAFE GRANT</v>
      </c>
      <c r="F285" s="2" t="s">
        <v>267</v>
      </c>
      <c r="J285" s="5" t="str">
        <f>IF(H285="",VLOOKUP(LEFT(F285,1),'Exp-Rev Categories'!A:B,2,FALSE),IF(ISNA(VLOOKUP(H285,'Exp-Rev Categories'!A:B,2,FALSE)),"Revenue",VLOOKUP(H285,'Exp-Rev Categories'!A:B,2,FALSE)))</f>
        <v>Exp-Travel</v>
      </c>
      <c r="K285" s="2">
        <v>0</v>
      </c>
      <c r="L285" s="3">
        <v>0</v>
      </c>
      <c r="M285" s="3">
        <v>0</v>
      </c>
      <c r="N285" s="3">
        <v>0</v>
      </c>
      <c r="O285" s="3">
        <v>0</v>
      </c>
      <c r="P285" s="2" t="s">
        <v>216</v>
      </c>
    </row>
    <row r="286" spans="1:16">
      <c r="A286" s="2" t="s">
        <v>280</v>
      </c>
      <c r="B286" s="2" t="s">
        <v>1</v>
      </c>
      <c r="C286" s="2" t="s">
        <v>2</v>
      </c>
      <c r="D286" s="2" t="s">
        <v>106</v>
      </c>
      <c r="E286" s="4" t="str">
        <f t="shared" si="4"/>
        <v>2387 - SAFE GRANT</v>
      </c>
      <c r="F286" s="2" t="s">
        <v>44</v>
      </c>
      <c r="G286" s="2" t="s">
        <v>66</v>
      </c>
      <c r="J286" s="5" t="str">
        <f>IF(H286="",VLOOKUP(LEFT(F286,1),'Exp-Rev Categories'!A:B,2,FALSE),IF(ISNA(VLOOKUP(H286,'Exp-Rev Categories'!A:B,2,FALSE)),"Revenue",VLOOKUP(H286,'Exp-Rev Categories'!A:B,2,FALSE)))</f>
        <v>Exp-Travel</v>
      </c>
      <c r="K286" s="2">
        <v>0</v>
      </c>
      <c r="L286" s="3">
        <v>45</v>
      </c>
      <c r="M286" s="3">
        <v>0</v>
      </c>
      <c r="N286" s="3">
        <v>-45</v>
      </c>
      <c r="O286" s="3">
        <v>0</v>
      </c>
      <c r="P286" s="2" t="s">
        <v>216</v>
      </c>
    </row>
    <row r="287" spans="1:16">
      <c r="A287" s="2" t="s">
        <v>280</v>
      </c>
      <c r="B287" s="2" t="s">
        <v>1</v>
      </c>
      <c r="C287" s="2" t="s">
        <v>2</v>
      </c>
      <c r="D287" s="2" t="s">
        <v>106</v>
      </c>
      <c r="E287" s="4" t="str">
        <f t="shared" si="4"/>
        <v>2387 - SAFE GRANT</v>
      </c>
      <c r="F287" s="2" t="s">
        <v>105</v>
      </c>
      <c r="J287" s="5" t="str">
        <f>IF(H287="",VLOOKUP(LEFT(F287,1),'Exp-Rev Categories'!A:B,2,FALSE),IF(ISNA(VLOOKUP(H287,'Exp-Rev Categories'!A:B,2,FALSE)),"Revenue",VLOOKUP(H287,'Exp-Rev Categories'!A:B,2,FALSE)))</f>
        <v>Exp-Grants/Scholarships</v>
      </c>
      <c r="K287" s="2">
        <v>0</v>
      </c>
      <c r="L287" s="3">
        <v>-529.78</v>
      </c>
      <c r="M287" s="3">
        <v>0</v>
      </c>
      <c r="N287" s="3">
        <v>529.78</v>
      </c>
      <c r="O287" s="3">
        <v>0</v>
      </c>
      <c r="P287" s="2" t="s">
        <v>216</v>
      </c>
    </row>
    <row r="288" spans="1:16">
      <c r="A288" s="2" t="s">
        <v>280</v>
      </c>
      <c r="B288" s="2" t="s">
        <v>1</v>
      </c>
      <c r="C288" s="2" t="s">
        <v>2</v>
      </c>
      <c r="D288" s="2" t="s">
        <v>107</v>
      </c>
      <c r="E288" s="4" t="str">
        <f t="shared" si="4"/>
        <v>2399 - FEE &amp; INT.REV.IRA</v>
      </c>
      <c r="H288" s="2" t="s">
        <v>4</v>
      </c>
      <c r="J288" s="5" t="str">
        <f>IF(H288="",VLOOKUP(LEFT(F288,1),'Exp-Rev Categories'!A:B,2,FALSE),IF(ISNA(VLOOKUP(H288,'Exp-Rev Categories'!A:B,2,FALSE)),"Revenue",VLOOKUP(H288,'Exp-Rev Categories'!A:B,2,FALSE)))</f>
        <v>Revenue</v>
      </c>
      <c r="K288" s="2">
        <v>0</v>
      </c>
      <c r="L288" s="3">
        <v>-668.8</v>
      </c>
      <c r="M288" s="3">
        <v>0</v>
      </c>
      <c r="N288" s="3">
        <v>668.8</v>
      </c>
      <c r="O288" s="3">
        <v>0</v>
      </c>
      <c r="P288" s="2" t="s">
        <v>371</v>
      </c>
    </row>
    <row r="289" spans="1:16">
      <c r="A289" s="2" t="s">
        <v>280</v>
      </c>
      <c r="B289" s="2" t="s">
        <v>1</v>
      </c>
      <c r="C289" s="2" t="s">
        <v>2</v>
      </c>
      <c r="D289" s="2" t="s">
        <v>107</v>
      </c>
      <c r="E289" s="4" t="str">
        <f t="shared" si="4"/>
        <v>2399 - FEE &amp; INT.REV.IRA</v>
      </c>
      <c r="H289" s="2" t="s">
        <v>8</v>
      </c>
      <c r="I289" s="2" t="s">
        <v>15</v>
      </c>
      <c r="J289" s="5" t="str">
        <f>IF(H289="",VLOOKUP(LEFT(F289,1),'Exp-Rev Categories'!A:B,2,FALSE),IF(ISNA(VLOOKUP(H289,'Exp-Rev Categories'!A:B,2,FALSE)),"Revenue",VLOOKUP(H289,'Exp-Rev Categories'!A:B,2,FALSE)))</f>
        <v>Revenue</v>
      </c>
      <c r="K289" s="2">
        <v>0</v>
      </c>
      <c r="L289" s="3">
        <v>0</v>
      </c>
      <c r="M289" s="3">
        <v>0</v>
      </c>
      <c r="N289" s="3">
        <v>0</v>
      </c>
      <c r="O289" s="3">
        <v>0</v>
      </c>
      <c r="P289" s="2" t="s">
        <v>371</v>
      </c>
    </row>
    <row r="290" spans="1:16">
      <c r="A290" s="2" t="s">
        <v>280</v>
      </c>
      <c r="B290" s="2" t="s">
        <v>1</v>
      </c>
      <c r="C290" s="2" t="s">
        <v>2</v>
      </c>
      <c r="D290" s="2" t="s">
        <v>107</v>
      </c>
      <c r="E290" s="4" t="str">
        <f t="shared" si="4"/>
        <v>2399 - FEE &amp; INT.REV.IRA</v>
      </c>
      <c r="H290" s="2" t="s">
        <v>8</v>
      </c>
      <c r="I290" s="2" t="s">
        <v>16</v>
      </c>
      <c r="J290" s="5" t="str">
        <f>IF(H290="",VLOOKUP(LEFT(F290,1),'Exp-Rev Categories'!A:B,2,FALSE),IF(ISNA(VLOOKUP(H290,'Exp-Rev Categories'!A:B,2,FALSE)),"Revenue",VLOOKUP(H290,'Exp-Rev Categories'!A:B,2,FALSE)))</f>
        <v>Revenue</v>
      </c>
      <c r="K290" s="2">
        <v>0</v>
      </c>
      <c r="L290" s="3">
        <v>0</v>
      </c>
      <c r="M290" s="3">
        <v>0</v>
      </c>
      <c r="N290" s="3">
        <v>0</v>
      </c>
      <c r="O290" s="3">
        <v>0</v>
      </c>
      <c r="P290" s="2" t="s">
        <v>371</v>
      </c>
    </row>
    <row r="291" spans="1:16">
      <c r="A291" s="2" t="s">
        <v>280</v>
      </c>
      <c r="B291" s="2" t="s">
        <v>1</v>
      </c>
      <c r="C291" s="2" t="s">
        <v>2</v>
      </c>
      <c r="D291" s="2" t="s">
        <v>108</v>
      </c>
      <c r="E291" s="4" t="str">
        <f t="shared" si="4"/>
        <v>2405 - SCC BUS PASS MATCH</v>
      </c>
      <c r="F291" s="2" t="s">
        <v>29</v>
      </c>
      <c r="J291" s="5" t="str">
        <f>IF(H291="",VLOOKUP(LEFT(F291,1),'Exp-Rev Categories'!A:B,2,FALSE),IF(ISNA(VLOOKUP(H291,'Exp-Rev Categories'!A:B,2,FALSE)),"Revenue",VLOOKUP(H291,'Exp-Rev Categories'!A:B,2,FALSE)))</f>
        <v>Exp-Goods &amp; Services</v>
      </c>
      <c r="K291" s="2">
        <v>30000</v>
      </c>
      <c r="L291" s="3">
        <v>0</v>
      </c>
      <c r="M291" s="3">
        <v>0</v>
      </c>
      <c r="N291" s="3">
        <v>30000</v>
      </c>
      <c r="O291" s="3">
        <v>0</v>
      </c>
      <c r="P291" s="2" t="s">
        <v>217</v>
      </c>
    </row>
    <row r="292" spans="1:16">
      <c r="A292" s="2" t="s">
        <v>280</v>
      </c>
      <c r="B292" s="2" t="s">
        <v>1</v>
      </c>
      <c r="C292" s="2" t="s">
        <v>2</v>
      </c>
      <c r="D292" s="2" t="s">
        <v>108</v>
      </c>
      <c r="E292" s="4" t="str">
        <f t="shared" si="4"/>
        <v>2405 - SCC BUS PASS MATCH</v>
      </c>
      <c r="F292" s="2" t="s">
        <v>41</v>
      </c>
      <c r="G292" s="2" t="s">
        <v>58</v>
      </c>
      <c r="J292" s="5" t="str">
        <f>IF(H292="",VLOOKUP(LEFT(F292,1),'Exp-Rev Categories'!A:B,2,FALSE),IF(ISNA(VLOOKUP(H292,'Exp-Rev Categories'!A:B,2,FALSE)),"Revenue",VLOOKUP(H292,'Exp-Rev Categories'!A:B,2,FALSE)))</f>
        <v>Exp-Goods &amp; Services</v>
      </c>
      <c r="K292" s="2">
        <v>0</v>
      </c>
      <c r="L292" s="3">
        <v>21727</v>
      </c>
      <c r="M292" s="3">
        <v>0</v>
      </c>
      <c r="N292" s="3">
        <v>-21727</v>
      </c>
      <c r="O292" s="3">
        <v>0</v>
      </c>
      <c r="P292" s="2" t="s">
        <v>217</v>
      </c>
    </row>
    <row r="293" spans="1:16">
      <c r="A293" s="2" t="s">
        <v>280</v>
      </c>
      <c r="B293" s="2" t="s">
        <v>1</v>
      </c>
      <c r="C293" s="2" t="s">
        <v>2</v>
      </c>
      <c r="D293" s="2" t="s">
        <v>109</v>
      </c>
      <c r="E293" s="4" t="str">
        <f t="shared" si="4"/>
        <v>2406 - BUS TICKET CLEARING</v>
      </c>
      <c r="H293" s="2" t="s">
        <v>51</v>
      </c>
      <c r="J293" s="5" t="str">
        <f>IF(H293="",VLOOKUP(LEFT(F293,1),'Exp-Rev Categories'!A:B,2,FALSE),IF(ISNA(VLOOKUP(H293,'Exp-Rev Categories'!A:B,2,FALSE)),"Revenue",VLOOKUP(H293,'Exp-Rev Categories'!A:B,2,FALSE)))</f>
        <v>Revenue</v>
      </c>
      <c r="K293" s="2">
        <v>0</v>
      </c>
      <c r="L293" s="3">
        <v>377</v>
      </c>
      <c r="M293" s="3">
        <v>0</v>
      </c>
      <c r="N293" s="3">
        <v>-377</v>
      </c>
      <c r="O293" s="3">
        <v>0</v>
      </c>
      <c r="P293" s="2" t="s">
        <v>218</v>
      </c>
    </row>
    <row r="294" spans="1:16">
      <c r="A294" s="2" t="s">
        <v>280</v>
      </c>
      <c r="B294" s="2" t="s">
        <v>1</v>
      </c>
      <c r="C294" s="2" t="s">
        <v>2</v>
      </c>
      <c r="D294" s="2" t="s">
        <v>109</v>
      </c>
      <c r="E294" s="4" t="str">
        <f t="shared" si="4"/>
        <v>2406 - BUS TICKET CLEARING</v>
      </c>
      <c r="H294" s="2" t="s">
        <v>51</v>
      </c>
      <c r="I294" s="2" t="s">
        <v>110</v>
      </c>
      <c r="J294" s="5" t="str">
        <f>IF(H294="",VLOOKUP(LEFT(F294,1),'Exp-Rev Categories'!A:B,2,FALSE),IF(ISNA(VLOOKUP(H294,'Exp-Rev Categories'!A:B,2,FALSE)),"Revenue",VLOOKUP(H294,'Exp-Rev Categories'!A:B,2,FALSE)))</f>
        <v>Revenue</v>
      </c>
      <c r="K294" s="2">
        <v>0</v>
      </c>
      <c r="L294" s="3">
        <v>-377</v>
      </c>
      <c r="M294" s="3">
        <v>0</v>
      </c>
      <c r="N294" s="3">
        <v>377</v>
      </c>
      <c r="O294" s="3">
        <v>0</v>
      </c>
      <c r="P294" s="2" t="s">
        <v>218</v>
      </c>
    </row>
    <row r="295" spans="1:16">
      <c r="A295" s="2" t="s">
        <v>280</v>
      </c>
      <c r="B295" s="2" t="s">
        <v>1</v>
      </c>
      <c r="C295" s="2" t="s">
        <v>2</v>
      </c>
      <c r="D295" s="2" t="s">
        <v>109</v>
      </c>
      <c r="E295" s="4" t="str">
        <f t="shared" si="4"/>
        <v>2406 - BUS TICKET CLEARING</v>
      </c>
      <c r="F295" s="2" t="s">
        <v>29</v>
      </c>
      <c r="J295" s="5" t="str">
        <f>IF(H295="",VLOOKUP(LEFT(F295,1),'Exp-Rev Categories'!A:B,2,FALSE),IF(ISNA(VLOOKUP(H295,'Exp-Rev Categories'!A:B,2,FALSE)),"Revenue",VLOOKUP(H295,'Exp-Rev Categories'!A:B,2,FALSE)))</f>
        <v>Exp-Goods &amp; Services</v>
      </c>
      <c r="K295" s="2">
        <v>0</v>
      </c>
      <c r="L295" s="3">
        <v>0</v>
      </c>
      <c r="M295" s="3">
        <v>0</v>
      </c>
      <c r="N295" s="3">
        <v>0</v>
      </c>
      <c r="O295" s="3">
        <v>0</v>
      </c>
      <c r="P295" s="2" t="s">
        <v>218</v>
      </c>
    </row>
    <row r="296" spans="1:16">
      <c r="A296" s="2" t="s">
        <v>280</v>
      </c>
      <c r="B296" s="2" t="s">
        <v>1</v>
      </c>
      <c r="C296" s="2" t="s">
        <v>2</v>
      </c>
      <c r="D296" s="2" t="s">
        <v>111</v>
      </c>
      <c r="E296" s="4" t="str">
        <f t="shared" si="4"/>
        <v>2407 - SCC FOOD BANK</v>
      </c>
      <c r="H296" s="2" t="s">
        <v>51</v>
      </c>
      <c r="I296" s="2" t="s">
        <v>112</v>
      </c>
      <c r="J296" s="5" t="str">
        <f>IF(H296="",VLOOKUP(LEFT(F296,1),'Exp-Rev Categories'!A:B,2,FALSE),IF(ISNA(VLOOKUP(H296,'Exp-Rev Categories'!A:B,2,FALSE)),"Revenue",VLOOKUP(H296,'Exp-Rev Categories'!A:B,2,FALSE)))</f>
        <v>Revenue</v>
      </c>
      <c r="K296" s="2">
        <v>0</v>
      </c>
      <c r="L296" s="3">
        <v>-137</v>
      </c>
      <c r="M296" s="3">
        <v>0</v>
      </c>
      <c r="N296" s="3">
        <v>137</v>
      </c>
      <c r="O296" s="3">
        <v>0</v>
      </c>
      <c r="P296" s="2" t="s">
        <v>219</v>
      </c>
    </row>
    <row r="297" spans="1:16">
      <c r="A297" s="2" t="s">
        <v>280</v>
      </c>
      <c r="B297" s="2" t="s">
        <v>1</v>
      </c>
      <c r="C297" s="2" t="s">
        <v>2</v>
      </c>
      <c r="D297" s="2" t="s">
        <v>111</v>
      </c>
      <c r="E297" s="4" t="str">
        <f t="shared" si="4"/>
        <v>2407 - SCC FOOD BANK</v>
      </c>
      <c r="H297" s="2" t="s">
        <v>43</v>
      </c>
      <c r="J297" s="5" t="str">
        <f>IF(H297="",VLOOKUP(LEFT(F297,1),'Exp-Rev Categories'!A:B,2,FALSE),IF(ISNA(VLOOKUP(H297,'Exp-Rev Categories'!A:B,2,FALSE)),"Revenue",VLOOKUP(H297,'Exp-Rev Categories'!A:B,2,FALSE)))</f>
        <v>Rev-Intra-Fund Transfer</v>
      </c>
      <c r="K297" s="2">
        <v>0</v>
      </c>
      <c r="L297" s="3">
        <v>0</v>
      </c>
      <c r="M297" s="3">
        <v>0</v>
      </c>
      <c r="N297" s="3">
        <v>0</v>
      </c>
      <c r="O297" s="3">
        <v>0</v>
      </c>
      <c r="P297" s="2" t="s">
        <v>219</v>
      </c>
    </row>
    <row r="298" spans="1:16">
      <c r="A298" s="2" t="s">
        <v>280</v>
      </c>
      <c r="B298" s="2" t="s">
        <v>1</v>
      </c>
      <c r="C298" s="2" t="s">
        <v>2</v>
      </c>
      <c r="D298" s="2" t="s">
        <v>111</v>
      </c>
      <c r="E298" s="4" t="str">
        <f t="shared" si="4"/>
        <v>2407 - SCC FOOD BANK</v>
      </c>
      <c r="F298" s="2" t="s">
        <v>29</v>
      </c>
      <c r="J298" s="5" t="str">
        <f>IF(H298="",VLOOKUP(LEFT(F298,1),'Exp-Rev Categories'!A:B,2,FALSE),IF(ISNA(VLOOKUP(H298,'Exp-Rev Categories'!A:B,2,FALSE)),"Revenue",VLOOKUP(H298,'Exp-Rev Categories'!A:B,2,FALSE)))</f>
        <v>Exp-Goods &amp; Services</v>
      </c>
      <c r="K298" s="2">
        <v>18500</v>
      </c>
      <c r="L298" s="3">
        <v>0</v>
      </c>
      <c r="M298" s="3">
        <v>0</v>
      </c>
      <c r="N298" s="3">
        <v>18500</v>
      </c>
      <c r="O298" s="3">
        <v>0</v>
      </c>
      <c r="P298" s="2" t="s">
        <v>219</v>
      </c>
    </row>
    <row r="299" spans="1:16">
      <c r="A299" s="2" t="s">
        <v>280</v>
      </c>
      <c r="B299" s="2" t="s">
        <v>1</v>
      </c>
      <c r="C299" s="2" t="s">
        <v>2</v>
      </c>
      <c r="D299" s="2" t="s">
        <v>111</v>
      </c>
      <c r="E299" s="4" t="str">
        <f t="shared" si="4"/>
        <v>2407 - SCC FOOD BANK</v>
      </c>
      <c r="F299" s="2" t="s">
        <v>23</v>
      </c>
      <c r="G299" s="2" t="s">
        <v>24</v>
      </c>
      <c r="J299" s="5" t="str">
        <f>IF(H299="",VLOOKUP(LEFT(F299,1),'Exp-Rev Categories'!A:B,2,FALSE),IF(ISNA(VLOOKUP(H299,'Exp-Rev Categories'!A:B,2,FALSE)),"Revenue",VLOOKUP(H299,'Exp-Rev Categories'!A:B,2,FALSE)))</f>
        <v>Exp-Goods &amp; Services</v>
      </c>
      <c r="K299" s="2">
        <v>0</v>
      </c>
      <c r="L299" s="3">
        <v>889.7</v>
      </c>
      <c r="M299" s="3">
        <v>0</v>
      </c>
      <c r="N299" s="3">
        <v>-889.7</v>
      </c>
      <c r="O299" s="3">
        <v>0</v>
      </c>
      <c r="P299" s="2" t="s">
        <v>219</v>
      </c>
    </row>
    <row r="300" spans="1:16">
      <c r="A300" s="2" t="s">
        <v>280</v>
      </c>
      <c r="B300" s="2" t="s">
        <v>1</v>
      </c>
      <c r="C300" s="2" t="s">
        <v>2</v>
      </c>
      <c r="D300" s="2" t="s">
        <v>111</v>
      </c>
      <c r="E300" s="4" t="str">
        <f t="shared" si="4"/>
        <v>2407 - SCC FOOD BANK</v>
      </c>
      <c r="F300" s="2" t="s">
        <v>94</v>
      </c>
      <c r="G300" s="2" t="s">
        <v>66</v>
      </c>
      <c r="J300" s="5" t="str">
        <f>IF(H300="",VLOOKUP(LEFT(F300,1),'Exp-Rev Categories'!A:B,2,FALSE),IF(ISNA(VLOOKUP(H300,'Exp-Rev Categories'!A:B,2,FALSE)),"Revenue",VLOOKUP(H300,'Exp-Rev Categories'!A:B,2,FALSE)))</f>
        <v>Exp-Goods &amp; Services</v>
      </c>
      <c r="K300" s="2">
        <v>0</v>
      </c>
      <c r="L300" s="3">
        <v>378.28</v>
      </c>
      <c r="M300" s="3">
        <v>0</v>
      </c>
      <c r="N300" s="3">
        <v>-378.28</v>
      </c>
      <c r="O300" s="3">
        <v>0</v>
      </c>
      <c r="P300" s="2" t="s">
        <v>219</v>
      </c>
    </row>
    <row r="301" spans="1:16">
      <c r="A301" s="2" t="s">
        <v>280</v>
      </c>
      <c r="B301" s="2" t="s">
        <v>1</v>
      </c>
      <c r="C301" s="2" t="s">
        <v>2</v>
      </c>
      <c r="D301" s="2" t="s">
        <v>111</v>
      </c>
      <c r="E301" s="4" t="str">
        <f t="shared" si="4"/>
        <v>2407 - SCC FOOD BANK</v>
      </c>
      <c r="F301" s="2" t="s">
        <v>94</v>
      </c>
      <c r="G301" s="2" t="s">
        <v>95</v>
      </c>
      <c r="J301" s="5" t="str">
        <f>IF(H301="",VLOOKUP(LEFT(F301,1),'Exp-Rev Categories'!A:B,2,FALSE),IF(ISNA(VLOOKUP(H301,'Exp-Rev Categories'!A:B,2,FALSE)),"Revenue",VLOOKUP(H301,'Exp-Rev Categories'!A:B,2,FALSE)))</f>
        <v>Exp-Goods &amp; Services</v>
      </c>
      <c r="K301" s="2">
        <v>0</v>
      </c>
      <c r="L301" s="3">
        <v>76.2</v>
      </c>
      <c r="M301" s="3">
        <v>0</v>
      </c>
      <c r="N301" s="3">
        <v>-76.2</v>
      </c>
      <c r="O301" s="3">
        <v>0</v>
      </c>
      <c r="P301" s="2" t="s">
        <v>219</v>
      </c>
    </row>
    <row r="302" spans="1:16">
      <c r="A302" s="2" t="s">
        <v>280</v>
      </c>
      <c r="B302" s="2" t="s">
        <v>1</v>
      </c>
      <c r="C302" s="2" t="s">
        <v>2</v>
      </c>
      <c r="D302" s="2" t="s">
        <v>111</v>
      </c>
      <c r="E302" s="4" t="str">
        <f t="shared" si="4"/>
        <v>2407 - SCC FOOD BANK</v>
      </c>
      <c r="F302" s="2" t="s">
        <v>94</v>
      </c>
      <c r="G302" s="2" t="s">
        <v>96</v>
      </c>
      <c r="J302" s="5" t="str">
        <f>IF(H302="",VLOOKUP(LEFT(F302,1),'Exp-Rev Categories'!A:B,2,FALSE),IF(ISNA(VLOOKUP(H302,'Exp-Rev Categories'!A:B,2,FALSE)),"Revenue",VLOOKUP(H302,'Exp-Rev Categories'!A:B,2,FALSE)))</f>
        <v>Exp-Goods &amp; Services</v>
      </c>
      <c r="K302" s="2">
        <v>0</v>
      </c>
      <c r="L302" s="3">
        <v>34.57</v>
      </c>
      <c r="M302" s="3">
        <v>0</v>
      </c>
      <c r="N302" s="3">
        <v>-34.57</v>
      </c>
      <c r="O302" s="3">
        <v>0</v>
      </c>
      <c r="P302" s="2" t="s">
        <v>219</v>
      </c>
    </row>
    <row r="303" spans="1:16">
      <c r="A303" s="2" t="s">
        <v>280</v>
      </c>
      <c r="B303" s="2" t="s">
        <v>1</v>
      </c>
      <c r="C303" s="2" t="s">
        <v>2</v>
      </c>
      <c r="D303" s="2" t="s">
        <v>111</v>
      </c>
      <c r="E303" s="4" t="str">
        <f t="shared" si="4"/>
        <v>2407 - SCC FOOD BANK</v>
      </c>
      <c r="F303" s="2" t="s">
        <v>40</v>
      </c>
      <c r="G303" s="2" t="s">
        <v>24</v>
      </c>
      <c r="J303" s="5" t="str">
        <f>IF(H303="",VLOOKUP(LEFT(F303,1),'Exp-Rev Categories'!A:B,2,FALSE),IF(ISNA(VLOOKUP(H303,'Exp-Rev Categories'!A:B,2,FALSE)),"Revenue",VLOOKUP(H303,'Exp-Rev Categories'!A:B,2,FALSE)))</f>
        <v>Exp-Goods &amp; Services</v>
      </c>
      <c r="K303" s="2">
        <v>0</v>
      </c>
      <c r="L303" s="3">
        <v>97.44</v>
      </c>
      <c r="M303" s="3">
        <v>0</v>
      </c>
      <c r="N303" s="3">
        <v>-97.44</v>
      </c>
      <c r="O303" s="3">
        <v>0</v>
      </c>
      <c r="P303" s="2" t="s">
        <v>219</v>
      </c>
    </row>
    <row r="304" spans="1:16">
      <c r="A304" s="2" t="s">
        <v>280</v>
      </c>
      <c r="B304" s="2" t="s">
        <v>1</v>
      </c>
      <c r="C304" s="2" t="s">
        <v>2</v>
      </c>
      <c r="D304" s="2" t="s">
        <v>111</v>
      </c>
      <c r="E304" s="4" t="str">
        <f t="shared" si="4"/>
        <v>2407 - SCC FOOD BANK</v>
      </c>
      <c r="F304" s="2" t="s">
        <v>84</v>
      </c>
      <c r="G304" s="2" t="s">
        <v>24</v>
      </c>
      <c r="J304" s="5" t="str">
        <f>IF(H304="",VLOOKUP(LEFT(F304,1),'Exp-Rev Categories'!A:B,2,FALSE),IF(ISNA(VLOOKUP(H304,'Exp-Rev Categories'!A:B,2,FALSE)),"Revenue",VLOOKUP(H304,'Exp-Rev Categories'!A:B,2,FALSE)))</f>
        <v>Exp-Goods &amp; Services</v>
      </c>
      <c r="K304" s="2">
        <v>0</v>
      </c>
      <c r="L304" s="3">
        <v>49.11</v>
      </c>
      <c r="M304" s="3">
        <v>0</v>
      </c>
      <c r="N304" s="3">
        <v>-49.11</v>
      </c>
      <c r="O304" s="3">
        <v>0</v>
      </c>
      <c r="P304" s="2" t="s">
        <v>219</v>
      </c>
    </row>
    <row r="305" spans="1:16">
      <c r="A305" s="2" t="s">
        <v>280</v>
      </c>
      <c r="B305" s="2" t="s">
        <v>1</v>
      </c>
      <c r="C305" s="2" t="s">
        <v>2</v>
      </c>
      <c r="D305" s="2" t="s">
        <v>111</v>
      </c>
      <c r="E305" s="4" t="str">
        <f t="shared" si="4"/>
        <v>2407 - SCC FOOD BANK</v>
      </c>
      <c r="F305" s="2" t="s">
        <v>113</v>
      </c>
      <c r="G305" s="2" t="s">
        <v>24</v>
      </c>
      <c r="J305" s="5" t="str">
        <f>IF(H305="",VLOOKUP(LEFT(F305,1),'Exp-Rev Categories'!A:B,2,FALSE),IF(ISNA(VLOOKUP(H305,'Exp-Rev Categories'!A:B,2,FALSE)),"Revenue",VLOOKUP(H305,'Exp-Rev Categories'!A:B,2,FALSE)))</f>
        <v>Exp-Goods &amp; Services</v>
      </c>
      <c r="K305" s="2">
        <v>0</v>
      </c>
      <c r="L305" s="3">
        <v>49.49</v>
      </c>
      <c r="M305" s="3">
        <v>0</v>
      </c>
      <c r="N305" s="3">
        <v>-49.49</v>
      </c>
      <c r="O305" s="3">
        <v>0</v>
      </c>
      <c r="P305" s="2" t="s">
        <v>219</v>
      </c>
    </row>
    <row r="306" spans="1:16">
      <c r="A306" s="2" t="s">
        <v>280</v>
      </c>
      <c r="B306" s="2" t="s">
        <v>1</v>
      </c>
      <c r="C306" s="2" t="s">
        <v>2</v>
      </c>
      <c r="D306" s="2" t="s">
        <v>111</v>
      </c>
      <c r="E306" s="4" t="str">
        <f t="shared" si="4"/>
        <v>2407 - SCC FOOD BANK</v>
      </c>
      <c r="F306" s="2" t="s">
        <v>41</v>
      </c>
      <c r="G306" s="2" t="s">
        <v>7</v>
      </c>
      <c r="J306" s="5" t="str">
        <f>IF(H306="",VLOOKUP(LEFT(F306,1),'Exp-Rev Categories'!A:B,2,FALSE),IF(ISNA(VLOOKUP(H306,'Exp-Rev Categories'!A:B,2,FALSE)),"Revenue",VLOOKUP(H306,'Exp-Rev Categories'!A:B,2,FALSE)))</f>
        <v>Exp-Goods &amp; Services</v>
      </c>
      <c r="K306" s="2">
        <v>0</v>
      </c>
      <c r="L306" s="3">
        <v>7811.73</v>
      </c>
      <c r="M306" s="3">
        <v>0</v>
      </c>
      <c r="N306" s="3">
        <v>-7811.73</v>
      </c>
      <c r="O306" s="3">
        <v>0</v>
      </c>
      <c r="P306" s="2" t="s">
        <v>219</v>
      </c>
    </row>
    <row r="307" spans="1:16">
      <c r="A307" s="2" t="s">
        <v>280</v>
      </c>
      <c r="B307" s="2" t="s">
        <v>1</v>
      </c>
      <c r="C307" s="2" t="s">
        <v>2</v>
      </c>
      <c r="D307" s="2" t="s">
        <v>111</v>
      </c>
      <c r="E307" s="4" t="str">
        <f t="shared" si="4"/>
        <v>2407 - SCC FOOD BANK</v>
      </c>
      <c r="F307" s="2" t="s">
        <v>41</v>
      </c>
      <c r="G307" s="2" t="s">
        <v>64</v>
      </c>
      <c r="J307" s="5" t="str">
        <f>IF(H307="",VLOOKUP(LEFT(F307,1),'Exp-Rev Categories'!A:B,2,FALSE),IF(ISNA(VLOOKUP(H307,'Exp-Rev Categories'!A:B,2,FALSE)),"Revenue",VLOOKUP(H307,'Exp-Rev Categories'!A:B,2,FALSE)))</f>
        <v>Exp-Goods &amp; Services</v>
      </c>
      <c r="K307" s="2">
        <v>0</v>
      </c>
      <c r="L307" s="3">
        <v>10</v>
      </c>
      <c r="M307" s="3">
        <v>0</v>
      </c>
      <c r="N307" s="3">
        <v>-10</v>
      </c>
      <c r="O307" s="3">
        <v>0</v>
      </c>
      <c r="P307" s="2" t="s">
        <v>219</v>
      </c>
    </row>
    <row r="308" spans="1:16">
      <c r="A308" s="2" t="s">
        <v>280</v>
      </c>
      <c r="B308" s="2" t="s">
        <v>1</v>
      </c>
      <c r="C308" s="2" t="s">
        <v>2</v>
      </c>
      <c r="D308" s="2" t="s">
        <v>111</v>
      </c>
      <c r="E308" s="4" t="str">
        <f t="shared" si="4"/>
        <v>2407 - SCC FOOD BANK</v>
      </c>
      <c r="F308" s="2" t="s">
        <v>41</v>
      </c>
      <c r="G308" s="2" t="s">
        <v>58</v>
      </c>
      <c r="J308" s="5" t="str">
        <f>IF(H308="",VLOOKUP(LEFT(F308,1),'Exp-Rev Categories'!A:B,2,FALSE),IF(ISNA(VLOOKUP(H308,'Exp-Rev Categories'!A:B,2,FALSE)),"Revenue",VLOOKUP(H308,'Exp-Rev Categories'!A:B,2,FALSE)))</f>
        <v>Exp-Goods &amp; Services</v>
      </c>
      <c r="K308" s="2">
        <v>0</v>
      </c>
      <c r="L308" s="3">
        <v>58</v>
      </c>
      <c r="M308" s="3">
        <v>0</v>
      </c>
      <c r="N308" s="3">
        <v>-58</v>
      </c>
      <c r="O308" s="3">
        <v>0</v>
      </c>
      <c r="P308" s="2" t="s">
        <v>219</v>
      </c>
    </row>
    <row r="309" spans="1:16">
      <c r="A309" s="2" t="s">
        <v>280</v>
      </c>
      <c r="B309" s="2" t="s">
        <v>1</v>
      </c>
      <c r="C309" s="2" t="s">
        <v>2</v>
      </c>
      <c r="D309" s="2" t="s">
        <v>111</v>
      </c>
      <c r="E309" s="4" t="str">
        <f t="shared" si="4"/>
        <v>2407 - SCC FOOD BANK</v>
      </c>
      <c r="F309" s="2" t="s">
        <v>267</v>
      </c>
      <c r="J309" s="5" t="str">
        <f>IF(H309="",VLOOKUP(LEFT(F309,1),'Exp-Rev Categories'!A:B,2,FALSE),IF(ISNA(VLOOKUP(H309,'Exp-Rev Categories'!A:B,2,FALSE)),"Revenue",VLOOKUP(H309,'Exp-Rev Categories'!A:B,2,FALSE)))</f>
        <v>Exp-Travel</v>
      </c>
      <c r="K309" s="2">
        <v>0</v>
      </c>
      <c r="L309" s="3">
        <v>0</v>
      </c>
      <c r="M309" s="3">
        <v>0</v>
      </c>
      <c r="N309" s="3">
        <v>0</v>
      </c>
      <c r="O309" s="3">
        <v>0</v>
      </c>
      <c r="P309" s="2" t="s">
        <v>219</v>
      </c>
    </row>
    <row r="310" spans="1:16">
      <c r="A310" s="2" t="s">
        <v>280</v>
      </c>
      <c r="B310" s="2" t="s">
        <v>1</v>
      </c>
      <c r="C310" s="2" t="s">
        <v>2</v>
      </c>
      <c r="D310" s="2" t="s">
        <v>111</v>
      </c>
      <c r="E310" s="4" t="str">
        <f t="shared" si="4"/>
        <v>2407 - SCC FOOD BANK</v>
      </c>
      <c r="F310" s="2" t="s">
        <v>44</v>
      </c>
      <c r="G310" s="2" t="s">
        <v>7</v>
      </c>
      <c r="J310" s="5" t="str">
        <f>IF(H310="",VLOOKUP(LEFT(F310,1),'Exp-Rev Categories'!A:B,2,FALSE),IF(ISNA(VLOOKUP(H310,'Exp-Rev Categories'!A:B,2,FALSE)),"Revenue",VLOOKUP(H310,'Exp-Rev Categories'!A:B,2,FALSE)))</f>
        <v>Exp-Travel</v>
      </c>
      <c r="K310" s="2">
        <v>0</v>
      </c>
      <c r="L310" s="3">
        <v>401.1</v>
      </c>
      <c r="M310" s="3">
        <v>0</v>
      </c>
      <c r="N310" s="3">
        <v>-401.1</v>
      </c>
      <c r="O310" s="3">
        <v>0</v>
      </c>
      <c r="P310" s="2" t="s">
        <v>219</v>
      </c>
    </row>
    <row r="311" spans="1:16">
      <c r="A311" s="2" t="s">
        <v>280</v>
      </c>
      <c r="B311" s="2" t="s">
        <v>1</v>
      </c>
      <c r="C311" s="2" t="s">
        <v>2</v>
      </c>
      <c r="D311" s="2" t="s">
        <v>114</v>
      </c>
      <c r="E311" s="4" t="str">
        <f t="shared" si="4"/>
        <v>2408 - SCC TREE OF SHARING</v>
      </c>
      <c r="H311" s="2" t="s">
        <v>51</v>
      </c>
      <c r="I311" s="2" t="s">
        <v>372</v>
      </c>
      <c r="J311" s="5" t="str">
        <f>IF(H311="",VLOOKUP(LEFT(F311,1),'Exp-Rev Categories'!A:B,2,FALSE),IF(ISNA(VLOOKUP(H311,'Exp-Rev Categories'!A:B,2,FALSE)),"Revenue",VLOOKUP(H311,'Exp-Rev Categories'!A:B,2,FALSE)))</f>
        <v>Revenue</v>
      </c>
      <c r="K311" s="2">
        <v>0</v>
      </c>
      <c r="L311" s="3">
        <v>0</v>
      </c>
      <c r="M311" s="3">
        <v>0</v>
      </c>
      <c r="N311" s="3">
        <v>0</v>
      </c>
      <c r="O311" s="3">
        <v>0</v>
      </c>
      <c r="P311" s="2" t="s">
        <v>220</v>
      </c>
    </row>
    <row r="312" spans="1:16">
      <c r="A312" s="2" t="s">
        <v>280</v>
      </c>
      <c r="B312" s="2" t="s">
        <v>1</v>
      </c>
      <c r="C312" s="2" t="s">
        <v>2</v>
      </c>
      <c r="D312" s="2" t="s">
        <v>114</v>
      </c>
      <c r="E312" s="4" t="str">
        <f t="shared" si="4"/>
        <v>2408 - SCC TREE OF SHARING</v>
      </c>
      <c r="H312" s="2" t="s">
        <v>43</v>
      </c>
      <c r="J312" s="5" t="str">
        <f>IF(H312="",VLOOKUP(LEFT(F312,1),'Exp-Rev Categories'!A:B,2,FALSE),IF(ISNA(VLOOKUP(H312,'Exp-Rev Categories'!A:B,2,FALSE)),"Revenue",VLOOKUP(H312,'Exp-Rev Categories'!A:B,2,FALSE)))</f>
        <v>Rev-Intra-Fund Transfer</v>
      </c>
      <c r="K312" s="2">
        <v>0</v>
      </c>
      <c r="L312" s="3">
        <v>0</v>
      </c>
      <c r="M312" s="3">
        <v>0</v>
      </c>
      <c r="N312" s="3">
        <v>0</v>
      </c>
      <c r="O312" s="3">
        <v>0</v>
      </c>
      <c r="P312" s="2" t="s">
        <v>220</v>
      </c>
    </row>
    <row r="313" spans="1:16">
      <c r="A313" s="2" t="s">
        <v>280</v>
      </c>
      <c r="B313" s="2" t="s">
        <v>1</v>
      </c>
      <c r="C313" s="2" t="s">
        <v>2</v>
      </c>
      <c r="D313" s="2" t="s">
        <v>114</v>
      </c>
      <c r="E313" s="4" t="str">
        <f t="shared" si="4"/>
        <v>2408 - SCC TREE OF SHARING</v>
      </c>
      <c r="F313" s="2" t="s">
        <v>29</v>
      </c>
      <c r="J313" s="5" t="str">
        <f>IF(H313="",VLOOKUP(LEFT(F313,1),'Exp-Rev Categories'!A:B,2,FALSE),IF(ISNA(VLOOKUP(H313,'Exp-Rev Categories'!A:B,2,FALSE)),"Revenue",VLOOKUP(H313,'Exp-Rev Categories'!A:B,2,FALSE)))</f>
        <v>Exp-Goods &amp; Services</v>
      </c>
      <c r="K313" s="2">
        <v>4000</v>
      </c>
      <c r="L313" s="3">
        <v>0</v>
      </c>
      <c r="M313" s="3">
        <v>0</v>
      </c>
      <c r="N313" s="3">
        <v>4000</v>
      </c>
      <c r="O313" s="3">
        <v>0</v>
      </c>
      <c r="P313" s="2" t="s">
        <v>220</v>
      </c>
    </row>
    <row r="314" spans="1:16">
      <c r="A314" s="2" t="s">
        <v>280</v>
      </c>
      <c r="B314" s="2" t="s">
        <v>1</v>
      </c>
      <c r="C314" s="2" t="s">
        <v>2</v>
      </c>
      <c r="D314" s="2" t="s">
        <v>114</v>
      </c>
      <c r="E314" s="4" t="str">
        <f t="shared" si="4"/>
        <v>2408 - SCC TREE OF SHARING</v>
      </c>
      <c r="F314" s="2" t="s">
        <v>23</v>
      </c>
      <c r="G314" s="2" t="s">
        <v>24</v>
      </c>
      <c r="J314" s="5" t="str">
        <f>IF(H314="",VLOOKUP(LEFT(F314,1),'Exp-Rev Categories'!A:B,2,FALSE),IF(ISNA(VLOOKUP(H314,'Exp-Rev Categories'!A:B,2,FALSE)),"Revenue",VLOOKUP(H314,'Exp-Rev Categories'!A:B,2,FALSE)))</f>
        <v>Exp-Goods &amp; Services</v>
      </c>
      <c r="K314" s="2">
        <v>0</v>
      </c>
      <c r="L314" s="3">
        <v>901.89</v>
      </c>
      <c r="M314" s="3">
        <v>0</v>
      </c>
      <c r="N314" s="3">
        <v>-901.89</v>
      </c>
      <c r="O314" s="3">
        <v>0</v>
      </c>
      <c r="P314" s="2" t="s">
        <v>220</v>
      </c>
    </row>
    <row r="315" spans="1:16">
      <c r="A315" s="2" t="s">
        <v>280</v>
      </c>
      <c r="B315" s="2" t="s">
        <v>1</v>
      </c>
      <c r="C315" s="2" t="s">
        <v>2</v>
      </c>
      <c r="D315" s="2" t="s">
        <v>115</v>
      </c>
      <c r="E315" s="4" t="str">
        <f t="shared" si="4"/>
        <v>2409 - ASA CLUB ADVISORS</v>
      </c>
      <c r="F315" s="2" t="s">
        <v>48</v>
      </c>
      <c r="G315" s="2" t="s">
        <v>6</v>
      </c>
      <c r="J315" s="5" t="str">
        <f>IF(H315="",VLOOKUP(LEFT(F315,1),'Exp-Rev Categories'!A:B,2,FALSE),IF(ISNA(VLOOKUP(H315,'Exp-Rev Categories'!A:B,2,FALSE)),"Revenue",VLOOKUP(H315,'Exp-Rev Categories'!A:B,2,FALSE)))</f>
        <v>Exp-Salaries &amp; Wages</v>
      </c>
      <c r="K315" s="2">
        <v>0</v>
      </c>
      <c r="L315" s="3">
        <v>0</v>
      </c>
      <c r="M315" s="3">
        <v>0</v>
      </c>
      <c r="N315" s="3">
        <v>0</v>
      </c>
      <c r="O315" s="3">
        <v>0</v>
      </c>
      <c r="P315" s="2" t="s">
        <v>221</v>
      </c>
    </row>
    <row r="316" spans="1:16">
      <c r="A316" s="2" t="s">
        <v>280</v>
      </c>
      <c r="B316" s="2" t="s">
        <v>1</v>
      </c>
      <c r="C316" s="2" t="s">
        <v>2</v>
      </c>
      <c r="D316" s="2" t="s">
        <v>115</v>
      </c>
      <c r="E316" s="4" t="str">
        <f t="shared" si="4"/>
        <v>2409 - ASA CLUB ADVISORS</v>
      </c>
      <c r="F316" s="2" t="s">
        <v>34</v>
      </c>
      <c r="G316" s="2" t="s">
        <v>0</v>
      </c>
      <c r="J316" s="5" t="str">
        <f>IF(H316="",VLOOKUP(LEFT(F316,1),'Exp-Rev Categories'!A:B,2,FALSE),IF(ISNA(VLOOKUP(H316,'Exp-Rev Categories'!A:B,2,FALSE)),"Revenue",VLOOKUP(H316,'Exp-Rev Categories'!A:B,2,FALSE)))</f>
        <v>Exp-Salaries &amp; Wages</v>
      </c>
      <c r="K316" s="2">
        <v>0</v>
      </c>
      <c r="L316" s="3">
        <v>0</v>
      </c>
      <c r="M316" s="3">
        <v>0</v>
      </c>
      <c r="N316" s="3">
        <v>0</v>
      </c>
      <c r="O316" s="3">
        <v>0</v>
      </c>
      <c r="P316" s="2" t="s">
        <v>221</v>
      </c>
    </row>
    <row r="317" spans="1:16">
      <c r="A317" s="2" t="s">
        <v>280</v>
      </c>
      <c r="B317" s="2" t="s">
        <v>1</v>
      </c>
      <c r="C317" s="2" t="s">
        <v>2</v>
      </c>
      <c r="D317" s="2" t="s">
        <v>115</v>
      </c>
      <c r="E317" s="4" t="str">
        <f t="shared" si="4"/>
        <v>2409 - ASA CLUB ADVISORS</v>
      </c>
      <c r="F317" s="2" t="s">
        <v>265</v>
      </c>
      <c r="J317" s="5" t="str">
        <f>IF(H317="",VLOOKUP(LEFT(F317,1),'Exp-Rev Categories'!A:B,2,FALSE),IF(ISNA(VLOOKUP(H317,'Exp-Rev Categories'!A:B,2,FALSE)),"Revenue",VLOOKUP(H317,'Exp-Rev Categories'!A:B,2,FALSE)))</f>
        <v>Exp-Benefits</v>
      </c>
      <c r="K317" s="2">
        <v>0</v>
      </c>
      <c r="L317" s="3">
        <v>0</v>
      </c>
      <c r="M317" s="3">
        <v>0</v>
      </c>
      <c r="N317" s="3">
        <v>0</v>
      </c>
      <c r="O317" s="3">
        <v>0</v>
      </c>
      <c r="P317" s="2" t="s">
        <v>221</v>
      </c>
    </row>
    <row r="318" spans="1:16">
      <c r="A318" s="2" t="s">
        <v>280</v>
      </c>
      <c r="B318" s="2" t="s">
        <v>1</v>
      </c>
      <c r="C318" s="2" t="s">
        <v>2</v>
      </c>
      <c r="D318" s="2" t="s">
        <v>115</v>
      </c>
      <c r="E318" s="4" t="str">
        <f t="shared" si="4"/>
        <v>2409 - ASA CLUB ADVISORS</v>
      </c>
      <c r="F318" s="2" t="s">
        <v>35</v>
      </c>
      <c r="J318" s="5" t="str">
        <f>IF(H318="",VLOOKUP(LEFT(F318,1),'Exp-Rev Categories'!A:B,2,FALSE),IF(ISNA(VLOOKUP(H318,'Exp-Rev Categories'!A:B,2,FALSE)),"Revenue",VLOOKUP(H318,'Exp-Rev Categories'!A:B,2,FALSE)))</f>
        <v>Exp-Benefits</v>
      </c>
      <c r="K318" s="2">
        <v>0</v>
      </c>
      <c r="L318" s="3">
        <v>0</v>
      </c>
      <c r="M318" s="3">
        <v>0</v>
      </c>
      <c r="N318" s="3">
        <v>0</v>
      </c>
      <c r="O318" s="3">
        <v>0</v>
      </c>
      <c r="P318" s="2" t="s">
        <v>221</v>
      </c>
    </row>
    <row r="319" spans="1:16">
      <c r="A319" s="2" t="s">
        <v>280</v>
      </c>
      <c r="B319" s="2" t="s">
        <v>1</v>
      </c>
      <c r="C319" s="2" t="s">
        <v>2</v>
      </c>
      <c r="D319" s="2" t="s">
        <v>115</v>
      </c>
      <c r="E319" s="4" t="str">
        <f t="shared" si="4"/>
        <v>2409 - ASA CLUB ADVISORS</v>
      </c>
      <c r="F319" s="2" t="s">
        <v>36</v>
      </c>
      <c r="J319" s="5" t="str">
        <f>IF(H319="",VLOOKUP(LEFT(F319,1),'Exp-Rev Categories'!A:B,2,FALSE),IF(ISNA(VLOOKUP(H319,'Exp-Rev Categories'!A:B,2,FALSE)),"Revenue",VLOOKUP(H319,'Exp-Rev Categories'!A:B,2,FALSE)))</f>
        <v>Exp-Benefits</v>
      </c>
      <c r="K319" s="2">
        <v>0</v>
      </c>
      <c r="L319" s="3">
        <v>0</v>
      </c>
      <c r="M319" s="3">
        <v>0</v>
      </c>
      <c r="N319" s="3">
        <v>0</v>
      </c>
      <c r="O319" s="3">
        <v>0</v>
      </c>
      <c r="P319" s="2" t="s">
        <v>221</v>
      </c>
    </row>
    <row r="320" spans="1:16">
      <c r="A320" s="2" t="s">
        <v>280</v>
      </c>
      <c r="B320" s="2" t="s">
        <v>1</v>
      </c>
      <c r="C320" s="2" t="s">
        <v>2</v>
      </c>
      <c r="D320" s="2" t="s">
        <v>115</v>
      </c>
      <c r="E320" s="4" t="str">
        <f t="shared" si="4"/>
        <v>2409 - ASA CLUB ADVISORS</v>
      </c>
      <c r="F320" s="2" t="s">
        <v>37</v>
      </c>
      <c r="J320" s="5" t="str">
        <f>IF(H320="",VLOOKUP(LEFT(F320,1),'Exp-Rev Categories'!A:B,2,FALSE),IF(ISNA(VLOOKUP(H320,'Exp-Rev Categories'!A:B,2,FALSE)),"Revenue",VLOOKUP(H320,'Exp-Rev Categories'!A:B,2,FALSE)))</f>
        <v>Exp-Benefits</v>
      </c>
      <c r="K320" s="2">
        <v>0</v>
      </c>
      <c r="L320" s="3">
        <v>0</v>
      </c>
      <c r="M320" s="3">
        <v>0</v>
      </c>
      <c r="N320" s="3">
        <v>0</v>
      </c>
      <c r="O320" s="3">
        <v>0</v>
      </c>
      <c r="P320" s="2" t="s">
        <v>221</v>
      </c>
    </row>
    <row r="321" spans="1:16">
      <c r="A321" s="2" t="s">
        <v>280</v>
      </c>
      <c r="B321" s="2" t="s">
        <v>1</v>
      </c>
      <c r="C321" s="2" t="s">
        <v>2</v>
      </c>
      <c r="D321" s="2" t="s">
        <v>115</v>
      </c>
      <c r="E321" s="4" t="str">
        <f t="shared" si="4"/>
        <v>2409 - ASA CLUB ADVISORS</v>
      </c>
      <c r="F321" s="2" t="s">
        <v>39</v>
      </c>
      <c r="J321" s="5" t="str">
        <f>IF(H321="",VLOOKUP(LEFT(F321,1),'Exp-Rev Categories'!A:B,2,FALSE),IF(ISNA(VLOOKUP(H321,'Exp-Rev Categories'!A:B,2,FALSE)),"Revenue",VLOOKUP(H321,'Exp-Rev Categories'!A:B,2,FALSE)))</f>
        <v>Exp-Benefits</v>
      </c>
      <c r="K321" s="2">
        <v>0</v>
      </c>
      <c r="L321" s="3">
        <v>0</v>
      </c>
      <c r="M321" s="3">
        <v>0</v>
      </c>
      <c r="N321" s="3">
        <v>0</v>
      </c>
      <c r="O321" s="3">
        <v>0</v>
      </c>
      <c r="P321" s="2" t="s">
        <v>221</v>
      </c>
    </row>
    <row r="322" spans="1:16">
      <c r="A322" s="2" t="s">
        <v>280</v>
      </c>
      <c r="B322" s="2" t="s">
        <v>1</v>
      </c>
      <c r="C322" s="2" t="s">
        <v>2</v>
      </c>
      <c r="D322" s="2" t="s">
        <v>115</v>
      </c>
      <c r="E322" s="4" t="str">
        <f t="shared" ref="E322:E385" si="5">D322&amp;" - "&amp;P322</f>
        <v>2409 - ASA CLUB ADVISORS</v>
      </c>
      <c r="F322" s="2" t="s">
        <v>29</v>
      </c>
      <c r="J322" s="5" t="str">
        <f>IF(H322="",VLOOKUP(LEFT(F322,1),'Exp-Rev Categories'!A:B,2,FALSE),IF(ISNA(VLOOKUP(H322,'Exp-Rev Categories'!A:B,2,FALSE)),"Revenue",VLOOKUP(H322,'Exp-Rev Categories'!A:B,2,FALSE)))</f>
        <v>Exp-Goods &amp; Services</v>
      </c>
      <c r="K322" s="2">
        <v>0</v>
      </c>
      <c r="L322" s="3">
        <v>0</v>
      </c>
      <c r="M322" s="3">
        <v>0</v>
      </c>
      <c r="N322" s="3">
        <v>0</v>
      </c>
      <c r="O322" s="3">
        <v>0</v>
      </c>
      <c r="P322" s="2" t="s">
        <v>221</v>
      </c>
    </row>
    <row r="323" spans="1:16">
      <c r="A323" s="2" t="s">
        <v>280</v>
      </c>
      <c r="B323" s="2" t="s">
        <v>1</v>
      </c>
      <c r="C323" s="2" t="s">
        <v>2</v>
      </c>
      <c r="D323" s="2" t="s">
        <v>115</v>
      </c>
      <c r="E323" s="4" t="str">
        <f t="shared" si="5"/>
        <v>2409 - ASA CLUB ADVISORS</v>
      </c>
      <c r="F323" s="2" t="s">
        <v>40</v>
      </c>
      <c r="G323" s="2" t="s">
        <v>30</v>
      </c>
      <c r="J323" s="5" t="str">
        <f>IF(H323="",VLOOKUP(LEFT(F323,1),'Exp-Rev Categories'!A:B,2,FALSE),IF(ISNA(VLOOKUP(H323,'Exp-Rev Categories'!A:B,2,FALSE)),"Revenue",VLOOKUP(H323,'Exp-Rev Categories'!A:B,2,FALSE)))</f>
        <v>Exp-Goods &amp; Services</v>
      </c>
      <c r="K323" s="2">
        <v>0</v>
      </c>
      <c r="L323" s="3">
        <v>0</v>
      </c>
      <c r="M323" s="3">
        <v>0</v>
      </c>
      <c r="N323" s="3">
        <v>0</v>
      </c>
      <c r="O323" s="3">
        <v>0</v>
      </c>
      <c r="P323" s="2" t="s">
        <v>221</v>
      </c>
    </row>
    <row r="324" spans="1:16">
      <c r="A324" s="2" t="s">
        <v>280</v>
      </c>
      <c r="B324" s="2" t="s">
        <v>1</v>
      </c>
      <c r="C324" s="2" t="s">
        <v>2</v>
      </c>
      <c r="D324" s="2" t="s">
        <v>116</v>
      </c>
      <c r="E324" s="4" t="str">
        <f t="shared" si="5"/>
        <v>2410 - ASA GENERAL FUND</v>
      </c>
      <c r="H324" s="2" t="s">
        <v>51</v>
      </c>
      <c r="J324" s="5" t="str">
        <f>IF(H324="",VLOOKUP(LEFT(F324,1),'Exp-Rev Categories'!A:B,2,FALSE),IF(ISNA(VLOOKUP(H324,'Exp-Rev Categories'!A:B,2,FALSE)),"Revenue",VLOOKUP(H324,'Exp-Rev Categories'!A:B,2,FALSE)))</f>
        <v>Revenue</v>
      </c>
      <c r="K324" s="2">
        <v>0</v>
      </c>
      <c r="L324" s="3">
        <v>0</v>
      </c>
      <c r="M324" s="3">
        <v>0</v>
      </c>
      <c r="N324" s="3">
        <v>0</v>
      </c>
      <c r="O324" s="3">
        <v>0</v>
      </c>
      <c r="P324" s="2" t="s">
        <v>222</v>
      </c>
    </row>
    <row r="325" spans="1:16">
      <c r="A325" s="2" t="s">
        <v>280</v>
      </c>
      <c r="B325" s="2" t="s">
        <v>1</v>
      </c>
      <c r="C325" s="2" t="s">
        <v>2</v>
      </c>
      <c r="D325" s="2" t="s">
        <v>116</v>
      </c>
      <c r="E325" s="4" t="str">
        <f t="shared" si="5"/>
        <v>2410 - ASA GENERAL FUND</v>
      </c>
      <c r="H325" s="2" t="s">
        <v>51</v>
      </c>
      <c r="I325" s="2" t="s">
        <v>373</v>
      </c>
      <c r="J325" s="5" t="str">
        <f>IF(H325="",VLOOKUP(LEFT(F325,1),'Exp-Rev Categories'!A:B,2,FALSE),IF(ISNA(VLOOKUP(H325,'Exp-Rev Categories'!A:B,2,FALSE)),"Revenue",VLOOKUP(H325,'Exp-Rev Categories'!A:B,2,FALSE)))</f>
        <v>Revenue</v>
      </c>
      <c r="K325" s="2">
        <v>0</v>
      </c>
      <c r="L325" s="3">
        <v>0</v>
      </c>
      <c r="M325" s="3">
        <v>0</v>
      </c>
      <c r="N325" s="3">
        <v>0</v>
      </c>
      <c r="O325" s="3">
        <v>0</v>
      </c>
      <c r="P325" s="2" t="s">
        <v>222</v>
      </c>
    </row>
    <row r="326" spans="1:16">
      <c r="A326" s="2" t="s">
        <v>280</v>
      </c>
      <c r="B326" s="2" t="s">
        <v>1</v>
      </c>
      <c r="C326" s="2" t="s">
        <v>2</v>
      </c>
      <c r="D326" s="2" t="s">
        <v>116</v>
      </c>
      <c r="E326" s="4" t="str">
        <f t="shared" si="5"/>
        <v>2410 - ASA GENERAL FUND</v>
      </c>
      <c r="H326" s="2" t="s">
        <v>139</v>
      </c>
      <c r="J326" s="5" t="str">
        <f>IF(H326="",VLOOKUP(LEFT(F326,1),'Exp-Rev Categories'!A:B,2,FALSE),IF(ISNA(VLOOKUP(H326,'Exp-Rev Categories'!A:B,2,FALSE)),"Revenue",VLOOKUP(H326,'Exp-Rev Categories'!A:B,2,FALSE)))</f>
        <v>Rev-Fund Transfers - In</v>
      </c>
      <c r="K326" s="2">
        <v>0</v>
      </c>
      <c r="L326" s="3">
        <v>0</v>
      </c>
      <c r="M326" s="3">
        <v>0</v>
      </c>
      <c r="N326" s="3">
        <v>0</v>
      </c>
      <c r="O326" s="3">
        <v>0</v>
      </c>
      <c r="P326" s="2" t="s">
        <v>222</v>
      </c>
    </row>
    <row r="327" spans="1:16">
      <c r="A327" s="2" t="s">
        <v>280</v>
      </c>
      <c r="B327" s="2" t="s">
        <v>1</v>
      </c>
      <c r="C327" s="2" t="s">
        <v>2</v>
      </c>
      <c r="D327" s="2" t="s">
        <v>116</v>
      </c>
      <c r="E327" s="4" t="str">
        <f t="shared" si="5"/>
        <v>2410 - ASA GENERAL FUND</v>
      </c>
      <c r="H327" s="2" t="s">
        <v>53</v>
      </c>
      <c r="J327" s="5" t="str">
        <f>IF(H327="",VLOOKUP(LEFT(F327,1),'Exp-Rev Categories'!A:B,2,FALSE),IF(ISNA(VLOOKUP(H327,'Exp-Rev Categories'!A:B,2,FALSE)),"Revenue",VLOOKUP(H327,'Exp-Rev Categories'!A:B,2,FALSE)))</f>
        <v>Rev-Fund Transfers - Out</v>
      </c>
      <c r="K327" s="2">
        <v>0</v>
      </c>
      <c r="L327" s="3">
        <v>101000</v>
      </c>
      <c r="M327" s="3">
        <v>0</v>
      </c>
      <c r="N327" s="3">
        <v>-101000</v>
      </c>
      <c r="O327" s="3">
        <v>0</v>
      </c>
      <c r="P327" s="2" t="s">
        <v>222</v>
      </c>
    </row>
    <row r="328" spans="1:16">
      <c r="A328" s="2" t="s">
        <v>280</v>
      </c>
      <c r="B328" s="2" t="s">
        <v>1</v>
      </c>
      <c r="C328" s="2" t="s">
        <v>2</v>
      </c>
      <c r="D328" s="2" t="s">
        <v>116</v>
      </c>
      <c r="E328" s="4" t="str">
        <f t="shared" si="5"/>
        <v>2410 - ASA GENERAL FUND</v>
      </c>
      <c r="H328" s="2" t="s">
        <v>43</v>
      </c>
      <c r="J328" s="5" t="str">
        <f>IF(H328="",VLOOKUP(LEFT(F328,1),'Exp-Rev Categories'!A:B,2,FALSE),IF(ISNA(VLOOKUP(H328,'Exp-Rev Categories'!A:B,2,FALSE)),"Revenue",VLOOKUP(H328,'Exp-Rev Categories'!A:B,2,FALSE)))</f>
        <v>Rev-Intra-Fund Transfer</v>
      </c>
      <c r="K328" s="2">
        <v>0</v>
      </c>
      <c r="L328" s="3">
        <v>416516.9</v>
      </c>
      <c r="M328" s="3">
        <v>0</v>
      </c>
      <c r="N328" s="3">
        <v>-416516.9</v>
      </c>
      <c r="O328" s="3">
        <v>162237</v>
      </c>
      <c r="P328" s="2" t="s">
        <v>222</v>
      </c>
    </row>
    <row r="329" spans="1:16">
      <c r="A329" s="2" t="s">
        <v>280</v>
      </c>
      <c r="B329" s="2" t="s">
        <v>1</v>
      </c>
      <c r="C329" s="2" t="s">
        <v>2</v>
      </c>
      <c r="D329" s="2" t="s">
        <v>116</v>
      </c>
      <c r="E329" s="4" t="str">
        <f t="shared" si="5"/>
        <v>2410 - ASA GENERAL FUND</v>
      </c>
      <c r="H329" s="2" t="s">
        <v>22</v>
      </c>
      <c r="J329" s="5" t="str">
        <f>IF(H329="",VLOOKUP(LEFT(F329,1),'Exp-Rev Categories'!A:B,2,FALSE),IF(ISNA(VLOOKUP(H329,'Exp-Rev Categories'!A:B,2,FALSE)),"Revenue",VLOOKUP(H329,'Exp-Rev Categories'!A:B,2,FALSE)))</f>
        <v>Carryforward</v>
      </c>
      <c r="K329" s="2">
        <v>0</v>
      </c>
      <c r="L329" s="3">
        <v>-1125529.81</v>
      </c>
      <c r="M329" s="3">
        <v>0</v>
      </c>
      <c r="N329" s="3">
        <v>1125529.81</v>
      </c>
      <c r="O329" s="3">
        <v>0</v>
      </c>
      <c r="P329" s="2" t="s">
        <v>222</v>
      </c>
    </row>
    <row r="330" spans="1:16">
      <c r="A330" s="2" t="s">
        <v>280</v>
      </c>
      <c r="B330" s="2" t="s">
        <v>1</v>
      </c>
      <c r="C330" s="2" t="s">
        <v>2</v>
      </c>
      <c r="D330" s="2" t="s">
        <v>116</v>
      </c>
      <c r="E330" s="4" t="str">
        <f t="shared" si="5"/>
        <v>2410 - ASA GENERAL FUND</v>
      </c>
      <c r="F330" s="2" t="s">
        <v>48</v>
      </c>
      <c r="G330" s="2" t="s">
        <v>6</v>
      </c>
      <c r="J330" s="5" t="str">
        <f>IF(H330="",VLOOKUP(LEFT(F330,1),'Exp-Rev Categories'!A:B,2,FALSE),IF(ISNA(VLOOKUP(H330,'Exp-Rev Categories'!A:B,2,FALSE)),"Revenue",VLOOKUP(H330,'Exp-Rev Categories'!A:B,2,FALSE)))</f>
        <v>Exp-Salaries &amp; Wages</v>
      </c>
      <c r="K330" s="2">
        <v>0</v>
      </c>
      <c r="L330" s="3">
        <v>2924.91</v>
      </c>
      <c r="M330" s="3">
        <v>0</v>
      </c>
      <c r="N330" s="3">
        <v>-2924.91</v>
      </c>
      <c r="O330" s="3">
        <v>0</v>
      </c>
      <c r="P330" s="2" t="s">
        <v>222</v>
      </c>
    </row>
    <row r="331" spans="1:16">
      <c r="A331" s="2" t="s">
        <v>280</v>
      </c>
      <c r="B331" s="2" t="s">
        <v>1</v>
      </c>
      <c r="C331" s="2" t="s">
        <v>2</v>
      </c>
      <c r="D331" s="2" t="s">
        <v>116</v>
      </c>
      <c r="E331" s="4" t="str">
        <f t="shared" si="5"/>
        <v>2410 - ASA GENERAL FUND</v>
      </c>
      <c r="F331" s="2" t="s">
        <v>48</v>
      </c>
      <c r="G331" s="2" t="s">
        <v>49</v>
      </c>
      <c r="J331" s="5" t="str">
        <f>IF(H331="",VLOOKUP(LEFT(F331,1),'Exp-Rev Categories'!A:B,2,FALSE),IF(ISNA(VLOOKUP(H331,'Exp-Rev Categories'!A:B,2,FALSE)),"Revenue",VLOOKUP(H331,'Exp-Rev Categories'!A:B,2,FALSE)))</f>
        <v>Exp-Salaries &amp; Wages</v>
      </c>
      <c r="K331" s="2">
        <v>19802</v>
      </c>
      <c r="L331" s="3">
        <v>7697.82</v>
      </c>
      <c r="M331" s="3">
        <v>0</v>
      </c>
      <c r="N331" s="3">
        <v>12104.18</v>
      </c>
      <c r="O331" s="3">
        <v>0</v>
      </c>
      <c r="P331" s="2" t="s">
        <v>222</v>
      </c>
    </row>
    <row r="332" spans="1:16">
      <c r="A332" s="2" t="s">
        <v>280</v>
      </c>
      <c r="B332" s="2" t="s">
        <v>1</v>
      </c>
      <c r="C332" s="2" t="s">
        <v>2</v>
      </c>
      <c r="D332" s="2" t="s">
        <v>116</v>
      </c>
      <c r="E332" s="4" t="str">
        <f t="shared" si="5"/>
        <v>2410 - ASA GENERAL FUND</v>
      </c>
      <c r="F332" s="2" t="s">
        <v>31</v>
      </c>
      <c r="G332" s="2" t="s">
        <v>119</v>
      </c>
      <c r="J332" s="5" t="str">
        <f>IF(H332="",VLOOKUP(LEFT(F332,1),'Exp-Rev Categories'!A:B,2,FALSE),IF(ISNA(VLOOKUP(H332,'Exp-Rev Categories'!A:B,2,FALSE)),"Revenue",VLOOKUP(H332,'Exp-Rev Categories'!A:B,2,FALSE)))</f>
        <v>Exp-Salaries &amp; Wages</v>
      </c>
      <c r="K332" s="2">
        <v>0</v>
      </c>
      <c r="L332" s="3">
        <v>0</v>
      </c>
      <c r="M332" s="3">
        <v>0</v>
      </c>
      <c r="N332" s="3">
        <v>0</v>
      </c>
      <c r="O332" s="3">
        <v>0</v>
      </c>
      <c r="P332" s="2" t="s">
        <v>222</v>
      </c>
    </row>
    <row r="333" spans="1:16">
      <c r="A333" s="2" t="s">
        <v>280</v>
      </c>
      <c r="B333" s="2" t="s">
        <v>1</v>
      </c>
      <c r="C333" s="2" t="s">
        <v>2</v>
      </c>
      <c r="D333" s="2" t="s">
        <v>116</v>
      </c>
      <c r="E333" s="4" t="str">
        <f t="shared" si="5"/>
        <v>2410 - ASA GENERAL FUND</v>
      </c>
      <c r="F333" s="2" t="s">
        <v>34</v>
      </c>
      <c r="G333" s="2" t="s">
        <v>0</v>
      </c>
      <c r="J333" s="5" t="str">
        <f>IF(H333="",VLOOKUP(LEFT(F333,1),'Exp-Rev Categories'!A:B,2,FALSE),IF(ISNA(VLOOKUP(H333,'Exp-Rev Categories'!A:B,2,FALSE)),"Revenue",VLOOKUP(H333,'Exp-Rev Categories'!A:B,2,FALSE)))</f>
        <v>Exp-Salaries &amp; Wages</v>
      </c>
      <c r="K333" s="2">
        <v>0</v>
      </c>
      <c r="L333" s="3">
        <v>0</v>
      </c>
      <c r="M333" s="3">
        <v>0</v>
      </c>
      <c r="N333" s="3">
        <v>0</v>
      </c>
      <c r="O333" s="3">
        <v>0</v>
      </c>
      <c r="P333" s="2" t="s">
        <v>222</v>
      </c>
    </row>
    <row r="334" spans="1:16">
      <c r="A334" s="2" t="s">
        <v>280</v>
      </c>
      <c r="B334" s="2" t="s">
        <v>1</v>
      </c>
      <c r="C334" s="2" t="s">
        <v>2</v>
      </c>
      <c r="D334" s="2" t="s">
        <v>116</v>
      </c>
      <c r="E334" s="4" t="str">
        <f t="shared" si="5"/>
        <v>2410 - ASA GENERAL FUND</v>
      </c>
      <c r="F334" s="2" t="s">
        <v>265</v>
      </c>
      <c r="J334" s="5" t="str">
        <f>IF(H334="",VLOOKUP(LEFT(F334,1),'Exp-Rev Categories'!A:B,2,FALSE),IF(ISNA(VLOOKUP(H334,'Exp-Rev Categories'!A:B,2,FALSE)),"Revenue",VLOOKUP(H334,'Exp-Rev Categories'!A:B,2,FALSE)))</f>
        <v>Exp-Benefits</v>
      </c>
      <c r="K334" s="2">
        <v>198</v>
      </c>
      <c r="L334" s="3">
        <v>0</v>
      </c>
      <c r="M334" s="3">
        <v>0</v>
      </c>
      <c r="N334" s="3">
        <v>198</v>
      </c>
      <c r="O334" s="3">
        <v>0</v>
      </c>
      <c r="P334" s="2" t="s">
        <v>222</v>
      </c>
    </row>
    <row r="335" spans="1:16">
      <c r="A335" s="2" t="s">
        <v>280</v>
      </c>
      <c r="B335" s="2" t="s">
        <v>1</v>
      </c>
      <c r="C335" s="2" t="s">
        <v>2</v>
      </c>
      <c r="D335" s="2" t="s">
        <v>116</v>
      </c>
      <c r="E335" s="4" t="str">
        <f t="shared" si="5"/>
        <v>2410 - ASA GENERAL FUND</v>
      </c>
      <c r="F335" s="2" t="s">
        <v>35</v>
      </c>
      <c r="J335" s="5" t="str">
        <f>IF(H335="",VLOOKUP(LEFT(F335,1),'Exp-Rev Categories'!A:B,2,FALSE),IF(ISNA(VLOOKUP(H335,'Exp-Rev Categories'!A:B,2,FALSE)),"Revenue",VLOOKUP(H335,'Exp-Rev Categories'!A:B,2,FALSE)))</f>
        <v>Exp-Benefits</v>
      </c>
      <c r="K335" s="2">
        <v>0</v>
      </c>
      <c r="L335" s="3">
        <v>812.65</v>
      </c>
      <c r="M335" s="3">
        <v>0</v>
      </c>
      <c r="N335" s="3">
        <v>-812.65</v>
      </c>
      <c r="O335" s="3">
        <v>0</v>
      </c>
      <c r="P335" s="2" t="s">
        <v>222</v>
      </c>
    </row>
    <row r="336" spans="1:16">
      <c r="A336" s="2" t="s">
        <v>280</v>
      </c>
      <c r="B336" s="2" t="s">
        <v>1</v>
      </c>
      <c r="C336" s="2" t="s">
        <v>2</v>
      </c>
      <c r="D336" s="2" t="s">
        <v>116</v>
      </c>
      <c r="E336" s="4" t="str">
        <f t="shared" si="5"/>
        <v>2410 - ASA GENERAL FUND</v>
      </c>
      <c r="F336" s="2" t="s">
        <v>37</v>
      </c>
      <c r="J336" s="5" t="str">
        <f>IF(H336="",VLOOKUP(LEFT(F336,1),'Exp-Rev Categories'!A:B,2,FALSE),IF(ISNA(VLOOKUP(H336,'Exp-Rev Categories'!A:B,2,FALSE)),"Revenue",VLOOKUP(H336,'Exp-Rev Categories'!A:B,2,FALSE)))</f>
        <v>Exp-Benefits</v>
      </c>
      <c r="K336" s="2">
        <v>0</v>
      </c>
      <c r="L336" s="3">
        <v>243.71</v>
      </c>
      <c r="M336" s="3">
        <v>0</v>
      </c>
      <c r="N336" s="3">
        <v>-243.71</v>
      </c>
      <c r="O336" s="3">
        <v>0</v>
      </c>
      <c r="P336" s="2" t="s">
        <v>222</v>
      </c>
    </row>
    <row r="337" spans="1:16">
      <c r="A337" s="2" t="s">
        <v>280</v>
      </c>
      <c r="B337" s="2" t="s">
        <v>1</v>
      </c>
      <c r="C337" s="2" t="s">
        <v>2</v>
      </c>
      <c r="D337" s="2" t="s">
        <v>116</v>
      </c>
      <c r="E337" s="4" t="str">
        <f t="shared" si="5"/>
        <v>2410 - ASA GENERAL FUND</v>
      </c>
      <c r="F337" s="2" t="s">
        <v>39</v>
      </c>
      <c r="J337" s="5" t="str">
        <f>IF(H337="",VLOOKUP(LEFT(F337,1),'Exp-Rev Categories'!A:B,2,FALSE),IF(ISNA(VLOOKUP(H337,'Exp-Rev Categories'!A:B,2,FALSE)),"Revenue",VLOOKUP(H337,'Exp-Rev Categories'!A:B,2,FALSE)))</f>
        <v>Exp-Benefits</v>
      </c>
      <c r="K337" s="2">
        <v>0</v>
      </c>
      <c r="L337" s="3">
        <v>76.5</v>
      </c>
      <c r="M337" s="3">
        <v>0</v>
      </c>
      <c r="N337" s="3">
        <v>-76.5</v>
      </c>
      <c r="O337" s="3">
        <v>0</v>
      </c>
      <c r="P337" s="2" t="s">
        <v>222</v>
      </c>
    </row>
    <row r="338" spans="1:16">
      <c r="A338" s="2" t="s">
        <v>280</v>
      </c>
      <c r="B338" s="2" t="s">
        <v>1</v>
      </c>
      <c r="C338" s="2" t="s">
        <v>2</v>
      </c>
      <c r="D338" s="2" t="s">
        <v>116</v>
      </c>
      <c r="E338" s="4" t="str">
        <f t="shared" si="5"/>
        <v>2410 - ASA GENERAL FUND</v>
      </c>
      <c r="F338" s="2" t="s">
        <v>29</v>
      </c>
      <c r="J338" s="5" t="str">
        <f>IF(H338="",VLOOKUP(LEFT(F338,1),'Exp-Rev Categories'!A:B,2,FALSE),IF(ISNA(VLOOKUP(H338,'Exp-Rev Categories'!A:B,2,FALSE)),"Revenue",VLOOKUP(H338,'Exp-Rev Categories'!A:B,2,FALSE)))</f>
        <v>Exp-Goods &amp; Services</v>
      </c>
      <c r="K338" s="2">
        <v>130916</v>
      </c>
      <c r="L338" s="3">
        <v>0</v>
      </c>
      <c r="M338" s="3">
        <v>0</v>
      </c>
      <c r="N338" s="3">
        <v>130916</v>
      </c>
      <c r="O338" s="3">
        <v>0</v>
      </c>
      <c r="P338" s="2" t="s">
        <v>222</v>
      </c>
    </row>
    <row r="339" spans="1:16">
      <c r="A339" s="2" t="s">
        <v>280</v>
      </c>
      <c r="B339" s="2" t="s">
        <v>1</v>
      </c>
      <c r="C339" s="2" t="s">
        <v>2</v>
      </c>
      <c r="D339" s="2" t="s">
        <v>116</v>
      </c>
      <c r="E339" s="4" t="str">
        <f t="shared" si="5"/>
        <v>2410 - ASA GENERAL FUND</v>
      </c>
      <c r="F339" s="2" t="s">
        <v>23</v>
      </c>
      <c r="G339" s="2" t="s">
        <v>24</v>
      </c>
      <c r="J339" s="5" t="str">
        <f>IF(H339="",VLOOKUP(LEFT(F339,1),'Exp-Rev Categories'!A:B,2,FALSE),IF(ISNA(VLOOKUP(H339,'Exp-Rev Categories'!A:B,2,FALSE)),"Revenue",VLOOKUP(H339,'Exp-Rev Categories'!A:B,2,FALSE)))</f>
        <v>Exp-Goods &amp; Services</v>
      </c>
      <c r="K339" s="2">
        <v>0</v>
      </c>
      <c r="L339" s="3">
        <v>740.52</v>
      </c>
      <c r="M339" s="3">
        <v>0</v>
      </c>
      <c r="N339" s="3">
        <v>-740.52</v>
      </c>
      <c r="O339" s="3">
        <v>0</v>
      </c>
      <c r="P339" s="2" t="s">
        <v>222</v>
      </c>
    </row>
    <row r="340" spans="1:16">
      <c r="A340" s="2" t="s">
        <v>280</v>
      </c>
      <c r="B340" s="2" t="s">
        <v>1</v>
      </c>
      <c r="C340" s="2" t="s">
        <v>2</v>
      </c>
      <c r="D340" s="2" t="s">
        <v>116</v>
      </c>
      <c r="E340" s="4" t="str">
        <f t="shared" si="5"/>
        <v>2410 - ASA GENERAL FUND</v>
      </c>
      <c r="F340" s="2" t="s">
        <v>23</v>
      </c>
      <c r="G340" s="2" t="s">
        <v>77</v>
      </c>
      <c r="J340" s="5" t="str">
        <f>IF(H340="",VLOOKUP(LEFT(F340,1),'Exp-Rev Categories'!A:B,2,FALSE),IF(ISNA(VLOOKUP(H340,'Exp-Rev Categories'!A:B,2,FALSE)),"Revenue",VLOOKUP(H340,'Exp-Rev Categories'!A:B,2,FALSE)))</f>
        <v>Exp-Goods &amp; Services</v>
      </c>
      <c r="K340" s="2">
        <v>0</v>
      </c>
      <c r="L340" s="3">
        <v>247.7</v>
      </c>
      <c r="M340" s="3">
        <v>0</v>
      </c>
      <c r="N340" s="3">
        <v>-247.7</v>
      </c>
      <c r="O340" s="3">
        <v>0</v>
      </c>
      <c r="P340" s="2" t="s">
        <v>222</v>
      </c>
    </row>
    <row r="341" spans="1:16">
      <c r="A341" s="2" t="s">
        <v>280</v>
      </c>
      <c r="B341" s="2" t="s">
        <v>1</v>
      </c>
      <c r="C341" s="2" t="s">
        <v>2</v>
      </c>
      <c r="D341" s="2" t="s">
        <v>116</v>
      </c>
      <c r="E341" s="4" t="str">
        <f t="shared" si="5"/>
        <v>2410 - ASA GENERAL FUND</v>
      </c>
      <c r="F341" s="2" t="s">
        <v>94</v>
      </c>
      <c r="G341" s="2" t="s">
        <v>24</v>
      </c>
      <c r="J341" s="5" t="str">
        <f>IF(H341="",VLOOKUP(LEFT(F341,1),'Exp-Rev Categories'!A:B,2,FALSE),IF(ISNA(VLOOKUP(H341,'Exp-Rev Categories'!A:B,2,FALSE)),"Revenue",VLOOKUP(H341,'Exp-Rev Categories'!A:B,2,FALSE)))</f>
        <v>Exp-Goods &amp; Services</v>
      </c>
      <c r="K341" s="2">
        <v>0</v>
      </c>
      <c r="L341" s="3">
        <v>50</v>
      </c>
      <c r="M341" s="3">
        <v>0</v>
      </c>
      <c r="N341" s="3">
        <v>-50</v>
      </c>
      <c r="O341" s="3">
        <v>0</v>
      </c>
      <c r="P341" s="2" t="s">
        <v>222</v>
      </c>
    </row>
    <row r="342" spans="1:16">
      <c r="A342" s="2" t="s">
        <v>280</v>
      </c>
      <c r="B342" s="2" t="s">
        <v>1</v>
      </c>
      <c r="C342" s="2" t="s">
        <v>2</v>
      </c>
      <c r="D342" s="2" t="s">
        <v>116</v>
      </c>
      <c r="E342" s="4" t="str">
        <f t="shared" si="5"/>
        <v>2410 - ASA GENERAL FUND</v>
      </c>
      <c r="F342" s="2" t="s">
        <v>94</v>
      </c>
      <c r="G342" s="2" t="s">
        <v>95</v>
      </c>
      <c r="J342" s="5" t="str">
        <f>IF(H342="",VLOOKUP(LEFT(F342,1),'Exp-Rev Categories'!A:B,2,FALSE),IF(ISNA(VLOOKUP(H342,'Exp-Rev Categories'!A:B,2,FALSE)),"Revenue",VLOOKUP(H342,'Exp-Rev Categories'!A:B,2,FALSE)))</f>
        <v>Exp-Goods &amp; Services</v>
      </c>
      <c r="K342" s="2">
        <v>0</v>
      </c>
      <c r="L342" s="3">
        <v>463.8</v>
      </c>
      <c r="M342" s="3">
        <v>0</v>
      </c>
      <c r="N342" s="3">
        <v>-463.8</v>
      </c>
      <c r="O342" s="3">
        <v>0</v>
      </c>
      <c r="P342" s="2" t="s">
        <v>222</v>
      </c>
    </row>
    <row r="343" spans="1:16">
      <c r="A343" s="2" t="s">
        <v>280</v>
      </c>
      <c r="B343" s="2" t="s">
        <v>1</v>
      </c>
      <c r="C343" s="2" t="s">
        <v>2</v>
      </c>
      <c r="D343" s="2" t="s">
        <v>116</v>
      </c>
      <c r="E343" s="4" t="str">
        <f t="shared" si="5"/>
        <v>2410 - ASA GENERAL FUND</v>
      </c>
      <c r="F343" s="2" t="s">
        <v>94</v>
      </c>
      <c r="G343" s="2" t="s">
        <v>96</v>
      </c>
      <c r="J343" s="5" t="str">
        <f>IF(H343="",VLOOKUP(LEFT(F343,1),'Exp-Rev Categories'!A:B,2,FALSE),IF(ISNA(VLOOKUP(H343,'Exp-Rev Categories'!A:B,2,FALSE)),"Revenue",VLOOKUP(H343,'Exp-Rev Categories'!A:B,2,FALSE)))</f>
        <v>Exp-Goods &amp; Services</v>
      </c>
      <c r="K343" s="2">
        <v>0</v>
      </c>
      <c r="L343" s="3">
        <v>214.9</v>
      </c>
      <c r="M343" s="3">
        <v>0</v>
      </c>
      <c r="N343" s="3">
        <v>-214.9</v>
      </c>
      <c r="O343" s="3">
        <v>0</v>
      </c>
      <c r="P343" s="2" t="s">
        <v>222</v>
      </c>
    </row>
    <row r="344" spans="1:16">
      <c r="A344" s="2" t="s">
        <v>280</v>
      </c>
      <c r="B344" s="2" t="s">
        <v>1</v>
      </c>
      <c r="C344" s="2" t="s">
        <v>2</v>
      </c>
      <c r="D344" s="2" t="s">
        <v>116</v>
      </c>
      <c r="E344" s="4" t="str">
        <f t="shared" si="5"/>
        <v>2410 - ASA GENERAL FUND</v>
      </c>
      <c r="F344" s="2" t="s">
        <v>54</v>
      </c>
      <c r="G344" s="2" t="s">
        <v>56</v>
      </c>
      <c r="J344" s="5" t="str">
        <f>IF(H344="",VLOOKUP(LEFT(F344,1),'Exp-Rev Categories'!A:B,2,FALSE),IF(ISNA(VLOOKUP(H344,'Exp-Rev Categories'!A:B,2,FALSE)),"Revenue",VLOOKUP(H344,'Exp-Rev Categories'!A:B,2,FALSE)))</f>
        <v>Exp-Goods &amp; Services</v>
      </c>
      <c r="K344" s="2">
        <v>0</v>
      </c>
      <c r="L344" s="3">
        <v>250</v>
      </c>
      <c r="M344" s="3">
        <v>0</v>
      </c>
      <c r="N344" s="3">
        <v>-250</v>
      </c>
      <c r="O344" s="3">
        <v>0</v>
      </c>
      <c r="P344" s="2" t="s">
        <v>222</v>
      </c>
    </row>
    <row r="345" spans="1:16">
      <c r="A345" s="2" t="s">
        <v>280</v>
      </c>
      <c r="B345" s="2" t="s">
        <v>1</v>
      </c>
      <c r="C345" s="2" t="s">
        <v>2</v>
      </c>
      <c r="D345" s="2" t="s">
        <v>116</v>
      </c>
      <c r="E345" s="4" t="str">
        <f t="shared" si="5"/>
        <v>2410 - ASA GENERAL FUND</v>
      </c>
      <c r="F345" s="2" t="s">
        <v>79</v>
      </c>
      <c r="G345" s="2" t="s">
        <v>66</v>
      </c>
      <c r="J345" s="5" t="str">
        <f>IF(H345="",VLOOKUP(LEFT(F345,1),'Exp-Rev Categories'!A:B,2,FALSE),IF(ISNA(VLOOKUP(H345,'Exp-Rev Categories'!A:B,2,FALSE)),"Revenue",VLOOKUP(H345,'Exp-Rev Categories'!A:B,2,FALSE)))</f>
        <v>Exp-Goods &amp; Services</v>
      </c>
      <c r="K345" s="2">
        <v>0</v>
      </c>
      <c r="L345" s="3">
        <v>4.46</v>
      </c>
      <c r="M345" s="3">
        <v>0</v>
      </c>
      <c r="N345" s="3">
        <v>-4.46</v>
      </c>
      <c r="O345" s="3">
        <v>0</v>
      </c>
      <c r="P345" s="2" t="s">
        <v>222</v>
      </c>
    </row>
    <row r="346" spans="1:16">
      <c r="A346" s="2" t="s">
        <v>280</v>
      </c>
      <c r="B346" s="2" t="s">
        <v>1</v>
      </c>
      <c r="C346" s="2" t="s">
        <v>2</v>
      </c>
      <c r="D346" s="2" t="s">
        <v>116</v>
      </c>
      <c r="E346" s="4" t="str">
        <f t="shared" si="5"/>
        <v>2410 - ASA GENERAL FUND</v>
      </c>
      <c r="F346" s="2" t="s">
        <v>41</v>
      </c>
      <c r="G346" s="2" t="s">
        <v>24</v>
      </c>
      <c r="J346" s="5" t="str">
        <f>IF(H346="",VLOOKUP(LEFT(F346,1),'Exp-Rev Categories'!A:B,2,FALSE),IF(ISNA(VLOOKUP(H346,'Exp-Rev Categories'!A:B,2,FALSE)),"Revenue",VLOOKUP(H346,'Exp-Rev Categories'!A:B,2,FALSE)))</f>
        <v>Exp-Goods &amp; Services</v>
      </c>
      <c r="K346" s="2">
        <v>0</v>
      </c>
      <c r="L346" s="3">
        <v>101868.8</v>
      </c>
      <c r="M346" s="3">
        <v>0</v>
      </c>
      <c r="N346" s="3">
        <v>-101868.8</v>
      </c>
      <c r="O346" s="3">
        <v>0</v>
      </c>
      <c r="P346" s="2" t="s">
        <v>222</v>
      </c>
    </row>
    <row r="347" spans="1:16">
      <c r="A347" s="2" t="s">
        <v>280</v>
      </c>
      <c r="B347" s="2" t="s">
        <v>1</v>
      </c>
      <c r="C347" s="2" t="s">
        <v>2</v>
      </c>
      <c r="D347" s="2" t="s">
        <v>116</v>
      </c>
      <c r="E347" s="4" t="str">
        <f t="shared" si="5"/>
        <v>2410 - ASA GENERAL FUND</v>
      </c>
      <c r="F347" s="2" t="s">
        <v>41</v>
      </c>
      <c r="G347" s="2" t="s">
        <v>7</v>
      </c>
      <c r="J347" s="5" t="str">
        <f>IF(H347="",VLOOKUP(LEFT(F347,1),'Exp-Rev Categories'!A:B,2,FALSE),IF(ISNA(VLOOKUP(H347,'Exp-Rev Categories'!A:B,2,FALSE)),"Revenue",VLOOKUP(H347,'Exp-Rev Categories'!A:B,2,FALSE)))</f>
        <v>Exp-Goods &amp; Services</v>
      </c>
      <c r="K347" s="2">
        <v>0</v>
      </c>
      <c r="L347" s="3">
        <v>14.22</v>
      </c>
      <c r="M347" s="3">
        <v>0</v>
      </c>
      <c r="N347" s="3">
        <v>-14.22</v>
      </c>
      <c r="O347" s="3">
        <v>0</v>
      </c>
      <c r="P347" s="2" t="s">
        <v>222</v>
      </c>
    </row>
    <row r="348" spans="1:16">
      <c r="A348" s="2" t="s">
        <v>280</v>
      </c>
      <c r="B348" s="2" t="s">
        <v>1</v>
      </c>
      <c r="C348" s="2" t="s">
        <v>2</v>
      </c>
      <c r="D348" s="2" t="s">
        <v>116</v>
      </c>
      <c r="E348" s="4" t="str">
        <f t="shared" si="5"/>
        <v>2410 - ASA GENERAL FUND</v>
      </c>
      <c r="F348" s="2" t="s">
        <v>41</v>
      </c>
      <c r="G348" s="2" t="s">
        <v>64</v>
      </c>
      <c r="J348" s="5" t="str">
        <f>IF(H348="",VLOOKUP(LEFT(F348,1),'Exp-Rev Categories'!A:B,2,FALSE),IF(ISNA(VLOOKUP(H348,'Exp-Rev Categories'!A:B,2,FALSE)),"Revenue",VLOOKUP(H348,'Exp-Rev Categories'!A:B,2,FALSE)))</f>
        <v>Exp-Goods &amp; Services</v>
      </c>
      <c r="K348" s="2">
        <v>0</v>
      </c>
      <c r="L348" s="3">
        <v>146</v>
      </c>
      <c r="M348" s="3">
        <v>0</v>
      </c>
      <c r="N348" s="3">
        <v>-146</v>
      </c>
      <c r="O348" s="3">
        <v>0</v>
      </c>
      <c r="P348" s="2" t="s">
        <v>222</v>
      </c>
    </row>
    <row r="349" spans="1:16">
      <c r="A349" s="2" t="s">
        <v>280</v>
      </c>
      <c r="B349" s="2" t="s">
        <v>1</v>
      </c>
      <c r="C349" s="2" t="s">
        <v>2</v>
      </c>
      <c r="D349" s="2" t="s">
        <v>116</v>
      </c>
      <c r="E349" s="4" t="str">
        <f t="shared" si="5"/>
        <v>2410 - ASA GENERAL FUND</v>
      </c>
      <c r="F349" s="2" t="s">
        <v>267</v>
      </c>
      <c r="J349" s="5" t="str">
        <f>IF(H349="",VLOOKUP(LEFT(F349,1),'Exp-Rev Categories'!A:B,2,FALSE),IF(ISNA(VLOOKUP(H349,'Exp-Rev Categories'!A:B,2,FALSE)),"Revenue",VLOOKUP(H349,'Exp-Rev Categories'!A:B,2,FALSE)))</f>
        <v>Exp-Travel</v>
      </c>
      <c r="K349" s="2">
        <v>0</v>
      </c>
      <c r="L349" s="3">
        <v>0</v>
      </c>
      <c r="M349" s="3">
        <v>0</v>
      </c>
      <c r="N349" s="3">
        <v>0</v>
      </c>
      <c r="O349" s="3">
        <v>0</v>
      </c>
      <c r="P349" s="2" t="s">
        <v>222</v>
      </c>
    </row>
    <row r="350" spans="1:16">
      <c r="A350" s="2" t="s">
        <v>280</v>
      </c>
      <c r="B350" s="2" t="s">
        <v>1</v>
      </c>
      <c r="C350" s="2" t="s">
        <v>2</v>
      </c>
      <c r="D350" s="2" t="s">
        <v>116</v>
      </c>
      <c r="E350" s="4" t="str">
        <f t="shared" si="5"/>
        <v>2410 - ASA GENERAL FUND</v>
      </c>
      <c r="F350" s="2" t="s">
        <v>67</v>
      </c>
      <c r="G350" s="2" t="s">
        <v>24</v>
      </c>
      <c r="J350" s="5" t="str">
        <f>IF(H350="",VLOOKUP(LEFT(F350,1),'Exp-Rev Categories'!A:B,2,FALSE),IF(ISNA(VLOOKUP(H350,'Exp-Rev Categories'!A:B,2,FALSE)),"Revenue",VLOOKUP(H350,'Exp-Rev Categories'!A:B,2,FALSE)))</f>
        <v>Exp-Travel</v>
      </c>
      <c r="K350" s="2">
        <v>0</v>
      </c>
      <c r="L350" s="3">
        <v>196.98</v>
      </c>
      <c r="M350" s="3">
        <v>0</v>
      </c>
      <c r="N350" s="3">
        <v>-196.98</v>
      </c>
      <c r="O350" s="3">
        <v>0</v>
      </c>
      <c r="P350" s="2" t="s">
        <v>222</v>
      </c>
    </row>
    <row r="351" spans="1:16">
      <c r="A351" s="2" t="s">
        <v>280</v>
      </c>
      <c r="B351" s="2" t="s">
        <v>1</v>
      </c>
      <c r="C351" s="2" t="s">
        <v>2</v>
      </c>
      <c r="D351" s="2" t="s">
        <v>116</v>
      </c>
      <c r="E351" s="4" t="str">
        <f t="shared" si="5"/>
        <v>2410 - ASA GENERAL FUND</v>
      </c>
      <c r="F351" s="2" t="s">
        <v>44</v>
      </c>
      <c r="G351" s="2" t="s">
        <v>24</v>
      </c>
      <c r="J351" s="5" t="str">
        <f>IF(H351="",VLOOKUP(LEFT(F351,1),'Exp-Rev Categories'!A:B,2,FALSE),IF(ISNA(VLOOKUP(H351,'Exp-Rev Categories'!A:B,2,FALSE)),"Revenue",VLOOKUP(H351,'Exp-Rev Categories'!A:B,2,FALSE)))</f>
        <v>Exp-Travel</v>
      </c>
      <c r="K351" s="2">
        <v>0</v>
      </c>
      <c r="L351" s="3">
        <v>28.5</v>
      </c>
      <c r="M351" s="3">
        <v>0</v>
      </c>
      <c r="N351" s="3">
        <v>-28.5</v>
      </c>
      <c r="O351" s="3">
        <v>0</v>
      </c>
      <c r="P351" s="2" t="s">
        <v>222</v>
      </c>
    </row>
    <row r="352" spans="1:16">
      <c r="A352" s="2" t="s">
        <v>280</v>
      </c>
      <c r="B352" s="2" t="s">
        <v>1</v>
      </c>
      <c r="C352" s="2" t="s">
        <v>2</v>
      </c>
      <c r="D352" s="2" t="s">
        <v>116</v>
      </c>
      <c r="E352" s="4" t="str">
        <f t="shared" si="5"/>
        <v>2410 - ASA GENERAL FUND</v>
      </c>
      <c r="F352" s="2" t="s">
        <v>44</v>
      </c>
      <c r="G352" s="2" t="s">
        <v>7</v>
      </c>
      <c r="J352" s="5" t="str">
        <f>IF(H352="",VLOOKUP(LEFT(F352,1),'Exp-Rev Categories'!A:B,2,FALSE),IF(ISNA(VLOOKUP(H352,'Exp-Rev Categories'!A:B,2,FALSE)),"Revenue",VLOOKUP(H352,'Exp-Rev Categories'!A:B,2,FALSE)))</f>
        <v>Exp-Travel</v>
      </c>
      <c r="K352" s="2">
        <v>0</v>
      </c>
      <c r="L352" s="3">
        <v>132.79</v>
      </c>
      <c r="M352" s="3">
        <v>0</v>
      </c>
      <c r="N352" s="3">
        <v>-132.79</v>
      </c>
      <c r="O352" s="3">
        <v>0</v>
      </c>
      <c r="P352" s="2" t="s">
        <v>222</v>
      </c>
    </row>
    <row r="353" spans="1:16">
      <c r="A353" s="2" t="s">
        <v>280</v>
      </c>
      <c r="B353" s="2" t="s">
        <v>1</v>
      </c>
      <c r="C353" s="2" t="s">
        <v>2</v>
      </c>
      <c r="D353" s="2" t="s">
        <v>116</v>
      </c>
      <c r="E353" s="4" t="str">
        <f t="shared" si="5"/>
        <v>2410 - ASA GENERAL FUND</v>
      </c>
      <c r="F353" s="2" t="s">
        <v>60</v>
      </c>
      <c r="G353" s="2" t="s">
        <v>24</v>
      </c>
      <c r="J353" s="5" t="str">
        <f>IF(H353="",VLOOKUP(LEFT(F353,1),'Exp-Rev Categories'!A:B,2,FALSE),IF(ISNA(VLOOKUP(H353,'Exp-Rev Categories'!A:B,2,FALSE)),"Revenue",VLOOKUP(H353,'Exp-Rev Categories'!A:B,2,FALSE)))</f>
        <v>Exp-Travel</v>
      </c>
      <c r="K353" s="2">
        <v>0</v>
      </c>
      <c r="L353" s="3">
        <v>242.4</v>
      </c>
      <c r="M353" s="3">
        <v>0</v>
      </c>
      <c r="N353" s="3">
        <v>-242.4</v>
      </c>
      <c r="O353" s="3">
        <v>0</v>
      </c>
      <c r="P353" s="2" t="s">
        <v>222</v>
      </c>
    </row>
    <row r="354" spans="1:16">
      <c r="A354" s="2" t="s">
        <v>280</v>
      </c>
      <c r="B354" s="2" t="s">
        <v>1</v>
      </c>
      <c r="C354" s="2" t="s">
        <v>2</v>
      </c>
      <c r="D354" s="2" t="s">
        <v>116</v>
      </c>
      <c r="E354" s="4" t="str">
        <f t="shared" si="5"/>
        <v>2410 - ASA GENERAL FUND</v>
      </c>
      <c r="F354" s="2" t="s">
        <v>268</v>
      </c>
      <c r="J354" s="5" t="str">
        <f>IF(H354="",VLOOKUP(LEFT(F354,1),'Exp-Rev Categories'!A:B,2,FALSE),IF(ISNA(VLOOKUP(H354,'Exp-Rev Categories'!A:B,2,FALSE)),"Revenue",VLOOKUP(H354,'Exp-Rev Categories'!A:B,2,FALSE)))</f>
        <v>Exp-Equipment</v>
      </c>
      <c r="K354" s="2">
        <v>0</v>
      </c>
      <c r="L354" s="3">
        <v>0</v>
      </c>
      <c r="M354" s="3">
        <v>0</v>
      </c>
      <c r="N354" s="3">
        <v>0</v>
      </c>
      <c r="O354" s="3">
        <v>0</v>
      </c>
      <c r="P354" s="2" t="s">
        <v>222</v>
      </c>
    </row>
    <row r="355" spans="1:16">
      <c r="A355" s="2" t="s">
        <v>280</v>
      </c>
      <c r="B355" s="2" t="s">
        <v>1</v>
      </c>
      <c r="C355" s="2" t="s">
        <v>2</v>
      </c>
      <c r="D355" s="2" t="s">
        <v>116</v>
      </c>
      <c r="E355" s="4" t="str">
        <f t="shared" si="5"/>
        <v>2410 - ASA GENERAL FUND</v>
      </c>
      <c r="F355" s="2" t="s">
        <v>61</v>
      </c>
      <c r="G355" s="2" t="s">
        <v>24</v>
      </c>
      <c r="J355" s="5" t="str">
        <f>IF(H355="",VLOOKUP(LEFT(F355,1),'Exp-Rev Categories'!A:B,2,FALSE),IF(ISNA(VLOOKUP(H355,'Exp-Rev Categories'!A:B,2,FALSE)),"Revenue",VLOOKUP(H355,'Exp-Rev Categories'!A:B,2,FALSE)))</f>
        <v>Exp-Equipment</v>
      </c>
      <c r="K355" s="2">
        <v>0</v>
      </c>
      <c r="L355" s="3">
        <v>4959.62</v>
      </c>
      <c r="M355" s="3">
        <v>0</v>
      </c>
      <c r="N355" s="3">
        <v>-4959.62</v>
      </c>
      <c r="O355" s="3">
        <v>0</v>
      </c>
      <c r="P355" s="2" t="s">
        <v>222</v>
      </c>
    </row>
    <row r="356" spans="1:16">
      <c r="A356" s="2" t="s">
        <v>280</v>
      </c>
      <c r="B356" s="2" t="s">
        <v>1</v>
      </c>
      <c r="C356" s="2" t="s">
        <v>2</v>
      </c>
      <c r="D356" s="2" t="s">
        <v>116</v>
      </c>
      <c r="E356" s="4" t="str">
        <f t="shared" si="5"/>
        <v>2410 - ASA GENERAL FUND</v>
      </c>
      <c r="F356" s="2" t="s">
        <v>68</v>
      </c>
      <c r="J356" s="5" t="str">
        <f>IF(H356="",VLOOKUP(LEFT(F356,1),'Exp-Rev Categories'!A:B,2,FALSE),IF(ISNA(VLOOKUP(H356,'Exp-Rev Categories'!A:B,2,FALSE)),"Revenue",VLOOKUP(H356,'Exp-Rev Categories'!A:B,2,FALSE)))</f>
        <v>Exp-Computer Equipment</v>
      </c>
      <c r="K356" s="2">
        <v>0</v>
      </c>
      <c r="L356" s="3">
        <v>5912.88</v>
      </c>
      <c r="M356" s="3">
        <v>0</v>
      </c>
      <c r="N356" s="3">
        <v>-5912.88</v>
      </c>
      <c r="O356" s="3">
        <v>0</v>
      </c>
      <c r="P356" s="2" t="s">
        <v>222</v>
      </c>
    </row>
    <row r="357" spans="1:16">
      <c r="A357" s="2" t="s">
        <v>280</v>
      </c>
      <c r="B357" s="2" t="s">
        <v>1</v>
      </c>
      <c r="C357" s="2" t="s">
        <v>2</v>
      </c>
      <c r="D357" s="2" t="s">
        <v>116</v>
      </c>
      <c r="E357" s="4" t="str">
        <f t="shared" si="5"/>
        <v>2410 - ASA GENERAL FUND</v>
      </c>
      <c r="F357" s="2" t="s">
        <v>117</v>
      </c>
      <c r="J357" s="5" t="str">
        <f>IF(H357="",VLOOKUP(LEFT(F357,1),'Exp-Rev Categories'!A:B,2,FALSE),IF(ISNA(VLOOKUP(H357,'Exp-Rev Categories'!A:B,2,FALSE)),"Revenue",VLOOKUP(H357,'Exp-Rev Categories'!A:B,2,FALSE)))</f>
        <v>Exp-Grants/Scholarships</v>
      </c>
      <c r="K357" s="2">
        <v>0</v>
      </c>
      <c r="L357" s="3">
        <v>0</v>
      </c>
      <c r="M357" s="3">
        <v>0</v>
      </c>
      <c r="N357" s="3">
        <v>0</v>
      </c>
      <c r="O357" s="3">
        <v>0</v>
      </c>
      <c r="P357" s="2" t="s">
        <v>222</v>
      </c>
    </row>
    <row r="358" spans="1:16">
      <c r="A358" s="2" t="s">
        <v>280</v>
      </c>
      <c r="B358" s="2" t="s">
        <v>1</v>
      </c>
      <c r="C358" s="2" t="s">
        <v>2</v>
      </c>
      <c r="D358" s="2" t="s">
        <v>116</v>
      </c>
      <c r="E358" s="4" t="str">
        <f t="shared" si="5"/>
        <v>2410 - ASA GENERAL FUND</v>
      </c>
      <c r="F358" s="2" t="s">
        <v>117</v>
      </c>
      <c r="G358" s="2" t="s">
        <v>24</v>
      </c>
      <c r="J358" s="5" t="str">
        <f>IF(H358="",VLOOKUP(LEFT(F358,1),'Exp-Rev Categories'!A:B,2,FALSE),IF(ISNA(VLOOKUP(H358,'Exp-Rev Categories'!A:B,2,FALSE)),"Revenue",VLOOKUP(H358,'Exp-Rev Categories'!A:B,2,FALSE)))</f>
        <v>Exp-Grants/Scholarships</v>
      </c>
      <c r="K358" s="2">
        <v>0</v>
      </c>
      <c r="L358" s="3">
        <v>1000</v>
      </c>
      <c r="M358" s="3">
        <v>0</v>
      </c>
      <c r="N358" s="3">
        <v>-1000</v>
      </c>
      <c r="O358" s="3">
        <v>0</v>
      </c>
      <c r="P358" s="2" t="s">
        <v>222</v>
      </c>
    </row>
    <row r="359" spans="1:16">
      <c r="A359" s="2" t="s">
        <v>280</v>
      </c>
      <c r="B359" s="2" t="s">
        <v>1</v>
      </c>
      <c r="C359" s="2" t="s">
        <v>2</v>
      </c>
      <c r="D359" s="2" t="s">
        <v>118</v>
      </c>
      <c r="E359" s="4" t="str">
        <f t="shared" si="5"/>
        <v>2411 - PRES SPEAKER SERIES</v>
      </c>
      <c r="H359" s="2" t="s">
        <v>43</v>
      </c>
      <c r="J359" s="5" t="str">
        <f>IF(H359="",VLOOKUP(LEFT(F359,1),'Exp-Rev Categories'!A:B,2,FALSE),IF(ISNA(VLOOKUP(H359,'Exp-Rev Categories'!A:B,2,FALSE)),"Revenue",VLOOKUP(H359,'Exp-Rev Categories'!A:B,2,FALSE)))</f>
        <v>Rev-Intra-Fund Transfer</v>
      </c>
      <c r="K359" s="2">
        <v>0</v>
      </c>
      <c r="L359" s="3">
        <v>0</v>
      </c>
      <c r="M359" s="3">
        <v>0</v>
      </c>
      <c r="N359" s="3">
        <v>0</v>
      </c>
      <c r="O359" s="3">
        <v>0</v>
      </c>
      <c r="P359" s="2" t="s">
        <v>198</v>
      </c>
    </row>
    <row r="360" spans="1:16">
      <c r="A360" s="2" t="s">
        <v>280</v>
      </c>
      <c r="B360" s="2" t="s">
        <v>1</v>
      </c>
      <c r="C360" s="2" t="s">
        <v>2</v>
      </c>
      <c r="D360" s="2" t="s">
        <v>118</v>
      </c>
      <c r="E360" s="4" t="str">
        <f t="shared" si="5"/>
        <v>2411 - PRES SPEAKER SERIES</v>
      </c>
      <c r="F360" s="2" t="s">
        <v>48</v>
      </c>
      <c r="G360" s="2" t="s">
        <v>49</v>
      </c>
      <c r="J360" s="5" t="str">
        <f>IF(H360="",VLOOKUP(LEFT(F360,1),'Exp-Rev Categories'!A:B,2,FALSE),IF(ISNA(VLOOKUP(H360,'Exp-Rev Categories'!A:B,2,FALSE)),"Revenue",VLOOKUP(H360,'Exp-Rev Categories'!A:B,2,FALSE)))</f>
        <v>Exp-Salaries &amp; Wages</v>
      </c>
      <c r="K360" s="2">
        <v>0</v>
      </c>
      <c r="L360" s="3">
        <v>121.46</v>
      </c>
      <c r="M360" s="3">
        <v>0</v>
      </c>
      <c r="N360" s="3">
        <v>-121.46</v>
      </c>
      <c r="O360" s="3">
        <v>0</v>
      </c>
      <c r="P360" s="2" t="s">
        <v>198</v>
      </c>
    </row>
    <row r="361" spans="1:16">
      <c r="A361" s="2" t="s">
        <v>280</v>
      </c>
      <c r="B361" s="2" t="s">
        <v>1</v>
      </c>
      <c r="C361" s="2" t="s">
        <v>2</v>
      </c>
      <c r="D361" s="2" t="s">
        <v>118</v>
      </c>
      <c r="E361" s="4" t="str">
        <f t="shared" si="5"/>
        <v>2411 - PRES SPEAKER SERIES</v>
      </c>
      <c r="F361" s="2" t="s">
        <v>31</v>
      </c>
      <c r="G361" s="2" t="s">
        <v>119</v>
      </c>
      <c r="J361" s="5" t="str">
        <f>IF(H361="",VLOOKUP(LEFT(F361,1),'Exp-Rev Categories'!A:B,2,FALSE),IF(ISNA(VLOOKUP(H361,'Exp-Rev Categories'!A:B,2,FALSE)),"Revenue",VLOOKUP(H361,'Exp-Rev Categories'!A:B,2,FALSE)))</f>
        <v>Exp-Salaries &amp; Wages</v>
      </c>
      <c r="K361" s="2">
        <v>0</v>
      </c>
      <c r="L361" s="3">
        <v>200</v>
      </c>
      <c r="M361" s="3">
        <v>0</v>
      </c>
      <c r="N361" s="3">
        <v>-200</v>
      </c>
      <c r="O361" s="3">
        <v>0</v>
      </c>
      <c r="P361" s="2" t="s">
        <v>198</v>
      </c>
    </row>
    <row r="362" spans="1:16">
      <c r="A362" s="2" t="s">
        <v>280</v>
      </c>
      <c r="B362" s="2" t="s">
        <v>1</v>
      </c>
      <c r="C362" s="2" t="s">
        <v>2</v>
      </c>
      <c r="D362" s="2" t="s">
        <v>118</v>
      </c>
      <c r="E362" s="4" t="str">
        <f t="shared" si="5"/>
        <v>2411 - PRES SPEAKER SERIES</v>
      </c>
      <c r="F362" s="2" t="s">
        <v>34</v>
      </c>
      <c r="G362" s="2" t="s">
        <v>0</v>
      </c>
      <c r="J362" s="5" t="str">
        <f>IF(H362="",VLOOKUP(LEFT(F362,1),'Exp-Rev Categories'!A:B,2,FALSE),IF(ISNA(VLOOKUP(H362,'Exp-Rev Categories'!A:B,2,FALSE)),"Revenue",VLOOKUP(H362,'Exp-Rev Categories'!A:B,2,FALSE)))</f>
        <v>Exp-Salaries &amp; Wages</v>
      </c>
      <c r="K362" s="2">
        <v>0</v>
      </c>
      <c r="L362" s="3">
        <v>0</v>
      </c>
      <c r="M362" s="3">
        <v>0</v>
      </c>
      <c r="N362" s="3">
        <v>0</v>
      </c>
      <c r="O362" s="3">
        <v>0</v>
      </c>
      <c r="P362" s="2" t="s">
        <v>198</v>
      </c>
    </row>
    <row r="363" spans="1:16">
      <c r="A363" s="2" t="s">
        <v>280</v>
      </c>
      <c r="B363" s="2" t="s">
        <v>1</v>
      </c>
      <c r="C363" s="2" t="s">
        <v>2</v>
      </c>
      <c r="D363" s="2" t="s">
        <v>118</v>
      </c>
      <c r="E363" s="4" t="str">
        <f t="shared" si="5"/>
        <v>2411 - PRES SPEAKER SERIES</v>
      </c>
      <c r="F363" s="2" t="s">
        <v>265</v>
      </c>
      <c r="J363" s="5" t="str">
        <f>IF(H363="",VLOOKUP(LEFT(F363,1),'Exp-Rev Categories'!A:B,2,FALSE),IF(ISNA(VLOOKUP(H363,'Exp-Rev Categories'!A:B,2,FALSE)),"Revenue",VLOOKUP(H363,'Exp-Rev Categories'!A:B,2,FALSE)))</f>
        <v>Exp-Benefits</v>
      </c>
      <c r="K363" s="2">
        <v>0</v>
      </c>
      <c r="L363" s="3">
        <v>0</v>
      </c>
      <c r="M363" s="3">
        <v>0</v>
      </c>
      <c r="N363" s="3">
        <v>0</v>
      </c>
      <c r="O363" s="3">
        <v>0</v>
      </c>
      <c r="P363" s="2" t="s">
        <v>198</v>
      </c>
    </row>
    <row r="364" spans="1:16">
      <c r="A364" s="2" t="s">
        <v>280</v>
      </c>
      <c r="B364" s="2" t="s">
        <v>1</v>
      </c>
      <c r="C364" s="2" t="s">
        <v>2</v>
      </c>
      <c r="D364" s="2" t="s">
        <v>118</v>
      </c>
      <c r="E364" s="4" t="str">
        <f t="shared" si="5"/>
        <v>2411 - PRES SPEAKER SERIES</v>
      </c>
      <c r="F364" s="2" t="s">
        <v>35</v>
      </c>
      <c r="J364" s="5" t="str">
        <f>IF(H364="",VLOOKUP(LEFT(F364,1),'Exp-Rev Categories'!A:B,2,FALSE),IF(ISNA(VLOOKUP(H364,'Exp-Rev Categories'!A:B,2,FALSE)),"Revenue",VLOOKUP(H364,'Exp-Rev Categories'!A:B,2,FALSE)))</f>
        <v>Exp-Benefits</v>
      </c>
      <c r="K364" s="2">
        <v>0</v>
      </c>
      <c r="L364" s="3">
        <v>23.86</v>
      </c>
      <c r="M364" s="3">
        <v>0</v>
      </c>
      <c r="N364" s="3">
        <v>-23.86</v>
      </c>
      <c r="O364" s="3">
        <v>0</v>
      </c>
      <c r="P364" s="2" t="s">
        <v>198</v>
      </c>
    </row>
    <row r="365" spans="1:16">
      <c r="A365" s="2" t="s">
        <v>280</v>
      </c>
      <c r="B365" s="2" t="s">
        <v>1</v>
      </c>
      <c r="C365" s="2" t="s">
        <v>2</v>
      </c>
      <c r="D365" s="2" t="s">
        <v>118</v>
      </c>
      <c r="E365" s="4" t="str">
        <f t="shared" si="5"/>
        <v>2411 - PRES SPEAKER SERIES</v>
      </c>
      <c r="F365" s="2" t="s">
        <v>36</v>
      </c>
      <c r="J365" s="5" t="str">
        <f>IF(H365="",VLOOKUP(LEFT(F365,1),'Exp-Rev Categories'!A:B,2,FALSE),IF(ISNA(VLOOKUP(H365,'Exp-Rev Categories'!A:B,2,FALSE)),"Revenue",VLOOKUP(H365,'Exp-Rev Categories'!A:B,2,FALSE)))</f>
        <v>Exp-Benefits</v>
      </c>
      <c r="K365" s="2">
        <v>0</v>
      </c>
      <c r="L365" s="3">
        <v>23.19</v>
      </c>
      <c r="M365" s="3">
        <v>0</v>
      </c>
      <c r="N365" s="3">
        <v>-23.19</v>
      </c>
      <c r="O365" s="3">
        <v>0</v>
      </c>
      <c r="P365" s="2" t="s">
        <v>198</v>
      </c>
    </row>
    <row r="366" spans="1:16">
      <c r="A366" s="2" t="s">
        <v>280</v>
      </c>
      <c r="B366" s="2" t="s">
        <v>1</v>
      </c>
      <c r="C366" s="2" t="s">
        <v>2</v>
      </c>
      <c r="D366" s="2" t="s">
        <v>118</v>
      </c>
      <c r="E366" s="4" t="str">
        <f t="shared" si="5"/>
        <v>2411 - PRES SPEAKER SERIES</v>
      </c>
      <c r="F366" s="2" t="s">
        <v>37</v>
      </c>
      <c r="J366" s="5" t="str">
        <f>IF(H366="",VLOOKUP(LEFT(F366,1),'Exp-Rev Categories'!A:B,2,FALSE),IF(ISNA(VLOOKUP(H366,'Exp-Rev Categories'!A:B,2,FALSE)),"Revenue",VLOOKUP(H366,'Exp-Rev Categories'!A:B,2,FALSE)))</f>
        <v>Exp-Benefits</v>
      </c>
      <c r="K366" s="2">
        <v>0</v>
      </c>
      <c r="L366" s="3">
        <v>1.8</v>
      </c>
      <c r="M366" s="3">
        <v>0</v>
      </c>
      <c r="N366" s="3">
        <v>-1.8</v>
      </c>
      <c r="O366" s="3">
        <v>0</v>
      </c>
      <c r="P366" s="2" t="s">
        <v>198</v>
      </c>
    </row>
    <row r="367" spans="1:16">
      <c r="A367" s="2" t="s">
        <v>280</v>
      </c>
      <c r="B367" s="2" t="s">
        <v>1</v>
      </c>
      <c r="C367" s="2" t="s">
        <v>2</v>
      </c>
      <c r="D367" s="2" t="s">
        <v>118</v>
      </c>
      <c r="E367" s="4" t="str">
        <f t="shared" si="5"/>
        <v>2411 - PRES SPEAKER SERIES</v>
      </c>
      <c r="F367" s="2" t="s">
        <v>39</v>
      </c>
      <c r="J367" s="5" t="str">
        <f>IF(H367="",VLOOKUP(LEFT(F367,1),'Exp-Rev Categories'!A:B,2,FALSE),IF(ISNA(VLOOKUP(H367,'Exp-Rev Categories'!A:B,2,FALSE)),"Revenue",VLOOKUP(H367,'Exp-Rev Categories'!A:B,2,FALSE)))</f>
        <v>Exp-Benefits</v>
      </c>
      <c r="K367" s="2">
        <v>0</v>
      </c>
      <c r="L367" s="3">
        <v>2.3199999999999998</v>
      </c>
      <c r="M367" s="3">
        <v>0</v>
      </c>
      <c r="N367" s="3">
        <v>-2.3199999999999998</v>
      </c>
      <c r="O367" s="3">
        <v>0</v>
      </c>
      <c r="P367" s="2" t="s">
        <v>198</v>
      </c>
    </row>
    <row r="368" spans="1:16">
      <c r="A368" s="2" t="s">
        <v>280</v>
      </c>
      <c r="B368" s="2" t="s">
        <v>1</v>
      </c>
      <c r="C368" s="2" t="s">
        <v>2</v>
      </c>
      <c r="D368" s="2" t="s">
        <v>118</v>
      </c>
      <c r="E368" s="4" t="str">
        <f t="shared" si="5"/>
        <v>2411 - PRES SPEAKER SERIES</v>
      </c>
      <c r="F368" s="2" t="s">
        <v>29</v>
      </c>
      <c r="J368" s="5" t="str">
        <f>IF(H368="",VLOOKUP(LEFT(F368,1),'Exp-Rev Categories'!A:B,2,FALSE),IF(ISNA(VLOOKUP(H368,'Exp-Rev Categories'!A:B,2,FALSE)),"Revenue",VLOOKUP(H368,'Exp-Rev Categories'!A:B,2,FALSE)))</f>
        <v>Exp-Goods &amp; Services</v>
      </c>
      <c r="K368" s="2">
        <v>25000</v>
      </c>
      <c r="L368" s="3">
        <v>0</v>
      </c>
      <c r="M368" s="3">
        <v>0</v>
      </c>
      <c r="N368" s="3">
        <v>25000</v>
      </c>
      <c r="O368" s="3">
        <v>0</v>
      </c>
      <c r="P368" s="2" t="s">
        <v>198</v>
      </c>
    </row>
    <row r="369" spans="1:16">
      <c r="A369" s="2" t="s">
        <v>280</v>
      </c>
      <c r="B369" s="2" t="s">
        <v>1</v>
      </c>
      <c r="C369" s="2" t="s">
        <v>2</v>
      </c>
      <c r="D369" s="2" t="s">
        <v>118</v>
      </c>
      <c r="E369" s="4" t="str">
        <f t="shared" si="5"/>
        <v>2411 - PRES SPEAKER SERIES</v>
      </c>
      <c r="F369" s="2" t="s">
        <v>23</v>
      </c>
      <c r="G369" s="2" t="s">
        <v>24</v>
      </c>
      <c r="J369" s="5" t="str">
        <f>IF(H369="",VLOOKUP(LEFT(F369,1),'Exp-Rev Categories'!A:B,2,FALSE),IF(ISNA(VLOOKUP(H369,'Exp-Rev Categories'!A:B,2,FALSE)),"Revenue",VLOOKUP(H369,'Exp-Rev Categories'!A:B,2,FALSE)))</f>
        <v>Exp-Goods &amp; Services</v>
      </c>
      <c r="K369" s="2">
        <v>0</v>
      </c>
      <c r="L369" s="3">
        <v>1069.3599999999999</v>
      </c>
      <c r="M369" s="3">
        <v>0</v>
      </c>
      <c r="N369" s="3">
        <v>-1069.3599999999999</v>
      </c>
      <c r="O369" s="3">
        <v>0</v>
      </c>
      <c r="P369" s="2" t="s">
        <v>198</v>
      </c>
    </row>
    <row r="370" spans="1:16">
      <c r="A370" s="2" t="s">
        <v>280</v>
      </c>
      <c r="B370" s="2" t="s">
        <v>1</v>
      </c>
      <c r="C370" s="2" t="s">
        <v>2</v>
      </c>
      <c r="D370" s="2" t="s">
        <v>118</v>
      </c>
      <c r="E370" s="4" t="str">
        <f t="shared" si="5"/>
        <v>2411 - PRES SPEAKER SERIES</v>
      </c>
      <c r="F370" s="2" t="s">
        <v>63</v>
      </c>
      <c r="G370" s="2" t="s">
        <v>64</v>
      </c>
      <c r="J370" s="5" t="str">
        <f>IF(H370="",VLOOKUP(LEFT(F370,1),'Exp-Rev Categories'!A:B,2,FALSE),IF(ISNA(VLOOKUP(H370,'Exp-Rev Categories'!A:B,2,FALSE)),"Revenue",VLOOKUP(H370,'Exp-Rev Categories'!A:B,2,FALSE)))</f>
        <v>Exp-Goods &amp; Services</v>
      </c>
      <c r="K370" s="2">
        <v>0</v>
      </c>
      <c r="L370" s="3">
        <v>24.38</v>
      </c>
      <c r="M370" s="3">
        <v>0</v>
      </c>
      <c r="N370" s="3">
        <v>-24.38</v>
      </c>
      <c r="O370" s="3">
        <v>0</v>
      </c>
      <c r="P370" s="2" t="s">
        <v>198</v>
      </c>
    </row>
    <row r="371" spans="1:16">
      <c r="A371" s="2" t="s">
        <v>280</v>
      </c>
      <c r="B371" s="2" t="s">
        <v>1</v>
      </c>
      <c r="C371" s="2" t="s">
        <v>2</v>
      </c>
      <c r="D371" s="2" t="s">
        <v>118</v>
      </c>
      <c r="E371" s="4" t="str">
        <f t="shared" si="5"/>
        <v>2411 - PRES SPEAKER SERIES</v>
      </c>
      <c r="F371" s="2" t="s">
        <v>40</v>
      </c>
      <c r="G371" s="2" t="s">
        <v>30</v>
      </c>
      <c r="J371" s="5" t="str">
        <f>IF(H371="",VLOOKUP(LEFT(F371,1),'Exp-Rev Categories'!A:B,2,FALSE),IF(ISNA(VLOOKUP(H371,'Exp-Rev Categories'!A:B,2,FALSE)),"Revenue",VLOOKUP(H371,'Exp-Rev Categories'!A:B,2,FALSE)))</f>
        <v>Exp-Goods &amp; Services</v>
      </c>
      <c r="K371" s="2">
        <v>0</v>
      </c>
      <c r="L371" s="3">
        <v>0.04</v>
      </c>
      <c r="M371" s="3">
        <v>0</v>
      </c>
      <c r="N371" s="3">
        <v>-0.04</v>
      </c>
      <c r="O371" s="3">
        <v>0</v>
      </c>
      <c r="P371" s="2" t="s">
        <v>198</v>
      </c>
    </row>
    <row r="372" spans="1:16">
      <c r="A372" s="2" t="s">
        <v>280</v>
      </c>
      <c r="B372" s="2" t="s">
        <v>1</v>
      </c>
      <c r="C372" s="2" t="s">
        <v>2</v>
      </c>
      <c r="D372" s="2" t="s">
        <v>118</v>
      </c>
      <c r="E372" s="4" t="str">
        <f t="shared" si="5"/>
        <v>2411 - PRES SPEAKER SERIES</v>
      </c>
      <c r="F372" s="2" t="s">
        <v>41</v>
      </c>
      <c r="G372" s="2" t="s">
        <v>24</v>
      </c>
      <c r="J372" s="5" t="str">
        <f>IF(H372="",VLOOKUP(LEFT(F372,1),'Exp-Rev Categories'!A:B,2,FALSE),IF(ISNA(VLOOKUP(H372,'Exp-Rev Categories'!A:B,2,FALSE)),"Revenue",VLOOKUP(H372,'Exp-Rev Categories'!A:B,2,FALSE)))</f>
        <v>Exp-Goods &amp; Services</v>
      </c>
      <c r="K372" s="2">
        <v>0</v>
      </c>
      <c r="L372" s="3">
        <v>3333</v>
      </c>
      <c r="M372" s="3">
        <v>0</v>
      </c>
      <c r="N372" s="3">
        <v>-3333</v>
      </c>
      <c r="O372" s="3">
        <v>0</v>
      </c>
      <c r="P372" s="2" t="s">
        <v>198</v>
      </c>
    </row>
    <row r="373" spans="1:16">
      <c r="A373" s="2" t="s">
        <v>280</v>
      </c>
      <c r="B373" s="2" t="s">
        <v>1</v>
      </c>
      <c r="C373" s="2" t="s">
        <v>2</v>
      </c>
      <c r="D373" s="2" t="s">
        <v>118</v>
      </c>
      <c r="E373" s="4" t="str">
        <f t="shared" si="5"/>
        <v>2411 - PRES SPEAKER SERIES</v>
      </c>
      <c r="F373" s="2" t="s">
        <v>41</v>
      </c>
      <c r="G373" s="2" t="s">
        <v>21</v>
      </c>
      <c r="J373" s="5" t="str">
        <f>IF(H373="",VLOOKUP(LEFT(F373,1),'Exp-Rev Categories'!A:B,2,FALSE),IF(ISNA(VLOOKUP(H373,'Exp-Rev Categories'!A:B,2,FALSE)),"Revenue",VLOOKUP(H373,'Exp-Rev Categories'!A:B,2,FALSE)))</f>
        <v>Exp-Goods &amp; Services</v>
      </c>
      <c r="K373" s="2">
        <v>0</v>
      </c>
      <c r="L373" s="3">
        <v>1414</v>
      </c>
      <c r="M373" s="3">
        <v>0</v>
      </c>
      <c r="N373" s="3">
        <v>-1414</v>
      </c>
      <c r="O373" s="3">
        <v>0</v>
      </c>
      <c r="P373" s="2" t="s">
        <v>198</v>
      </c>
    </row>
    <row r="374" spans="1:16">
      <c r="A374" s="2" t="s">
        <v>280</v>
      </c>
      <c r="B374" s="2" t="s">
        <v>1</v>
      </c>
      <c r="C374" s="2" t="s">
        <v>2</v>
      </c>
      <c r="D374" s="2" t="s">
        <v>118</v>
      </c>
      <c r="E374" s="4" t="str">
        <f t="shared" si="5"/>
        <v>2411 - PRES SPEAKER SERIES</v>
      </c>
      <c r="F374" s="2" t="s">
        <v>41</v>
      </c>
      <c r="G374" s="2" t="s">
        <v>7</v>
      </c>
      <c r="J374" s="5" t="str">
        <f>IF(H374="",VLOOKUP(LEFT(F374,1),'Exp-Rev Categories'!A:B,2,FALSE),IF(ISNA(VLOOKUP(H374,'Exp-Rev Categories'!A:B,2,FALSE)),"Revenue",VLOOKUP(H374,'Exp-Rev Categories'!A:B,2,FALSE)))</f>
        <v>Exp-Goods &amp; Services</v>
      </c>
      <c r="K374" s="2">
        <v>0</v>
      </c>
      <c r="L374" s="3">
        <v>2510</v>
      </c>
      <c r="M374" s="3">
        <v>0</v>
      </c>
      <c r="N374" s="3">
        <v>-2510</v>
      </c>
      <c r="O374" s="3">
        <v>0</v>
      </c>
      <c r="P374" s="2" t="s">
        <v>198</v>
      </c>
    </row>
    <row r="375" spans="1:16">
      <c r="A375" s="2" t="s">
        <v>280</v>
      </c>
      <c r="B375" s="2" t="s">
        <v>1</v>
      </c>
      <c r="C375" s="2" t="s">
        <v>2</v>
      </c>
      <c r="D375" s="2" t="s">
        <v>118</v>
      </c>
      <c r="E375" s="4" t="str">
        <f t="shared" si="5"/>
        <v>2411 - PRES SPEAKER SERIES</v>
      </c>
      <c r="F375" s="2" t="s">
        <v>267</v>
      </c>
      <c r="J375" s="5" t="str">
        <f>IF(H375="",VLOOKUP(LEFT(F375,1),'Exp-Rev Categories'!A:B,2,FALSE),IF(ISNA(VLOOKUP(H375,'Exp-Rev Categories'!A:B,2,FALSE)),"Revenue",VLOOKUP(H375,'Exp-Rev Categories'!A:B,2,FALSE)))</f>
        <v>Exp-Travel</v>
      </c>
      <c r="K375" s="2">
        <v>0</v>
      </c>
      <c r="L375" s="3">
        <v>0</v>
      </c>
      <c r="M375" s="3">
        <v>0</v>
      </c>
      <c r="N375" s="3">
        <v>0</v>
      </c>
      <c r="O375" s="3">
        <v>0</v>
      </c>
      <c r="P375" s="2" t="s">
        <v>198</v>
      </c>
    </row>
    <row r="376" spans="1:16">
      <c r="A376" s="2" t="s">
        <v>280</v>
      </c>
      <c r="B376" s="2" t="s">
        <v>1</v>
      </c>
      <c r="C376" s="2" t="s">
        <v>2</v>
      </c>
      <c r="D376" s="2" t="s">
        <v>118</v>
      </c>
      <c r="E376" s="4" t="str">
        <f t="shared" si="5"/>
        <v>2411 - PRES SPEAKER SERIES</v>
      </c>
      <c r="F376" s="2" t="s">
        <v>67</v>
      </c>
      <c r="G376" s="2" t="s">
        <v>24</v>
      </c>
      <c r="J376" s="5" t="str">
        <f>IF(H376="",VLOOKUP(LEFT(F376,1),'Exp-Rev Categories'!A:B,2,FALSE),IF(ISNA(VLOOKUP(H376,'Exp-Rev Categories'!A:B,2,FALSE)),"Revenue",VLOOKUP(H376,'Exp-Rev Categories'!A:B,2,FALSE)))</f>
        <v>Exp-Travel</v>
      </c>
      <c r="K376" s="2">
        <v>0</v>
      </c>
      <c r="L376" s="3">
        <v>407.18</v>
      </c>
      <c r="M376" s="3">
        <v>0</v>
      </c>
      <c r="N376" s="3">
        <v>-407.18</v>
      </c>
      <c r="O376" s="3">
        <v>0</v>
      </c>
      <c r="P376" s="2" t="s">
        <v>198</v>
      </c>
    </row>
    <row r="377" spans="1:16">
      <c r="A377" s="2" t="s">
        <v>280</v>
      </c>
      <c r="B377" s="2" t="s">
        <v>1</v>
      </c>
      <c r="C377" s="2" t="s">
        <v>2</v>
      </c>
      <c r="D377" s="2" t="s">
        <v>118</v>
      </c>
      <c r="E377" s="4" t="str">
        <f t="shared" si="5"/>
        <v>2411 - PRES SPEAKER SERIES</v>
      </c>
      <c r="F377" s="2" t="s">
        <v>268</v>
      </c>
      <c r="J377" s="5" t="str">
        <f>IF(H377="",VLOOKUP(LEFT(F377,1),'Exp-Rev Categories'!A:B,2,FALSE),IF(ISNA(VLOOKUP(H377,'Exp-Rev Categories'!A:B,2,FALSE)),"Revenue",VLOOKUP(H377,'Exp-Rev Categories'!A:B,2,FALSE)))</f>
        <v>Exp-Equipment</v>
      </c>
      <c r="K377" s="2">
        <v>0</v>
      </c>
      <c r="L377" s="3">
        <v>0</v>
      </c>
      <c r="M377" s="3">
        <v>0</v>
      </c>
      <c r="N377" s="3">
        <v>0</v>
      </c>
      <c r="O377" s="3">
        <v>0</v>
      </c>
      <c r="P377" s="2" t="s">
        <v>198</v>
      </c>
    </row>
    <row r="378" spans="1:16">
      <c r="A378" s="2" t="s">
        <v>280</v>
      </c>
      <c r="B378" s="2" t="s">
        <v>1</v>
      </c>
      <c r="C378" s="2" t="s">
        <v>2</v>
      </c>
      <c r="D378" s="2" t="s">
        <v>118</v>
      </c>
      <c r="E378" s="4" t="str">
        <f t="shared" si="5"/>
        <v>2411 - PRES SPEAKER SERIES</v>
      </c>
      <c r="F378" s="2" t="s">
        <v>117</v>
      </c>
      <c r="J378" s="5" t="str">
        <f>IF(H378="",VLOOKUP(LEFT(F378,1),'Exp-Rev Categories'!A:B,2,FALSE),IF(ISNA(VLOOKUP(H378,'Exp-Rev Categories'!A:B,2,FALSE)),"Revenue",VLOOKUP(H378,'Exp-Rev Categories'!A:B,2,FALSE)))</f>
        <v>Exp-Grants/Scholarships</v>
      </c>
      <c r="K378" s="2">
        <v>0</v>
      </c>
      <c r="L378" s="3">
        <v>0</v>
      </c>
      <c r="M378" s="3">
        <v>0</v>
      </c>
      <c r="N378" s="3">
        <v>0</v>
      </c>
      <c r="O378" s="3">
        <v>0</v>
      </c>
      <c r="P378" s="2" t="s">
        <v>198</v>
      </c>
    </row>
    <row r="379" spans="1:16">
      <c r="A379" s="2" t="s">
        <v>280</v>
      </c>
      <c r="B379" s="2" t="s">
        <v>1</v>
      </c>
      <c r="C379" s="2" t="s">
        <v>2</v>
      </c>
      <c r="D379" s="2" t="s">
        <v>118</v>
      </c>
      <c r="E379" s="4" t="str">
        <f t="shared" si="5"/>
        <v>2411 - PRES SPEAKER SERIES</v>
      </c>
      <c r="F379" s="2" t="s">
        <v>117</v>
      </c>
      <c r="G379" s="2" t="s">
        <v>24</v>
      </c>
      <c r="J379" s="5" t="str">
        <f>IF(H379="",VLOOKUP(LEFT(F379,1),'Exp-Rev Categories'!A:B,2,FALSE),IF(ISNA(VLOOKUP(H379,'Exp-Rev Categories'!A:B,2,FALSE)),"Revenue",VLOOKUP(H379,'Exp-Rev Categories'!A:B,2,FALSE)))</f>
        <v>Exp-Grants/Scholarships</v>
      </c>
      <c r="K379" s="2">
        <v>0</v>
      </c>
      <c r="L379" s="3">
        <v>10000</v>
      </c>
      <c r="M379" s="3">
        <v>0</v>
      </c>
      <c r="N379" s="3">
        <v>-10000</v>
      </c>
      <c r="O379" s="3">
        <v>0</v>
      </c>
      <c r="P379" s="2" t="s">
        <v>198</v>
      </c>
    </row>
    <row r="380" spans="1:16">
      <c r="A380" s="2" t="s">
        <v>280</v>
      </c>
      <c r="B380" s="2" t="s">
        <v>1</v>
      </c>
      <c r="C380" s="2" t="s">
        <v>2</v>
      </c>
      <c r="D380" s="2" t="s">
        <v>120</v>
      </c>
      <c r="E380" s="4" t="str">
        <f t="shared" si="5"/>
        <v>2412 - ADA ACCESSIBILITY</v>
      </c>
      <c r="F380" s="2" t="s">
        <v>48</v>
      </c>
      <c r="G380" s="2" t="s">
        <v>49</v>
      </c>
      <c r="J380" s="5" t="str">
        <f>IF(H380="",VLOOKUP(LEFT(F380,1),'Exp-Rev Categories'!A:B,2,FALSE),IF(ISNA(VLOOKUP(H380,'Exp-Rev Categories'!A:B,2,FALSE)),"Revenue",VLOOKUP(H380,'Exp-Rev Categories'!A:B,2,FALSE)))</f>
        <v>Exp-Salaries &amp; Wages</v>
      </c>
      <c r="K380" s="2">
        <v>0</v>
      </c>
      <c r="L380" s="3">
        <v>349.18</v>
      </c>
      <c r="M380" s="3">
        <v>0</v>
      </c>
      <c r="N380" s="3">
        <v>-349.18</v>
      </c>
      <c r="O380" s="3">
        <v>0</v>
      </c>
      <c r="P380" s="2" t="s">
        <v>199</v>
      </c>
    </row>
    <row r="381" spans="1:16">
      <c r="A381" s="2" t="s">
        <v>280</v>
      </c>
      <c r="B381" s="2" t="s">
        <v>1</v>
      </c>
      <c r="C381" s="2" t="s">
        <v>2</v>
      </c>
      <c r="D381" s="2" t="s">
        <v>120</v>
      </c>
      <c r="E381" s="4" t="str">
        <f t="shared" si="5"/>
        <v>2412 - ADA ACCESSIBILITY</v>
      </c>
      <c r="F381" s="2" t="s">
        <v>265</v>
      </c>
      <c r="J381" s="5" t="str">
        <f>IF(H381="",VLOOKUP(LEFT(F381,1),'Exp-Rev Categories'!A:B,2,FALSE),IF(ISNA(VLOOKUP(H381,'Exp-Rev Categories'!A:B,2,FALSE)),"Revenue",VLOOKUP(H381,'Exp-Rev Categories'!A:B,2,FALSE)))</f>
        <v>Exp-Benefits</v>
      </c>
      <c r="K381" s="2">
        <v>0</v>
      </c>
      <c r="L381" s="3">
        <v>0</v>
      </c>
      <c r="M381" s="3">
        <v>0</v>
      </c>
      <c r="N381" s="3">
        <v>0</v>
      </c>
      <c r="O381" s="3">
        <v>0</v>
      </c>
      <c r="P381" s="2" t="s">
        <v>199</v>
      </c>
    </row>
    <row r="382" spans="1:16">
      <c r="A382" s="2" t="s">
        <v>280</v>
      </c>
      <c r="B382" s="2" t="s">
        <v>1</v>
      </c>
      <c r="C382" s="2" t="s">
        <v>2</v>
      </c>
      <c r="D382" s="2" t="s">
        <v>120</v>
      </c>
      <c r="E382" s="4" t="str">
        <f t="shared" si="5"/>
        <v>2412 - ADA ACCESSIBILITY</v>
      </c>
      <c r="F382" s="2" t="s">
        <v>35</v>
      </c>
      <c r="J382" s="5" t="str">
        <f>IF(H382="",VLOOKUP(LEFT(F382,1),'Exp-Rev Categories'!A:B,2,FALSE),IF(ISNA(VLOOKUP(H382,'Exp-Rev Categories'!A:B,2,FALSE)),"Revenue",VLOOKUP(H382,'Exp-Rev Categories'!A:B,2,FALSE)))</f>
        <v>Exp-Benefits</v>
      </c>
      <c r="K382" s="2">
        <v>0</v>
      </c>
      <c r="L382" s="3">
        <v>26.72</v>
      </c>
      <c r="M382" s="3">
        <v>0</v>
      </c>
      <c r="N382" s="3">
        <v>-26.72</v>
      </c>
      <c r="O382" s="3">
        <v>0</v>
      </c>
      <c r="P382" s="2" t="s">
        <v>199</v>
      </c>
    </row>
    <row r="383" spans="1:16">
      <c r="A383" s="2" t="s">
        <v>280</v>
      </c>
      <c r="B383" s="2" t="s">
        <v>1</v>
      </c>
      <c r="C383" s="2" t="s">
        <v>2</v>
      </c>
      <c r="D383" s="2" t="s">
        <v>120</v>
      </c>
      <c r="E383" s="4" t="str">
        <f t="shared" si="5"/>
        <v>2412 - ADA ACCESSIBILITY</v>
      </c>
      <c r="F383" s="2" t="s">
        <v>36</v>
      </c>
      <c r="J383" s="5" t="str">
        <f>IF(H383="",VLOOKUP(LEFT(F383,1),'Exp-Rev Categories'!A:B,2,FALSE),IF(ISNA(VLOOKUP(H383,'Exp-Rev Categories'!A:B,2,FALSE)),"Revenue",VLOOKUP(H383,'Exp-Rev Categories'!A:B,2,FALSE)))</f>
        <v>Exp-Benefits</v>
      </c>
      <c r="K383" s="2">
        <v>0</v>
      </c>
      <c r="L383" s="3">
        <v>0</v>
      </c>
      <c r="M383" s="3">
        <v>0</v>
      </c>
      <c r="N383" s="3">
        <v>0</v>
      </c>
      <c r="O383" s="3">
        <v>0</v>
      </c>
      <c r="P383" s="2" t="s">
        <v>199</v>
      </c>
    </row>
    <row r="384" spans="1:16">
      <c r="A384" s="2" t="s">
        <v>280</v>
      </c>
      <c r="B384" s="2" t="s">
        <v>1</v>
      </c>
      <c r="C384" s="2" t="s">
        <v>2</v>
      </c>
      <c r="D384" s="2" t="s">
        <v>120</v>
      </c>
      <c r="E384" s="4" t="str">
        <f t="shared" si="5"/>
        <v>2412 - ADA ACCESSIBILITY</v>
      </c>
      <c r="F384" s="2" t="s">
        <v>37</v>
      </c>
      <c r="J384" s="5" t="str">
        <f>IF(H384="",VLOOKUP(LEFT(F384,1),'Exp-Rev Categories'!A:B,2,FALSE),IF(ISNA(VLOOKUP(H384,'Exp-Rev Categories'!A:B,2,FALSE)),"Revenue",VLOOKUP(H384,'Exp-Rev Categories'!A:B,2,FALSE)))</f>
        <v>Exp-Benefits</v>
      </c>
      <c r="K384" s="2">
        <v>0</v>
      </c>
      <c r="L384" s="3">
        <v>5.25</v>
      </c>
      <c r="M384" s="3">
        <v>0</v>
      </c>
      <c r="N384" s="3">
        <v>-5.25</v>
      </c>
      <c r="O384" s="3">
        <v>0</v>
      </c>
      <c r="P384" s="2" t="s">
        <v>199</v>
      </c>
    </row>
    <row r="385" spans="1:16">
      <c r="A385" s="2" t="s">
        <v>280</v>
      </c>
      <c r="B385" s="2" t="s">
        <v>1</v>
      </c>
      <c r="C385" s="2" t="s">
        <v>2</v>
      </c>
      <c r="D385" s="2" t="s">
        <v>120</v>
      </c>
      <c r="E385" s="4" t="str">
        <f t="shared" si="5"/>
        <v>2412 - ADA ACCESSIBILITY</v>
      </c>
      <c r="F385" s="2" t="s">
        <v>39</v>
      </c>
      <c r="J385" s="5" t="str">
        <f>IF(H385="",VLOOKUP(LEFT(F385,1),'Exp-Rev Categories'!A:B,2,FALSE),IF(ISNA(VLOOKUP(H385,'Exp-Rev Categories'!A:B,2,FALSE)),"Revenue",VLOOKUP(H385,'Exp-Rev Categories'!A:B,2,FALSE)))</f>
        <v>Exp-Benefits</v>
      </c>
      <c r="K385" s="2">
        <v>0</v>
      </c>
      <c r="L385" s="3">
        <v>2.52</v>
      </c>
      <c r="M385" s="3">
        <v>0</v>
      </c>
      <c r="N385" s="3">
        <v>-2.52</v>
      </c>
      <c r="O385" s="3">
        <v>0</v>
      </c>
      <c r="P385" s="2" t="s">
        <v>199</v>
      </c>
    </row>
    <row r="386" spans="1:16">
      <c r="A386" s="2" t="s">
        <v>280</v>
      </c>
      <c r="B386" s="2" t="s">
        <v>1</v>
      </c>
      <c r="C386" s="2" t="s">
        <v>2</v>
      </c>
      <c r="D386" s="2" t="s">
        <v>120</v>
      </c>
      <c r="E386" s="4" t="str">
        <f t="shared" ref="E386:E449" si="6">D386&amp;" - "&amp;P386</f>
        <v>2412 - ADA ACCESSIBILITY</v>
      </c>
      <c r="F386" s="2" t="s">
        <v>29</v>
      </c>
      <c r="J386" s="5" t="str">
        <f>IF(H386="",VLOOKUP(LEFT(F386,1),'Exp-Rev Categories'!A:B,2,FALSE),IF(ISNA(VLOOKUP(H386,'Exp-Rev Categories'!A:B,2,FALSE)),"Revenue",VLOOKUP(H386,'Exp-Rev Categories'!A:B,2,FALSE)))</f>
        <v>Exp-Goods &amp; Services</v>
      </c>
      <c r="K386" s="2">
        <v>0</v>
      </c>
      <c r="L386" s="3">
        <v>0</v>
      </c>
      <c r="M386" s="3">
        <v>0</v>
      </c>
      <c r="N386" s="3">
        <v>0</v>
      </c>
      <c r="O386" s="3">
        <v>0</v>
      </c>
      <c r="P386" s="2" t="s">
        <v>199</v>
      </c>
    </row>
    <row r="387" spans="1:16">
      <c r="A387" s="2" t="s">
        <v>280</v>
      </c>
      <c r="B387" s="2" t="s">
        <v>1</v>
      </c>
      <c r="C387" s="2" t="s">
        <v>2</v>
      </c>
      <c r="D387" s="2" t="s">
        <v>121</v>
      </c>
      <c r="E387" s="4" t="str">
        <f t="shared" si="6"/>
        <v>2413 - ASC-LEGISLATIVE</v>
      </c>
      <c r="F387" s="2" t="s">
        <v>265</v>
      </c>
      <c r="J387" s="5" t="str">
        <f>IF(H387="",VLOOKUP(LEFT(F387,1),'Exp-Rev Categories'!A:B,2,FALSE),IF(ISNA(VLOOKUP(H387,'Exp-Rev Categories'!A:B,2,FALSE)),"Revenue",VLOOKUP(H387,'Exp-Rev Categories'!A:B,2,FALSE)))</f>
        <v>Exp-Benefits</v>
      </c>
      <c r="K387" s="2">
        <v>0</v>
      </c>
      <c r="L387" s="3">
        <v>0</v>
      </c>
      <c r="M387" s="3">
        <v>0</v>
      </c>
      <c r="N387" s="3">
        <v>0</v>
      </c>
      <c r="O387" s="3">
        <v>0</v>
      </c>
      <c r="P387" s="2" t="s">
        <v>223</v>
      </c>
    </row>
    <row r="388" spans="1:16">
      <c r="A388" s="2" t="s">
        <v>280</v>
      </c>
      <c r="B388" s="2" t="s">
        <v>1</v>
      </c>
      <c r="C388" s="2" t="s">
        <v>2</v>
      </c>
      <c r="D388" s="2" t="s">
        <v>121</v>
      </c>
      <c r="E388" s="4" t="str">
        <f t="shared" si="6"/>
        <v>2413 - ASC-LEGISLATIVE</v>
      </c>
      <c r="F388" s="2" t="s">
        <v>29</v>
      </c>
      <c r="J388" s="5" t="str">
        <f>IF(H388="",VLOOKUP(LEFT(F388,1),'Exp-Rev Categories'!A:B,2,FALSE),IF(ISNA(VLOOKUP(H388,'Exp-Rev Categories'!A:B,2,FALSE)),"Revenue",VLOOKUP(H388,'Exp-Rev Categories'!A:B,2,FALSE)))</f>
        <v>Exp-Goods &amp; Services</v>
      </c>
      <c r="K388" s="2">
        <v>4000</v>
      </c>
      <c r="L388" s="3">
        <v>0</v>
      </c>
      <c r="M388" s="3">
        <v>0</v>
      </c>
      <c r="N388" s="3">
        <v>4000</v>
      </c>
      <c r="O388" s="3">
        <v>0</v>
      </c>
      <c r="P388" s="2" t="s">
        <v>223</v>
      </c>
    </row>
    <row r="389" spans="1:16">
      <c r="A389" s="2" t="s">
        <v>280</v>
      </c>
      <c r="B389" s="2" t="s">
        <v>1</v>
      </c>
      <c r="C389" s="2" t="s">
        <v>2</v>
      </c>
      <c r="D389" s="2" t="s">
        <v>121</v>
      </c>
      <c r="E389" s="4" t="str">
        <f t="shared" si="6"/>
        <v>2413 - ASC-LEGISLATIVE</v>
      </c>
      <c r="F389" s="2" t="s">
        <v>54</v>
      </c>
      <c r="G389" s="2" t="s">
        <v>56</v>
      </c>
      <c r="J389" s="5" t="str">
        <f>IF(H389="",VLOOKUP(LEFT(F389,1),'Exp-Rev Categories'!A:B,2,FALSE),IF(ISNA(VLOOKUP(H389,'Exp-Rev Categories'!A:B,2,FALSE)),"Revenue",VLOOKUP(H389,'Exp-Rev Categories'!A:B,2,FALSE)))</f>
        <v>Exp-Goods &amp; Services</v>
      </c>
      <c r="K389" s="2">
        <v>0</v>
      </c>
      <c r="L389" s="3">
        <v>392</v>
      </c>
      <c r="M389" s="3">
        <v>0</v>
      </c>
      <c r="N389" s="3">
        <v>-392</v>
      </c>
      <c r="O389" s="3">
        <v>0</v>
      </c>
      <c r="P389" s="2" t="s">
        <v>223</v>
      </c>
    </row>
    <row r="390" spans="1:16">
      <c r="A390" s="2" t="s">
        <v>280</v>
      </c>
      <c r="B390" s="2" t="s">
        <v>1</v>
      </c>
      <c r="C390" s="2" t="s">
        <v>2</v>
      </c>
      <c r="D390" s="2" t="s">
        <v>121</v>
      </c>
      <c r="E390" s="4" t="str">
        <f t="shared" si="6"/>
        <v>2413 - ASC-LEGISLATIVE</v>
      </c>
      <c r="F390" s="2" t="s">
        <v>41</v>
      </c>
      <c r="G390" s="2" t="s">
        <v>7</v>
      </c>
      <c r="J390" s="5" t="str">
        <f>IF(H390="",VLOOKUP(LEFT(F390,1),'Exp-Rev Categories'!A:B,2,FALSE),IF(ISNA(VLOOKUP(H390,'Exp-Rev Categories'!A:B,2,FALSE)),"Revenue",VLOOKUP(H390,'Exp-Rev Categories'!A:B,2,FALSE)))</f>
        <v>Exp-Goods &amp; Services</v>
      </c>
      <c r="K390" s="2">
        <v>0</v>
      </c>
      <c r="L390" s="3">
        <v>59</v>
      </c>
      <c r="M390" s="3">
        <v>0</v>
      </c>
      <c r="N390" s="3">
        <v>-59</v>
      </c>
      <c r="O390" s="3">
        <v>0</v>
      </c>
      <c r="P390" s="2" t="s">
        <v>223</v>
      </c>
    </row>
    <row r="391" spans="1:16">
      <c r="A391" s="2" t="s">
        <v>280</v>
      </c>
      <c r="B391" s="2" t="s">
        <v>1</v>
      </c>
      <c r="C391" s="2" t="s">
        <v>2</v>
      </c>
      <c r="D391" s="2" t="s">
        <v>121</v>
      </c>
      <c r="E391" s="4" t="str">
        <f t="shared" si="6"/>
        <v>2413 - ASC-LEGISLATIVE</v>
      </c>
      <c r="F391" s="2" t="s">
        <v>267</v>
      </c>
      <c r="J391" s="5" t="str">
        <f>IF(H391="",VLOOKUP(LEFT(F391,1),'Exp-Rev Categories'!A:B,2,FALSE),IF(ISNA(VLOOKUP(H391,'Exp-Rev Categories'!A:B,2,FALSE)),"Revenue",VLOOKUP(H391,'Exp-Rev Categories'!A:B,2,FALSE)))</f>
        <v>Exp-Travel</v>
      </c>
      <c r="K391" s="2">
        <v>0</v>
      </c>
      <c r="L391" s="3">
        <v>0</v>
      </c>
      <c r="M391" s="3">
        <v>0</v>
      </c>
      <c r="N391" s="3">
        <v>0</v>
      </c>
      <c r="O391" s="3">
        <v>0</v>
      </c>
      <c r="P391" s="2" t="s">
        <v>223</v>
      </c>
    </row>
    <row r="392" spans="1:16">
      <c r="A392" s="2" t="s">
        <v>280</v>
      </c>
      <c r="B392" s="2" t="s">
        <v>1</v>
      </c>
      <c r="C392" s="2" t="s">
        <v>2</v>
      </c>
      <c r="D392" s="2" t="s">
        <v>121</v>
      </c>
      <c r="E392" s="4" t="str">
        <f t="shared" si="6"/>
        <v>2413 - ASC-LEGISLATIVE</v>
      </c>
      <c r="F392" s="2" t="s">
        <v>67</v>
      </c>
      <c r="G392" s="2" t="s">
        <v>24</v>
      </c>
      <c r="J392" s="5" t="str">
        <f>IF(H392="",VLOOKUP(LEFT(F392,1),'Exp-Rev Categories'!A:B,2,FALSE),IF(ISNA(VLOOKUP(H392,'Exp-Rev Categories'!A:B,2,FALSE)),"Revenue",VLOOKUP(H392,'Exp-Rev Categories'!A:B,2,FALSE)))</f>
        <v>Exp-Travel</v>
      </c>
      <c r="K392" s="2">
        <v>0</v>
      </c>
      <c r="L392" s="3">
        <v>1232.8</v>
      </c>
      <c r="M392" s="3">
        <v>0</v>
      </c>
      <c r="N392" s="3">
        <v>-1232.8</v>
      </c>
      <c r="O392" s="3">
        <v>0</v>
      </c>
      <c r="P392" s="2" t="s">
        <v>223</v>
      </c>
    </row>
    <row r="393" spans="1:16">
      <c r="A393" s="2" t="s">
        <v>280</v>
      </c>
      <c r="B393" s="2" t="s">
        <v>1</v>
      </c>
      <c r="C393" s="2" t="s">
        <v>2</v>
      </c>
      <c r="D393" s="2" t="s">
        <v>121</v>
      </c>
      <c r="E393" s="4" t="str">
        <f t="shared" si="6"/>
        <v>2413 - ASC-LEGISLATIVE</v>
      </c>
      <c r="F393" s="2" t="s">
        <v>87</v>
      </c>
      <c r="G393" s="2" t="s">
        <v>24</v>
      </c>
      <c r="J393" s="5" t="str">
        <f>IF(H393="",VLOOKUP(LEFT(F393,1),'Exp-Rev Categories'!A:B,2,FALSE),IF(ISNA(VLOOKUP(H393,'Exp-Rev Categories'!A:B,2,FALSE)),"Revenue",VLOOKUP(H393,'Exp-Rev Categories'!A:B,2,FALSE)))</f>
        <v>Exp-Travel</v>
      </c>
      <c r="K393" s="2">
        <v>0</v>
      </c>
      <c r="L393" s="3">
        <v>1159</v>
      </c>
      <c r="M393" s="3">
        <v>0</v>
      </c>
      <c r="N393" s="3">
        <v>-1159</v>
      </c>
      <c r="O393" s="3">
        <v>0</v>
      </c>
      <c r="P393" s="2" t="s">
        <v>223</v>
      </c>
    </row>
    <row r="394" spans="1:16">
      <c r="A394" s="2" t="s">
        <v>280</v>
      </c>
      <c r="B394" s="2" t="s">
        <v>1</v>
      </c>
      <c r="C394" s="2" t="s">
        <v>2</v>
      </c>
      <c r="D394" s="2" t="s">
        <v>121</v>
      </c>
      <c r="E394" s="4" t="str">
        <f t="shared" si="6"/>
        <v>2413 - ASC-LEGISLATIVE</v>
      </c>
      <c r="F394" s="2" t="s">
        <v>44</v>
      </c>
      <c r="G394" s="2" t="s">
        <v>21</v>
      </c>
      <c r="J394" s="5" t="str">
        <f>IF(H394="",VLOOKUP(LEFT(F394,1),'Exp-Rev Categories'!A:B,2,FALSE),IF(ISNA(VLOOKUP(H394,'Exp-Rev Categories'!A:B,2,FALSE)),"Revenue",VLOOKUP(H394,'Exp-Rev Categories'!A:B,2,FALSE)))</f>
        <v>Exp-Travel</v>
      </c>
      <c r="K394" s="2">
        <v>0</v>
      </c>
      <c r="L394" s="3">
        <v>34.75</v>
      </c>
      <c r="M394" s="3">
        <v>0</v>
      </c>
      <c r="N394" s="3">
        <v>-34.75</v>
      </c>
      <c r="O394" s="3">
        <v>0</v>
      </c>
      <c r="P394" s="2" t="s">
        <v>223</v>
      </c>
    </row>
    <row r="395" spans="1:16">
      <c r="A395" s="2" t="s">
        <v>280</v>
      </c>
      <c r="B395" s="2" t="s">
        <v>1</v>
      </c>
      <c r="C395" s="2" t="s">
        <v>2</v>
      </c>
      <c r="D395" s="2" t="s">
        <v>121</v>
      </c>
      <c r="E395" s="4" t="str">
        <f t="shared" si="6"/>
        <v>2413 - ASC-LEGISLATIVE</v>
      </c>
      <c r="F395" s="2" t="s">
        <v>44</v>
      </c>
      <c r="G395" s="2" t="s">
        <v>7</v>
      </c>
      <c r="J395" s="5" t="str">
        <f>IF(H395="",VLOOKUP(LEFT(F395,1),'Exp-Rev Categories'!A:B,2,FALSE),IF(ISNA(VLOOKUP(H395,'Exp-Rev Categories'!A:B,2,FALSE)),"Revenue",VLOOKUP(H395,'Exp-Rev Categories'!A:B,2,FALSE)))</f>
        <v>Exp-Travel</v>
      </c>
      <c r="K395" s="2">
        <v>0</v>
      </c>
      <c r="L395" s="3">
        <v>248.04</v>
      </c>
      <c r="M395" s="3">
        <v>0</v>
      </c>
      <c r="N395" s="3">
        <v>-248.04</v>
      </c>
      <c r="O395" s="3">
        <v>0</v>
      </c>
      <c r="P395" s="2" t="s">
        <v>223</v>
      </c>
    </row>
    <row r="396" spans="1:16">
      <c r="A396" s="2" t="s">
        <v>280</v>
      </c>
      <c r="B396" s="2" t="s">
        <v>1</v>
      </c>
      <c r="C396" s="2" t="s">
        <v>2</v>
      </c>
      <c r="D396" s="2" t="s">
        <v>121</v>
      </c>
      <c r="E396" s="4" t="str">
        <f t="shared" si="6"/>
        <v>2413 - ASC-LEGISLATIVE</v>
      </c>
      <c r="F396" s="2" t="s">
        <v>117</v>
      </c>
      <c r="J396" s="5" t="str">
        <f>IF(H396="",VLOOKUP(LEFT(F396,1),'Exp-Rev Categories'!A:B,2,FALSE),IF(ISNA(VLOOKUP(H396,'Exp-Rev Categories'!A:B,2,FALSE)),"Revenue",VLOOKUP(H396,'Exp-Rev Categories'!A:B,2,FALSE)))</f>
        <v>Exp-Grants/Scholarships</v>
      </c>
      <c r="K396" s="2">
        <v>0</v>
      </c>
      <c r="L396" s="3">
        <v>0</v>
      </c>
      <c r="M396" s="3">
        <v>0</v>
      </c>
      <c r="N396" s="3">
        <v>0</v>
      </c>
      <c r="O396" s="3">
        <v>0</v>
      </c>
      <c r="P396" s="2" t="s">
        <v>223</v>
      </c>
    </row>
    <row r="397" spans="1:16">
      <c r="A397" s="2" t="s">
        <v>280</v>
      </c>
      <c r="B397" s="2" t="s">
        <v>1</v>
      </c>
      <c r="C397" s="2" t="s">
        <v>2</v>
      </c>
      <c r="D397" s="2" t="s">
        <v>122</v>
      </c>
      <c r="E397" s="4" t="str">
        <f t="shared" si="6"/>
        <v>2414 - NATL SOC LDRSHP SUCC</v>
      </c>
      <c r="H397" s="2" t="s">
        <v>51</v>
      </c>
      <c r="J397" s="5" t="str">
        <f>IF(H397="",VLOOKUP(LEFT(F397,1),'Exp-Rev Categories'!A:B,2,FALSE),IF(ISNA(VLOOKUP(H397,'Exp-Rev Categories'!A:B,2,FALSE)),"Revenue",VLOOKUP(H397,'Exp-Rev Categories'!A:B,2,FALSE)))</f>
        <v>Revenue</v>
      </c>
      <c r="K397" s="2">
        <v>0</v>
      </c>
      <c r="L397" s="3">
        <v>0</v>
      </c>
      <c r="M397" s="3">
        <v>0</v>
      </c>
      <c r="N397" s="3">
        <v>0</v>
      </c>
      <c r="O397" s="3">
        <v>0</v>
      </c>
      <c r="P397" s="2" t="s">
        <v>224</v>
      </c>
    </row>
    <row r="398" spans="1:16">
      <c r="A398" s="2" t="s">
        <v>280</v>
      </c>
      <c r="B398" s="2" t="s">
        <v>1</v>
      </c>
      <c r="C398" s="2" t="s">
        <v>2</v>
      </c>
      <c r="D398" s="2" t="s">
        <v>122</v>
      </c>
      <c r="E398" s="4" t="str">
        <f t="shared" si="6"/>
        <v>2414 - NATL SOC LDRSHP SUCC</v>
      </c>
      <c r="H398" s="2" t="s">
        <v>51</v>
      </c>
      <c r="I398" s="2" t="s">
        <v>374</v>
      </c>
      <c r="J398" s="5" t="str">
        <f>IF(H398="",VLOOKUP(LEFT(F398,1),'Exp-Rev Categories'!A:B,2,FALSE),IF(ISNA(VLOOKUP(H398,'Exp-Rev Categories'!A:B,2,FALSE)),"Revenue",VLOOKUP(H398,'Exp-Rev Categories'!A:B,2,FALSE)))</f>
        <v>Revenue</v>
      </c>
      <c r="K398" s="2">
        <v>0</v>
      </c>
      <c r="L398" s="3">
        <v>0</v>
      </c>
      <c r="M398" s="3">
        <v>0</v>
      </c>
      <c r="N398" s="3">
        <v>0</v>
      </c>
      <c r="O398" s="3">
        <v>0</v>
      </c>
      <c r="P398" s="2" t="s">
        <v>224</v>
      </c>
    </row>
    <row r="399" spans="1:16">
      <c r="A399" s="2" t="s">
        <v>280</v>
      </c>
      <c r="B399" s="2" t="s">
        <v>1</v>
      </c>
      <c r="C399" s="2" t="s">
        <v>2</v>
      </c>
      <c r="D399" s="2" t="s">
        <v>122</v>
      </c>
      <c r="E399" s="4" t="str">
        <f t="shared" si="6"/>
        <v>2414 - NATL SOC LDRSHP SUCC</v>
      </c>
      <c r="F399" s="2" t="s">
        <v>29</v>
      </c>
      <c r="J399" s="5" t="str">
        <f>IF(H399="",VLOOKUP(LEFT(F399,1),'Exp-Rev Categories'!A:B,2,FALSE),IF(ISNA(VLOOKUP(H399,'Exp-Rev Categories'!A:B,2,FALSE)),"Revenue",VLOOKUP(H399,'Exp-Rev Categories'!A:B,2,FALSE)))</f>
        <v>Exp-Goods &amp; Services</v>
      </c>
      <c r="K399" s="2">
        <v>2500</v>
      </c>
      <c r="L399" s="3">
        <v>0</v>
      </c>
      <c r="M399" s="3">
        <v>0</v>
      </c>
      <c r="N399" s="3">
        <v>2500</v>
      </c>
      <c r="O399" s="3">
        <v>0</v>
      </c>
      <c r="P399" s="2" t="s">
        <v>224</v>
      </c>
    </row>
    <row r="400" spans="1:16">
      <c r="A400" s="2" t="s">
        <v>280</v>
      </c>
      <c r="B400" s="2" t="s">
        <v>1</v>
      </c>
      <c r="C400" s="2" t="s">
        <v>2</v>
      </c>
      <c r="D400" s="2" t="s">
        <v>122</v>
      </c>
      <c r="E400" s="4" t="str">
        <f t="shared" si="6"/>
        <v>2414 - NATL SOC LDRSHP SUCC</v>
      </c>
      <c r="F400" s="2" t="s">
        <v>23</v>
      </c>
      <c r="G400" s="2" t="s">
        <v>24</v>
      </c>
      <c r="J400" s="5" t="str">
        <f>IF(H400="",VLOOKUP(LEFT(F400,1),'Exp-Rev Categories'!A:B,2,FALSE),IF(ISNA(VLOOKUP(H400,'Exp-Rev Categories'!A:B,2,FALSE)),"Revenue",VLOOKUP(H400,'Exp-Rev Categories'!A:B,2,FALSE)))</f>
        <v>Exp-Goods &amp; Services</v>
      </c>
      <c r="K400" s="2">
        <v>0</v>
      </c>
      <c r="L400" s="3">
        <v>734.48</v>
      </c>
      <c r="M400" s="3">
        <v>0</v>
      </c>
      <c r="N400" s="3">
        <v>-734.48</v>
      </c>
      <c r="O400" s="3">
        <v>0</v>
      </c>
      <c r="P400" s="2" t="s">
        <v>224</v>
      </c>
    </row>
    <row r="401" spans="1:16">
      <c r="A401" s="2" t="s">
        <v>280</v>
      </c>
      <c r="B401" s="2" t="s">
        <v>1</v>
      </c>
      <c r="C401" s="2" t="s">
        <v>2</v>
      </c>
      <c r="D401" s="2" t="s">
        <v>122</v>
      </c>
      <c r="E401" s="4" t="str">
        <f t="shared" si="6"/>
        <v>2414 - NATL SOC LDRSHP SUCC</v>
      </c>
      <c r="F401" s="2" t="s">
        <v>54</v>
      </c>
      <c r="G401" s="2" t="s">
        <v>55</v>
      </c>
      <c r="J401" s="5" t="str">
        <f>IF(H401="",VLOOKUP(LEFT(F401,1),'Exp-Rev Categories'!A:B,2,FALSE),IF(ISNA(VLOOKUP(H401,'Exp-Rev Categories'!A:B,2,FALSE)),"Revenue",VLOOKUP(H401,'Exp-Rev Categories'!A:B,2,FALSE)))</f>
        <v>Exp-Goods &amp; Services</v>
      </c>
      <c r="K401" s="2">
        <v>0</v>
      </c>
      <c r="L401" s="3">
        <v>0</v>
      </c>
      <c r="M401" s="3">
        <v>0</v>
      </c>
      <c r="N401" s="3">
        <v>0</v>
      </c>
      <c r="O401" s="3">
        <v>0</v>
      </c>
      <c r="P401" s="2" t="s">
        <v>224</v>
      </c>
    </row>
    <row r="402" spans="1:16">
      <c r="A402" s="2" t="s">
        <v>280</v>
      </c>
      <c r="B402" s="2" t="s">
        <v>1</v>
      </c>
      <c r="C402" s="2" t="s">
        <v>2</v>
      </c>
      <c r="D402" s="2" t="s">
        <v>122</v>
      </c>
      <c r="E402" s="4" t="str">
        <f t="shared" si="6"/>
        <v>2414 - NATL SOC LDRSHP SUCC</v>
      </c>
      <c r="F402" s="2" t="s">
        <v>41</v>
      </c>
      <c r="G402" s="2" t="s">
        <v>7</v>
      </c>
      <c r="J402" s="5" t="str">
        <f>IF(H402="",VLOOKUP(LEFT(F402,1),'Exp-Rev Categories'!A:B,2,FALSE),IF(ISNA(VLOOKUP(H402,'Exp-Rev Categories'!A:B,2,FALSE)),"Revenue",VLOOKUP(H402,'Exp-Rev Categories'!A:B,2,FALSE)))</f>
        <v>Exp-Goods &amp; Services</v>
      </c>
      <c r="K402" s="2">
        <v>0</v>
      </c>
      <c r="L402" s="3">
        <v>220.24</v>
      </c>
      <c r="M402" s="3">
        <v>0</v>
      </c>
      <c r="N402" s="3">
        <v>-220.24</v>
      </c>
      <c r="O402" s="3">
        <v>0</v>
      </c>
      <c r="P402" s="2" t="s">
        <v>224</v>
      </c>
    </row>
    <row r="403" spans="1:16">
      <c r="A403" s="2" t="s">
        <v>280</v>
      </c>
      <c r="B403" s="2" t="s">
        <v>1</v>
      </c>
      <c r="C403" s="2" t="s">
        <v>2</v>
      </c>
      <c r="D403" s="2" t="s">
        <v>122</v>
      </c>
      <c r="E403" s="4" t="str">
        <f t="shared" si="6"/>
        <v>2414 - NATL SOC LDRSHP SUCC</v>
      </c>
      <c r="F403" s="2" t="s">
        <v>41</v>
      </c>
      <c r="G403" s="2" t="s">
        <v>64</v>
      </c>
      <c r="J403" s="5" t="str">
        <f>IF(H403="",VLOOKUP(LEFT(F403,1),'Exp-Rev Categories'!A:B,2,FALSE),IF(ISNA(VLOOKUP(H403,'Exp-Rev Categories'!A:B,2,FALSE)),"Revenue",VLOOKUP(H403,'Exp-Rev Categories'!A:B,2,FALSE)))</f>
        <v>Exp-Goods &amp; Services</v>
      </c>
      <c r="K403" s="2">
        <v>0</v>
      </c>
      <c r="L403" s="3">
        <v>219</v>
      </c>
      <c r="M403" s="3">
        <v>0</v>
      </c>
      <c r="N403" s="3">
        <v>-219</v>
      </c>
      <c r="O403" s="3">
        <v>0</v>
      </c>
      <c r="P403" s="2" t="s">
        <v>224</v>
      </c>
    </row>
    <row r="404" spans="1:16">
      <c r="A404" s="2" t="s">
        <v>280</v>
      </c>
      <c r="B404" s="2" t="s">
        <v>1</v>
      </c>
      <c r="C404" s="2" t="s">
        <v>2</v>
      </c>
      <c r="D404" s="2" t="s">
        <v>123</v>
      </c>
      <c r="E404" s="4" t="str">
        <f t="shared" si="6"/>
        <v>2415 - ENTERTAINMENT BOARD</v>
      </c>
      <c r="H404" s="2" t="s">
        <v>51</v>
      </c>
      <c r="I404" s="2" t="s">
        <v>375</v>
      </c>
      <c r="J404" s="5" t="str">
        <f>IF(H404="",VLOOKUP(LEFT(F404,1),'Exp-Rev Categories'!A:B,2,FALSE),IF(ISNA(VLOOKUP(H404,'Exp-Rev Categories'!A:B,2,FALSE)),"Revenue",VLOOKUP(H404,'Exp-Rev Categories'!A:B,2,FALSE)))</f>
        <v>Revenue</v>
      </c>
      <c r="K404" s="2">
        <v>0</v>
      </c>
      <c r="L404" s="3">
        <v>0</v>
      </c>
      <c r="M404" s="3">
        <v>0</v>
      </c>
      <c r="N404" s="3">
        <v>0</v>
      </c>
      <c r="O404" s="3">
        <v>0</v>
      </c>
      <c r="P404" s="2" t="s">
        <v>225</v>
      </c>
    </row>
    <row r="405" spans="1:16">
      <c r="A405" s="2" t="s">
        <v>280</v>
      </c>
      <c r="B405" s="2" t="s">
        <v>1</v>
      </c>
      <c r="C405" s="2" t="s">
        <v>2</v>
      </c>
      <c r="D405" s="2" t="s">
        <v>123</v>
      </c>
      <c r="E405" s="4" t="str">
        <f t="shared" si="6"/>
        <v>2415 - ENTERTAINMENT BOARD</v>
      </c>
      <c r="F405" s="2" t="s">
        <v>369</v>
      </c>
      <c r="G405" s="2" t="s">
        <v>370</v>
      </c>
      <c r="J405" s="5" t="str">
        <f>IF(H405="",VLOOKUP(LEFT(F405,1),'Exp-Rev Categories'!A:B,2,FALSE),IF(ISNA(VLOOKUP(H405,'Exp-Rev Categories'!A:B,2,FALSE)),"Revenue",VLOOKUP(H405,'Exp-Rev Categories'!A:B,2,FALSE)))</f>
        <v>Exp-Salaries &amp; Wages</v>
      </c>
      <c r="K405" s="2">
        <v>0</v>
      </c>
      <c r="L405" s="3">
        <v>0</v>
      </c>
      <c r="M405" s="3">
        <v>0</v>
      </c>
      <c r="N405" s="3">
        <v>0</v>
      </c>
      <c r="O405" s="3">
        <v>0</v>
      </c>
      <c r="P405" s="2" t="s">
        <v>225</v>
      </c>
    </row>
    <row r="406" spans="1:16">
      <c r="A406" s="2" t="s">
        <v>280</v>
      </c>
      <c r="B406" s="2" t="s">
        <v>1</v>
      </c>
      <c r="C406" s="2" t="s">
        <v>2</v>
      </c>
      <c r="D406" s="2" t="s">
        <v>123</v>
      </c>
      <c r="E406" s="4" t="str">
        <f t="shared" si="6"/>
        <v>2415 - ENTERTAINMENT BOARD</v>
      </c>
      <c r="F406" s="2" t="s">
        <v>34</v>
      </c>
      <c r="G406" s="2" t="s">
        <v>0</v>
      </c>
      <c r="J406" s="5" t="str">
        <f>IF(H406="",VLOOKUP(LEFT(F406,1),'Exp-Rev Categories'!A:B,2,FALSE),IF(ISNA(VLOOKUP(H406,'Exp-Rev Categories'!A:B,2,FALSE)),"Revenue",VLOOKUP(H406,'Exp-Rev Categories'!A:B,2,FALSE)))</f>
        <v>Exp-Salaries &amp; Wages</v>
      </c>
      <c r="K406" s="2">
        <v>0</v>
      </c>
      <c r="L406" s="3">
        <v>0</v>
      </c>
      <c r="M406" s="3">
        <v>0</v>
      </c>
      <c r="N406" s="3">
        <v>0</v>
      </c>
      <c r="O406" s="3">
        <v>0</v>
      </c>
      <c r="P406" s="2" t="s">
        <v>225</v>
      </c>
    </row>
    <row r="407" spans="1:16">
      <c r="A407" s="2" t="s">
        <v>280</v>
      </c>
      <c r="B407" s="2" t="s">
        <v>1</v>
      </c>
      <c r="C407" s="2" t="s">
        <v>2</v>
      </c>
      <c r="D407" s="2" t="s">
        <v>123</v>
      </c>
      <c r="E407" s="4" t="str">
        <f t="shared" si="6"/>
        <v>2415 - ENTERTAINMENT BOARD</v>
      </c>
      <c r="F407" s="2" t="s">
        <v>265</v>
      </c>
      <c r="J407" s="5" t="str">
        <f>IF(H407="",VLOOKUP(LEFT(F407,1),'Exp-Rev Categories'!A:B,2,FALSE),IF(ISNA(VLOOKUP(H407,'Exp-Rev Categories'!A:B,2,FALSE)),"Revenue",VLOOKUP(H407,'Exp-Rev Categories'!A:B,2,FALSE)))</f>
        <v>Exp-Benefits</v>
      </c>
      <c r="K407" s="2">
        <v>0</v>
      </c>
      <c r="L407" s="3">
        <v>0</v>
      </c>
      <c r="M407" s="3">
        <v>0</v>
      </c>
      <c r="N407" s="3">
        <v>0</v>
      </c>
      <c r="O407" s="3">
        <v>0</v>
      </c>
      <c r="P407" s="2" t="s">
        <v>225</v>
      </c>
    </row>
    <row r="408" spans="1:16">
      <c r="A408" s="2" t="s">
        <v>280</v>
      </c>
      <c r="B408" s="2" t="s">
        <v>1</v>
      </c>
      <c r="C408" s="2" t="s">
        <v>2</v>
      </c>
      <c r="D408" s="2" t="s">
        <v>123</v>
      </c>
      <c r="E408" s="4" t="str">
        <f t="shared" si="6"/>
        <v>2415 - ENTERTAINMENT BOARD</v>
      </c>
      <c r="F408" s="2" t="s">
        <v>29</v>
      </c>
      <c r="J408" s="5" t="str">
        <f>IF(H408="",VLOOKUP(LEFT(F408,1),'Exp-Rev Categories'!A:B,2,FALSE),IF(ISNA(VLOOKUP(H408,'Exp-Rev Categories'!A:B,2,FALSE)),"Revenue",VLOOKUP(H408,'Exp-Rev Categories'!A:B,2,FALSE)))</f>
        <v>Exp-Goods &amp; Services</v>
      </c>
      <c r="K408" s="2">
        <v>52000</v>
      </c>
      <c r="L408" s="3">
        <v>0</v>
      </c>
      <c r="M408" s="3">
        <v>0</v>
      </c>
      <c r="N408" s="3">
        <v>52000</v>
      </c>
      <c r="O408" s="3">
        <v>0</v>
      </c>
      <c r="P408" s="2" t="s">
        <v>225</v>
      </c>
    </row>
    <row r="409" spans="1:16">
      <c r="A409" s="2" t="s">
        <v>280</v>
      </c>
      <c r="B409" s="2" t="s">
        <v>1</v>
      </c>
      <c r="C409" s="2" t="s">
        <v>2</v>
      </c>
      <c r="D409" s="2" t="s">
        <v>123</v>
      </c>
      <c r="E409" s="4" t="str">
        <f t="shared" si="6"/>
        <v>2415 - ENTERTAINMENT BOARD</v>
      </c>
      <c r="F409" s="2" t="s">
        <v>23</v>
      </c>
      <c r="G409" s="2" t="s">
        <v>24</v>
      </c>
      <c r="J409" s="5" t="str">
        <f>IF(H409="",VLOOKUP(LEFT(F409,1),'Exp-Rev Categories'!A:B,2,FALSE),IF(ISNA(VLOOKUP(H409,'Exp-Rev Categories'!A:B,2,FALSE)),"Revenue",VLOOKUP(H409,'Exp-Rev Categories'!A:B,2,FALSE)))</f>
        <v>Exp-Goods &amp; Services</v>
      </c>
      <c r="K409" s="2">
        <v>0</v>
      </c>
      <c r="L409" s="3">
        <v>264.97000000000003</v>
      </c>
      <c r="M409" s="3">
        <v>0</v>
      </c>
      <c r="N409" s="3">
        <v>-264.97000000000003</v>
      </c>
      <c r="O409" s="3">
        <v>0</v>
      </c>
      <c r="P409" s="2" t="s">
        <v>225</v>
      </c>
    </row>
    <row r="410" spans="1:16">
      <c r="A410" s="2" t="s">
        <v>280</v>
      </c>
      <c r="B410" s="2" t="s">
        <v>1</v>
      </c>
      <c r="C410" s="2" t="s">
        <v>2</v>
      </c>
      <c r="D410" s="2" t="s">
        <v>123</v>
      </c>
      <c r="E410" s="4" t="str">
        <f t="shared" si="6"/>
        <v>2415 - ENTERTAINMENT BOARD</v>
      </c>
      <c r="F410" s="2" t="s">
        <v>79</v>
      </c>
      <c r="G410" s="2" t="s">
        <v>66</v>
      </c>
      <c r="J410" s="5" t="str">
        <f>IF(H410="",VLOOKUP(LEFT(F410,1),'Exp-Rev Categories'!A:B,2,FALSE),IF(ISNA(VLOOKUP(H410,'Exp-Rev Categories'!A:B,2,FALSE)),"Revenue",VLOOKUP(H410,'Exp-Rev Categories'!A:B,2,FALSE)))</f>
        <v>Exp-Goods &amp; Services</v>
      </c>
      <c r="K410" s="2">
        <v>0</v>
      </c>
      <c r="L410" s="3">
        <v>250.01</v>
      </c>
      <c r="M410" s="3">
        <v>0</v>
      </c>
      <c r="N410" s="3">
        <v>-250.01</v>
      </c>
      <c r="O410" s="3">
        <v>0</v>
      </c>
      <c r="P410" s="2" t="s">
        <v>225</v>
      </c>
    </row>
    <row r="411" spans="1:16">
      <c r="A411" s="2" t="s">
        <v>280</v>
      </c>
      <c r="B411" s="2" t="s">
        <v>1</v>
      </c>
      <c r="C411" s="2" t="s">
        <v>2</v>
      </c>
      <c r="D411" s="2" t="s">
        <v>123</v>
      </c>
      <c r="E411" s="4" t="str">
        <f t="shared" si="6"/>
        <v>2415 - ENTERTAINMENT BOARD</v>
      </c>
      <c r="F411" s="2" t="s">
        <v>84</v>
      </c>
      <c r="G411" s="2" t="s">
        <v>24</v>
      </c>
      <c r="J411" s="5" t="str">
        <f>IF(H411="",VLOOKUP(LEFT(F411,1),'Exp-Rev Categories'!A:B,2,FALSE),IF(ISNA(VLOOKUP(H411,'Exp-Rev Categories'!A:B,2,FALSE)),"Revenue",VLOOKUP(H411,'Exp-Rev Categories'!A:B,2,FALSE)))</f>
        <v>Exp-Goods &amp; Services</v>
      </c>
      <c r="K411" s="2">
        <v>0</v>
      </c>
      <c r="L411" s="3">
        <v>2900</v>
      </c>
      <c r="M411" s="3">
        <v>0</v>
      </c>
      <c r="N411" s="3">
        <v>-2900</v>
      </c>
      <c r="O411" s="3">
        <v>0</v>
      </c>
      <c r="P411" s="2" t="s">
        <v>225</v>
      </c>
    </row>
    <row r="412" spans="1:16">
      <c r="A412" s="2" t="s">
        <v>280</v>
      </c>
      <c r="B412" s="2" t="s">
        <v>1</v>
      </c>
      <c r="C412" s="2" t="s">
        <v>2</v>
      </c>
      <c r="D412" s="2" t="s">
        <v>123</v>
      </c>
      <c r="E412" s="4" t="str">
        <f t="shared" si="6"/>
        <v>2415 - ENTERTAINMENT BOARD</v>
      </c>
      <c r="F412" s="2" t="s">
        <v>41</v>
      </c>
      <c r="G412" s="2" t="s">
        <v>24</v>
      </c>
      <c r="J412" s="5" t="str">
        <f>IF(H412="",VLOOKUP(LEFT(F412,1),'Exp-Rev Categories'!A:B,2,FALSE),IF(ISNA(VLOOKUP(H412,'Exp-Rev Categories'!A:B,2,FALSE)),"Revenue",VLOOKUP(H412,'Exp-Rev Categories'!A:B,2,FALSE)))</f>
        <v>Exp-Goods &amp; Services</v>
      </c>
      <c r="K412" s="2">
        <v>0</v>
      </c>
      <c r="L412" s="3">
        <v>60</v>
      </c>
      <c r="M412" s="3">
        <v>0</v>
      </c>
      <c r="N412" s="3">
        <v>-60</v>
      </c>
      <c r="O412" s="3">
        <v>0</v>
      </c>
      <c r="P412" s="2" t="s">
        <v>225</v>
      </c>
    </row>
    <row r="413" spans="1:16">
      <c r="A413" s="2" t="s">
        <v>280</v>
      </c>
      <c r="B413" s="2" t="s">
        <v>1</v>
      </c>
      <c r="C413" s="2" t="s">
        <v>2</v>
      </c>
      <c r="D413" s="2" t="s">
        <v>123</v>
      </c>
      <c r="E413" s="4" t="str">
        <f t="shared" si="6"/>
        <v>2415 - ENTERTAINMENT BOARD</v>
      </c>
      <c r="F413" s="2" t="s">
        <v>41</v>
      </c>
      <c r="G413" s="2" t="s">
        <v>7</v>
      </c>
      <c r="J413" s="5" t="str">
        <f>IF(H413="",VLOOKUP(LEFT(F413,1),'Exp-Rev Categories'!A:B,2,FALSE),IF(ISNA(VLOOKUP(H413,'Exp-Rev Categories'!A:B,2,FALSE)),"Revenue",VLOOKUP(H413,'Exp-Rev Categories'!A:B,2,FALSE)))</f>
        <v>Exp-Goods &amp; Services</v>
      </c>
      <c r="K413" s="2">
        <v>0</v>
      </c>
      <c r="L413" s="3">
        <v>5113.83</v>
      </c>
      <c r="M413" s="3">
        <v>0</v>
      </c>
      <c r="N413" s="3">
        <v>-5113.83</v>
      </c>
      <c r="O413" s="3">
        <v>0</v>
      </c>
      <c r="P413" s="2" t="s">
        <v>225</v>
      </c>
    </row>
    <row r="414" spans="1:16">
      <c r="A414" s="2" t="s">
        <v>280</v>
      </c>
      <c r="B414" s="2" t="s">
        <v>1</v>
      </c>
      <c r="C414" s="2" t="s">
        <v>2</v>
      </c>
      <c r="D414" s="2" t="s">
        <v>123</v>
      </c>
      <c r="E414" s="4" t="str">
        <f t="shared" si="6"/>
        <v>2415 - ENTERTAINMENT BOARD</v>
      </c>
      <c r="F414" s="2" t="s">
        <v>267</v>
      </c>
      <c r="J414" s="5" t="str">
        <f>IF(H414="",VLOOKUP(LEFT(F414,1),'Exp-Rev Categories'!A:B,2,FALSE),IF(ISNA(VLOOKUP(H414,'Exp-Rev Categories'!A:B,2,FALSE)),"Revenue",VLOOKUP(H414,'Exp-Rev Categories'!A:B,2,FALSE)))</f>
        <v>Exp-Travel</v>
      </c>
      <c r="K414" s="2">
        <v>0</v>
      </c>
      <c r="L414" s="3">
        <v>0</v>
      </c>
      <c r="M414" s="3">
        <v>0</v>
      </c>
      <c r="N414" s="3">
        <v>0</v>
      </c>
      <c r="O414" s="3">
        <v>0</v>
      </c>
      <c r="P414" s="2" t="s">
        <v>225</v>
      </c>
    </row>
    <row r="415" spans="1:16">
      <c r="A415" s="2" t="s">
        <v>280</v>
      </c>
      <c r="B415" s="2" t="s">
        <v>1</v>
      </c>
      <c r="C415" s="2" t="s">
        <v>2</v>
      </c>
      <c r="D415" s="2" t="s">
        <v>123</v>
      </c>
      <c r="E415" s="4" t="str">
        <f t="shared" si="6"/>
        <v>2415 - ENTERTAINMENT BOARD</v>
      </c>
      <c r="F415" s="2" t="s">
        <v>67</v>
      </c>
      <c r="G415" s="2" t="s">
        <v>24</v>
      </c>
      <c r="J415" s="5" t="str">
        <f>IF(H415="",VLOOKUP(LEFT(F415,1),'Exp-Rev Categories'!A:B,2,FALSE),IF(ISNA(VLOOKUP(H415,'Exp-Rev Categories'!A:B,2,FALSE)),"Revenue",VLOOKUP(H415,'Exp-Rev Categories'!A:B,2,FALSE)))</f>
        <v>Exp-Travel</v>
      </c>
      <c r="K415" s="2">
        <v>0</v>
      </c>
      <c r="L415" s="3">
        <v>98.31</v>
      </c>
      <c r="M415" s="3">
        <v>0</v>
      </c>
      <c r="N415" s="3">
        <v>-98.31</v>
      </c>
      <c r="O415" s="3">
        <v>0</v>
      </c>
      <c r="P415" s="2" t="s">
        <v>225</v>
      </c>
    </row>
    <row r="416" spans="1:16">
      <c r="A416" s="2" t="s">
        <v>280</v>
      </c>
      <c r="B416" s="2" t="s">
        <v>1</v>
      </c>
      <c r="C416" s="2" t="s">
        <v>2</v>
      </c>
      <c r="D416" s="2" t="s">
        <v>123</v>
      </c>
      <c r="E416" s="4" t="str">
        <f t="shared" si="6"/>
        <v>2415 - ENTERTAINMENT BOARD</v>
      </c>
      <c r="F416" s="2" t="s">
        <v>68</v>
      </c>
      <c r="J416" s="5" t="str">
        <f>IF(H416="",VLOOKUP(LEFT(F416,1),'Exp-Rev Categories'!A:B,2,FALSE),IF(ISNA(VLOOKUP(H416,'Exp-Rev Categories'!A:B,2,FALSE)),"Revenue",VLOOKUP(H416,'Exp-Rev Categories'!A:B,2,FALSE)))</f>
        <v>Exp-Computer Equipment</v>
      </c>
      <c r="K416" s="2">
        <v>0</v>
      </c>
      <c r="L416" s="3">
        <v>0</v>
      </c>
      <c r="M416" s="3">
        <v>0</v>
      </c>
      <c r="N416" s="3">
        <v>0</v>
      </c>
      <c r="O416" s="3">
        <v>0</v>
      </c>
      <c r="P416" s="2" t="s">
        <v>225</v>
      </c>
    </row>
    <row r="417" spans="1:16">
      <c r="A417" s="2" t="s">
        <v>280</v>
      </c>
      <c r="B417" s="2" t="s">
        <v>1</v>
      </c>
      <c r="C417" s="2" t="s">
        <v>2</v>
      </c>
      <c r="D417" s="2" t="s">
        <v>123</v>
      </c>
      <c r="E417" s="4" t="str">
        <f t="shared" si="6"/>
        <v>2415 - ENTERTAINMENT BOARD</v>
      </c>
      <c r="F417" s="2" t="s">
        <v>376</v>
      </c>
      <c r="J417" s="5" t="str">
        <f>IF(H417="",VLOOKUP(LEFT(F417,1),'Exp-Rev Categories'!A:B,2,FALSE),IF(ISNA(VLOOKUP(H417,'Exp-Rev Categories'!A:B,2,FALSE)),"Revenue",VLOOKUP(H417,'Exp-Rev Categories'!A:B,2,FALSE)))</f>
        <v>Exp-Computer Equipment</v>
      </c>
      <c r="K417" s="2">
        <v>0</v>
      </c>
      <c r="L417" s="3">
        <v>0</v>
      </c>
      <c r="M417" s="3">
        <v>0</v>
      </c>
      <c r="N417" s="3">
        <v>0</v>
      </c>
      <c r="O417" s="3">
        <v>0</v>
      </c>
      <c r="P417" s="2" t="s">
        <v>225</v>
      </c>
    </row>
    <row r="418" spans="1:16">
      <c r="A418" s="2" t="s">
        <v>280</v>
      </c>
      <c r="B418" s="2" t="s">
        <v>1</v>
      </c>
      <c r="C418" s="2" t="s">
        <v>2</v>
      </c>
      <c r="D418" s="2" t="s">
        <v>123</v>
      </c>
      <c r="E418" s="4" t="str">
        <f t="shared" si="6"/>
        <v>2415 - ENTERTAINMENT BOARD</v>
      </c>
      <c r="F418" s="2" t="s">
        <v>117</v>
      </c>
      <c r="J418" s="5" t="str">
        <f>IF(H418="",VLOOKUP(LEFT(F418,1),'Exp-Rev Categories'!A:B,2,FALSE),IF(ISNA(VLOOKUP(H418,'Exp-Rev Categories'!A:B,2,FALSE)),"Revenue",VLOOKUP(H418,'Exp-Rev Categories'!A:B,2,FALSE)))</f>
        <v>Exp-Grants/Scholarships</v>
      </c>
      <c r="K418" s="2">
        <v>0</v>
      </c>
      <c r="L418" s="3">
        <v>0</v>
      </c>
      <c r="M418" s="3">
        <v>0</v>
      </c>
      <c r="N418" s="3">
        <v>0</v>
      </c>
      <c r="O418" s="3">
        <v>0</v>
      </c>
      <c r="P418" s="2" t="s">
        <v>225</v>
      </c>
    </row>
    <row r="419" spans="1:16">
      <c r="A419" s="2" t="s">
        <v>280</v>
      </c>
      <c r="B419" s="2" t="s">
        <v>1</v>
      </c>
      <c r="C419" s="2" t="s">
        <v>2</v>
      </c>
      <c r="D419" s="2" t="s">
        <v>123</v>
      </c>
      <c r="E419" s="4" t="str">
        <f t="shared" si="6"/>
        <v>2415 - ENTERTAINMENT BOARD</v>
      </c>
      <c r="F419" s="2" t="s">
        <v>117</v>
      </c>
      <c r="G419" s="2" t="s">
        <v>24</v>
      </c>
      <c r="J419" s="5" t="str">
        <f>IF(H419="",VLOOKUP(LEFT(F419,1),'Exp-Rev Categories'!A:B,2,FALSE),IF(ISNA(VLOOKUP(H419,'Exp-Rev Categories'!A:B,2,FALSE)),"Revenue",VLOOKUP(H419,'Exp-Rev Categories'!A:B,2,FALSE)))</f>
        <v>Exp-Grants/Scholarships</v>
      </c>
      <c r="K419" s="2">
        <v>0</v>
      </c>
      <c r="L419" s="3">
        <v>24948</v>
      </c>
      <c r="M419" s="3">
        <v>0</v>
      </c>
      <c r="N419" s="3">
        <v>-24948</v>
      </c>
      <c r="O419" s="3">
        <v>0</v>
      </c>
      <c r="P419" s="2" t="s">
        <v>225</v>
      </c>
    </row>
    <row r="420" spans="1:16">
      <c r="A420" s="2" t="s">
        <v>280</v>
      </c>
      <c r="B420" s="2" t="s">
        <v>1</v>
      </c>
      <c r="C420" s="2" t="s">
        <v>2</v>
      </c>
      <c r="D420" s="2" t="s">
        <v>124</v>
      </c>
      <c r="E420" s="4" t="str">
        <f t="shared" si="6"/>
        <v>2416 - ARAB CULTURE</v>
      </c>
      <c r="H420" s="2" t="s">
        <v>51</v>
      </c>
      <c r="I420" s="2" t="s">
        <v>125</v>
      </c>
      <c r="J420" s="5" t="str">
        <f>IF(H420="",VLOOKUP(LEFT(F420,1),'Exp-Rev Categories'!A:B,2,FALSE),IF(ISNA(VLOOKUP(H420,'Exp-Rev Categories'!A:B,2,FALSE)),"Revenue",VLOOKUP(H420,'Exp-Rev Categories'!A:B,2,FALSE)))</f>
        <v>Revenue</v>
      </c>
      <c r="K420" s="2">
        <v>0</v>
      </c>
      <c r="L420" s="3">
        <v>-577</v>
      </c>
      <c r="M420" s="3">
        <v>0</v>
      </c>
      <c r="N420" s="3">
        <v>577</v>
      </c>
      <c r="O420" s="3">
        <v>0</v>
      </c>
      <c r="P420" s="2" t="s">
        <v>226</v>
      </c>
    </row>
    <row r="421" spans="1:16">
      <c r="A421" s="2" t="s">
        <v>280</v>
      </c>
      <c r="B421" s="2" t="s">
        <v>1</v>
      </c>
      <c r="C421" s="2" t="s">
        <v>2</v>
      </c>
      <c r="D421" s="2" t="s">
        <v>124</v>
      </c>
      <c r="E421" s="4" t="str">
        <f t="shared" si="6"/>
        <v>2416 - ARAB CULTURE</v>
      </c>
      <c r="H421" s="2" t="s">
        <v>43</v>
      </c>
      <c r="J421" s="5" t="str">
        <f>IF(H421="",VLOOKUP(LEFT(F421,1),'Exp-Rev Categories'!A:B,2,FALSE),IF(ISNA(VLOOKUP(H421,'Exp-Rev Categories'!A:B,2,FALSE)),"Revenue",VLOOKUP(H421,'Exp-Rev Categories'!A:B,2,FALSE)))</f>
        <v>Rev-Intra-Fund Transfer</v>
      </c>
      <c r="K421" s="2">
        <v>0</v>
      </c>
      <c r="L421" s="3">
        <v>-169</v>
      </c>
      <c r="M421" s="3">
        <v>0</v>
      </c>
      <c r="N421" s="3">
        <v>169</v>
      </c>
      <c r="O421" s="3">
        <v>0</v>
      </c>
      <c r="P421" s="2" t="s">
        <v>226</v>
      </c>
    </row>
    <row r="422" spans="1:16">
      <c r="A422" s="2" t="s">
        <v>280</v>
      </c>
      <c r="B422" s="2" t="s">
        <v>1</v>
      </c>
      <c r="C422" s="2" t="s">
        <v>2</v>
      </c>
      <c r="D422" s="2" t="s">
        <v>124</v>
      </c>
      <c r="E422" s="4" t="str">
        <f t="shared" si="6"/>
        <v>2416 - ARAB CULTURE</v>
      </c>
      <c r="F422" s="2" t="s">
        <v>29</v>
      </c>
      <c r="J422" s="5" t="str">
        <f>IF(H422="",VLOOKUP(LEFT(F422,1),'Exp-Rev Categories'!A:B,2,FALSE),IF(ISNA(VLOOKUP(H422,'Exp-Rev Categories'!A:B,2,FALSE)),"Revenue",VLOOKUP(H422,'Exp-Rev Categories'!A:B,2,FALSE)))</f>
        <v>Exp-Goods &amp; Services</v>
      </c>
      <c r="K422" s="2">
        <v>4200</v>
      </c>
      <c r="L422" s="3">
        <v>0</v>
      </c>
      <c r="M422" s="3">
        <v>0</v>
      </c>
      <c r="N422" s="3">
        <v>4200</v>
      </c>
      <c r="O422" s="3">
        <v>0</v>
      </c>
      <c r="P422" s="2" t="s">
        <v>226</v>
      </c>
    </row>
    <row r="423" spans="1:16">
      <c r="A423" s="2" t="s">
        <v>280</v>
      </c>
      <c r="B423" s="2" t="s">
        <v>1</v>
      </c>
      <c r="C423" s="2" t="s">
        <v>2</v>
      </c>
      <c r="D423" s="2" t="s">
        <v>124</v>
      </c>
      <c r="E423" s="4" t="str">
        <f t="shared" si="6"/>
        <v>2416 - ARAB CULTURE</v>
      </c>
      <c r="F423" s="2" t="s">
        <v>23</v>
      </c>
      <c r="G423" s="2" t="s">
        <v>24</v>
      </c>
      <c r="J423" s="5" t="str">
        <f>IF(H423="",VLOOKUP(LEFT(F423,1),'Exp-Rev Categories'!A:B,2,FALSE),IF(ISNA(VLOOKUP(H423,'Exp-Rev Categories'!A:B,2,FALSE)),"Revenue",VLOOKUP(H423,'Exp-Rev Categories'!A:B,2,FALSE)))</f>
        <v>Exp-Goods &amp; Services</v>
      </c>
      <c r="K423" s="2">
        <v>0</v>
      </c>
      <c r="L423" s="3">
        <v>390.86</v>
      </c>
      <c r="M423" s="3">
        <v>0</v>
      </c>
      <c r="N423" s="3">
        <v>-390.86</v>
      </c>
      <c r="O423" s="3">
        <v>0</v>
      </c>
      <c r="P423" s="2" t="s">
        <v>226</v>
      </c>
    </row>
    <row r="424" spans="1:16">
      <c r="A424" s="2" t="s">
        <v>280</v>
      </c>
      <c r="B424" s="2" t="s">
        <v>1</v>
      </c>
      <c r="C424" s="2" t="s">
        <v>2</v>
      </c>
      <c r="D424" s="2" t="s">
        <v>124</v>
      </c>
      <c r="E424" s="4" t="str">
        <f t="shared" si="6"/>
        <v>2416 - ARAB CULTURE</v>
      </c>
      <c r="F424" s="2" t="s">
        <v>41</v>
      </c>
      <c r="G424" s="2" t="s">
        <v>24</v>
      </c>
      <c r="J424" s="5" t="str">
        <f>IF(H424="",VLOOKUP(LEFT(F424,1),'Exp-Rev Categories'!A:B,2,FALSE),IF(ISNA(VLOOKUP(H424,'Exp-Rev Categories'!A:B,2,FALSE)),"Revenue",VLOOKUP(H424,'Exp-Rev Categories'!A:B,2,FALSE)))</f>
        <v>Exp-Goods &amp; Services</v>
      </c>
      <c r="K424" s="2">
        <v>0</v>
      </c>
      <c r="L424" s="3">
        <v>0</v>
      </c>
      <c r="M424" s="3">
        <v>0</v>
      </c>
      <c r="N424" s="3">
        <v>0</v>
      </c>
      <c r="O424" s="3">
        <v>0</v>
      </c>
      <c r="P424" s="2" t="s">
        <v>226</v>
      </c>
    </row>
    <row r="425" spans="1:16">
      <c r="A425" s="2" t="s">
        <v>280</v>
      </c>
      <c r="B425" s="2" t="s">
        <v>1</v>
      </c>
      <c r="C425" s="2" t="s">
        <v>2</v>
      </c>
      <c r="D425" s="2" t="s">
        <v>124</v>
      </c>
      <c r="E425" s="4" t="str">
        <f t="shared" si="6"/>
        <v>2416 - ARAB CULTURE</v>
      </c>
      <c r="F425" s="2" t="s">
        <v>41</v>
      </c>
      <c r="G425" s="2" t="s">
        <v>7</v>
      </c>
      <c r="J425" s="5" t="str">
        <f>IF(H425="",VLOOKUP(LEFT(F425,1),'Exp-Rev Categories'!A:B,2,FALSE),IF(ISNA(VLOOKUP(H425,'Exp-Rev Categories'!A:B,2,FALSE)),"Revenue",VLOOKUP(H425,'Exp-Rev Categories'!A:B,2,FALSE)))</f>
        <v>Exp-Goods &amp; Services</v>
      </c>
      <c r="K425" s="2">
        <v>0</v>
      </c>
      <c r="L425" s="3">
        <v>1587.09</v>
      </c>
      <c r="M425" s="3">
        <v>0</v>
      </c>
      <c r="N425" s="3">
        <v>-1587.09</v>
      </c>
      <c r="O425" s="3">
        <v>0</v>
      </c>
      <c r="P425" s="2" t="s">
        <v>226</v>
      </c>
    </row>
    <row r="426" spans="1:16">
      <c r="A426" s="2" t="s">
        <v>280</v>
      </c>
      <c r="B426" s="2" t="s">
        <v>1</v>
      </c>
      <c r="C426" s="2" t="s">
        <v>2</v>
      </c>
      <c r="D426" s="2" t="s">
        <v>124</v>
      </c>
      <c r="E426" s="4" t="str">
        <f t="shared" si="6"/>
        <v>2416 - ARAB CULTURE</v>
      </c>
      <c r="F426" s="2" t="s">
        <v>267</v>
      </c>
      <c r="J426" s="5" t="str">
        <f>IF(H426="",VLOOKUP(LEFT(F426,1),'Exp-Rev Categories'!A:B,2,FALSE),IF(ISNA(VLOOKUP(H426,'Exp-Rev Categories'!A:B,2,FALSE)),"Revenue",VLOOKUP(H426,'Exp-Rev Categories'!A:B,2,FALSE)))</f>
        <v>Exp-Travel</v>
      </c>
      <c r="K426" s="2">
        <v>0</v>
      </c>
      <c r="L426" s="3">
        <v>0</v>
      </c>
      <c r="M426" s="3">
        <v>0</v>
      </c>
      <c r="N426" s="3">
        <v>0</v>
      </c>
      <c r="O426" s="3">
        <v>0</v>
      </c>
      <c r="P426" s="2" t="s">
        <v>226</v>
      </c>
    </row>
    <row r="427" spans="1:16">
      <c r="A427" s="2" t="s">
        <v>280</v>
      </c>
      <c r="B427" s="2" t="s">
        <v>1</v>
      </c>
      <c r="C427" s="2" t="s">
        <v>2</v>
      </c>
      <c r="D427" s="2" t="s">
        <v>124</v>
      </c>
      <c r="E427" s="4" t="str">
        <f t="shared" si="6"/>
        <v>2416 - ARAB CULTURE</v>
      </c>
      <c r="F427" s="2" t="s">
        <v>117</v>
      </c>
      <c r="J427" s="5" t="str">
        <f>IF(H427="",VLOOKUP(LEFT(F427,1),'Exp-Rev Categories'!A:B,2,FALSE),IF(ISNA(VLOOKUP(H427,'Exp-Rev Categories'!A:B,2,FALSE)),"Revenue",VLOOKUP(H427,'Exp-Rev Categories'!A:B,2,FALSE)))</f>
        <v>Exp-Grants/Scholarships</v>
      </c>
      <c r="K427" s="2">
        <v>0</v>
      </c>
      <c r="L427" s="3">
        <v>0</v>
      </c>
      <c r="M427" s="3">
        <v>0</v>
      </c>
      <c r="N427" s="3">
        <v>0</v>
      </c>
      <c r="O427" s="3">
        <v>0</v>
      </c>
      <c r="P427" s="2" t="s">
        <v>226</v>
      </c>
    </row>
    <row r="428" spans="1:16">
      <c r="A428" s="2" t="s">
        <v>280</v>
      </c>
      <c r="B428" s="2" t="s">
        <v>1</v>
      </c>
      <c r="C428" s="2" t="s">
        <v>2</v>
      </c>
      <c r="D428" s="2" t="s">
        <v>124</v>
      </c>
      <c r="E428" s="4" t="str">
        <f t="shared" si="6"/>
        <v>2416 - ARAB CULTURE</v>
      </c>
      <c r="F428" s="2" t="s">
        <v>117</v>
      </c>
      <c r="G428" s="2" t="s">
        <v>24</v>
      </c>
      <c r="J428" s="5" t="str">
        <f>IF(H428="",VLOOKUP(LEFT(F428,1),'Exp-Rev Categories'!A:B,2,FALSE),IF(ISNA(VLOOKUP(H428,'Exp-Rev Categories'!A:B,2,FALSE)),"Revenue",VLOOKUP(H428,'Exp-Rev Categories'!A:B,2,FALSE)))</f>
        <v>Exp-Grants/Scholarships</v>
      </c>
      <c r="K428" s="2">
        <v>0</v>
      </c>
      <c r="L428" s="3">
        <v>2350</v>
      </c>
      <c r="M428" s="3">
        <v>0</v>
      </c>
      <c r="N428" s="3">
        <v>-2350</v>
      </c>
      <c r="O428" s="3">
        <v>0</v>
      </c>
      <c r="P428" s="2" t="s">
        <v>226</v>
      </c>
    </row>
    <row r="429" spans="1:16">
      <c r="A429" s="2" t="s">
        <v>280</v>
      </c>
      <c r="B429" s="2" t="s">
        <v>1</v>
      </c>
      <c r="C429" s="2" t="s">
        <v>2</v>
      </c>
      <c r="D429" s="2" t="s">
        <v>126</v>
      </c>
      <c r="E429" s="4" t="str">
        <f t="shared" si="6"/>
        <v>2417 - STUDENT PARNTS TGTHR</v>
      </c>
      <c r="F429" s="2" t="s">
        <v>29</v>
      </c>
      <c r="J429" s="5" t="str">
        <f>IF(H429="",VLOOKUP(LEFT(F429,1),'Exp-Rev Categories'!A:B,2,FALSE),IF(ISNA(VLOOKUP(H429,'Exp-Rev Categories'!A:B,2,FALSE)),"Revenue",VLOOKUP(H429,'Exp-Rev Categories'!A:B,2,FALSE)))</f>
        <v>Exp-Goods &amp; Services</v>
      </c>
      <c r="K429" s="2">
        <v>3230</v>
      </c>
      <c r="L429" s="3">
        <v>0</v>
      </c>
      <c r="M429" s="3">
        <v>0</v>
      </c>
      <c r="N429" s="3">
        <v>3230</v>
      </c>
      <c r="O429" s="3">
        <v>0</v>
      </c>
      <c r="P429" s="2" t="s">
        <v>227</v>
      </c>
    </row>
    <row r="430" spans="1:16">
      <c r="A430" s="2" t="s">
        <v>280</v>
      </c>
      <c r="B430" s="2" t="s">
        <v>1</v>
      </c>
      <c r="C430" s="2" t="s">
        <v>2</v>
      </c>
      <c r="D430" s="2" t="s">
        <v>126</v>
      </c>
      <c r="E430" s="4" t="str">
        <f t="shared" si="6"/>
        <v>2417 - STUDENT PARNTS TGTHR</v>
      </c>
      <c r="F430" s="2" t="s">
        <v>23</v>
      </c>
      <c r="G430" s="2" t="s">
        <v>24</v>
      </c>
      <c r="J430" s="5" t="str">
        <f>IF(H430="",VLOOKUP(LEFT(F430,1),'Exp-Rev Categories'!A:B,2,FALSE),IF(ISNA(VLOOKUP(H430,'Exp-Rev Categories'!A:B,2,FALSE)),"Revenue",VLOOKUP(H430,'Exp-Rev Categories'!A:B,2,FALSE)))</f>
        <v>Exp-Goods &amp; Services</v>
      </c>
      <c r="K430" s="2">
        <v>0</v>
      </c>
      <c r="L430" s="3">
        <v>383.55</v>
      </c>
      <c r="M430" s="3">
        <v>0</v>
      </c>
      <c r="N430" s="3">
        <v>-383.55</v>
      </c>
      <c r="O430" s="3">
        <v>0</v>
      </c>
      <c r="P430" s="2" t="s">
        <v>227</v>
      </c>
    </row>
    <row r="431" spans="1:16">
      <c r="A431" s="2" t="s">
        <v>280</v>
      </c>
      <c r="B431" s="2" t="s">
        <v>1</v>
      </c>
      <c r="C431" s="2" t="s">
        <v>2</v>
      </c>
      <c r="D431" s="2" t="s">
        <v>126</v>
      </c>
      <c r="E431" s="4" t="str">
        <f t="shared" si="6"/>
        <v>2417 - STUDENT PARNTS TGTHR</v>
      </c>
      <c r="F431" s="2" t="s">
        <v>79</v>
      </c>
      <c r="G431" s="2" t="s">
        <v>66</v>
      </c>
      <c r="J431" s="5" t="str">
        <f>IF(H431="",VLOOKUP(LEFT(F431,1),'Exp-Rev Categories'!A:B,2,FALSE),IF(ISNA(VLOOKUP(H431,'Exp-Rev Categories'!A:B,2,FALSE)),"Revenue",VLOOKUP(H431,'Exp-Rev Categories'!A:B,2,FALSE)))</f>
        <v>Exp-Goods &amp; Services</v>
      </c>
      <c r="K431" s="2">
        <v>0</v>
      </c>
      <c r="L431" s="3">
        <v>239.14</v>
      </c>
      <c r="M431" s="3">
        <v>0</v>
      </c>
      <c r="N431" s="3">
        <v>-239.14</v>
      </c>
      <c r="O431" s="3">
        <v>0</v>
      </c>
      <c r="P431" s="2" t="s">
        <v>227</v>
      </c>
    </row>
    <row r="432" spans="1:16">
      <c r="A432" s="2" t="s">
        <v>280</v>
      </c>
      <c r="B432" s="2" t="s">
        <v>1</v>
      </c>
      <c r="C432" s="2" t="s">
        <v>2</v>
      </c>
      <c r="D432" s="2" t="s">
        <v>126</v>
      </c>
      <c r="E432" s="4" t="str">
        <f t="shared" si="6"/>
        <v>2417 - STUDENT PARNTS TGTHR</v>
      </c>
      <c r="F432" s="2" t="s">
        <v>41</v>
      </c>
      <c r="G432" s="2" t="s">
        <v>24</v>
      </c>
      <c r="J432" s="5" t="str">
        <f>IF(H432="",VLOOKUP(LEFT(F432,1),'Exp-Rev Categories'!A:B,2,FALSE),IF(ISNA(VLOOKUP(H432,'Exp-Rev Categories'!A:B,2,FALSE)),"Revenue",VLOOKUP(H432,'Exp-Rev Categories'!A:B,2,FALSE)))</f>
        <v>Exp-Goods &amp; Services</v>
      </c>
      <c r="K432" s="2">
        <v>0</v>
      </c>
      <c r="L432" s="3">
        <v>1883.76</v>
      </c>
      <c r="M432" s="3">
        <v>0</v>
      </c>
      <c r="N432" s="3">
        <v>-1883.76</v>
      </c>
      <c r="O432" s="3">
        <v>0</v>
      </c>
      <c r="P432" s="2" t="s">
        <v>227</v>
      </c>
    </row>
    <row r="433" spans="1:16">
      <c r="A433" s="2" t="s">
        <v>280</v>
      </c>
      <c r="B433" s="2" t="s">
        <v>1</v>
      </c>
      <c r="C433" s="2" t="s">
        <v>2</v>
      </c>
      <c r="D433" s="2" t="s">
        <v>126</v>
      </c>
      <c r="E433" s="4" t="str">
        <f t="shared" si="6"/>
        <v>2417 - STUDENT PARNTS TGTHR</v>
      </c>
      <c r="F433" s="2" t="s">
        <v>41</v>
      </c>
      <c r="G433" s="2" t="s">
        <v>7</v>
      </c>
      <c r="J433" s="5" t="str">
        <f>IF(H433="",VLOOKUP(LEFT(F433,1),'Exp-Rev Categories'!A:B,2,FALSE),IF(ISNA(VLOOKUP(H433,'Exp-Rev Categories'!A:B,2,FALSE)),"Revenue",VLOOKUP(H433,'Exp-Rev Categories'!A:B,2,FALSE)))</f>
        <v>Exp-Goods &amp; Services</v>
      </c>
      <c r="K433" s="2">
        <v>0</v>
      </c>
      <c r="L433" s="3">
        <v>1244.99</v>
      </c>
      <c r="M433" s="3">
        <v>0</v>
      </c>
      <c r="N433" s="3">
        <v>-1244.99</v>
      </c>
      <c r="O433" s="3">
        <v>0</v>
      </c>
      <c r="P433" s="2" t="s">
        <v>227</v>
      </c>
    </row>
    <row r="434" spans="1:16">
      <c r="A434" s="2" t="s">
        <v>280</v>
      </c>
      <c r="B434" s="2" t="s">
        <v>1</v>
      </c>
      <c r="C434" s="2" t="s">
        <v>2</v>
      </c>
      <c r="D434" s="2" t="s">
        <v>377</v>
      </c>
      <c r="E434" s="4" t="str">
        <f t="shared" si="6"/>
        <v>2418 - MIXED MARTIAL ARTS</v>
      </c>
      <c r="F434" s="2" t="s">
        <v>29</v>
      </c>
      <c r="J434" s="5" t="str">
        <f>IF(H434="",VLOOKUP(LEFT(F434,1),'Exp-Rev Categories'!A:B,2,FALSE),IF(ISNA(VLOOKUP(H434,'Exp-Rev Categories'!A:B,2,FALSE)),"Revenue",VLOOKUP(H434,'Exp-Rev Categories'!A:B,2,FALSE)))</f>
        <v>Exp-Goods &amp; Services</v>
      </c>
      <c r="K434" s="2">
        <v>0</v>
      </c>
      <c r="L434" s="3">
        <v>0</v>
      </c>
      <c r="M434" s="3">
        <v>0</v>
      </c>
      <c r="N434" s="3">
        <v>0</v>
      </c>
      <c r="O434" s="3">
        <v>0</v>
      </c>
      <c r="P434" s="2" t="s">
        <v>378</v>
      </c>
    </row>
    <row r="435" spans="1:16">
      <c r="A435" s="2" t="s">
        <v>280</v>
      </c>
      <c r="B435" s="2" t="s">
        <v>1</v>
      </c>
      <c r="C435" s="2" t="s">
        <v>2</v>
      </c>
      <c r="D435" s="2" t="s">
        <v>127</v>
      </c>
      <c r="E435" s="4" t="str">
        <f t="shared" si="6"/>
        <v>2419 - STDNT AMBASSADOR PRG</v>
      </c>
      <c r="F435" s="2" t="s">
        <v>29</v>
      </c>
      <c r="J435" s="5" t="str">
        <f>IF(H435="",VLOOKUP(LEFT(F435,1),'Exp-Rev Categories'!A:B,2,FALSE),IF(ISNA(VLOOKUP(H435,'Exp-Rev Categories'!A:B,2,FALSE)),"Revenue",VLOOKUP(H435,'Exp-Rev Categories'!A:B,2,FALSE)))</f>
        <v>Exp-Goods &amp; Services</v>
      </c>
      <c r="K435" s="2">
        <v>6900</v>
      </c>
      <c r="L435" s="3">
        <v>0</v>
      </c>
      <c r="M435" s="3">
        <v>0</v>
      </c>
      <c r="N435" s="3">
        <v>6900</v>
      </c>
      <c r="O435" s="3">
        <v>0</v>
      </c>
      <c r="P435" s="2" t="s">
        <v>228</v>
      </c>
    </row>
    <row r="436" spans="1:16">
      <c r="A436" s="2" t="s">
        <v>280</v>
      </c>
      <c r="B436" s="2" t="s">
        <v>1</v>
      </c>
      <c r="C436" s="2" t="s">
        <v>2</v>
      </c>
      <c r="D436" s="2" t="s">
        <v>127</v>
      </c>
      <c r="E436" s="4" t="str">
        <f t="shared" si="6"/>
        <v>2419 - STDNT AMBASSADOR PRG</v>
      </c>
      <c r="F436" s="2" t="s">
        <v>23</v>
      </c>
      <c r="G436" s="2" t="s">
        <v>24</v>
      </c>
      <c r="J436" s="5" t="str">
        <f>IF(H436="",VLOOKUP(LEFT(F436,1),'Exp-Rev Categories'!A:B,2,FALSE),IF(ISNA(VLOOKUP(H436,'Exp-Rev Categories'!A:B,2,FALSE)),"Revenue",VLOOKUP(H436,'Exp-Rev Categories'!A:B,2,FALSE)))</f>
        <v>Exp-Goods &amp; Services</v>
      </c>
      <c r="K436" s="2">
        <v>0</v>
      </c>
      <c r="L436" s="3">
        <v>985.5</v>
      </c>
      <c r="M436" s="3">
        <v>0</v>
      </c>
      <c r="N436" s="3">
        <v>-985.5</v>
      </c>
      <c r="O436" s="3">
        <v>0</v>
      </c>
      <c r="P436" s="2" t="s">
        <v>228</v>
      </c>
    </row>
    <row r="437" spans="1:16">
      <c r="A437" s="2" t="s">
        <v>280</v>
      </c>
      <c r="B437" s="2" t="s">
        <v>1</v>
      </c>
      <c r="C437" s="2" t="s">
        <v>2</v>
      </c>
      <c r="D437" s="2" t="s">
        <v>127</v>
      </c>
      <c r="E437" s="4" t="str">
        <f t="shared" si="6"/>
        <v>2419 - STDNT AMBASSADOR PRG</v>
      </c>
      <c r="F437" s="2" t="s">
        <v>54</v>
      </c>
      <c r="G437" s="2" t="s">
        <v>56</v>
      </c>
      <c r="J437" s="5" t="str">
        <f>IF(H437="",VLOOKUP(LEFT(F437,1),'Exp-Rev Categories'!A:B,2,FALSE),IF(ISNA(VLOOKUP(H437,'Exp-Rev Categories'!A:B,2,FALSE)),"Revenue",VLOOKUP(H437,'Exp-Rev Categories'!A:B,2,FALSE)))</f>
        <v>Exp-Goods &amp; Services</v>
      </c>
      <c r="K437" s="2">
        <v>0</v>
      </c>
      <c r="L437" s="3">
        <v>690</v>
      </c>
      <c r="M437" s="3">
        <v>0</v>
      </c>
      <c r="N437" s="3">
        <v>-690</v>
      </c>
      <c r="O437" s="3">
        <v>0</v>
      </c>
      <c r="P437" s="2" t="s">
        <v>228</v>
      </c>
    </row>
    <row r="438" spans="1:16">
      <c r="A438" s="2" t="s">
        <v>280</v>
      </c>
      <c r="B438" s="2" t="s">
        <v>1</v>
      </c>
      <c r="C438" s="2" t="s">
        <v>2</v>
      </c>
      <c r="D438" s="2" t="s">
        <v>127</v>
      </c>
      <c r="E438" s="4" t="str">
        <f t="shared" si="6"/>
        <v>2419 - STDNT AMBASSADOR PRG</v>
      </c>
      <c r="F438" s="2" t="s">
        <v>41</v>
      </c>
      <c r="G438" s="2" t="s">
        <v>21</v>
      </c>
      <c r="J438" s="5" t="str">
        <f>IF(H438="",VLOOKUP(LEFT(F438,1),'Exp-Rev Categories'!A:B,2,FALSE),IF(ISNA(VLOOKUP(H438,'Exp-Rev Categories'!A:B,2,FALSE)),"Revenue",VLOOKUP(H438,'Exp-Rev Categories'!A:B,2,FALSE)))</f>
        <v>Exp-Goods &amp; Services</v>
      </c>
      <c r="K438" s="2">
        <v>0</v>
      </c>
      <c r="L438" s="3">
        <v>1126.3399999999999</v>
      </c>
      <c r="M438" s="3">
        <v>0</v>
      </c>
      <c r="N438" s="3">
        <v>-1126.3399999999999</v>
      </c>
      <c r="O438" s="3">
        <v>0</v>
      </c>
      <c r="P438" s="2" t="s">
        <v>228</v>
      </c>
    </row>
    <row r="439" spans="1:16">
      <c r="A439" s="2" t="s">
        <v>280</v>
      </c>
      <c r="B439" s="2" t="s">
        <v>1</v>
      </c>
      <c r="C439" s="2" t="s">
        <v>2</v>
      </c>
      <c r="D439" s="2" t="s">
        <v>127</v>
      </c>
      <c r="E439" s="4" t="str">
        <f t="shared" si="6"/>
        <v>2419 - STDNT AMBASSADOR PRG</v>
      </c>
      <c r="F439" s="2" t="s">
        <v>41</v>
      </c>
      <c r="G439" s="2" t="s">
        <v>66</v>
      </c>
      <c r="J439" s="5" t="str">
        <f>IF(H439="",VLOOKUP(LEFT(F439,1),'Exp-Rev Categories'!A:B,2,FALSE),IF(ISNA(VLOOKUP(H439,'Exp-Rev Categories'!A:B,2,FALSE)),"Revenue",VLOOKUP(H439,'Exp-Rev Categories'!A:B,2,FALSE)))</f>
        <v>Exp-Goods &amp; Services</v>
      </c>
      <c r="K439" s="2">
        <v>0</v>
      </c>
      <c r="L439" s="3">
        <v>672.9</v>
      </c>
      <c r="M439" s="3">
        <v>0</v>
      </c>
      <c r="N439" s="3">
        <v>-672.9</v>
      </c>
      <c r="O439" s="3">
        <v>0</v>
      </c>
      <c r="P439" s="2" t="s">
        <v>228</v>
      </c>
    </row>
    <row r="440" spans="1:16">
      <c r="A440" s="2" t="s">
        <v>280</v>
      </c>
      <c r="B440" s="2" t="s">
        <v>1</v>
      </c>
      <c r="C440" s="2" t="s">
        <v>2</v>
      </c>
      <c r="D440" s="2" t="s">
        <v>127</v>
      </c>
      <c r="E440" s="4" t="str">
        <f t="shared" si="6"/>
        <v>2419 - STDNT AMBASSADOR PRG</v>
      </c>
      <c r="F440" s="2" t="s">
        <v>41</v>
      </c>
      <c r="G440" s="2" t="s">
        <v>7</v>
      </c>
      <c r="J440" s="5" t="str">
        <f>IF(H440="",VLOOKUP(LEFT(F440,1),'Exp-Rev Categories'!A:B,2,FALSE),IF(ISNA(VLOOKUP(H440,'Exp-Rev Categories'!A:B,2,FALSE)),"Revenue",VLOOKUP(H440,'Exp-Rev Categories'!A:B,2,FALSE)))</f>
        <v>Exp-Goods &amp; Services</v>
      </c>
      <c r="K440" s="2">
        <v>0</v>
      </c>
      <c r="L440" s="3">
        <v>644.86</v>
      </c>
      <c r="M440" s="3">
        <v>0</v>
      </c>
      <c r="N440" s="3">
        <v>-644.86</v>
      </c>
      <c r="O440" s="3">
        <v>0</v>
      </c>
      <c r="P440" s="2" t="s">
        <v>228</v>
      </c>
    </row>
    <row r="441" spans="1:16">
      <c r="A441" s="2" t="s">
        <v>280</v>
      </c>
      <c r="B441" s="2" t="s">
        <v>1</v>
      </c>
      <c r="C441" s="2" t="s">
        <v>2</v>
      </c>
      <c r="D441" s="2" t="s">
        <v>127</v>
      </c>
      <c r="E441" s="4" t="str">
        <f t="shared" si="6"/>
        <v>2419 - STDNT AMBASSADOR PRG</v>
      </c>
      <c r="F441" s="2" t="s">
        <v>267</v>
      </c>
      <c r="J441" s="5" t="str">
        <f>IF(H441="",VLOOKUP(LEFT(F441,1),'Exp-Rev Categories'!A:B,2,FALSE),IF(ISNA(VLOOKUP(H441,'Exp-Rev Categories'!A:B,2,FALSE)),"Revenue",VLOOKUP(H441,'Exp-Rev Categories'!A:B,2,FALSE)))</f>
        <v>Exp-Travel</v>
      </c>
      <c r="K441" s="2">
        <v>0</v>
      </c>
      <c r="L441" s="3">
        <v>0</v>
      </c>
      <c r="M441" s="3">
        <v>0</v>
      </c>
      <c r="N441" s="3">
        <v>0</v>
      </c>
      <c r="O441" s="3">
        <v>0</v>
      </c>
      <c r="P441" s="2" t="s">
        <v>228</v>
      </c>
    </row>
    <row r="442" spans="1:16">
      <c r="A442" s="2" t="s">
        <v>280</v>
      </c>
      <c r="B442" s="2" t="s">
        <v>1</v>
      </c>
      <c r="C442" s="2" t="s">
        <v>2</v>
      </c>
      <c r="D442" s="2" t="s">
        <v>127</v>
      </c>
      <c r="E442" s="4" t="str">
        <f t="shared" si="6"/>
        <v>2419 - STDNT AMBASSADOR PRG</v>
      </c>
      <c r="F442" s="2" t="s">
        <v>67</v>
      </c>
      <c r="G442" s="2" t="s">
        <v>24</v>
      </c>
      <c r="J442" s="5" t="str">
        <f>IF(H442="",VLOOKUP(LEFT(F442,1),'Exp-Rev Categories'!A:B,2,FALSE),IF(ISNA(VLOOKUP(H442,'Exp-Rev Categories'!A:B,2,FALSE)),"Revenue",VLOOKUP(H442,'Exp-Rev Categories'!A:B,2,FALSE)))</f>
        <v>Exp-Travel</v>
      </c>
      <c r="K442" s="2">
        <v>0</v>
      </c>
      <c r="L442" s="3">
        <v>100.2</v>
      </c>
      <c r="M442" s="3">
        <v>0</v>
      </c>
      <c r="N442" s="3">
        <v>-100.2</v>
      </c>
      <c r="O442" s="3">
        <v>0</v>
      </c>
      <c r="P442" s="2" t="s">
        <v>228</v>
      </c>
    </row>
    <row r="443" spans="1:16">
      <c r="A443" s="2" t="s">
        <v>280</v>
      </c>
      <c r="B443" s="2" t="s">
        <v>1</v>
      </c>
      <c r="C443" s="2" t="s">
        <v>2</v>
      </c>
      <c r="D443" s="2" t="s">
        <v>127</v>
      </c>
      <c r="E443" s="4" t="str">
        <f t="shared" si="6"/>
        <v>2419 - STDNT AMBASSADOR PRG</v>
      </c>
      <c r="F443" s="2" t="s">
        <v>44</v>
      </c>
      <c r="G443" s="2" t="s">
        <v>21</v>
      </c>
      <c r="J443" s="5" t="str">
        <f>IF(H443="",VLOOKUP(LEFT(F443,1),'Exp-Rev Categories'!A:B,2,FALSE),IF(ISNA(VLOOKUP(H443,'Exp-Rev Categories'!A:B,2,FALSE)),"Revenue",VLOOKUP(H443,'Exp-Rev Categories'!A:B,2,FALSE)))</f>
        <v>Exp-Travel</v>
      </c>
      <c r="K443" s="2">
        <v>0</v>
      </c>
      <c r="L443" s="3">
        <v>22.5</v>
      </c>
      <c r="M443" s="3">
        <v>0</v>
      </c>
      <c r="N443" s="3">
        <v>-22.5</v>
      </c>
      <c r="O443" s="3">
        <v>0</v>
      </c>
      <c r="P443" s="2" t="s">
        <v>228</v>
      </c>
    </row>
    <row r="444" spans="1:16">
      <c r="A444" s="2" t="s">
        <v>280</v>
      </c>
      <c r="B444" s="2" t="s">
        <v>1</v>
      </c>
      <c r="C444" s="2" t="s">
        <v>2</v>
      </c>
      <c r="D444" s="2" t="s">
        <v>127</v>
      </c>
      <c r="E444" s="4" t="str">
        <f t="shared" si="6"/>
        <v>2419 - STDNT AMBASSADOR PRG</v>
      </c>
      <c r="F444" s="2" t="s">
        <v>44</v>
      </c>
      <c r="G444" s="2" t="s">
        <v>58</v>
      </c>
      <c r="J444" s="5" t="str">
        <f>IF(H444="",VLOOKUP(LEFT(F444,1),'Exp-Rev Categories'!A:B,2,FALSE),IF(ISNA(VLOOKUP(H444,'Exp-Rev Categories'!A:B,2,FALSE)),"Revenue",VLOOKUP(H444,'Exp-Rev Categories'!A:B,2,FALSE)))</f>
        <v>Exp-Travel</v>
      </c>
      <c r="K444" s="2">
        <v>0</v>
      </c>
      <c r="L444" s="3">
        <v>50</v>
      </c>
      <c r="M444" s="3">
        <v>0</v>
      </c>
      <c r="N444" s="3">
        <v>-50</v>
      </c>
      <c r="O444" s="3">
        <v>0</v>
      </c>
      <c r="P444" s="2" t="s">
        <v>228</v>
      </c>
    </row>
    <row r="445" spans="1:16">
      <c r="A445" s="2" t="s">
        <v>280</v>
      </c>
      <c r="B445" s="2" t="s">
        <v>1</v>
      </c>
      <c r="C445" s="2" t="s">
        <v>2</v>
      </c>
      <c r="D445" s="2" t="s">
        <v>127</v>
      </c>
      <c r="E445" s="4" t="str">
        <f t="shared" si="6"/>
        <v>2419 - STDNT AMBASSADOR PRG</v>
      </c>
      <c r="F445" s="2" t="s">
        <v>59</v>
      </c>
      <c r="G445" s="2" t="s">
        <v>24</v>
      </c>
      <c r="J445" s="5" t="str">
        <f>IF(H445="",VLOOKUP(LEFT(F445,1),'Exp-Rev Categories'!A:B,2,FALSE),IF(ISNA(VLOOKUP(H445,'Exp-Rev Categories'!A:B,2,FALSE)),"Revenue",VLOOKUP(H445,'Exp-Rev Categories'!A:B,2,FALSE)))</f>
        <v>Exp-Travel</v>
      </c>
      <c r="K445" s="2">
        <v>0</v>
      </c>
      <c r="L445" s="3">
        <v>768.16</v>
      </c>
      <c r="M445" s="3">
        <v>0</v>
      </c>
      <c r="N445" s="3">
        <v>-768.16</v>
      </c>
      <c r="O445" s="3">
        <v>0</v>
      </c>
      <c r="P445" s="2" t="s">
        <v>228</v>
      </c>
    </row>
    <row r="446" spans="1:16">
      <c r="A446" s="2" t="s">
        <v>280</v>
      </c>
      <c r="B446" s="2" t="s">
        <v>1</v>
      </c>
      <c r="C446" s="2" t="s">
        <v>2</v>
      </c>
      <c r="D446" s="2" t="s">
        <v>127</v>
      </c>
      <c r="E446" s="4" t="str">
        <f t="shared" si="6"/>
        <v>2419 - STDNT AMBASSADOR PRG</v>
      </c>
      <c r="F446" s="2" t="s">
        <v>60</v>
      </c>
      <c r="G446" s="2" t="s">
        <v>24</v>
      </c>
      <c r="J446" s="5" t="str">
        <f>IF(H446="",VLOOKUP(LEFT(F446,1),'Exp-Rev Categories'!A:B,2,FALSE),IF(ISNA(VLOOKUP(H446,'Exp-Rev Categories'!A:B,2,FALSE)),"Revenue",VLOOKUP(H446,'Exp-Rev Categories'!A:B,2,FALSE)))</f>
        <v>Exp-Travel</v>
      </c>
      <c r="K446" s="2">
        <v>0</v>
      </c>
      <c r="L446" s="3">
        <v>717.4</v>
      </c>
      <c r="M446" s="3">
        <v>0</v>
      </c>
      <c r="N446" s="3">
        <v>-717.4</v>
      </c>
      <c r="O446" s="3">
        <v>0</v>
      </c>
      <c r="P446" s="2" t="s">
        <v>228</v>
      </c>
    </row>
    <row r="447" spans="1:16">
      <c r="A447" s="2" t="s">
        <v>280</v>
      </c>
      <c r="B447" s="2" t="s">
        <v>1</v>
      </c>
      <c r="C447" s="2" t="s">
        <v>2</v>
      </c>
      <c r="D447" s="2" t="s">
        <v>128</v>
      </c>
      <c r="E447" s="4" t="str">
        <f t="shared" si="6"/>
        <v>2420 - NURSING CLUB</v>
      </c>
      <c r="H447" s="2" t="s">
        <v>51</v>
      </c>
      <c r="I447" s="2" t="s">
        <v>129</v>
      </c>
      <c r="J447" s="5" t="str">
        <f>IF(H447="",VLOOKUP(LEFT(F447,1),'Exp-Rev Categories'!A:B,2,FALSE),IF(ISNA(VLOOKUP(H447,'Exp-Rev Categories'!A:B,2,FALSE)),"Revenue",VLOOKUP(H447,'Exp-Rev Categories'!A:B,2,FALSE)))</f>
        <v>Revenue</v>
      </c>
      <c r="K447" s="2">
        <v>0</v>
      </c>
      <c r="L447" s="3">
        <v>-6114.12</v>
      </c>
      <c r="M447" s="3">
        <v>0</v>
      </c>
      <c r="N447" s="3">
        <v>6114.12</v>
      </c>
      <c r="O447" s="3">
        <v>0</v>
      </c>
      <c r="P447" s="2" t="s">
        <v>130</v>
      </c>
    </row>
    <row r="448" spans="1:16">
      <c r="A448" s="2" t="s">
        <v>280</v>
      </c>
      <c r="B448" s="2" t="s">
        <v>1</v>
      </c>
      <c r="C448" s="2" t="s">
        <v>2</v>
      </c>
      <c r="D448" s="2" t="s">
        <v>128</v>
      </c>
      <c r="E448" s="4" t="str">
        <f t="shared" si="6"/>
        <v>2420 - NURSING CLUB</v>
      </c>
      <c r="H448" s="2" t="s">
        <v>43</v>
      </c>
      <c r="J448" s="5" t="str">
        <f>IF(H448="",VLOOKUP(LEFT(F448,1),'Exp-Rev Categories'!A:B,2,FALSE),IF(ISNA(VLOOKUP(H448,'Exp-Rev Categories'!A:B,2,FALSE)),"Revenue",VLOOKUP(H448,'Exp-Rev Categories'!A:B,2,FALSE)))</f>
        <v>Rev-Intra-Fund Transfer</v>
      </c>
      <c r="K448" s="2">
        <v>0</v>
      </c>
      <c r="L448" s="3">
        <v>-3274</v>
      </c>
      <c r="M448" s="3">
        <v>0</v>
      </c>
      <c r="N448" s="3">
        <v>3274</v>
      </c>
      <c r="O448" s="3">
        <v>0</v>
      </c>
      <c r="P448" s="2" t="s">
        <v>130</v>
      </c>
    </row>
    <row r="449" spans="1:16">
      <c r="A449" s="2" t="s">
        <v>280</v>
      </c>
      <c r="B449" s="2" t="s">
        <v>1</v>
      </c>
      <c r="C449" s="2" t="s">
        <v>2</v>
      </c>
      <c r="D449" s="2" t="s">
        <v>128</v>
      </c>
      <c r="E449" s="4" t="str">
        <f t="shared" si="6"/>
        <v>2420 - NURSING CLUB</v>
      </c>
      <c r="F449" s="2" t="s">
        <v>369</v>
      </c>
      <c r="G449" s="2" t="s">
        <v>370</v>
      </c>
      <c r="J449" s="5" t="str">
        <f>IF(H449="",VLOOKUP(LEFT(F449,1),'Exp-Rev Categories'!A:B,2,FALSE),IF(ISNA(VLOOKUP(H449,'Exp-Rev Categories'!A:B,2,FALSE)),"Revenue",VLOOKUP(H449,'Exp-Rev Categories'!A:B,2,FALSE)))</f>
        <v>Exp-Salaries &amp; Wages</v>
      </c>
      <c r="K449" s="2">
        <v>0</v>
      </c>
      <c r="L449" s="3">
        <v>0</v>
      </c>
      <c r="M449" s="3">
        <v>0</v>
      </c>
      <c r="N449" s="3">
        <v>0</v>
      </c>
      <c r="O449" s="3">
        <v>0</v>
      </c>
      <c r="P449" s="2" t="s">
        <v>130</v>
      </c>
    </row>
    <row r="450" spans="1:16">
      <c r="A450" s="2" t="s">
        <v>280</v>
      </c>
      <c r="B450" s="2" t="s">
        <v>1</v>
      </c>
      <c r="C450" s="2" t="s">
        <v>2</v>
      </c>
      <c r="D450" s="2" t="s">
        <v>128</v>
      </c>
      <c r="E450" s="4" t="str">
        <f t="shared" ref="E450:E513" si="7">D450&amp;" - "&amp;P450</f>
        <v>2420 - NURSING CLUB</v>
      </c>
      <c r="F450" s="2" t="s">
        <v>265</v>
      </c>
      <c r="J450" s="5" t="str">
        <f>IF(H450="",VLOOKUP(LEFT(F450,1),'Exp-Rev Categories'!A:B,2,FALSE),IF(ISNA(VLOOKUP(H450,'Exp-Rev Categories'!A:B,2,FALSE)),"Revenue",VLOOKUP(H450,'Exp-Rev Categories'!A:B,2,FALSE)))</f>
        <v>Exp-Benefits</v>
      </c>
      <c r="K450" s="2">
        <v>0</v>
      </c>
      <c r="L450" s="3">
        <v>0</v>
      </c>
      <c r="M450" s="3">
        <v>0</v>
      </c>
      <c r="N450" s="3">
        <v>0</v>
      </c>
      <c r="O450" s="3">
        <v>0</v>
      </c>
      <c r="P450" s="2" t="s">
        <v>130</v>
      </c>
    </row>
    <row r="451" spans="1:16">
      <c r="A451" s="2" t="s">
        <v>280</v>
      </c>
      <c r="B451" s="2" t="s">
        <v>1</v>
      </c>
      <c r="C451" s="2" t="s">
        <v>2</v>
      </c>
      <c r="D451" s="2" t="s">
        <v>128</v>
      </c>
      <c r="E451" s="4" t="str">
        <f t="shared" si="7"/>
        <v>2420 - NURSING CLUB</v>
      </c>
      <c r="F451" s="2" t="s">
        <v>29</v>
      </c>
      <c r="J451" s="5" t="str">
        <f>IF(H451="",VLOOKUP(LEFT(F451,1),'Exp-Rev Categories'!A:B,2,FALSE),IF(ISNA(VLOOKUP(H451,'Exp-Rev Categories'!A:B,2,FALSE)),"Revenue",VLOOKUP(H451,'Exp-Rev Categories'!A:B,2,FALSE)))</f>
        <v>Exp-Goods &amp; Services</v>
      </c>
      <c r="K451" s="2">
        <v>5000</v>
      </c>
      <c r="L451" s="3">
        <v>0</v>
      </c>
      <c r="M451" s="3">
        <v>0</v>
      </c>
      <c r="N451" s="3">
        <v>5000</v>
      </c>
      <c r="O451" s="3">
        <v>0</v>
      </c>
      <c r="P451" s="2" t="s">
        <v>130</v>
      </c>
    </row>
    <row r="452" spans="1:16">
      <c r="A452" s="2" t="s">
        <v>280</v>
      </c>
      <c r="B452" s="2" t="s">
        <v>1</v>
      </c>
      <c r="C452" s="2" t="s">
        <v>2</v>
      </c>
      <c r="D452" s="2" t="s">
        <v>128</v>
      </c>
      <c r="E452" s="4" t="str">
        <f t="shared" si="7"/>
        <v>2420 - NURSING CLUB</v>
      </c>
      <c r="F452" s="2" t="s">
        <v>23</v>
      </c>
      <c r="G452" s="2" t="s">
        <v>24</v>
      </c>
      <c r="J452" s="5" t="str">
        <f>IF(H452="",VLOOKUP(LEFT(F452,1),'Exp-Rev Categories'!A:B,2,FALSE),IF(ISNA(VLOOKUP(H452,'Exp-Rev Categories'!A:B,2,FALSE)),"Revenue",VLOOKUP(H452,'Exp-Rev Categories'!A:B,2,FALSE)))</f>
        <v>Exp-Goods &amp; Services</v>
      </c>
      <c r="K452" s="2">
        <v>0</v>
      </c>
      <c r="L452" s="3">
        <v>4394.38</v>
      </c>
      <c r="M452" s="3">
        <v>0</v>
      </c>
      <c r="N452" s="3">
        <v>-4394.38</v>
      </c>
      <c r="O452" s="3">
        <v>0</v>
      </c>
      <c r="P452" s="2" t="s">
        <v>130</v>
      </c>
    </row>
    <row r="453" spans="1:16">
      <c r="A453" s="2" t="s">
        <v>280</v>
      </c>
      <c r="B453" s="2" t="s">
        <v>1</v>
      </c>
      <c r="C453" s="2" t="s">
        <v>2</v>
      </c>
      <c r="D453" s="2" t="s">
        <v>128</v>
      </c>
      <c r="E453" s="4" t="str">
        <f t="shared" si="7"/>
        <v>2420 - NURSING CLUB</v>
      </c>
      <c r="F453" s="2" t="s">
        <v>78</v>
      </c>
      <c r="G453" s="2" t="s">
        <v>24</v>
      </c>
      <c r="J453" s="5" t="str">
        <f>IF(H453="",VLOOKUP(LEFT(F453,1),'Exp-Rev Categories'!A:B,2,FALSE),IF(ISNA(VLOOKUP(H453,'Exp-Rev Categories'!A:B,2,FALSE)),"Revenue",VLOOKUP(H453,'Exp-Rev Categories'!A:B,2,FALSE)))</f>
        <v>Exp-Goods &amp; Services</v>
      </c>
      <c r="K453" s="2">
        <v>0</v>
      </c>
      <c r="L453" s="3">
        <v>0</v>
      </c>
      <c r="M453" s="3">
        <v>0</v>
      </c>
      <c r="N453" s="3">
        <v>0</v>
      </c>
      <c r="O453" s="3">
        <v>0</v>
      </c>
      <c r="P453" s="2" t="s">
        <v>130</v>
      </c>
    </row>
    <row r="454" spans="1:16">
      <c r="A454" s="2" t="s">
        <v>280</v>
      </c>
      <c r="B454" s="2" t="s">
        <v>1</v>
      </c>
      <c r="C454" s="2" t="s">
        <v>2</v>
      </c>
      <c r="D454" s="2" t="s">
        <v>128</v>
      </c>
      <c r="E454" s="4" t="str">
        <f t="shared" si="7"/>
        <v>2420 - NURSING CLUB</v>
      </c>
      <c r="F454" s="2" t="s">
        <v>54</v>
      </c>
      <c r="G454" s="2" t="s">
        <v>56</v>
      </c>
      <c r="J454" s="5" t="str">
        <f>IF(H454="",VLOOKUP(LEFT(F454,1),'Exp-Rev Categories'!A:B,2,FALSE),IF(ISNA(VLOOKUP(H454,'Exp-Rev Categories'!A:B,2,FALSE)),"Revenue",VLOOKUP(H454,'Exp-Rev Categories'!A:B,2,FALSE)))</f>
        <v>Exp-Goods &amp; Services</v>
      </c>
      <c r="K454" s="2">
        <v>0</v>
      </c>
      <c r="L454" s="3">
        <v>455</v>
      </c>
      <c r="M454" s="3">
        <v>0</v>
      </c>
      <c r="N454" s="3">
        <v>-455</v>
      </c>
      <c r="O454" s="3">
        <v>0</v>
      </c>
      <c r="P454" s="2" t="s">
        <v>130</v>
      </c>
    </row>
    <row r="455" spans="1:16">
      <c r="A455" s="2" t="s">
        <v>280</v>
      </c>
      <c r="B455" s="2" t="s">
        <v>1</v>
      </c>
      <c r="C455" s="2" t="s">
        <v>2</v>
      </c>
      <c r="D455" s="2" t="s">
        <v>128</v>
      </c>
      <c r="E455" s="4" t="str">
        <f t="shared" si="7"/>
        <v>2420 - NURSING CLUB</v>
      </c>
      <c r="F455" s="2" t="s">
        <v>41</v>
      </c>
      <c r="G455" s="2" t="s">
        <v>24</v>
      </c>
      <c r="J455" s="5" t="str">
        <f>IF(H455="",VLOOKUP(LEFT(F455,1),'Exp-Rev Categories'!A:B,2,FALSE),IF(ISNA(VLOOKUP(H455,'Exp-Rev Categories'!A:B,2,FALSE)),"Revenue",VLOOKUP(H455,'Exp-Rev Categories'!A:B,2,FALSE)))</f>
        <v>Exp-Goods &amp; Services</v>
      </c>
      <c r="K455" s="2">
        <v>0</v>
      </c>
      <c r="L455" s="3">
        <v>203.82</v>
      </c>
      <c r="M455" s="3">
        <v>0</v>
      </c>
      <c r="N455" s="3">
        <v>-203.82</v>
      </c>
      <c r="O455" s="3">
        <v>0</v>
      </c>
      <c r="P455" s="2" t="s">
        <v>130</v>
      </c>
    </row>
    <row r="456" spans="1:16">
      <c r="A456" s="2" t="s">
        <v>280</v>
      </c>
      <c r="B456" s="2" t="s">
        <v>1</v>
      </c>
      <c r="C456" s="2" t="s">
        <v>2</v>
      </c>
      <c r="D456" s="2" t="s">
        <v>128</v>
      </c>
      <c r="E456" s="4" t="str">
        <f t="shared" si="7"/>
        <v>2420 - NURSING CLUB</v>
      </c>
      <c r="F456" s="2" t="s">
        <v>41</v>
      </c>
      <c r="G456" s="2" t="s">
        <v>7</v>
      </c>
      <c r="J456" s="5" t="str">
        <f>IF(H456="",VLOOKUP(LEFT(F456,1),'Exp-Rev Categories'!A:B,2,FALSE),IF(ISNA(VLOOKUP(H456,'Exp-Rev Categories'!A:B,2,FALSE)),"Revenue",VLOOKUP(H456,'Exp-Rev Categories'!A:B,2,FALSE)))</f>
        <v>Exp-Goods &amp; Services</v>
      </c>
      <c r="K456" s="2">
        <v>0</v>
      </c>
      <c r="L456" s="3">
        <v>2932.52</v>
      </c>
      <c r="M456" s="3">
        <v>0</v>
      </c>
      <c r="N456" s="3">
        <v>-2932.52</v>
      </c>
      <c r="O456" s="3">
        <v>0</v>
      </c>
      <c r="P456" s="2" t="s">
        <v>130</v>
      </c>
    </row>
    <row r="457" spans="1:16">
      <c r="A457" s="2" t="s">
        <v>280</v>
      </c>
      <c r="B457" s="2" t="s">
        <v>1</v>
      </c>
      <c r="C457" s="2" t="s">
        <v>2</v>
      </c>
      <c r="D457" s="2" t="s">
        <v>128</v>
      </c>
      <c r="E457" s="4" t="str">
        <f t="shared" si="7"/>
        <v>2420 - NURSING CLUB</v>
      </c>
      <c r="F457" s="2" t="s">
        <v>267</v>
      </c>
      <c r="J457" s="5" t="str">
        <f>IF(H457="",VLOOKUP(LEFT(F457,1),'Exp-Rev Categories'!A:B,2,FALSE),IF(ISNA(VLOOKUP(H457,'Exp-Rev Categories'!A:B,2,FALSE)),"Revenue",VLOOKUP(H457,'Exp-Rev Categories'!A:B,2,FALSE)))</f>
        <v>Exp-Travel</v>
      </c>
      <c r="K457" s="2">
        <v>0</v>
      </c>
      <c r="L457" s="3">
        <v>0</v>
      </c>
      <c r="M457" s="3">
        <v>0</v>
      </c>
      <c r="N457" s="3">
        <v>0</v>
      </c>
      <c r="O457" s="3">
        <v>0</v>
      </c>
      <c r="P457" s="2" t="s">
        <v>130</v>
      </c>
    </row>
    <row r="458" spans="1:16">
      <c r="A458" s="2" t="s">
        <v>280</v>
      </c>
      <c r="B458" s="2" t="s">
        <v>1</v>
      </c>
      <c r="C458" s="2" t="s">
        <v>2</v>
      </c>
      <c r="D458" s="2" t="s">
        <v>128</v>
      </c>
      <c r="E458" s="4" t="str">
        <f t="shared" si="7"/>
        <v>2420 - NURSING CLUB</v>
      </c>
      <c r="F458" s="2" t="s">
        <v>67</v>
      </c>
      <c r="G458" s="2" t="s">
        <v>24</v>
      </c>
      <c r="J458" s="5" t="str">
        <f>IF(H458="",VLOOKUP(LEFT(F458,1),'Exp-Rev Categories'!A:B,2,FALSE),IF(ISNA(VLOOKUP(H458,'Exp-Rev Categories'!A:B,2,FALSE)),"Revenue",VLOOKUP(H458,'Exp-Rev Categories'!A:B,2,FALSE)))</f>
        <v>Exp-Travel</v>
      </c>
      <c r="K458" s="2">
        <v>0</v>
      </c>
      <c r="L458" s="3">
        <v>1602.88</v>
      </c>
      <c r="M458" s="3">
        <v>0</v>
      </c>
      <c r="N458" s="3">
        <v>-1602.88</v>
      </c>
      <c r="O458" s="3">
        <v>0</v>
      </c>
      <c r="P458" s="2" t="s">
        <v>130</v>
      </c>
    </row>
    <row r="459" spans="1:16">
      <c r="A459" s="2" t="s">
        <v>280</v>
      </c>
      <c r="B459" s="2" t="s">
        <v>1</v>
      </c>
      <c r="C459" s="2" t="s">
        <v>2</v>
      </c>
      <c r="D459" s="2" t="s">
        <v>128</v>
      </c>
      <c r="E459" s="4" t="str">
        <f t="shared" si="7"/>
        <v>2420 - NURSING CLUB</v>
      </c>
      <c r="F459" s="2" t="s">
        <v>87</v>
      </c>
      <c r="G459" s="2" t="s">
        <v>24</v>
      </c>
      <c r="J459" s="5" t="str">
        <f>IF(H459="",VLOOKUP(LEFT(F459,1),'Exp-Rev Categories'!A:B,2,FALSE),IF(ISNA(VLOOKUP(H459,'Exp-Rev Categories'!A:B,2,FALSE)),"Revenue",VLOOKUP(H459,'Exp-Rev Categories'!A:B,2,FALSE)))</f>
        <v>Exp-Travel</v>
      </c>
      <c r="K459" s="2">
        <v>0</v>
      </c>
      <c r="L459" s="3">
        <v>419.6</v>
      </c>
      <c r="M459" s="3">
        <v>0</v>
      </c>
      <c r="N459" s="3">
        <v>-419.6</v>
      </c>
      <c r="O459" s="3">
        <v>0</v>
      </c>
      <c r="P459" s="2" t="s">
        <v>130</v>
      </c>
    </row>
    <row r="460" spans="1:16">
      <c r="A460" s="2" t="s">
        <v>280</v>
      </c>
      <c r="B460" s="2" t="s">
        <v>1</v>
      </c>
      <c r="C460" s="2" t="s">
        <v>2</v>
      </c>
      <c r="D460" s="2" t="s">
        <v>128</v>
      </c>
      <c r="E460" s="4" t="str">
        <f t="shared" si="7"/>
        <v>2420 - NURSING CLUB</v>
      </c>
      <c r="F460" s="2" t="s">
        <v>44</v>
      </c>
      <c r="G460" s="2" t="s">
        <v>24</v>
      </c>
      <c r="J460" s="5" t="str">
        <f>IF(H460="",VLOOKUP(LEFT(F460,1),'Exp-Rev Categories'!A:B,2,FALSE),IF(ISNA(VLOOKUP(H460,'Exp-Rev Categories'!A:B,2,FALSE)),"Revenue",VLOOKUP(H460,'Exp-Rev Categories'!A:B,2,FALSE)))</f>
        <v>Exp-Travel</v>
      </c>
      <c r="K460" s="2">
        <v>0</v>
      </c>
      <c r="L460" s="3">
        <v>22</v>
      </c>
      <c r="M460" s="3">
        <v>0</v>
      </c>
      <c r="N460" s="3">
        <v>-22</v>
      </c>
      <c r="O460" s="3">
        <v>0</v>
      </c>
      <c r="P460" s="2" t="s">
        <v>130</v>
      </c>
    </row>
    <row r="461" spans="1:16">
      <c r="A461" s="2" t="s">
        <v>280</v>
      </c>
      <c r="B461" s="2" t="s">
        <v>1</v>
      </c>
      <c r="C461" s="2" t="s">
        <v>2</v>
      </c>
      <c r="D461" s="2" t="s">
        <v>128</v>
      </c>
      <c r="E461" s="4" t="str">
        <f t="shared" si="7"/>
        <v>2420 - NURSING CLUB</v>
      </c>
      <c r="F461" s="2" t="s">
        <v>44</v>
      </c>
      <c r="G461" s="2" t="s">
        <v>21</v>
      </c>
      <c r="J461" s="5" t="str">
        <f>IF(H461="",VLOOKUP(LEFT(F461,1),'Exp-Rev Categories'!A:B,2,FALSE),IF(ISNA(VLOOKUP(H461,'Exp-Rev Categories'!A:B,2,FALSE)),"Revenue",VLOOKUP(H461,'Exp-Rev Categories'!A:B,2,FALSE)))</f>
        <v>Exp-Travel</v>
      </c>
      <c r="K461" s="2">
        <v>0</v>
      </c>
      <c r="L461" s="3">
        <v>22</v>
      </c>
      <c r="M461" s="3">
        <v>0</v>
      </c>
      <c r="N461" s="3">
        <v>-22</v>
      </c>
      <c r="O461" s="3">
        <v>0</v>
      </c>
      <c r="P461" s="2" t="s">
        <v>130</v>
      </c>
    </row>
    <row r="462" spans="1:16">
      <c r="A462" s="2" t="s">
        <v>280</v>
      </c>
      <c r="B462" s="2" t="s">
        <v>1</v>
      </c>
      <c r="C462" s="2" t="s">
        <v>2</v>
      </c>
      <c r="D462" s="2" t="s">
        <v>128</v>
      </c>
      <c r="E462" s="4" t="str">
        <f t="shared" si="7"/>
        <v>2420 - NURSING CLUB</v>
      </c>
      <c r="F462" s="2" t="s">
        <v>44</v>
      </c>
      <c r="G462" s="2" t="s">
        <v>66</v>
      </c>
      <c r="J462" s="5" t="str">
        <f>IF(H462="",VLOOKUP(LEFT(F462,1),'Exp-Rev Categories'!A:B,2,FALSE),IF(ISNA(VLOOKUP(H462,'Exp-Rev Categories'!A:B,2,FALSE)),"Revenue",VLOOKUP(H462,'Exp-Rev Categories'!A:B,2,FALSE)))</f>
        <v>Exp-Travel</v>
      </c>
      <c r="K462" s="2">
        <v>0</v>
      </c>
      <c r="L462" s="3">
        <v>91</v>
      </c>
      <c r="M462" s="3">
        <v>0</v>
      </c>
      <c r="N462" s="3">
        <v>-91</v>
      </c>
      <c r="O462" s="3">
        <v>0</v>
      </c>
      <c r="P462" s="2" t="s">
        <v>130</v>
      </c>
    </row>
    <row r="463" spans="1:16">
      <c r="A463" s="2" t="s">
        <v>280</v>
      </c>
      <c r="B463" s="2" t="s">
        <v>1</v>
      </c>
      <c r="C463" s="2" t="s">
        <v>2</v>
      </c>
      <c r="D463" s="2" t="s">
        <v>128</v>
      </c>
      <c r="E463" s="4" t="str">
        <f t="shared" si="7"/>
        <v>2420 - NURSING CLUB</v>
      </c>
      <c r="F463" s="2" t="s">
        <v>117</v>
      </c>
      <c r="J463" s="5" t="str">
        <f>IF(H463="",VLOOKUP(LEFT(F463,1),'Exp-Rev Categories'!A:B,2,FALSE),IF(ISNA(VLOOKUP(H463,'Exp-Rev Categories'!A:B,2,FALSE)),"Revenue",VLOOKUP(H463,'Exp-Rev Categories'!A:B,2,FALSE)))</f>
        <v>Exp-Grants/Scholarships</v>
      </c>
      <c r="K463" s="2">
        <v>0</v>
      </c>
      <c r="L463" s="3">
        <v>0</v>
      </c>
      <c r="M463" s="3">
        <v>0</v>
      </c>
      <c r="N463" s="3">
        <v>0</v>
      </c>
      <c r="O463" s="3">
        <v>0</v>
      </c>
      <c r="P463" s="2" t="s">
        <v>130</v>
      </c>
    </row>
    <row r="464" spans="1:16">
      <c r="A464" s="2" t="s">
        <v>280</v>
      </c>
      <c r="B464" s="2" t="s">
        <v>1</v>
      </c>
      <c r="C464" s="2" t="s">
        <v>2</v>
      </c>
      <c r="D464" s="2" t="s">
        <v>131</v>
      </c>
      <c r="E464" s="4" t="str">
        <f t="shared" si="7"/>
        <v>2421 - SPEAK OUT</v>
      </c>
      <c r="H464" s="2" t="s">
        <v>51</v>
      </c>
      <c r="I464" s="2" t="s">
        <v>379</v>
      </c>
      <c r="J464" s="5" t="str">
        <f>IF(H464="",VLOOKUP(LEFT(F464,1),'Exp-Rev Categories'!A:B,2,FALSE),IF(ISNA(VLOOKUP(H464,'Exp-Rev Categories'!A:B,2,FALSE)),"Revenue",VLOOKUP(H464,'Exp-Rev Categories'!A:B,2,FALSE)))</f>
        <v>Revenue</v>
      </c>
      <c r="K464" s="2">
        <v>0</v>
      </c>
      <c r="L464" s="3">
        <v>0</v>
      </c>
      <c r="M464" s="3">
        <v>0</v>
      </c>
      <c r="N464" s="3">
        <v>0</v>
      </c>
      <c r="O464" s="3">
        <v>0</v>
      </c>
      <c r="P464" s="2" t="s">
        <v>229</v>
      </c>
    </row>
    <row r="465" spans="1:16">
      <c r="A465" s="2" t="s">
        <v>280</v>
      </c>
      <c r="B465" s="2" t="s">
        <v>1</v>
      </c>
      <c r="C465" s="2" t="s">
        <v>2</v>
      </c>
      <c r="D465" s="2" t="s">
        <v>131</v>
      </c>
      <c r="E465" s="4" t="str">
        <f t="shared" si="7"/>
        <v>2421 - SPEAK OUT</v>
      </c>
      <c r="H465" s="2" t="s">
        <v>53</v>
      </c>
      <c r="J465" s="5" t="str">
        <f>IF(H465="",VLOOKUP(LEFT(F465,1),'Exp-Rev Categories'!A:B,2,FALSE),IF(ISNA(VLOOKUP(H465,'Exp-Rev Categories'!A:B,2,FALSE)),"Revenue",VLOOKUP(H465,'Exp-Rev Categories'!A:B,2,FALSE)))</f>
        <v>Rev-Fund Transfers - Out</v>
      </c>
      <c r="K465" s="2">
        <v>0</v>
      </c>
      <c r="L465" s="3">
        <v>299</v>
      </c>
      <c r="M465" s="3">
        <v>0</v>
      </c>
      <c r="N465" s="3">
        <v>-299</v>
      </c>
      <c r="O465" s="3">
        <v>0</v>
      </c>
      <c r="P465" s="2" t="s">
        <v>229</v>
      </c>
    </row>
    <row r="466" spans="1:16">
      <c r="A466" s="2" t="s">
        <v>280</v>
      </c>
      <c r="B466" s="2" t="s">
        <v>1</v>
      </c>
      <c r="C466" s="2" t="s">
        <v>2</v>
      </c>
      <c r="D466" s="2" t="s">
        <v>131</v>
      </c>
      <c r="E466" s="4" t="str">
        <f t="shared" si="7"/>
        <v>2421 - SPEAK OUT</v>
      </c>
      <c r="H466" s="2" t="s">
        <v>43</v>
      </c>
      <c r="J466" s="5" t="str">
        <f>IF(H466="",VLOOKUP(LEFT(F466,1),'Exp-Rev Categories'!A:B,2,FALSE),IF(ISNA(VLOOKUP(H466,'Exp-Rev Categories'!A:B,2,FALSE)),"Revenue",VLOOKUP(H466,'Exp-Rev Categories'!A:B,2,FALSE)))</f>
        <v>Rev-Intra-Fund Transfer</v>
      </c>
      <c r="K466" s="2">
        <v>0</v>
      </c>
      <c r="L466" s="3">
        <v>-1232</v>
      </c>
      <c r="M466" s="3">
        <v>0</v>
      </c>
      <c r="N466" s="3">
        <v>1232</v>
      </c>
      <c r="O466" s="3">
        <v>0</v>
      </c>
      <c r="P466" s="2" t="s">
        <v>229</v>
      </c>
    </row>
    <row r="467" spans="1:16">
      <c r="A467" s="2" t="s">
        <v>280</v>
      </c>
      <c r="B467" s="2" t="s">
        <v>1</v>
      </c>
      <c r="C467" s="2" t="s">
        <v>2</v>
      </c>
      <c r="D467" s="2" t="s">
        <v>131</v>
      </c>
      <c r="E467" s="4" t="str">
        <f t="shared" si="7"/>
        <v>2421 - SPEAK OUT</v>
      </c>
      <c r="F467" s="2" t="s">
        <v>29</v>
      </c>
      <c r="J467" s="5" t="str">
        <f>IF(H467="",VLOOKUP(LEFT(F467,1),'Exp-Rev Categories'!A:B,2,FALSE),IF(ISNA(VLOOKUP(H467,'Exp-Rev Categories'!A:B,2,FALSE)),"Revenue",VLOOKUP(H467,'Exp-Rev Categories'!A:B,2,FALSE)))</f>
        <v>Exp-Goods &amp; Services</v>
      </c>
      <c r="K467" s="2">
        <v>7000</v>
      </c>
      <c r="L467" s="3">
        <v>0</v>
      </c>
      <c r="M467" s="3">
        <v>0</v>
      </c>
      <c r="N467" s="3">
        <v>7000</v>
      </c>
      <c r="O467" s="3">
        <v>0</v>
      </c>
      <c r="P467" s="2" t="s">
        <v>229</v>
      </c>
    </row>
    <row r="468" spans="1:16">
      <c r="A468" s="2" t="s">
        <v>280</v>
      </c>
      <c r="B468" s="2" t="s">
        <v>1</v>
      </c>
      <c r="C468" s="2" t="s">
        <v>2</v>
      </c>
      <c r="D468" s="2" t="s">
        <v>131</v>
      </c>
      <c r="E468" s="4" t="str">
        <f t="shared" si="7"/>
        <v>2421 - SPEAK OUT</v>
      </c>
      <c r="F468" s="2" t="s">
        <v>23</v>
      </c>
      <c r="G468" s="2" t="s">
        <v>24</v>
      </c>
      <c r="J468" s="5" t="str">
        <f>IF(H468="",VLOOKUP(LEFT(F468,1),'Exp-Rev Categories'!A:B,2,FALSE),IF(ISNA(VLOOKUP(H468,'Exp-Rev Categories'!A:B,2,FALSE)),"Revenue",VLOOKUP(H468,'Exp-Rev Categories'!A:B,2,FALSE)))</f>
        <v>Exp-Goods &amp; Services</v>
      </c>
      <c r="K468" s="2">
        <v>0</v>
      </c>
      <c r="L468" s="3">
        <v>346.39</v>
      </c>
      <c r="M468" s="3">
        <v>0</v>
      </c>
      <c r="N468" s="3">
        <v>-346.39</v>
      </c>
      <c r="O468" s="3">
        <v>0</v>
      </c>
      <c r="P468" s="2" t="s">
        <v>229</v>
      </c>
    </row>
    <row r="469" spans="1:16">
      <c r="A469" s="2" t="s">
        <v>280</v>
      </c>
      <c r="B469" s="2" t="s">
        <v>1</v>
      </c>
      <c r="C469" s="2" t="s">
        <v>2</v>
      </c>
      <c r="D469" s="2" t="s">
        <v>131</v>
      </c>
      <c r="E469" s="4" t="str">
        <f t="shared" si="7"/>
        <v>2421 - SPEAK OUT</v>
      </c>
      <c r="F469" s="2" t="s">
        <v>41</v>
      </c>
      <c r="G469" s="2" t="s">
        <v>66</v>
      </c>
      <c r="J469" s="5" t="str">
        <f>IF(H469="",VLOOKUP(LEFT(F469,1),'Exp-Rev Categories'!A:B,2,FALSE),IF(ISNA(VLOOKUP(H469,'Exp-Rev Categories'!A:B,2,FALSE)),"Revenue",VLOOKUP(H469,'Exp-Rev Categories'!A:B,2,FALSE)))</f>
        <v>Exp-Goods &amp; Services</v>
      </c>
      <c r="K469" s="2">
        <v>0</v>
      </c>
      <c r="L469" s="3">
        <v>630.86</v>
      </c>
      <c r="M469" s="3">
        <v>0</v>
      </c>
      <c r="N469" s="3">
        <v>-630.86</v>
      </c>
      <c r="O469" s="3">
        <v>0</v>
      </c>
      <c r="P469" s="2" t="s">
        <v>229</v>
      </c>
    </row>
    <row r="470" spans="1:16">
      <c r="A470" s="2" t="s">
        <v>280</v>
      </c>
      <c r="B470" s="2" t="s">
        <v>1</v>
      </c>
      <c r="C470" s="2" t="s">
        <v>2</v>
      </c>
      <c r="D470" s="2" t="s">
        <v>131</v>
      </c>
      <c r="E470" s="4" t="str">
        <f t="shared" si="7"/>
        <v>2421 - SPEAK OUT</v>
      </c>
      <c r="F470" s="2" t="s">
        <v>41</v>
      </c>
      <c r="G470" s="2" t="s">
        <v>7</v>
      </c>
      <c r="J470" s="5" t="str">
        <f>IF(H470="",VLOOKUP(LEFT(F470,1),'Exp-Rev Categories'!A:B,2,FALSE),IF(ISNA(VLOOKUP(H470,'Exp-Rev Categories'!A:B,2,FALSE)),"Revenue",VLOOKUP(H470,'Exp-Rev Categories'!A:B,2,FALSE)))</f>
        <v>Exp-Goods &amp; Services</v>
      </c>
      <c r="K470" s="2">
        <v>0</v>
      </c>
      <c r="L470" s="3">
        <v>2414.61</v>
      </c>
      <c r="M470" s="3">
        <v>0</v>
      </c>
      <c r="N470" s="3">
        <v>-2414.61</v>
      </c>
      <c r="O470" s="3">
        <v>0</v>
      </c>
      <c r="P470" s="2" t="s">
        <v>229</v>
      </c>
    </row>
    <row r="471" spans="1:16">
      <c r="A471" s="2" t="s">
        <v>280</v>
      </c>
      <c r="B471" s="2" t="s">
        <v>1</v>
      </c>
      <c r="C471" s="2" t="s">
        <v>2</v>
      </c>
      <c r="D471" s="2" t="s">
        <v>131</v>
      </c>
      <c r="E471" s="4" t="str">
        <f t="shared" si="7"/>
        <v>2421 - SPEAK OUT</v>
      </c>
      <c r="F471" s="2" t="s">
        <v>117</v>
      </c>
      <c r="J471" s="5" t="str">
        <f>IF(H471="",VLOOKUP(LEFT(F471,1),'Exp-Rev Categories'!A:B,2,FALSE),IF(ISNA(VLOOKUP(H471,'Exp-Rev Categories'!A:B,2,FALSE)),"Revenue",VLOOKUP(H471,'Exp-Rev Categories'!A:B,2,FALSE)))</f>
        <v>Exp-Grants/Scholarships</v>
      </c>
      <c r="K471" s="2">
        <v>0</v>
      </c>
      <c r="L471" s="3">
        <v>0</v>
      </c>
      <c r="M471" s="3">
        <v>0</v>
      </c>
      <c r="N471" s="3">
        <v>0</v>
      </c>
      <c r="O471" s="3">
        <v>0</v>
      </c>
      <c r="P471" s="2" t="s">
        <v>229</v>
      </c>
    </row>
    <row r="472" spans="1:16">
      <c r="A472" s="2" t="s">
        <v>280</v>
      </c>
      <c r="B472" s="2" t="s">
        <v>1</v>
      </c>
      <c r="C472" s="2" t="s">
        <v>2</v>
      </c>
      <c r="D472" s="2" t="s">
        <v>131</v>
      </c>
      <c r="E472" s="4" t="str">
        <f t="shared" si="7"/>
        <v>2421 - SPEAK OUT</v>
      </c>
      <c r="F472" s="2" t="s">
        <v>117</v>
      </c>
      <c r="G472" s="2" t="s">
        <v>24</v>
      </c>
      <c r="J472" s="5" t="str">
        <f>IF(H472="",VLOOKUP(LEFT(F472,1),'Exp-Rev Categories'!A:B,2,FALSE),IF(ISNA(VLOOKUP(H472,'Exp-Rev Categories'!A:B,2,FALSE)),"Revenue",VLOOKUP(H472,'Exp-Rev Categories'!A:B,2,FALSE)))</f>
        <v>Exp-Grants/Scholarships</v>
      </c>
      <c r="K472" s="2">
        <v>0</v>
      </c>
      <c r="L472" s="3">
        <v>500</v>
      </c>
      <c r="M472" s="3">
        <v>0</v>
      </c>
      <c r="N472" s="3">
        <v>-500</v>
      </c>
      <c r="O472" s="3">
        <v>0</v>
      </c>
      <c r="P472" s="2" t="s">
        <v>229</v>
      </c>
    </row>
    <row r="473" spans="1:16">
      <c r="A473" s="2" t="s">
        <v>280</v>
      </c>
      <c r="B473" s="2" t="s">
        <v>1</v>
      </c>
      <c r="C473" s="2" t="s">
        <v>2</v>
      </c>
      <c r="D473" s="2" t="s">
        <v>132</v>
      </c>
      <c r="E473" s="4" t="str">
        <f t="shared" si="7"/>
        <v>2423 - SHUT UP AND SIGN</v>
      </c>
      <c r="H473" s="2" t="s">
        <v>51</v>
      </c>
      <c r="I473" s="2" t="s">
        <v>380</v>
      </c>
      <c r="J473" s="5" t="str">
        <f>IF(H473="",VLOOKUP(LEFT(F473,1),'Exp-Rev Categories'!A:B,2,FALSE),IF(ISNA(VLOOKUP(H473,'Exp-Rev Categories'!A:B,2,FALSE)),"Revenue",VLOOKUP(H473,'Exp-Rev Categories'!A:B,2,FALSE)))</f>
        <v>Revenue</v>
      </c>
      <c r="K473" s="2">
        <v>0</v>
      </c>
      <c r="L473" s="3">
        <v>0</v>
      </c>
      <c r="M473" s="3">
        <v>0</v>
      </c>
      <c r="N473" s="3">
        <v>0</v>
      </c>
      <c r="O473" s="3">
        <v>0</v>
      </c>
      <c r="P473" s="2" t="s">
        <v>230</v>
      </c>
    </row>
    <row r="474" spans="1:16">
      <c r="A474" s="2" t="s">
        <v>280</v>
      </c>
      <c r="B474" s="2" t="s">
        <v>1</v>
      </c>
      <c r="C474" s="2" t="s">
        <v>2</v>
      </c>
      <c r="D474" s="2" t="s">
        <v>132</v>
      </c>
      <c r="E474" s="4" t="str">
        <f t="shared" si="7"/>
        <v>2423 - SHUT UP AND SIGN</v>
      </c>
      <c r="H474" s="2" t="s">
        <v>53</v>
      </c>
      <c r="J474" s="5" t="str">
        <f>IF(H474="",VLOOKUP(LEFT(F474,1),'Exp-Rev Categories'!A:B,2,FALSE),IF(ISNA(VLOOKUP(H474,'Exp-Rev Categories'!A:B,2,FALSE)),"Revenue",VLOOKUP(H474,'Exp-Rev Categories'!A:B,2,FALSE)))</f>
        <v>Rev-Fund Transfers - Out</v>
      </c>
      <c r="K474" s="2">
        <v>0</v>
      </c>
      <c r="L474" s="3">
        <v>0</v>
      </c>
      <c r="M474" s="3">
        <v>0</v>
      </c>
      <c r="N474" s="3">
        <v>0</v>
      </c>
      <c r="O474" s="3">
        <v>0</v>
      </c>
      <c r="P474" s="2" t="s">
        <v>230</v>
      </c>
    </row>
    <row r="475" spans="1:16">
      <c r="A475" s="2" t="s">
        <v>280</v>
      </c>
      <c r="B475" s="2" t="s">
        <v>1</v>
      </c>
      <c r="C475" s="2" t="s">
        <v>2</v>
      </c>
      <c r="D475" s="2" t="s">
        <v>132</v>
      </c>
      <c r="E475" s="4" t="str">
        <f t="shared" si="7"/>
        <v>2423 - SHUT UP AND SIGN</v>
      </c>
      <c r="H475" s="2" t="s">
        <v>43</v>
      </c>
      <c r="J475" s="5" t="str">
        <f>IF(H475="",VLOOKUP(LEFT(F475,1),'Exp-Rev Categories'!A:B,2,FALSE),IF(ISNA(VLOOKUP(H475,'Exp-Rev Categories'!A:B,2,FALSE)),"Revenue",VLOOKUP(H475,'Exp-Rev Categories'!A:B,2,FALSE)))</f>
        <v>Rev-Intra-Fund Transfer</v>
      </c>
      <c r="K475" s="2">
        <v>0</v>
      </c>
      <c r="L475" s="3">
        <v>0</v>
      </c>
      <c r="M475" s="3">
        <v>0</v>
      </c>
      <c r="N475" s="3">
        <v>0</v>
      </c>
      <c r="O475" s="3">
        <v>0</v>
      </c>
      <c r="P475" s="2" t="s">
        <v>230</v>
      </c>
    </row>
    <row r="476" spans="1:16">
      <c r="A476" s="2" t="s">
        <v>280</v>
      </c>
      <c r="B476" s="2" t="s">
        <v>1</v>
      </c>
      <c r="C476" s="2" t="s">
        <v>2</v>
      </c>
      <c r="D476" s="2" t="s">
        <v>132</v>
      </c>
      <c r="E476" s="4" t="str">
        <f t="shared" si="7"/>
        <v>2423 - SHUT UP AND SIGN</v>
      </c>
      <c r="F476" s="2" t="s">
        <v>29</v>
      </c>
      <c r="J476" s="5" t="str">
        <f>IF(H476="",VLOOKUP(LEFT(F476,1),'Exp-Rev Categories'!A:B,2,FALSE),IF(ISNA(VLOOKUP(H476,'Exp-Rev Categories'!A:B,2,FALSE)),"Revenue",VLOOKUP(H476,'Exp-Rev Categories'!A:B,2,FALSE)))</f>
        <v>Exp-Goods &amp; Services</v>
      </c>
      <c r="K476" s="2">
        <v>3000</v>
      </c>
      <c r="L476" s="3">
        <v>0</v>
      </c>
      <c r="M476" s="3">
        <v>0</v>
      </c>
      <c r="N476" s="3">
        <v>3000</v>
      </c>
      <c r="O476" s="3">
        <v>0</v>
      </c>
      <c r="P476" s="2" t="s">
        <v>230</v>
      </c>
    </row>
    <row r="477" spans="1:16">
      <c r="A477" s="2" t="s">
        <v>280</v>
      </c>
      <c r="B477" s="2" t="s">
        <v>1</v>
      </c>
      <c r="C477" s="2" t="s">
        <v>2</v>
      </c>
      <c r="D477" s="2" t="s">
        <v>132</v>
      </c>
      <c r="E477" s="4" t="str">
        <f t="shared" si="7"/>
        <v>2423 - SHUT UP AND SIGN</v>
      </c>
      <c r="F477" s="2" t="s">
        <v>23</v>
      </c>
      <c r="G477" s="2" t="s">
        <v>24</v>
      </c>
      <c r="J477" s="5" t="str">
        <f>IF(H477="",VLOOKUP(LEFT(F477,1),'Exp-Rev Categories'!A:B,2,FALSE),IF(ISNA(VLOOKUP(H477,'Exp-Rev Categories'!A:B,2,FALSE)),"Revenue",VLOOKUP(H477,'Exp-Rev Categories'!A:B,2,FALSE)))</f>
        <v>Exp-Goods &amp; Services</v>
      </c>
      <c r="K477" s="2">
        <v>0</v>
      </c>
      <c r="L477" s="3">
        <v>805.82</v>
      </c>
      <c r="M477" s="3">
        <v>0</v>
      </c>
      <c r="N477" s="3">
        <v>-805.82</v>
      </c>
      <c r="O477" s="3">
        <v>0</v>
      </c>
      <c r="P477" s="2" t="s">
        <v>230</v>
      </c>
    </row>
    <row r="478" spans="1:16">
      <c r="A478" s="2" t="s">
        <v>280</v>
      </c>
      <c r="B478" s="2" t="s">
        <v>1</v>
      </c>
      <c r="C478" s="2" t="s">
        <v>2</v>
      </c>
      <c r="D478" s="2" t="s">
        <v>132</v>
      </c>
      <c r="E478" s="4" t="str">
        <f t="shared" si="7"/>
        <v>2423 - SHUT UP AND SIGN</v>
      </c>
      <c r="F478" s="2" t="s">
        <v>41</v>
      </c>
      <c r="G478" s="2" t="s">
        <v>24</v>
      </c>
      <c r="J478" s="5" t="str">
        <f>IF(H478="",VLOOKUP(LEFT(F478,1),'Exp-Rev Categories'!A:B,2,FALSE),IF(ISNA(VLOOKUP(H478,'Exp-Rev Categories'!A:B,2,FALSE)),"Revenue",VLOOKUP(H478,'Exp-Rev Categories'!A:B,2,FALSE)))</f>
        <v>Exp-Goods &amp; Services</v>
      </c>
      <c r="K478" s="2">
        <v>0</v>
      </c>
      <c r="L478" s="3">
        <v>150</v>
      </c>
      <c r="M478" s="3">
        <v>0</v>
      </c>
      <c r="N478" s="3">
        <v>-150</v>
      </c>
      <c r="O478" s="3">
        <v>0</v>
      </c>
      <c r="P478" s="2" t="s">
        <v>230</v>
      </c>
    </row>
    <row r="479" spans="1:16">
      <c r="A479" s="2" t="s">
        <v>280</v>
      </c>
      <c r="B479" s="2" t="s">
        <v>1</v>
      </c>
      <c r="C479" s="2" t="s">
        <v>2</v>
      </c>
      <c r="D479" s="2" t="s">
        <v>132</v>
      </c>
      <c r="E479" s="4" t="str">
        <f t="shared" si="7"/>
        <v>2423 - SHUT UP AND SIGN</v>
      </c>
      <c r="F479" s="2" t="s">
        <v>41</v>
      </c>
      <c r="G479" s="2" t="s">
        <v>7</v>
      </c>
      <c r="J479" s="5" t="str">
        <f>IF(H479="",VLOOKUP(LEFT(F479,1),'Exp-Rev Categories'!A:B,2,FALSE),IF(ISNA(VLOOKUP(H479,'Exp-Rev Categories'!A:B,2,FALSE)),"Revenue",VLOOKUP(H479,'Exp-Rev Categories'!A:B,2,FALSE)))</f>
        <v>Exp-Goods &amp; Services</v>
      </c>
      <c r="K479" s="2">
        <v>0</v>
      </c>
      <c r="L479" s="3">
        <v>324</v>
      </c>
      <c r="M479" s="3">
        <v>0</v>
      </c>
      <c r="N479" s="3">
        <v>-324</v>
      </c>
      <c r="O479" s="3">
        <v>0</v>
      </c>
      <c r="P479" s="2" t="s">
        <v>230</v>
      </c>
    </row>
    <row r="480" spans="1:16">
      <c r="A480" s="2" t="s">
        <v>280</v>
      </c>
      <c r="B480" s="2" t="s">
        <v>1</v>
      </c>
      <c r="C480" s="2" t="s">
        <v>2</v>
      </c>
      <c r="D480" s="2" t="s">
        <v>132</v>
      </c>
      <c r="E480" s="4" t="str">
        <f t="shared" si="7"/>
        <v>2423 - SHUT UP AND SIGN</v>
      </c>
      <c r="F480" s="2" t="s">
        <v>268</v>
      </c>
      <c r="J480" s="5" t="str">
        <f>IF(H480="",VLOOKUP(LEFT(F480,1),'Exp-Rev Categories'!A:B,2,FALSE),IF(ISNA(VLOOKUP(H480,'Exp-Rev Categories'!A:B,2,FALSE)),"Revenue",VLOOKUP(H480,'Exp-Rev Categories'!A:B,2,FALSE)))</f>
        <v>Exp-Equipment</v>
      </c>
      <c r="K480" s="2">
        <v>0</v>
      </c>
      <c r="L480" s="3">
        <v>0</v>
      </c>
      <c r="M480" s="3">
        <v>0</v>
      </c>
      <c r="N480" s="3">
        <v>0</v>
      </c>
      <c r="O480" s="3">
        <v>0</v>
      </c>
      <c r="P480" s="2" t="s">
        <v>230</v>
      </c>
    </row>
    <row r="481" spans="1:16">
      <c r="A481" s="2" t="s">
        <v>280</v>
      </c>
      <c r="B481" s="2" t="s">
        <v>1</v>
      </c>
      <c r="C481" s="2" t="s">
        <v>2</v>
      </c>
      <c r="D481" s="2" t="s">
        <v>381</v>
      </c>
      <c r="E481" s="4" t="str">
        <f t="shared" si="7"/>
        <v>2424 - STUDENT HEALTH CENTR</v>
      </c>
      <c r="F481" s="2" t="s">
        <v>48</v>
      </c>
      <c r="G481" s="2" t="s">
        <v>5</v>
      </c>
      <c r="J481" s="5" t="str">
        <f>IF(H481="",VLOOKUP(LEFT(F481,1),'Exp-Rev Categories'!A:B,2,FALSE),IF(ISNA(VLOOKUP(H481,'Exp-Rev Categories'!A:B,2,FALSE)),"Revenue",VLOOKUP(H481,'Exp-Rev Categories'!A:B,2,FALSE)))</f>
        <v>Exp-Salaries &amp; Wages</v>
      </c>
      <c r="K481" s="2">
        <v>0</v>
      </c>
      <c r="L481" s="3">
        <v>0</v>
      </c>
      <c r="M481" s="3">
        <v>0</v>
      </c>
      <c r="N481" s="3">
        <v>0</v>
      </c>
      <c r="O481" s="3">
        <v>0</v>
      </c>
      <c r="P481" s="2" t="s">
        <v>382</v>
      </c>
    </row>
    <row r="482" spans="1:16">
      <c r="A482" s="2" t="s">
        <v>280</v>
      </c>
      <c r="B482" s="2" t="s">
        <v>1</v>
      </c>
      <c r="C482" s="2" t="s">
        <v>2</v>
      </c>
      <c r="D482" s="2" t="s">
        <v>381</v>
      </c>
      <c r="E482" s="4" t="str">
        <f t="shared" si="7"/>
        <v>2424 - STUDENT HEALTH CENTR</v>
      </c>
      <c r="F482" s="2" t="s">
        <v>265</v>
      </c>
      <c r="J482" s="5" t="str">
        <f>IF(H482="",VLOOKUP(LEFT(F482,1),'Exp-Rev Categories'!A:B,2,FALSE),IF(ISNA(VLOOKUP(H482,'Exp-Rev Categories'!A:B,2,FALSE)),"Revenue",VLOOKUP(H482,'Exp-Rev Categories'!A:B,2,FALSE)))</f>
        <v>Exp-Benefits</v>
      </c>
      <c r="K482" s="2">
        <v>0</v>
      </c>
      <c r="L482" s="3">
        <v>0</v>
      </c>
      <c r="M482" s="3">
        <v>0</v>
      </c>
      <c r="N482" s="3">
        <v>0</v>
      </c>
      <c r="O482" s="3">
        <v>0</v>
      </c>
      <c r="P482" s="2" t="s">
        <v>382</v>
      </c>
    </row>
    <row r="483" spans="1:16">
      <c r="A483" s="2" t="s">
        <v>280</v>
      </c>
      <c r="B483" s="2" t="s">
        <v>1</v>
      </c>
      <c r="C483" s="2" t="s">
        <v>2</v>
      </c>
      <c r="D483" s="2" t="s">
        <v>133</v>
      </c>
      <c r="E483" s="4" t="str">
        <f t="shared" si="7"/>
        <v>2425 - OUTDOOR CLUB</v>
      </c>
      <c r="H483" s="2" t="s">
        <v>51</v>
      </c>
      <c r="J483" s="5" t="str">
        <f>IF(H483="",VLOOKUP(LEFT(F483,1),'Exp-Rev Categories'!A:B,2,FALSE),IF(ISNA(VLOOKUP(H483,'Exp-Rev Categories'!A:B,2,FALSE)),"Revenue",VLOOKUP(H483,'Exp-Rev Categories'!A:B,2,FALSE)))</f>
        <v>Revenue</v>
      </c>
      <c r="K483" s="2">
        <v>0</v>
      </c>
      <c r="L483" s="3">
        <v>0</v>
      </c>
      <c r="M483" s="3">
        <v>0</v>
      </c>
      <c r="N483" s="3">
        <v>0</v>
      </c>
      <c r="O483" s="3">
        <v>0</v>
      </c>
      <c r="P483" s="2" t="s">
        <v>231</v>
      </c>
    </row>
    <row r="484" spans="1:16">
      <c r="A484" s="2" t="s">
        <v>280</v>
      </c>
      <c r="B484" s="2" t="s">
        <v>1</v>
      </c>
      <c r="C484" s="2" t="s">
        <v>2</v>
      </c>
      <c r="D484" s="2" t="s">
        <v>133</v>
      </c>
      <c r="E484" s="4" t="str">
        <f t="shared" si="7"/>
        <v>2425 - OUTDOOR CLUB</v>
      </c>
      <c r="H484" s="2" t="s">
        <v>51</v>
      </c>
      <c r="I484" s="2" t="s">
        <v>383</v>
      </c>
      <c r="J484" s="5" t="str">
        <f>IF(H484="",VLOOKUP(LEFT(F484,1),'Exp-Rev Categories'!A:B,2,FALSE),IF(ISNA(VLOOKUP(H484,'Exp-Rev Categories'!A:B,2,FALSE)),"Revenue",VLOOKUP(H484,'Exp-Rev Categories'!A:B,2,FALSE)))</f>
        <v>Revenue</v>
      </c>
      <c r="K484" s="2">
        <v>0</v>
      </c>
      <c r="L484" s="3">
        <v>0</v>
      </c>
      <c r="M484" s="3">
        <v>0</v>
      </c>
      <c r="N484" s="3">
        <v>0</v>
      </c>
      <c r="O484" s="3">
        <v>0</v>
      </c>
      <c r="P484" s="2" t="s">
        <v>231</v>
      </c>
    </row>
    <row r="485" spans="1:16">
      <c r="A485" s="2" t="s">
        <v>280</v>
      </c>
      <c r="B485" s="2" t="s">
        <v>1</v>
      </c>
      <c r="C485" s="2" t="s">
        <v>2</v>
      </c>
      <c r="D485" s="2" t="s">
        <v>133</v>
      </c>
      <c r="E485" s="4" t="str">
        <f t="shared" si="7"/>
        <v>2425 - OUTDOOR CLUB</v>
      </c>
      <c r="F485" s="2" t="s">
        <v>29</v>
      </c>
      <c r="J485" s="5" t="str">
        <f>IF(H485="",VLOOKUP(LEFT(F485,1),'Exp-Rev Categories'!A:B,2,FALSE),IF(ISNA(VLOOKUP(H485,'Exp-Rev Categories'!A:B,2,FALSE)),"Revenue",VLOOKUP(H485,'Exp-Rev Categories'!A:B,2,FALSE)))</f>
        <v>Exp-Goods &amp; Services</v>
      </c>
      <c r="K485" s="2">
        <v>2504</v>
      </c>
      <c r="L485" s="3">
        <v>0</v>
      </c>
      <c r="M485" s="3">
        <v>0</v>
      </c>
      <c r="N485" s="3">
        <v>2504</v>
      </c>
      <c r="O485" s="3">
        <v>0</v>
      </c>
      <c r="P485" s="2" t="s">
        <v>231</v>
      </c>
    </row>
    <row r="486" spans="1:16">
      <c r="A486" s="2" t="s">
        <v>280</v>
      </c>
      <c r="B486" s="2" t="s">
        <v>1</v>
      </c>
      <c r="C486" s="2" t="s">
        <v>2</v>
      </c>
      <c r="D486" s="2" t="s">
        <v>133</v>
      </c>
      <c r="E486" s="4" t="str">
        <f t="shared" si="7"/>
        <v>2425 - OUTDOOR CLUB</v>
      </c>
      <c r="F486" s="2" t="s">
        <v>267</v>
      </c>
      <c r="J486" s="5" t="str">
        <f>IF(H486="",VLOOKUP(LEFT(F486,1),'Exp-Rev Categories'!A:B,2,FALSE),IF(ISNA(VLOOKUP(H486,'Exp-Rev Categories'!A:B,2,FALSE)),"Revenue",VLOOKUP(H486,'Exp-Rev Categories'!A:B,2,FALSE)))</f>
        <v>Exp-Travel</v>
      </c>
      <c r="K486" s="2">
        <v>0</v>
      </c>
      <c r="L486" s="3">
        <v>0</v>
      </c>
      <c r="M486" s="3">
        <v>0</v>
      </c>
      <c r="N486" s="3">
        <v>0</v>
      </c>
      <c r="O486" s="3">
        <v>0</v>
      </c>
      <c r="P486" s="2" t="s">
        <v>231</v>
      </c>
    </row>
    <row r="487" spans="1:16">
      <c r="A487" s="2" t="s">
        <v>280</v>
      </c>
      <c r="B487" s="2" t="s">
        <v>1</v>
      </c>
      <c r="C487" s="2" t="s">
        <v>2</v>
      </c>
      <c r="D487" s="2" t="s">
        <v>133</v>
      </c>
      <c r="E487" s="4" t="str">
        <f t="shared" si="7"/>
        <v>2425 - OUTDOOR CLUB</v>
      </c>
      <c r="F487" s="2" t="s">
        <v>117</v>
      </c>
      <c r="J487" s="5" t="str">
        <f>IF(H487="",VLOOKUP(LEFT(F487,1),'Exp-Rev Categories'!A:B,2,FALSE),IF(ISNA(VLOOKUP(H487,'Exp-Rev Categories'!A:B,2,FALSE)),"Revenue",VLOOKUP(H487,'Exp-Rev Categories'!A:B,2,FALSE)))</f>
        <v>Exp-Grants/Scholarships</v>
      </c>
      <c r="K487" s="2">
        <v>0</v>
      </c>
      <c r="L487" s="3">
        <v>0</v>
      </c>
      <c r="M487" s="3">
        <v>0</v>
      </c>
      <c r="N487" s="3">
        <v>0</v>
      </c>
      <c r="O487" s="3">
        <v>0</v>
      </c>
      <c r="P487" s="2" t="s">
        <v>231</v>
      </c>
    </row>
    <row r="488" spans="1:16">
      <c r="A488" s="2" t="s">
        <v>280</v>
      </c>
      <c r="B488" s="2" t="s">
        <v>1</v>
      </c>
      <c r="C488" s="2" t="s">
        <v>2</v>
      </c>
      <c r="D488" s="2" t="s">
        <v>133</v>
      </c>
      <c r="E488" s="4" t="str">
        <f t="shared" si="7"/>
        <v>2425 - OUTDOOR CLUB</v>
      </c>
      <c r="F488" s="2" t="s">
        <v>117</v>
      </c>
      <c r="G488" s="2" t="s">
        <v>24</v>
      </c>
      <c r="J488" s="5" t="str">
        <f>IF(H488="",VLOOKUP(LEFT(F488,1),'Exp-Rev Categories'!A:B,2,FALSE),IF(ISNA(VLOOKUP(H488,'Exp-Rev Categories'!A:B,2,FALSE)),"Revenue",VLOOKUP(H488,'Exp-Rev Categories'!A:B,2,FALSE)))</f>
        <v>Exp-Grants/Scholarships</v>
      </c>
      <c r="K488" s="2">
        <v>0</v>
      </c>
      <c r="L488" s="3">
        <v>1250</v>
      </c>
      <c r="M488" s="3">
        <v>0</v>
      </c>
      <c r="N488" s="3">
        <v>-1250</v>
      </c>
      <c r="O488" s="3">
        <v>0</v>
      </c>
      <c r="P488" s="2" t="s">
        <v>231</v>
      </c>
    </row>
    <row r="489" spans="1:16">
      <c r="A489" s="2" t="s">
        <v>280</v>
      </c>
      <c r="B489" s="2" t="s">
        <v>1</v>
      </c>
      <c r="C489" s="2" t="s">
        <v>2</v>
      </c>
      <c r="D489" s="2" t="s">
        <v>134</v>
      </c>
      <c r="E489" s="4" t="str">
        <f t="shared" si="7"/>
        <v>2426 - FRISBEE GOLF</v>
      </c>
      <c r="H489" s="2" t="s">
        <v>51</v>
      </c>
      <c r="I489" s="2" t="s">
        <v>135</v>
      </c>
      <c r="J489" s="5" t="str">
        <f>IF(H489="",VLOOKUP(LEFT(F489,1),'Exp-Rev Categories'!A:B,2,FALSE),IF(ISNA(VLOOKUP(H489,'Exp-Rev Categories'!A:B,2,FALSE)),"Revenue",VLOOKUP(H489,'Exp-Rev Categories'!A:B,2,FALSE)))</f>
        <v>Revenue</v>
      </c>
      <c r="K489" s="2">
        <v>0</v>
      </c>
      <c r="L489" s="3">
        <v>-407</v>
      </c>
      <c r="M489" s="3">
        <v>0</v>
      </c>
      <c r="N489" s="3">
        <v>407</v>
      </c>
      <c r="O489" s="3">
        <v>0</v>
      </c>
      <c r="P489" s="2" t="s">
        <v>232</v>
      </c>
    </row>
    <row r="490" spans="1:16">
      <c r="A490" s="2" t="s">
        <v>280</v>
      </c>
      <c r="B490" s="2" t="s">
        <v>1</v>
      </c>
      <c r="C490" s="2" t="s">
        <v>2</v>
      </c>
      <c r="D490" s="2" t="s">
        <v>134</v>
      </c>
      <c r="E490" s="4" t="str">
        <f t="shared" si="7"/>
        <v>2426 - FRISBEE GOLF</v>
      </c>
      <c r="F490" s="2" t="s">
        <v>29</v>
      </c>
      <c r="J490" s="5" t="str">
        <f>IF(H490="",VLOOKUP(LEFT(F490,1),'Exp-Rev Categories'!A:B,2,FALSE),IF(ISNA(VLOOKUP(H490,'Exp-Rev Categories'!A:B,2,FALSE)),"Revenue",VLOOKUP(H490,'Exp-Rev Categories'!A:B,2,FALSE)))</f>
        <v>Exp-Goods &amp; Services</v>
      </c>
      <c r="K490" s="2">
        <v>3000</v>
      </c>
      <c r="L490" s="3">
        <v>0</v>
      </c>
      <c r="M490" s="3">
        <v>0</v>
      </c>
      <c r="N490" s="3">
        <v>3000</v>
      </c>
      <c r="O490" s="3">
        <v>0</v>
      </c>
      <c r="P490" s="2" t="s">
        <v>232</v>
      </c>
    </row>
    <row r="491" spans="1:16">
      <c r="A491" s="2" t="s">
        <v>280</v>
      </c>
      <c r="B491" s="2" t="s">
        <v>1</v>
      </c>
      <c r="C491" s="2" t="s">
        <v>2</v>
      </c>
      <c r="D491" s="2" t="s">
        <v>134</v>
      </c>
      <c r="E491" s="4" t="str">
        <f t="shared" si="7"/>
        <v>2426 - FRISBEE GOLF</v>
      </c>
      <c r="F491" s="2" t="s">
        <v>23</v>
      </c>
      <c r="G491" s="2" t="s">
        <v>24</v>
      </c>
      <c r="J491" s="5" t="str">
        <f>IF(H491="",VLOOKUP(LEFT(F491,1),'Exp-Rev Categories'!A:B,2,FALSE),IF(ISNA(VLOOKUP(H491,'Exp-Rev Categories'!A:B,2,FALSE)),"Revenue",VLOOKUP(H491,'Exp-Rev Categories'!A:B,2,FALSE)))</f>
        <v>Exp-Goods &amp; Services</v>
      </c>
      <c r="K491" s="2">
        <v>0</v>
      </c>
      <c r="L491" s="3">
        <v>491.87</v>
      </c>
      <c r="M491" s="3">
        <v>0</v>
      </c>
      <c r="N491" s="3">
        <v>-491.87</v>
      </c>
      <c r="O491" s="3">
        <v>0</v>
      </c>
      <c r="P491" s="2" t="s">
        <v>232</v>
      </c>
    </row>
    <row r="492" spans="1:16">
      <c r="A492" s="2" t="s">
        <v>280</v>
      </c>
      <c r="B492" s="2" t="s">
        <v>1</v>
      </c>
      <c r="C492" s="2" t="s">
        <v>2</v>
      </c>
      <c r="D492" s="2" t="s">
        <v>134</v>
      </c>
      <c r="E492" s="4" t="str">
        <f t="shared" si="7"/>
        <v>2426 - FRISBEE GOLF</v>
      </c>
      <c r="F492" s="2" t="s">
        <v>54</v>
      </c>
      <c r="G492" s="2" t="s">
        <v>56</v>
      </c>
      <c r="J492" s="5" t="str">
        <f>IF(H492="",VLOOKUP(LEFT(F492,1),'Exp-Rev Categories'!A:B,2,FALSE),IF(ISNA(VLOOKUP(H492,'Exp-Rev Categories'!A:B,2,FALSE)),"Revenue",VLOOKUP(H492,'Exp-Rev Categories'!A:B,2,FALSE)))</f>
        <v>Exp-Goods &amp; Services</v>
      </c>
      <c r="K492" s="2">
        <v>0</v>
      </c>
      <c r="L492" s="3">
        <v>230</v>
      </c>
      <c r="M492" s="3">
        <v>0</v>
      </c>
      <c r="N492" s="3">
        <v>-230</v>
      </c>
      <c r="O492" s="3">
        <v>0</v>
      </c>
      <c r="P492" s="2" t="s">
        <v>232</v>
      </c>
    </row>
    <row r="493" spans="1:16">
      <c r="A493" s="2" t="s">
        <v>280</v>
      </c>
      <c r="B493" s="2" t="s">
        <v>1</v>
      </c>
      <c r="C493" s="2" t="s">
        <v>2</v>
      </c>
      <c r="D493" s="2" t="s">
        <v>134</v>
      </c>
      <c r="E493" s="4" t="str">
        <f t="shared" si="7"/>
        <v>2426 - FRISBEE GOLF</v>
      </c>
      <c r="F493" s="2" t="s">
        <v>41</v>
      </c>
      <c r="G493" s="2" t="s">
        <v>7</v>
      </c>
      <c r="J493" s="5" t="str">
        <f>IF(H493="",VLOOKUP(LEFT(F493,1),'Exp-Rev Categories'!A:B,2,FALSE),IF(ISNA(VLOOKUP(H493,'Exp-Rev Categories'!A:B,2,FALSE)),"Revenue",VLOOKUP(H493,'Exp-Rev Categories'!A:B,2,FALSE)))</f>
        <v>Exp-Goods &amp; Services</v>
      </c>
      <c r="K493" s="2">
        <v>0</v>
      </c>
      <c r="L493" s="3">
        <v>135.97999999999999</v>
      </c>
      <c r="M493" s="3">
        <v>0</v>
      </c>
      <c r="N493" s="3">
        <v>-135.97999999999999</v>
      </c>
      <c r="O493" s="3">
        <v>0</v>
      </c>
      <c r="P493" s="2" t="s">
        <v>232</v>
      </c>
    </row>
    <row r="494" spans="1:16">
      <c r="A494" s="2" t="s">
        <v>280</v>
      </c>
      <c r="B494" s="2" t="s">
        <v>1</v>
      </c>
      <c r="C494" s="2" t="s">
        <v>2</v>
      </c>
      <c r="D494" s="2" t="s">
        <v>134</v>
      </c>
      <c r="E494" s="4" t="str">
        <f t="shared" si="7"/>
        <v>2426 - FRISBEE GOLF</v>
      </c>
      <c r="F494" s="2" t="s">
        <v>267</v>
      </c>
      <c r="J494" s="5" t="str">
        <f>IF(H494="",VLOOKUP(LEFT(F494,1),'Exp-Rev Categories'!A:B,2,FALSE),IF(ISNA(VLOOKUP(H494,'Exp-Rev Categories'!A:B,2,FALSE)),"Revenue",VLOOKUP(H494,'Exp-Rev Categories'!A:B,2,FALSE)))</f>
        <v>Exp-Travel</v>
      </c>
      <c r="K494" s="2">
        <v>0</v>
      </c>
      <c r="L494" s="3">
        <v>0</v>
      </c>
      <c r="M494" s="3">
        <v>0</v>
      </c>
      <c r="N494" s="3">
        <v>0</v>
      </c>
      <c r="O494" s="3">
        <v>0</v>
      </c>
      <c r="P494" s="2" t="s">
        <v>232</v>
      </c>
    </row>
    <row r="495" spans="1:16">
      <c r="A495" s="2" t="s">
        <v>280</v>
      </c>
      <c r="B495" s="2" t="s">
        <v>1</v>
      </c>
      <c r="C495" s="2" t="s">
        <v>2</v>
      </c>
      <c r="D495" s="2" t="s">
        <v>134</v>
      </c>
      <c r="E495" s="4" t="str">
        <f t="shared" si="7"/>
        <v>2426 - FRISBEE GOLF</v>
      </c>
      <c r="F495" s="2" t="s">
        <v>44</v>
      </c>
      <c r="G495" s="2" t="s">
        <v>65</v>
      </c>
      <c r="J495" s="5" t="str">
        <f>IF(H495="",VLOOKUP(LEFT(F495,1),'Exp-Rev Categories'!A:B,2,FALSE),IF(ISNA(VLOOKUP(H495,'Exp-Rev Categories'!A:B,2,FALSE)),"Revenue",VLOOKUP(H495,'Exp-Rev Categories'!A:B,2,FALSE)))</f>
        <v>Exp-Travel</v>
      </c>
      <c r="K495" s="2">
        <v>0</v>
      </c>
      <c r="L495" s="3">
        <v>410.47</v>
      </c>
      <c r="M495" s="3">
        <v>0</v>
      </c>
      <c r="N495" s="3">
        <v>-410.47</v>
      </c>
      <c r="O495" s="3">
        <v>0</v>
      </c>
      <c r="P495" s="2" t="s">
        <v>232</v>
      </c>
    </row>
    <row r="496" spans="1:16">
      <c r="A496" s="2" t="s">
        <v>280</v>
      </c>
      <c r="B496" s="2" t="s">
        <v>1</v>
      </c>
      <c r="C496" s="2" t="s">
        <v>2</v>
      </c>
      <c r="D496" s="2" t="s">
        <v>134</v>
      </c>
      <c r="E496" s="4" t="str">
        <f t="shared" si="7"/>
        <v>2426 - FRISBEE GOLF</v>
      </c>
      <c r="F496" s="2" t="s">
        <v>59</v>
      </c>
      <c r="G496" s="2" t="s">
        <v>24</v>
      </c>
      <c r="J496" s="5" t="str">
        <f>IF(H496="",VLOOKUP(LEFT(F496,1),'Exp-Rev Categories'!A:B,2,FALSE),IF(ISNA(VLOOKUP(H496,'Exp-Rev Categories'!A:B,2,FALSE)),"Revenue",VLOOKUP(H496,'Exp-Rev Categories'!A:B,2,FALSE)))</f>
        <v>Exp-Travel</v>
      </c>
      <c r="K496" s="2">
        <v>0</v>
      </c>
      <c r="L496" s="3">
        <v>1015.3</v>
      </c>
      <c r="M496" s="3">
        <v>0</v>
      </c>
      <c r="N496" s="3">
        <v>-1015.3</v>
      </c>
      <c r="O496" s="3">
        <v>0</v>
      </c>
      <c r="P496" s="2" t="s">
        <v>232</v>
      </c>
    </row>
    <row r="497" spans="1:16">
      <c r="A497" s="2" t="s">
        <v>280</v>
      </c>
      <c r="B497" s="2" t="s">
        <v>1</v>
      </c>
      <c r="C497" s="2" t="s">
        <v>2</v>
      </c>
      <c r="D497" s="2" t="s">
        <v>136</v>
      </c>
      <c r="E497" s="4" t="str">
        <f t="shared" si="7"/>
        <v>2427 - C.P.R. CLUB</v>
      </c>
      <c r="H497" s="2" t="s">
        <v>384</v>
      </c>
      <c r="J497" s="5" t="str">
        <f>IF(H497="",VLOOKUP(LEFT(F497,1),'Exp-Rev Categories'!A:B,2,FALSE),IF(ISNA(VLOOKUP(H497,'Exp-Rev Categories'!A:B,2,FALSE)),"Revenue",VLOOKUP(H497,'Exp-Rev Categories'!A:B,2,FALSE)))</f>
        <v>Revenue</v>
      </c>
      <c r="K497" s="2">
        <v>0</v>
      </c>
      <c r="L497" s="3">
        <v>0</v>
      </c>
      <c r="M497" s="3">
        <v>0</v>
      </c>
      <c r="N497" s="3">
        <v>0</v>
      </c>
      <c r="O497" s="3">
        <v>0</v>
      </c>
      <c r="P497" s="2" t="s">
        <v>138</v>
      </c>
    </row>
    <row r="498" spans="1:16">
      <c r="A498" s="2" t="s">
        <v>280</v>
      </c>
      <c r="B498" s="2" t="s">
        <v>1</v>
      </c>
      <c r="C498" s="2" t="s">
        <v>2</v>
      </c>
      <c r="D498" s="2" t="s">
        <v>136</v>
      </c>
      <c r="E498" s="4" t="str">
        <f t="shared" si="7"/>
        <v>2427 - C.P.R. CLUB</v>
      </c>
      <c r="H498" s="2" t="s">
        <v>51</v>
      </c>
      <c r="I498" s="2" t="s">
        <v>137</v>
      </c>
      <c r="J498" s="5" t="str">
        <f>IF(H498="",VLOOKUP(LEFT(F498,1),'Exp-Rev Categories'!A:B,2,FALSE),IF(ISNA(VLOOKUP(H498,'Exp-Rev Categories'!A:B,2,FALSE)),"Revenue",VLOOKUP(H498,'Exp-Rev Categories'!A:B,2,FALSE)))</f>
        <v>Revenue</v>
      </c>
      <c r="K498" s="2">
        <v>0</v>
      </c>
      <c r="L498" s="3">
        <v>-1178</v>
      </c>
      <c r="M498" s="3">
        <v>0</v>
      </c>
      <c r="N498" s="3">
        <v>1178</v>
      </c>
      <c r="O498" s="3">
        <v>0</v>
      </c>
      <c r="P498" s="2" t="s">
        <v>138</v>
      </c>
    </row>
    <row r="499" spans="1:16">
      <c r="A499" s="2" t="s">
        <v>280</v>
      </c>
      <c r="B499" s="2" t="s">
        <v>1</v>
      </c>
      <c r="C499" s="2" t="s">
        <v>2</v>
      </c>
      <c r="D499" s="2" t="s">
        <v>136</v>
      </c>
      <c r="E499" s="4" t="str">
        <f t="shared" si="7"/>
        <v>2427 - C.P.R. CLUB</v>
      </c>
      <c r="H499" s="2" t="s">
        <v>139</v>
      </c>
      <c r="J499" s="5" t="str">
        <f>IF(H499="",VLOOKUP(LEFT(F499,1),'Exp-Rev Categories'!A:B,2,FALSE),IF(ISNA(VLOOKUP(H499,'Exp-Rev Categories'!A:B,2,FALSE)),"Revenue",VLOOKUP(H499,'Exp-Rev Categories'!A:B,2,FALSE)))</f>
        <v>Rev-Fund Transfers - In</v>
      </c>
      <c r="K499" s="2">
        <v>0</v>
      </c>
      <c r="L499" s="3">
        <v>-256</v>
      </c>
      <c r="M499" s="3">
        <v>0</v>
      </c>
      <c r="N499" s="3">
        <v>256</v>
      </c>
      <c r="O499" s="3">
        <v>0</v>
      </c>
      <c r="P499" s="2" t="s">
        <v>138</v>
      </c>
    </row>
    <row r="500" spans="1:16">
      <c r="A500" s="2" t="s">
        <v>280</v>
      </c>
      <c r="B500" s="2" t="s">
        <v>1</v>
      </c>
      <c r="C500" s="2" t="s">
        <v>2</v>
      </c>
      <c r="D500" s="2" t="s">
        <v>136</v>
      </c>
      <c r="E500" s="4" t="str">
        <f t="shared" si="7"/>
        <v>2427 - C.P.R. CLUB</v>
      </c>
      <c r="H500" s="2" t="s">
        <v>53</v>
      </c>
      <c r="J500" s="5" t="str">
        <f>IF(H500="",VLOOKUP(LEFT(F500,1),'Exp-Rev Categories'!A:B,2,FALSE),IF(ISNA(VLOOKUP(H500,'Exp-Rev Categories'!A:B,2,FALSE)),"Revenue",VLOOKUP(H500,'Exp-Rev Categories'!A:B,2,FALSE)))</f>
        <v>Rev-Fund Transfers - Out</v>
      </c>
      <c r="K500" s="2">
        <v>0</v>
      </c>
      <c r="L500" s="3">
        <v>50</v>
      </c>
      <c r="M500" s="3">
        <v>0</v>
      </c>
      <c r="N500" s="3">
        <v>-50</v>
      </c>
      <c r="O500" s="3">
        <v>0</v>
      </c>
      <c r="P500" s="2" t="s">
        <v>138</v>
      </c>
    </row>
    <row r="501" spans="1:16">
      <c r="A501" s="2" t="s">
        <v>280</v>
      </c>
      <c r="B501" s="2" t="s">
        <v>1</v>
      </c>
      <c r="C501" s="2" t="s">
        <v>2</v>
      </c>
      <c r="D501" s="2" t="s">
        <v>136</v>
      </c>
      <c r="E501" s="4" t="str">
        <f t="shared" si="7"/>
        <v>2427 - C.P.R. CLUB</v>
      </c>
      <c r="H501" s="2" t="s">
        <v>43</v>
      </c>
      <c r="J501" s="5" t="str">
        <f>IF(H501="",VLOOKUP(LEFT(F501,1),'Exp-Rev Categories'!A:B,2,FALSE),IF(ISNA(VLOOKUP(H501,'Exp-Rev Categories'!A:B,2,FALSE)),"Revenue",VLOOKUP(H501,'Exp-Rev Categories'!A:B,2,FALSE)))</f>
        <v>Rev-Intra-Fund Transfer</v>
      </c>
      <c r="K501" s="2">
        <v>0</v>
      </c>
      <c r="L501" s="3">
        <v>0</v>
      </c>
      <c r="M501" s="3">
        <v>0</v>
      </c>
      <c r="N501" s="3">
        <v>0</v>
      </c>
      <c r="O501" s="3">
        <v>0</v>
      </c>
      <c r="P501" s="2" t="s">
        <v>138</v>
      </c>
    </row>
    <row r="502" spans="1:16">
      <c r="A502" s="2" t="s">
        <v>280</v>
      </c>
      <c r="B502" s="2" t="s">
        <v>1</v>
      </c>
      <c r="C502" s="2" t="s">
        <v>2</v>
      </c>
      <c r="D502" s="2" t="s">
        <v>136</v>
      </c>
      <c r="E502" s="4" t="str">
        <f t="shared" si="7"/>
        <v>2427 - C.P.R. CLUB</v>
      </c>
      <c r="F502" s="2" t="s">
        <v>29</v>
      </c>
      <c r="J502" s="5" t="str">
        <f>IF(H502="",VLOOKUP(LEFT(F502,1),'Exp-Rev Categories'!A:B,2,FALSE),IF(ISNA(VLOOKUP(H502,'Exp-Rev Categories'!A:B,2,FALSE)),"Revenue",VLOOKUP(H502,'Exp-Rev Categories'!A:B,2,FALSE)))</f>
        <v>Exp-Goods &amp; Services</v>
      </c>
      <c r="K502" s="2">
        <v>3953</v>
      </c>
      <c r="L502" s="3">
        <v>0</v>
      </c>
      <c r="M502" s="3">
        <v>0</v>
      </c>
      <c r="N502" s="3">
        <v>3953</v>
      </c>
      <c r="O502" s="3">
        <v>0</v>
      </c>
      <c r="P502" s="2" t="s">
        <v>138</v>
      </c>
    </row>
    <row r="503" spans="1:16">
      <c r="A503" s="2" t="s">
        <v>280</v>
      </c>
      <c r="B503" s="2" t="s">
        <v>1</v>
      </c>
      <c r="C503" s="2" t="s">
        <v>2</v>
      </c>
      <c r="D503" s="2" t="s">
        <v>136</v>
      </c>
      <c r="E503" s="4" t="str">
        <f t="shared" si="7"/>
        <v>2427 - C.P.R. CLUB</v>
      </c>
      <c r="F503" s="2" t="s">
        <v>23</v>
      </c>
      <c r="G503" s="2" t="s">
        <v>24</v>
      </c>
      <c r="J503" s="5" t="str">
        <f>IF(H503="",VLOOKUP(LEFT(F503,1),'Exp-Rev Categories'!A:B,2,FALSE),IF(ISNA(VLOOKUP(H503,'Exp-Rev Categories'!A:B,2,FALSE)),"Revenue",VLOOKUP(H503,'Exp-Rev Categories'!A:B,2,FALSE)))</f>
        <v>Exp-Goods &amp; Services</v>
      </c>
      <c r="K503" s="2">
        <v>0</v>
      </c>
      <c r="L503" s="3">
        <v>1186.27</v>
      </c>
      <c r="M503" s="3">
        <v>0</v>
      </c>
      <c r="N503" s="3">
        <v>-1186.27</v>
      </c>
      <c r="O503" s="3">
        <v>0</v>
      </c>
      <c r="P503" s="2" t="s">
        <v>138</v>
      </c>
    </row>
    <row r="504" spans="1:16">
      <c r="A504" s="2" t="s">
        <v>280</v>
      </c>
      <c r="B504" s="2" t="s">
        <v>1</v>
      </c>
      <c r="C504" s="2" t="s">
        <v>2</v>
      </c>
      <c r="D504" s="2" t="s">
        <v>136</v>
      </c>
      <c r="E504" s="4" t="str">
        <f t="shared" si="7"/>
        <v>2427 - C.P.R. CLUB</v>
      </c>
      <c r="F504" s="2" t="s">
        <v>54</v>
      </c>
      <c r="G504" s="2" t="s">
        <v>56</v>
      </c>
      <c r="J504" s="5" t="str">
        <f>IF(H504="",VLOOKUP(LEFT(F504,1),'Exp-Rev Categories'!A:B,2,FALSE),IF(ISNA(VLOOKUP(H504,'Exp-Rev Categories'!A:B,2,FALSE)),"Revenue",VLOOKUP(H504,'Exp-Rev Categories'!A:B,2,FALSE)))</f>
        <v>Exp-Goods &amp; Services</v>
      </c>
      <c r="K504" s="2">
        <v>0</v>
      </c>
      <c r="L504" s="3">
        <v>980</v>
      </c>
      <c r="M504" s="3">
        <v>0</v>
      </c>
      <c r="N504" s="3">
        <v>-980</v>
      </c>
      <c r="O504" s="3">
        <v>0</v>
      </c>
      <c r="P504" s="2" t="s">
        <v>138</v>
      </c>
    </row>
    <row r="505" spans="1:16">
      <c r="A505" s="2" t="s">
        <v>280</v>
      </c>
      <c r="B505" s="2" t="s">
        <v>1</v>
      </c>
      <c r="C505" s="2" t="s">
        <v>2</v>
      </c>
      <c r="D505" s="2" t="s">
        <v>136</v>
      </c>
      <c r="E505" s="4" t="str">
        <f t="shared" si="7"/>
        <v>2427 - C.P.R. CLUB</v>
      </c>
      <c r="F505" s="2" t="s">
        <v>41</v>
      </c>
      <c r="G505" s="2" t="s">
        <v>66</v>
      </c>
      <c r="J505" s="5" t="str">
        <f>IF(H505="",VLOOKUP(LEFT(F505,1),'Exp-Rev Categories'!A:B,2,FALSE),IF(ISNA(VLOOKUP(H505,'Exp-Rev Categories'!A:B,2,FALSE)),"Revenue",VLOOKUP(H505,'Exp-Rev Categories'!A:B,2,FALSE)))</f>
        <v>Exp-Goods &amp; Services</v>
      </c>
      <c r="K505" s="2">
        <v>0</v>
      </c>
      <c r="L505" s="3">
        <v>347.22</v>
      </c>
      <c r="M505" s="3">
        <v>0</v>
      </c>
      <c r="N505" s="3">
        <v>-347.22</v>
      </c>
      <c r="O505" s="3">
        <v>0</v>
      </c>
      <c r="P505" s="2" t="s">
        <v>138</v>
      </c>
    </row>
    <row r="506" spans="1:16">
      <c r="A506" s="2" t="s">
        <v>280</v>
      </c>
      <c r="B506" s="2" t="s">
        <v>1</v>
      </c>
      <c r="C506" s="2" t="s">
        <v>2</v>
      </c>
      <c r="D506" s="2" t="s">
        <v>136</v>
      </c>
      <c r="E506" s="4" t="str">
        <f t="shared" si="7"/>
        <v>2427 - C.P.R. CLUB</v>
      </c>
      <c r="F506" s="2" t="s">
        <v>41</v>
      </c>
      <c r="G506" s="2" t="s">
        <v>64</v>
      </c>
      <c r="J506" s="5" t="str">
        <f>IF(H506="",VLOOKUP(LEFT(F506,1),'Exp-Rev Categories'!A:B,2,FALSE),IF(ISNA(VLOOKUP(H506,'Exp-Rev Categories'!A:B,2,FALSE)),"Revenue",VLOOKUP(H506,'Exp-Rev Categories'!A:B,2,FALSE)))</f>
        <v>Exp-Goods &amp; Services</v>
      </c>
      <c r="K506" s="2">
        <v>0</v>
      </c>
      <c r="L506" s="3">
        <v>40</v>
      </c>
      <c r="M506" s="3">
        <v>0</v>
      </c>
      <c r="N506" s="3">
        <v>-40</v>
      </c>
      <c r="O506" s="3">
        <v>0</v>
      </c>
      <c r="P506" s="2" t="s">
        <v>138</v>
      </c>
    </row>
    <row r="507" spans="1:16">
      <c r="A507" s="2" t="s">
        <v>280</v>
      </c>
      <c r="B507" s="2" t="s">
        <v>1</v>
      </c>
      <c r="C507" s="2" t="s">
        <v>2</v>
      </c>
      <c r="D507" s="2" t="s">
        <v>136</v>
      </c>
      <c r="E507" s="4" t="str">
        <f t="shared" si="7"/>
        <v>2427 - C.P.R. CLUB</v>
      </c>
      <c r="F507" s="2" t="s">
        <v>267</v>
      </c>
      <c r="J507" s="5" t="str">
        <f>IF(H507="",VLOOKUP(LEFT(F507,1),'Exp-Rev Categories'!A:B,2,FALSE),IF(ISNA(VLOOKUP(H507,'Exp-Rev Categories'!A:B,2,FALSE)),"Revenue",VLOOKUP(H507,'Exp-Rev Categories'!A:B,2,FALSE)))</f>
        <v>Exp-Travel</v>
      </c>
      <c r="K507" s="2">
        <v>0</v>
      </c>
      <c r="L507" s="3">
        <v>0</v>
      </c>
      <c r="M507" s="3">
        <v>0</v>
      </c>
      <c r="N507" s="3">
        <v>0</v>
      </c>
      <c r="O507" s="3">
        <v>0</v>
      </c>
      <c r="P507" s="2" t="s">
        <v>138</v>
      </c>
    </row>
    <row r="508" spans="1:16">
      <c r="A508" s="2" t="s">
        <v>280</v>
      </c>
      <c r="B508" s="2" t="s">
        <v>1</v>
      </c>
      <c r="C508" s="2" t="s">
        <v>2</v>
      </c>
      <c r="D508" s="2" t="s">
        <v>136</v>
      </c>
      <c r="E508" s="4" t="str">
        <f t="shared" si="7"/>
        <v>2427 - C.P.R. CLUB</v>
      </c>
      <c r="F508" s="2" t="s">
        <v>67</v>
      </c>
      <c r="G508" s="2" t="s">
        <v>24</v>
      </c>
      <c r="J508" s="5" t="str">
        <f>IF(H508="",VLOOKUP(LEFT(F508,1),'Exp-Rev Categories'!A:B,2,FALSE),IF(ISNA(VLOOKUP(H508,'Exp-Rev Categories'!A:B,2,FALSE)),"Revenue",VLOOKUP(H508,'Exp-Rev Categories'!A:B,2,FALSE)))</f>
        <v>Exp-Travel</v>
      </c>
      <c r="K508" s="2">
        <v>0</v>
      </c>
      <c r="L508" s="3">
        <v>2126.16</v>
      </c>
      <c r="M508" s="3">
        <v>0</v>
      </c>
      <c r="N508" s="3">
        <v>-2126.16</v>
      </c>
      <c r="O508" s="3">
        <v>0</v>
      </c>
      <c r="P508" s="2" t="s">
        <v>138</v>
      </c>
    </row>
    <row r="509" spans="1:16">
      <c r="A509" s="2" t="s">
        <v>280</v>
      </c>
      <c r="B509" s="2" t="s">
        <v>1</v>
      </c>
      <c r="C509" s="2" t="s">
        <v>2</v>
      </c>
      <c r="D509" s="2" t="s">
        <v>136</v>
      </c>
      <c r="E509" s="4" t="str">
        <f t="shared" si="7"/>
        <v>2427 - C.P.R. CLUB</v>
      </c>
      <c r="F509" s="2" t="s">
        <v>87</v>
      </c>
      <c r="G509" s="2" t="s">
        <v>24</v>
      </c>
      <c r="J509" s="5" t="str">
        <f>IF(H509="",VLOOKUP(LEFT(F509,1),'Exp-Rev Categories'!A:B,2,FALSE),IF(ISNA(VLOOKUP(H509,'Exp-Rev Categories'!A:B,2,FALSE)),"Revenue",VLOOKUP(H509,'Exp-Rev Categories'!A:B,2,FALSE)))</f>
        <v>Exp-Travel</v>
      </c>
      <c r="K509" s="2">
        <v>0</v>
      </c>
      <c r="L509" s="3">
        <v>1016.8</v>
      </c>
      <c r="M509" s="3">
        <v>0</v>
      </c>
      <c r="N509" s="3">
        <v>-1016.8</v>
      </c>
      <c r="O509" s="3">
        <v>0</v>
      </c>
      <c r="P509" s="2" t="s">
        <v>138</v>
      </c>
    </row>
    <row r="510" spans="1:16">
      <c r="A510" s="2" t="s">
        <v>280</v>
      </c>
      <c r="B510" s="2" t="s">
        <v>1</v>
      </c>
      <c r="C510" s="2" t="s">
        <v>2</v>
      </c>
      <c r="D510" s="2" t="s">
        <v>136</v>
      </c>
      <c r="E510" s="4" t="str">
        <f t="shared" si="7"/>
        <v>2427 - C.P.R. CLUB</v>
      </c>
      <c r="F510" s="2" t="s">
        <v>44</v>
      </c>
      <c r="G510" s="2" t="s">
        <v>24</v>
      </c>
      <c r="J510" s="5" t="str">
        <f>IF(H510="",VLOOKUP(LEFT(F510,1),'Exp-Rev Categories'!A:B,2,FALSE),IF(ISNA(VLOOKUP(H510,'Exp-Rev Categories'!A:B,2,FALSE)),"Revenue",VLOOKUP(H510,'Exp-Rev Categories'!A:B,2,FALSE)))</f>
        <v>Exp-Travel</v>
      </c>
      <c r="K510" s="2">
        <v>0</v>
      </c>
      <c r="L510" s="3">
        <v>110</v>
      </c>
      <c r="M510" s="3">
        <v>0</v>
      </c>
      <c r="N510" s="3">
        <v>-110</v>
      </c>
      <c r="O510" s="3">
        <v>0</v>
      </c>
      <c r="P510" s="2" t="s">
        <v>138</v>
      </c>
    </row>
    <row r="511" spans="1:16">
      <c r="A511" s="2" t="s">
        <v>280</v>
      </c>
      <c r="B511" s="2" t="s">
        <v>1</v>
      </c>
      <c r="C511" s="2" t="s">
        <v>2</v>
      </c>
      <c r="D511" s="2" t="s">
        <v>136</v>
      </c>
      <c r="E511" s="4" t="str">
        <f t="shared" si="7"/>
        <v>2427 - C.P.R. CLUB</v>
      </c>
      <c r="F511" s="2" t="s">
        <v>268</v>
      </c>
      <c r="J511" s="5" t="str">
        <f>IF(H511="",VLOOKUP(LEFT(F511,1),'Exp-Rev Categories'!A:B,2,FALSE),IF(ISNA(VLOOKUP(H511,'Exp-Rev Categories'!A:B,2,FALSE)),"Revenue",VLOOKUP(H511,'Exp-Rev Categories'!A:B,2,FALSE)))</f>
        <v>Exp-Equipment</v>
      </c>
      <c r="K511" s="2">
        <v>0</v>
      </c>
      <c r="L511" s="3">
        <v>0</v>
      </c>
      <c r="M511" s="3">
        <v>0</v>
      </c>
      <c r="N511" s="3">
        <v>0</v>
      </c>
      <c r="O511" s="3">
        <v>0</v>
      </c>
      <c r="P511" s="2" t="s">
        <v>138</v>
      </c>
    </row>
    <row r="512" spans="1:16">
      <c r="A512" s="2" t="s">
        <v>280</v>
      </c>
      <c r="B512" s="2" t="s">
        <v>1</v>
      </c>
      <c r="C512" s="2" t="s">
        <v>2</v>
      </c>
      <c r="D512" s="2" t="s">
        <v>140</v>
      </c>
      <c r="E512" s="4" t="str">
        <f t="shared" si="7"/>
        <v>2428 - ASSC STUDENT GOVRNMT</v>
      </c>
      <c r="H512" s="2" t="s">
        <v>51</v>
      </c>
      <c r="I512" s="2" t="s">
        <v>141</v>
      </c>
      <c r="J512" s="5" t="str">
        <f>IF(H512="",VLOOKUP(LEFT(F512,1),'Exp-Rev Categories'!A:B,2,FALSE),IF(ISNA(VLOOKUP(H512,'Exp-Rev Categories'!A:B,2,FALSE)),"Revenue",VLOOKUP(H512,'Exp-Rev Categories'!A:B,2,FALSE)))</f>
        <v>Revenue</v>
      </c>
      <c r="K512" s="2">
        <v>0</v>
      </c>
      <c r="L512" s="3">
        <v>-297</v>
      </c>
      <c r="M512" s="3">
        <v>0</v>
      </c>
      <c r="N512" s="3">
        <v>297</v>
      </c>
      <c r="O512" s="3">
        <v>0</v>
      </c>
      <c r="P512" s="2" t="s">
        <v>233</v>
      </c>
    </row>
    <row r="513" spans="1:16">
      <c r="A513" s="2" t="s">
        <v>280</v>
      </c>
      <c r="B513" s="2" t="s">
        <v>1</v>
      </c>
      <c r="C513" s="2" t="s">
        <v>2</v>
      </c>
      <c r="D513" s="2" t="s">
        <v>140</v>
      </c>
      <c r="E513" s="4" t="str">
        <f t="shared" si="7"/>
        <v>2428 - ASSC STUDENT GOVRNMT</v>
      </c>
      <c r="F513" s="2" t="s">
        <v>29</v>
      </c>
      <c r="J513" s="5" t="str">
        <f>IF(H513="",VLOOKUP(LEFT(F513,1),'Exp-Rev Categories'!A:B,2,FALSE),IF(ISNA(VLOOKUP(H513,'Exp-Rev Categories'!A:B,2,FALSE)),"Revenue",VLOOKUP(H513,'Exp-Rev Categories'!A:B,2,FALSE)))</f>
        <v>Exp-Goods &amp; Services</v>
      </c>
      <c r="K513" s="2">
        <v>36920</v>
      </c>
      <c r="L513" s="3">
        <v>0</v>
      </c>
      <c r="M513" s="3">
        <v>0</v>
      </c>
      <c r="N513" s="3">
        <v>36920</v>
      </c>
      <c r="O513" s="3">
        <v>0</v>
      </c>
      <c r="P513" s="2" t="s">
        <v>233</v>
      </c>
    </row>
    <row r="514" spans="1:16">
      <c r="A514" s="2" t="s">
        <v>280</v>
      </c>
      <c r="B514" s="2" t="s">
        <v>1</v>
      </c>
      <c r="C514" s="2" t="s">
        <v>2</v>
      </c>
      <c r="D514" s="2" t="s">
        <v>140</v>
      </c>
      <c r="E514" s="4" t="str">
        <f t="shared" ref="E514:E577" si="8">D514&amp;" - "&amp;P514</f>
        <v>2428 - ASSC STUDENT GOVRNMT</v>
      </c>
      <c r="F514" s="2" t="s">
        <v>23</v>
      </c>
      <c r="G514" s="2" t="s">
        <v>24</v>
      </c>
      <c r="J514" s="5" t="str">
        <f>IF(H514="",VLOOKUP(LEFT(F514,1),'Exp-Rev Categories'!A:B,2,FALSE),IF(ISNA(VLOOKUP(H514,'Exp-Rev Categories'!A:B,2,FALSE)),"Revenue",VLOOKUP(H514,'Exp-Rev Categories'!A:B,2,FALSE)))</f>
        <v>Exp-Goods &amp; Services</v>
      </c>
      <c r="K514" s="2">
        <v>0</v>
      </c>
      <c r="L514" s="3">
        <v>16194.97</v>
      </c>
      <c r="M514" s="3">
        <v>0</v>
      </c>
      <c r="N514" s="3">
        <v>-16194.97</v>
      </c>
      <c r="O514" s="3">
        <v>0</v>
      </c>
      <c r="P514" s="2" t="s">
        <v>233</v>
      </c>
    </row>
    <row r="515" spans="1:16">
      <c r="A515" s="2" t="s">
        <v>280</v>
      </c>
      <c r="B515" s="2" t="s">
        <v>1</v>
      </c>
      <c r="C515" s="2" t="s">
        <v>2</v>
      </c>
      <c r="D515" s="2" t="s">
        <v>140</v>
      </c>
      <c r="E515" s="4" t="str">
        <f t="shared" si="8"/>
        <v>2428 - ASSC STUDENT GOVRNMT</v>
      </c>
      <c r="F515" s="2" t="s">
        <v>23</v>
      </c>
      <c r="G515" s="2" t="s">
        <v>77</v>
      </c>
      <c r="J515" s="5" t="str">
        <f>IF(H515="",VLOOKUP(LEFT(F515,1),'Exp-Rev Categories'!A:B,2,FALSE),IF(ISNA(VLOOKUP(H515,'Exp-Rev Categories'!A:B,2,FALSE)),"Revenue",VLOOKUP(H515,'Exp-Rev Categories'!A:B,2,FALSE)))</f>
        <v>Exp-Goods &amp; Services</v>
      </c>
      <c r="K515" s="2">
        <v>0</v>
      </c>
      <c r="L515" s="3">
        <v>4.46</v>
      </c>
      <c r="M515" s="3">
        <v>0</v>
      </c>
      <c r="N515" s="3">
        <v>-4.46</v>
      </c>
      <c r="O515" s="3">
        <v>0</v>
      </c>
      <c r="P515" s="2" t="s">
        <v>233</v>
      </c>
    </row>
    <row r="516" spans="1:16">
      <c r="A516" s="2" t="s">
        <v>280</v>
      </c>
      <c r="B516" s="2" t="s">
        <v>1</v>
      </c>
      <c r="C516" s="2" t="s">
        <v>2</v>
      </c>
      <c r="D516" s="2" t="s">
        <v>140</v>
      </c>
      <c r="E516" s="4" t="str">
        <f t="shared" si="8"/>
        <v>2428 - ASSC STUDENT GOVRNMT</v>
      </c>
      <c r="F516" s="2" t="s">
        <v>78</v>
      </c>
      <c r="G516" s="2" t="s">
        <v>24</v>
      </c>
      <c r="J516" s="5" t="str">
        <f>IF(H516="",VLOOKUP(LEFT(F516,1),'Exp-Rev Categories'!A:B,2,FALSE),IF(ISNA(VLOOKUP(H516,'Exp-Rev Categories'!A:B,2,FALSE)),"Revenue",VLOOKUP(H516,'Exp-Rev Categories'!A:B,2,FALSE)))</f>
        <v>Exp-Goods &amp; Services</v>
      </c>
      <c r="K516" s="2">
        <v>0</v>
      </c>
      <c r="L516" s="3">
        <v>1232</v>
      </c>
      <c r="M516" s="3">
        <v>0</v>
      </c>
      <c r="N516" s="3">
        <v>-1232</v>
      </c>
      <c r="O516" s="3">
        <v>0</v>
      </c>
      <c r="P516" s="2" t="s">
        <v>233</v>
      </c>
    </row>
    <row r="517" spans="1:16">
      <c r="A517" s="2" t="s">
        <v>280</v>
      </c>
      <c r="B517" s="2" t="s">
        <v>1</v>
      </c>
      <c r="C517" s="2" t="s">
        <v>2</v>
      </c>
      <c r="D517" s="2" t="s">
        <v>140</v>
      </c>
      <c r="E517" s="4" t="str">
        <f t="shared" si="8"/>
        <v>2428 - ASSC STUDENT GOVRNMT</v>
      </c>
      <c r="F517" s="2" t="s">
        <v>94</v>
      </c>
      <c r="G517" s="2" t="s">
        <v>24</v>
      </c>
      <c r="J517" s="5" t="str">
        <f>IF(H517="",VLOOKUP(LEFT(F517,1),'Exp-Rev Categories'!A:B,2,FALSE),IF(ISNA(VLOOKUP(H517,'Exp-Rev Categories'!A:B,2,FALSE)),"Revenue",VLOOKUP(H517,'Exp-Rev Categories'!A:B,2,FALSE)))</f>
        <v>Exp-Goods &amp; Services</v>
      </c>
      <c r="K517" s="2">
        <v>0</v>
      </c>
      <c r="L517" s="3">
        <v>50</v>
      </c>
      <c r="M517" s="3">
        <v>0</v>
      </c>
      <c r="N517" s="3">
        <v>-50</v>
      </c>
      <c r="O517" s="3">
        <v>0</v>
      </c>
      <c r="P517" s="2" t="s">
        <v>233</v>
      </c>
    </row>
    <row r="518" spans="1:16">
      <c r="A518" s="2" t="s">
        <v>280</v>
      </c>
      <c r="B518" s="2" t="s">
        <v>1</v>
      </c>
      <c r="C518" s="2" t="s">
        <v>2</v>
      </c>
      <c r="D518" s="2" t="s">
        <v>140</v>
      </c>
      <c r="E518" s="4" t="str">
        <f t="shared" si="8"/>
        <v>2428 - ASSC STUDENT GOVRNMT</v>
      </c>
      <c r="F518" s="2" t="s">
        <v>94</v>
      </c>
      <c r="G518" s="2" t="s">
        <v>66</v>
      </c>
      <c r="J518" s="5" t="str">
        <f>IF(H518="",VLOOKUP(LEFT(F518,1),'Exp-Rev Categories'!A:B,2,FALSE),IF(ISNA(VLOOKUP(H518,'Exp-Rev Categories'!A:B,2,FALSE)),"Revenue",VLOOKUP(H518,'Exp-Rev Categories'!A:B,2,FALSE)))</f>
        <v>Exp-Goods &amp; Services</v>
      </c>
      <c r="K518" s="2">
        <v>0</v>
      </c>
      <c r="L518" s="3">
        <v>251.1</v>
      </c>
      <c r="M518" s="3">
        <v>0</v>
      </c>
      <c r="N518" s="3">
        <v>-251.1</v>
      </c>
      <c r="O518" s="3">
        <v>0</v>
      </c>
      <c r="P518" s="2" t="s">
        <v>233</v>
      </c>
    </row>
    <row r="519" spans="1:16">
      <c r="A519" s="2" t="s">
        <v>280</v>
      </c>
      <c r="B519" s="2" t="s">
        <v>1</v>
      </c>
      <c r="C519" s="2" t="s">
        <v>2</v>
      </c>
      <c r="D519" s="2" t="s">
        <v>140</v>
      </c>
      <c r="E519" s="4" t="str">
        <f t="shared" si="8"/>
        <v>2428 - ASSC STUDENT GOVRNMT</v>
      </c>
      <c r="F519" s="2" t="s">
        <v>54</v>
      </c>
      <c r="G519" s="2" t="s">
        <v>58</v>
      </c>
      <c r="J519" s="5" t="str">
        <f>IF(H519="",VLOOKUP(LEFT(F519,1),'Exp-Rev Categories'!A:B,2,FALSE),IF(ISNA(VLOOKUP(H519,'Exp-Rev Categories'!A:B,2,FALSE)),"Revenue",VLOOKUP(H519,'Exp-Rev Categories'!A:B,2,FALSE)))</f>
        <v>Exp-Goods &amp; Services</v>
      </c>
      <c r="K519" s="2">
        <v>0</v>
      </c>
      <c r="L519" s="3">
        <v>321.26</v>
      </c>
      <c r="M519" s="3">
        <v>0</v>
      </c>
      <c r="N519" s="3">
        <v>-321.26</v>
      </c>
      <c r="O519" s="3">
        <v>0</v>
      </c>
      <c r="P519" s="2" t="s">
        <v>233</v>
      </c>
    </row>
    <row r="520" spans="1:16">
      <c r="A520" s="2" t="s">
        <v>280</v>
      </c>
      <c r="B520" s="2" t="s">
        <v>1</v>
      </c>
      <c r="C520" s="2" t="s">
        <v>2</v>
      </c>
      <c r="D520" s="2" t="s">
        <v>140</v>
      </c>
      <c r="E520" s="4" t="str">
        <f t="shared" si="8"/>
        <v>2428 - ASSC STUDENT GOVRNMT</v>
      </c>
      <c r="F520" s="2" t="s">
        <v>54</v>
      </c>
      <c r="G520" s="2" t="s">
        <v>55</v>
      </c>
      <c r="J520" s="5" t="str">
        <f>IF(H520="",VLOOKUP(LEFT(F520,1),'Exp-Rev Categories'!A:B,2,FALSE),IF(ISNA(VLOOKUP(H520,'Exp-Rev Categories'!A:B,2,FALSE)),"Revenue",VLOOKUP(H520,'Exp-Rev Categories'!A:B,2,FALSE)))</f>
        <v>Exp-Goods &amp; Services</v>
      </c>
      <c r="K520" s="2">
        <v>0</v>
      </c>
      <c r="L520" s="3">
        <v>286.75</v>
      </c>
      <c r="M520" s="3">
        <v>0</v>
      </c>
      <c r="N520" s="3">
        <v>-286.75</v>
      </c>
      <c r="O520" s="3">
        <v>0</v>
      </c>
      <c r="P520" s="2" t="s">
        <v>233</v>
      </c>
    </row>
    <row r="521" spans="1:16">
      <c r="A521" s="2" t="s">
        <v>280</v>
      </c>
      <c r="B521" s="2" t="s">
        <v>1</v>
      </c>
      <c r="C521" s="2" t="s">
        <v>2</v>
      </c>
      <c r="D521" s="2" t="s">
        <v>140</v>
      </c>
      <c r="E521" s="4" t="str">
        <f t="shared" si="8"/>
        <v>2428 - ASSC STUDENT GOVRNMT</v>
      </c>
      <c r="F521" s="2" t="s">
        <v>54</v>
      </c>
      <c r="G521" s="2" t="s">
        <v>56</v>
      </c>
      <c r="J521" s="5" t="str">
        <f>IF(H521="",VLOOKUP(LEFT(F521,1),'Exp-Rev Categories'!A:B,2,FALSE),IF(ISNA(VLOOKUP(H521,'Exp-Rev Categories'!A:B,2,FALSE)),"Revenue",VLOOKUP(H521,'Exp-Rev Categories'!A:B,2,FALSE)))</f>
        <v>Exp-Goods &amp; Services</v>
      </c>
      <c r="K521" s="2">
        <v>0</v>
      </c>
      <c r="L521" s="3">
        <v>3351</v>
      </c>
      <c r="M521" s="3">
        <v>0</v>
      </c>
      <c r="N521" s="3">
        <v>-3351</v>
      </c>
      <c r="O521" s="3">
        <v>0</v>
      </c>
      <c r="P521" s="2" t="s">
        <v>233</v>
      </c>
    </row>
    <row r="522" spans="1:16">
      <c r="A522" s="2" t="s">
        <v>280</v>
      </c>
      <c r="B522" s="2" t="s">
        <v>1</v>
      </c>
      <c r="C522" s="2" t="s">
        <v>2</v>
      </c>
      <c r="D522" s="2" t="s">
        <v>140</v>
      </c>
      <c r="E522" s="4" t="str">
        <f t="shared" si="8"/>
        <v>2428 - ASSC STUDENT GOVRNMT</v>
      </c>
      <c r="F522" s="2" t="s">
        <v>41</v>
      </c>
      <c r="G522" s="2" t="s">
        <v>24</v>
      </c>
      <c r="J522" s="5" t="str">
        <f>IF(H522="",VLOOKUP(LEFT(F522,1),'Exp-Rev Categories'!A:B,2,FALSE),IF(ISNA(VLOOKUP(H522,'Exp-Rev Categories'!A:B,2,FALSE)),"Revenue",VLOOKUP(H522,'Exp-Rev Categories'!A:B,2,FALSE)))</f>
        <v>Exp-Goods &amp; Services</v>
      </c>
      <c r="K522" s="2">
        <v>0</v>
      </c>
      <c r="L522" s="3">
        <v>684.86</v>
      </c>
      <c r="M522" s="3">
        <v>0</v>
      </c>
      <c r="N522" s="3">
        <v>-684.86</v>
      </c>
      <c r="O522" s="3">
        <v>0</v>
      </c>
      <c r="P522" s="2" t="s">
        <v>233</v>
      </c>
    </row>
    <row r="523" spans="1:16">
      <c r="A523" s="2" t="s">
        <v>280</v>
      </c>
      <c r="B523" s="2" t="s">
        <v>1</v>
      </c>
      <c r="C523" s="2" t="s">
        <v>2</v>
      </c>
      <c r="D523" s="2" t="s">
        <v>140</v>
      </c>
      <c r="E523" s="4" t="str">
        <f t="shared" si="8"/>
        <v>2428 - ASSC STUDENT GOVRNMT</v>
      </c>
      <c r="F523" s="2" t="s">
        <v>41</v>
      </c>
      <c r="G523" s="2" t="s">
        <v>7</v>
      </c>
      <c r="J523" s="5" t="str">
        <f>IF(H523="",VLOOKUP(LEFT(F523,1),'Exp-Rev Categories'!A:B,2,FALSE),IF(ISNA(VLOOKUP(H523,'Exp-Rev Categories'!A:B,2,FALSE)),"Revenue",VLOOKUP(H523,'Exp-Rev Categories'!A:B,2,FALSE)))</f>
        <v>Exp-Goods &amp; Services</v>
      </c>
      <c r="K523" s="2">
        <v>0</v>
      </c>
      <c r="L523" s="3">
        <v>2614.9899999999998</v>
      </c>
      <c r="M523" s="3">
        <v>0</v>
      </c>
      <c r="N523" s="3">
        <v>-2614.9899999999998</v>
      </c>
      <c r="O523" s="3">
        <v>0</v>
      </c>
      <c r="P523" s="2" t="s">
        <v>233</v>
      </c>
    </row>
    <row r="524" spans="1:16">
      <c r="A524" s="2" t="s">
        <v>280</v>
      </c>
      <c r="B524" s="2" t="s">
        <v>1</v>
      </c>
      <c r="C524" s="2" t="s">
        <v>2</v>
      </c>
      <c r="D524" s="2" t="s">
        <v>140</v>
      </c>
      <c r="E524" s="4" t="str">
        <f t="shared" si="8"/>
        <v>2428 - ASSC STUDENT GOVRNMT</v>
      </c>
      <c r="F524" s="2" t="s">
        <v>41</v>
      </c>
      <c r="G524" s="2" t="s">
        <v>64</v>
      </c>
      <c r="J524" s="5" t="str">
        <f>IF(H524="",VLOOKUP(LEFT(F524,1),'Exp-Rev Categories'!A:B,2,FALSE),IF(ISNA(VLOOKUP(H524,'Exp-Rev Categories'!A:B,2,FALSE)),"Revenue",VLOOKUP(H524,'Exp-Rev Categories'!A:B,2,FALSE)))</f>
        <v>Exp-Goods &amp; Services</v>
      </c>
      <c r="K524" s="2">
        <v>0</v>
      </c>
      <c r="L524" s="3">
        <v>3294.44</v>
      </c>
      <c r="M524" s="3">
        <v>0</v>
      </c>
      <c r="N524" s="3">
        <v>-3294.44</v>
      </c>
      <c r="O524" s="3">
        <v>0</v>
      </c>
      <c r="P524" s="2" t="s">
        <v>233</v>
      </c>
    </row>
    <row r="525" spans="1:16">
      <c r="A525" s="2" t="s">
        <v>280</v>
      </c>
      <c r="B525" s="2" t="s">
        <v>1</v>
      </c>
      <c r="C525" s="2" t="s">
        <v>2</v>
      </c>
      <c r="D525" s="2" t="s">
        <v>140</v>
      </c>
      <c r="E525" s="4" t="str">
        <f t="shared" si="8"/>
        <v>2428 - ASSC STUDENT GOVRNMT</v>
      </c>
      <c r="F525" s="2" t="s">
        <v>267</v>
      </c>
      <c r="J525" s="5" t="str">
        <f>IF(H525="",VLOOKUP(LEFT(F525,1),'Exp-Rev Categories'!A:B,2,FALSE),IF(ISNA(VLOOKUP(H525,'Exp-Rev Categories'!A:B,2,FALSE)),"Revenue",VLOOKUP(H525,'Exp-Rev Categories'!A:B,2,FALSE)))</f>
        <v>Exp-Travel</v>
      </c>
      <c r="K525" s="2">
        <v>0</v>
      </c>
      <c r="L525" s="3">
        <v>0</v>
      </c>
      <c r="M525" s="3">
        <v>0</v>
      </c>
      <c r="N525" s="3">
        <v>0</v>
      </c>
      <c r="O525" s="3">
        <v>0</v>
      </c>
      <c r="P525" s="2" t="s">
        <v>233</v>
      </c>
    </row>
    <row r="526" spans="1:16">
      <c r="A526" s="2" t="s">
        <v>280</v>
      </c>
      <c r="B526" s="2" t="s">
        <v>1</v>
      </c>
      <c r="C526" s="2" t="s">
        <v>2</v>
      </c>
      <c r="D526" s="2" t="s">
        <v>140</v>
      </c>
      <c r="E526" s="4" t="str">
        <f t="shared" si="8"/>
        <v>2428 - ASSC STUDENT GOVRNMT</v>
      </c>
      <c r="F526" s="2" t="s">
        <v>67</v>
      </c>
      <c r="G526" s="2" t="s">
        <v>24</v>
      </c>
      <c r="J526" s="5" t="str">
        <f>IF(H526="",VLOOKUP(LEFT(F526,1),'Exp-Rev Categories'!A:B,2,FALSE),IF(ISNA(VLOOKUP(H526,'Exp-Rev Categories'!A:B,2,FALSE)),"Revenue",VLOOKUP(H526,'Exp-Rev Categories'!A:B,2,FALSE)))</f>
        <v>Exp-Travel</v>
      </c>
      <c r="K526" s="2">
        <v>0</v>
      </c>
      <c r="L526" s="3">
        <v>1481.26</v>
      </c>
      <c r="M526" s="3">
        <v>0</v>
      </c>
      <c r="N526" s="3">
        <v>-1481.26</v>
      </c>
      <c r="O526" s="3">
        <v>0</v>
      </c>
      <c r="P526" s="2" t="s">
        <v>233</v>
      </c>
    </row>
    <row r="527" spans="1:16">
      <c r="A527" s="2" t="s">
        <v>280</v>
      </c>
      <c r="B527" s="2" t="s">
        <v>1</v>
      </c>
      <c r="C527" s="2" t="s">
        <v>2</v>
      </c>
      <c r="D527" s="2" t="s">
        <v>140</v>
      </c>
      <c r="E527" s="4" t="str">
        <f t="shared" si="8"/>
        <v>2428 - ASSC STUDENT GOVRNMT</v>
      </c>
      <c r="F527" s="2" t="s">
        <v>87</v>
      </c>
      <c r="G527" s="2" t="s">
        <v>24</v>
      </c>
      <c r="J527" s="5" t="str">
        <f>IF(H527="",VLOOKUP(LEFT(F527,1),'Exp-Rev Categories'!A:B,2,FALSE),IF(ISNA(VLOOKUP(H527,'Exp-Rev Categories'!A:B,2,FALSE)),"Revenue",VLOOKUP(H527,'Exp-Rev Categories'!A:B,2,FALSE)))</f>
        <v>Exp-Travel</v>
      </c>
      <c r="K527" s="2">
        <v>0</v>
      </c>
      <c r="L527" s="3">
        <v>838.4</v>
      </c>
      <c r="M527" s="3">
        <v>0</v>
      </c>
      <c r="N527" s="3">
        <v>-838.4</v>
      </c>
      <c r="O527" s="3">
        <v>0</v>
      </c>
      <c r="P527" s="2" t="s">
        <v>233</v>
      </c>
    </row>
    <row r="528" spans="1:16">
      <c r="A528" s="2" t="s">
        <v>280</v>
      </c>
      <c r="B528" s="2" t="s">
        <v>1</v>
      </c>
      <c r="C528" s="2" t="s">
        <v>2</v>
      </c>
      <c r="D528" s="2" t="s">
        <v>140</v>
      </c>
      <c r="E528" s="4" t="str">
        <f t="shared" si="8"/>
        <v>2428 - ASSC STUDENT GOVRNMT</v>
      </c>
      <c r="F528" s="2" t="s">
        <v>44</v>
      </c>
      <c r="G528" s="2" t="s">
        <v>24</v>
      </c>
      <c r="J528" s="5" t="str">
        <f>IF(H528="",VLOOKUP(LEFT(F528,1),'Exp-Rev Categories'!A:B,2,FALSE),IF(ISNA(VLOOKUP(H528,'Exp-Rev Categories'!A:B,2,FALSE)),"Revenue",VLOOKUP(H528,'Exp-Rev Categories'!A:B,2,FALSE)))</f>
        <v>Exp-Travel</v>
      </c>
      <c r="K528" s="2">
        <v>0</v>
      </c>
      <c r="L528" s="3">
        <v>212.47</v>
      </c>
      <c r="M528" s="3">
        <v>0</v>
      </c>
      <c r="N528" s="3">
        <v>-212.47</v>
      </c>
      <c r="O528" s="3">
        <v>0</v>
      </c>
      <c r="P528" s="2" t="s">
        <v>233</v>
      </c>
    </row>
    <row r="529" spans="1:16">
      <c r="A529" s="2" t="s">
        <v>280</v>
      </c>
      <c r="B529" s="2" t="s">
        <v>1</v>
      </c>
      <c r="C529" s="2" t="s">
        <v>2</v>
      </c>
      <c r="D529" s="2" t="s">
        <v>140</v>
      </c>
      <c r="E529" s="4" t="str">
        <f t="shared" si="8"/>
        <v>2428 - ASSC STUDENT GOVRNMT</v>
      </c>
      <c r="F529" s="2" t="s">
        <v>44</v>
      </c>
      <c r="G529" s="2" t="s">
        <v>21</v>
      </c>
      <c r="J529" s="5" t="str">
        <f>IF(H529="",VLOOKUP(LEFT(F529,1),'Exp-Rev Categories'!A:B,2,FALSE),IF(ISNA(VLOOKUP(H529,'Exp-Rev Categories'!A:B,2,FALSE)),"Revenue",VLOOKUP(H529,'Exp-Rev Categories'!A:B,2,FALSE)))</f>
        <v>Exp-Travel</v>
      </c>
      <c r="K529" s="2">
        <v>0</v>
      </c>
      <c r="L529" s="3">
        <v>81.900000000000006</v>
      </c>
      <c r="M529" s="3">
        <v>0</v>
      </c>
      <c r="N529" s="3">
        <v>-81.900000000000006</v>
      </c>
      <c r="O529" s="3">
        <v>0</v>
      </c>
      <c r="P529" s="2" t="s">
        <v>233</v>
      </c>
    </row>
    <row r="530" spans="1:16">
      <c r="A530" s="2" t="s">
        <v>280</v>
      </c>
      <c r="B530" s="2" t="s">
        <v>1</v>
      </c>
      <c r="C530" s="2" t="s">
        <v>2</v>
      </c>
      <c r="D530" s="2" t="s">
        <v>140</v>
      </c>
      <c r="E530" s="4" t="str">
        <f t="shared" si="8"/>
        <v>2428 - ASSC STUDENT GOVRNMT</v>
      </c>
      <c r="F530" s="2" t="s">
        <v>44</v>
      </c>
      <c r="G530" s="2" t="s">
        <v>7</v>
      </c>
      <c r="J530" s="5" t="str">
        <f>IF(H530="",VLOOKUP(LEFT(F530,1),'Exp-Rev Categories'!A:B,2,FALSE),IF(ISNA(VLOOKUP(H530,'Exp-Rev Categories'!A:B,2,FALSE)),"Revenue",VLOOKUP(H530,'Exp-Rev Categories'!A:B,2,FALSE)))</f>
        <v>Exp-Travel</v>
      </c>
      <c r="K530" s="2">
        <v>0</v>
      </c>
      <c r="L530" s="3">
        <v>1142.46</v>
      </c>
      <c r="M530" s="3">
        <v>0</v>
      </c>
      <c r="N530" s="3">
        <v>-1142.46</v>
      </c>
      <c r="O530" s="3">
        <v>0</v>
      </c>
      <c r="P530" s="2" t="s">
        <v>233</v>
      </c>
    </row>
    <row r="531" spans="1:16">
      <c r="A531" s="2" t="s">
        <v>280</v>
      </c>
      <c r="B531" s="2" t="s">
        <v>1</v>
      </c>
      <c r="C531" s="2" t="s">
        <v>2</v>
      </c>
      <c r="D531" s="2" t="s">
        <v>140</v>
      </c>
      <c r="E531" s="4" t="str">
        <f t="shared" si="8"/>
        <v>2428 - ASSC STUDENT GOVRNMT</v>
      </c>
      <c r="F531" s="2" t="s">
        <v>44</v>
      </c>
      <c r="G531" s="2" t="s">
        <v>58</v>
      </c>
      <c r="J531" s="5" t="str">
        <f>IF(H531="",VLOOKUP(LEFT(F531,1),'Exp-Rev Categories'!A:B,2,FALSE),IF(ISNA(VLOOKUP(H531,'Exp-Rev Categories'!A:B,2,FALSE)),"Revenue",VLOOKUP(H531,'Exp-Rev Categories'!A:B,2,FALSE)))</f>
        <v>Exp-Travel</v>
      </c>
      <c r="K531" s="2">
        <v>0</v>
      </c>
      <c r="L531" s="3">
        <v>7.5</v>
      </c>
      <c r="M531" s="3">
        <v>0</v>
      </c>
      <c r="N531" s="3">
        <v>-7.5</v>
      </c>
      <c r="O531" s="3">
        <v>0</v>
      </c>
      <c r="P531" s="2" t="s">
        <v>233</v>
      </c>
    </row>
    <row r="532" spans="1:16">
      <c r="A532" s="2" t="s">
        <v>280</v>
      </c>
      <c r="B532" s="2" t="s">
        <v>1</v>
      </c>
      <c r="C532" s="2" t="s">
        <v>2</v>
      </c>
      <c r="D532" s="2" t="s">
        <v>140</v>
      </c>
      <c r="E532" s="4" t="str">
        <f t="shared" si="8"/>
        <v>2428 - ASSC STUDENT GOVRNMT</v>
      </c>
      <c r="F532" s="2" t="s">
        <v>44</v>
      </c>
      <c r="G532" s="2" t="s">
        <v>65</v>
      </c>
      <c r="J532" s="5" t="str">
        <f>IF(H532="",VLOOKUP(LEFT(F532,1),'Exp-Rev Categories'!A:B,2,FALSE),IF(ISNA(VLOOKUP(H532,'Exp-Rev Categories'!A:B,2,FALSE)),"Revenue",VLOOKUP(H532,'Exp-Rev Categories'!A:B,2,FALSE)))</f>
        <v>Exp-Travel</v>
      </c>
      <c r="K532" s="2">
        <v>0</v>
      </c>
      <c r="L532" s="3">
        <v>560.9</v>
      </c>
      <c r="M532" s="3">
        <v>0</v>
      </c>
      <c r="N532" s="3">
        <v>-560.9</v>
      </c>
      <c r="O532" s="3">
        <v>0</v>
      </c>
      <c r="P532" s="2" t="s">
        <v>233</v>
      </c>
    </row>
    <row r="533" spans="1:16">
      <c r="A533" s="2" t="s">
        <v>280</v>
      </c>
      <c r="B533" s="2" t="s">
        <v>1</v>
      </c>
      <c r="C533" s="2" t="s">
        <v>2</v>
      </c>
      <c r="D533" s="2" t="s">
        <v>140</v>
      </c>
      <c r="E533" s="4" t="str">
        <f t="shared" si="8"/>
        <v>2428 - ASSC STUDENT GOVRNMT</v>
      </c>
      <c r="F533" s="2" t="s">
        <v>59</v>
      </c>
      <c r="G533" s="2" t="s">
        <v>24</v>
      </c>
      <c r="J533" s="5" t="str">
        <f>IF(H533="",VLOOKUP(LEFT(F533,1),'Exp-Rev Categories'!A:B,2,FALSE),IF(ISNA(VLOOKUP(H533,'Exp-Rev Categories'!A:B,2,FALSE)),"Revenue",VLOOKUP(H533,'Exp-Rev Categories'!A:B,2,FALSE)))</f>
        <v>Exp-Travel</v>
      </c>
      <c r="K533" s="2">
        <v>0</v>
      </c>
      <c r="L533" s="3">
        <v>1852.46</v>
      </c>
      <c r="M533" s="3">
        <v>0</v>
      </c>
      <c r="N533" s="3">
        <v>-1852.46</v>
      </c>
      <c r="O533" s="3">
        <v>0</v>
      </c>
      <c r="P533" s="2" t="s">
        <v>233</v>
      </c>
    </row>
    <row r="534" spans="1:16">
      <c r="A534" s="2" t="s">
        <v>280</v>
      </c>
      <c r="B534" s="2" t="s">
        <v>1</v>
      </c>
      <c r="C534" s="2" t="s">
        <v>2</v>
      </c>
      <c r="D534" s="2" t="s">
        <v>140</v>
      </c>
      <c r="E534" s="4" t="str">
        <f t="shared" si="8"/>
        <v>2428 - ASSC STUDENT GOVRNMT</v>
      </c>
      <c r="F534" s="2" t="s">
        <v>60</v>
      </c>
      <c r="G534" s="2" t="s">
        <v>24</v>
      </c>
      <c r="J534" s="5" t="str">
        <f>IF(H534="",VLOOKUP(LEFT(F534,1),'Exp-Rev Categories'!A:B,2,FALSE),IF(ISNA(VLOOKUP(H534,'Exp-Rev Categories'!A:B,2,FALSE)),"Revenue",VLOOKUP(H534,'Exp-Rev Categories'!A:B,2,FALSE)))</f>
        <v>Exp-Travel</v>
      </c>
      <c r="K534" s="2">
        <v>0</v>
      </c>
      <c r="L534" s="3">
        <v>926.4</v>
      </c>
      <c r="M534" s="3">
        <v>0</v>
      </c>
      <c r="N534" s="3">
        <v>-926.4</v>
      </c>
      <c r="O534" s="3">
        <v>0</v>
      </c>
      <c r="P534" s="2" t="s">
        <v>233</v>
      </c>
    </row>
    <row r="535" spans="1:16">
      <c r="A535" s="2" t="s">
        <v>280</v>
      </c>
      <c r="B535" s="2" t="s">
        <v>1</v>
      </c>
      <c r="C535" s="2" t="s">
        <v>2</v>
      </c>
      <c r="D535" s="2" t="s">
        <v>140</v>
      </c>
      <c r="E535" s="4" t="str">
        <f t="shared" si="8"/>
        <v>2428 - ASSC STUDENT GOVRNMT</v>
      </c>
      <c r="F535" s="2" t="s">
        <v>268</v>
      </c>
      <c r="J535" s="5" t="str">
        <f>IF(H535="",VLOOKUP(LEFT(F535,1),'Exp-Rev Categories'!A:B,2,FALSE),IF(ISNA(VLOOKUP(H535,'Exp-Rev Categories'!A:B,2,FALSE)),"Revenue",VLOOKUP(H535,'Exp-Rev Categories'!A:B,2,FALSE)))</f>
        <v>Exp-Equipment</v>
      </c>
      <c r="K535" s="2">
        <v>0</v>
      </c>
      <c r="L535" s="3">
        <v>0</v>
      </c>
      <c r="M535" s="3">
        <v>0</v>
      </c>
      <c r="N535" s="3">
        <v>0</v>
      </c>
      <c r="O535" s="3">
        <v>0</v>
      </c>
      <c r="P535" s="2" t="s">
        <v>233</v>
      </c>
    </row>
    <row r="536" spans="1:16">
      <c r="A536" s="2" t="s">
        <v>280</v>
      </c>
      <c r="B536" s="2" t="s">
        <v>1</v>
      </c>
      <c r="C536" s="2" t="s">
        <v>2</v>
      </c>
      <c r="D536" s="2" t="s">
        <v>140</v>
      </c>
      <c r="E536" s="4" t="str">
        <f t="shared" si="8"/>
        <v>2428 - ASSC STUDENT GOVRNMT</v>
      </c>
      <c r="F536" s="2" t="s">
        <v>68</v>
      </c>
      <c r="J536" s="5" t="str">
        <f>IF(H536="",VLOOKUP(LEFT(F536,1),'Exp-Rev Categories'!A:B,2,FALSE),IF(ISNA(VLOOKUP(H536,'Exp-Rev Categories'!A:B,2,FALSE)),"Revenue",VLOOKUP(H536,'Exp-Rev Categories'!A:B,2,FALSE)))</f>
        <v>Exp-Computer Equipment</v>
      </c>
      <c r="K536" s="2">
        <v>0</v>
      </c>
      <c r="L536" s="3">
        <v>1659.83</v>
      </c>
      <c r="M536" s="3">
        <v>0</v>
      </c>
      <c r="N536" s="3">
        <v>-1659.83</v>
      </c>
      <c r="O536" s="3">
        <v>0</v>
      </c>
      <c r="P536" s="2" t="s">
        <v>233</v>
      </c>
    </row>
    <row r="537" spans="1:16">
      <c r="A537" s="2" t="s">
        <v>280</v>
      </c>
      <c r="B537" s="2" t="s">
        <v>1</v>
      </c>
      <c r="C537" s="2" t="s">
        <v>2</v>
      </c>
      <c r="D537" s="2" t="s">
        <v>140</v>
      </c>
      <c r="E537" s="4" t="str">
        <f t="shared" si="8"/>
        <v>2428 - ASSC STUDENT GOVRNMT</v>
      </c>
      <c r="F537" s="2" t="s">
        <v>117</v>
      </c>
      <c r="J537" s="5" t="str">
        <f>IF(H537="",VLOOKUP(LEFT(F537,1),'Exp-Rev Categories'!A:B,2,FALSE),IF(ISNA(VLOOKUP(H537,'Exp-Rev Categories'!A:B,2,FALSE)),"Revenue",VLOOKUP(H537,'Exp-Rev Categories'!A:B,2,FALSE)))</f>
        <v>Exp-Grants/Scholarships</v>
      </c>
      <c r="K537" s="2">
        <v>0</v>
      </c>
      <c r="L537" s="3">
        <v>0</v>
      </c>
      <c r="M537" s="3">
        <v>0</v>
      </c>
      <c r="N537" s="3">
        <v>0</v>
      </c>
      <c r="O537" s="3">
        <v>0</v>
      </c>
      <c r="P537" s="2" t="s">
        <v>233</v>
      </c>
    </row>
    <row r="538" spans="1:16">
      <c r="A538" s="2" t="s">
        <v>280</v>
      </c>
      <c r="B538" s="2" t="s">
        <v>1</v>
      </c>
      <c r="C538" s="2" t="s">
        <v>2</v>
      </c>
      <c r="D538" s="2" t="s">
        <v>140</v>
      </c>
      <c r="E538" s="4" t="str">
        <f t="shared" si="8"/>
        <v>2428 - ASSC STUDENT GOVRNMT</v>
      </c>
      <c r="F538" s="2" t="s">
        <v>117</v>
      </c>
      <c r="G538" s="2" t="s">
        <v>24</v>
      </c>
      <c r="J538" s="5" t="str">
        <f>IF(H538="",VLOOKUP(LEFT(F538,1),'Exp-Rev Categories'!A:B,2,FALSE),IF(ISNA(VLOOKUP(H538,'Exp-Rev Categories'!A:B,2,FALSE)),"Revenue",VLOOKUP(H538,'Exp-Rev Categories'!A:B,2,FALSE)))</f>
        <v>Exp-Grants/Scholarships</v>
      </c>
      <c r="K538" s="2">
        <v>0</v>
      </c>
      <c r="L538" s="3">
        <v>250</v>
      </c>
      <c r="M538" s="3">
        <v>0</v>
      </c>
      <c r="N538" s="3">
        <v>-250</v>
      </c>
      <c r="O538" s="3">
        <v>0</v>
      </c>
      <c r="P538" s="2" t="s">
        <v>233</v>
      </c>
    </row>
    <row r="539" spans="1:16">
      <c r="A539" s="2" t="s">
        <v>280</v>
      </c>
      <c r="B539" s="2" t="s">
        <v>1</v>
      </c>
      <c r="C539" s="2" t="s">
        <v>2</v>
      </c>
      <c r="D539" s="2" t="s">
        <v>385</v>
      </c>
      <c r="E539" s="4" t="str">
        <f t="shared" si="8"/>
        <v>2429 - SHOC</v>
      </c>
      <c r="F539" s="2" t="s">
        <v>29</v>
      </c>
      <c r="J539" s="5" t="str">
        <f>IF(H539="",VLOOKUP(LEFT(F539,1),'Exp-Rev Categories'!A:B,2,FALSE),IF(ISNA(VLOOKUP(H539,'Exp-Rev Categories'!A:B,2,FALSE)),"Revenue",VLOOKUP(H539,'Exp-Rev Categories'!A:B,2,FALSE)))</f>
        <v>Exp-Goods &amp; Services</v>
      </c>
      <c r="K539" s="2">
        <v>0</v>
      </c>
      <c r="L539" s="3">
        <v>0</v>
      </c>
      <c r="M539" s="3">
        <v>0</v>
      </c>
      <c r="N539" s="3">
        <v>0</v>
      </c>
      <c r="O539" s="3">
        <v>0</v>
      </c>
      <c r="P539" s="2" t="s">
        <v>386</v>
      </c>
    </row>
    <row r="540" spans="1:16">
      <c r="A540" s="2" t="s">
        <v>280</v>
      </c>
      <c r="B540" s="2" t="s">
        <v>1</v>
      </c>
      <c r="C540" s="2" t="s">
        <v>2</v>
      </c>
      <c r="D540" s="2" t="s">
        <v>142</v>
      </c>
      <c r="E540" s="4" t="str">
        <f t="shared" si="8"/>
        <v>2430 - EXPLORERS</v>
      </c>
      <c r="H540" s="2" t="s">
        <v>51</v>
      </c>
      <c r="I540" s="2" t="s">
        <v>143</v>
      </c>
      <c r="J540" s="5" t="str">
        <f>IF(H540="",VLOOKUP(LEFT(F540,1),'Exp-Rev Categories'!A:B,2,FALSE),IF(ISNA(VLOOKUP(H540,'Exp-Rev Categories'!A:B,2,FALSE)),"Revenue",VLOOKUP(H540,'Exp-Rev Categories'!A:B,2,FALSE)))</f>
        <v>Revenue</v>
      </c>
      <c r="K540" s="2">
        <v>0</v>
      </c>
      <c r="L540" s="3">
        <v>-3413</v>
      </c>
      <c r="M540" s="3">
        <v>0</v>
      </c>
      <c r="N540" s="3">
        <v>3413</v>
      </c>
      <c r="O540" s="3">
        <v>0</v>
      </c>
      <c r="P540" s="2" t="s">
        <v>234</v>
      </c>
    </row>
    <row r="541" spans="1:16">
      <c r="A541" s="2" t="s">
        <v>280</v>
      </c>
      <c r="B541" s="2" t="s">
        <v>1</v>
      </c>
      <c r="C541" s="2" t="s">
        <v>2</v>
      </c>
      <c r="D541" s="2" t="s">
        <v>142</v>
      </c>
      <c r="E541" s="4" t="str">
        <f t="shared" si="8"/>
        <v>2430 - EXPLORERS</v>
      </c>
      <c r="H541" s="2" t="s">
        <v>43</v>
      </c>
      <c r="J541" s="5" t="str">
        <f>IF(H541="",VLOOKUP(LEFT(F541,1),'Exp-Rev Categories'!A:B,2,FALSE),IF(ISNA(VLOOKUP(H541,'Exp-Rev Categories'!A:B,2,FALSE)),"Revenue",VLOOKUP(H541,'Exp-Rev Categories'!A:B,2,FALSE)))</f>
        <v>Rev-Intra-Fund Transfer</v>
      </c>
      <c r="K541" s="2">
        <v>0</v>
      </c>
      <c r="L541" s="3">
        <v>0</v>
      </c>
      <c r="M541" s="3">
        <v>0</v>
      </c>
      <c r="N541" s="3">
        <v>0</v>
      </c>
      <c r="O541" s="3">
        <v>0</v>
      </c>
      <c r="P541" s="2" t="s">
        <v>234</v>
      </c>
    </row>
    <row r="542" spans="1:16">
      <c r="A542" s="2" t="s">
        <v>280</v>
      </c>
      <c r="B542" s="2" t="s">
        <v>1</v>
      </c>
      <c r="C542" s="2" t="s">
        <v>2</v>
      </c>
      <c r="D542" s="2" t="s">
        <v>142</v>
      </c>
      <c r="E542" s="4" t="str">
        <f t="shared" si="8"/>
        <v>2430 - EXPLORERS</v>
      </c>
      <c r="F542" s="2" t="s">
        <v>266</v>
      </c>
      <c r="J542" s="5" t="str">
        <f>IF(H542="",VLOOKUP(LEFT(F542,1),'Exp-Rev Categories'!A:B,2,FALSE),IF(ISNA(VLOOKUP(H542,'Exp-Rev Categories'!A:B,2,FALSE)),"Revenue",VLOOKUP(H542,'Exp-Rev Categories'!A:B,2,FALSE)))</f>
        <v>Exp-Personal Service Contracts</v>
      </c>
      <c r="K542" s="2">
        <v>0</v>
      </c>
      <c r="L542" s="3">
        <v>0</v>
      </c>
      <c r="M542" s="3">
        <v>0</v>
      </c>
      <c r="N542" s="3">
        <v>0</v>
      </c>
      <c r="O542" s="3">
        <v>0</v>
      </c>
      <c r="P542" s="2" t="s">
        <v>234</v>
      </c>
    </row>
    <row r="543" spans="1:16">
      <c r="A543" s="2" t="s">
        <v>280</v>
      </c>
      <c r="B543" s="2" t="s">
        <v>1</v>
      </c>
      <c r="C543" s="2" t="s">
        <v>2</v>
      </c>
      <c r="D543" s="2" t="s">
        <v>142</v>
      </c>
      <c r="E543" s="4" t="str">
        <f t="shared" si="8"/>
        <v>2430 - EXPLORERS</v>
      </c>
      <c r="F543" s="2" t="s">
        <v>387</v>
      </c>
      <c r="G543" s="2" t="s">
        <v>24</v>
      </c>
      <c r="J543" s="5" t="str">
        <f>IF(H543="",VLOOKUP(LEFT(F543,1),'Exp-Rev Categories'!A:B,2,FALSE),IF(ISNA(VLOOKUP(H543,'Exp-Rev Categories'!A:B,2,FALSE)),"Revenue",VLOOKUP(H543,'Exp-Rev Categories'!A:B,2,FALSE)))</f>
        <v>Exp-Personal Service Contracts</v>
      </c>
      <c r="K543" s="2">
        <v>0</v>
      </c>
      <c r="L543" s="3">
        <v>0</v>
      </c>
      <c r="M543" s="3">
        <v>0</v>
      </c>
      <c r="N543" s="3">
        <v>0</v>
      </c>
      <c r="O543" s="3">
        <v>0</v>
      </c>
      <c r="P543" s="2" t="s">
        <v>234</v>
      </c>
    </row>
    <row r="544" spans="1:16">
      <c r="A544" s="2" t="s">
        <v>280</v>
      </c>
      <c r="B544" s="2" t="s">
        <v>1</v>
      </c>
      <c r="C544" s="2" t="s">
        <v>2</v>
      </c>
      <c r="D544" s="2" t="s">
        <v>142</v>
      </c>
      <c r="E544" s="4" t="str">
        <f t="shared" si="8"/>
        <v>2430 - EXPLORERS</v>
      </c>
      <c r="F544" s="2" t="s">
        <v>29</v>
      </c>
      <c r="J544" s="5" t="str">
        <f>IF(H544="",VLOOKUP(LEFT(F544,1),'Exp-Rev Categories'!A:B,2,FALSE),IF(ISNA(VLOOKUP(H544,'Exp-Rev Categories'!A:B,2,FALSE)),"Revenue",VLOOKUP(H544,'Exp-Rev Categories'!A:B,2,FALSE)))</f>
        <v>Exp-Goods &amp; Services</v>
      </c>
      <c r="K544" s="2">
        <v>4930</v>
      </c>
      <c r="L544" s="3">
        <v>0</v>
      </c>
      <c r="M544" s="3">
        <v>0</v>
      </c>
      <c r="N544" s="3">
        <v>4930</v>
      </c>
      <c r="O544" s="3">
        <v>0</v>
      </c>
      <c r="P544" s="2" t="s">
        <v>234</v>
      </c>
    </row>
    <row r="545" spans="1:16">
      <c r="A545" s="2" t="s">
        <v>280</v>
      </c>
      <c r="B545" s="2" t="s">
        <v>1</v>
      </c>
      <c r="C545" s="2" t="s">
        <v>2</v>
      </c>
      <c r="D545" s="2" t="s">
        <v>142</v>
      </c>
      <c r="E545" s="4" t="str">
        <f t="shared" si="8"/>
        <v>2430 - EXPLORERS</v>
      </c>
      <c r="F545" s="2" t="s">
        <v>23</v>
      </c>
      <c r="G545" s="2" t="s">
        <v>24</v>
      </c>
      <c r="J545" s="5" t="str">
        <f>IF(H545="",VLOOKUP(LEFT(F545,1),'Exp-Rev Categories'!A:B,2,FALSE),IF(ISNA(VLOOKUP(H545,'Exp-Rev Categories'!A:B,2,FALSE)),"Revenue",VLOOKUP(H545,'Exp-Rev Categories'!A:B,2,FALSE)))</f>
        <v>Exp-Goods &amp; Services</v>
      </c>
      <c r="K545" s="2">
        <v>0</v>
      </c>
      <c r="L545" s="3">
        <v>6925.26</v>
      </c>
      <c r="M545" s="3">
        <v>0</v>
      </c>
      <c r="N545" s="3">
        <v>-6925.26</v>
      </c>
      <c r="O545" s="3">
        <v>0</v>
      </c>
      <c r="P545" s="2" t="s">
        <v>234</v>
      </c>
    </row>
    <row r="546" spans="1:16">
      <c r="A546" s="2" t="s">
        <v>280</v>
      </c>
      <c r="B546" s="2" t="s">
        <v>1</v>
      </c>
      <c r="C546" s="2" t="s">
        <v>2</v>
      </c>
      <c r="D546" s="2" t="s">
        <v>142</v>
      </c>
      <c r="E546" s="4" t="str">
        <f t="shared" si="8"/>
        <v>2430 - EXPLORERS</v>
      </c>
      <c r="F546" s="2" t="s">
        <v>54</v>
      </c>
      <c r="G546" s="2" t="s">
        <v>24</v>
      </c>
      <c r="J546" s="5" t="str">
        <f>IF(H546="",VLOOKUP(LEFT(F546,1),'Exp-Rev Categories'!A:B,2,FALSE),IF(ISNA(VLOOKUP(H546,'Exp-Rev Categories'!A:B,2,FALSE)),"Revenue",VLOOKUP(H546,'Exp-Rev Categories'!A:B,2,FALSE)))</f>
        <v>Exp-Goods &amp; Services</v>
      </c>
      <c r="K546" s="2">
        <v>0</v>
      </c>
      <c r="L546" s="3">
        <v>400</v>
      </c>
      <c r="M546" s="3">
        <v>0</v>
      </c>
      <c r="N546" s="3">
        <v>-400</v>
      </c>
      <c r="O546" s="3">
        <v>0</v>
      </c>
      <c r="P546" s="2" t="s">
        <v>234</v>
      </c>
    </row>
    <row r="547" spans="1:16">
      <c r="A547" s="2" t="s">
        <v>280</v>
      </c>
      <c r="B547" s="2" t="s">
        <v>1</v>
      </c>
      <c r="C547" s="2" t="s">
        <v>2</v>
      </c>
      <c r="D547" s="2" t="s">
        <v>142</v>
      </c>
      <c r="E547" s="4" t="str">
        <f t="shared" si="8"/>
        <v>2430 - EXPLORERS</v>
      </c>
      <c r="F547" s="2" t="s">
        <v>41</v>
      </c>
      <c r="G547" s="2" t="s">
        <v>24</v>
      </c>
      <c r="J547" s="5" t="str">
        <f>IF(H547="",VLOOKUP(LEFT(F547,1),'Exp-Rev Categories'!A:B,2,FALSE),IF(ISNA(VLOOKUP(H547,'Exp-Rev Categories'!A:B,2,FALSE)),"Revenue",VLOOKUP(H547,'Exp-Rev Categories'!A:B,2,FALSE)))</f>
        <v>Exp-Goods &amp; Services</v>
      </c>
      <c r="K547" s="2">
        <v>0</v>
      </c>
      <c r="L547" s="3">
        <v>357.22</v>
      </c>
      <c r="M547" s="3">
        <v>0</v>
      </c>
      <c r="N547" s="3">
        <v>-357.22</v>
      </c>
      <c r="O547" s="3">
        <v>0</v>
      </c>
      <c r="P547" s="2" t="s">
        <v>234</v>
      </c>
    </row>
    <row r="548" spans="1:16">
      <c r="A548" s="2" t="s">
        <v>280</v>
      </c>
      <c r="B548" s="2" t="s">
        <v>1</v>
      </c>
      <c r="C548" s="2" t="s">
        <v>2</v>
      </c>
      <c r="D548" s="2" t="s">
        <v>142</v>
      </c>
      <c r="E548" s="4" t="str">
        <f t="shared" si="8"/>
        <v>2430 - EXPLORERS</v>
      </c>
      <c r="F548" s="2" t="s">
        <v>41</v>
      </c>
      <c r="G548" s="2" t="s">
        <v>21</v>
      </c>
      <c r="J548" s="5" t="str">
        <f>IF(H548="",VLOOKUP(LEFT(F548,1),'Exp-Rev Categories'!A:B,2,FALSE),IF(ISNA(VLOOKUP(H548,'Exp-Rev Categories'!A:B,2,FALSE)),"Revenue",VLOOKUP(H548,'Exp-Rev Categories'!A:B,2,FALSE)))</f>
        <v>Exp-Goods &amp; Services</v>
      </c>
      <c r="K548" s="2">
        <v>0</v>
      </c>
      <c r="L548" s="3">
        <v>2552.19</v>
      </c>
      <c r="M548" s="3">
        <v>0</v>
      </c>
      <c r="N548" s="3">
        <v>-2552.19</v>
      </c>
      <c r="O548" s="3">
        <v>0</v>
      </c>
      <c r="P548" s="2" t="s">
        <v>234</v>
      </c>
    </row>
    <row r="549" spans="1:16">
      <c r="A549" s="2" t="s">
        <v>280</v>
      </c>
      <c r="B549" s="2" t="s">
        <v>1</v>
      </c>
      <c r="C549" s="2" t="s">
        <v>2</v>
      </c>
      <c r="D549" s="2" t="s">
        <v>142</v>
      </c>
      <c r="E549" s="4" t="str">
        <f t="shared" si="8"/>
        <v>2430 - EXPLORERS</v>
      </c>
      <c r="F549" s="2" t="s">
        <v>41</v>
      </c>
      <c r="G549" s="2" t="s">
        <v>7</v>
      </c>
      <c r="J549" s="5" t="str">
        <f>IF(H549="",VLOOKUP(LEFT(F549,1),'Exp-Rev Categories'!A:B,2,FALSE),IF(ISNA(VLOOKUP(H549,'Exp-Rev Categories'!A:B,2,FALSE)),"Revenue",VLOOKUP(H549,'Exp-Rev Categories'!A:B,2,FALSE)))</f>
        <v>Exp-Goods &amp; Services</v>
      </c>
      <c r="K549" s="2">
        <v>0</v>
      </c>
      <c r="L549" s="3">
        <v>863.2</v>
      </c>
      <c r="M549" s="3">
        <v>0</v>
      </c>
      <c r="N549" s="3">
        <v>-863.2</v>
      </c>
      <c r="O549" s="3">
        <v>0</v>
      </c>
      <c r="P549" s="2" t="s">
        <v>234</v>
      </c>
    </row>
    <row r="550" spans="1:16">
      <c r="A550" s="2" t="s">
        <v>280</v>
      </c>
      <c r="B550" s="2" t="s">
        <v>1</v>
      </c>
      <c r="C550" s="2" t="s">
        <v>2</v>
      </c>
      <c r="D550" s="2" t="s">
        <v>142</v>
      </c>
      <c r="E550" s="4" t="str">
        <f t="shared" si="8"/>
        <v>2430 - EXPLORERS</v>
      </c>
      <c r="F550" s="2" t="s">
        <v>117</v>
      </c>
      <c r="J550" s="5" t="str">
        <f>IF(H550="",VLOOKUP(LEFT(F550,1),'Exp-Rev Categories'!A:B,2,FALSE),IF(ISNA(VLOOKUP(H550,'Exp-Rev Categories'!A:B,2,FALSE)),"Revenue",VLOOKUP(H550,'Exp-Rev Categories'!A:B,2,FALSE)))</f>
        <v>Exp-Grants/Scholarships</v>
      </c>
      <c r="K550" s="2">
        <v>0</v>
      </c>
      <c r="L550" s="3">
        <v>0</v>
      </c>
      <c r="M550" s="3">
        <v>0</v>
      </c>
      <c r="N550" s="3">
        <v>0</v>
      </c>
      <c r="O550" s="3">
        <v>0</v>
      </c>
      <c r="P550" s="2" t="s">
        <v>234</v>
      </c>
    </row>
    <row r="551" spans="1:16">
      <c r="A551" s="2" t="s">
        <v>280</v>
      </c>
      <c r="B551" s="2" t="s">
        <v>1</v>
      </c>
      <c r="C551" s="2" t="s">
        <v>2</v>
      </c>
      <c r="D551" s="2" t="s">
        <v>142</v>
      </c>
      <c r="E551" s="4" t="str">
        <f t="shared" si="8"/>
        <v>2430 - EXPLORERS</v>
      </c>
      <c r="F551" s="2" t="s">
        <v>117</v>
      </c>
      <c r="G551" s="2" t="s">
        <v>24</v>
      </c>
      <c r="J551" s="5" t="str">
        <f>IF(H551="",VLOOKUP(LEFT(F551,1),'Exp-Rev Categories'!A:B,2,FALSE),IF(ISNA(VLOOKUP(H551,'Exp-Rev Categories'!A:B,2,FALSE)),"Revenue",VLOOKUP(H551,'Exp-Rev Categories'!A:B,2,FALSE)))</f>
        <v>Exp-Grants/Scholarships</v>
      </c>
      <c r="K551" s="2">
        <v>0</v>
      </c>
      <c r="L551" s="3">
        <v>600</v>
      </c>
      <c r="M551" s="3">
        <v>0</v>
      </c>
      <c r="N551" s="3">
        <v>-600</v>
      </c>
      <c r="O551" s="3">
        <v>0</v>
      </c>
      <c r="P551" s="2" t="s">
        <v>234</v>
      </c>
    </row>
    <row r="552" spans="1:16">
      <c r="A552" s="2" t="s">
        <v>280</v>
      </c>
      <c r="B552" s="2" t="s">
        <v>1</v>
      </c>
      <c r="C552" s="2" t="s">
        <v>2</v>
      </c>
      <c r="D552" s="2" t="s">
        <v>144</v>
      </c>
      <c r="E552" s="4" t="str">
        <f t="shared" si="8"/>
        <v>2431 - STDT AWARENESS LEAG.</v>
      </c>
      <c r="H552" s="2" t="s">
        <v>51</v>
      </c>
      <c r="I552" s="2" t="s">
        <v>145</v>
      </c>
      <c r="J552" s="5" t="str">
        <f>IF(H552="",VLOOKUP(LEFT(F552,1),'Exp-Rev Categories'!A:B,2,FALSE),IF(ISNA(VLOOKUP(H552,'Exp-Rev Categories'!A:B,2,FALSE)),"Revenue",VLOOKUP(H552,'Exp-Rev Categories'!A:B,2,FALSE)))</f>
        <v>Revenue</v>
      </c>
      <c r="K552" s="2">
        <v>0</v>
      </c>
      <c r="L552" s="3">
        <v>-563</v>
      </c>
      <c r="M552" s="3">
        <v>0</v>
      </c>
      <c r="N552" s="3">
        <v>563</v>
      </c>
      <c r="O552" s="3">
        <v>0</v>
      </c>
      <c r="P552" s="2" t="s">
        <v>235</v>
      </c>
    </row>
    <row r="553" spans="1:16">
      <c r="A553" s="2" t="s">
        <v>280</v>
      </c>
      <c r="B553" s="2" t="s">
        <v>1</v>
      </c>
      <c r="C553" s="2" t="s">
        <v>2</v>
      </c>
      <c r="D553" s="2" t="s">
        <v>144</v>
      </c>
      <c r="E553" s="4" t="str">
        <f t="shared" si="8"/>
        <v>2431 - STDT AWARENESS LEAG.</v>
      </c>
      <c r="H553" s="2" t="s">
        <v>43</v>
      </c>
      <c r="J553" s="5" t="str">
        <f>IF(H553="",VLOOKUP(LEFT(F553,1),'Exp-Rev Categories'!A:B,2,FALSE),IF(ISNA(VLOOKUP(H553,'Exp-Rev Categories'!A:B,2,FALSE)),"Revenue",VLOOKUP(H553,'Exp-Rev Categories'!A:B,2,FALSE)))</f>
        <v>Rev-Intra-Fund Transfer</v>
      </c>
      <c r="K553" s="2">
        <v>0</v>
      </c>
      <c r="L553" s="3">
        <v>-363</v>
      </c>
      <c r="M553" s="3">
        <v>0</v>
      </c>
      <c r="N553" s="3">
        <v>363</v>
      </c>
      <c r="O553" s="3">
        <v>0</v>
      </c>
      <c r="P553" s="2" t="s">
        <v>235</v>
      </c>
    </row>
    <row r="554" spans="1:16">
      <c r="A554" s="2" t="s">
        <v>280</v>
      </c>
      <c r="B554" s="2" t="s">
        <v>1</v>
      </c>
      <c r="C554" s="2" t="s">
        <v>2</v>
      </c>
      <c r="D554" s="2" t="s">
        <v>144</v>
      </c>
      <c r="E554" s="4" t="str">
        <f t="shared" si="8"/>
        <v>2431 - STDT AWARENESS LEAG.</v>
      </c>
      <c r="F554" s="2" t="s">
        <v>29</v>
      </c>
      <c r="J554" s="5" t="str">
        <f>IF(H554="",VLOOKUP(LEFT(F554,1),'Exp-Rev Categories'!A:B,2,FALSE),IF(ISNA(VLOOKUP(H554,'Exp-Rev Categories'!A:B,2,FALSE)),"Revenue",VLOOKUP(H554,'Exp-Rev Categories'!A:B,2,FALSE)))</f>
        <v>Exp-Goods &amp; Services</v>
      </c>
      <c r="K554" s="2">
        <v>10500</v>
      </c>
      <c r="L554" s="3">
        <v>0</v>
      </c>
      <c r="M554" s="3">
        <v>0</v>
      </c>
      <c r="N554" s="3">
        <v>10500</v>
      </c>
      <c r="O554" s="3">
        <v>0</v>
      </c>
      <c r="P554" s="2" t="s">
        <v>235</v>
      </c>
    </row>
    <row r="555" spans="1:16">
      <c r="A555" s="2" t="s">
        <v>280</v>
      </c>
      <c r="B555" s="2" t="s">
        <v>1</v>
      </c>
      <c r="C555" s="2" t="s">
        <v>2</v>
      </c>
      <c r="D555" s="2" t="s">
        <v>144</v>
      </c>
      <c r="E555" s="4" t="str">
        <f t="shared" si="8"/>
        <v>2431 - STDT AWARENESS LEAG.</v>
      </c>
      <c r="F555" s="2" t="s">
        <v>23</v>
      </c>
      <c r="G555" s="2" t="s">
        <v>24</v>
      </c>
      <c r="J555" s="5" t="str">
        <f>IF(H555="",VLOOKUP(LEFT(F555,1),'Exp-Rev Categories'!A:B,2,FALSE),IF(ISNA(VLOOKUP(H555,'Exp-Rev Categories'!A:B,2,FALSE)),"Revenue",VLOOKUP(H555,'Exp-Rev Categories'!A:B,2,FALSE)))</f>
        <v>Exp-Goods &amp; Services</v>
      </c>
      <c r="K555" s="2">
        <v>0</v>
      </c>
      <c r="L555" s="3">
        <v>2032.94</v>
      </c>
      <c r="M555" s="3">
        <v>0</v>
      </c>
      <c r="N555" s="3">
        <v>-2032.94</v>
      </c>
      <c r="O555" s="3">
        <v>0</v>
      </c>
      <c r="P555" s="2" t="s">
        <v>235</v>
      </c>
    </row>
    <row r="556" spans="1:16">
      <c r="A556" s="2" t="s">
        <v>280</v>
      </c>
      <c r="B556" s="2" t="s">
        <v>1</v>
      </c>
      <c r="C556" s="2" t="s">
        <v>2</v>
      </c>
      <c r="D556" s="2" t="s">
        <v>144</v>
      </c>
      <c r="E556" s="4" t="str">
        <f t="shared" si="8"/>
        <v>2431 - STDT AWARENESS LEAG.</v>
      </c>
      <c r="F556" s="2" t="s">
        <v>78</v>
      </c>
      <c r="G556" s="2" t="s">
        <v>24</v>
      </c>
      <c r="J556" s="5" t="str">
        <f>IF(H556="",VLOOKUP(LEFT(F556,1),'Exp-Rev Categories'!A:B,2,FALSE),IF(ISNA(VLOOKUP(H556,'Exp-Rev Categories'!A:B,2,FALSE)),"Revenue",VLOOKUP(H556,'Exp-Rev Categories'!A:B,2,FALSE)))</f>
        <v>Exp-Goods &amp; Services</v>
      </c>
      <c r="K556" s="2">
        <v>0</v>
      </c>
      <c r="L556" s="3">
        <v>0</v>
      </c>
      <c r="M556" s="3">
        <v>0</v>
      </c>
      <c r="N556" s="3">
        <v>0</v>
      </c>
      <c r="O556" s="3">
        <v>0</v>
      </c>
      <c r="P556" s="2" t="s">
        <v>235</v>
      </c>
    </row>
    <row r="557" spans="1:16">
      <c r="A557" s="2" t="s">
        <v>280</v>
      </c>
      <c r="B557" s="2" t="s">
        <v>1</v>
      </c>
      <c r="C557" s="2" t="s">
        <v>2</v>
      </c>
      <c r="D557" s="2" t="s">
        <v>144</v>
      </c>
      <c r="E557" s="4" t="str">
        <f t="shared" si="8"/>
        <v>2431 - STDT AWARENESS LEAG.</v>
      </c>
      <c r="F557" s="2" t="s">
        <v>79</v>
      </c>
      <c r="G557" s="2" t="s">
        <v>66</v>
      </c>
      <c r="J557" s="5" t="str">
        <f>IF(H557="",VLOOKUP(LEFT(F557,1),'Exp-Rev Categories'!A:B,2,FALSE),IF(ISNA(VLOOKUP(H557,'Exp-Rev Categories'!A:B,2,FALSE)),"Revenue",VLOOKUP(H557,'Exp-Rev Categories'!A:B,2,FALSE)))</f>
        <v>Exp-Goods &amp; Services</v>
      </c>
      <c r="K557" s="2">
        <v>0</v>
      </c>
      <c r="L557" s="3">
        <v>824.25</v>
      </c>
      <c r="M557" s="3">
        <v>0</v>
      </c>
      <c r="N557" s="3">
        <v>-824.25</v>
      </c>
      <c r="O557" s="3">
        <v>0</v>
      </c>
      <c r="P557" s="2" t="s">
        <v>235</v>
      </c>
    </row>
    <row r="558" spans="1:16">
      <c r="A558" s="2" t="s">
        <v>280</v>
      </c>
      <c r="B558" s="2" t="s">
        <v>1</v>
      </c>
      <c r="C558" s="2" t="s">
        <v>2</v>
      </c>
      <c r="D558" s="2" t="s">
        <v>144</v>
      </c>
      <c r="E558" s="4" t="str">
        <f t="shared" si="8"/>
        <v>2431 - STDT AWARENESS LEAG.</v>
      </c>
      <c r="F558" s="2" t="s">
        <v>84</v>
      </c>
      <c r="G558" s="2" t="s">
        <v>24</v>
      </c>
      <c r="J558" s="5" t="str">
        <f>IF(H558="",VLOOKUP(LEFT(F558,1),'Exp-Rev Categories'!A:B,2,FALSE),IF(ISNA(VLOOKUP(H558,'Exp-Rev Categories'!A:B,2,FALSE)),"Revenue",VLOOKUP(H558,'Exp-Rev Categories'!A:B,2,FALSE)))</f>
        <v>Exp-Goods &amp; Services</v>
      </c>
      <c r="K558" s="2">
        <v>0</v>
      </c>
      <c r="L558" s="3">
        <v>934.45</v>
      </c>
      <c r="M558" s="3">
        <v>0</v>
      </c>
      <c r="N558" s="3">
        <v>-934.45</v>
      </c>
      <c r="O558" s="3">
        <v>0</v>
      </c>
      <c r="P558" s="2" t="s">
        <v>235</v>
      </c>
    </row>
    <row r="559" spans="1:16">
      <c r="A559" s="2" t="s">
        <v>280</v>
      </c>
      <c r="B559" s="2" t="s">
        <v>1</v>
      </c>
      <c r="C559" s="2" t="s">
        <v>2</v>
      </c>
      <c r="D559" s="2" t="s">
        <v>144</v>
      </c>
      <c r="E559" s="4" t="str">
        <f t="shared" si="8"/>
        <v>2431 - STDT AWARENESS LEAG.</v>
      </c>
      <c r="F559" s="2" t="s">
        <v>41</v>
      </c>
      <c r="G559" s="2" t="s">
        <v>24</v>
      </c>
      <c r="J559" s="5" t="str">
        <f>IF(H559="",VLOOKUP(LEFT(F559,1),'Exp-Rev Categories'!A:B,2,FALSE),IF(ISNA(VLOOKUP(H559,'Exp-Rev Categories'!A:B,2,FALSE)),"Revenue",VLOOKUP(H559,'Exp-Rev Categories'!A:B,2,FALSE)))</f>
        <v>Exp-Goods &amp; Services</v>
      </c>
      <c r="K559" s="2">
        <v>0</v>
      </c>
      <c r="L559" s="3">
        <v>206.53</v>
      </c>
      <c r="M559" s="3">
        <v>0</v>
      </c>
      <c r="N559" s="3">
        <v>-206.53</v>
      </c>
      <c r="O559" s="3">
        <v>0</v>
      </c>
      <c r="P559" s="2" t="s">
        <v>235</v>
      </c>
    </row>
    <row r="560" spans="1:16">
      <c r="A560" s="2" t="s">
        <v>280</v>
      </c>
      <c r="B560" s="2" t="s">
        <v>1</v>
      </c>
      <c r="C560" s="2" t="s">
        <v>2</v>
      </c>
      <c r="D560" s="2" t="s">
        <v>144</v>
      </c>
      <c r="E560" s="4" t="str">
        <f t="shared" si="8"/>
        <v>2431 - STDT AWARENESS LEAG.</v>
      </c>
      <c r="F560" s="2" t="s">
        <v>41</v>
      </c>
      <c r="G560" s="2" t="s">
        <v>66</v>
      </c>
      <c r="J560" s="5" t="str">
        <f>IF(H560="",VLOOKUP(LEFT(F560,1),'Exp-Rev Categories'!A:B,2,FALSE),IF(ISNA(VLOOKUP(H560,'Exp-Rev Categories'!A:B,2,FALSE)),"Revenue",VLOOKUP(H560,'Exp-Rev Categories'!A:B,2,FALSE)))</f>
        <v>Exp-Goods &amp; Services</v>
      </c>
      <c r="K560" s="2">
        <v>0</v>
      </c>
      <c r="L560" s="3">
        <v>652.29</v>
      </c>
      <c r="M560" s="3">
        <v>0</v>
      </c>
      <c r="N560" s="3">
        <v>-652.29</v>
      </c>
      <c r="O560" s="3">
        <v>0</v>
      </c>
      <c r="P560" s="2" t="s">
        <v>235</v>
      </c>
    </row>
    <row r="561" spans="1:16">
      <c r="A561" s="2" t="s">
        <v>280</v>
      </c>
      <c r="B561" s="2" t="s">
        <v>1</v>
      </c>
      <c r="C561" s="2" t="s">
        <v>2</v>
      </c>
      <c r="D561" s="2" t="s">
        <v>144</v>
      </c>
      <c r="E561" s="4" t="str">
        <f t="shared" si="8"/>
        <v>2431 - STDT AWARENESS LEAG.</v>
      </c>
      <c r="F561" s="2" t="s">
        <v>41</v>
      </c>
      <c r="G561" s="2" t="s">
        <v>7</v>
      </c>
      <c r="J561" s="5" t="str">
        <f>IF(H561="",VLOOKUP(LEFT(F561,1),'Exp-Rev Categories'!A:B,2,FALSE),IF(ISNA(VLOOKUP(H561,'Exp-Rev Categories'!A:B,2,FALSE)),"Revenue",VLOOKUP(H561,'Exp-Rev Categories'!A:B,2,FALSE)))</f>
        <v>Exp-Goods &amp; Services</v>
      </c>
      <c r="K561" s="2">
        <v>0</v>
      </c>
      <c r="L561" s="3">
        <v>4906.97</v>
      </c>
      <c r="M561" s="3">
        <v>0</v>
      </c>
      <c r="N561" s="3">
        <v>-4906.97</v>
      </c>
      <c r="O561" s="3">
        <v>0</v>
      </c>
      <c r="P561" s="2" t="s">
        <v>235</v>
      </c>
    </row>
    <row r="562" spans="1:16">
      <c r="A562" s="2" t="s">
        <v>280</v>
      </c>
      <c r="B562" s="2" t="s">
        <v>1</v>
      </c>
      <c r="C562" s="2" t="s">
        <v>2</v>
      </c>
      <c r="D562" s="2" t="s">
        <v>144</v>
      </c>
      <c r="E562" s="4" t="str">
        <f t="shared" si="8"/>
        <v>2431 - STDT AWARENESS LEAG.</v>
      </c>
      <c r="F562" s="2" t="s">
        <v>267</v>
      </c>
      <c r="J562" s="5" t="str">
        <f>IF(H562="",VLOOKUP(LEFT(F562,1),'Exp-Rev Categories'!A:B,2,FALSE),IF(ISNA(VLOOKUP(H562,'Exp-Rev Categories'!A:B,2,FALSE)),"Revenue",VLOOKUP(H562,'Exp-Rev Categories'!A:B,2,FALSE)))</f>
        <v>Exp-Travel</v>
      </c>
      <c r="K562" s="2">
        <v>0</v>
      </c>
      <c r="L562" s="3">
        <v>0</v>
      </c>
      <c r="M562" s="3">
        <v>0</v>
      </c>
      <c r="N562" s="3">
        <v>0</v>
      </c>
      <c r="O562" s="3">
        <v>0</v>
      </c>
      <c r="P562" s="2" t="s">
        <v>235</v>
      </c>
    </row>
    <row r="563" spans="1:16">
      <c r="A563" s="2" t="s">
        <v>280</v>
      </c>
      <c r="B563" s="2" t="s">
        <v>1</v>
      </c>
      <c r="C563" s="2" t="s">
        <v>2</v>
      </c>
      <c r="D563" s="2" t="s">
        <v>144</v>
      </c>
      <c r="E563" s="4" t="str">
        <f t="shared" si="8"/>
        <v>2431 - STDT AWARENESS LEAG.</v>
      </c>
      <c r="F563" s="2" t="s">
        <v>117</v>
      </c>
      <c r="J563" s="5" t="str">
        <f>IF(H563="",VLOOKUP(LEFT(F563,1),'Exp-Rev Categories'!A:B,2,FALSE),IF(ISNA(VLOOKUP(H563,'Exp-Rev Categories'!A:B,2,FALSE)),"Revenue",VLOOKUP(H563,'Exp-Rev Categories'!A:B,2,FALSE)))</f>
        <v>Exp-Grants/Scholarships</v>
      </c>
      <c r="K563" s="2">
        <v>0</v>
      </c>
      <c r="L563" s="3">
        <v>0</v>
      </c>
      <c r="M563" s="3">
        <v>0</v>
      </c>
      <c r="N563" s="3">
        <v>0</v>
      </c>
      <c r="O563" s="3">
        <v>0</v>
      </c>
      <c r="P563" s="2" t="s">
        <v>235</v>
      </c>
    </row>
    <row r="564" spans="1:16">
      <c r="A564" s="2" t="s">
        <v>280</v>
      </c>
      <c r="B564" s="2" t="s">
        <v>1</v>
      </c>
      <c r="C564" s="2" t="s">
        <v>2</v>
      </c>
      <c r="D564" s="2" t="s">
        <v>146</v>
      </c>
      <c r="E564" s="4" t="str">
        <f t="shared" si="8"/>
        <v>2432 - SAVIOR'S GRACE</v>
      </c>
      <c r="F564" s="2" t="s">
        <v>29</v>
      </c>
      <c r="J564" s="5" t="str">
        <f>IF(H564="",VLOOKUP(LEFT(F564,1),'Exp-Rev Categories'!A:B,2,FALSE),IF(ISNA(VLOOKUP(H564,'Exp-Rev Categories'!A:B,2,FALSE)),"Revenue",VLOOKUP(H564,'Exp-Rev Categories'!A:B,2,FALSE)))</f>
        <v>Exp-Goods &amp; Services</v>
      </c>
      <c r="K564" s="2">
        <v>0</v>
      </c>
      <c r="L564" s="3">
        <v>0</v>
      </c>
      <c r="M564" s="3">
        <v>0</v>
      </c>
      <c r="N564" s="3">
        <v>0</v>
      </c>
      <c r="O564" s="3">
        <v>0</v>
      </c>
      <c r="P564" s="2" t="s">
        <v>236</v>
      </c>
    </row>
    <row r="565" spans="1:16">
      <c r="A565" s="2" t="s">
        <v>280</v>
      </c>
      <c r="B565" s="2" t="s">
        <v>1</v>
      </c>
      <c r="C565" s="2" t="s">
        <v>2</v>
      </c>
      <c r="D565" s="2" t="s">
        <v>146</v>
      </c>
      <c r="E565" s="4" t="str">
        <f t="shared" si="8"/>
        <v>2432 - SAVIOR'S GRACE</v>
      </c>
      <c r="F565" s="2" t="s">
        <v>23</v>
      </c>
      <c r="G565" s="2" t="s">
        <v>24</v>
      </c>
      <c r="J565" s="5" t="str">
        <f>IF(H565="",VLOOKUP(LEFT(F565,1),'Exp-Rev Categories'!A:B,2,FALSE),IF(ISNA(VLOOKUP(H565,'Exp-Rev Categories'!A:B,2,FALSE)),"Revenue",VLOOKUP(H565,'Exp-Rev Categories'!A:B,2,FALSE)))</f>
        <v>Exp-Goods &amp; Services</v>
      </c>
      <c r="K565" s="2">
        <v>0</v>
      </c>
      <c r="L565" s="3">
        <v>0</v>
      </c>
      <c r="M565" s="3">
        <v>0</v>
      </c>
      <c r="N565" s="3">
        <v>0</v>
      </c>
      <c r="O565" s="3">
        <v>0</v>
      </c>
      <c r="P565" s="2" t="s">
        <v>236</v>
      </c>
    </row>
    <row r="566" spans="1:16">
      <c r="A566" s="2" t="s">
        <v>280</v>
      </c>
      <c r="B566" s="2" t="s">
        <v>1</v>
      </c>
      <c r="C566" s="2" t="s">
        <v>2</v>
      </c>
      <c r="D566" s="2" t="s">
        <v>146</v>
      </c>
      <c r="E566" s="4" t="str">
        <f t="shared" si="8"/>
        <v>2432 - SAVIOR'S GRACE</v>
      </c>
      <c r="F566" s="2" t="s">
        <v>41</v>
      </c>
      <c r="G566" s="2" t="s">
        <v>7</v>
      </c>
      <c r="J566" s="5" t="str">
        <f>IF(H566="",VLOOKUP(LEFT(F566,1),'Exp-Rev Categories'!A:B,2,FALSE),IF(ISNA(VLOOKUP(H566,'Exp-Rev Categories'!A:B,2,FALSE)),"Revenue",VLOOKUP(H566,'Exp-Rev Categories'!A:B,2,FALSE)))</f>
        <v>Exp-Goods &amp; Services</v>
      </c>
      <c r="K566" s="2">
        <v>0</v>
      </c>
      <c r="L566" s="3">
        <v>0</v>
      </c>
      <c r="M566" s="3">
        <v>0</v>
      </c>
      <c r="N566" s="3">
        <v>0</v>
      </c>
      <c r="O566" s="3">
        <v>0</v>
      </c>
      <c r="P566" s="2" t="s">
        <v>236</v>
      </c>
    </row>
    <row r="567" spans="1:16">
      <c r="A567" s="2" t="s">
        <v>280</v>
      </c>
      <c r="B567" s="2" t="s">
        <v>1</v>
      </c>
      <c r="C567" s="2" t="s">
        <v>2</v>
      </c>
      <c r="D567" s="2" t="s">
        <v>146</v>
      </c>
      <c r="E567" s="4" t="str">
        <f t="shared" si="8"/>
        <v>2432 - SAVIOR'S GRACE</v>
      </c>
      <c r="F567" s="2" t="s">
        <v>267</v>
      </c>
      <c r="J567" s="5" t="str">
        <f>IF(H567="",VLOOKUP(LEFT(F567,1),'Exp-Rev Categories'!A:B,2,FALSE),IF(ISNA(VLOOKUP(H567,'Exp-Rev Categories'!A:B,2,FALSE)),"Revenue",VLOOKUP(H567,'Exp-Rev Categories'!A:B,2,FALSE)))</f>
        <v>Exp-Travel</v>
      </c>
      <c r="K567" s="2">
        <v>0</v>
      </c>
      <c r="L567" s="3">
        <v>0</v>
      </c>
      <c r="M567" s="3">
        <v>0</v>
      </c>
      <c r="N567" s="3">
        <v>0</v>
      </c>
      <c r="O567" s="3">
        <v>0</v>
      </c>
      <c r="P567" s="2" t="s">
        <v>236</v>
      </c>
    </row>
    <row r="568" spans="1:16">
      <c r="A568" s="2" t="s">
        <v>280</v>
      </c>
      <c r="B568" s="2" t="s">
        <v>1</v>
      </c>
      <c r="C568" s="2" t="s">
        <v>2</v>
      </c>
      <c r="D568" s="2" t="s">
        <v>146</v>
      </c>
      <c r="E568" s="4" t="str">
        <f t="shared" si="8"/>
        <v>2432 - SAVIOR'S GRACE</v>
      </c>
      <c r="F568" s="2" t="s">
        <v>60</v>
      </c>
      <c r="G568" s="2" t="s">
        <v>24</v>
      </c>
      <c r="J568" s="5" t="str">
        <f>IF(H568="",VLOOKUP(LEFT(F568,1),'Exp-Rev Categories'!A:B,2,FALSE),IF(ISNA(VLOOKUP(H568,'Exp-Rev Categories'!A:B,2,FALSE)),"Revenue",VLOOKUP(H568,'Exp-Rev Categories'!A:B,2,FALSE)))</f>
        <v>Exp-Travel</v>
      </c>
      <c r="K568" s="2">
        <v>0</v>
      </c>
      <c r="L568" s="3">
        <v>231.8</v>
      </c>
      <c r="M568" s="3">
        <v>0</v>
      </c>
      <c r="N568" s="3">
        <v>-231.8</v>
      </c>
      <c r="O568" s="3">
        <v>0</v>
      </c>
      <c r="P568" s="2" t="s">
        <v>236</v>
      </c>
    </row>
    <row r="569" spans="1:16">
      <c r="A569" s="2" t="s">
        <v>280</v>
      </c>
      <c r="B569" s="2" t="s">
        <v>1</v>
      </c>
      <c r="C569" s="2" t="s">
        <v>2</v>
      </c>
      <c r="D569" s="2" t="s">
        <v>147</v>
      </c>
      <c r="E569" s="4" t="str">
        <f t="shared" si="8"/>
        <v>2433 - SCC COMPUTER CLUB</v>
      </c>
      <c r="H569" s="2" t="s">
        <v>51</v>
      </c>
      <c r="I569" s="2" t="s">
        <v>388</v>
      </c>
      <c r="J569" s="5" t="str">
        <f>IF(H569="",VLOOKUP(LEFT(F569,1),'Exp-Rev Categories'!A:B,2,FALSE),IF(ISNA(VLOOKUP(H569,'Exp-Rev Categories'!A:B,2,FALSE)),"Revenue",VLOOKUP(H569,'Exp-Rev Categories'!A:B,2,FALSE)))</f>
        <v>Revenue</v>
      </c>
      <c r="K569" s="2">
        <v>0</v>
      </c>
      <c r="L569" s="3">
        <v>0</v>
      </c>
      <c r="M569" s="3">
        <v>0</v>
      </c>
      <c r="N569" s="3">
        <v>0</v>
      </c>
      <c r="O569" s="3">
        <v>0</v>
      </c>
      <c r="P569" s="2" t="s">
        <v>237</v>
      </c>
    </row>
    <row r="570" spans="1:16">
      <c r="A570" s="2" t="s">
        <v>280</v>
      </c>
      <c r="B570" s="2" t="s">
        <v>1</v>
      </c>
      <c r="C570" s="2" t="s">
        <v>2</v>
      </c>
      <c r="D570" s="2" t="s">
        <v>147</v>
      </c>
      <c r="E570" s="4" t="str">
        <f t="shared" si="8"/>
        <v>2433 - SCC COMPUTER CLUB</v>
      </c>
      <c r="H570" s="2" t="s">
        <v>53</v>
      </c>
      <c r="J570" s="5" t="str">
        <f>IF(H570="",VLOOKUP(LEFT(F570,1),'Exp-Rev Categories'!A:B,2,FALSE),IF(ISNA(VLOOKUP(H570,'Exp-Rev Categories'!A:B,2,FALSE)),"Revenue",VLOOKUP(H570,'Exp-Rev Categories'!A:B,2,FALSE)))</f>
        <v>Rev-Fund Transfers - Out</v>
      </c>
      <c r="K570" s="2">
        <v>0</v>
      </c>
      <c r="L570" s="3">
        <v>250</v>
      </c>
      <c r="M570" s="3">
        <v>0</v>
      </c>
      <c r="N570" s="3">
        <v>-250</v>
      </c>
      <c r="O570" s="3">
        <v>0</v>
      </c>
      <c r="P570" s="2" t="s">
        <v>237</v>
      </c>
    </row>
    <row r="571" spans="1:16">
      <c r="A571" s="2" t="s">
        <v>280</v>
      </c>
      <c r="B571" s="2" t="s">
        <v>1</v>
      </c>
      <c r="C571" s="2" t="s">
        <v>2</v>
      </c>
      <c r="D571" s="2" t="s">
        <v>147</v>
      </c>
      <c r="E571" s="4" t="str">
        <f t="shared" si="8"/>
        <v>2433 - SCC COMPUTER CLUB</v>
      </c>
      <c r="H571" s="2" t="s">
        <v>43</v>
      </c>
      <c r="J571" s="5" t="str">
        <f>IF(H571="",VLOOKUP(LEFT(F571,1),'Exp-Rev Categories'!A:B,2,FALSE),IF(ISNA(VLOOKUP(H571,'Exp-Rev Categories'!A:B,2,FALSE)),"Revenue",VLOOKUP(H571,'Exp-Rev Categories'!A:B,2,FALSE)))</f>
        <v>Rev-Intra-Fund Transfer</v>
      </c>
      <c r="K571" s="2">
        <v>0</v>
      </c>
      <c r="L571" s="3">
        <v>0</v>
      </c>
      <c r="M571" s="3">
        <v>0</v>
      </c>
      <c r="N571" s="3">
        <v>0</v>
      </c>
      <c r="O571" s="3">
        <v>0</v>
      </c>
      <c r="P571" s="2" t="s">
        <v>237</v>
      </c>
    </row>
    <row r="572" spans="1:16">
      <c r="A572" s="2" t="s">
        <v>280</v>
      </c>
      <c r="B572" s="2" t="s">
        <v>1</v>
      </c>
      <c r="C572" s="2" t="s">
        <v>2</v>
      </c>
      <c r="D572" s="2" t="s">
        <v>147</v>
      </c>
      <c r="E572" s="4" t="str">
        <f t="shared" si="8"/>
        <v>2433 - SCC COMPUTER CLUB</v>
      </c>
      <c r="F572" s="2" t="s">
        <v>29</v>
      </c>
      <c r="J572" s="5" t="str">
        <f>IF(H572="",VLOOKUP(LEFT(F572,1),'Exp-Rev Categories'!A:B,2,FALSE),IF(ISNA(VLOOKUP(H572,'Exp-Rev Categories'!A:B,2,FALSE)),"Revenue",VLOOKUP(H572,'Exp-Rev Categories'!A:B,2,FALSE)))</f>
        <v>Exp-Goods &amp; Services</v>
      </c>
      <c r="K572" s="2">
        <v>35700</v>
      </c>
      <c r="L572" s="3">
        <v>0</v>
      </c>
      <c r="M572" s="3">
        <v>0</v>
      </c>
      <c r="N572" s="3">
        <v>35700</v>
      </c>
      <c r="O572" s="3">
        <v>0</v>
      </c>
      <c r="P572" s="2" t="s">
        <v>237</v>
      </c>
    </row>
    <row r="573" spans="1:16">
      <c r="A573" s="2" t="s">
        <v>280</v>
      </c>
      <c r="B573" s="2" t="s">
        <v>1</v>
      </c>
      <c r="C573" s="2" t="s">
        <v>2</v>
      </c>
      <c r="D573" s="2" t="s">
        <v>147</v>
      </c>
      <c r="E573" s="4" t="str">
        <f t="shared" si="8"/>
        <v>2433 - SCC COMPUTER CLUB</v>
      </c>
      <c r="F573" s="2" t="s">
        <v>23</v>
      </c>
      <c r="G573" s="2" t="s">
        <v>24</v>
      </c>
      <c r="J573" s="5" t="str">
        <f>IF(H573="",VLOOKUP(LEFT(F573,1),'Exp-Rev Categories'!A:B,2,FALSE),IF(ISNA(VLOOKUP(H573,'Exp-Rev Categories'!A:B,2,FALSE)),"Revenue",VLOOKUP(H573,'Exp-Rev Categories'!A:B,2,FALSE)))</f>
        <v>Exp-Goods &amp; Services</v>
      </c>
      <c r="K573" s="2">
        <v>0</v>
      </c>
      <c r="L573" s="3">
        <v>8181.29</v>
      </c>
      <c r="M573" s="3">
        <v>0</v>
      </c>
      <c r="N573" s="3">
        <v>-8181.29</v>
      </c>
      <c r="O573" s="3">
        <v>0</v>
      </c>
      <c r="P573" s="2" t="s">
        <v>237</v>
      </c>
    </row>
    <row r="574" spans="1:16">
      <c r="A574" s="2" t="s">
        <v>280</v>
      </c>
      <c r="B574" s="2" t="s">
        <v>1</v>
      </c>
      <c r="C574" s="2" t="s">
        <v>2</v>
      </c>
      <c r="D574" s="2" t="s">
        <v>147</v>
      </c>
      <c r="E574" s="4" t="str">
        <f t="shared" si="8"/>
        <v>2433 - SCC COMPUTER CLUB</v>
      </c>
      <c r="F574" s="2" t="s">
        <v>54</v>
      </c>
      <c r="G574" s="2" t="s">
        <v>56</v>
      </c>
      <c r="J574" s="5" t="str">
        <f>IF(H574="",VLOOKUP(LEFT(F574,1),'Exp-Rev Categories'!A:B,2,FALSE),IF(ISNA(VLOOKUP(H574,'Exp-Rev Categories'!A:B,2,FALSE)),"Revenue",VLOOKUP(H574,'Exp-Rev Categories'!A:B,2,FALSE)))</f>
        <v>Exp-Goods &amp; Services</v>
      </c>
      <c r="K574" s="2">
        <v>0</v>
      </c>
      <c r="L574" s="3">
        <v>5448</v>
      </c>
      <c r="M574" s="3">
        <v>0</v>
      </c>
      <c r="N574" s="3">
        <v>-5448</v>
      </c>
      <c r="O574" s="3">
        <v>0</v>
      </c>
      <c r="P574" s="2" t="s">
        <v>237</v>
      </c>
    </row>
    <row r="575" spans="1:16">
      <c r="A575" s="2" t="s">
        <v>280</v>
      </c>
      <c r="B575" s="2" t="s">
        <v>1</v>
      </c>
      <c r="C575" s="2" t="s">
        <v>2</v>
      </c>
      <c r="D575" s="2" t="s">
        <v>147</v>
      </c>
      <c r="E575" s="4" t="str">
        <f t="shared" si="8"/>
        <v>2433 - SCC COMPUTER CLUB</v>
      </c>
      <c r="F575" s="2" t="s">
        <v>41</v>
      </c>
      <c r="G575" s="2" t="s">
        <v>24</v>
      </c>
      <c r="J575" s="5" t="str">
        <f>IF(H575="",VLOOKUP(LEFT(F575,1),'Exp-Rev Categories'!A:B,2,FALSE),IF(ISNA(VLOOKUP(H575,'Exp-Rev Categories'!A:B,2,FALSE)),"Revenue",VLOOKUP(H575,'Exp-Rev Categories'!A:B,2,FALSE)))</f>
        <v>Exp-Goods &amp; Services</v>
      </c>
      <c r="K575" s="2">
        <v>0</v>
      </c>
      <c r="L575" s="3">
        <v>1616.71</v>
      </c>
      <c r="M575" s="3">
        <v>0</v>
      </c>
      <c r="N575" s="3">
        <v>-1616.71</v>
      </c>
      <c r="O575" s="3">
        <v>0</v>
      </c>
      <c r="P575" s="2" t="s">
        <v>237</v>
      </c>
    </row>
    <row r="576" spans="1:16">
      <c r="A576" s="2" t="s">
        <v>280</v>
      </c>
      <c r="B576" s="2" t="s">
        <v>1</v>
      </c>
      <c r="C576" s="2" t="s">
        <v>2</v>
      </c>
      <c r="D576" s="2" t="s">
        <v>147</v>
      </c>
      <c r="E576" s="4" t="str">
        <f t="shared" si="8"/>
        <v>2433 - SCC COMPUTER CLUB</v>
      </c>
      <c r="F576" s="2" t="s">
        <v>41</v>
      </c>
      <c r="G576" s="2" t="s">
        <v>7</v>
      </c>
      <c r="J576" s="5" t="str">
        <f>IF(H576="",VLOOKUP(LEFT(F576,1),'Exp-Rev Categories'!A:B,2,FALSE),IF(ISNA(VLOOKUP(H576,'Exp-Rev Categories'!A:B,2,FALSE)),"Revenue",VLOOKUP(H576,'Exp-Rev Categories'!A:B,2,FALSE)))</f>
        <v>Exp-Goods &amp; Services</v>
      </c>
      <c r="K576" s="2">
        <v>0</v>
      </c>
      <c r="L576" s="3">
        <v>2296.69</v>
      </c>
      <c r="M576" s="3">
        <v>0</v>
      </c>
      <c r="N576" s="3">
        <v>-2296.69</v>
      </c>
      <c r="O576" s="3">
        <v>0</v>
      </c>
      <c r="P576" s="2" t="s">
        <v>237</v>
      </c>
    </row>
    <row r="577" spans="1:16">
      <c r="A577" s="2" t="s">
        <v>280</v>
      </c>
      <c r="B577" s="2" t="s">
        <v>1</v>
      </c>
      <c r="C577" s="2" t="s">
        <v>2</v>
      </c>
      <c r="D577" s="2" t="s">
        <v>147</v>
      </c>
      <c r="E577" s="4" t="str">
        <f t="shared" si="8"/>
        <v>2433 - SCC COMPUTER CLUB</v>
      </c>
      <c r="F577" s="2" t="s">
        <v>267</v>
      </c>
      <c r="J577" s="5" t="str">
        <f>IF(H577="",VLOOKUP(LEFT(F577,1),'Exp-Rev Categories'!A:B,2,FALSE),IF(ISNA(VLOOKUP(H577,'Exp-Rev Categories'!A:B,2,FALSE)),"Revenue",VLOOKUP(H577,'Exp-Rev Categories'!A:B,2,FALSE)))</f>
        <v>Exp-Travel</v>
      </c>
      <c r="K577" s="2">
        <v>0</v>
      </c>
      <c r="L577" s="3">
        <v>0</v>
      </c>
      <c r="M577" s="3">
        <v>0</v>
      </c>
      <c r="N577" s="3">
        <v>0</v>
      </c>
      <c r="O577" s="3">
        <v>0</v>
      </c>
      <c r="P577" s="2" t="s">
        <v>237</v>
      </c>
    </row>
    <row r="578" spans="1:16">
      <c r="A578" s="2" t="s">
        <v>280</v>
      </c>
      <c r="B578" s="2" t="s">
        <v>1</v>
      </c>
      <c r="C578" s="2" t="s">
        <v>2</v>
      </c>
      <c r="D578" s="2" t="s">
        <v>147</v>
      </c>
      <c r="E578" s="4" t="str">
        <f t="shared" ref="E578:E641" si="9">D578&amp;" - "&amp;P578</f>
        <v>2433 - SCC COMPUTER CLUB</v>
      </c>
      <c r="F578" s="2" t="s">
        <v>44</v>
      </c>
      <c r="G578" s="2" t="s">
        <v>45</v>
      </c>
      <c r="J578" s="5" t="str">
        <f>IF(H578="",VLOOKUP(LEFT(F578,1),'Exp-Rev Categories'!A:B,2,FALSE),IF(ISNA(VLOOKUP(H578,'Exp-Rev Categories'!A:B,2,FALSE)),"Revenue",VLOOKUP(H578,'Exp-Rev Categories'!A:B,2,FALSE)))</f>
        <v>Exp-Travel</v>
      </c>
      <c r="K578" s="2">
        <v>0</v>
      </c>
      <c r="L578" s="3">
        <v>185</v>
      </c>
      <c r="M578" s="3">
        <v>0</v>
      </c>
      <c r="N578" s="3">
        <v>-185</v>
      </c>
      <c r="O578" s="3">
        <v>0</v>
      </c>
      <c r="P578" s="2" t="s">
        <v>237</v>
      </c>
    </row>
    <row r="579" spans="1:16">
      <c r="A579" s="2" t="s">
        <v>280</v>
      </c>
      <c r="B579" s="2" t="s">
        <v>1</v>
      </c>
      <c r="C579" s="2" t="s">
        <v>2</v>
      </c>
      <c r="D579" s="2" t="s">
        <v>147</v>
      </c>
      <c r="E579" s="4" t="str">
        <f t="shared" si="9"/>
        <v>2433 - SCC COMPUTER CLUB</v>
      </c>
      <c r="F579" s="2" t="s">
        <v>44</v>
      </c>
      <c r="G579" s="2" t="s">
        <v>65</v>
      </c>
      <c r="J579" s="5" t="str">
        <f>IF(H579="",VLOOKUP(LEFT(F579,1),'Exp-Rev Categories'!A:B,2,FALSE),IF(ISNA(VLOOKUP(H579,'Exp-Rev Categories'!A:B,2,FALSE)),"Revenue",VLOOKUP(H579,'Exp-Rev Categories'!A:B,2,FALSE)))</f>
        <v>Exp-Travel</v>
      </c>
      <c r="K579" s="2">
        <v>0</v>
      </c>
      <c r="L579" s="3">
        <v>601.08000000000004</v>
      </c>
      <c r="M579" s="3">
        <v>0</v>
      </c>
      <c r="N579" s="3">
        <v>-601.08000000000004</v>
      </c>
      <c r="O579" s="3">
        <v>0</v>
      </c>
      <c r="P579" s="2" t="s">
        <v>237</v>
      </c>
    </row>
    <row r="580" spans="1:16">
      <c r="A580" s="2" t="s">
        <v>280</v>
      </c>
      <c r="B580" s="2" t="s">
        <v>1</v>
      </c>
      <c r="C580" s="2" t="s">
        <v>2</v>
      </c>
      <c r="D580" s="2" t="s">
        <v>147</v>
      </c>
      <c r="E580" s="4" t="str">
        <f t="shared" si="9"/>
        <v>2433 - SCC COMPUTER CLUB</v>
      </c>
      <c r="F580" s="2" t="s">
        <v>59</v>
      </c>
      <c r="G580" s="2" t="s">
        <v>24</v>
      </c>
      <c r="J580" s="5" t="str">
        <f>IF(H580="",VLOOKUP(LEFT(F580,1),'Exp-Rev Categories'!A:B,2,FALSE),IF(ISNA(VLOOKUP(H580,'Exp-Rev Categories'!A:B,2,FALSE)),"Revenue",VLOOKUP(H580,'Exp-Rev Categories'!A:B,2,FALSE)))</f>
        <v>Exp-Travel</v>
      </c>
      <c r="K580" s="2">
        <v>0</v>
      </c>
      <c r="L580" s="3">
        <v>5908</v>
      </c>
      <c r="M580" s="3">
        <v>0</v>
      </c>
      <c r="N580" s="3">
        <v>-5908</v>
      </c>
      <c r="O580" s="3">
        <v>0</v>
      </c>
      <c r="P580" s="2" t="s">
        <v>237</v>
      </c>
    </row>
    <row r="581" spans="1:16">
      <c r="A581" s="2" t="s">
        <v>280</v>
      </c>
      <c r="B581" s="2" t="s">
        <v>1</v>
      </c>
      <c r="C581" s="2" t="s">
        <v>2</v>
      </c>
      <c r="D581" s="2" t="s">
        <v>147</v>
      </c>
      <c r="E581" s="4" t="str">
        <f t="shared" si="9"/>
        <v>2433 - SCC COMPUTER CLUB</v>
      </c>
      <c r="F581" s="2" t="s">
        <v>60</v>
      </c>
      <c r="G581" s="2" t="s">
        <v>24</v>
      </c>
      <c r="J581" s="5" t="str">
        <f>IF(H581="",VLOOKUP(LEFT(F581,1),'Exp-Rev Categories'!A:B,2,FALSE),IF(ISNA(VLOOKUP(H581,'Exp-Rev Categories'!A:B,2,FALSE)),"Revenue",VLOOKUP(H581,'Exp-Rev Categories'!A:B,2,FALSE)))</f>
        <v>Exp-Travel</v>
      </c>
      <c r="K581" s="2">
        <v>0</v>
      </c>
      <c r="L581" s="3">
        <v>1622.6</v>
      </c>
      <c r="M581" s="3">
        <v>0</v>
      </c>
      <c r="N581" s="3">
        <v>-1622.6</v>
      </c>
      <c r="O581" s="3">
        <v>0</v>
      </c>
      <c r="P581" s="2" t="s">
        <v>237</v>
      </c>
    </row>
    <row r="582" spans="1:16">
      <c r="A582" s="2" t="s">
        <v>280</v>
      </c>
      <c r="B582" s="2" t="s">
        <v>1</v>
      </c>
      <c r="C582" s="2" t="s">
        <v>2</v>
      </c>
      <c r="D582" s="2" t="s">
        <v>147</v>
      </c>
      <c r="E582" s="4" t="str">
        <f t="shared" si="9"/>
        <v>2433 - SCC COMPUTER CLUB</v>
      </c>
      <c r="F582" s="2" t="s">
        <v>268</v>
      </c>
      <c r="J582" s="5" t="str">
        <f>IF(H582="",VLOOKUP(LEFT(F582,1),'Exp-Rev Categories'!A:B,2,FALSE),IF(ISNA(VLOOKUP(H582,'Exp-Rev Categories'!A:B,2,FALSE)),"Revenue",VLOOKUP(H582,'Exp-Rev Categories'!A:B,2,FALSE)))</f>
        <v>Exp-Equipment</v>
      </c>
      <c r="K582" s="2">
        <v>0</v>
      </c>
      <c r="L582" s="3">
        <v>0</v>
      </c>
      <c r="M582" s="3">
        <v>0</v>
      </c>
      <c r="N582" s="3">
        <v>0</v>
      </c>
      <c r="O582" s="3">
        <v>0</v>
      </c>
      <c r="P582" s="2" t="s">
        <v>237</v>
      </c>
    </row>
    <row r="583" spans="1:16">
      <c r="A583" s="2" t="s">
        <v>280</v>
      </c>
      <c r="B583" s="2" t="s">
        <v>1</v>
      </c>
      <c r="C583" s="2" t="s">
        <v>2</v>
      </c>
      <c r="D583" s="2" t="s">
        <v>147</v>
      </c>
      <c r="E583" s="4" t="str">
        <f t="shared" si="9"/>
        <v>2433 - SCC COMPUTER CLUB</v>
      </c>
      <c r="F583" s="2" t="s">
        <v>61</v>
      </c>
      <c r="G583" s="2" t="s">
        <v>24</v>
      </c>
      <c r="J583" s="5" t="str">
        <f>IF(H583="",VLOOKUP(LEFT(F583,1),'Exp-Rev Categories'!A:B,2,FALSE),IF(ISNA(VLOOKUP(H583,'Exp-Rev Categories'!A:B,2,FALSE)),"Revenue",VLOOKUP(H583,'Exp-Rev Categories'!A:B,2,FALSE)))</f>
        <v>Exp-Equipment</v>
      </c>
      <c r="K583" s="2">
        <v>0</v>
      </c>
      <c r="L583" s="3">
        <v>8504.65</v>
      </c>
      <c r="M583" s="3">
        <v>0</v>
      </c>
      <c r="N583" s="3">
        <v>-8504.65</v>
      </c>
      <c r="O583" s="3">
        <v>0</v>
      </c>
      <c r="P583" s="2" t="s">
        <v>237</v>
      </c>
    </row>
    <row r="584" spans="1:16">
      <c r="A584" s="2" t="s">
        <v>280</v>
      </c>
      <c r="B584" s="2" t="s">
        <v>1</v>
      </c>
      <c r="C584" s="2" t="s">
        <v>2</v>
      </c>
      <c r="D584" s="2" t="s">
        <v>147</v>
      </c>
      <c r="E584" s="4" t="str">
        <f t="shared" si="9"/>
        <v>2433 - SCC COMPUTER CLUB</v>
      </c>
      <c r="F584" s="2" t="s">
        <v>117</v>
      </c>
      <c r="J584" s="5" t="str">
        <f>IF(H584="",VLOOKUP(LEFT(F584,1),'Exp-Rev Categories'!A:B,2,FALSE),IF(ISNA(VLOOKUP(H584,'Exp-Rev Categories'!A:B,2,FALSE)),"Revenue",VLOOKUP(H584,'Exp-Rev Categories'!A:B,2,FALSE)))</f>
        <v>Exp-Grants/Scholarships</v>
      </c>
      <c r="K584" s="2">
        <v>0</v>
      </c>
      <c r="L584" s="3">
        <v>0</v>
      </c>
      <c r="M584" s="3">
        <v>0</v>
      </c>
      <c r="N584" s="3">
        <v>0</v>
      </c>
      <c r="O584" s="3">
        <v>0</v>
      </c>
      <c r="P584" s="2" t="s">
        <v>237</v>
      </c>
    </row>
    <row r="585" spans="1:16">
      <c r="A585" s="2" t="s">
        <v>280</v>
      </c>
      <c r="B585" s="2" t="s">
        <v>1</v>
      </c>
      <c r="C585" s="2" t="s">
        <v>2</v>
      </c>
      <c r="D585" s="2" t="s">
        <v>147</v>
      </c>
      <c r="E585" s="4" t="str">
        <f t="shared" si="9"/>
        <v>2433 - SCC COMPUTER CLUB</v>
      </c>
      <c r="F585" s="2" t="s">
        <v>117</v>
      </c>
      <c r="G585" s="2" t="s">
        <v>24</v>
      </c>
      <c r="J585" s="5" t="str">
        <f>IF(H585="",VLOOKUP(LEFT(F585,1),'Exp-Rev Categories'!A:B,2,FALSE),IF(ISNA(VLOOKUP(H585,'Exp-Rev Categories'!A:B,2,FALSE)),"Revenue",VLOOKUP(H585,'Exp-Rev Categories'!A:B,2,FALSE)))</f>
        <v>Exp-Grants/Scholarships</v>
      </c>
      <c r="K585" s="2">
        <v>0</v>
      </c>
      <c r="L585" s="3">
        <v>900</v>
      </c>
      <c r="M585" s="3">
        <v>0</v>
      </c>
      <c r="N585" s="3">
        <v>-900</v>
      </c>
      <c r="O585" s="3">
        <v>0</v>
      </c>
      <c r="P585" s="2" t="s">
        <v>237</v>
      </c>
    </row>
    <row r="586" spans="1:16">
      <c r="A586" s="2" t="s">
        <v>280</v>
      </c>
      <c r="B586" s="2" t="s">
        <v>1</v>
      </c>
      <c r="C586" s="2" t="s">
        <v>2</v>
      </c>
      <c r="D586" s="2" t="s">
        <v>148</v>
      </c>
      <c r="E586" s="4" t="str">
        <f t="shared" si="9"/>
        <v>2434 - DISABILITY AWARENESS</v>
      </c>
      <c r="H586" s="2" t="s">
        <v>51</v>
      </c>
      <c r="I586" s="2" t="s">
        <v>149</v>
      </c>
      <c r="J586" s="5" t="str">
        <f>IF(H586="",VLOOKUP(LEFT(F586,1),'Exp-Rev Categories'!A:B,2,FALSE),IF(ISNA(VLOOKUP(H586,'Exp-Rev Categories'!A:B,2,FALSE)),"Revenue",VLOOKUP(H586,'Exp-Rev Categories'!A:B,2,FALSE)))</f>
        <v>Revenue</v>
      </c>
      <c r="K586" s="2">
        <v>0</v>
      </c>
      <c r="L586" s="3">
        <v>-703.3</v>
      </c>
      <c r="M586" s="3">
        <v>0</v>
      </c>
      <c r="N586" s="3">
        <v>703.3</v>
      </c>
      <c r="O586" s="3">
        <v>0</v>
      </c>
      <c r="P586" s="2" t="s">
        <v>150</v>
      </c>
    </row>
    <row r="587" spans="1:16">
      <c r="A587" s="2" t="s">
        <v>280</v>
      </c>
      <c r="B587" s="2" t="s">
        <v>1</v>
      </c>
      <c r="C587" s="2" t="s">
        <v>2</v>
      </c>
      <c r="D587" s="2" t="s">
        <v>148</v>
      </c>
      <c r="E587" s="4" t="str">
        <f t="shared" si="9"/>
        <v>2434 - DISABILITY AWARENESS</v>
      </c>
      <c r="H587" s="2" t="s">
        <v>53</v>
      </c>
      <c r="J587" s="5" t="str">
        <f>IF(H587="",VLOOKUP(LEFT(F587,1),'Exp-Rev Categories'!A:B,2,FALSE),IF(ISNA(VLOOKUP(H587,'Exp-Rev Categories'!A:B,2,FALSE)),"Revenue",VLOOKUP(H587,'Exp-Rev Categories'!A:B,2,FALSE)))</f>
        <v>Rev-Fund Transfers - Out</v>
      </c>
      <c r="K587" s="2">
        <v>0</v>
      </c>
      <c r="L587" s="3">
        <v>299</v>
      </c>
      <c r="M587" s="3">
        <v>0</v>
      </c>
      <c r="N587" s="3">
        <v>-299</v>
      </c>
      <c r="O587" s="3">
        <v>0</v>
      </c>
      <c r="P587" s="2" t="s">
        <v>150</v>
      </c>
    </row>
    <row r="588" spans="1:16">
      <c r="A588" s="2" t="s">
        <v>280</v>
      </c>
      <c r="B588" s="2" t="s">
        <v>1</v>
      </c>
      <c r="C588" s="2" t="s">
        <v>2</v>
      </c>
      <c r="D588" s="2" t="s">
        <v>148</v>
      </c>
      <c r="E588" s="4" t="str">
        <f t="shared" si="9"/>
        <v>2434 - DISABILITY AWARENESS</v>
      </c>
      <c r="H588" s="2" t="s">
        <v>43</v>
      </c>
      <c r="J588" s="5" t="str">
        <f>IF(H588="",VLOOKUP(LEFT(F588,1),'Exp-Rev Categories'!A:B,2,FALSE),IF(ISNA(VLOOKUP(H588,'Exp-Rev Categories'!A:B,2,FALSE)),"Revenue",VLOOKUP(H588,'Exp-Rev Categories'!A:B,2,FALSE)))</f>
        <v>Rev-Intra-Fund Transfer</v>
      </c>
      <c r="K588" s="2">
        <v>0</v>
      </c>
      <c r="L588" s="3">
        <v>0</v>
      </c>
      <c r="M588" s="3">
        <v>0</v>
      </c>
      <c r="N588" s="3">
        <v>0</v>
      </c>
      <c r="O588" s="3">
        <v>0</v>
      </c>
      <c r="P588" s="2" t="s">
        <v>150</v>
      </c>
    </row>
    <row r="589" spans="1:16">
      <c r="A589" s="2" t="s">
        <v>280</v>
      </c>
      <c r="B589" s="2" t="s">
        <v>1</v>
      </c>
      <c r="C589" s="2" t="s">
        <v>2</v>
      </c>
      <c r="D589" s="2" t="s">
        <v>148</v>
      </c>
      <c r="E589" s="4" t="str">
        <f t="shared" si="9"/>
        <v>2434 - DISABILITY AWARENESS</v>
      </c>
      <c r="F589" s="2" t="s">
        <v>29</v>
      </c>
      <c r="J589" s="5" t="str">
        <f>IF(H589="",VLOOKUP(LEFT(F589,1),'Exp-Rev Categories'!A:B,2,FALSE),IF(ISNA(VLOOKUP(H589,'Exp-Rev Categories'!A:B,2,FALSE)),"Revenue",VLOOKUP(H589,'Exp-Rev Categories'!A:B,2,FALSE)))</f>
        <v>Exp-Goods &amp; Services</v>
      </c>
      <c r="K589" s="2">
        <v>9150</v>
      </c>
      <c r="L589" s="3">
        <v>0</v>
      </c>
      <c r="M589" s="3">
        <v>0</v>
      </c>
      <c r="N589" s="3">
        <v>9150</v>
      </c>
      <c r="O589" s="3">
        <v>0</v>
      </c>
      <c r="P589" s="2" t="s">
        <v>150</v>
      </c>
    </row>
    <row r="590" spans="1:16">
      <c r="A590" s="2" t="s">
        <v>280</v>
      </c>
      <c r="B590" s="2" t="s">
        <v>1</v>
      </c>
      <c r="C590" s="2" t="s">
        <v>2</v>
      </c>
      <c r="D590" s="2" t="s">
        <v>148</v>
      </c>
      <c r="E590" s="4" t="str">
        <f t="shared" si="9"/>
        <v>2434 - DISABILITY AWARENESS</v>
      </c>
      <c r="F590" s="2" t="s">
        <v>23</v>
      </c>
      <c r="G590" s="2" t="s">
        <v>24</v>
      </c>
      <c r="J590" s="5" t="str">
        <f>IF(H590="",VLOOKUP(LEFT(F590,1),'Exp-Rev Categories'!A:B,2,FALSE),IF(ISNA(VLOOKUP(H590,'Exp-Rev Categories'!A:B,2,FALSE)),"Revenue",VLOOKUP(H590,'Exp-Rev Categories'!A:B,2,FALSE)))</f>
        <v>Exp-Goods &amp; Services</v>
      </c>
      <c r="K590" s="2">
        <v>0</v>
      </c>
      <c r="L590" s="3">
        <v>5181.63</v>
      </c>
      <c r="M590" s="3">
        <v>0</v>
      </c>
      <c r="N590" s="3">
        <v>-5181.63</v>
      </c>
      <c r="O590" s="3">
        <v>0</v>
      </c>
      <c r="P590" s="2" t="s">
        <v>150</v>
      </c>
    </row>
    <row r="591" spans="1:16">
      <c r="A591" s="2" t="s">
        <v>280</v>
      </c>
      <c r="B591" s="2" t="s">
        <v>1</v>
      </c>
      <c r="C591" s="2" t="s">
        <v>2</v>
      </c>
      <c r="D591" s="2" t="s">
        <v>148</v>
      </c>
      <c r="E591" s="4" t="str">
        <f t="shared" si="9"/>
        <v>2434 - DISABILITY AWARENESS</v>
      </c>
      <c r="F591" s="2" t="s">
        <v>78</v>
      </c>
      <c r="G591" s="2" t="s">
        <v>24</v>
      </c>
      <c r="J591" s="5" t="str">
        <f>IF(H591="",VLOOKUP(LEFT(F591,1),'Exp-Rev Categories'!A:B,2,FALSE),IF(ISNA(VLOOKUP(H591,'Exp-Rev Categories'!A:B,2,FALSE)),"Revenue",VLOOKUP(H591,'Exp-Rev Categories'!A:B,2,FALSE)))</f>
        <v>Exp-Goods &amp; Services</v>
      </c>
      <c r="K591" s="2">
        <v>0</v>
      </c>
      <c r="L591" s="3">
        <v>342</v>
      </c>
      <c r="M591" s="3">
        <v>0</v>
      </c>
      <c r="N591" s="3">
        <v>-342</v>
      </c>
      <c r="O591" s="3">
        <v>0</v>
      </c>
      <c r="P591" s="2" t="s">
        <v>150</v>
      </c>
    </row>
    <row r="592" spans="1:16">
      <c r="A592" s="2" t="s">
        <v>280</v>
      </c>
      <c r="B592" s="2" t="s">
        <v>1</v>
      </c>
      <c r="C592" s="2" t="s">
        <v>2</v>
      </c>
      <c r="D592" s="2" t="s">
        <v>148</v>
      </c>
      <c r="E592" s="4" t="str">
        <f t="shared" si="9"/>
        <v>2434 - DISABILITY AWARENESS</v>
      </c>
      <c r="F592" s="2" t="s">
        <v>41</v>
      </c>
      <c r="G592" s="2" t="s">
        <v>24</v>
      </c>
      <c r="J592" s="5" t="str">
        <f>IF(H592="",VLOOKUP(LEFT(F592,1),'Exp-Rev Categories'!A:B,2,FALSE),IF(ISNA(VLOOKUP(H592,'Exp-Rev Categories'!A:B,2,FALSE)),"Revenue",VLOOKUP(H592,'Exp-Rev Categories'!A:B,2,FALSE)))</f>
        <v>Exp-Goods &amp; Services</v>
      </c>
      <c r="K592" s="2">
        <v>0</v>
      </c>
      <c r="L592" s="3">
        <v>2002.84</v>
      </c>
      <c r="M592" s="3">
        <v>0</v>
      </c>
      <c r="N592" s="3">
        <v>-2002.84</v>
      </c>
      <c r="O592" s="3">
        <v>0</v>
      </c>
      <c r="P592" s="2" t="s">
        <v>150</v>
      </c>
    </row>
    <row r="593" spans="1:16">
      <c r="A593" s="2" t="s">
        <v>280</v>
      </c>
      <c r="B593" s="2" t="s">
        <v>1</v>
      </c>
      <c r="C593" s="2" t="s">
        <v>2</v>
      </c>
      <c r="D593" s="2" t="s">
        <v>148</v>
      </c>
      <c r="E593" s="4" t="str">
        <f t="shared" si="9"/>
        <v>2434 - DISABILITY AWARENESS</v>
      </c>
      <c r="F593" s="2" t="s">
        <v>41</v>
      </c>
      <c r="G593" s="2" t="s">
        <v>7</v>
      </c>
      <c r="J593" s="5" t="str">
        <f>IF(H593="",VLOOKUP(LEFT(F593,1),'Exp-Rev Categories'!A:B,2,FALSE),IF(ISNA(VLOOKUP(H593,'Exp-Rev Categories'!A:B,2,FALSE)),"Revenue",VLOOKUP(H593,'Exp-Rev Categories'!A:B,2,FALSE)))</f>
        <v>Exp-Goods &amp; Services</v>
      </c>
      <c r="K593" s="2">
        <v>0</v>
      </c>
      <c r="L593" s="3">
        <v>1444.87</v>
      </c>
      <c r="M593" s="3">
        <v>0</v>
      </c>
      <c r="N593" s="3">
        <v>-1444.87</v>
      </c>
      <c r="O593" s="3">
        <v>0</v>
      </c>
      <c r="P593" s="2" t="s">
        <v>150</v>
      </c>
    </row>
    <row r="594" spans="1:16">
      <c r="A594" s="2" t="s">
        <v>280</v>
      </c>
      <c r="B594" s="2" t="s">
        <v>1</v>
      </c>
      <c r="C594" s="2" t="s">
        <v>2</v>
      </c>
      <c r="D594" s="2" t="s">
        <v>148</v>
      </c>
      <c r="E594" s="4" t="str">
        <f t="shared" si="9"/>
        <v>2434 - DISABILITY AWARENESS</v>
      </c>
      <c r="F594" s="2" t="s">
        <v>267</v>
      </c>
      <c r="J594" s="5" t="str">
        <f>IF(H594="",VLOOKUP(LEFT(F594,1),'Exp-Rev Categories'!A:B,2,FALSE),IF(ISNA(VLOOKUP(H594,'Exp-Rev Categories'!A:B,2,FALSE)),"Revenue",VLOOKUP(H594,'Exp-Rev Categories'!A:B,2,FALSE)))</f>
        <v>Exp-Travel</v>
      </c>
      <c r="K594" s="2">
        <v>0</v>
      </c>
      <c r="L594" s="3">
        <v>0</v>
      </c>
      <c r="M594" s="3">
        <v>0</v>
      </c>
      <c r="N594" s="3">
        <v>0</v>
      </c>
      <c r="O594" s="3">
        <v>0</v>
      </c>
      <c r="P594" s="2" t="s">
        <v>150</v>
      </c>
    </row>
    <row r="595" spans="1:16">
      <c r="A595" s="2" t="s">
        <v>280</v>
      </c>
      <c r="B595" s="2" t="s">
        <v>1</v>
      </c>
      <c r="C595" s="2" t="s">
        <v>2</v>
      </c>
      <c r="D595" s="2" t="s">
        <v>148</v>
      </c>
      <c r="E595" s="4" t="str">
        <f t="shared" si="9"/>
        <v>2434 - DISABILITY AWARENESS</v>
      </c>
      <c r="F595" s="2" t="s">
        <v>44</v>
      </c>
      <c r="G595" s="2" t="s">
        <v>66</v>
      </c>
      <c r="J595" s="5" t="str">
        <f>IF(H595="",VLOOKUP(LEFT(F595,1),'Exp-Rev Categories'!A:B,2,FALSE),IF(ISNA(VLOOKUP(H595,'Exp-Rev Categories'!A:B,2,FALSE)),"Revenue",VLOOKUP(H595,'Exp-Rev Categories'!A:B,2,FALSE)))</f>
        <v>Exp-Travel</v>
      </c>
      <c r="K595" s="2">
        <v>0</v>
      </c>
      <c r="L595" s="3">
        <v>63</v>
      </c>
      <c r="M595" s="3">
        <v>0</v>
      </c>
      <c r="N595" s="3">
        <v>-63</v>
      </c>
      <c r="O595" s="3">
        <v>0</v>
      </c>
      <c r="P595" s="2" t="s">
        <v>150</v>
      </c>
    </row>
    <row r="596" spans="1:16">
      <c r="A596" s="2" t="s">
        <v>280</v>
      </c>
      <c r="B596" s="2" t="s">
        <v>1</v>
      </c>
      <c r="C596" s="2" t="s">
        <v>2</v>
      </c>
      <c r="D596" s="2" t="s">
        <v>148</v>
      </c>
      <c r="E596" s="4" t="str">
        <f t="shared" si="9"/>
        <v>2434 - DISABILITY AWARENESS</v>
      </c>
      <c r="F596" s="2" t="s">
        <v>117</v>
      </c>
      <c r="J596" s="5" t="str">
        <f>IF(H596="",VLOOKUP(LEFT(F596,1),'Exp-Rev Categories'!A:B,2,FALSE),IF(ISNA(VLOOKUP(H596,'Exp-Rev Categories'!A:B,2,FALSE)),"Revenue",VLOOKUP(H596,'Exp-Rev Categories'!A:B,2,FALSE)))</f>
        <v>Exp-Grants/Scholarships</v>
      </c>
      <c r="K596" s="2">
        <v>0</v>
      </c>
      <c r="L596" s="3">
        <v>0</v>
      </c>
      <c r="M596" s="3">
        <v>0</v>
      </c>
      <c r="N596" s="3">
        <v>0</v>
      </c>
      <c r="O596" s="3">
        <v>0</v>
      </c>
      <c r="P596" s="2" t="s">
        <v>150</v>
      </c>
    </row>
    <row r="597" spans="1:16">
      <c r="A597" s="2" t="s">
        <v>280</v>
      </c>
      <c r="B597" s="2" t="s">
        <v>1</v>
      </c>
      <c r="C597" s="2" t="s">
        <v>2</v>
      </c>
      <c r="D597" s="2" t="s">
        <v>148</v>
      </c>
      <c r="E597" s="4" t="str">
        <f t="shared" si="9"/>
        <v>2434 - DISABILITY AWARENESS</v>
      </c>
      <c r="F597" s="2" t="s">
        <v>117</v>
      </c>
      <c r="G597" s="2" t="s">
        <v>24</v>
      </c>
      <c r="J597" s="5" t="str">
        <f>IF(H597="",VLOOKUP(LEFT(F597,1),'Exp-Rev Categories'!A:B,2,FALSE),IF(ISNA(VLOOKUP(H597,'Exp-Rev Categories'!A:B,2,FALSE)),"Revenue",VLOOKUP(H597,'Exp-Rev Categories'!A:B,2,FALSE)))</f>
        <v>Exp-Grants/Scholarships</v>
      </c>
      <c r="K597" s="2">
        <v>0</v>
      </c>
      <c r="L597" s="3">
        <v>250</v>
      </c>
      <c r="M597" s="3">
        <v>0</v>
      </c>
      <c r="N597" s="3">
        <v>-250</v>
      </c>
      <c r="O597" s="3">
        <v>0</v>
      </c>
      <c r="P597" s="2" t="s">
        <v>150</v>
      </c>
    </row>
    <row r="598" spans="1:16">
      <c r="A598" s="2" t="s">
        <v>280</v>
      </c>
      <c r="B598" s="2" t="s">
        <v>1</v>
      </c>
      <c r="C598" s="2" t="s">
        <v>2</v>
      </c>
      <c r="D598" s="2" t="s">
        <v>151</v>
      </c>
      <c r="E598" s="4" t="str">
        <f t="shared" si="9"/>
        <v>2435 - BLACK STUDENT UNION</v>
      </c>
      <c r="H598" s="2" t="s">
        <v>51</v>
      </c>
      <c r="I598" s="2" t="s">
        <v>389</v>
      </c>
      <c r="J598" s="5" t="str">
        <f>IF(H598="",VLOOKUP(LEFT(F598,1),'Exp-Rev Categories'!A:B,2,FALSE),IF(ISNA(VLOOKUP(H598,'Exp-Rev Categories'!A:B,2,FALSE)),"Revenue",VLOOKUP(H598,'Exp-Rev Categories'!A:B,2,FALSE)))</f>
        <v>Revenue</v>
      </c>
      <c r="K598" s="2">
        <v>0</v>
      </c>
      <c r="L598" s="3">
        <v>0</v>
      </c>
      <c r="M598" s="3">
        <v>0</v>
      </c>
      <c r="N598" s="3">
        <v>0</v>
      </c>
      <c r="O598" s="3">
        <v>0</v>
      </c>
      <c r="P598" s="2" t="s">
        <v>238</v>
      </c>
    </row>
    <row r="599" spans="1:16">
      <c r="A599" s="2" t="s">
        <v>280</v>
      </c>
      <c r="B599" s="2" t="s">
        <v>1</v>
      </c>
      <c r="C599" s="2" t="s">
        <v>2</v>
      </c>
      <c r="D599" s="2" t="s">
        <v>151</v>
      </c>
      <c r="E599" s="4" t="str">
        <f t="shared" si="9"/>
        <v>2435 - BLACK STUDENT UNION</v>
      </c>
      <c r="H599" s="2" t="s">
        <v>43</v>
      </c>
      <c r="J599" s="5" t="str">
        <f>IF(H599="",VLOOKUP(LEFT(F599,1),'Exp-Rev Categories'!A:B,2,FALSE),IF(ISNA(VLOOKUP(H599,'Exp-Rev Categories'!A:B,2,FALSE)),"Revenue",VLOOKUP(H599,'Exp-Rev Categories'!A:B,2,FALSE)))</f>
        <v>Rev-Intra-Fund Transfer</v>
      </c>
      <c r="K599" s="2">
        <v>0</v>
      </c>
      <c r="L599" s="3">
        <v>0</v>
      </c>
      <c r="M599" s="3">
        <v>0</v>
      </c>
      <c r="N599" s="3">
        <v>0</v>
      </c>
      <c r="O599" s="3">
        <v>0</v>
      </c>
      <c r="P599" s="2" t="s">
        <v>238</v>
      </c>
    </row>
    <row r="600" spans="1:16">
      <c r="A600" s="2" t="s">
        <v>280</v>
      </c>
      <c r="B600" s="2" t="s">
        <v>1</v>
      </c>
      <c r="C600" s="2" t="s">
        <v>2</v>
      </c>
      <c r="D600" s="2" t="s">
        <v>151</v>
      </c>
      <c r="E600" s="4" t="str">
        <f t="shared" si="9"/>
        <v>2435 - BLACK STUDENT UNION</v>
      </c>
      <c r="F600" s="2" t="s">
        <v>29</v>
      </c>
      <c r="J600" s="5" t="str">
        <f>IF(H600="",VLOOKUP(LEFT(F600,1),'Exp-Rev Categories'!A:B,2,FALSE),IF(ISNA(VLOOKUP(H600,'Exp-Rev Categories'!A:B,2,FALSE)),"Revenue",VLOOKUP(H600,'Exp-Rev Categories'!A:B,2,FALSE)))</f>
        <v>Exp-Goods &amp; Services</v>
      </c>
      <c r="K600" s="2">
        <v>5573</v>
      </c>
      <c r="L600" s="3">
        <v>0</v>
      </c>
      <c r="M600" s="3">
        <v>0</v>
      </c>
      <c r="N600" s="3">
        <v>5573</v>
      </c>
      <c r="O600" s="3">
        <v>0</v>
      </c>
      <c r="P600" s="2" t="s">
        <v>238</v>
      </c>
    </row>
    <row r="601" spans="1:16">
      <c r="A601" s="2" t="s">
        <v>280</v>
      </c>
      <c r="B601" s="2" t="s">
        <v>1</v>
      </c>
      <c r="C601" s="2" t="s">
        <v>2</v>
      </c>
      <c r="D601" s="2" t="s">
        <v>151</v>
      </c>
      <c r="E601" s="4" t="str">
        <f t="shared" si="9"/>
        <v>2435 - BLACK STUDENT UNION</v>
      </c>
      <c r="F601" s="2" t="s">
        <v>23</v>
      </c>
      <c r="G601" s="2" t="s">
        <v>24</v>
      </c>
      <c r="J601" s="5" t="str">
        <f>IF(H601="",VLOOKUP(LEFT(F601,1),'Exp-Rev Categories'!A:B,2,FALSE),IF(ISNA(VLOOKUP(H601,'Exp-Rev Categories'!A:B,2,FALSE)),"Revenue",VLOOKUP(H601,'Exp-Rev Categories'!A:B,2,FALSE)))</f>
        <v>Exp-Goods &amp; Services</v>
      </c>
      <c r="K601" s="2">
        <v>0</v>
      </c>
      <c r="L601" s="3">
        <v>1200.43</v>
      </c>
      <c r="M601" s="3">
        <v>0</v>
      </c>
      <c r="N601" s="3">
        <v>-1200.43</v>
      </c>
      <c r="O601" s="3">
        <v>0</v>
      </c>
      <c r="P601" s="2" t="s">
        <v>238</v>
      </c>
    </row>
    <row r="602" spans="1:16">
      <c r="A602" s="2" t="s">
        <v>280</v>
      </c>
      <c r="B602" s="2" t="s">
        <v>1</v>
      </c>
      <c r="C602" s="2" t="s">
        <v>2</v>
      </c>
      <c r="D602" s="2" t="s">
        <v>151</v>
      </c>
      <c r="E602" s="4" t="str">
        <f t="shared" si="9"/>
        <v>2435 - BLACK STUDENT UNION</v>
      </c>
      <c r="F602" s="2" t="s">
        <v>78</v>
      </c>
      <c r="G602" s="2" t="s">
        <v>24</v>
      </c>
      <c r="J602" s="5" t="str">
        <f>IF(H602="",VLOOKUP(LEFT(F602,1),'Exp-Rev Categories'!A:B,2,FALSE),IF(ISNA(VLOOKUP(H602,'Exp-Rev Categories'!A:B,2,FALSE)),"Revenue",VLOOKUP(H602,'Exp-Rev Categories'!A:B,2,FALSE)))</f>
        <v>Exp-Goods &amp; Services</v>
      </c>
      <c r="K602" s="2">
        <v>0</v>
      </c>
      <c r="L602" s="3">
        <v>342</v>
      </c>
      <c r="M602" s="3">
        <v>0</v>
      </c>
      <c r="N602" s="3">
        <v>-342</v>
      </c>
      <c r="O602" s="3">
        <v>0</v>
      </c>
      <c r="P602" s="2" t="s">
        <v>238</v>
      </c>
    </row>
    <row r="603" spans="1:16">
      <c r="A603" s="2" t="s">
        <v>280</v>
      </c>
      <c r="B603" s="2" t="s">
        <v>1</v>
      </c>
      <c r="C603" s="2" t="s">
        <v>2</v>
      </c>
      <c r="D603" s="2" t="s">
        <v>151</v>
      </c>
      <c r="E603" s="4" t="str">
        <f t="shared" si="9"/>
        <v>2435 - BLACK STUDENT UNION</v>
      </c>
      <c r="F603" s="2" t="s">
        <v>54</v>
      </c>
      <c r="G603" s="2" t="s">
        <v>56</v>
      </c>
      <c r="J603" s="5" t="str">
        <f>IF(H603="",VLOOKUP(LEFT(F603,1),'Exp-Rev Categories'!A:B,2,FALSE),IF(ISNA(VLOOKUP(H603,'Exp-Rev Categories'!A:B,2,FALSE)),"Revenue",VLOOKUP(H603,'Exp-Rev Categories'!A:B,2,FALSE)))</f>
        <v>Exp-Goods &amp; Services</v>
      </c>
      <c r="K603" s="2">
        <v>0</v>
      </c>
      <c r="L603" s="3">
        <v>487.5</v>
      </c>
      <c r="M603" s="3">
        <v>0</v>
      </c>
      <c r="N603" s="3">
        <v>-487.5</v>
      </c>
      <c r="O603" s="3">
        <v>0</v>
      </c>
      <c r="P603" s="2" t="s">
        <v>238</v>
      </c>
    </row>
    <row r="604" spans="1:16">
      <c r="A604" s="2" t="s">
        <v>280</v>
      </c>
      <c r="B604" s="2" t="s">
        <v>1</v>
      </c>
      <c r="C604" s="2" t="s">
        <v>2</v>
      </c>
      <c r="D604" s="2" t="s">
        <v>151</v>
      </c>
      <c r="E604" s="4" t="str">
        <f t="shared" si="9"/>
        <v>2435 - BLACK STUDENT UNION</v>
      </c>
      <c r="F604" s="2" t="s">
        <v>41</v>
      </c>
      <c r="G604" s="2" t="s">
        <v>7</v>
      </c>
      <c r="J604" s="5" t="str">
        <f>IF(H604="",VLOOKUP(LEFT(F604,1),'Exp-Rev Categories'!A:B,2,FALSE),IF(ISNA(VLOOKUP(H604,'Exp-Rev Categories'!A:B,2,FALSE)),"Revenue",VLOOKUP(H604,'Exp-Rev Categories'!A:B,2,FALSE)))</f>
        <v>Exp-Goods &amp; Services</v>
      </c>
      <c r="K604" s="2">
        <v>0</v>
      </c>
      <c r="L604" s="3">
        <v>927.26</v>
      </c>
      <c r="M604" s="3">
        <v>0</v>
      </c>
      <c r="N604" s="3">
        <v>-927.26</v>
      </c>
      <c r="O604" s="3">
        <v>0</v>
      </c>
      <c r="P604" s="2" t="s">
        <v>238</v>
      </c>
    </row>
    <row r="605" spans="1:16">
      <c r="A605" s="2" t="s">
        <v>280</v>
      </c>
      <c r="B605" s="2" t="s">
        <v>1</v>
      </c>
      <c r="C605" s="2" t="s">
        <v>2</v>
      </c>
      <c r="D605" s="2" t="s">
        <v>151</v>
      </c>
      <c r="E605" s="4" t="str">
        <f t="shared" si="9"/>
        <v>2435 - BLACK STUDENT UNION</v>
      </c>
      <c r="F605" s="2" t="s">
        <v>267</v>
      </c>
      <c r="J605" s="5" t="str">
        <f>IF(H605="",VLOOKUP(LEFT(F605,1),'Exp-Rev Categories'!A:B,2,FALSE),IF(ISNA(VLOOKUP(H605,'Exp-Rev Categories'!A:B,2,FALSE)),"Revenue",VLOOKUP(H605,'Exp-Rev Categories'!A:B,2,FALSE)))</f>
        <v>Exp-Travel</v>
      </c>
      <c r="K605" s="2">
        <v>0</v>
      </c>
      <c r="L605" s="3">
        <v>0</v>
      </c>
      <c r="M605" s="3">
        <v>0</v>
      </c>
      <c r="N605" s="3">
        <v>0</v>
      </c>
      <c r="O605" s="3">
        <v>0</v>
      </c>
      <c r="P605" s="2" t="s">
        <v>238</v>
      </c>
    </row>
    <row r="606" spans="1:16">
      <c r="A606" s="2" t="s">
        <v>280</v>
      </c>
      <c r="B606" s="2" t="s">
        <v>1</v>
      </c>
      <c r="C606" s="2" t="s">
        <v>2</v>
      </c>
      <c r="D606" s="2" t="s">
        <v>151</v>
      </c>
      <c r="E606" s="4" t="str">
        <f t="shared" si="9"/>
        <v>2435 - BLACK STUDENT UNION</v>
      </c>
      <c r="F606" s="2" t="s">
        <v>67</v>
      </c>
      <c r="G606" s="2" t="s">
        <v>24</v>
      </c>
      <c r="J606" s="5" t="str">
        <f>IF(H606="",VLOOKUP(LEFT(F606,1),'Exp-Rev Categories'!A:B,2,FALSE),IF(ISNA(VLOOKUP(H606,'Exp-Rev Categories'!A:B,2,FALSE)),"Revenue",VLOOKUP(H606,'Exp-Rev Categories'!A:B,2,FALSE)))</f>
        <v>Exp-Travel</v>
      </c>
      <c r="K606" s="2">
        <v>0</v>
      </c>
      <c r="L606" s="3">
        <v>66.260000000000005</v>
      </c>
      <c r="M606" s="3">
        <v>0</v>
      </c>
      <c r="N606" s="3">
        <v>-66.260000000000005</v>
      </c>
      <c r="O606" s="3">
        <v>0</v>
      </c>
      <c r="P606" s="2" t="s">
        <v>238</v>
      </c>
    </row>
    <row r="607" spans="1:16">
      <c r="A607" s="2" t="s">
        <v>280</v>
      </c>
      <c r="B607" s="2" t="s">
        <v>1</v>
      </c>
      <c r="C607" s="2" t="s">
        <v>2</v>
      </c>
      <c r="D607" s="2" t="s">
        <v>151</v>
      </c>
      <c r="E607" s="4" t="str">
        <f t="shared" si="9"/>
        <v>2435 - BLACK STUDENT UNION</v>
      </c>
      <c r="F607" s="2" t="s">
        <v>44</v>
      </c>
      <c r="G607" s="2" t="s">
        <v>66</v>
      </c>
      <c r="J607" s="5" t="str">
        <f>IF(H607="",VLOOKUP(LEFT(F607,1),'Exp-Rev Categories'!A:B,2,FALSE),IF(ISNA(VLOOKUP(H607,'Exp-Rev Categories'!A:B,2,FALSE)),"Revenue",VLOOKUP(H607,'Exp-Rev Categories'!A:B,2,FALSE)))</f>
        <v>Exp-Travel</v>
      </c>
      <c r="K607" s="2">
        <v>0</v>
      </c>
      <c r="L607" s="3">
        <v>63</v>
      </c>
      <c r="M607" s="3">
        <v>0</v>
      </c>
      <c r="N607" s="3">
        <v>-63</v>
      </c>
      <c r="O607" s="3">
        <v>0</v>
      </c>
      <c r="P607" s="2" t="s">
        <v>238</v>
      </c>
    </row>
    <row r="608" spans="1:16">
      <c r="A608" s="2" t="s">
        <v>280</v>
      </c>
      <c r="B608" s="2" t="s">
        <v>1</v>
      </c>
      <c r="C608" s="2" t="s">
        <v>2</v>
      </c>
      <c r="D608" s="2" t="s">
        <v>151</v>
      </c>
      <c r="E608" s="4" t="str">
        <f t="shared" si="9"/>
        <v>2435 - BLACK STUDENT UNION</v>
      </c>
      <c r="F608" s="2" t="s">
        <v>44</v>
      </c>
      <c r="G608" s="2" t="s">
        <v>7</v>
      </c>
      <c r="J608" s="5" t="str">
        <f>IF(H608="",VLOOKUP(LEFT(F608,1),'Exp-Rev Categories'!A:B,2,FALSE),IF(ISNA(VLOOKUP(H608,'Exp-Rev Categories'!A:B,2,FALSE)),"Revenue",VLOOKUP(H608,'Exp-Rev Categories'!A:B,2,FALSE)))</f>
        <v>Exp-Travel</v>
      </c>
      <c r="K608" s="2">
        <v>0</v>
      </c>
      <c r="L608" s="3">
        <v>247.82</v>
      </c>
      <c r="M608" s="3">
        <v>0</v>
      </c>
      <c r="N608" s="3">
        <v>-247.82</v>
      </c>
      <c r="O608" s="3">
        <v>0</v>
      </c>
      <c r="P608" s="2" t="s">
        <v>238</v>
      </c>
    </row>
    <row r="609" spans="1:16">
      <c r="A609" s="2" t="s">
        <v>280</v>
      </c>
      <c r="B609" s="2" t="s">
        <v>1</v>
      </c>
      <c r="C609" s="2" t="s">
        <v>2</v>
      </c>
      <c r="D609" s="2" t="s">
        <v>151</v>
      </c>
      <c r="E609" s="4" t="str">
        <f t="shared" si="9"/>
        <v>2435 - BLACK STUDENT UNION</v>
      </c>
      <c r="F609" s="2" t="s">
        <v>268</v>
      </c>
      <c r="J609" s="5" t="str">
        <f>IF(H609="",VLOOKUP(LEFT(F609,1),'Exp-Rev Categories'!A:B,2,FALSE),IF(ISNA(VLOOKUP(H609,'Exp-Rev Categories'!A:B,2,FALSE)),"Revenue",VLOOKUP(H609,'Exp-Rev Categories'!A:B,2,FALSE)))</f>
        <v>Exp-Equipment</v>
      </c>
      <c r="K609" s="2">
        <v>0</v>
      </c>
      <c r="L609" s="3">
        <v>0</v>
      </c>
      <c r="M609" s="3">
        <v>0</v>
      </c>
      <c r="N609" s="3">
        <v>0</v>
      </c>
      <c r="O609" s="3">
        <v>0</v>
      </c>
      <c r="P609" s="2" t="s">
        <v>238</v>
      </c>
    </row>
    <row r="610" spans="1:16">
      <c r="A610" s="2" t="s">
        <v>280</v>
      </c>
      <c r="B610" s="2" t="s">
        <v>1</v>
      </c>
      <c r="C610" s="2" t="s">
        <v>2</v>
      </c>
      <c r="D610" s="2" t="s">
        <v>151</v>
      </c>
      <c r="E610" s="4" t="str">
        <f t="shared" si="9"/>
        <v>2435 - BLACK STUDENT UNION</v>
      </c>
      <c r="F610" s="2" t="s">
        <v>117</v>
      </c>
      <c r="J610" s="5" t="str">
        <f>IF(H610="",VLOOKUP(LEFT(F610,1),'Exp-Rev Categories'!A:B,2,FALSE),IF(ISNA(VLOOKUP(H610,'Exp-Rev Categories'!A:B,2,FALSE)),"Revenue",VLOOKUP(H610,'Exp-Rev Categories'!A:B,2,FALSE)))</f>
        <v>Exp-Grants/Scholarships</v>
      </c>
      <c r="K610" s="2">
        <v>0</v>
      </c>
      <c r="L610" s="3">
        <v>0</v>
      </c>
      <c r="M610" s="3">
        <v>0</v>
      </c>
      <c r="N610" s="3">
        <v>0</v>
      </c>
      <c r="O610" s="3">
        <v>0</v>
      </c>
      <c r="P610" s="2" t="s">
        <v>238</v>
      </c>
    </row>
    <row r="611" spans="1:16">
      <c r="A611" s="2" t="s">
        <v>280</v>
      </c>
      <c r="B611" s="2" t="s">
        <v>1</v>
      </c>
      <c r="C611" s="2" t="s">
        <v>2</v>
      </c>
      <c r="D611" s="2" t="s">
        <v>151</v>
      </c>
      <c r="E611" s="4" t="str">
        <f t="shared" si="9"/>
        <v>2435 - BLACK STUDENT UNION</v>
      </c>
      <c r="F611" s="2" t="s">
        <v>117</v>
      </c>
      <c r="G611" s="2" t="s">
        <v>24</v>
      </c>
      <c r="J611" s="5" t="str">
        <f>IF(H611="",VLOOKUP(LEFT(F611,1),'Exp-Rev Categories'!A:B,2,FALSE),IF(ISNA(VLOOKUP(H611,'Exp-Rev Categories'!A:B,2,FALSE)),"Revenue",VLOOKUP(H611,'Exp-Rev Categories'!A:B,2,FALSE)))</f>
        <v>Exp-Grants/Scholarships</v>
      </c>
      <c r="K611" s="2">
        <v>0</v>
      </c>
      <c r="L611" s="3">
        <v>300</v>
      </c>
      <c r="M611" s="3">
        <v>0</v>
      </c>
      <c r="N611" s="3">
        <v>-300</v>
      </c>
      <c r="O611" s="3">
        <v>0</v>
      </c>
      <c r="P611" s="2" t="s">
        <v>238</v>
      </c>
    </row>
    <row r="612" spans="1:16">
      <c r="A612" s="2" t="s">
        <v>280</v>
      </c>
      <c r="B612" s="2" t="s">
        <v>1</v>
      </c>
      <c r="C612" s="2" t="s">
        <v>2</v>
      </c>
      <c r="D612" s="2" t="s">
        <v>152</v>
      </c>
      <c r="E612" s="4" t="str">
        <f t="shared" si="9"/>
        <v>2436 - VETERANS</v>
      </c>
      <c r="H612" s="2" t="s">
        <v>51</v>
      </c>
      <c r="I612" s="2" t="s">
        <v>153</v>
      </c>
      <c r="J612" s="5" t="str">
        <f>IF(H612="",VLOOKUP(LEFT(F612,1),'Exp-Rev Categories'!A:B,2,FALSE),IF(ISNA(VLOOKUP(H612,'Exp-Rev Categories'!A:B,2,FALSE)),"Revenue",VLOOKUP(H612,'Exp-Rev Categories'!A:B,2,FALSE)))</f>
        <v>Revenue</v>
      </c>
      <c r="K612" s="2">
        <v>0</v>
      </c>
      <c r="L612" s="3">
        <v>-107</v>
      </c>
      <c r="M612" s="3">
        <v>0</v>
      </c>
      <c r="N612" s="3">
        <v>107</v>
      </c>
      <c r="O612" s="3">
        <v>0</v>
      </c>
      <c r="P612" s="2" t="s">
        <v>239</v>
      </c>
    </row>
    <row r="613" spans="1:16">
      <c r="A613" s="2" t="s">
        <v>280</v>
      </c>
      <c r="B613" s="2" t="s">
        <v>1</v>
      </c>
      <c r="C613" s="2" t="s">
        <v>2</v>
      </c>
      <c r="D613" s="2" t="s">
        <v>152</v>
      </c>
      <c r="E613" s="4" t="str">
        <f t="shared" si="9"/>
        <v>2436 - VETERANS</v>
      </c>
      <c r="H613" s="2" t="s">
        <v>43</v>
      </c>
      <c r="J613" s="5" t="str">
        <f>IF(H613="",VLOOKUP(LEFT(F613,1),'Exp-Rev Categories'!A:B,2,FALSE),IF(ISNA(VLOOKUP(H613,'Exp-Rev Categories'!A:B,2,FALSE)),"Revenue",VLOOKUP(H613,'Exp-Rev Categories'!A:B,2,FALSE)))</f>
        <v>Rev-Intra-Fund Transfer</v>
      </c>
      <c r="K613" s="2">
        <v>0</v>
      </c>
      <c r="L613" s="3">
        <v>-273</v>
      </c>
      <c r="M613" s="3">
        <v>0</v>
      </c>
      <c r="N613" s="3">
        <v>273</v>
      </c>
      <c r="O613" s="3">
        <v>0</v>
      </c>
      <c r="P613" s="2" t="s">
        <v>239</v>
      </c>
    </row>
    <row r="614" spans="1:16">
      <c r="A614" s="2" t="s">
        <v>280</v>
      </c>
      <c r="B614" s="2" t="s">
        <v>1</v>
      </c>
      <c r="C614" s="2" t="s">
        <v>2</v>
      </c>
      <c r="D614" s="2" t="s">
        <v>152</v>
      </c>
      <c r="E614" s="4" t="str">
        <f t="shared" si="9"/>
        <v>2436 - VETERANS</v>
      </c>
      <c r="F614" s="2" t="s">
        <v>29</v>
      </c>
      <c r="J614" s="5" t="str">
        <f>IF(H614="",VLOOKUP(LEFT(F614,1),'Exp-Rev Categories'!A:B,2,FALSE),IF(ISNA(VLOOKUP(H614,'Exp-Rev Categories'!A:B,2,FALSE)),"Revenue",VLOOKUP(H614,'Exp-Rev Categories'!A:B,2,FALSE)))</f>
        <v>Exp-Goods &amp; Services</v>
      </c>
      <c r="K614" s="2">
        <v>13717</v>
      </c>
      <c r="L614" s="3">
        <v>0</v>
      </c>
      <c r="M614" s="3">
        <v>0</v>
      </c>
      <c r="N614" s="3">
        <v>13717</v>
      </c>
      <c r="O614" s="3">
        <v>0</v>
      </c>
      <c r="P614" s="2" t="s">
        <v>239</v>
      </c>
    </row>
    <row r="615" spans="1:16">
      <c r="A615" s="2" t="s">
        <v>280</v>
      </c>
      <c r="B615" s="2" t="s">
        <v>1</v>
      </c>
      <c r="C615" s="2" t="s">
        <v>2</v>
      </c>
      <c r="D615" s="2" t="s">
        <v>152</v>
      </c>
      <c r="E615" s="4" t="str">
        <f t="shared" si="9"/>
        <v>2436 - VETERANS</v>
      </c>
      <c r="F615" s="2" t="s">
        <v>23</v>
      </c>
      <c r="G615" s="2" t="s">
        <v>24</v>
      </c>
      <c r="J615" s="5" t="str">
        <f>IF(H615="",VLOOKUP(LEFT(F615,1),'Exp-Rev Categories'!A:B,2,FALSE),IF(ISNA(VLOOKUP(H615,'Exp-Rev Categories'!A:B,2,FALSE)),"Revenue",VLOOKUP(H615,'Exp-Rev Categories'!A:B,2,FALSE)))</f>
        <v>Exp-Goods &amp; Services</v>
      </c>
      <c r="K615" s="2">
        <v>0</v>
      </c>
      <c r="L615" s="3">
        <v>2630.42</v>
      </c>
      <c r="M615" s="3">
        <v>0</v>
      </c>
      <c r="N615" s="3">
        <v>-2630.42</v>
      </c>
      <c r="O615" s="3">
        <v>0</v>
      </c>
      <c r="P615" s="2" t="s">
        <v>239</v>
      </c>
    </row>
    <row r="616" spans="1:16">
      <c r="A616" s="2" t="s">
        <v>280</v>
      </c>
      <c r="B616" s="2" t="s">
        <v>1</v>
      </c>
      <c r="C616" s="2" t="s">
        <v>2</v>
      </c>
      <c r="D616" s="2" t="s">
        <v>152</v>
      </c>
      <c r="E616" s="4" t="str">
        <f t="shared" si="9"/>
        <v>2436 - VETERANS</v>
      </c>
      <c r="F616" s="2" t="s">
        <v>78</v>
      </c>
      <c r="G616" s="2" t="s">
        <v>24</v>
      </c>
      <c r="J616" s="5" t="str">
        <f>IF(H616="",VLOOKUP(LEFT(F616,1),'Exp-Rev Categories'!A:B,2,FALSE),IF(ISNA(VLOOKUP(H616,'Exp-Rev Categories'!A:B,2,FALSE)),"Revenue",VLOOKUP(H616,'Exp-Rev Categories'!A:B,2,FALSE)))</f>
        <v>Exp-Goods &amp; Services</v>
      </c>
      <c r="K616" s="2">
        <v>0</v>
      </c>
      <c r="L616" s="3">
        <v>342</v>
      </c>
      <c r="M616" s="3">
        <v>0</v>
      </c>
      <c r="N616" s="3">
        <v>-342</v>
      </c>
      <c r="O616" s="3">
        <v>0</v>
      </c>
      <c r="P616" s="2" t="s">
        <v>239</v>
      </c>
    </row>
    <row r="617" spans="1:16">
      <c r="A617" s="2" t="s">
        <v>280</v>
      </c>
      <c r="B617" s="2" t="s">
        <v>1</v>
      </c>
      <c r="C617" s="2" t="s">
        <v>2</v>
      </c>
      <c r="D617" s="2" t="s">
        <v>152</v>
      </c>
      <c r="E617" s="4" t="str">
        <f t="shared" si="9"/>
        <v>2436 - VETERANS</v>
      </c>
      <c r="F617" s="2" t="s">
        <v>54</v>
      </c>
      <c r="G617" s="2" t="s">
        <v>56</v>
      </c>
      <c r="J617" s="5" t="str">
        <f>IF(H617="",VLOOKUP(LEFT(F617,1),'Exp-Rev Categories'!A:B,2,FALSE),IF(ISNA(VLOOKUP(H617,'Exp-Rev Categories'!A:B,2,FALSE)),"Revenue",VLOOKUP(H617,'Exp-Rev Categories'!A:B,2,FALSE)))</f>
        <v>Exp-Goods &amp; Services</v>
      </c>
      <c r="K617" s="2">
        <v>0</v>
      </c>
      <c r="L617" s="3">
        <v>300</v>
      </c>
      <c r="M617" s="3">
        <v>0</v>
      </c>
      <c r="N617" s="3">
        <v>-300</v>
      </c>
      <c r="O617" s="3">
        <v>0</v>
      </c>
      <c r="P617" s="2" t="s">
        <v>239</v>
      </c>
    </row>
    <row r="618" spans="1:16">
      <c r="A618" s="2" t="s">
        <v>280</v>
      </c>
      <c r="B618" s="2" t="s">
        <v>1</v>
      </c>
      <c r="C618" s="2" t="s">
        <v>2</v>
      </c>
      <c r="D618" s="2" t="s">
        <v>152</v>
      </c>
      <c r="E618" s="4" t="str">
        <f t="shared" si="9"/>
        <v>2436 - VETERANS</v>
      </c>
      <c r="F618" s="2" t="s">
        <v>154</v>
      </c>
      <c r="G618" s="2" t="s">
        <v>24</v>
      </c>
      <c r="J618" s="5" t="str">
        <f>IF(H618="",VLOOKUP(LEFT(F618,1),'Exp-Rev Categories'!A:B,2,FALSE),IF(ISNA(VLOOKUP(H618,'Exp-Rev Categories'!A:B,2,FALSE)),"Revenue",VLOOKUP(H618,'Exp-Rev Categories'!A:B,2,FALSE)))</f>
        <v>Exp-Goods &amp; Services</v>
      </c>
      <c r="K618" s="2">
        <v>0</v>
      </c>
      <c r="L618" s="3">
        <v>239.14</v>
      </c>
      <c r="M618" s="3">
        <v>0</v>
      </c>
      <c r="N618" s="3">
        <v>-239.14</v>
      </c>
      <c r="O618" s="3">
        <v>0</v>
      </c>
      <c r="P618" s="2" t="s">
        <v>239</v>
      </c>
    </row>
    <row r="619" spans="1:16">
      <c r="A619" s="2" t="s">
        <v>280</v>
      </c>
      <c r="B619" s="2" t="s">
        <v>1</v>
      </c>
      <c r="C619" s="2" t="s">
        <v>2</v>
      </c>
      <c r="D619" s="2" t="s">
        <v>152</v>
      </c>
      <c r="E619" s="4" t="str">
        <f t="shared" si="9"/>
        <v>2436 - VETERANS</v>
      </c>
      <c r="F619" s="2" t="s">
        <v>84</v>
      </c>
      <c r="G619" s="2" t="s">
        <v>24</v>
      </c>
      <c r="J619" s="5" t="str">
        <f>IF(H619="",VLOOKUP(LEFT(F619,1),'Exp-Rev Categories'!A:B,2,FALSE),IF(ISNA(VLOOKUP(H619,'Exp-Rev Categories'!A:B,2,FALSE)),"Revenue",VLOOKUP(H619,'Exp-Rev Categories'!A:B,2,FALSE)))</f>
        <v>Exp-Goods &amp; Services</v>
      </c>
      <c r="K619" s="2">
        <v>0</v>
      </c>
      <c r="L619" s="3">
        <v>56.12</v>
      </c>
      <c r="M619" s="3">
        <v>0</v>
      </c>
      <c r="N619" s="3">
        <v>-56.12</v>
      </c>
      <c r="O619" s="3">
        <v>0</v>
      </c>
      <c r="P619" s="2" t="s">
        <v>239</v>
      </c>
    </row>
    <row r="620" spans="1:16">
      <c r="A620" s="2" t="s">
        <v>280</v>
      </c>
      <c r="B620" s="2" t="s">
        <v>1</v>
      </c>
      <c r="C620" s="2" t="s">
        <v>2</v>
      </c>
      <c r="D620" s="2" t="s">
        <v>152</v>
      </c>
      <c r="E620" s="4" t="str">
        <f t="shared" si="9"/>
        <v>2436 - VETERANS</v>
      </c>
      <c r="F620" s="2" t="s">
        <v>113</v>
      </c>
      <c r="G620" s="2" t="s">
        <v>45</v>
      </c>
      <c r="J620" s="5" t="str">
        <f>IF(H620="",VLOOKUP(LEFT(F620,1),'Exp-Rev Categories'!A:B,2,FALSE),IF(ISNA(VLOOKUP(H620,'Exp-Rev Categories'!A:B,2,FALSE)),"Revenue",VLOOKUP(H620,'Exp-Rev Categories'!A:B,2,FALSE)))</f>
        <v>Exp-Goods &amp; Services</v>
      </c>
      <c r="K620" s="2">
        <v>0</v>
      </c>
      <c r="L620" s="3">
        <v>94.99</v>
      </c>
      <c r="M620" s="3">
        <v>0</v>
      </c>
      <c r="N620" s="3">
        <v>-94.99</v>
      </c>
      <c r="O620" s="3">
        <v>0</v>
      </c>
      <c r="P620" s="2" t="s">
        <v>239</v>
      </c>
    </row>
    <row r="621" spans="1:16">
      <c r="A621" s="2" t="s">
        <v>280</v>
      </c>
      <c r="B621" s="2" t="s">
        <v>1</v>
      </c>
      <c r="C621" s="2" t="s">
        <v>2</v>
      </c>
      <c r="D621" s="2" t="s">
        <v>152</v>
      </c>
      <c r="E621" s="4" t="str">
        <f t="shared" si="9"/>
        <v>2436 - VETERANS</v>
      </c>
      <c r="F621" s="2" t="s">
        <v>41</v>
      </c>
      <c r="G621" s="2" t="s">
        <v>24</v>
      </c>
      <c r="J621" s="5" t="str">
        <f>IF(H621="",VLOOKUP(LEFT(F621,1),'Exp-Rev Categories'!A:B,2,FALSE),IF(ISNA(VLOOKUP(H621,'Exp-Rev Categories'!A:B,2,FALSE)),"Revenue",VLOOKUP(H621,'Exp-Rev Categories'!A:B,2,FALSE)))</f>
        <v>Exp-Goods &amp; Services</v>
      </c>
      <c r="K621" s="2">
        <v>0</v>
      </c>
      <c r="L621" s="3">
        <v>1239.95</v>
      </c>
      <c r="M621" s="3">
        <v>0</v>
      </c>
      <c r="N621" s="3">
        <v>-1239.95</v>
      </c>
      <c r="O621" s="3">
        <v>0</v>
      </c>
      <c r="P621" s="2" t="s">
        <v>239</v>
      </c>
    </row>
    <row r="622" spans="1:16">
      <c r="A622" s="2" t="s">
        <v>280</v>
      </c>
      <c r="B622" s="2" t="s">
        <v>1</v>
      </c>
      <c r="C622" s="2" t="s">
        <v>2</v>
      </c>
      <c r="D622" s="2" t="s">
        <v>152</v>
      </c>
      <c r="E622" s="4" t="str">
        <f t="shared" si="9"/>
        <v>2436 - VETERANS</v>
      </c>
      <c r="F622" s="2" t="s">
        <v>41</v>
      </c>
      <c r="G622" s="2" t="s">
        <v>7</v>
      </c>
      <c r="J622" s="5" t="str">
        <f>IF(H622="",VLOOKUP(LEFT(F622,1),'Exp-Rev Categories'!A:B,2,FALSE),IF(ISNA(VLOOKUP(H622,'Exp-Rev Categories'!A:B,2,FALSE)),"Revenue",VLOOKUP(H622,'Exp-Rev Categories'!A:B,2,FALSE)))</f>
        <v>Exp-Goods &amp; Services</v>
      </c>
      <c r="K622" s="2">
        <v>0</v>
      </c>
      <c r="L622" s="3">
        <v>2827.91</v>
      </c>
      <c r="M622" s="3">
        <v>0</v>
      </c>
      <c r="N622" s="3">
        <v>-2827.91</v>
      </c>
      <c r="O622" s="3">
        <v>0</v>
      </c>
      <c r="P622" s="2" t="s">
        <v>239</v>
      </c>
    </row>
    <row r="623" spans="1:16">
      <c r="A623" s="2" t="s">
        <v>280</v>
      </c>
      <c r="B623" s="2" t="s">
        <v>1</v>
      </c>
      <c r="C623" s="2" t="s">
        <v>2</v>
      </c>
      <c r="D623" s="2" t="s">
        <v>152</v>
      </c>
      <c r="E623" s="4" t="str">
        <f t="shared" si="9"/>
        <v>2436 - VETERANS</v>
      </c>
      <c r="F623" s="2" t="s">
        <v>267</v>
      </c>
      <c r="J623" s="5" t="str">
        <f>IF(H623="",VLOOKUP(LEFT(F623,1),'Exp-Rev Categories'!A:B,2,FALSE),IF(ISNA(VLOOKUP(H623,'Exp-Rev Categories'!A:B,2,FALSE)),"Revenue",VLOOKUP(H623,'Exp-Rev Categories'!A:B,2,FALSE)))</f>
        <v>Exp-Travel</v>
      </c>
      <c r="K623" s="2">
        <v>0</v>
      </c>
      <c r="L623" s="3">
        <v>0</v>
      </c>
      <c r="M623" s="3">
        <v>0</v>
      </c>
      <c r="N623" s="3">
        <v>0</v>
      </c>
      <c r="O623" s="3">
        <v>0</v>
      </c>
      <c r="P623" s="2" t="s">
        <v>239</v>
      </c>
    </row>
    <row r="624" spans="1:16">
      <c r="A624" s="2" t="s">
        <v>280</v>
      </c>
      <c r="B624" s="2" t="s">
        <v>1</v>
      </c>
      <c r="C624" s="2" t="s">
        <v>2</v>
      </c>
      <c r="D624" s="2" t="s">
        <v>152</v>
      </c>
      <c r="E624" s="4" t="str">
        <f t="shared" si="9"/>
        <v>2436 - VETERANS</v>
      </c>
      <c r="F624" s="2" t="s">
        <v>80</v>
      </c>
      <c r="G624" s="2" t="s">
        <v>21</v>
      </c>
      <c r="J624" s="5" t="str">
        <f>IF(H624="",VLOOKUP(LEFT(F624,1),'Exp-Rev Categories'!A:B,2,FALSE),IF(ISNA(VLOOKUP(H624,'Exp-Rev Categories'!A:B,2,FALSE)),"Revenue",VLOOKUP(H624,'Exp-Rev Categories'!A:B,2,FALSE)))</f>
        <v>Exp-Travel</v>
      </c>
      <c r="K624" s="2">
        <v>0</v>
      </c>
      <c r="L624" s="3">
        <v>0</v>
      </c>
      <c r="M624" s="3">
        <v>0</v>
      </c>
      <c r="N624" s="3">
        <v>0</v>
      </c>
      <c r="O624" s="3">
        <v>0</v>
      </c>
      <c r="P624" s="2" t="s">
        <v>239</v>
      </c>
    </row>
    <row r="625" spans="1:16">
      <c r="A625" s="2" t="s">
        <v>280</v>
      </c>
      <c r="B625" s="2" t="s">
        <v>1</v>
      </c>
      <c r="C625" s="2" t="s">
        <v>2</v>
      </c>
      <c r="D625" s="2" t="s">
        <v>152</v>
      </c>
      <c r="E625" s="4" t="str">
        <f t="shared" si="9"/>
        <v>2436 - VETERANS</v>
      </c>
      <c r="F625" s="2" t="s">
        <v>44</v>
      </c>
      <c r="G625" s="2" t="s">
        <v>24</v>
      </c>
      <c r="J625" s="5" t="str">
        <f>IF(H625="",VLOOKUP(LEFT(F625,1),'Exp-Rev Categories'!A:B,2,FALSE),IF(ISNA(VLOOKUP(H625,'Exp-Rev Categories'!A:B,2,FALSE)),"Revenue",VLOOKUP(H625,'Exp-Rev Categories'!A:B,2,FALSE)))</f>
        <v>Exp-Travel</v>
      </c>
      <c r="K625" s="2">
        <v>0</v>
      </c>
      <c r="L625" s="3">
        <v>207</v>
      </c>
      <c r="M625" s="3">
        <v>0</v>
      </c>
      <c r="N625" s="3">
        <v>-207</v>
      </c>
      <c r="O625" s="3">
        <v>0</v>
      </c>
      <c r="P625" s="2" t="s">
        <v>239</v>
      </c>
    </row>
    <row r="626" spans="1:16">
      <c r="A626" s="2" t="s">
        <v>280</v>
      </c>
      <c r="B626" s="2" t="s">
        <v>1</v>
      </c>
      <c r="C626" s="2" t="s">
        <v>2</v>
      </c>
      <c r="D626" s="2" t="s">
        <v>152</v>
      </c>
      <c r="E626" s="4" t="str">
        <f t="shared" si="9"/>
        <v>2436 - VETERANS</v>
      </c>
      <c r="F626" s="2" t="s">
        <v>44</v>
      </c>
      <c r="G626" s="2" t="s">
        <v>66</v>
      </c>
      <c r="J626" s="5" t="str">
        <f>IF(H626="",VLOOKUP(LEFT(F626,1),'Exp-Rev Categories'!A:B,2,FALSE),IF(ISNA(VLOOKUP(H626,'Exp-Rev Categories'!A:B,2,FALSE)),"Revenue",VLOOKUP(H626,'Exp-Rev Categories'!A:B,2,FALSE)))</f>
        <v>Exp-Travel</v>
      </c>
      <c r="K626" s="2">
        <v>0</v>
      </c>
      <c r="L626" s="3">
        <v>63</v>
      </c>
      <c r="M626" s="3">
        <v>0</v>
      </c>
      <c r="N626" s="3">
        <v>-63</v>
      </c>
      <c r="O626" s="3">
        <v>0</v>
      </c>
      <c r="P626" s="2" t="s">
        <v>239</v>
      </c>
    </row>
    <row r="627" spans="1:16">
      <c r="A627" s="2" t="s">
        <v>280</v>
      </c>
      <c r="B627" s="2" t="s">
        <v>1</v>
      </c>
      <c r="C627" s="2" t="s">
        <v>2</v>
      </c>
      <c r="D627" s="2" t="s">
        <v>152</v>
      </c>
      <c r="E627" s="4" t="str">
        <f t="shared" si="9"/>
        <v>2436 - VETERANS</v>
      </c>
      <c r="F627" s="2" t="s">
        <v>44</v>
      </c>
      <c r="G627" s="2" t="s">
        <v>58</v>
      </c>
      <c r="J627" s="5" t="str">
        <f>IF(H627="",VLOOKUP(LEFT(F627,1),'Exp-Rev Categories'!A:B,2,FALSE),IF(ISNA(VLOOKUP(H627,'Exp-Rev Categories'!A:B,2,FALSE)),"Revenue",VLOOKUP(H627,'Exp-Rev Categories'!A:B,2,FALSE)))</f>
        <v>Exp-Travel</v>
      </c>
      <c r="K627" s="2">
        <v>0</v>
      </c>
      <c r="L627" s="3">
        <v>174</v>
      </c>
      <c r="M627" s="3">
        <v>0</v>
      </c>
      <c r="N627" s="3">
        <v>-174</v>
      </c>
      <c r="O627" s="3">
        <v>0</v>
      </c>
      <c r="P627" s="2" t="s">
        <v>239</v>
      </c>
    </row>
    <row r="628" spans="1:16">
      <c r="A628" s="2" t="s">
        <v>280</v>
      </c>
      <c r="B628" s="2" t="s">
        <v>1</v>
      </c>
      <c r="C628" s="2" t="s">
        <v>2</v>
      </c>
      <c r="D628" s="2" t="s">
        <v>152</v>
      </c>
      <c r="E628" s="4" t="str">
        <f t="shared" si="9"/>
        <v>2436 - VETERANS</v>
      </c>
      <c r="F628" s="2" t="s">
        <v>59</v>
      </c>
      <c r="G628" s="2" t="s">
        <v>24</v>
      </c>
      <c r="J628" s="5" t="str">
        <f>IF(H628="",VLOOKUP(LEFT(F628,1),'Exp-Rev Categories'!A:B,2,FALSE),IF(ISNA(VLOOKUP(H628,'Exp-Rev Categories'!A:B,2,FALSE)),"Revenue",VLOOKUP(H628,'Exp-Rev Categories'!A:B,2,FALSE)))</f>
        <v>Exp-Travel</v>
      </c>
      <c r="K628" s="2">
        <v>0</v>
      </c>
      <c r="L628" s="3">
        <v>2055.56</v>
      </c>
      <c r="M628" s="3">
        <v>0</v>
      </c>
      <c r="N628" s="3">
        <v>-2055.56</v>
      </c>
      <c r="O628" s="3">
        <v>0</v>
      </c>
      <c r="P628" s="2" t="s">
        <v>239</v>
      </c>
    </row>
    <row r="629" spans="1:16">
      <c r="A629" s="2" t="s">
        <v>280</v>
      </c>
      <c r="B629" s="2" t="s">
        <v>1</v>
      </c>
      <c r="C629" s="2" t="s">
        <v>2</v>
      </c>
      <c r="D629" s="2" t="s">
        <v>152</v>
      </c>
      <c r="E629" s="4" t="str">
        <f t="shared" si="9"/>
        <v>2436 - VETERANS</v>
      </c>
      <c r="F629" s="2" t="s">
        <v>60</v>
      </c>
      <c r="G629" s="2" t="s">
        <v>24</v>
      </c>
      <c r="J629" s="5" t="str">
        <f>IF(H629="",VLOOKUP(LEFT(F629,1),'Exp-Rev Categories'!A:B,2,FALSE),IF(ISNA(VLOOKUP(H629,'Exp-Rev Categories'!A:B,2,FALSE)),"Revenue",VLOOKUP(H629,'Exp-Rev Categories'!A:B,2,FALSE)))</f>
        <v>Exp-Travel</v>
      </c>
      <c r="K629" s="2">
        <v>0</v>
      </c>
      <c r="L629" s="3">
        <v>4689.6000000000004</v>
      </c>
      <c r="M629" s="3">
        <v>0</v>
      </c>
      <c r="N629" s="3">
        <v>-4689.6000000000004</v>
      </c>
      <c r="O629" s="3">
        <v>0</v>
      </c>
      <c r="P629" s="2" t="s">
        <v>239</v>
      </c>
    </row>
    <row r="630" spans="1:16">
      <c r="A630" s="2" t="s">
        <v>280</v>
      </c>
      <c r="B630" s="2" t="s">
        <v>1</v>
      </c>
      <c r="C630" s="2" t="s">
        <v>2</v>
      </c>
      <c r="D630" s="2" t="s">
        <v>152</v>
      </c>
      <c r="E630" s="4" t="str">
        <f t="shared" si="9"/>
        <v>2436 - VETERANS</v>
      </c>
      <c r="F630" s="2" t="s">
        <v>117</v>
      </c>
      <c r="J630" s="5" t="str">
        <f>IF(H630="",VLOOKUP(LEFT(F630,1),'Exp-Rev Categories'!A:B,2,FALSE),IF(ISNA(VLOOKUP(H630,'Exp-Rev Categories'!A:B,2,FALSE)),"Revenue",VLOOKUP(H630,'Exp-Rev Categories'!A:B,2,FALSE)))</f>
        <v>Exp-Grants/Scholarships</v>
      </c>
      <c r="K630" s="2">
        <v>0</v>
      </c>
      <c r="L630" s="3">
        <v>0</v>
      </c>
      <c r="M630" s="3">
        <v>0</v>
      </c>
      <c r="N630" s="3">
        <v>0</v>
      </c>
      <c r="O630" s="3">
        <v>0</v>
      </c>
      <c r="P630" s="2" t="s">
        <v>239</v>
      </c>
    </row>
    <row r="631" spans="1:16">
      <c r="A631" s="2" t="s">
        <v>280</v>
      </c>
      <c r="B631" s="2" t="s">
        <v>1</v>
      </c>
      <c r="C631" s="2" t="s">
        <v>2</v>
      </c>
      <c r="D631" s="2" t="s">
        <v>152</v>
      </c>
      <c r="E631" s="4" t="str">
        <f t="shared" si="9"/>
        <v>2436 - VETERANS</v>
      </c>
      <c r="F631" s="2" t="s">
        <v>117</v>
      </c>
      <c r="G631" s="2" t="s">
        <v>24</v>
      </c>
      <c r="J631" s="5" t="str">
        <f>IF(H631="",VLOOKUP(LEFT(F631,1),'Exp-Rev Categories'!A:B,2,FALSE),IF(ISNA(VLOOKUP(H631,'Exp-Rev Categories'!A:B,2,FALSE)),"Revenue",VLOOKUP(H631,'Exp-Rev Categories'!A:B,2,FALSE)))</f>
        <v>Exp-Grants/Scholarships</v>
      </c>
      <c r="K631" s="2">
        <v>0</v>
      </c>
      <c r="L631" s="3">
        <v>150</v>
      </c>
      <c r="M631" s="3">
        <v>0</v>
      </c>
      <c r="N631" s="3">
        <v>-150</v>
      </c>
      <c r="O631" s="3">
        <v>0</v>
      </c>
      <c r="P631" s="2" t="s">
        <v>239</v>
      </c>
    </row>
    <row r="632" spans="1:16">
      <c r="A632" s="2" t="s">
        <v>280</v>
      </c>
      <c r="B632" s="2" t="s">
        <v>1</v>
      </c>
      <c r="C632" s="2" t="s">
        <v>2</v>
      </c>
      <c r="D632" s="2" t="s">
        <v>155</v>
      </c>
      <c r="E632" s="4" t="str">
        <f t="shared" si="9"/>
        <v>2437 - G.L.O.B.A.L.</v>
      </c>
      <c r="H632" s="2" t="s">
        <v>51</v>
      </c>
      <c r="I632" s="2" t="s">
        <v>390</v>
      </c>
      <c r="J632" s="5" t="str">
        <f>IF(H632="",VLOOKUP(LEFT(F632,1),'Exp-Rev Categories'!A:B,2,FALSE),IF(ISNA(VLOOKUP(H632,'Exp-Rev Categories'!A:B,2,FALSE)),"Revenue",VLOOKUP(H632,'Exp-Rev Categories'!A:B,2,FALSE)))</f>
        <v>Revenue</v>
      </c>
      <c r="K632" s="2">
        <v>0</v>
      </c>
      <c r="L632" s="3">
        <v>0</v>
      </c>
      <c r="M632" s="3">
        <v>0</v>
      </c>
      <c r="N632" s="3">
        <v>0</v>
      </c>
      <c r="O632" s="3">
        <v>0</v>
      </c>
      <c r="P632" s="2" t="s">
        <v>240</v>
      </c>
    </row>
    <row r="633" spans="1:16">
      <c r="A633" s="2" t="s">
        <v>280</v>
      </c>
      <c r="B633" s="2" t="s">
        <v>1</v>
      </c>
      <c r="C633" s="2" t="s">
        <v>2</v>
      </c>
      <c r="D633" s="2" t="s">
        <v>155</v>
      </c>
      <c r="E633" s="4" t="str">
        <f t="shared" si="9"/>
        <v>2437 - G.L.O.B.A.L.</v>
      </c>
      <c r="H633" s="2" t="s">
        <v>43</v>
      </c>
      <c r="J633" s="5" t="str">
        <f>IF(H633="",VLOOKUP(LEFT(F633,1),'Exp-Rev Categories'!A:B,2,FALSE),IF(ISNA(VLOOKUP(H633,'Exp-Rev Categories'!A:B,2,FALSE)),"Revenue",VLOOKUP(H633,'Exp-Rev Categories'!A:B,2,FALSE)))</f>
        <v>Rev-Intra-Fund Transfer</v>
      </c>
      <c r="K633" s="2">
        <v>0</v>
      </c>
      <c r="L633" s="3">
        <v>0</v>
      </c>
      <c r="M633" s="3">
        <v>0</v>
      </c>
      <c r="N633" s="3">
        <v>0</v>
      </c>
      <c r="O633" s="3">
        <v>0</v>
      </c>
      <c r="P633" s="2" t="s">
        <v>240</v>
      </c>
    </row>
    <row r="634" spans="1:16">
      <c r="A634" s="2" t="s">
        <v>280</v>
      </c>
      <c r="B634" s="2" t="s">
        <v>1</v>
      </c>
      <c r="C634" s="2" t="s">
        <v>2</v>
      </c>
      <c r="D634" s="2" t="s">
        <v>155</v>
      </c>
      <c r="E634" s="4" t="str">
        <f t="shared" si="9"/>
        <v>2437 - G.L.O.B.A.L.</v>
      </c>
      <c r="F634" s="2" t="s">
        <v>29</v>
      </c>
      <c r="J634" s="5" t="str">
        <f>IF(H634="",VLOOKUP(LEFT(F634,1),'Exp-Rev Categories'!A:B,2,FALSE),IF(ISNA(VLOOKUP(H634,'Exp-Rev Categories'!A:B,2,FALSE)),"Revenue",VLOOKUP(H634,'Exp-Rev Categories'!A:B,2,FALSE)))</f>
        <v>Exp-Goods &amp; Services</v>
      </c>
      <c r="K634" s="2">
        <v>2122</v>
      </c>
      <c r="L634" s="3">
        <v>0</v>
      </c>
      <c r="M634" s="3">
        <v>0</v>
      </c>
      <c r="N634" s="3">
        <v>2122</v>
      </c>
      <c r="O634" s="3">
        <v>0</v>
      </c>
      <c r="P634" s="2" t="s">
        <v>240</v>
      </c>
    </row>
    <row r="635" spans="1:16">
      <c r="A635" s="2" t="s">
        <v>280</v>
      </c>
      <c r="B635" s="2" t="s">
        <v>1</v>
      </c>
      <c r="C635" s="2" t="s">
        <v>2</v>
      </c>
      <c r="D635" s="2" t="s">
        <v>155</v>
      </c>
      <c r="E635" s="4" t="str">
        <f t="shared" si="9"/>
        <v>2437 - G.L.O.B.A.L.</v>
      </c>
      <c r="F635" s="2" t="s">
        <v>23</v>
      </c>
      <c r="G635" s="2" t="s">
        <v>24</v>
      </c>
      <c r="J635" s="5" t="str">
        <f>IF(H635="",VLOOKUP(LEFT(F635,1),'Exp-Rev Categories'!A:B,2,FALSE),IF(ISNA(VLOOKUP(H635,'Exp-Rev Categories'!A:B,2,FALSE)),"Revenue",VLOOKUP(H635,'Exp-Rev Categories'!A:B,2,FALSE)))</f>
        <v>Exp-Goods &amp; Services</v>
      </c>
      <c r="K635" s="2">
        <v>0</v>
      </c>
      <c r="L635" s="3">
        <v>344.45</v>
      </c>
      <c r="M635" s="3">
        <v>0</v>
      </c>
      <c r="N635" s="3">
        <v>-344.45</v>
      </c>
      <c r="O635" s="3">
        <v>0</v>
      </c>
      <c r="P635" s="2" t="s">
        <v>240</v>
      </c>
    </row>
    <row r="636" spans="1:16">
      <c r="A636" s="2" t="s">
        <v>280</v>
      </c>
      <c r="B636" s="2" t="s">
        <v>1</v>
      </c>
      <c r="C636" s="2" t="s">
        <v>2</v>
      </c>
      <c r="D636" s="2" t="s">
        <v>155</v>
      </c>
      <c r="E636" s="4" t="str">
        <f t="shared" si="9"/>
        <v>2437 - G.L.O.B.A.L.</v>
      </c>
      <c r="F636" s="2" t="s">
        <v>78</v>
      </c>
      <c r="G636" s="2" t="s">
        <v>24</v>
      </c>
      <c r="J636" s="5" t="str">
        <f>IF(H636="",VLOOKUP(LEFT(F636,1),'Exp-Rev Categories'!A:B,2,FALSE),IF(ISNA(VLOOKUP(H636,'Exp-Rev Categories'!A:B,2,FALSE)),"Revenue",VLOOKUP(H636,'Exp-Rev Categories'!A:B,2,FALSE)))</f>
        <v>Exp-Goods &amp; Services</v>
      </c>
      <c r="K636" s="2">
        <v>0</v>
      </c>
      <c r="L636" s="3">
        <v>380</v>
      </c>
      <c r="M636" s="3">
        <v>0</v>
      </c>
      <c r="N636" s="3">
        <v>-380</v>
      </c>
      <c r="O636" s="3">
        <v>0</v>
      </c>
      <c r="P636" s="2" t="s">
        <v>240</v>
      </c>
    </row>
    <row r="637" spans="1:16">
      <c r="A637" s="2" t="s">
        <v>280</v>
      </c>
      <c r="B637" s="2" t="s">
        <v>1</v>
      </c>
      <c r="C637" s="2" t="s">
        <v>2</v>
      </c>
      <c r="D637" s="2" t="s">
        <v>155</v>
      </c>
      <c r="E637" s="4" t="str">
        <f t="shared" si="9"/>
        <v>2437 - G.L.O.B.A.L.</v>
      </c>
      <c r="F637" s="2" t="s">
        <v>41</v>
      </c>
      <c r="G637" s="2" t="s">
        <v>24</v>
      </c>
      <c r="J637" s="5" t="str">
        <f>IF(H637="",VLOOKUP(LEFT(F637,1),'Exp-Rev Categories'!A:B,2,FALSE),IF(ISNA(VLOOKUP(H637,'Exp-Rev Categories'!A:B,2,FALSE)),"Revenue",VLOOKUP(H637,'Exp-Rev Categories'!A:B,2,FALSE)))</f>
        <v>Exp-Goods &amp; Services</v>
      </c>
      <c r="K637" s="2">
        <v>0</v>
      </c>
      <c r="L637" s="3">
        <v>332.72</v>
      </c>
      <c r="M637" s="3">
        <v>0</v>
      </c>
      <c r="N637" s="3">
        <v>-332.72</v>
      </c>
      <c r="O637" s="3">
        <v>0</v>
      </c>
      <c r="P637" s="2" t="s">
        <v>240</v>
      </c>
    </row>
    <row r="638" spans="1:16">
      <c r="A638" s="2" t="s">
        <v>280</v>
      </c>
      <c r="B638" s="2" t="s">
        <v>1</v>
      </c>
      <c r="C638" s="2" t="s">
        <v>2</v>
      </c>
      <c r="D638" s="2" t="s">
        <v>155</v>
      </c>
      <c r="E638" s="4" t="str">
        <f t="shared" si="9"/>
        <v>2437 - G.L.O.B.A.L.</v>
      </c>
      <c r="F638" s="2" t="s">
        <v>41</v>
      </c>
      <c r="G638" s="2" t="s">
        <v>7</v>
      </c>
      <c r="J638" s="5" t="str">
        <f>IF(H638="",VLOOKUP(LEFT(F638,1),'Exp-Rev Categories'!A:B,2,FALSE),IF(ISNA(VLOOKUP(H638,'Exp-Rev Categories'!A:B,2,FALSE)),"Revenue",VLOOKUP(H638,'Exp-Rev Categories'!A:B,2,FALSE)))</f>
        <v>Exp-Goods &amp; Services</v>
      </c>
      <c r="K638" s="2">
        <v>0</v>
      </c>
      <c r="L638" s="3">
        <v>482.3</v>
      </c>
      <c r="M638" s="3">
        <v>0</v>
      </c>
      <c r="N638" s="3">
        <v>-482.3</v>
      </c>
      <c r="O638" s="3">
        <v>0</v>
      </c>
      <c r="P638" s="2" t="s">
        <v>240</v>
      </c>
    </row>
    <row r="639" spans="1:16">
      <c r="A639" s="2" t="s">
        <v>280</v>
      </c>
      <c r="B639" s="2" t="s">
        <v>1</v>
      </c>
      <c r="C639" s="2" t="s">
        <v>2</v>
      </c>
      <c r="D639" s="2" t="s">
        <v>155</v>
      </c>
      <c r="E639" s="4" t="str">
        <f t="shared" si="9"/>
        <v>2437 - G.L.O.B.A.L.</v>
      </c>
      <c r="F639" s="2" t="s">
        <v>41</v>
      </c>
      <c r="G639" s="2" t="s">
        <v>64</v>
      </c>
      <c r="J639" s="5" t="str">
        <f>IF(H639="",VLOOKUP(LEFT(F639,1),'Exp-Rev Categories'!A:B,2,FALSE),IF(ISNA(VLOOKUP(H639,'Exp-Rev Categories'!A:B,2,FALSE)),"Revenue",VLOOKUP(H639,'Exp-Rev Categories'!A:B,2,FALSE)))</f>
        <v>Exp-Goods &amp; Services</v>
      </c>
      <c r="K639" s="2">
        <v>0</v>
      </c>
      <c r="L639" s="3">
        <v>25</v>
      </c>
      <c r="M639" s="3">
        <v>0</v>
      </c>
      <c r="N639" s="3">
        <v>-25</v>
      </c>
      <c r="O639" s="3">
        <v>0</v>
      </c>
      <c r="P639" s="2" t="s">
        <v>240</v>
      </c>
    </row>
    <row r="640" spans="1:16">
      <c r="A640" s="2" t="s">
        <v>280</v>
      </c>
      <c r="B640" s="2" t="s">
        <v>1</v>
      </c>
      <c r="C640" s="2" t="s">
        <v>2</v>
      </c>
      <c r="D640" s="2" t="s">
        <v>155</v>
      </c>
      <c r="E640" s="4" t="str">
        <f t="shared" si="9"/>
        <v>2437 - G.L.O.B.A.L.</v>
      </c>
      <c r="F640" s="2" t="s">
        <v>267</v>
      </c>
      <c r="J640" s="5" t="str">
        <f>IF(H640="",VLOOKUP(LEFT(F640,1),'Exp-Rev Categories'!A:B,2,FALSE),IF(ISNA(VLOOKUP(H640,'Exp-Rev Categories'!A:B,2,FALSE)),"Revenue",VLOOKUP(H640,'Exp-Rev Categories'!A:B,2,FALSE)))</f>
        <v>Exp-Travel</v>
      </c>
      <c r="K640" s="2">
        <v>0</v>
      </c>
      <c r="L640" s="3">
        <v>0</v>
      </c>
      <c r="M640" s="3">
        <v>0</v>
      </c>
      <c r="N640" s="3">
        <v>0</v>
      </c>
      <c r="O640" s="3">
        <v>0</v>
      </c>
      <c r="P640" s="2" t="s">
        <v>240</v>
      </c>
    </row>
    <row r="641" spans="1:16">
      <c r="A641" s="2" t="s">
        <v>280</v>
      </c>
      <c r="B641" s="2" t="s">
        <v>1</v>
      </c>
      <c r="C641" s="2" t="s">
        <v>2</v>
      </c>
      <c r="D641" s="2" t="s">
        <v>155</v>
      </c>
      <c r="E641" s="4" t="str">
        <f t="shared" si="9"/>
        <v>2437 - G.L.O.B.A.L.</v>
      </c>
      <c r="F641" s="2" t="s">
        <v>44</v>
      </c>
      <c r="G641" s="2" t="s">
        <v>66</v>
      </c>
      <c r="J641" s="5" t="str">
        <f>IF(H641="",VLOOKUP(LEFT(F641,1),'Exp-Rev Categories'!A:B,2,FALSE),IF(ISNA(VLOOKUP(H641,'Exp-Rev Categories'!A:B,2,FALSE)),"Revenue",VLOOKUP(H641,'Exp-Rev Categories'!A:B,2,FALSE)))</f>
        <v>Exp-Travel</v>
      </c>
      <c r="K641" s="2">
        <v>0</v>
      </c>
      <c r="L641" s="3">
        <v>70</v>
      </c>
      <c r="M641" s="3">
        <v>0</v>
      </c>
      <c r="N641" s="3">
        <v>-70</v>
      </c>
      <c r="O641" s="3">
        <v>0</v>
      </c>
      <c r="P641" s="2" t="s">
        <v>240</v>
      </c>
    </row>
    <row r="642" spans="1:16">
      <c r="A642" s="2" t="s">
        <v>280</v>
      </c>
      <c r="B642" s="2" t="s">
        <v>1</v>
      </c>
      <c r="C642" s="2" t="s">
        <v>2</v>
      </c>
      <c r="D642" s="2" t="s">
        <v>156</v>
      </c>
      <c r="E642" s="4" t="str">
        <f t="shared" ref="E642:E705" si="10">D642&amp;" - "&amp;P642</f>
        <v>2438 - MULTICULTURL LDRSHIP</v>
      </c>
      <c r="F642" s="2" t="s">
        <v>29</v>
      </c>
      <c r="J642" s="5" t="str">
        <f>IF(H642="",VLOOKUP(LEFT(F642,1),'Exp-Rev Categories'!A:B,2,FALSE),IF(ISNA(VLOOKUP(H642,'Exp-Rev Categories'!A:B,2,FALSE)),"Revenue",VLOOKUP(H642,'Exp-Rev Categories'!A:B,2,FALSE)))</f>
        <v>Exp-Goods &amp; Services</v>
      </c>
      <c r="K642" s="2">
        <v>1000</v>
      </c>
      <c r="L642" s="3">
        <v>0</v>
      </c>
      <c r="M642" s="3">
        <v>0</v>
      </c>
      <c r="N642" s="3">
        <v>1000</v>
      </c>
      <c r="O642" s="3">
        <v>0</v>
      </c>
      <c r="P642" s="2" t="s">
        <v>241</v>
      </c>
    </row>
    <row r="643" spans="1:16">
      <c r="A643" s="2" t="s">
        <v>280</v>
      </c>
      <c r="B643" s="2" t="s">
        <v>1</v>
      </c>
      <c r="C643" s="2" t="s">
        <v>2</v>
      </c>
      <c r="D643" s="2" t="s">
        <v>156</v>
      </c>
      <c r="E643" s="4" t="str">
        <f t="shared" si="10"/>
        <v>2438 - MULTICULTURL LDRSHIP</v>
      </c>
      <c r="F643" s="2" t="s">
        <v>23</v>
      </c>
      <c r="G643" s="2" t="s">
        <v>24</v>
      </c>
      <c r="J643" s="5" t="str">
        <f>IF(H643="",VLOOKUP(LEFT(F643,1),'Exp-Rev Categories'!A:B,2,FALSE),IF(ISNA(VLOOKUP(H643,'Exp-Rev Categories'!A:B,2,FALSE)),"Revenue",VLOOKUP(H643,'Exp-Rev Categories'!A:B,2,FALSE)))</f>
        <v>Exp-Goods &amp; Services</v>
      </c>
      <c r="K643" s="2">
        <v>0</v>
      </c>
      <c r="L643" s="3">
        <v>591.75</v>
      </c>
      <c r="M643" s="3">
        <v>0</v>
      </c>
      <c r="N643" s="3">
        <v>-591.75</v>
      </c>
      <c r="O643" s="3">
        <v>0</v>
      </c>
      <c r="P643" s="2" t="s">
        <v>241</v>
      </c>
    </row>
    <row r="644" spans="1:16">
      <c r="A644" s="2" t="s">
        <v>280</v>
      </c>
      <c r="B644" s="2" t="s">
        <v>1</v>
      </c>
      <c r="C644" s="2" t="s">
        <v>2</v>
      </c>
      <c r="D644" s="2" t="s">
        <v>156</v>
      </c>
      <c r="E644" s="4" t="str">
        <f t="shared" si="10"/>
        <v>2438 - MULTICULTURL LDRSHIP</v>
      </c>
      <c r="F644" s="2" t="s">
        <v>41</v>
      </c>
      <c r="G644" s="2" t="s">
        <v>7</v>
      </c>
      <c r="J644" s="5" t="str">
        <f>IF(H644="",VLOOKUP(LEFT(F644,1),'Exp-Rev Categories'!A:B,2,FALSE),IF(ISNA(VLOOKUP(H644,'Exp-Rev Categories'!A:B,2,FALSE)),"Revenue",VLOOKUP(H644,'Exp-Rev Categories'!A:B,2,FALSE)))</f>
        <v>Exp-Goods &amp; Services</v>
      </c>
      <c r="K644" s="2">
        <v>0</v>
      </c>
      <c r="L644" s="3">
        <v>137.94</v>
      </c>
      <c r="M644" s="3">
        <v>0</v>
      </c>
      <c r="N644" s="3">
        <v>-137.94</v>
      </c>
      <c r="O644" s="3">
        <v>0</v>
      </c>
      <c r="P644" s="2" t="s">
        <v>241</v>
      </c>
    </row>
    <row r="645" spans="1:16">
      <c r="A645" s="2" t="s">
        <v>280</v>
      </c>
      <c r="B645" s="2" t="s">
        <v>1</v>
      </c>
      <c r="C645" s="2" t="s">
        <v>2</v>
      </c>
      <c r="D645" s="2" t="s">
        <v>157</v>
      </c>
      <c r="E645" s="4" t="str">
        <f t="shared" si="10"/>
        <v>2439 - X-RAY VISION</v>
      </c>
      <c r="H645" s="2" t="s">
        <v>51</v>
      </c>
      <c r="J645" s="5" t="str">
        <f>IF(H645="",VLOOKUP(LEFT(F645,1),'Exp-Rev Categories'!A:B,2,FALSE),IF(ISNA(VLOOKUP(H645,'Exp-Rev Categories'!A:B,2,FALSE)),"Revenue",VLOOKUP(H645,'Exp-Rev Categories'!A:B,2,FALSE)))</f>
        <v>Revenue</v>
      </c>
      <c r="K645" s="2">
        <v>0</v>
      </c>
      <c r="L645" s="3">
        <v>0</v>
      </c>
      <c r="M645" s="3">
        <v>0</v>
      </c>
      <c r="N645" s="3">
        <v>0</v>
      </c>
      <c r="O645" s="3">
        <v>0</v>
      </c>
      <c r="P645" s="2" t="s">
        <v>159</v>
      </c>
    </row>
    <row r="646" spans="1:16">
      <c r="A646" s="2" t="s">
        <v>280</v>
      </c>
      <c r="B646" s="2" t="s">
        <v>1</v>
      </c>
      <c r="C646" s="2" t="s">
        <v>2</v>
      </c>
      <c r="D646" s="2" t="s">
        <v>157</v>
      </c>
      <c r="E646" s="4" t="str">
        <f t="shared" si="10"/>
        <v>2439 - X-RAY VISION</v>
      </c>
      <c r="H646" s="2" t="s">
        <v>51</v>
      </c>
      <c r="I646" s="2" t="s">
        <v>158</v>
      </c>
      <c r="J646" s="5" t="str">
        <f>IF(H646="",VLOOKUP(LEFT(F646,1),'Exp-Rev Categories'!A:B,2,FALSE),IF(ISNA(VLOOKUP(H646,'Exp-Rev Categories'!A:B,2,FALSE)),"Revenue",VLOOKUP(H646,'Exp-Rev Categories'!A:B,2,FALSE)))</f>
        <v>Revenue</v>
      </c>
      <c r="K646" s="2">
        <v>0</v>
      </c>
      <c r="L646" s="3">
        <v>-6458</v>
      </c>
      <c r="M646" s="3">
        <v>0</v>
      </c>
      <c r="N646" s="3">
        <v>6458</v>
      </c>
      <c r="O646" s="3">
        <v>0</v>
      </c>
      <c r="P646" s="2" t="s">
        <v>159</v>
      </c>
    </row>
    <row r="647" spans="1:16">
      <c r="A647" s="2" t="s">
        <v>280</v>
      </c>
      <c r="B647" s="2" t="s">
        <v>1</v>
      </c>
      <c r="C647" s="2" t="s">
        <v>2</v>
      </c>
      <c r="D647" s="2" t="s">
        <v>157</v>
      </c>
      <c r="E647" s="4" t="str">
        <f t="shared" si="10"/>
        <v>2439 - X-RAY VISION</v>
      </c>
      <c r="H647" s="2" t="s">
        <v>43</v>
      </c>
      <c r="J647" s="5" t="str">
        <f>IF(H647="",VLOOKUP(LEFT(F647,1),'Exp-Rev Categories'!A:B,2,FALSE),IF(ISNA(VLOOKUP(H647,'Exp-Rev Categories'!A:B,2,FALSE)),"Revenue",VLOOKUP(H647,'Exp-Rev Categories'!A:B,2,FALSE)))</f>
        <v>Rev-Intra-Fund Transfer</v>
      </c>
      <c r="K647" s="2">
        <v>0</v>
      </c>
      <c r="L647" s="3">
        <v>-2429</v>
      </c>
      <c r="M647" s="3">
        <v>0</v>
      </c>
      <c r="N647" s="3">
        <v>2429</v>
      </c>
      <c r="O647" s="3">
        <v>0</v>
      </c>
      <c r="P647" s="2" t="s">
        <v>159</v>
      </c>
    </row>
    <row r="648" spans="1:16">
      <c r="A648" s="2" t="s">
        <v>280</v>
      </c>
      <c r="B648" s="2" t="s">
        <v>1</v>
      </c>
      <c r="C648" s="2" t="s">
        <v>2</v>
      </c>
      <c r="D648" s="2" t="s">
        <v>157</v>
      </c>
      <c r="E648" s="4" t="str">
        <f t="shared" si="10"/>
        <v>2439 - X-RAY VISION</v>
      </c>
      <c r="F648" s="2" t="s">
        <v>29</v>
      </c>
      <c r="J648" s="5" t="str">
        <f>IF(H648="",VLOOKUP(LEFT(F648,1),'Exp-Rev Categories'!A:B,2,FALSE),IF(ISNA(VLOOKUP(H648,'Exp-Rev Categories'!A:B,2,FALSE)),"Revenue",VLOOKUP(H648,'Exp-Rev Categories'!A:B,2,FALSE)))</f>
        <v>Exp-Goods &amp; Services</v>
      </c>
      <c r="K648" s="2">
        <v>13194</v>
      </c>
      <c r="L648" s="3">
        <v>0</v>
      </c>
      <c r="M648" s="3">
        <v>0</v>
      </c>
      <c r="N648" s="3">
        <v>13194</v>
      </c>
      <c r="O648" s="3">
        <v>0</v>
      </c>
      <c r="P648" s="2" t="s">
        <v>159</v>
      </c>
    </row>
    <row r="649" spans="1:16">
      <c r="A649" s="2" t="s">
        <v>280</v>
      </c>
      <c r="B649" s="2" t="s">
        <v>1</v>
      </c>
      <c r="C649" s="2" t="s">
        <v>2</v>
      </c>
      <c r="D649" s="2" t="s">
        <v>157</v>
      </c>
      <c r="E649" s="4" t="str">
        <f t="shared" si="10"/>
        <v>2439 - X-RAY VISION</v>
      </c>
      <c r="F649" s="2" t="s">
        <v>23</v>
      </c>
      <c r="G649" s="2" t="s">
        <v>24</v>
      </c>
      <c r="J649" s="5" t="str">
        <f>IF(H649="",VLOOKUP(LEFT(F649,1),'Exp-Rev Categories'!A:B,2,FALSE),IF(ISNA(VLOOKUP(H649,'Exp-Rev Categories'!A:B,2,FALSE)),"Revenue",VLOOKUP(H649,'Exp-Rev Categories'!A:B,2,FALSE)))</f>
        <v>Exp-Goods &amp; Services</v>
      </c>
      <c r="K649" s="2">
        <v>0</v>
      </c>
      <c r="L649" s="3">
        <v>2182.58</v>
      </c>
      <c r="M649" s="3">
        <v>0</v>
      </c>
      <c r="N649" s="3">
        <v>-2182.58</v>
      </c>
      <c r="O649" s="3">
        <v>0</v>
      </c>
      <c r="P649" s="2" t="s">
        <v>159</v>
      </c>
    </row>
    <row r="650" spans="1:16">
      <c r="A650" s="2" t="s">
        <v>280</v>
      </c>
      <c r="B650" s="2" t="s">
        <v>1</v>
      </c>
      <c r="C650" s="2" t="s">
        <v>2</v>
      </c>
      <c r="D650" s="2" t="s">
        <v>157</v>
      </c>
      <c r="E650" s="4" t="str">
        <f t="shared" si="10"/>
        <v>2439 - X-RAY VISION</v>
      </c>
      <c r="F650" s="2" t="s">
        <v>54</v>
      </c>
      <c r="G650" s="2" t="s">
        <v>56</v>
      </c>
      <c r="J650" s="5" t="str">
        <f>IF(H650="",VLOOKUP(LEFT(F650,1),'Exp-Rev Categories'!A:B,2,FALSE),IF(ISNA(VLOOKUP(H650,'Exp-Rev Categories'!A:B,2,FALSE)),"Revenue",VLOOKUP(H650,'Exp-Rev Categories'!A:B,2,FALSE)))</f>
        <v>Exp-Goods &amp; Services</v>
      </c>
      <c r="K650" s="2">
        <v>0</v>
      </c>
      <c r="L650" s="3">
        <v>4700</v>
      </c>
      <c r="M650" s="3">
        <v>0</v>
      </c>
      <c r="N650" s="3">
        <v>-4700</v>
      </c>
      <c r="O650" s="3">
        <v>0</v>
      </c>
      <c r="P650" s="2" t="s">
        <v>159</v>
      </c>
    </row>
    <row r="651" spans="1:16">
      <c r="A651" s="2" t="s">
        <v>280</v>
      </c>
      <c r="B651" s="2" t="s">
        <v>1</v>
      </c>
      <c r="C651" s="2" t="s">
        <v>2</v>
      </c>
      <c r="D651" s="2" t="s">
        <v>157</v>
      </c>
      <c r="E651" s="4" t="str">
        <f t="shared" si="10"/>
        <v>2439 - X-RAY VISION</v>
      </c>
      <c r="F651" s="2" t="s">
        <v>79</v>
      </c>
      <c r="G651" s="2" t="s">
        <v>66</v>
      </c>
      <c r="J651" s="5" t="str">
        <f>IF(H651="",VLOOKUP(LEFT(F651,1),'Exp-Rev Categories'!A:B,2,FALSE),IF(ISNA(VLOOKUP(H651,'Exp-Rev Categories'!A:B,2,FALSE)),"Revenue",VLOOKUP(H651,'Exp-Rev Categories'!A:B,2,FALSE)))</f>
        <v>Exp-Goods &amp; Services</v>
      </c>
      <c r="K651" s="2">
        <v>0</v>
      </c>
      <c r="L651" s="3">
        <v>60.87</v>
      </c>
      <c r="M651" s="3">
        <v>0</v>
      </c>
      <c r="N651" s="3">
        <v>-60.87</v>
      </c>
      <c r="O651" s="3">
        <v>0</v>
      </c>
      <c r="P651" s="2" t="s">
        <v>159</v>
      </c>
    </row>
    <row r="652" spans="1:16">
      <c r="A652" s="2" t="s">
        <v>280</v>
      </c>
      <c r="B652" s="2" t="s">
        <v>1</v>
      </c>
      <c r="C652" s="2" t="s">
        <v>2</v>
      </c>
      <c r="D652" s="2" t="s">
        <v>157</v>
      </c>
      <c r="E652" s="4" t="str">
        <f t="shared" si="10"/>
        <v>2439 - X-RAY VISION</v>
      </c>
      <c r="F652" s="2" t="s">
        <v>41</v>
      </c>
      <c r="G652" s="2" t="s">
        <v>24</v>
      </c>
      <c r="J652" s="5" t="str">
        <f>IF(H652="",VLOOKUP(LEFT(F652,1),'Exp-Rev Categories'!A:B,2,FALSE),IF(ISNA(VLOOKUP(H652,'Exp-Rev Categories'!A:B,2,FALSE)),"Revenue",VLOOKUP(H652,'Exp-Rev Categories'!A:B,2,FALSE)))</f>
        <v>Exp-Goods &amp; Services</v>
      </c>
      <c r="K652" s="2">
        <v>0</v>
      </c>
      <c r="L652" s="3">
        <v>1062.98</v>
      </c>
      <c r="M652" s="3">
        <v>0</v>
      </c>
      <c r="N652" s="3">
        <v>-1062.98</v>
      </c>
      <c r="O652" s="3">
        <v>0</v>
      </c>
      <c r="P652" s="2" t="s">
        <v>159</v>
      </c>
    </row>
    <row r="653" spans="1:16">
      <c r="A653" s="2" t="s">
        <v>280</v>
      </c>
      <c r="B653" s="2" t="s">
        <v>1</v>
      </c>
      <c r="C653" s="2" t="s">
        <v>2</v>
      </c>
      <c r="D653" s="2" t="s">
        <v>157</v>
      </c>
      <c r="E653" s="4" t="str">
        <f t="shared" si="10"/>
        <v>2439 - X-RAY VISION</v>
      </c>
      <c r="F653" s="2" t="s">
        <v>41</v>
      </c>
      <c r="G653" s="2" t="s">
        <v>7</v>
      </c>
      <c r="J653" s="5" t="str">
        <f>IF(H653="",VLOOKUP(LEFT(F653,1),'Exp-Rev Categories'!A:B,2,FALSE),IF(ISNA(VLOOKUP(H653,'Exp-Rev Categories'!A:B,2,FALSE)),"Revenue",VLOOKUP(H653,'Exp-Rev Categories'!A:B,2,FALSE)))</f>
        <v>Exp-Goods &amp; Services</v>
      </c>
      <c r="K653" s="2">
        <v>0</v>
      </c>
      <c r="L653" s="3">
        <v>355</v>
      </c>
      <c r="M653" s="3">
        <v>0</v>
      </c>
      <c r="N653" s="3">
        <v>-355</v>
      </c>
      <c r="O653" s="3">
        <v>0</v>
      </c>
      <c r="P653" s="2" t="s">
        <v>159</v>
      </c>
    </row>
    <row r="654" spans="1:16">
      <c r="A654" s="2" t="s">
        <v>280</v>
      </c>
      <c r="B654" s="2" t="s">
        <v>1</v>
      </c>
      <c r="C654" s="2" t="s">
        <v>2</v>
      </c>
      <c r="D654" s="2" t="s">
        <v>157</v>
      </c>
      <c r="E654" s="4" t="str">
        <f t="shared" si="10"/>
        <v>2439 - X-RAY VISION</v>
      </c>
      <c r="F654" s="2" t="s">
        <v>267</v>
      </c>
      <c r="J654" s="5" t="str">
        <f>IF(H654="",VLOOKUP(LEFT(F654,1),'Exp-Rev Categories'!A:B,2,FALSE),IF(ISNA(VLOOKUP(H654,'Exp-Rev Categories'!A:B,2,FALSE)),"Revenue",VLOOKUP(H654,'Exp-Rev Categories'!A:B,2,FALSE)))</f>
        <v>Exp-Travel</v>
      </c>
      <c r="K654" s="2">
        <v>0</v>
      </c>
      <c r="L654" s="3">
        <v>0</v>
      </c>
      <c r="M654" s="3">
        <v>0</v>
      </c>
      <c r="N654" s="3">
        <v>0</v>
      </c>
      <c r="O654" s="3">
        <v>0</v>
      </c>
      <c r="P654" s="2" t="s">
        <v>159</v>
      </c>
    </row>
    <row r="655" spans="1:16">
      <c r="A655" s="2" t="s">
        <v>280</v>
      </c>
      <c r="B655" s="2" t="s">
        <v>1</v>
      </c>
      <c r="C655" s="2" t="s">
        <v>2</v>
      </c>
      <c r="D655" s="2" t="s">
        <v>157</v>
      </c>
      <c r="E655" s="4" t="str">
        <f t="shared" si="10"/>
        <v>2439 - X-RAY VISION</v>
      </c>
      <c r="F655" s="2" t="s">
        <v>67</v>
      </c>
      <c r="G655" s="2" t="s">
        <v>24</v>
      </c>
      <c r="J655" s="5" t="str">
        <f>IF(H655="",VLOOKUP(LEFT(F655,1),'Exp-Rev Categories'!A:B,2,FALSE),IF(ISNA(VLOOKUP(H655,'Exp-Rev Categories'!A:B,2,FALSE)),"Revenue",VLOOKUP(H655,'Exp-Rev Categories'!A:B,2,FALSE)))</f>
        <v>Exp-Travel</v>
      </c>
      <c r="K655" s="2">
        <v>0</v>
      </c>
      <c r="L655" s="3">
        <v>5855.6</v>
      </c>
      <c r="M655" s="3">
        <v>0</v>
      </c>
      <c r="N655" s="3">
        <v>-5855.6</v>
      </c>
      <c r="O655" s="3">
        <v>0</v>
      </c>
      <c r="P655" s="2" t="s">
        <v>159</v>
      </c>
    </row>
    <row r="656" spans="1:16">
      <c r="A656" s="2" t="s">
        <v>280</v>
      </c>
      <c r="B656" s="2" t="s">
        <v>1</v>
      </c>
      <c r="C656" s="2" t="s">
        <v>2</v>
      </c>
      <c r="D656" s="2" t="s">
        <v>157</v>
      </c>
      <c r="E656" s="4" t="str">
        <f t="shared" si="10"/>
        <v>2439 - X-RAY VISION</v>
      </c>
      <c r="F656" s="2" t="s">
        <v>44</v>
      </c>
      <c r="G656" s="2" t="s">
        <v>66</v>
      </c>
      <c r="J656" s="5" t="str">
        <f>IF(H656="",VLOOKUP(LEFT(F656,1),'Exp-Rev Categories'!A:B,2,FALSE),IF(ISNA(VLOOKUP(H656,'Exp-Rev Categories'!A:B,2,FALSE)),"Revenue",VLOOKUP(H656,'Exp-Rev Categories'!A:B,2,FALSE)))</f>
        <v>Exp-Travel</v>
      </c>
      <c r="K656" s="2">
        <v>0</v>
      </c>
      <c r="L656" s="3">
        <v>1725</v>
      </c>
      <c r="M656" s="3">
        <v>0</v>
      </c>
      <c r="N656" s="3">
        <v>-1725</v>
      </c>
      <c r="O656" s="3">
        <v>0</v>
      </c>
      <c r="P656" s="2" t="s">
        <v>159</v>
      </c>
    </row>
    <row r="657" spans="1:16">
      <c r="A657" s="2" t="s">
        <v>280</v>
      </c>
      <c r="B657" s="2" t="s">
        <v>1</v>
      </c>
      <c r="C657" s="2" t="s">
        <v>2</v>
      </c>
      <c r="D657" s="2" t="s">
        <v>157</v>
      </c>
      <c r="E657" s="4" t="str">
        <f t="shared" si="10"/>
        <v>2439 - X-RAY VISION</v>
      </c>
      <c r="F657" s="2" t="s">
        <v>268</v>
      </c>
      <c r="J657" s="5" t="str">
        <f>IF(H657="",VLOOKUP(LEFT(F657,1),'Exp-Rev Categories'!A:B,2,FALSE),IF(ISNA(VLOOKUP(H657,'Exp-Rev Categories'!A:B,2,FALSE)),"Revenue",VLOOKUP(H657,'Exp-Rev Categories'!A:B,2,FALSE)))</f>
        <v>Exp-Equipment</v>
      </c>
      <c r="K657" s="2">
        <v>0</v>
      </c>
      <c r="L657" s="3">
        <v>0</v>
      </c>
      <c r="M657" s="3">
        <v>0</v>
      </c>
      <c r="N657" s="3">
        <v>0</v>
      </c>
      <c r="O657" s="3">
        <v>0</v>
      </c>
      <c r="P657" s="2" t="s">
        <v>159</v>
      </c>
    </row>
    <row r="658" spans="1:16">
      <c r="A658" s="2" t="s">
        <v>280</v>
      </c>
      <c r="B658" s="2" t="s">
        <v>1</v>
      </c>
      <c r="C658" s="2" t="s">
        <v>2</v>
      </c>
      <c r="D658" s="2" t="s">
        <v>157</v>
      </c>
      <c r="E658" s="4" t="str">
        <f t="shared" si="10"/>
        <v>2439 - X-RAY VISION</v>
      </c>
      <c r="F658" s="2" t="s">
        <v>61</v>
      </c>
      <c r="G658" s="2" t="s">
        <v>24</v>
      </c>
      <c r="J658" s="5" t="str">
        <f>IF(H658="",VLOOKUP(LEFT(F658,1),'Exp-Rev Categories'!A:B,2,FALSE),IF(ISNA(VLOOKUP(H658,'Exp-Rev Categories'!A:B,2,FALSE)),"Revenue",VLOOKUP(H658,'Exp-Rev Categories'!A:B,2,FALSE)))</f>
        <v>Exp-Equipment</v>
      </c>
      <c r="K658" s="2">
        <v>0</v>
      </c>
      <c r="L658" s="3">
        <v>173.91</v>
      </c>
      <c r="M658" s="3">
        <v>0</v>
      </c>
      <c r="N658" s="3">
        <v>-173.91</v>
      </c>
      <c r="O658" s="3">
        <v>0</v>
      </c>
      <c r="P658" s="2" t="s">
        <v>159</v>
      </c>
    </row>
    <row r="659" spans="1:16">
      <c r="A659" s="2" t="s">
        <v>280</v>
      </c>
      <c r="B659" s="2" t="s">
        <v>1</v>
      </c>
      <c r="C659" s="2" t="s">
        <v>2</v>
      </c>
      <c r="D659" s="2" t="s">
        <v>160</v>
      </c>
      <c r="E659" s="4" t="str">
        <f t="shared" si="10"/>
        <v>2440 - GAMING CLUB</v>
      </c>
      <c r="H659" s="2" t="s">
        <v>51</v>
      </c>
      <c r="J659" s="5" t="str">
        <f>IF(H659="",VLOOKUP(LEFT(F659,1),'Exp-Rev Categories'!A:B,2,FALSE),IF(ISNA(VLOOKUP(H659,'Exp-Rev Categories'!A:B,2,FALSE)),"Revenue",VLOOKUP(H659,'Exp-Rev Categories'!A:B,2,FALSE)))</f>
        <v>Revenue</v>
      </c>
      <c r="K659" s="2">
        <v>0</v>
      </c>
      <c r="L659" s="3">
        <v>-140</v>
      </c>
      <c r="M659" s="3">
        <v>0</v>
      </c>
      <c r="N659" s="3">
        <v>140</v>
      </c>
      <c r="O659" s="3">
        <v>0</v>
      </c>
      <c r="P659" s="2" t="s">
        <v>162</v>
      </c>
    </row>
    <row r="660" spans="1:16">
      <c r="A660" s="2" t="s">
        <v>280</v>
      </c>
      <c r="B660" s="2" t="s">
        <v>1</v>
      </c>
      <c r="C660" s="2" t="s">
        <v>2</v>
      </c>
      <c r="D660" s="2" t="s">
        <v>160</v>
      </c>
      <c r="E660" s="4" t="str">
        <f t="shared" si="10"/>
        <v>2440 - GAMING CLUB</v>
      </c>
      <c r="H660" s="2" t="s">
        <v>51</v>
      </c>
      <c r="I660" s="2" t="s">
        <v>161</v>
      </c>
      <c r="J660" s="5" t="str">
        <f>IF(H660="",VLOOKUP(LEFT(F660,1),'Exp-Rev Categories'!A:B,2,FALSE),IF(ISNA(VLOOKUP(H660,'Exp-Rev Categories'!A:B,2,FALSE)),"Revenue",VLOOKUP(H660,'Exp-Rev Categories'!A:B,2,FALSE)))</f>
        <v>Revenue</v>
      </c>
      <c r="K660" s="2">
        <v>0</v>
      </c>
      <c r="L660" s="3">
        <v>-1176.8499999999999</v>
      </c>
      <c r="M660" s="3">
        <v>0</v>
      </c>
      <c r="N660" s="3">
        <v>1176.8499999999999</v>
      </c>
      <c r="O660" s="3">
        <v>0</v>
      </c>
      <c r="P660" s="2" t="s">
        <v>162</v>
      </c>
    </row>
    <row r="661" spans="1:16">
      <c r="A661" s="2" t="s">
        <v>280</v>
      </c>
      <c r="B661" s="2" t="s">
        <v>1</v>
      </c>
      <c r="C661" s="2" t="s">
        <v>2</v>
      </c>
      <c r="D661" s="2" t="s">
        <v>160</v>
      </c>
      <c r="E661" s="4" t="str">
        <f t="shared" si="10"/>
        <v>2440 - GAMING CLUB</v>
      </c>
      <c r="H661" s="2" t="s">
        <v>43</v>
      </c>
      <c r="J661" s="5" t="str">
        <f>IF(H661="",VLOOKUP(LEFT(F661,1),'Exp-Rev Categories'!A:B,2,FALSE),IF(ISNA(VLOOKUP(H661,'Exp-Rev Categories'!A:B,2,FALSE)),"Revenue",VLOOKUP(H661,'Exp-Rev Categories'!A:B,2,FALSE)))</f>
        <v>Rev-Intra-Fund Transfer</v>
      </c>
      <c r="K661" s="2">
        <v>0</v>
      </c>
      <c r="L661" s="3">
        <v>-504</v>
      </c>
      <c r="M661" s="3">
        <v>0</v>
      </c>
      <c r="N661" s="3">
        <v>504</v>
      </c>
      <c r="O661" s="3">
        <v>0</v>
      </c>
      <c r="P661" s="2" t="s">
        <v>162</v>
      </c>
    </row>
    <row r="662" spans="1:16">
      <c r="A662" s="2" t="s">
        <v>280</v>
      </c>
      <c r="B662" s="2" t="s">
        <v>1</v>
      </c>
      <c r="C662" s="2" t="s">
        <v>2</v>
      </c>
      <c r="D662" s="2" t="s">
        <v>160</v>
      </c>
      <c r="E662" s="4" t="str">
        <f t="shared" si="10"/>
        <v>2440 - GAMING CLUB</v>
      </c>
      <c r="F662" s="2" t="s">
        <v>29</v>
      </c>
      <c r="J662" s="5" t="str">
        <f>IF(H662="",VLOOKUP(LEFT(F662,1),'Exp-Rev Categories'!A:B,2,FALSE),IF(ISNA(VLOOKUP(H662,'Exp-Rev Categories'!A:B,2,FALSE)),"Revenue",VLOOKUP(H662,'Exp-Rev Categories'!A:B,2,FALSE)))</f>
        <v>Exp-Goods &amp; Services</v>
      </c>
      <c r="K662" s="2">
        <v>3700</v>
      </c>
      <c r="L662" s="3">
        <v>0</v>
      </c>
      <c r="M662" s="3">
        <v>0</v>
      </c>
      <c r="N662" s="3">
        <v>3700</v>
      </c>
      <c r="O662" s="3">
        <v>0</v>
      </c>
      <c r="P662" s="2" t="s">
        <v>162</v>
      </c>
    </row>
    <row r="663" spans="1:16">
      <c r="A663" s="2" t="s">
        <v>280</v>
      </c>
      <c r="B663" s="2" t="s">
        <v>1</v>
      </c>
      <c r="C663" s="2" t="s">
        <v>2</v>
      </c>
      <c r="D663" s="2" t="s">
        <v>160</v>
      </c>
      <c r="E663" s="4" t="str">
        <f t="shared" si="10"/>
        <v>2440 - GAMING CLUB</v>
      </c>
      <c r="F663" s="2" t="s">
        <v>23</v>
      </c>
      <c r="G663" s="2" t="s">
        <v>24</v>
      </c>
      <c r="J663" s="5" t="str">
        <f>IF(H663="",VLOOKUP(LEFT(F663,1),'Exp-Rev Categories'!A:B,2,FALSE),IF(ISNA(VLOOKUP(H663,'Exp-Rev Categories'!A:B,2,FALSE)),"Revenue",VLOOKUP(H663,'Exp-Rev Categories'!A:B,2,FALSE)))</f>
        <v>Exp-Goods &amp; Services</v>
      </c>
      <c r="K663" s="2">
        <v>0</v>
      </c>
      <c r="L663" s="3">
        <v>2104.19</v>
      </c>
      <c r="M663" s="3">
        <v>0</v>
      </c>
      <c r="N663" s="3">
        <v>-2104.19</v>
      </c>
      <c r="O663" s="3">
        <v>0</v>
      </c>
      <c r="P663" s="2" t="s">
        <v>162</v>
      </c>
    </row>
    <row r="664" spans="1:16">
      <c r="A664" s="2" t="s">
        <v>280</v>
      </c>
      <c r="B664" s="2" t="s">
        <v>1</v>
      </c>
      <c r="C664" s="2" t="s">
        <v>2</v>
      </c>
      <c r="D664" s="2" t="s">
        <v>160</v>
      </c>
      <c r="E664" s="4" t="str">
        <f t="shared" si="10"/>
        <v>2440 - GAMING CLUB</v>
      </c>
      <c r="F664" s="2" t="s">
        <v>41</v>
      </c>
      <c r="G664" s="2" t="s">
        <v>24</v>
      </c>
      <c r="J664" s="5" t="str">
        <f>IF(H664="",VLOOKUP(LEFT(F664,1),'Exp-Rev Categories'!A:B,2,FALSE),IF(ISNA(VLOOKUP(H664,'Exp-Rev Categories'!A:B,2,FALSE)),"Revenue",VLOOKUP(H664,'Exp-Rev Categories'!A:B,2,FALSE)))</f>
        <v>Exp-Goods &amp; Services</v>
      </c>
      <c r="K664" s="2">
        <v>0</v>
      </c>
      <c r="L664" s="3">
        <v>488.8</v>
      </c>
      <c r="M664" s="3">
        <v>0</v>
      </c>
      <c r="N664" s="3">
        <v>-488.8</v>
      </c>
      <c r="O664" s="3">
        <v>0</v>
      </c>
      <c r="P664" s="2" t="s">
        <v>162</v>
      </c>
    </row>
    <row r="665" spans="1:16">
      <c r="A665" s="2" t="s">
        <v>280</v>
      </c>
      <c r="B665" s="2" t="s">
        <v>1</v>
      </c>
      <c r="C665" s="2" t="s">
        <v>2</v>
      </c>
      <c r="D665" s="2" t="s">
        <v>160</v>
      </c>
      <c r="E665" s="4" t="str">
        <f t="shared" si="10"/>
        <v>2440 - GAMING CLUB</v>
      </c>
      <c r="F665" s="2" t="s">
        <v>41</v>
      </c>
      <c r="G665" s="2" t="s">
        <v>7</v>
      </c>
      <c r="J665" s="5" t="str">
        <f>IF(H665="",VLOOKUP(LEFT(F665,1),'Exp-Rev Categories'!A:B,2,FALSE),IF(ISNA(VLOOKUP(H665,'Exp-Rev Categories'!A:B,2,FALSE)),"Revenue",VLOOKUP(H665,'Exp-Rev Categories'!A:B,2,FALSE)))</f>
        <v>Exp-Goods &amp; Services</v>
      </c>
      <c r="K665" s="2">
        <v>0</v>
      </c>
      <c r="L665" s="3">
        <v>687.09</v>
      </c>
      <c r="M665" s="3">
        <v>0</v>
      </c>
      <c r="N665" s="3">
        <v>-687.09</v>
      </c>
      <c r="O665" s="3">
        <v>0</v>
      </c>
      <c r="P665" s="2" t="s">
        <v>162</v>
      </c>
    </row>
    <row r="666" spans="1:16">
      <c r="A666" s="2" t="s">
        <v>280</v>
      </c>
      <c r="B666" s="2" t="s">
        <v>1</v>
      </c>
      <c r="C666" s="2" t="s">
        <v>2</v>
      </c>
      <c r="D666" s="2" t="s">
        <v>163</v>
      </c>
      <c r="E666" s="4" t="str">
        <f t="shared" si="10"/>
        <v>2441 - SCC PLAYERS</v>
      </c>
      <c r="H666" s="2" t="s">
        <v>51</v>
      </c>
      <c r="I666" s="2" t="s">
        <v>164</v>
      </c>
      <c r="J666" s="5" t="str">
        <f>IF(H666="",VLOOKUP(LEFT(F666,1),'Exp-Rev Categories'!A:B,2,FALSE),IF(ISNA(VLOOKUP(H666,'Exp-Rev Categories'!A:B,2,FALSE)),"Revenue",VLOOKUP(H666,'Exp-Rev Categories'!A:B,2,FALSE)))</f>
        <v>Revenue</v>
      </c>
      <c r="K666" s="2">
        <v>0</v>
      </c>
      <c r="L666" s="3">
        <v>-250</v>
      </c>
      <c r="M666" s="3">
        <v>0</v>
      </c>
      <c r="N666" s="3">
        <v>250</v>
      </c>
      <c r="O666" s="3">
        <v>0</v>
      </c>
      <c r="P666" s="2" t="s">
        <v>242</v>
      </c>
    </row>
    <row r="667" spans="1:16">
      <c r="A667" s="2" t="s">
        <v>280</v>
      </c>
      <c r="B667" s="2" t="s">
        <v>1</v>
      </c>
      <c r="C667" s="2" t="s">
        <v>2</v>
      </c>
      <c r="D667" s="2" t="s">
        <v>163</v>
      </c>
      <c r="E667" s="4" t="str">
        <f t="shared" si="10"/>
        <v>2441 - SCC PLAYERS</v>
      </c>
      <c r="F667" s="2" t="s">
        <v>29</v>
      </c>
      <c r="J667" s="5" t="str">
        <f>IF(H667="",VLOOKUP(LEFT(F667,1),'Exp-Rev Categories'!A:B,2,FALSE),IF(ISNA(VLOOKUP(H667,'Exp-Rev Categories'!A:B,2,FALSE)),"Revenue",VLOOKUP(H667,'Exp-Rev Categories'!A:B,2,FALSE)))</f>
        <v>Exp-Goods &amp; Services</v>
      </c>
      <c r="K667" s="2">
        <v>4000</v>
      </c>
      <c r="L667" s="3">
        <v>0</v>
      </c>
      <c r="M667" s="3">
        <v>0</v>
      </c>
      <c r="N667" s="3">
        <v>4000</v>
      </c>
      <c r="O667" s="3">
        <v>0</v>
      </c>
      <c r="P667" s="2" t="s">
        <v>242</v>
      </c>
    </row>
    <row r="668" spans="1:16">
      <c r="A668" s="2" t="s">
        <v>280</v>
      </c>
      <c r="B668" s="2" t="s">
        <v>1</v>
      </c>
      <c r="C668" s="2" t="s">
        <v>2</v>
      </c>
      <c r="D668" s="2" t="s">
        <v>163</v>
      </c>
      <c r="E668" s="4" t="str">
        <f t="shared" si="10"/>
        <v>2441 - SCC PLAYERS</v>
      </c>
      <c r="F668" s="2" t="s">
        <v>23</v>
      </c>
      <c r="G668" s="2" t="s">
        <v>24</v>
      </c>
      <c r="J668" s="5" t="str">
        <f>IF(H668="",VLOOKUP(LEFT(F668,1),'Exp-Rev Categories'!A:B,2,FALSE),IF(ISNA(VLOOKUP(H668,'Exp-Rev Categories'!A:B,2,FALSE)),"Revenue",VLOOKUP(H668,'Exp-Rev Categories'!A:B,2,FALSE)))</f>
        <v>Exp-Goods &amp; Services</v>
      </c>
      <c r="K668" s="2">
        <v>0</v>
      </c>
      <c r="L668" s="3">
        <v>4070.38</v>
      </c>
      <c r="M668" s="3">
        <v>0</v>
      </c>
      <c r="N668" s="3">
        <v>-4070.38</v>
      </c>
      <c r="O668" s="3">
        <v>0</v>
      </c>
      <c r="P668" s="2" t="s">
        <v>242</v>
      </c>
    </row>
    <row r="669" spans="1:16">
      <c r="A669" s="2" t="s">
        <v>280</v>
      </c>
      <c r="B669" s="2" t="s">
        <v>1</v>
      </c>
      <c r="C669" s="2" t="s">
        <v>2</v>
      </c>
      <c r="D669" s="2" t="s">
        <v>163</v>
      </c>
      <c r="E669" s="4" t="str">
        <f t="shared" si="10"/>
        <v>2441 - SCC PLAYERS</v>
      </c>
      <c r="F669" s="2" t="s">
        <v>41</v>
      </c>
      <c r="G669" s="2" t="s">
        <v>66</v>
      </c>
      <c r="J669" s="5" t="str">
        <f>IF(H669="",VLOOKUP(LEFT(F669,1),'Exp-Rev Categories'!A:B,2,FALSE),IF(ISNA(VLOOKUP(H669,'Exp-Rev Categories'!A:B,2,FALSE)),"Revenue",VLOOKUP(H669,'Exp-Rev Categories'!A:B,2,FALSE)))</f>
        <v>Exp-Goods &amp; Services</v>
      </c>
      <c r="K669" s="2">
        <v>0</v>
      </c>
      <c r="L669" s="3">
        <v>231.26</v>
      </c>
      <c r="M669" s="3">
        <v>0</v>
      </c>
      <c r="N669" s="3">
        <v>-231.26</v>
      </c>
      <c r="O669" s="3">
        <v>0</v>
      </c>
      <c r="P669" s="2" t="s">
        <v>242</v>
      </c>
    </row>
    <row r="670" spans="1:16">
      <c r="A670" s="2" t="s">
        <v>280</v>
      </c>
      <c r="B670" s="2" t="s">
        <v>1</v>
      </c>
      <c r="C670" s="2" t="s">
        <v>2</v>
      </c>
      <c r="D670" s="2" t="s">
        <v>163</v>
      </c>
      <c r="E670" s="4" t="str">
        <f t="shared" si="10"/>
        <v>2441 - SCC PLAYERS</v>
      </c>
      <c r="F670" s="2" t="s">
        <v>41</v>
      </c>
      <c r="G670" s="2" t="s">
        <v>7</v>
      </c>
      <c r="J670" s="5" t="str">
        <f>IF(H670="",VLOOKUP(LEFT(F670,1),'Exp-Rev Categories'!A:B,2,FALSE),IF(ISNA(VLOOKUP(H670,'Exp-Rev Categories'!A:B,2,FALSE)),"Revenue",VLOOKUP(H670,'Exp-Rev Categories'!A:B,2,FALSE)))</f>
        <v>Exp-Goods &amp; Services</v>
      </c>
      <c r="K670" s="2">
        <v>0</v>
      </c>
      <c r="L670" s="3">
        <v>7.55</v>
      </c>
      <c r="M670" s="3">
        <v>0</v>
      </c>
      <c r="N670" s="3">
        <v>-7.55</v>
      </c>
      <c r="O670" s="3">
        <v>0</v>
      </c>
      <c r="P670" s="2" t="s">
        <v>242</v>
      </c>
    </row>
    <row r="671" spans="1:16">
      <c r="A671" s="2" t="s">
        <v>280</v>
      </c>
      <c r="B671" s="2" t="s">
        <v>1</v>
      </c>
      <c r="C671" s="2" t="s">
        <v>2</v>
      </c>
      <c r="D671" s="2" t="s">
        <v>163</v>
      </c>
      <c r="E671" s="4" t="str">
        <f t="shared" si="10"/>
        <v>2441 - SCC PLAYERS</v>
      </c>
      <c r="F671" s="2" t="s">
        <v>268</v>
      </c>
      <c r="J671" s="5" t="str">
        <f>IF(H671="",VLOOKUP(LEFT(F671,1),'Exp-Rev Categories'!A:B,2,FALSE),IF(ISNA(VLOOKUP(H671,'Exp-Rev Categories'!A:B,2,FALSE)),"Revenue",VLOOKUP(H671,'Exp-Rev Categories'!A:B,2,FALSE)))</f>
        <v>Exp-Equipment</v>
      </c>
      <c r="K671" s="2">
        <v>0</v>
      </c>
      <c r="L671" s="3">
        <v>0</v>
      </c>
      <c r="M671" s="3">
        <v>0</v>
      </c>
      <c r="N671" s="3">
        <v>0</v>
      </c>
      <c r="O671" s="3">
        <v>0</v>
      </c>
      <c r="P671" s="2" t="s">
        <v>242</v>
      </c>
    </row>
    <row r="672" spans="1:16">
      <c r="A672" s="2" t="s">
        <v>280</v>
      </c>
      <c r="B672" s="2" t="s">
        <v>1</v>
      </c>
      <c r="C672" s="2" t="s">
        <v>2</v>
      </c>
      <c r="D672" s="2" t="s">
        <v>165</v>
      </c>
      <c r="E672" s="4" t="str">
        <f t="shared" si="10"/>
        <v>2442 - WATER RESOURCES CLUB</v>
      </c>
      <c r="H672" s="2" t="s">
        <v>51</v>
      </c>
      <c r="I672" s="2" t="s">
        <v>166</v>
      </c>
      <c r="J672" s="5" t="str">
        <f>IF(H672="",VLOOKUP(LEFT(F672,1),'Exp-Rev Categories'!A:B,2,FALSE),IF(ISNA(VLOOKUP(H672,'Exp-Rev Categories'!A:B,2,FALSE)),"Revenue",VLOOKUP(H672,'Exp-Rev Categories'!A:B,2,FALSE)))</f>
        <v>Revenue</v>
      </c>
      <c r="K672" s="2">
        <v>0</v>
      </c>
      <c r="L672" s="3">
        <v>-3900</v>
      </c>
      <c r="M672" s="3">
        <v>0</v>
      </c>
      <c r="N672" s="3">
        <v>3900</v>
      </c>
      <c r="O672" s="3">
        <v>0</v>
      </c>
      <c r="P672" s="2" t="s">
        <v>167</v>
      </c>
    </row>
    <row r="673" spans="1:16">
      <c r="A673" s="2" t="s">
        <v>280</v>
      </c>
      <c r="B673" s="2" t="s">
        <v>1</v>
      </c>
      <c r="C673" s="2" t="s">
        <v>2</v>
      </c>
      <c r="D673" s="2" t="s">
        <v>165</v>
      </c>
      <c r="E673" s="4" t="str">
        <f t="shared" si="10"/>
        <v>2442 - WATER RESOURCES CLUB</v>
      </c>
      <c r="H673" s="2" t="s">
        <v>53</v>
      </c>
      <c r="J673" s="5" t="str">
        <f>IF(H673="",VLOOKUP(LEFT(F673,1),'Exp-Rev Categories'!A:B,2,FALSE),IF(ISNA(VLOOKUP(H673,'Exp-Rev Categories'!A:B,2,FALSE)),"Revenue",VLOOKUP(H673,'Exp-Rev Categories'!A:B,2,FALSE)))</f>
        <v>Rev-Fund Transfers - Out</v>
      </c>
      <c r="K673" s="2">
        <v>0</v>
      </c>
      <c r="L673" s="3">
        <v>100</v>
      </c>
      <c r="M673" s="3">
        <v>0</v>
      </c>
      <c r="N673" s="3">
        <v>-100</v>
      </c>
      <c r="O673" s="3">
        <v>0</v>
      </c>
      <c r="P673" s="2" t="s">
        <v>167</v>
      </c>
    </row>
    <row r="674" spans="1:16">
      <c r="A674" s="2" t="s">
        <v>280</v>
      </c>
      <c r="B674" s="2" t="s">
        <v>1</v>
      </c>
      <c r="C674" s="2" t="s">
        <v>2</v>
      </c>
      <c r="D674" s="2" t="s">
        <v>165</v>
      </c>
      <c r="E674" s="4" t="str">
        <f t="shared" si="10"/>
        <v>2442 - WATER RESOURCES CLUB</v>
      </c>
      <c r="H674" s="2" t="s">
        <v>43</v>
      </c>
      <c r="J674" s="5" t="str">
        <f>IF(H674="",VLOOKUP(LEFT(F674,1),'Exp-Rev Categories'!A:B,2,FALSE),IF(ISNA(VLOOKUP(H674,'Exp-Rev Categories'!A:B,2,FALSE)),"Revenue",VLOOKUP(H674,'Exp-Rev Categories'!A:B,2,FALSE)))</f>
        <v>Rev-Intra-Fund Transfer</v>
      </c>
      <c r="K674" s="2">
        <v>0</v>
      </c>
      <c r="L674" s="3">
        <v>-2134.75</v>
      </c>
      <c r="M674" s="3">
        <v>0</v>
      </c>
      <c r="N674" s="3">
        <v>2134.75</v>
      </c>
      <c r="O674" s="3">
        <v>0</v>
      </c>
      <c r="P674" s="2" t="s">
        <v>167</v>
      </c>
    </row>
    <row r="675" spans="1:16">
      <c r="A675" s="2" t="s">
        <v>280</v>
      </c>
      <c r="B675" s="2" t="s">
        <v>1</v>
      </c>
      <c r="C675" s="2" t="s">
        <v>2</v>
      </c>
      <c r="D675" s="2" t="s">
        <v>165</v>
      </c>
      <c r="E675" s="4" t="str">
        <f t="shared" si="10"/>
        <v>2442 - WATER RESOURCES CLUB</v>
      </c>
      <c r="F675" s="2" t="s">
        <v>29</v>
      </c>
      <c r="J675" s="5" t="str">
        <f>IF(H675="",VLOOKUP(LEFT(F675,1),'Exp-Rev Categories'!A:B,2,FALSE),IF(ISNA(VLOOKUP(H675,'Exp-Rev Categories'!A:B,2,FALSE)),"Revenue",VLOOKUP(H675,'Exp-Rev Categories'!A:B,2,FALSE)))</f>
        <v>Exp-Goods &amp; Services</v>
      </c>
      <c r="K675" s="2">
        <v>4600</v>
      </c>
      <c r="L675" s="3">
        <v>0</v>
      </c>
      <c r="M675" s="3">
        <v>0</v>
      </c>
      <c r="N675" s="3">
        <v>4600</v>
      </c>
      <c r="O675" s="3">
        <v>0</v>
      </c>
      <c r="P675" s="2" t="s">
        <v>167</v>
      </c>
    </row>
    <row r="676" spans="1:16">
      <c r="A676" s="2" t="s">
        <v>280</v>
      </c>
      <c r="B676" s="2" t="s">
        <v>1</v>
      </c>
      <c r="C676" s="2" t="s">
        <v>2</v>
      </c>
      <c r="D676" s="2" t="s">
        <v>165</v>
      </c>
      <c r="E676" s="4" t="str">
        <f t="shared" si="10"/>
        <v>2442 - WATER RESOURCES CLUB</v>
      </c>
      <c r="F676" s="2" t="s">
        <v>23</v>
      </c>
      <c r="G676" s="2" t="s">
        <v>24</v>
      </c>
      <c r="J676" s="5" t="str">
        <f>IF(H676="",VLOOKUP(LEFT(F676,1),'Exp-Rev Categories'!A:B,2,FALSE),IF(ISNA(VLOOKUP(H676,'Exp-Rev Categories'!A:B,2,FALSE)),"Revenue",VLOOKUP(H676,'Exp-Rev Categories'!A:B,2,FALSE)))</f>
        <v>Exp-Goods &amp; Services</v>
      </c>
      <c r="K676" s="2">
        <v>0</v>
      </c>
      <c r="L676" s="3">
        <v>2597.88</v>
      </c>
      <c r="M676" s="3">
        <v>0</v>
      </c>
      <c r="N676" s="3">
        <v>-2597.88</v>
      </c>
      <c r="O676" s="3">
        <v>0</v>
      </c>
      <c r="P676" s="2" t="s">
        <v>167</v>
      </c>
    </row>
    <row r="677" spans="1:16">
      <c r="A677" s="2" t="s">
        <v>280</v>
      </c>
      <c r="B677" s="2" t="s">
        <v>1</v>
      </c>
      <c r="C677" s="2" t="s">
        <v>2</v>
      </c>
      <c r="D677" s="2" t="s">
        <v>165</v>
      </c>
      <c r="E677" s="4" t="str">
        <f t="shared" si="10"/>
        <v>2442 - WATER RESOURCES CLUB</v>
      </c>
      <c r="F677" s="2" t="s">
        <v>23</v>
      </c>
      <c r="G677" s="2" t="s">
        <v>77</v>
      </c>
      <c r="J677" s="5" t="str">
        <f>IF(H677="",VLOOKUP(LEFT(F677,1),'Exp-Rev Categories'!A:B,2,FALSE),IF(ISNA(VLOOKUP(H677,'Exp-Rev Categories'!A:B,2,FALSE)),"Revenue",VLOOKUP(H677,'Exp-Rev Categories'!A:B,2,FALSE)))</f>
        <v>Exp-Goods &amp; Services</v>
      </c>
      <c r="K677" s="2">
        <v>0</v>
      </c>
      <c r="L677" s="3">
        <v>3.38</v>
      </c>
      <c r="M677" s="3">
        <v>0</v>
      </c>
      <c r="N677" s="3">
        <v>-3.38</v>
      </c>
      <c r="O677" s="3">
        <v>0</v>
      </c>
      <c r="P677" s="2" t="s">
        <v>167</v>
      </c>
    </row>
    <row r="678" spans="1:16">
      <c r="A678" s="2" t="s">
        <v>280</v>
      </c>
      <c r="B678" s="2" t="s">
        <v>1</v>
      </c>
      <c r="C678" s="2" t="s">
        <v>2</v>
      </c>
      <c r="D678" s="2" t="s">
        <v>165</v>
      </c>
      <c r="E678" s="4" t="str">
        <f t="shared" si="10"/>
        <v>2442 - WATER RESOURCES CLUB</v>
      </c>
      <c r="F678" s="2" t="s">
        <v>78</v>
      </c>
      <c r="G678" s="2" t="s">
        <v>24</v>
      </c>
      <c r="J678" s="5" t="str">
        <f>IF(H678="",VLOOKUP(LEFT(F678,1),'Exp-Rev Categories'!A:B,2,FALSE),IF(ISNA(VLOOKUP(H678,'Exp-Rev Categories'!A:B,2,FALSE)),"Revenue",VLOOKUP(H678,'Exp-Rev Categories'!A:B,2,FALSE)))</f>
        <v>Exp-Goods &amp; Services</v>
      </c>
      <c r="K678" s="2">
        <v>0</v>
      </c>
      <c r="L678" s="3">
        <v>287.48</v>
      </c>
      <c r="M678" s="3">
        <v>0</v>
      </c>
      <c r="N678" s="3">
        <v>-287.48</v>
      </c>
      <c r="O678" s="3">
        <v>0</v>
      </c>
      <c r="P678" s="2" t="s">
        <v>167</v>
      </c>
    </row>
    <row r="679" spans="1:16">
      <c r="A679" s="2" t="s">
        <v>280</v>
      </c>
      <c r="B679" s="2" t="s">
        <v>1</v>
      </c>
      <c r="C679" s="2" t="s">
        <v>2</v>
      </c>
      <c r="D679" s="2" t="s">
        <v>165</v>
      </c>
      <c r="E679" s="4" t="str">
        <f t="shared" si="10"/>
        <v>2442 - WATER RESOURCES CLUB</v>
      </c>
      <c r="F679" s="2" t="s">
        <v>41</v>
      </c>
      <c r="G679" s="2" t="s">
        <v>24</v>
      </c>
      <c r="J679" s="5" t="str">
        <f>IF(H679="",VLOOKUP(LEFT(F679,1),'Exp-Rev Categories'!A:B,2,FALSE),IF(ISNA(VLOOKUP(H679,'Exp-Rev Categories'!A:B,2,FALSE)),"Revenue",VLOOKUP(H679,'Exp-Rev Categories'!A:B,2,FALSE)))</f>
        <v>Exp-Goods &amp; Services</v>
      </c>
      <c r="K679" s="2">
        <v>0</v>
      </c>
      <c r="L679" s="3">
        <v>480</v>
      </c>
      <c r="M679" s="3">
        <v>0</v>
      </c>
      <c r="N679" s="3">
        <v>-480</v>
      </c>
      <c r="O679" s="3">
        <v>0</v>
      </c>
      <c r="P679" s="2" t="s">
        <v>167</v>
      </c>
    </row>
    <row r="680" spans="1:16">
      <c r="A680" s="2" t="s">
        <v>280</v>
      </c>
      <c r="B680" s="2" t="s">
        <v>1</v>
      </c>
      <c r="C680" s="2" t="s">
        <v>2</v>
      </c>
      <c r="D680" s="2" t="s">
        <v>165</v>
      </c>
      <c r="E680" s="4" t="str">
        <f t="shared" si="10"/>
        <v>2442 - WATER RESOURCES CLUB</v>
      </c>
      <c r="F680" s="2" t="s">
        <v>41</v>
      </c>
      <c r="G680" s="2" t="s">
        <v>7</v>
      </c>
      <c r="J680" s="5" t="str">
        <f>IF(H680="",VLOOKUP(LEFT(F680,1),'Exp-Rev Categories'!A:B,2,FALSE),IF(ISNA(VLOOKUP(H680,'Exp-Rev Categories'!A:B,2,FALSE)),"Revenue",VLOOKUP(H680,'Exp-Rev Categories'!A:B,2,FALSE)))</f>
        <v>Exp-Goods &amp; Services</v>
      </c>
      <c r="K680" s="2">
        <v>0</v>
      </c>
      <c r="L680" s="3">
        <v>3801.89</v>
      </c>
      <c r="M680" s="3">
        <v>0</v>
      </c>
      <c r="N680" s="3">
        <v>-3801.89</v>
      </c>
      <c r="O680" s="3">
        <v>0</v>
      </c>
      <c r="P680" s="2" t="s">
        <v>167</v>
      </c>
    </row>
    <row r="681" spans="1:16">
      <c r="A681" s="2" t="s">
        <v>280</v>
      </c>
      <c r="B681" s="2" t="s">
        <v>1</v>
      </c>
      <c r="C681" s="2" t="s">
        <v>2</v>
      </c>
      <c r="D681" s="2" t="s">
        <v>165</v>
      </c>
      <c r="E681" s="4" t="str">
        <f t="shared" si="10"/>
        <v>2442 - WATER RESOURCES CLUB</v>
      </c>
      <c r="F681" s="2" t="s">
        <v>267</v>
      </c>
      <c r="J681" s="5" t="str">
        <f>IF(H681="",VLOOKUP(LEFT(F681,1),'Exp-Rev Categories'!A:B,2,FALSE),IF(ISNA(VLOOKUP(H681,'Exp-Rev Categories'!A:B,2,FALSE)),"Revenue",VLOOKUP(H681,'Exp-Rev Categories'!A:B,2,FALSE)))</f>
        <v>Exp-Travel</v>
      </c>
      <c r="K681" s="2">
        <v>0</v>
      </c>
      <c r="L681" s="3">
        <v>0</v>
      </c>
      <c r="M681" s="3">
        <v>0</v>
      </c>
      <c r="N681" s="3">
        <v>0</v>
      </c>
      <c r="O681" s="3">
        <v>0</v>
      </c>
      <c r="P681" s="2" t="s">
        <v>167</v>
      </c>
    </row>
    <row r="682" spans="1:16">
      <c r="A682" s="2" t="s">
        <v>280</v>
      </c>
      <c r="B682" s="2" t="s">
        <v>1</v>
      </c>
      <c r="C682" s="2" t="s">
        <v>2</v>
      </c>
      <c r="D682" s="2" t="s">
        <v>165</v>
      </c>
      <c r="E682" s="4" t="str">
        <f t="shared" si="10"/>
        <v>2442 - WATER RESOURCES CLUB</v>
      </c>
      <c r="F682" s="2" t="s">
        <v>117</v>
      </c>
      <c r="J682" s="5" t="str">
        <f>IF(H682="",VLOOKUP(LEFT(F682,1),'Exp-Rev Categories'!A:B,2,FALSE),IF(ISNA(VLOOKUP(H682,'Exp-Rev Categories'!A:B,2,FALSE)),"Revenue",VLOOKUP(H682,'Exp-Rev Categories'!A:B,2,FALSE)))</f>
        <v>Exp-Grants/Scholarships</v>
      </c>
      <c r="K682" s="2">
        <v>0</v>
      </c>
      <c r="L682" s="3">
        <v>0</v>
      </c>
      <c r="M682" s="3">
        <v>0</v>
      </c>
      <c r="N682" s="3">
        <v>0</v>
      </c>
      <c r="O682" s="3">
        <v>0</v>
      </c>
      <c r="P682" s="2" t="s">
        <v>167</v>
      </c>
    </row>
    <row r="683" spans="1:16">
      <c r="A683" s="2" t="s">
        <v>280</v>
      </c>
      <c r="B683" s="2" t="s">
        <v>1</v>
      </c>
      <c r="C683" s="2" t="s">
        <v>2</v>
      </c>
      <c r="D683" s="2" t="s">
        <v>168</v>
      </c>
      <c r="E683" s="4" t="str">
        <f t="shared" si="10"/>
        <v>2443 - NATURAL RESRCS ASSN</v>
      </c>
      <c r="H683" s="2" t="s">
        <v>43</v>
      </c>
      <c r="J683" s="5" t="str">
        <f>IF(H683="",VLOOKUP(LEFT(F683,1),'Exp-Rev Categories'!A:B,2,FALSE),IF(ISNA(VLOOKUP(H683,'Exp-Rev Categories'!A:B,2,FALSE)),"Revenue",VLOOKUP(H683,'Exp-Rev Categories'!A:B,2,FALSE)))</f>
        <v>Rev-Intra-Fund Transfer</v>
      </c>
      <c r="K683" s="2">
        <v>0</v>
      </c>
      <c r="L683" s="3">
        <v>-6463.75</v>
      </c>
      <c r="M683" s="3">
        <v>0</v>
      </c>
      <c r="N683" s="3">
        <v>6463.75</v>
      </c>
      <c r="O683" s="3">
        <v>0</v>
      </c>
      <c r="P683" s="2" t="s">
        <v>243</v>
      </c>
    </row>
    <row r="684" spans="1:16">
      <c r="A684" s="2" t="s">
        <v>280</v>
      </c>
      <c r="B684" s="2" t="s">
        <v>1</v>
      </c>
      <c r="C684" s="2" t="s">
        <v>2</v>
      </c>
      <c r="D684" s="2" t="s">
        <v>168</v>
      </c>
      <c r="E684" s="4" t="str">
        <f t="shared" si="10"/>
        <v>2443 - NATURAL RESRCS ASSN</v>
      </c>
      <c r="F684" s="2" t="s">
        <v>29</v>
      </c>
      <c r="J684" s="5" t="str">
        <f>IF(H684="",VLOOKUP(LEFT(F684,1),'Exp-Rev Categories'!A:B,2,FALSE),IF(ISNA(VLOOKUP(H684,'Exp-Rev Categories'!A:B,2,FALSE)),"Revenue",VLOOKUP(H684,'Exp-Rev Categories'!A:B,2,FALSE)))</f>
        <v>Exp-Goods &amp; Services</v>
      </c>
      <c r="K684" s="2">
        <v>7540</v>
      </c>
      <c r="L684" s="3">
        <v>0</v>
      </c>
      <c r="M684" s="3">
        <v>0</v>
      </c>
      <c r="N684" s="3">
        <v>7540</v>
      </c>
      <c r="O684" s="3">
        <v>0</v>
      </c>
      <c r="P684" s="2" t="s">
        <v>243</v>
      </c>
    </row>
    <row r="685" spans="1:16">
      <c r="A685" s="2" t="s">
        <v>280</v>
      </c>
      <c r="B685" s="2" t="s">
        <v>1</v>
      </c>
      <c r="C685" s="2" t="s">
        <v>2</v>
      </c>
      <c r="D685" s="2" t="s">
        <v>168</v>
      </c>
      <c r="E685" s="4" t="str">
        <f t="shared" si="10"/>
        <v>2443 - NATURAL RESRCS ASSN</v>
      </c>
      <c r="F685" s="2" t="s">
        <v>23</v>
      </c>
      <c r="G685" s="2" t="s">
        <v>24</v>
      </c>
      <c r="J685" s="5" t="str">
        <f>IF(H685="",VLOOKUP(LEFT(F685,1),'Exp-Rev Categories'!A:B,2,FALSE),IF(ISNA(VLOOKUP(H685,'Exp-Rev Categories'!A:B,2,FALSE)),"Revenue",VLOOKUP(H685,'Exp-Rev Categories'!A:B,2,FALSE)))</f>
        <v>Exp-Goods &amp; Services</v>
      </c>
      <c r="K685" s="2">
        <v>0</v>
      </c>
      <c r="L685" s="3">
        <v>2948.35</v>
      </c>
      <c r="M685" s="3">
        <v>0</v>
      </c>
      <c r="N685" s="3">
        <v>-2948.35</v>
      </c>
      <c r="O685" s="3">
        <v>0</v>
      </c>
      <c r="P685" s="2" t="s">
        <v>243</v>
      </c>
    </row>
    <row r="686" spans="1:16">
      <c r="A686" s="2" t="s">
        <v>280</v>
      </c>
      <c r="B686" s="2" t="s">
        <v>1</v>
      </c>
      <c r="C686" s="2" t="s">
        <v>2</v>
      </c>
      <c r="D686" s="2" t="s">
        <v>168</v>
      </c>
      <c r="E686" s="4" t="str">
        <f t="shared" si="10"/>
        <v>2443 - NATURAL RESRCS ASSN</v>
      </c>
      <c r="F686" s="2" t="s">
        <v>23</v>
      </c>
      <c r="G686" s="2" t="s">
        <v>77</v>
      </c>
      <c r="J686" s="5" t="str">
        <f>IF(H686="",VLOOKUP(LEFT(F686,1),'Exp-Rev Categories'!A:B,2,FALSE),IF(ISNA(VLOOKUP(H686,'Exp-Rev Categories'!A:B,2,FALSE)),"Revenue",VLOOKUP(H686,'Exp-Rev Categories'!A:B,2,FALSE)))</f>
        <v>Exp-Goods &amp; Services</v>
      </c>
      <c r="K686" s="2">
        <v>0</v>
      </c>
      <c r="L686" s="3">
        <v>3.4</v>
      </c>
      <c r="M686" s="3">
        <v>0</v>
      </c>
      <c r="N686" s="3">
        <v>-3.4</v>
      </c>
      <c r="O686" s="3">
        <v>0</v>
      </c>
      <c r="P686" s="2" t="s">
        <v>243</v>
      </c>
    </row>
    <row r="687" spans="1:16">
      <c r="A687" s="2" t="s">
        <v>280</v>
      </c>
      <c r="B687" s="2" t="s">
        <v>1</v>
      </c>
      <c r="C687" s="2" t="s">
        <v>2</v>
      </c>
      <c r="D687" s="2" t="s">
        <v>168</v>
      </c>
      <c r="E687" s="4" t="str">
        <f t="shared" si="10"/>
        <v>2443 - NATURAL RESRCS ASSN</v>
      </c>
      <c r="F687" s="2" t="s">
        <v>78</v>
      </c>
      <c r="G687" s="2" t="s">
        <v>24</v>
      </c>
      <c r="J687" s="5" t="str">
        <f>IF(H687="",VLOOKUP(LEFT(F687,1),'Exp-Rev Categories'!A:B,2,FALSE),IF(ISNA(VLOOKUP(H687,'Exp-Rev Categories'!A:B,2,FALSE)),"Revenue",VLOOKUP(H687,'Exp-Rev Categories'!A:B,2,FALSE)))</f>
        <v>Exp-Goods &amp; Services</v>
      </c>
      <c r="K687" s="2">
        <v>0</v>
      </c>
      <c r="L687" s="3">
        <v>275</v>
      </c>
      <c r="M687" s="3">
        <v>0</v>
      </c>
      <c r="N687" s="3">
        <v>-275</v>
      </c>
      <c r="O687" s="3">
        <v>0</v>
      </c>
      <c r="P687" s="2" t="s">
        <v>243</v>
      </c>
    </row>
    <row r="688" spans="1:16">
      <c r="A688" s="2" t="s">
        <v>280</v>
      </c>
      <c r="B688" s="2" t="s">
        <v>1</v>
      </c>
      <c r="C688" s="2" t="s">
        <v>2</v>
      </c>
      <c r="D688" s="2" t="s">
        <v>168</v>
      </c>
      <c r="E688" s="4" t="str">
        <f t="shared" si="10"/>
        <v>2443 - NATURAL RESRCS ASSN</v>
      </c>
      <c r="F688" s="2" t="s">
        <v>41</v>
      </c>
      <c r="G688" s="2" t="s">
        <v>24</v>
      </c>
      <c r="J688" s="5" t="str">
        <f>IF(H688="",VLOOKUP(LEFT(F688,1),'Exp-Rev Categories'!A:B,2,FALSE),IF(ISNA(VLOOKUP(H688,'Exp-Rev Categories'!A:B,2,FALSE)),"Revenue",VLOOKUP(H688,'Exp-Rev Categories'!A:B,2,FALSE)))</f>
        <v>Exp-Goods &amp; Services</v>
      </c>
      <c r="K688" s="2">
        <v>0</v>
      </c>
      <c r="L688" s="3">
        <v>2174</v>
      </c>
      <c r="M688" s="3">
        <v>0</v>
      </c>
      <c r="N688" s="3">
        <v>-2174</v>
      </c>
      <c r="O688" s="3">
        <v>0</v>
      </c>
      <c r="P688" s="2" t="s">
        <v>243</v>
      </c>
    </row>
    <row r="689" spans="1:16">
      <c r="A689" s="2" t="s">
        <v>280</v>
      </c>
      <c r="B689" s="2" t="s">
        <v>1</v>
      </c>
      <c r="C689" s="2" t="s">
        <v>2</v>
      </c>
      <c r="D689" s="2" t="s">
        <v>168</v>
      </c>
      <c r="E689" s="4" t="str">
        <f t="shared" si="10"/>
        <v>2443 - NATURAL RESRCS ASSN</v>
      </c>
      <c r="F689" s="2" t="s">
        <v>41</v>
      </c>
      <c r="G689" s="2" t="s">
        <v>66</v>
      </c>
      <c r="J689" s="5" t="str">
        <f>IF(H689="",VLOOKUP(LEFT(F689,1),'Exp-Rev Categories'!A:B,2,FALSE),IF(ISNA(VLOOKUP(H689,'Exp-Rev Categories'!A:B,2,FALSE)),"Revenue",VLOOKUP(H689,'Exp-Rev Categories'!A:B,2,FALSE)))</f>
        <v>Exp-Goods &amp; Services</v>
      </c>
      <c r="K689" s="2">
        <v>0</v>
      </c>
      <c r="L689" s="3">
        <v>11.55</v>
      </c>
      <c r="M689" s="3">
        <v>0</v>
      </c>
      <c r="N689" s="3">
        <v>-11.55</v>
      </c>
      <c r="O689" s="3">
        <v>0</v>
      </c>
      <c r="P689" s="2" t="s">
        <v>243</v>
      </c>
    </row>
    <row r="690" spans="1:16">
      <c r="A690" s="2" t="s">
        <v>280</v>
      </c>
      <c r="B690" s="2" t="s">
        <v>1</v>
      </c>
      <c r="C690" s="2" t="s">
        <v>2</v>
      </c>
      <c r="D690" s="2" t="s">
        <v>168</v>
      </c>
      <c r="E690" s="4" t="str">
        <f t="shared" si="10"/>
        <v>2443 - NATURAL RESRCS ASSN</v>
      </c>
      <c r="F690" s="2" t="s">
        <v>41</v>
      </c>
      <c r="G690" s="2" t="s">
        <v>7</v>
      </c>
      <c r="J690" s="5" t="str">
        <f>IF(H690="",VLOOKUP(LEFT(F690,1),'Exp-Rev Categories'!A:B,2,FALSE),IF(ISNA(VLOOKUP(H690,'Exp-Rev Categories'!A:B,2,FALSE)),"Revenue",VLOOKUP(H690,'Exp-Rev Categories'!A:B,2,FALSE)))</f>
        <v>Exp-Goods &amp; Services</v>
      </c>
      <c r="K690" s="2">
        <v>0</v>
      </c>
      <c r="L690" s="3">
        <v>992.88</v>
      </c>
      <c r="M690" s="3">
        <v>0</v>
      </c>
      <c r="N690" s="3">
        <v>-992.88</v>
      </c>
      <c r="O690" s="3">
        <v>0</v>
      </c>
      <c r="P690" s="2" t="s">
        <v>243</v>
      </c>
    </row>
    <row r="691" spans="1:16">
      <c r="A691" s="2" t="s">
        <v>280</v>
      </c>
      <c r="B691" s="2" t="s">
        <v>1</v>
      </c>
      <c r="C691" s="2" t="s">
        <v>2</v>
      </c>
      <c r="D691" s="2" t="s">
        <v>168</v>
      </c>
      <c r="E691" s="4" t="str">
        <f t="shared" si="10"/>
        <v>2443 - NATURAL RESRCS ASSN</v>
      </c>
      <c r="F691" s="2" t="s">
        <v>267</v>
      </c>
      <c r="J691" s="5" t="str">
        <f>IF(H691="",VLOOKUP(LEFT(F691,1),'Exp-Rev Categories'!A:B,2,FALSE),IF(ISNA(VLOOKUP(H691,'Exp-Rev Categories'!A:B,2,FALSE)),"Revenue",VLOOKUP(H691,'Exp-Rev Categories'!A:B,2,FALSE)))</f>
        <v>Exp-Travel</v>
      </c>
      <c r="K691" s="2">
        <v>0</v>
      </c>
      <c r="L691" s="3">
        <v>0</v>
      </c>
      <c r="M691" s="3">
        <v>0</v>
      </c>
      <c r="N691" s="3">
        <v>0</v>
      </c>
      <c r="O691" s="3">
        <v>0</v>
      </c>
      <c r="P691" s="2" t="s">
        <v>243</v>
      </c>
    </row>
    <row r="692" spans="1:16">
      <c r="A692" s="2" t="s">
        <v>280</v>
      </c>
      <c r="B692" s="2" t="s">
        <v>1</v>
      </c>
      <c r="C692" s="2" t="s">
        <v>2</v>
      </c>
      <c r="D692" s="2" t="s">
        <v>391</v>
      </c>
      <c r="E692" s="4" t="str">
        <f t="shared" si="10"/>
        <v>2444 - PRE-ENGLISH MAJOR CL</v>
      </c>
      <c r="H692" s="2" t="s">
        <v>43</v>
      </c>
      <c r="J692" s="5" t="str">
        <f>IF(H692="",VLOOKUP(LEFT(F692,1),'Exp-Rev Categories'!A:B,2,FALSE),IF(ISNA(VLOOKUP(H692,'Exp-Rev Categories'!A:B,2,FALSE)),"Revenue",VLOOKUP(H692,'Exp-Rev Categories'!A:B,2,FALSE)))</f>
        <v>Rev-Intra-Fund Transfer</v>
      </c>
      <c r="K692" s="2">
        <v>0</v>
      </c>
      <c r="L692" s="3">
        <v>0</v>
      </c>
      <c r="M692" s="3">
        <v>0</v>
      </c>
      <c r="N692" s="3">
        <v>0</v>
      </c>
      <c r="O692" s="3">
        <v>0</v>
      </c>
      <c r="P692" s="2" t="s">
        <v>392</v>
      </c>
    </row>
    <row r="693" spans="1:16">
      <c r="A693" s="2" t="s">
        <v>280</v>
      </c>
      <c r="B693" s="2" t="s">
        <v>1</v>
      </c>
      <c r="C693" s="2" t="s">
        <v>2</v>
      </c>
      <c r="D693" s="2" t="s">
        <v>244</v>
      </c>
      <c r="E693" s="4" t="str">
        <f t="shared" si="10"/>
        <v>2445 - DANCE CLUB</v>
      </c>
      <c r="F693" s="2" t="s">
        <v>29</v>
      </c>
      <c r="J693" s="5" t="str">
        <f>IF(H693="",VLOOKUP(LEFT(F693,1),'Exp-Rev Categories'!A:B,2,FALSE),IF(ISNA(VLOOKUP(H693,'Exp-Rev Categories'!A:B,2,FALSE)),"Revenue",VLOOKUP(H693,'Exp-Rev Categories'!A:B,2,FALSE)))</f>
        <v>Exp-Goods &amp; Services</v>
      </c>
      <c r="K693" s="2">
        <v>250</v>
      </c>
      <c r="L693" s="3">
        <v>0</v>
      </c>
      <c r="M693" s="3">
        <v>0</v>
      </c>
      <c r="N693" s="3">
        <v>250</v>
      </c>
      <c r="O693" s="3">
        <v>0</v>
      </c>
      <c r="P693" s="2" t="s">
        <v>245</v>
      </c>
    </row>
    <row r="694" spans="1:16">
      <c r="A694" s="2" t="s">
        <v>280</v>
      </c>
      <c r="B694" s="2" t="s">
        <v>1</v>
      </c>
      <c r="C694" s="2" t="s">
        <v>2</v>
      </c>
      <c r="D694" s="2" t="s">
        <v>169</v>
      </c>
      <c r="E694" s="4" t="str">
        <f t="shared" si="10"/>
        <v>2446 - NATL ASSC LEGAL SECR</v>
      </c>
      <c r="H694" s="2" t="s">
        <v>51</v>
      </c>
      <c r="J694" s="5" t="str">
        <f>IF(H694="",VLOOKUP(LEFT(F694,1),'Exp-Rev Categories'!A:B,2,FALSE),IF(ISNA(VLOOKUP(H694,'Exp-Rev Categories'!A:B,2,FALSE)),"Revenue",VLOOKUP(H694,'Exp-Rev Categories'!A:B,2,FALSE)))</f>
        <v>Revenue</v>
      </c>
      <c r="K694" s="2">
        <v>0</v>
      </c>
      <c r="L694" s="3">
        <v>0</v>
      </c>
      <c r="M694" s="3">
        <v>0</v>
      </c>
      <c r="N694" s="3">
        <v>0</v>
      </c>
      <c r="O694" s="3">
        <v>0</v>
      </c>
      <c r="P694" s="2" t="s">
        <v>246</v>
      </c>
    </row>
    <row r="695" spans="1:16">
      <c r="A695" s="2" t="s">
        <v>280</v>
      </c>
      <c r="B695" s="2" t="s">
        <v>1</v>
      </c>
      <c r="C695" s="2" t="s">
        <v>2</v>
      </c>
      <c r="D695" s="2" t="s">
        <v>169</v>
      </c>
      <c r="E695" s="4" t="str">
        <f t="shared" si="10"/>
        <v>2446 - NATL ASSC LEGAL SECR</v>
      </c>
      <c r="H695" s="2" t="s">
        <v>51</v>
      </c>
      <c r="I695" s="2" t="s">
        <v>170</v>
      </c>
      <c r="J695" s="5" t="str">
        <f>IF(H695="",VLOOKUP(LEFT(F695,1),'Exp-Rev Categories'!A:B,2,FALSE),IF(ISNA(VLOOKUP(H695,'Exp-Rev Categories'!A:B,2,FALSE)),"Revenue",VLOOKUP(H695,'Exp-Rev Categories'!A:B,2,FALSE)))</f>
        <v>Revenue</v>
      </c>
      <c r="K695" s="2">
        <v>0</v>
      </c>
      <c r="L695" s="3">
        <v>-562.32000000000005</v>
      </c>
      <c r="M695" s="3">
        <v>0</v>
      </c>
      <c r="N695" s="3">
        <v>562.32000000000005</v>
      </c>
      <c r="O695" s="3">
        <v>0</v>
      </c>
      <c r="P695" s="2" t="s">
        <v>246</v>
      </c>
    </row>
    <row r="696" spans="1:16">
      <c r="A696" s="2" t="s">
        <v>280</v>
      </c>
      <c r="B696" s="2" t="s">
        <v>1</v>
      </c>
      <c r="C696" s="2" t="s">
        <v>2</v>
      </c>
      <c r="D696" s="2" t="s">
        <v>169</v>
      </c>
      <c r="E696" s="4" t="str">
        <f t="shared" si="10"/>
        <v>2446 - NATL ASSC LEGAL SECR</v>
      </c>
      <c r="H696" s="2" t="s">
        <v>43</v>
      </c>
      <c r="J696" s="5" t="str">
        <f>IF(H696="",VLOOKUP(LEFT(F696,1),'Exp-Rev Categories'!A:B,2,FALSE),IF(ISNA(VLOOKUP(H696,'Exp-Rev Categories'!A:B,2,FALSE)),"Revenue",VLOOKUP(H696,'Exp-Rev Categories'!A:B,2,FALSE)))</f>
        <v>Rev-Intra-Fund Transfer</v>
      </c>
      <c r="K696" s="2">
        <v>0</v>
      </c>
      <c r="L696" s="3">
        <v>-752</v>
      </c>
      <c r="M696" s="3">
        <v>0</v>
      </c>
      <c r="N696" s="3">
        <v>752</v>
      </c>
      <c r="O696" s="3">
        <v>0</v>
      </c>
      <c r="P696" s="2" t="s">
        <v>246</v>
      </c>
    </row>
    <row r="697" spans="1:16">
      <c r="A697" s="2" t="s">
        <v>280</v>
      </c>
      <c r="B697" s="2" t="s">
        <v>1</v>
      </c>
      <c r="C697" s="2" t="s">
        <v>2</v>
      </c>
      <c r="D697" s="2" t="s">
        <v>169</v>
      </c>
      <c r="E697" s="4" t="str">
        <f t="shared" si="10"/>
        <v>2446 - NATL ASSC LEGAL SECR</v>
      </c>
      <c r="F697" s="2" t="s">
        <v>265</v>
      </c>
      <c r="J697" s="5" t="str">
        <f>IF(H697="",VLOOKUP(LEFT(F697,1),'Exp-Rev Categories'!A:B,2,FALSE),IF(ISNA(VLOOKUP(H697,'Exp-Rev Categories'!A:B,2,FALSE)),"Revenue",VLOOKUP(H697,'Exp-Rev Categories'!A:B,2,FALSE)))</f>
        <v>Exp-Benefits</v>
      </c>
      <c r="K697" s="2">
        <v>0</v>
      </c>
      <c r="L697" s="3">
        <v>0</v>
      </c>
      <c r="M697" s="3">
        <v>0</v>
      </c>
      <c r="N697" s="3">
        <v>0</v>
      </c>
      <c r="O697" s="3">
        <v>0</v>
      </c>
      <c r="P697" s="2" t="s">
        <v>246</v>
      </c>
    </row>
    <row r="698" spans="1:16">
      <c r="A698" s="2" t="s">
        <v>280</v>
      </c>
      <c r="B698" s="2" t="s">
        <v>1</v>
      </c>
      <c r="C698" s="2" t="s">
        <v>2</v>
      </c>
      <c r="D698" s="2" t="s">
        <v>169</v>
      </c>
      <c r="E698" s="4" t="str">
        <f t="shared" si="10"/>
        <v>2446 - NATL ASSC LEGAL SECR</v>
      </c>
      <c r="F698" s="2" t="s">
        <v>29</v>
      </c>
      <c r="J698" s="5" t="str">
        <f>IF(H698="",VLOOKUP(LEFT(F698,1),'Exp-Rev Categories'!A:B,2,FALSE),IF(ISNA(VLOOKUP(H698,'Exp-Rev Categories'!A:B,2,FALSE)),"Revenue",VLOOKUP(H698,'Exp-Rev Categories'!A:B,2,FALSE)))</f>
        <v>Exp-Goods &amp; Services</v>
      </c>
      <c r="K698" s="2">
        <v>5382</v>
      </c>
      <c r="L698" s="3">
        <v>0</v>
      </c>
      <c r="M698" s="3">
        <v>0</v>
      </c>
      <c r="N698" s="3">
        <v>5382</v>
      </c>
      <c r="O698" s="3">
        <v>0</v>
      </c>
      <c r="P698" s="2" t="s">
        <v>246</v>
      </c>
    </row>
    <row r="699" spans="1:16">
      <c r="A699" s="2" t="s">
        <v>280</v>
      </c>
      <c r="B699" s="2" t="s">
        <v>1</v>
      </c>
      <c r="C699" s="2" t="s">
        <v>2</v>
      </c>
      <c r="D699" s="2" t="s">
        <v>169</v>
      </c>
      <c r="E699" s="4" t="str">
        <f t="shared" si="10"/>
        <v>2446 - NATL ASSC LEGAL SECR</v>
      </c>
      <c r="F699" s="2" t="s">
        <v>23</v>
      </c>
      <c r="G699" s="2" t="s">
        <v>24</v>
      </c>
      <c r="J699" s="5" t="str">
        <f>IF(H699="",VLOOKUP(LEFT(F699,1),'Exp-Rev Categories'!A:B,2,FALSE),IF(ISNA(VLOOKUP(H699,'Exp-Rev Categories'!A:B,2,FALSE)),"Revenue",VLOOKUP(H699,'Exp-Rev Categories'!A:B,2,FALSE)))</f>
        <v>Exp-Goods &amp; Services</v>
      </c>
      <c r="K699" s="2">
        <v>0</v>
      </c>
      <c r="L699" s="3">
        <v>15.32</v>
      </c>
      <c r="M699" s="3">
        <v>0</v>
      </c>
      <c r="N699" s="3">
        <v>-15.32</v>
      </c>
      <c r="O699" s="3">
        <v>0</v>
      </c>
      <c r="P699" s="2" t="s">
        <v>246</v>
      </c>
    </row>
    <row r="700" spans="1:16">
      <c r="A700" s="2" t="s">
        <v>280</v>
      </c>
      <c r="B700" s="2" t="s">
        <v>1</v>
      </c>
      <c r="C700" s="2" t="s">
        <v>2</v>
      </c>
      <c r="D700" s="2" t="s">
        <v>169</v>
      </c>
      <c r="E700" s="4" t="str">
        <f t="shared" si="10"/>
        <v>2446 - NATL ASSC LEGAL SECR</v>
      </c>
      <c r="F700" s="2" t="s">
        <v>54</v>
      </c>
      <c r="G700" s="2" t="s">
        <v>56</v>
      </c>
      <c r="J700" s="5" t="str">
        <f>IF(H700="",VLOOKUP(LEFT(F700,1),'Exp-Rev Categories'!A:B,2,FALSE),IF(ISNA(VLOOKUP(H700,'Exp-Rev Categories'!A:B,2,FALSE)),"Revenue",VLOOKUP(H700,'Exp-Rev Categories'!A:B,2,FALSE)))</f>
        <v>Exp-Goods &amp; Services</v>
      </c>
      <c r="K700" s="2">
        <v>0</v>
      </c>
      <c r="L700" s="3">
        <v>1070</v>
      </c>
      <c r="M700" s="3">
        <v>0</v>
      </c>
      <c r="N700" s="3">
        <v>-1070</v>
      </c>
      <c r="O700" s="3">
        <v>0</v>
      </c>
      <c r="P700" s="2" t="s">
        <v>246</v>
      </c>
    </row>
    <row r="701" spans="1:16">
      <c r="A701" s="2" t="s">
        <v>280</v>
      </c>
      <c r="B701" s="2" t="s">
        <v>1</v>
      </c>
      <c r="C701" s="2" t="s">
        <v>2</v>
      </c>
      <c r="D701" s="2" t="s">
        <v>169</v>
      </c>
      <c r="E701" s="4" t="str">
        <f t="shared" si="10"/>
        <v>2446 - NATL ASSC LEGAL SECR</v>
      </c>
      <c r="F701" s="2" t="s">
        <v>41</v>
      </c>
      <c r="G701" s="2" t="s">
        <v>24</v>
      </c>
      <c r="J701" s="5" t="str">
        <f>IF(H701="",VLOOKUP(LEFT(F701,1),'Exp-Rev Categories'!A:B,2,FALSE),IF(ISNA(VLOOKUP(H701,'Exp-Rev Categories'!A:B,2,FALSE)),"Revenue",VLOOKUP(H701,'Exp-Rev Categories'!A:B,2,FALSE)))</f>
        <v>Exp-Goods &amp; Services</v>
      </c>
      <c r="K701" s="2">
        <v>0</v>
      </c>
      <c r="L701" s="3">
        <v>77</v>
      </c>
      <c r="M701" s="3">
        <v>0</v>
      </c>
      <c r="N701" s="3">
        <v>-77</v>
      </c>
      <c r="O701" s="3">
        <v>0</v>
      </c>
      <c r="P701" s="2" t="s">
        <v>246</v>
      </c>
    </row>
    <row r="702" spans="1:16">
      <c r="A702" s="2" t="s">
        <v>280</v>
      </c>
      <c r="B702" s="2" t="s">
        <v>1</v>
      </c>
      <c r="C702" s="2" t="s">
        <v>2</v>
      </c>
      <c r="D702" s="2" t="s">
        <v>169</v>
      </c>
      <c r="E702" s="4" t="str">
        <f t="shared" si="10"/>
        <v>2446 - NATL ASSC LEGAL SECR</v>
      </c>
      <c r="F702" s="2" t="s">
        <v>41</v>
      </c>
      <c r="G702" s="2" t="s">
        <v>66</v>
      </c>
      <c r="J702" s="5" t="str">
        <f>IF(H702="",VLOOKUP(LEFT(F702,1),'Exp-Rev Categories'!A:B,2,FALSE),IF(ISNA(VLOOKUP(H702,'Exp-Rev Categories'!A:B,2,FALSE)),"Revenue",VLOOKUP(H702,'Exp-Rev Categories'!A:B,2,FALSE)))</f>
        <v>Exp-Goods &amp; Services</v>
      </c>
      <c r="K702" s="2">
        <v>0</v>
      </c>
      <c r="L702" s="3">
        <v>3.2</v>
      </c>
      <c r="M702" s="3">
        <v>0</v>
      </c>
      <c r="N702" s="3">
        <v>-3.2</v>
      </c>
      <c r="O702" s="3">
        <v>0</v>
      </c>
      <c r="P702" s="2" t="s">
        <v>246</v>
      </c>
    </row>
    <row r="703" spans="1:16">
      <c r="A703" s="2" t="s">
        <v>280</v>
      </c>
      <c r="B703" s="2" t="s">
        <v>1</v>
      </c>
      <c r="C703" s="2" t="s">
        <v>2</v>
      </c>
      <c r="D703" s="2" t="s">
        <v>169</v>
      </c>
      <c r="E703" s="4" t="str">
        <f t="shared" si="10"/>
        <v>2446 - NATL ASSC LEGAL SECR</v>
      </c>
      <c r="F703" s="2" t="s">
        <v>41</v>
      </c>
      <c r="G703" s="2" t="s">
        <v>7</v>
      </c>
      <c r="J703" s="5" t="str">
        <f>IF(H703="",VLOOKUP(LEFT(F703,1),'Exp-Rev Categories'!A:B,2,FALSE),IF(ISNA(VLOOKUP(H703,'Exp-Rev Categories'!A:B,2,FALSE)),"Revenue",VLOOKUP(H703,'Exp-Rev Categories'!A:B,2,FALSE)))</f>
        <v>Exp-Goods &amp; Services</v>
      </c>
      <c r="K703" s="2">
        <v>0</v>
      </c>
      <c r="L703" s="3">
        <v>177.44</v>
      </c>
      <c r="M703" s="3">
        <v>0</v>
      </c>
      <c r="N703" s="3">
        <v>-177.44</v>
      </c>
      <c r="O703" s="3">
        <v>0</v>
      </c>
      <c r="P703" s="2" t="s">
        <v>246</v>
      </c>
    </row>
    <row r="704" spans="1:16">
      <c r="A704" s="2" t="s">
        <v>280</v>
      </c>
      <c r="B704" s="2" t="s">
        <v>1</v>
      </c>
      <c r="C704" s="2" t="s">
        <v>2</v>
      </c>
      <c r="D704" s="2" t="s">
        <v>169</v>
      </c>
      <c r="E704" s="4" t="str">
        <f t="shared" si="10"/>
        <v>2446 - NATL ASSC LEGAL SECR</v>
      </c>
      <c r="F704" s="2" t="s">
        <v>267</v>
      </c>
      <c r="J704" s="5" t="str">
        <f>IF(H704="",VLOOKUP(LEFT(F704,1),'Exp-Rev Categories'!A:B,2,FALSE),IF(ISNA(VLOOKUP(H704,'Exp-Rev Categories'!A:B,2,FALSE)),"Revenue",VLOOKUP(H704,'Exp-Rev Categories'!A:B,2,FALSE)))</f>
        <v>Exp-Travel</v>
      </c>
      <c r="K704" s="2">
        <v>0</v>
      </c>
      <c r="L704" s="3">
        <v>0</v>
      </c>
      <c r="M704" s="3">
        <v>0</v>
      </c>
      <c r="N704" s="3">
        <v>0</v>
      </c>
      <c r="O704" s="3">
        <v>0</v>
      </c>
      <c r="P704" s="2" t="s">
        <v>246</v>
      </c>
    </row>
    <row r="705" spans="1:16">
      <c r="A705" s="2" t="s">
        <v>280</v>
      </c>
      <c r="B705" s="2" t="s">
        <v>1</v>
      </c>
      <c r="C705" s="2" t="s">
        <v>2</v>
      </c>
      <c r="D705" s="2" t="s">
        <v>169</v>
      </c>
      <c r="E705" s="4" t="str">
        <f t="shared" si="10"/>
        <v>2446 - NATL ASSC LEGAL SECR</v>
      </c>
      <c r="F705" s="2" t="s">
        <v>44</v>
      </c>
      <c r="G705" s="2" t="s">
        <v>24</v>
      </c>
      <c r="J705" s="5" t="str">
        <f>IF(H705="",VLOOKUP(LEFT(F705,1),'Exp-Rev Categories'!A:B,2,FALSE),IF(ISNA(VLOOKUP(H705,'Exp-Rev Categories'!A:B,2,FALSE)),"Revenue",VLOOKUP(H705,'Exp-Rev Categories'!A:B,2,FALSE)))</f>
        <v>Exp-Travel</v>
      </c>
      <c r="K705" s="2">
        <v>0</v>
      </c>
      <c r="L705" s="3">
        <v>100</v>
      </c>
      <c r="M705" s="3">
        <v>0</v>
      </c>
      <c r="N705" s="3">
        <v>-100</v>
      </c>
      <c r="O705" s="3">
        <v>0</v>
      </c>
      <c r="P705" s="2" t="s">
        <v>246</v>
      </c>
    </row>
    <row r="706" spans="1:16">
      <c r="A706" s="2" t="s">
        <v>280</v>
      </c>
      <c r="B706" s="2" t="s">
        <v>1</v>
      </c>
      <c r="C706" s="2" t="s">
        <v>2</v>
      </c>
      <c r="D706" s="2" t="s">
        <v>169</v>
      </c>
      <c r="E706" s="4" t="str">
        <f t="shared" ref="E706:E769" si="11">D706&amp;" - "&amp;P706</f>
        <v>2446 - NATL ASSC LEGAL SECR</v>
      </c>
      <c r="F706" s="2" t="s">
        <v>59</v>
      </c>
      <c r="G706" s="2" t="s">
        <v>24</v>
      </c>
      <c r="J706" s="5" t="str">
        <f>IF(H706="",VLOOKUP(LEFT(F706,1),'Exp-Rev Categories'!A:B,2,FALSE),IF(ISNA(VLOOKUP(H706,'Exp-Rev Categories'!A:B,2,FALSE)),"Revenue",VLOOKUP(H706,'Exp-Rev Categories'!A:B,2,FALSE)))</f>
        <v>Exp-Travel</v>
      </c>
      <c r="K706" s="2">
        <v>0</v>
      </c>
      <c r="L706" s="3">
        <v>2204.6799999999998</v>
      </c>
      <c r="M706" s="3">
        <v>0</v>
      </c>
      <c r="N706" s="3">
        <v>-2204.6799999999998</v>
      </c>
      <c r="O706" s="3">
        <v>0</v>
      </c>
      <c r="P706" s="2" t="s">
        <v>246</v>
      </c>
    </row>
    <row r="707" spans="1:16">
      <c r="A707" s="2" t="s">
        <v>280</v>
      </c>
      <c r="B707" s="2" t="s">
        <v>1</v>
      </c>
      <c r="C707" s="2" t="s">
        <v>2</v>
      </c>
      <c r="D707" s="2" t="s">
        <v>169</v>
      </c>
      <c r="E707" s="4" t="str">
        <f t="shared" si="11"/>
        <v>2446 - NATL ASSC LEGAL SECR</v>
      </c>
      <c r="F707" s="2" t="s">
        <v>60</v>
      </c>
      <c r="G707" s="2" t="s">
        <v>24</v>
      </c>
      <c r="J707" s="5" t="str">
        <f>IF(H707="",VLOOKUP(LEFT(F707,1),'Exp-Rev Categories'!A:B,2,FALSE),IF(ISNA(VLOOKUP(H707,'Exp-Rev Categories'!A:B,2,FALSE)),"Revenue",VLOOKUP(H707,'Exp-Rev Categories'!A:B,2,FALSE)))</f>
        <v>Exp-Travel</v>
      </c>
      <c r="K707" s="2">
        <v>0</v>
      </c>
      <c r="L707" s="3">
        <v>1312</v>
      </c>
      <c r="M707" s="3">
        <v>0</v>
      </c>
      <c r="N707" s="3">
        <v>-1312</v>
      </c>
      <c r="O707" s="3">
        <v>0</v>
      </c>
      <c r="P707" s="2" t="s">
        <v>246</v>
      </c>
    </row>
    <row r="708" spans="1:16">
      <c r="A708" s="2" t="s">
        <v>280</v>
      </c>
      <c r="B708" s="2" t="s">
        <v>1</v>
      </c>
      <c r="C708" s="2" t="s">
        <v>2</v>
      </c>
      <c r="D708" s="2" t="s">
        <v>169</v>
      </c>
      <c r="E708" s="4" t="str">
        <f t="shared" si="11"/>
        <v>2446 - NATL ASSC LEGAL SECR</v>
      </c>
      <c r="F708" s="2" t="s">
        <v>117</v>
      </c>
      <c r="J708" s="5" t="str">
        <f>IF(H708="",VLOOKUP(LEFT(F708,1),'Exp-Rev Categories'!A:B,2,FALSE),IF(ISNA(VLOOKUP(H708,'Exp-Rev Categories'!A:B,2,FALSE)),"Revenue",VLOOKUP(H708,'Exp-Rev Categories'!A:B,2,FALSE)))</f>
        <v>Exp-Grants/Scholarships</v>
      </c>
      <c r="K708" s="2">
        <v>0</v>
      </c>
      <c r="L708" s="3">
        <v>0</v>
      </c>
      <c r="M708" s="3">
        <v>0</v>
      </c>
      <c r="N708" s="3">
        <v>0</v>
      </c>
      <c r="O708" s="3">
        <v>0</v>
      </c>
      <c r="P708" s="2" t="s">
        <v>246</v>
      </c>
    </row>
    <row r="709" spans="1:16">
      <c r="A709" s="2" t="s">
        <v>280</v>
      </c>
      <c r="B709" s="2" t="s">
        <v>1</v>
      </c>
      <c r="C709" s="2" t="s">
        <v>2</v>
      </c>
      <c r="D709" s="2" t="s">
        <v>171</v>
      </c>
      <c r="E709" s="4" t="str">
        <f t="shared" si="11"/>
        <v>2447 - AMER INST ARCH STDTS</v>
      </c>
      <c r="H709" s="2" t="s">
        <v>51</v>
      </c>
      <c r="J709" s="5" t="str">
        <f>IF(H709="",VLOOKUP(LEFT(F709,1),'Exp-Rev Categories'!A:B,2,FALSE),IF(ISNA(VLOOKUP(H709,'Exp-Rev Categories'!A:B,2,FALSE)),"Revenue",VLOOKUP(H709,'Exp-Rev Categories'!A:B,2,FALSE)))</f>
        <v>Revenue</v>
      </c>
      <c r="K709" s="2">
        <v>0</v>
      </c>
      <c r="L709" s="3">
        <v>0</v>
      </c>
      <c r="M709" s="3">
        <v>0</v>
      </c>
      <c r="N709" s="3">
        <v>0</v>
      </c>
      <c r="O709" s="3">
        <v>0</v>
      </c>
      <c r="P709" s="2" t="s">
        <v>247</v>
      </c>
    </row>
    <row r="710" spans="1:16">
      <c r="A710" s="2" t="s">
        <v>280</v>
      </c>
      <c r="B710" s="2" t="s">
        <v>1</v>
      </c>
      <c r="C710" s="2" t="s">
        <v>2</v>
      </c>
      <c r="D710" s="2" t="s">
        <v>171</v>
      </c>
      <c r="E710" s="4" t="str">
        <f t="shared" si="11"/>
        <v>2447 - AMER INST ARCH STDTS</v>
      </c>
      <c r="H710" s="2" t="s">
        <v>51</v>
      </c>
      <c r="I710" s="2" t="s">
        <v>172</v>
      </c>
      <c r="J710" s="5" t="str">
        <f>IF(H710="",VLOOKUP(LEFT(F710,1),'Exp-Rev Categories'!A:B,2,FALSE),IF(ISNA(VLOOKUP(H710,'Exp-Rev Categories'!A:B,2,FALSE)),"Revenue",VLOOKUP(H710,'Exp-Rev Categories'!A:B,2,FALSE)))</f>
        <v>Revenue</v>
      </c>
      <c r="K710" s="2">
        <v>0</v>
      </c>
      <c r="L710" s="3">
        <v>-309.60000000000002</v>
      </c>
      <c r="M710" s="3">
        <v>0</v>
      </c>
      <c r="N710" s="3">
        <v>309.60000000000002</v>
      </c>
      <c r="O710" s="3">
        <v>0</v>
      </c>
      <c r="P710" s="2" t="s">
        <v>247</v>
      </c>
    </row>
    <row r="711" spans="1:16">
      <c r="A711" s="2" t="s">
        <v>280</v>
      </c>
      <c r="B711" s="2" t="s">
        <v>1</v>
      </c>
      <c r="C711" s="2" t="s">
        <v>2</v>
      </c>
      <c r="D711" s="2" t="s">
        <v>171</v>
      </c>
      <c r="E711" s="4" t="str">
        <f t="shared" si="11"/>
        <v>2447 - AMER INST ARCH STDTS</v>
      </c>
      <c r="H711" s="2" t="s">
        <v>43</v>
      </c>
      <c r="J711" s="5" t="str">
        <f>IF(H711="",VLOOKUP(LEFT(F711,1),'Exp-Rev Categories'!A:B,2,FALSE),IF(ISNA(VLOOKUP(H711,'Exp-Rev Categories'!A:B,2,FALSE)),"Revenue",VLOOKUP(H711,'Exp-Rev Categories'!A:B,2,FALSE)))</f>
        <v>Rev-Intra-Fund Transfer</v>
      </c>
      <c r="K711" s="2">
        <v>0</v>
      </c>
      <c r="L711" s="3">
        <v>0</v>
      </c>
      <c r="M711" s="3">
        <v>0</v>
      </c>
      <c r="N711" s="3">
        <v>0</v>
      </c>
      <c r="O711" s="3">
        <v>0</v>
      </c>
      <c r="P711" s="2" t="s">
        <v>247</v>
      </c>
    </row>
    <row r="712" spans="1:16">
      <c r="A712" s="2" t="s">
        <v>280</v>
      </c>
      <c r="B712" s="2" t="s">
        <v>1</v>
      </c>
      <c r="C712" s="2" t="s">
        <v>2</v>
      </c>
      <c r="D712" s="2" t="s">
        <v>171</v>
      </c>
      <c r="E712" s="4" t="str">
        <f t="shared" si="11"/>
        <v>2447 - AMER INST ARCH STDTS</v>
      </c>
      <c r="F712" s="2" t="s">
        <v>29</v>
      </c>
      <c r="J712" s="5" t="str">
        <f>IF(H712="",VLOOKUP(LEFT(F712,1),'Exp-Rev Categories'!A:B,2,FALSE),IF(ISNA(VLOOKUP(H712,'Exp-Rev Categories'!A:B,2,FALSE)),"Revenue",VLOOKUP(H712,'Exp-Rev Categories'!A:B,2,FALSE)))</f>
        <v>Exp-Goods &amp; Services</v>
      </c>
      <c r="K712" s="2">
        <v>17605</v>
      </c>
      <c r="L712" s="3">
        <v>0</v>
      </c>
      <c r="M712" s="3">
        <v>0</v>
      </c>
      <c r="N712" s="3">
        <v>17605</v>
      </c>
      <c r="O712" s="3">
        <v>0</v>
      </c>
      <c r="P712" s="2" t="s">
        <v>247</v>
      </c>
    </row>
    <row r="713" spans="1:16">
      <c r="A713" s="2" t="s">
        <v>280</v>
      </c>
      <c r="B713" s="2" t="s">
        <v>1</v>
      </c>
      <c r="C713" s="2" t="s">
        <v>2</v>
      </c>
      <c r="D713" s="2" t="s">
        <v>171</v>
      </c>
      <c r="E713" s="4" t="str">
        <f t="shared" si="11"/>
        <v>2447 - AMER INST ARCH STDTS</v>
      </c>
      <c r="F713" s="2" t="s">
        <v>23</v>
      </c>
      <c r="G713" s="2" t="s">
        <v>24</v>
      </c>
      <c r="J713" s="5" t="str">
        <f>IF(H713="",VLOOKUP(LEFT(F713,1),'Exp-Rev Categories'!A:B,2,FALSE),IF(ISNA(VLOOKUP(H713,'Exp-Rev Categories'!A:B,2,FALSE)),"Revenue",VLOOKUP(H713,'Exp-Rev Categories'!A:B,2,FALSE)))</f>
        <v>Exp-Goods &amp; Services</v>
      </c>
      <c r="K713" s="2">
        <v>0</v>
      </c>
      <c r="L713" s="3">
        <v>182.66</v>
      </c>
      <c r="M713" s="3">
        <v>0</v>
      </c>
      <c r="N713" s="3">
        <v>-182.66</v>
      </c>
      <c r="O713" s="3">
        <v>0</v>
      </c>
      <c r="P713" s="2" t="s">
        <v>247</v>
      </c>
    </row>
    <row r="714" spans="1:16">
      <c r="A714" s="2" t="s">
        <v>280</v>
      </c>
      <c r="B714" s="2" t="s">
        <v>1</v>
      </c>
      <c r="C714" s="2" t="s">
        <v>2</v>
      </c>
      <c r="D714" s="2" t="s">
        <v>171</v>
      </c>
      <c r="E714" s="4" t="str">
        <f t="shared" si="11"/>
        <v>2447 - AMER INST ARCH STDTS</v>
      </c>
      <c r="F714" s="2" t="s">
        <v>54</v>
      </c>
      <c r="G714" s="2" t="s">
        <v>24</v>
      </c>
      <c r="J714" s="5" t="str">
        <f>IF(H714="",VLOOKUP(LEFT(F714,1),'Exp-Rev Categories'!A:B,2,FALSE),IF(ISNA(VLOOKUP(H714,'Exp-Rev Categories'!A:B,2,FALSE)),"Revenue",VLOOKUP(H714,'Exp-Rev Categories'!A:B,2,FALSE)))</f>
        <v>Exp-Goods &amp; Services</v>
      </c>
      <c r="K714" s="2">
        <v>0</v>
      </c>
      <c r="L714" s="3">
        <v>312</v>
      </c>
      <c r="M714" s="3">
        <v>0</v>
      </c>
      <c r="N714" s="3">
        <v>-312</v>
      </c>
      <c r="O714" s="3">
        <v>0</v>
      </c>
      <c r="P714" s="2" t="s">
        <v>247</v>
      </c>
    </row>
    <row r="715" spans="1:16">
      <c r="A715" s="2" t="s">
        <v>280</v>
      </c>
      <c r="B715" s="2" t="s">
        <v>1</v>
      </c>
      <c r="C715" s="2" t="s">
        <v>2</v>
      </c>
      <c r="D715" s="2" t="s">
        <v>171</v>
      </c>
      <c r="E715" s="4" t="str">
        <f t="shared" si="11"/>
        <v>2447 - AMER INST ARCH STDTS</v>
      </c>
      <c r="F715" s="2" t="s">
        <v>54</v>
      </c>
      <c r="G715" s="2" t="s">
        <v>56</v>
      </c>
      <c r="J715" s="5" t="str">
        <f>IF(H715="",VLOOKUP(LEFT(F715,1),'Exp-Rev Categories'!A:B,2,FALSE),IF(ISNA(VLOOKUP(H715,'Exp-Rev Categories'!A:B,2,FALSE)),"Revenue",VLOOKUP(H715,'Exp-Rev Categories'!A:B,2,FALSE)))</f>
        <v>Exp-Goods &amp; Services</v>
      </c>
      <c r="K715" s="2">
        <v>0</v>
      </c>
      <c r="L715" s="3">
        <v>360</v>
      </c>
      <c r="M715" s="3">
        <v>0</v>
      </c>
      <c r="N715" s="3">
        <v>-360</v>
      </c>
      <c r="O715" s="3">
        <v>0</v>
      </c>
      <c r="P715" s="2" t="s">
        <v>247</v>
      </c>
    </row>
    <row r="716" spans="1:16">
      <c r="A716" s="2" t="s">
        <v>280</v>
      </c>
      <c r="B716" s="2" t="s">
        <v>1</v>
      </c>
      <c r="C716" s="2" t="s">
        <v>2</v>
      </c>
      <c r="D716" s="2" t="s">
        <v>171</v>
      </c>
      <c r="E716" s="4" t="str">
        <f t="shared" si="11"/>
        <v>2447 - AMER INST ARCH STDTS</v>
      </c>
      <c r="F716" s="2" t="s">
        <v>41</v>
      </c>
      <c r="G716" s="2" t="s">
        <v>24</v>
      </c>
      <c r="J716" s="5" t="str">
        <f>IF(H716="",VLOOKUP(LEFT(F716,1),'Exp-Rev Categories'!A:B,2,FALSE),IF(ISNA(VLOOKUP(H716,'Exp-Rev Categories'!A:B,2,FALSE)),"Revenue",VLOOKUP(H716,'Exp-Rev Categories'!A:B,2,FALSE)))</f>
        <v>Exp-Goods &amp; Services</v>
      </c>
      <c r="K716" s="2">
        <v>0</v>
      </c>
      <c r="L716" s="3">
        <v>753.51</v>
      </c>
      <c r="M716" s="3">
        <v>0</v>
      </c>
      <c r="N716" s="3">
        <v>-753.51</v>
      </c>
      <c r="O716" s="3">
        <v>0</v>
      </c>
      <c r="P716" s="2" t="s">
        <v>247</v>
      </c>
    </row>
    <row r="717" spans="1:16">
      <c r="A717" s="2" t="s">
        <v>280</v>
      </c>
      <c r="B717" s="2" t="s">
        <v>1</v>
      </c>
      <c r="C717" s="2" t="s">
        <v>2</v>
      </c>
      <c r="D717" s="2" t="s">
        <v>171</v>
      </c>
      <c r="E717" s="4" t="str">
        <f t="shared" si="11"/>
        <v>2447 - AMER INST ARCH STDTS</v>
      </c>
      <c r="F717" s="2" t="s">
        <v>41</v>
      </c>
      <c r="G717" s="2" t="s">
        <v>7</v>
      </c>
      <c r="J717" s="5" t="str">
        <f>IF(H717="",VLOOKUP(LEFT(F717,1),'Exp-Rev Categories'!A:B,2,FALSE),IF(ISNA(VLOOKUP(H717,'Exp-Rev Categories'!A:B,2,FALSE)),"Revenue",VLOOKUP(H717,'Exp-Rev Categories'!A:B,2,FALSE)))</f>
        <v>Exp-Goods &amp; Services</v>
      </c>
      <c r="K717" s="2">
        <v>0</v>
      </c>
      <c r="L717" s="3">
        <v>969.49</v>
      </c>
      <c r="M717" s="3">
        <v>0</v>
      </c>
      <c r="N717" s="3">
        <v>-969.49</v>
      </c>
      <c r="O717" s="3">
        <v>0</v>
      </c>
      <c r="P717" s="2" t="s">
        <v>247</v>
      </c>
    </row>
    <row r="718" spans="1:16">
      <c r="A718" s="2" t="s">
        <v>280</v>
      </c>
      <c r="B718" s="2" t="s">
        <v>1</v>
      </c>
      <c r="C718" s="2" t="s">
        <v>2</v>
      </c>
      <c r="D718" s="2" t="s">
        <v>171</v>
      </c>
      <c r="E718" s="4" t="str">
        <f t="shared" si="11"/>
        <v>2447 - AMER INST ARCH STDTS</v>
      </c>
      <c r="F718" s="2" t="s">
        <v>41</v>
      </c>
      <c r="G718" s="2" t="s">
        <v>64</v>
      </c>
      <c r="J718" s="5" t="str">
        <f>IF(H718="",VLOOKUP(LEFT(F718,1),'Exp-Rev Categories'!A:B,2,FALSE),IF(ISNA(VLOOKUP(H718,'Exp-Rev Categories'!A:B,2,FALSE)),"Revenue",VLOOKUP(H718,'Exp-Rev Categories'!A:B,2,FALSE)))</f>
        <v>Exp-Goods &amp; Services</v>
      </c>
      <c r="K718" s="2">
        <v>0</v>
      </c>
      <c r="L718" s="3">
        <v>800</v>
      </c>
      <c r="M718" s="3">
        <v>0</v>
      </c>
      <c r="N718" s="3">
        <v>-800</v>
      </c>
      <c r="O718" s="3">
        <v>0</v>
      </c>
      <c r="P718" s="2" t="s">
        <v>247</v>
      </c>
    </row>
    <row r="719" spans="1:16">
      <c r="A719" s="2" t="s">
        <v>280</v>
      </c>
      <c r="B719" s="2" t="s">
        <v>1</v>
      </c>
      <c r="C719" s="2" t="s">
        <v>2</v>
      </c>
      <c r="D719" s="2" t="s">
        <v>171</v>
      </c>
      <c r="E719" s="4" t="str">
        <f t="shared" si="11"/>
        <v>2447 - AMER INST ARCH STDTS</v>
      </c>
      <c r="F719" s="2" t="s">
        <v>267</v>
      </c>
      <c r="J719" s="5" t="str">
        <f>IF(H719="",VLOOKUP(LEFT(F719,1),'Exp-Rev Categories'!A:B,2,FALSE),IF(ISNA(VLOOKUP(H719,'Exp-Rev Categories'!A:B,2,FALSE)),"Revenue",VLOOKUP(H719,'Exp-Rev Categories'!A:B,2,FALSE)))</f>
        <v>Exp-Travel</v>
      </c>
      <c r="K719" s="2">
        <v>0</v>
      </c>
      <c r="L719" s="3">
        <v>0</v>
      </c>
      <c r="M719" s="3">
        <v>0</v>
      </c>
      <c r="N719" s="3">
        <v>0</v>
      </c>
      <c r="O719" s="3">
        <v>0</v>
      </c>
      <c r="P719" s="2" t="s">
        <v>247</v>
      </c>
    </row>
    <row r="720" spans="1:16">
      <c r="A720" s="2" t="s">
        <v>280</v>
      </c>
      <c r="B720" s="2" t="s">
        <v>1</v>
      </c>
      <c r="C720" s="2" t="s">
        <v>2</v>
      </c>
      <c r="D720" s="2" t="s">
        <v>171</v>
      </c>
      <c r="E720" s="4" t="str">
        <f t="shared" si="11"/>
        <v>2447 - AMER INST ARCH STDTS</v>
      </c>
      <c r="F720" s="2" t="s">
        <v>67</v>
      </c>
      <c r="G720" s="2" t="s">
        <v>24</v>
      </c>
      <c r="J720" s="5" t="str">
        <f>IF(H720="",VLOOKUP(LEFT(F720,1),'Exp-Rev Categories'!A:B,2,FALSE),IF(ISNA(VLOOKUP(H720,'Exp-Rev Categories'!A:B,2,FALSE)),"Revenue",VLOOKUP(H720,'Exp-Rev Categories'!A:B,2,FALSE)))</f>
        <v>Exp-Travel</v>
      </c>
      <c r="K720" s="2">
        <v>0</v>
      </c>
      <c r="L720" s="3">
        <v>0</v>
      </c>
      <c r="M720" s="3">
        <v>0</v>
      </c>
      <c r="N720" s="3">
        <v>0</v>
      </c>
      <c r="O720" s="3">
        <v>0</v>
      </c>
      <c r="P720" s="2" t="s">
        <v>247</v>
      </c>
    </row>
    <row r="721" spans="1:16">
      <c r="A721" s="2" t="s">
        <v>280</v>
      </c>
      <c r="B721" s="2" t="s">
        <v>1</v>
      </c>
      <c r="C721" s="2" t="s">
        <v>2</v>
      </c>
      <c r="D721" s="2" t="s">
        <v>171</v>
      </c>
      <c r="E721" s="4" t="str">
        <f t="shared" si="11"/>
        <v>2447 - AMER INST ARCH STDTS</v>
      </c>
      <c r="F721" s="2" t="s">
        <v>87</v>
      </c>
      <c r="G721" s="2" t="s">
        <v>24</v>
      </c>
      <c r="J721" s="5" t="str">
        <f>IF(H721="",VLOOKUP(LEFT(F721,1),'Exp-Rev Categories'!A:B,2,FALSE),IF(ISNA(VLOOKUP(H721,'Exp-Rev Categories'!A:B,2,FALSE)),"Revenue",VLOOKUP(H721,'Exp-Rev Categories'!A:B,2,FALSE)))</f>
        <v>Exp-Travel</v>
      </c>
      <c r="K721" s="2">
        <v>0</v>
      </c>
      <c r="L721" s="3">
        <v>3106.2</v>
      </c>
      <c r="M721" s="3">
        <v>0</v>
      </c>
      <c r="N721" s="3">
        <v>-3106.2</v>
      </c>
      <c r="O721" s="3">
        <v>0</v>
      </c>
      <c r="P721" s="2" t="s">
        <v>247</v>
      </c>
    </row>
    <row r="722" spans="1:16">
      <c r="A722" s="2" t="s">
        <v>280</v>
      </c>
      <c r="B722" s="2" t="s">
        <v>1</v>
      </c>
      <c r="C722" s="2" t="s">
        <v>2</v>
      </c>
      <c r="D722" s="2" t="s">
        <v>171</v>
      </c>
      <c r="E722" s="4" t="str">
        <f t="shared" si="11"/>
        <v>2447 - AMER INST ARCH STDTS</v>
      </c>
      <c r="F722" s="2" t="s">
        <v>80</v>
      </c>
      <c r="G722" s="2" t="s">
        <v>21</v>
      </c>
      <c r="J722" s="5" t="str">
        <f>IF(H722="",VLOOKUP(LEFT(F722,1),'Exp-Rev Categories'!A:B,2,FALSE),IF(ISNA(VLOOKUP(H722,'Exp-Rev Categories'!A:B,2,FALSE)),"Revenue",VLOOKUP(H722,'Exp-Rev Categories'!A:B,2,FALSE)))</f>
        <v>Exp-Travel</v>
      </c>
      <c r="K722" s="2">
        <v>0</v>
      </c>
      <c r="L722" s="3">
        <v>0</v>
      </c>
      <c r="M722" s="3">
        <v>0</v>
      </c>
      <c r="N722" s="3">
        <v>0</v>
      </c>
      <c r="O722" s="3">
        <v>0</v>
      </c>
      <c r="P722" s="2" t="s">
        <v>247</v>
      </c>
    </row>
    <row r="723" spans="1:16">
      <c r="A723" s="2" t="s">
        <v>280</v>
      </c>
      <c r="B723" s="2" t="s">
        <v>1</v>
      </c>
      <c r="C723" s="2" t="s">
        <v>2</v>
      </c>
      <c r="D723" s="2" t="s">
        <v>171</v>
      </c>
      <c r="E723" s="4" t="str">
        <f t="shared" si="11"/>
        <v>2447 - AMER INST ARCH STDTS</v>
      </c>
      <c r="F723" s="2" t="s">
        <v>44</v>
      </c>
      <c r="G723" s="2" t="s">
        <v>24</v>
      </c>
      <c r="J723" s="5" t="str">
        <f>IF(H723="",VLOOKUP(LEFT(F723,1),'Exp-Rev Categories'!A:B,2,FALSE),IF(ISNA(VLOOKUP(H723,'Exp-Rev Categories'!A:B,2,FALSE)),"Revenue",VLOOKUP(H723,'Exp-Rev Categories'!A:B,2,FALSE)))</f>
        <v>Exp-Travel</v>
      </c>
      <c r="K723" s="2">
        <v>0</v>
      </c>
      <c r="L723" s="3">
        <v>803.19</v>
      </c>
      <c r="M723" s="3">
        <v>0</v>
      </c>
      <c r="N723" s="3">
        <v>-803.19</v>
      </c>
      <c r="O723" s="3">
        <v>0</v>
      </c>
      <c r="P723" s="2" t="s">
        <v>247</v>
      </c>
    </row>
    <row r="724" spans="1:16">
      <c r="A724" s="2" t="s">
        <v>280</v>
      </c>
      <c r="B724" s="2" t="s">
        <v>1</v>
      </c>
      <c r="C724" s="2" t="s">
        <v>2</v>
      </c>
      <c r="D724" s="2" t="s">
        <v>171</v>
      </c>
      <c r="E724" s="4" t="str">
        <f t="shared" si="11"/>
        <v>2447 - AMER INST ARCH STDTS</v>
      </c>
      <c r="F724" s="2" t="s">
        <v>44</v>
      </c>
      <c r="G724" s="2" t="s">
        <v>58</v>
      </c>
      <c r="J724" s="5" t="str">
        <f>IF(H724="",VLOOKUP(LEFT(F724,1),'Exp-Rev Categories'!A:B,2,FALSE),IF(ISNA(VLOOKUP(H724,'Exp-Rev Categories'!A:B,2,FALSE)),"Revenue",VLOOKUP(H724,'Exp-Rev Categories'!A:B,2,FALSE)))</f>
        <v>Exp-Travel</v>
      </c>
      <c r="K724" s="2">
        <v>0</v>
      </c>
      <c r="L724" s="3">
        <v>219.25</v>
      </c>
      <c r="M724" s="3">
        <v>0</v>
      </c>
      <c r="N724" s="3">
        <v>-219.25</v>
      </c>
      <c r="O724" s="3">
        <v>0</v>
      </c>
      <c r="P724" s="2" t="s">
        <v>247</v>
      </c>
    </row>
    <row r="725" spans="1:16">
      <c r="A725" s="2" t="s">
        <v>280</v>
      </c>
      <c r="B725" s="2" t="s">
        <v>1</v>
      </c>
      <c r="C725" s="2" t="s">
        <v>2</v>
      </c>
      <c r="D725" s="2" t="s">
        <v>171</v>
      </c>
      <c r="E725" s="4" t="str">
        <f t="shared" si="11"/>
        <v>2447 - AMER INST ARCH STDTS</v>
      </c>
      <c r="F725" s="2" t="s">
        <v>59</v>
      </c>
      <c r="G725" s="2" t="s">
        <v>24</v>
      </c>
      <c r="J725" s="5" t="str">
        <f>IF(H725="",VLOOKUP(LEFT(F725,1),'Exp-Rev Categories'!A:B,2,FALSE),IF(ISNA(VLOOKUP(H725,'Exp-Rev Categories'!A:B,2,FALSE)),"Revenue",VLOOKUP(H725,'Exp-Rev Categories'!A:B,2,FALSE)))</f>
        <v>Exp-Travel</v>
      </c>
      <c r="K725" s="2">
        <v>0</v>
      </c>
      <c r="L725" s="3">
        <v>7286.22</v>
      </c>
      <c r="M725" s="3">
        <v>0</v>
      </c>
      <c r="N725" s="3">
        <v>-7286.22</v>
      </c>
      <c r="O725" s="3">
        <v>0</v>
      </c>
      <c r="P725" s="2" t="s">
        <v>247</v>
      </c>
    </row>
    <row r="726" spans="1:16">
      <c r="A726" s="2" t="s">
        <v>280</v>
      </c>
      <c r="B726" s="2" t="s">
        <v>1</v>
      </c>
      <c r="C726" s="2" t="s">
        <v>2</v>
      </c>
      <c r="D726" s="2" t="s">
        <v>171</v>
      </c>
      <c r="E726" s="4" t="str">
        <f t="shared" si="11"/>
        <v>2447 - AMER INST ARCH STDTS</v>
      </c>
      <c r="F726" s="2" t="s">
        <v>60</v>
      </c>
      <c r="G726" s="2" t="s">
        <v>24</v>
      </c>
      <c r="J726" s="5" t="str">
        <f>IF(H726="",VLOOKUP(LEFT(F726,1),'Exp-Rev Categories'!A:B,2,FALSE),IF(ISNA(VLOOKUP(H726,'Exp-Rev Categories'!A:B,2,FALSE)),"Revenue",VLOOKUP(H726,'Exp-Rev Categories'!A:B,2,FALSE)))</f>
        <v>Exp-Travel</v>
      </c>
      <c r="K726" s="2">
        <v>0</v>
      </c>
      <c r="L726" s="3">
        <v>3432.6</v>
      </c>
      <c r="M726" s="3">
        <v>0</v>
      </c>
      <c r="N726" s="3">
        <v>-3432.6</v>
      </c>
      <c r="O726" s="3">
        <v>0</v>
      </c>
      <c r="P726" s="2" t="s">
        <v>247</v>
      </c>
    </row>
    <row r="727" spans="1:16">
      <c r="A727" s="2" t="s">
        <v>280</v>
      </c>
      <c r="B727" s="2" t="s">
        <v>1</v>
      </c>
      <c r="C727" s="2" t="s">
        <v>2</v>
      </c>
      <c r="D727" s="2" t="s">
        <v>393</v>
      </c>
      <c r="E727" s="4" t="str">
        <f t="shared" si="11"/>
        <v>2448 - GEOLOGY LECTURE SER</v>
      </c>
      <c r="F727" s="2" t="s">
        <v>29</v>
      </c>
      <c r="J727" s="5" t="str">
        <f>IF(H727="",VLOOKUP(LEFT(F727,1),'Exp-Rev Categories'!A:B,2,FALSE),IF(ISNA(VLOOKUP(H727,'Exp-Rev Categories'!A:B,2,FALSE)),"Revenue",VLOOKUP(H727,'Exp-Rev Categories'!A:B,2,FALSE)))</f>
        <v>Exp-Goods &amp; Services</v>
      </c>
      <c r="K727" s="2">
        <v>0</v>
      </c>
      <c r="L727" s="3">
        <v>0</v>
      </c>
      <c r="M727" s="3">
        <v>0</v>
      </c>
      <c r="N727" s="3">
        <v>0</v>
      </c>
      <c r="O727" s="3">
        <v>0</v>
      </c>
      <c r="P727" s="2" t="s">
        <v>394</v>
      </c>
    </row>
    <row r="728" spans="1:16">
      <c r="A728" s="2" t="s">
        <v>280</v>
      </c>
      <c r="B728" s="2" t="s">
        <v>1</v>
      </c>
      <c r="C728" s="2" t="s">
        <v>2</v>
      </c>
      <c r="D728" s="2" t="s">
        <v>393</v>
      </c>
      <c r="E728" s="4" t="str">
        <f t="shared" si="11"/>
        <v>2448 - GEOLOGY LECTURE SER</v>
      </c>
      <c r="F728" s="2" t="s">
        <v>267</v>
      </c>
      <c r="J728" s="5" t="str">
        <f>IF(H728="",VLOOKUP(LEFT(F728,1),'Exp-Rev Categories'!A:B,2,FALSE),IF(ISNA(VLOOKUP(H728,'Exp-Rev Categories'!A:B,2,FALSE)),"Revenue",VLOOKUP(H728,'Exp-Rev Categories'!A:B,2,FALSE)))</f>
        <v>Exp-Travel</v>
      </c>
      <c r="K728" s="2">
        <v>0</v>
      </c>
      <c r="L728" s="3">
        <v>0</v>
      </c>
      <c r="M728" s="3">
        <v>0</v>
      </c>
      <c r="N728" s="3">
        <v>0</v>
      </c>
      <c r="O728" s="3">
        <v>0</v>
      </c>
      <c r="P728" s="2" t="s">
        <v>394</v>
      </c>
    </row>
    <row r="729" spans="1:16">
      <c r="A729" s="2" t="s">
        <v>280</v>
      </c>
      <c r="B729" s="2" t="s">
        <v>1</v>
      </c>
      <c r="C729" s="2" t="s">
        <v>2</v>
      </c>
      <c r="D729" s="2" t="s">
        <v>393</v>
      </c>
      <c r="E729" s="4" t="str">
        <f t="shared" si="11"/>
        <v>2448 - GEOLOGY LECTURE SER</v>
      </c>
      <c r="F729" s="2" t="s">
        <v>117</v>
      </c>
      <c r="J729" s="5" t="str">
        <f>IF(H729="",VLOOKUP(LEFT(F729,1),'Exp-Rev Categories'!A:B,2,FALSE),IF(ISNA(VLOOKUP(H729,'Exp-Rev Categories'!A:B,2,FALSE)),"Revenue",VLOOKUP(H729,'Exp-Rev Categories'!A:B,2,FALSE)))</f>
        <v>Exp-Grants/Scholarships</v>
      </c>
      <c r="K729" s="2">
        <v>0</v>
      </c>
      <c r="L729" s="3">
        <v>0</v>
      </c>
      <c r="M729" s="3">
        <v>0</v>
      </c>
      <c r="N729" s="3">
        <v>0</v>
      </c>
      <c r="O729" s="3">
        <v>0</v>
      </c>
      <c r="P729" s="2" t="s">
        <v>394</v>
      </c>
    </row>
    <row r="730" spans="1:16">
      <c r="A730" s="2" t="s">
        <v>280</v>
      </c>
      <c r="B730" s="2" t="s">
        <v>1</v>
      </c>
      <c r="C730" s="2" t="s">
        <v>2</v>
      </c>
      <c r="D730" s="2" t="s">
        <v>173</v>
      </c>
      <c r="E730" s="4" t="str">
        <f t="shared" si="11"/>
        <v>2449 - SASQUAD COMICS</v>
      </c>
      <c r="H730" s="2" t="s">
        <v>51</v>
      </c>
      <c r="I730" s="2" t="s">
        <v>174</v>
      </c>
      <c r="J730" s="5" t="str">
        <f>IF(H730="",VLOOKUP(LEFT(F730,1),'Exp-Rev Categories'!A:B,2,FALSE),IF(ISNA(VLOOKUP(H730,'Exp-Rev Categories'!A:B,2,FALSE)),"Revenue",VLOOKUP(H730,'Exp-Rev Categories'!A:B,2,FALSE)))</f>
        <v>Revenue</v>
      </c>
      <c r="K730" s="2">
        <v>0</v>
      </c>
      <c r="L730" s="3">
        <v>-914.5</v>
      </c>
      <c r="M730" s="3">
        <v>0</v>
      </c>
      <c r="N730" s="3">
        <v>914.5</v>
      </c>
      <c r="O730" s="3">
        <v>0</v>
      </c>
      <c r="P730" s="2" t="s">
        <v>248</v>
      </c>
    </row>
    <row r="731" spans="1:16">
      <c r="A731" s="2" t="s">
        <v>280</v>
      </c>
      <c r="B731" s="2" t="s">
        <v>1</v>
      </c>
      <c r="C731" s="2" t="s">
        <v>2</v>
      </c>
      <c r="D731" s="2" t="s">
        <v>173</v>
      </c>
      <c r="E731" s="4" t="str">
        <f t="shared" si="11"/>
        <v>2449 - SASQUAD COMICS</v>
      </c>
      <c r="H731" s="2" t="s">
        <v>43</v>
      </c>
      <c r="J731" s="5" t="str">
        <f>IF(H731="",VLOOKUP(LEFT(F731,1),'Exp-Rev Categories'!A:B,2,FALSE),IF(ISNA(VLOOKUP(H731,'Exp-Rev Categories'!A:B,2,FALSE)),"Revenue",VLOOKUP(H731,'Exp-Rev Categories'!A:B,2,FALSE)))</f>
        <v>Rev-Intra-Fund Transfer</v>
      </c>
      <c r="K731" s="2">
        <v>0</v>
      </c>
      <c r="L731" s="3">
        <v>-385</v>
      </c>
      <c r="M731" s="3">
        <v>0</v>
      </c>
      <c r="N731" s="3">
        <v>385</v>
      </c>
      <c r="O731" s="3">
        <v>0</v>
      </c>
      <c r="P731" s="2" t="s">
        <v>248</v>
      </c>
    </row>
    <row r="732" spans="1:16">
      <c r="A732" s="2" t="s">
        <v>280</v>
      </c>
      <c r="B732" s="2" t="s">
        <v>1</v>
      </c>
      <c r="C732" s="2" t="s">
        <v>2</v>
      </c>
      <c r="D732" s="2" t="s">
        <v>173</v>
      </c>
      <c r="E732" s="4" t="str">
        <f t="shared" si="11"/>
        <v>2449 - SASQUAD COMICS</v>
      </c>
      <c r="F732" s="2" t="s">
        <v>29</v>
      </c>
      <c r="J732" s="5" t="str">
        <f>IF(H732="",VLOOKUP(LEFT(F732,1),'Exp-Rev Categories'!A:B,2,FALSE),IF(ISNA(VLOOKUP(H732,'Exp-Rev Categories'!A:B,2,FALSE)),"Revenue",VLOOKUP(H732,'Exp-Rev Categories'!A:B,2,FALSE)))</f>
        <v>Exp-Goods &amp; Services</v>
      </c>
      <c r="K732" s="2">
        <v>2000</v>
      </c>
      <c r="L732" s="3">
        <v>0</v>
      </c>
      <c r="M732" s="3">
        <v>0</v>
      </c>
      <c r="N732" s="3">
        <v>2000</v>
      </c>
      <c r="O732" s="3">
        <v>0</v>
      </c>
      <c r="P732" s="2" t="s">
        <v>248</v>
      </c>
    </row>
    <row r="733" spans="1:16">
      <c r="A733" s="2" t="s">
        <v>280</v>
      </c>
      <c r="B733" s="2" t="s">
        <v>1</v>
      </c>
      <c r="C733" s="2" t="s">
        <v>2</v>
      </c>
      <c r="D733" s="2" t="s">
        <v>173</v>
      </c>
      <c r="E733" s="4" t="str">
        <f t="shared" si="11"/>
        <v>2449 - SASQUAD COMICS</v>
      </c>
      <c r="F733" s="2" t="s">
        <v>23</v>
      </c>
      <c r="G733" s="2" t="s">
        <v>24</v>
      </c>
      <c r="J733" s="5" t="str">
        <f>IF(H733="",VLOOKUP(LEFT(F733,1),'Exp-Rev Categories'!A:B,2,FALSE),IF(ISNA(VLOOKUP(H733,'Exp-Rev Categories'!A:B,2,FALSE)),"Revenue",VLOOKUP(H733,'Exp-Rev Categories'!A:B,2,FALSE)))</f>
        <v>Exp-Goods &amp; Services</v>
      </c>
      <c r="K733" s="2">
        <v>0</v>
      </c>
      <c r="L733" s="3">
        <v>972.64</v>
      </c>
      <c r="M733" s="3">
        <v>0</v>
      </c>
      <c r="N733" s="3">
        <v>-972.64</v>
      </c>
      <c r="O733" s="3">
        <v>0</v>
      </c>
      <c r="P733" s="2" t="s">
        <v>248</v>
      </c>
    </row>
    <row r="734" spans="1:16">
      <c r="A734" s="2" t="s">
        <v>280</v>
      </c>
      <c r="B734" s="2" t="s">
        <v>1</v>
      </c>
      <c r="C734" s="2" t="s">
        <v>2</v>
      </c>
      <c r="D734" s="2" t="s">
        <v>173</v>
      </c>
      <c r="E734" s="4" t="str">
        <f t="shared" si="11"/>
        <v>2449 - SASQUAD COMICS</v>
      </c>
      <c r="F734" s="2" t="s">
        <v>41</v>
      </c>
      <c r="G734" s="2" t="s">
        <v>24</v>
      </c>
      <c r="J734" s="5" t="str">
        <f>IF(H734="",VLOOKUP(LEFT(F734,1),'Exp-Rev Categories'!A:B,2,FALSE),IF(ISNA(VLOOKUP(H734,'Exp-Rev Categories'!A:B,2,FALSE)),"Revenue",VLOOKUP(H734,'Exp-Rev Categories'!A:B,2,FALSE)))</f>
        <v>Exp-Goods &amp; Services</v>
      </c>
      <c r="K734" s="2">
        <v>0</v>
      </c>
      <c r="L734" s="3">
        <v>474.75</v>
      </c>
      <c r="M734" s="3">
        <v>0</v>
      </c>
      <c r="N734" s="3">
        <v>-474.75</v>
      </c>
      <c r="O734" s="3">
        <v>0</v>
      </c>
      <c r="P734" s="2" t="s">
        <v>248</v>
      </c>
    </row>
    <row r="735" spans="1:16">
      <c r="A735" s="2" t="s">
        <v>280</v>
      </c>
      <c r="B735" s="2" t="s">
        <v>1</v>
      </c>
      <c r="C735" s="2" t="s">
        <v>2</v>
      </c>
      <c r="D735" s="2" t="s">
        <v>173</v>
      </c>
      <c r="E735" s="4" t="str">
        <f t="shared" si="11"/>
        <v>2449 - SASQUAD COMICS</v>
      </c>
      <c r="F735" s="2" t="s">
        <v>41</v>
      </c>
      <c r="G735" s="2" t="s">
        <v>7</v>
      </c>
      <c r="J735" s="5" t="str">
        <f>IF(H735="",VLOOKUP(LEFT(F735,1),'Exp-Rev Categories'!A:B,2,FALSE),IF(ISNA(VLOOKUP(H735,'Exp-Rev Categories'!A:B,2,FALSE)),"Revenue",VLOOKUP(H735,'Exp-Rev Categories'!A:B,2,FALSE)))</f>
        <v>Exp-Goods &amp; Services</v>
      </c>
      <c r="K735" s="2">
        <v>0</v>
      </c>
      <c r="L735" s="3">
        <v>178.19</v>
      </c>
      <c r="M735" s="3">
        <v>0</v>
      </c>
      <c r="N735" s="3">
        <v>-178.19</v>
      </c>
      <c r="O735" s="3">
        <v>0</v>
      </c>
      <c r="P735" s="2" t="s">
        <v>248</v>
      </c>
    </row>
    <row r="736" spans="1:16">
      <c r="A736" s="2" t="s">
        <v>280</v>
      </c>
      <c r="B736" s="2" t="s">
        <v>1</v>
      </c>
      <c r="C736" s="2" t="s">
        <v>2</v>
      </c>
      <c r="D736" s="2" t="s">
        <v>173</v>
      </c>
      <c r="E736" s="4" t="str">
        <f t="shared" si="11"/>
        <v>2449 - SASQUAD COMICS</v>
      </c>
      <c r="F736" s="2" t="s">
        <v>267</v>
      </c>
      <c r="J736" s="5" t="str">
        <f>IF(H736="",VLOOKUP(LEFT(F736,1),'Exp-Rev Categories'!A:B,2,FALSE),IF(ISNA(VLOOKUP(H736,'Exp-Rev Categories'!A:B,2,FALSE)),"Revenue",VLOOKUP(H736,'Exp-Rev Categories'!A:B,2,FALSE)))</f>
        <v>Exp-Travel</v>
      </c>
      <c r="K736" s="2">
        <v>0</v>
      </c>
      <c r="L736" s="3">
        <v>0</v>
      </c>
      <c r="M736" s="3">
        <v>0</v>
      </c>
      <c r="N736" s="3">
        <v>0</v>
      </c>
      <c r="O736" s="3">
        <v>0</v>
      </c>
      <c r="P736" s="2" t="s">
        <v>248</v>
      </c>
    </row>
    <row r="737" spans="1:16">
      <c r="A737" s="2" t="s">
        <v>280</v>
      </c>
      <c r="B737" s="2" t="s">
        <v>1</v>
      </c>
      <c r="C737" s="2" t="s">
        <v>2</v>
      </c>
      <c r="D737" s="2" t="s">
        <v>173</v>
      </c>
      <c r="E737" s="4" t="str">
        <f t="shared" si="11"/>
        <v>2449 - SASQUAD COMICS</v>
      </c>
      <c r="F737" s="2" t="s">
        <v>87</v>
      </c>
      <c r="G737" s="2" t="s">
        <v>24</v>
      </c>
      <c r="J737" s="5" t="str">
        <f>IF(H737="",VLOOKUP(LEFT(F737,1),'Exp-Rev Categories'!A:B,2,FALSE),IF(ISNA(VLOOKUP(H737,'Exp-Rev Categories'!A:B,2,FALSE)),"Revenue",VLOOKUP(H737,'Exp-Rev Categories'!A:B,2,FALSE)))</f>
        <v>Exp-Travel</v>
      </c>
      <c r="K737" s="2">
        <v>0</v>
      </c>
      <c r="L737" s="3">
        <v>643.6</v>
      </c>
      <c r="M737" s="3">
        <v>0</v>
      </c>
      <c r="N737" s="3">
        <v>-643.6</v>
      </c>
      <c r="O737" s="3">
        <v>0</v>
      </c>
      <c r="P737" s="2" t="s">
        <v>248</v>
      </c>
    </row>
    <row r="738" spans="1:16">
      <c r="A738" s="2" t="s">
        <v>280</v>
      </c>
      <c r="B738" s="2" t="s">
        <v>1</v>
      </c>
      <c r="C738" s="2" t="s">
        <v>2</v>
      </c>
      <c r="D738" s="2" t="s">
        <v>173</v>
      </c>
      <c r="E738" s="4" t="str">
        <f t="shared" si="11"/>
        <v>2449 - SASQUAD COMICS</v>
      </c>
      <c r="F738" s="2" t="s">
        <v>44</v>
      </c>
      <c r="G738" s="2" t="s">
        <v>24</v>
      </c>
      <c r="J738" s="5" t="str">
        <f>IF(H738="",VLOOKUP(LEFT(F738,1),'Exp-Rev Categories'!A:B,2,FALSE),IF(ISNA(VLOOKUP(H738,'Exp-Rev Categories'!A:B,2,FALSE)),"Revenue",VLOOKUP(H738,'Exp-Rev Categories'!A:B,2,FALSE)))</f>
        <v>Exp-Travel</v>
      </c>
      <c r="K738" s="2">
        <v>0</v>
      </c>
      <c r="L738" s="3">
        <v>22</v>
      </c>
      <c r="M738" s="3">
        <v>0</v>
      </c>
      <c r="N738" s="3">
        <v>-22</v>
      </c>
      <c r="O738" s="3">
        <v>0</v>
      </c>
      <c r="P738" s="2" t="s">
        <v>248</v>
      </c>
    </row>
    <row r="739" spans="1:16">
      <c r="A739" s="2" t="s">
        <v>280</v>
      </c>
      <c r="B739" s="2" t="s">
        <v>1</v>
      </c>
      <c r="C739" s="2" t="s">
        <v>2</v>
      </c>
      <c r="D739" s="2" t="s">
        <v>173</v>
      </c>
      <c r="E739" s="4" t="str">
        <f t="shared" si="11"/>
        <v>2449 - SASQUAD COMICS</v>
      </c>
      <c r="F739" s="2" t="s">
        <v>117</v>
      </c>
      <c r="J739" s="5" t="str">
        <f>IF(H739="",VLOOKUP(LEFT(F739,1),'Exp-Rev Categories'!A:B,2,FALSE),IF(ISNA(VLOOKUP(H739,'Exp-Rev Categories'!A:B,2,FALSE)),"Revenue",VLOOKUP(H739,'Exp-Rev Categories'!A:B,2,FALSE)))</f>
        <v>Exp-Grants/Scholarships</v>
      </c>
      <c r="K739" s="2">
        <v>0</v>
      </c>
      <c r="L739" s="3">
        <v>0</v>
      </c>
      <c r="M739" s="3">
        <v>0</v>
      </c>
      <c r="N739" s="3">
        <v>0</v>
      </c>
      <c r="O739" s="3">
        <v>0</v>
      </c>
      <c r="P739" s="2" t="s">
        <v>248</v>
      </c>
    </row>
    <row r="740" spans="1:16">
      <c r="A740" s="2" t="s">
        <v>280</v>
      </c>
      <c r="B740" s="2" t="s">
        <v>1</v>
      </c>
      <c r="C740" s="2" t="s">
        <v>2</v>
      </c>
      <c r="D740" s="2" t="s">
        <v>249</v>
      </c>
      <c r="E740" s="4" t="str">
        <f t="shared" si="11"/>
        <v>2460 - LATTER DAY SAINTS SA</v>
      </c>
      <c r="H740" s="2" t="s">
        <v>43</v>
      </c>
      <c r="J740" s="5" t="str">
        <f>IF(H740="",VLOOKUP(LEFT(F740,1),'Exp-Rev Categories'!A:B,2,FALSE),IF(ISNA(VLOOKUP(H740,'Exp-Rev Categories'!A:B,2,FALSE)),"Revenue",VLOOKUP(H740,'Exp-Rev Categories'!A:B,2,FALSE)))</f>
        <v>Rev-Intra-Fund Transfer</v>
      </c>
      <c r="K740" s="2">
        <v>0</v>
      </c>
      <c r="L740" s="3">
        <v>0</v>
      </c>
      <c r="M740" s="3">
        <v>0</v>
      </c>
      <c r="N740" s="3">
        <v>0</v>
      </c>
      <c r="O740" s="3">
        <v>0</v>
      </c>
      <c r="P740" s="2" t="s">
        <v>250</v>
      </c>
    </row>
    <row r="741" spans="1:16">
      <c r="A741" s="2" t="s">
        <v>280</v>
      </c>
      <c r="B741" s="2" t="s">
        <v>1</v>
      </c>
      <c r="C741" s="2" t="s">
        <v>2</v>
      </c>
      <c r="D741" s="2" t="s">
        <v>249</v>
      </c>
      <c r="E741" s="4" t="str">
        <f t="shared" si="11"/>
        <v>2460 - LATTER DAY SAINTS SA</v>
      </c>
      <c r="F741" s="2" t="s">
        <v>29</v>
      </c>
      <c r="J741" s="5" t="str">
        <f>IF(H741="",VLOOKUP(LEFT(F741,1),'Exp-Rev Categories'!A:B,2,FALSE),IF(ISNA(VLOOKUP(H741,'Exp-Rev Categories'!A:B,2,FALSE)),"Revenue",VLOOKUP(H741,'Exp-Rev Categories'!A:B,2,FALSE)))</f>
        <v>Exp-Goods &amp; Services</v>
      </c>
      <c r="K741" s="2">
        <v>1000</v>
      </c>
      <c r="L741" s="3">
        <v>0</v>
      </c>
      <c r="M741" s="3">
        <v>0</v>
      </c>
      <c r="N741" s="3">
        <v>1000</v>
      </c>
      <c r="O741" s="3">
        <v>0</v>
      </c>
      <c r="P741" s="2" t="s">
        <v>250</v>
      </c>
    </row>
    <row r="742" spans="1:16">
      <c r="A742" s="2" t="s">
        <v>280</v>
      </c>
      <c r="B742" s="2" t="s">
        <v>1</v>
      </c>
      <c r="C742" s="2" t="s">
        <v>2</v>
      </c>
      <c r="D742" s="2" t="s">
        <v>175</v>
      </c>
      <c r="E742" s="4" t="str">
        <f t="shared" si="11"/>
        <v>2461 - LATIN-AMER STDNT ORG</v>
      </c>
      <c r="H742" s="2" t="s">
        <v>51</v>
      </c>
      <c r="I742" s="2" t="s">
        <v>176</v>
      </c>
      <c r="J742" s="5" t="str">
        <f>IF(H742="",VLOOKUP(LEFT(F742,1),'Exp-Rev Categories'!A:B,2,FALSE),IF(ISNA(VLOOKUP(H742,'Exp-Rev Categories'!A:B,2,FALSE)),"Revenue",VLOOKUP(H742,'Exp-Rev Categories'!A:B,2,FALSE)))</f>
        <v>Revenue</v>
      </c>
      <c r="K742" s="2">
        <v>0</v>
      </c>
      <c r="L742" s="3">
        <v>-568.16</v>
      </c>
      <c r="M742" s="3">
        <v>0</v>
      </c>
      <c r="N742" s="3">
        <v>568.16</v>
      </c>
      <c r="O742" s="3">
        <v>0</v>
      </c>
      <c r="P742" s="2" t="s">
        <v>251</v>
      </c>
    </row>
    <row r="743" spans="1:16">
      <c r="A743" s="2" t="s">
        <v>280</v>
      </c>
      <c r="B743" s="2" t="s">
        <v>1</v>
      </c>
      <c r="C743" s="2" t="s">
        <v>2</v>
      </c>
      <c r="D743" s="2" t="s">
        <v>175</v>
      </c>
      <c r="E743" s="4" t="str">
        <f t="shared" si="11"/>
        <v>2461 - LATIN-AMER STDNT ORG</v>
      </c>
      <c r="F743" s="2" t="s">
        <v>29</v>
      </c>
      <c r="J743" s="5" t="str">
        <f>IF(H743="",VLOOKUP(LEFT(F743,1),'Exp-Rev Categories'!A:B,2,FALSE),IF(ISNA(VLOOKUP(H743,'Exp-Rev Categories'!A:B,2,FALSE)),"Revenue",VLOOKUP(H743,'Exp-Rev Categories'!A:B,2,FALSE)))</f>
        <v>Exp-Goods &amp; Services</v>
      </c>
      <c r="K743" s="2">
        <v>12159</v>
      </c>
      <c r="L743" s="3">
        <v>0</v>
      </c>
      <c r="M743" s="3">
        <v>0</v>
      </c>
      <c r="N743" s="3">
        <v>12159</v>
      </c>
      <c r="O743" s="3">
        <v>0</v>
      </c>
      <c r="P743" s="2" t="s">
        <v>251</v>
      </c>
    </row>
    <row r="744" spans="1:16">
      <c r="A744" s="2" t="s">
        <v>280</v>
      </c>
      <c r="B744" s="2" t="s">
        <v>1</v>
      </c>
      <c r="C744" s="2" t="s">
        <v>2</v>
      </c>
      <c r="D744" s="2" t="s">
        <v>175</v>
      </c>
      <c r="E744" s="4" t="str">
        <f t="shared" si="11"/>
        <v>2461 - LATIN-AMER STDNT ORG</v>
      </c>
      <c r="F744" s="2" t="s">
        <v>23</v>
      </c>
      <c r="G744" s="2" t="s">
        <v>24</v>
      </c>
      <c r="J744" s="5" t="str">
        <f>IF(H744="",VLOOKUP(LEFT(F744,1),'Exp-Rev Categories'!A:B,2,FALSE),IF(ISNA(VLOOKUP(H744,'Exp-Rev Categories'!A:B,2,FALSE)),"Revenue",VLOOKUP(H744,'Exp-Rev Categories'!A:B,2,FALSE)))</f>
        <v>Exp-Goods &amp; Services</v>
      </c>
      <c r="K744" s="2">
        <v>0</v>
      </c>
      <c r="L744" s="3">
        <v>787.38</v>
      </c>
      <c r="M744" s="3">
        <v>0</v>
      </c>
      <c r="N744" s="3">
        <v>-787.38</v>
      </c>
      <c r="O744" s="3">
        <v>0</v>
      </c>
      <c r="P744" s="2" t="s">
        <v>251</v>
      </c>
    </row>
    <row r="745" spans="1:16">
      <c r="A745" s="2" t="s">
        <v>280</v>
      </c>
      <c r="B745" s="2" t="s">
        <v>1</v>
      </c>
      <c r="C745" s="2" t="s">
        <v>2</v>
      </c>
      <c r="D745" s="2" t="s">
        <v>175</v>
      </c>
      <c r="E745" s="4" t="str">
        <f t="shared" si="11"/>
        <v>2461 - LATIN-AMER STDNT ORG</v>
      </c>
      <c r="F745" s="2" t="s">
        <v>78</v>
      </c>
      <c r="G745" s="2" t="s">
        <v>24</v>
      </c>
      <c r="J745" s="5" t="str">
        <f>IF(H745="",VLOOKUP(LEFT(F745,1),'Exp-Rev Categories'!A:B,2,FALSE),IF(ISNA(VLOOKUP(H745,'Exp-Rev Categories'!A:B,2,FALSE)),"Revenue",VLOOKUP(H745,'Exp-Rev Categories'!A:B,2,FALSE)))</f>
        <v>Exp-Goods &amp; Services</v>
      </c>
      <c r="K745" s="2">
        <v>0</v>
      </c>
      <c r="L745" s="3">
        <v>380</v>
      </c>
      <c r="M745" s="3">
        <v>0</v>
      </c>
      <c r="N745" s="3">
        <v>-380</v>
      </c>
      <c r="O745" s="3">
        <v>0</v>
      </c>
      <c r="P745" s="2" t="s">
        <v>251</v>
      </c>
    </row>
    <row r="746" spans="1:16">
      <c r="A746" s="2" t="s">
        <v>280</v>
      </c>
      <c r="B746" s="2" t="s">
        <v>1</v>
      </c>
      <c r="C746" s="2" t="s">
        <v>2</v>
      </c>
      <c r="D746" s="2" t="s">
        <v>175</v>
      </c>
      <c r="E746" s="4" t="str">
        <f t="shared" si="11"/>
        <v>2461 - LATIN-AMER STDNT ORG</v>
      </c>
      <c r="F746" s="2" t="s">
        <v>54</v>
      </c>
      <c r="G746" s="2" t="s">
        <v>56</v>
      </c>
      <c r="J746" s="5" t="str">
        <f>IF(H746="",VLOOKUP(LEFT(F746,1),'Exp-Rev Categories'!A:B,2,FALSE),IF(ISNA(VLOOKUP(H746,'Exp-Rev Categories'!A:B,2,FALSE)),"Revenue",VLOOKUP(H746,'Exp-Rev Categories'!A:B,2,FALSE)))</f>
        <v>Exp-Goods &amp; Services</v>
      </c>
      <c r="K746" s="2">
        <v>0</v>
      </c>
      <c r="L746" s="3">
        <v>637.5</v>
      </c>
      <c r="M746" s="3">
        <v>0</v>
      </c>
      <c r="N746" s="3">
        <v>-637.5</v>
      </c>
      <c r="O746" s="3">
        <v>0</v>
      </c>
      <c r="P746" s="2" t="s">
        <v>251</v>
      </c>
    </row>
    <row r="747" spans="1:16">
      <c r="A747" s="2" t="s">
        <v>280</v>
      </c>
      <c r="B747" s="2" t="s">
        <v>1</v>
      </c>
      <c r="C747" s="2" t="s">
        <v>2</v>
      </c>
      <c r="D747" s="2" t="s">
        <v>175</v>
      </c>
      <c r="E747" s="4" t="str">
        <f t="shared" si="11"/>
        <v>2461 - LATIN-AMER STDNT ORG</v>
      </c>
      <c r="F747" s="2" t="s">
        <v>154</v>
      </c>
      <c r="G747" s="2" t="s">
        <v>24</v>
      </c>
      <c r="J747" s="5" t="str">
        <f>IF(H747="",VLOOKUP(LEFT(F747,1),'Exp-Rev Categories'!A:B,2,FALSE),IF(ISNA(VLOOKUP(H747,'Exp-Rev Categories'!A:B,2,FALSE)),"Revenue",VLOOKUP(H747,'Exp-Rev Categories'!A:B,2,FALSE)))</f>
        <v>Exp-Goods &amp; Services</v>
      </c>
      <c r="K747" s="2">
        <v>0</v>
      </c>
      <c r="L747" s="3">
        <v>17.39</v>
      </c>
      <c r="M747" s="3">
        <v>0</v>
      </c>
      <c r="N747" s="3">
        <v>-17.39</v>
      </c>
      <c r="O747" s="3">
        <v>0</v>
      </c>
      <c r="P747" s="2" t="s">
        <v>251</v>
      </c>
    </row>
    <row r="748" spans="1:16">
      <c r="A748" s="2" t="s">
        <v>280</v>
      </c>
      <c r="B748" s="2" t="s">
        <v>1</v>
      </c>
      <c r="C748" s="2" t="s">
        <v>2</v>
      </c>
      <c r="D748" s="2" t="s">
        <v>175</v>
      </c>
      <c r="E748" s="4" t="str">
        <f t="shared" si="11"/>
        <v>2461 - LATIN-AMER STDNT ORG</v>
      </c>
      <c r="F748" s="2" t="s">
        <v>41</v>
      </c>
      <c r="G748" s="2" t="s">
        <v>24</v>
      </c>
      <c r="J748" s="5" t="str">
        <f>IF(H748="",VLOOKUP(LEFT(F748,1),'Exp-Rev Categories'!A:B,2,FALSE),IF(ISNA(VLOOKUP(H748,'Exp-Rev Categories'!A:B,2,FALSE)),"Revenue",VLOOKUP(H748,'Exp-Rev Categories'!A:B,2,FALSE)))</f>
        <v>Exp-Goods &amp; Services</v>
      </c>
      <c r="K748" s="2">
        <v>0</v>
      </c>
      <c r="L748" s="3">
        <v>97.83</v>
      </c>
      <c r="M748" s="3">
        <v>0</v>
      </c>
      <c r="N748" s="3">
        <v>-97.83</v>
      </c>
      <c r="O748" s="3">
        <v>0</v>
      </c>
      <c r="P748" s="2" t="s">
        <v>251</v>
      </c>
    </row>
    <row r="749" spans="1:16">
      <c r="A749" s="2" t="s">
        <v>280</v>
      </c>
      <c r="B749" s="2" t="s">
        <v>1</v>
      </c>
      <c r="C749" s="2" t="s">
        <v>2</v>
      </c>
      <c r="D749" s="2" t="s">
        <v>175</v>
      </c>
      <c r="E749" s="4" t="str">
        <f t="shared" si="11"/>
        <v>2461 - LATIN-AMER STDNT ORG</v>
      </c>
      <c r="F749" s="2" t="s">
        <v>41</v>
      </c>
      <c r="G749" s="2" t="s">
        <v>7</v>
      </c>
      <c r="J749" s="5" t="str">
        <f>IF(H749="",VLOOKUP(LEFT(F749,1),'Exp-Rev Categories'!A:B,2,FALSE),IF(ISNA(VLOOKUP(H749,'Exp-Rev Categories'!A:B,2,FALSE)),"Revenue",VLOOKUP(H749,'Exp-Rev Categories'!A:B,2,FALSE)))</f>
        <v>Exp-Goods &amp; Services</v>
      </c>
      <c r="K749" s="2">
        <v>0</v>
      </c>
      <c r="L749" s="3">
        <v>3074.55</v>
      </c>
      <c r="M749" s="3">
        <v>0</v>
      </c>
      <c r="N749" s="3">
        <v>-3074.55</v>
      </c>
      <c r="O749" s="3">
        <v>0</v>
      </c>
      <c r="P749" s="2" t="s">
        <v>251</v>
      </c>
    </row>
    <row r="750" spans="1:16">
      <c r="A750" s="2" t="s">
        <v>280</v>
      </c>
      <c r="B750" s="2" t="s">
        <v>1</v>
      </c>
      <c r="C750" s="2" t="s">
        <v>2</v>
      </c>
      <c r="D750" s="2" t="s">
        <v>175</v>
      </c>
      <c r="E750" s="4" t="str">
        <f t="shared" si="11"/>
        <v>2461 - LATIN-AMER STDNT ORG</v>
      </c>
      <c r="F750" s="2" t="s">
        <v>267</v>
      </c>
      <c r="J750" s="5" t="str">
        <f>IF(H750="",VLOOKUP(LEFT(F750,1),'Exp-Rev Categories'!A:B,2,FALSE),IF(ISNA(VLOOKUP(H750,'Exp-Rev Categories'!A:B,2,FALSE)),"Revenue",VLOOKUP(H750,'Exp-Rev Categories'!A:B,2,FALSE)))</f>
        <v>Exp-Travel</v>
      </c>
      <c r="K750" s="2">
        <v>0</v>
      </c>
      <c r="L750" s="3">
        <v>0</v>
      </c>
      <c r="M750" s="3">
        <v>0</v>
      </c>
      <c r="N750" s="3">
        <v>0</v>
      </c>
      <c r="O750" s="3">
        <v>0</v>
      </c>
      <c r="P750" s="2" t="s">
        <v>251</v>
      </c>
    </row>
    <row r="751" spans="1:16">
      <c r="A751" s="2" t="s">
        <v>280</v>
      </c>
      <c r="B751" s="2" t="s">
        <v>1</v>
      </c>
      <c r="C751" s="2" t="s">
        <v>2</v>
      </c>
      <c r="D751" s="2" t="s">
        <v>175</v>
      </c>
      <c r="E751" s="4" t="str">
        <f t="shared" si="11"/>
        <v>2461 - LATIN-AMER STDNT ORG</v>
      </c>
      <c r="F751" s="2" t="s">
        <v>67</v>
      </c>
      <c r="G751" s="2" t="s">
        <v>24</v>
      </c>
      <c r="J751" s="5" t="str">
        <f>IF(H751="",VLOOKUP(LEFT(F751,1),'Exp-Rev Categories'!A:B,2,FALSE),IF(ISNA(VLOOKUP(H751,'Exp-Rev Categories'!A:B,2,FALSE)),"Revenue",VLOOKUP(H751,'Exp-Rev Categories'!A:B,2,FALSE)))</f>
        <v>Exp-Travel</v>
      </c>
      <c r="K751" s="2">
        <v>0</v>
      </c>
      <c r="L751" s="3">
        <v>394.52</v>
      </c>
      <c r="M751" s="3">
        <v>0</v>
      </c>
      <c r="N751" s="3">
        <v>-394.52</v>
      </c>
      <c r="O751" s="3">
        <v>0</v>
      </c>
      <c r="P751" s="2" t="s">
        <v>251</v>
      </c>
    </row>
    <row r="752" spans="1:16">
      <c r="A752" s="2" t="s">
        <v>280</v>
      </c>
      <c r="B752" s="2" t="s">
        <v>1</v>
      </c>
      <c r="C752" s="2" t="s">
        <v>2</v>
      </c>
      <c r="D752" s="2" t="s">
        <v>175</v>
      </c>
      <c r="E752" s="4" t="str">
        <f t="shared" si="11"/>
        <v>2461 - LATIN-AMER STDNT ORG</v>
      </c>
      <c r="F752" s="2" t="s">
        <v>87</v>
      </c>
      <c r="G752" s="2" t="s">
        <v>24</v>
      </c>
      <c r="J752" s="5" t="str">
        <f>IF(H752="",VLOOKUP(LEFT(F752,1),'Exp-Rev Categories'!A:B,2,FALSE),IF(ISNA(VLOOKUP(H752,'Exp-Rev Categories'!A:B,2,FALSE)),"Revenue",VLOOKUP(H752,'Exp-Rev Categories'!A:B,2,FALSE)))</f>
        <v>Exp-Travel</v>
      </c>
      <c r="K752" s="2">
        <v>0</v>
      </c>
      <c r="L752" s="3">
        <v>209.8</v>
      </c>
      <c r="M752" s="3">
        <v>0</v>
      </c>
      <c r="N752" s="3">
        <v>-209.8</v>
      </c>
      <c r="O752" s="3">
        <v>0</v>
      </c>
      <c r="P752" s="2" t="s">
        <v>251</v>
      </c>
    </row>
    <row r="753" spans="1:16">
      <c r="A753" s="2" t="s">
        <v>280</v>
      </c>
      <c r="B753" s="2" t="s">
        <v>1</v>
      </c>
      <c r="C753" s="2" t="s">
        <v>2</v>
      </c>
      <c r="D753" s="2" t="s">
        <v>175</v>
      </c>
      <c r="E753" s="4" t="str">
        <f t="shared" si="11"/>
        <v>2461 - LATIN-AMER STDNT ORG</v>
      </c>
      <c r="F753" s="2" t="s">
        <v>44</v>
      </c>
      <c r="G753" s="2" t="s">
        <v>24</v>
      </c>
      <c r="J753" s="5" t="str">
        <f>IF(H753="",VLOOKUP(LEFT(F753,1),'Exp-Rev Categories'!A:B,2,FALSE),IF(ISNA(VLOOKUP(H753,'Exp-Rev Categories'!A:B,2,FALSE)),"Revenue",VLOOKUP(H753,'Exp-Rev Categories'!A:B,2,FALSE)))</f>
        <v>Exp-Travel</v>
      </c>
      <c r="K753" s="2">
        <v>0</v>
      </c>
      <c r="L753" s="3">
        <v>22</v>
      </c>
      <c r="M753" s="3">
        <v>0</v>
      </c>
      <c r="N753" s="3">
        <v>-22</v>
      </c>
      <c r="O753" s="3">
        <v>0</v>
      </c>
      <c r="P753" s="2" t="s">
        <v>251</v>
      </c>
    </row>
    <row r="754" spans="1:16">
      <c r="A754" s="2" t="s">
        <v>280</v>
      </c>
      <c r="B754" s="2" t="s">
        <v>1</v>
      </c>
      <c r="C754" s="2" t="s">
        <v>2</v>
      </c>
      <c r="D754" s="2" t="s">
        <v>175</v>
      </c>
      <c r="E754" s="4" t="str">
        <f t="shared" si="11"/>
        <v>2461 - LATIN-AMER STDNT ORG</v>
      </c>
      <c r="F754" s="2" t="s">
        <v>44</v>
      </c>
      <c r="G754" s="2" t="s">
        <v>66</v>
      </c>
      <c r="J754" s="5" t="str">
        <f>IF(H754="",VLOOKUP(LEFT(F754,1),'Exp-Rev Categories'!A:B,2,FALSE),IF(ISNA(VLOOKUP(H754,'Exp-Rev Categories'!A:B,2,FALSE)),"Revenue",VLOOKUP(H754,'Exp-Rev Categories'!A:B,2,FALSE)))</f>
        <v>Exp-Travel</v>
      </c>
      <c r="K754" s="2">
        <v>0</v>
      </c>
      <c r="L754" s="3">
        <v>70</v>
      </c>
      <c r="M754" s="3">
        <v>0</v>
      </c>
      <c r="N754" s="3">
        <v>-70</v>
      </c>
      <c r="O754" s="3">
        <v>0</v>
      </c>
      <c r="P754" s="2" t="s">
        <v>251</v>
      </c>
    </row>
    <row r="755" spans="1:16">
      <c r="A755" s="2" t="s">
        <v>280</v>
      </c>
      <c r="B755" s="2" t="s">
        <v>1</v>
      </c>
      <c r="C755" s="2" t="s">
        <v>2</v>
      </c>
      <c r="D755" s="2" t="s">
        <v>175</v>
      </c>
      <c r="E755" s="4" t="str">
        <f t="shared" si="11"/>
        <v>2461 - LATIN-AMER STDNT ORG</v>
      </c>
      <c r="F755" s="2" t="s">
        <v>44</v>
      </c>
      <c r="G755" s="2" t="s">
        <v>7</v>
      </c>
      <c r="J755" s="5" t="str">
        <f>IF(H755="",VLOOKUP(LEFT(F755,1),'Exp-Rev Categories'!A:B,2,FALSE),IF(ISNA(VLOOKUP(H755,'Exp-Rev Categories'!A:B,2,FALSE)),"Revenue",VLOOKUP(H755,'Exp-Rev Categories'!A:B,2,FALSE)))</f>
        <v>Exp-Travel</v>
      </c>
      <c r="K755" s="2">
        <v>0</v>
      </c>
      <c r="L755" s="3">
        <v>50.34</v>
      </c>
      <c r="M755" s="3">
        <v>0</v>
      </c>
      <c r="N755" s="3">
        <v>-50.34</v>
      </c>
      <c r="O755" s="3">
        <v>0</v>
      </c>
      <c r="P755" s="2" t="s">
        <v>251</v>
      </c>
    </row>
    <row r="756" spans="1:16">
      <c r="A756" s="2" t="s">
        <v>280</v>
      </c>
      <c r="B756" s="2" t="s">
        <v>1</v>
      </c>
      <c r="C756" s="2" t="s">
        <v>2</v>
      </c>
      <c r="D756" s="2" t="s">
        <v>175</v>
      </c>
      <c r="E756" s="4" t="str">
        <f t="shared" si="11"/>
        <v>2461 - LATIN-AMER STDNT ORG</v>
      </c>
      <c r="F756" s="2" t="s">
        <v>117</v>
      </c>
      <c r="J756" s="5" t="str">
        <f>IF(H756="",VLOOKUP(LEFT(F756,1),'Exp-Rev Categories'!A:B,2,FALSE),IF(ISNA(VLOOKUP(H756,'Exp-Rev Categories'!A:B,2,FALSE)),"Revenue",VLOOKUP(H756,'Exp-Rev Categories'!A:B,2,FALSE)))</f>
        <v>Exp-Grants/Scholarships</v>
      </c>
      <c r="K756" s="2">
        <v>0</v>
      </c>
      <c r="L756" s="3">
        <v>0</v>
      </c>
      <c r="M756" s="3">
        <v>0</v>
      </c>
      <c r="N756" s="3">
        <v>0</v>
      </c>
      <c r="O756" s="3">
        <v>0</v>
      </c>
      <c r="P756" s="2" t="s">
        <v>251</v>
      </c>
    </row>
    <row r="757" spans="1:16">
      <c r="A757" s="2" t="s">
        <v>280</v>
      </c>
      <c r="B757" s="2" t="s">
        <v>1</v>
      </c>
      <c r="C757" s="2" t="s">
        <v>2</v>
      </c>
      <c r="D757" s="2" t="s">
        <v>175</v>
      </c>
      <c r="E757" s="4" t="str">
        <f t="shared" si="11"/>
        <v>2461 - LATIN-AMER STDNT ORG</v>
      </c>
      <c r="F757" s="2" t="s">
        <v>117</v>
      </c>
      <c r="G757" s="2" t="s">
        <v>24</v>
      </c>
      <c r="J757" s="5" t="str">
        <f>IF(H757="",VLOOKUP(LEFT(F757,1),'Exp-Rev Categories'!A:B,2,FALSE),IF(ISNA(VLOOKUP(H757,'Exp-Rev Categories'!A:B,2,FALSE)),"Revenue",VLOOKUP(H757,'Exp-Rev Categories'!A:B,2,FALSE)))</f>
        <v>Exp-Grants/Scholarships</v>
      </c>
      <c r="K757" s="2">
        <v>0</v>
      </c>
      <c r="L757" s="3">
        <v>1500</v>
      </c>
      <c r="M757" s="3">
        <v>0</v>
      </c>
      <c r="N757" s="3">
        <v>-1500</v>
      </c>
      <c r="O757" s="3">
        <v>0</v>
      </c>
      <c r="P757" s="2" t="s">
        <v>251</v>
      </c>
    </row>
    <row r="758" spans="1:16">
      <c r="A758" s="2" t="s">
        <v>280</v>
      </c>
      <c r="B758" s="2" t="s">
        <v>1</v>
      </c>
      <c r="C758" s="2" t="s">
        <v>2</v>
      </c>
      <c r="D758" s="2" t="s">
        <v>177</v>
      </c>
      <c r="E758" s="4" t="str">
        <f t="shared" si="11"/>
        <v>2462 - INTRNTL STUDENT ORG</v>
      </c>
      <c r="H758" s="2" t="s">
        <v>51</v>
      </c>
      <c r="I758" s="2" t="s">
        <v>178</v>
      </c>
      <c r="J758" s="5" t="str">
        <f>IF(H758="",VLOOKUP(LEFT(F758,1),'Exp-Rev Categories'!A:B,2,FALSE),IF(ISNA(VLOOKUP(H758,'Exp-Rev Categories'!A:B,2,FALSE)),"Revenue",VLOOKUP(H758,'Exp-Rev Categories'!A:B,2,FALSE)))</f>
        <v>Revenue</v>
      </c>
      <c r="K758" s="2">
        <v>0</v>
      </c>
      <c r="L758" s="3">
        <v>-750</v>
      </c>
      <c r="M758" s="3">
        <v>0</v>
      </c>
      <c r="N758" s="3">
        <v>750</v>
      </c>
      <c r="O758" s="3">
        <v>0</v>
      </c>
      <c r="P758" s="2" t="s">
        <v>252</v>
      </c>
    </row>
    <row r="759" spans="1:16">
      <c r="A759" s="2" t="s">
        <v>280</v>
      </c>
      <c r="B759" s="2" t="s">
        <v>1</v>
      </c>
      <c r="C759" s="2" t="s">
        <v>2</v>
      </c>
      <c r="D759" s="2" t="s">
        <v>177</v>
      </c>
      <c r="E759" s="4" t="str">
        <f t="shared" si="11"/>
        <v>2462 - INTRNTL STUDENT ORG</v>
      </c>
      <c r="H759" s="2" t="s">
        <v>43</v>
      </c>
      <c r="J759" s="5" t="str">
        <f>IF(H759="",VLOOKUP(LEFT(F759,1),'Exp-Rev Categories'!A:B,2,FALSE),IF(ISNA(VLOOKUP(H759,'Exp-Rev Categories'!A:B,2,FALSE)),"Revenue",VLOOKUP(H759,'Exp-Rev Categories'!A:B,2,FALSE)))</f>
        <v>Rev-Intra-Fund Transfer</v>
      </c>
      <c r="K759" s="2">
        <v>0</v>
      </c>
      <c r="L759" s="3">
        <v>-89</v>
      </c>
      <c r="M759" s="3">
        <v>0</v>
      </c>
      <c r="N759" s="3">
        <v>89</v>
      </c>
      <c r="O759" s="3">
        <v>0</v>
      </c>
      <c r="P759" s="2" t="s">
        <v>252</v>
      </c>
    </row>
    <row r="760" spans="1:16">
      <c r="A760" s="2" t="s">
        <v>280</v>
      </c>
      <c r="B760" s="2" t="s">
        <v>1</v>
      </c>
      <c r="C760" s="2" t="s">
        <v>2</v>
      </c>
      <c r="D760" s="2" t="s">
        <v>177</v>
      </c>
      <c r="E760" s="4" t="str">
        <f t="shared" si="11"/>
        <v>2462 - INTRNTL STUDENT ORG</v>
      </c>
      <c r="F760" s="2" t="s">
        <v>29</v>
      </c>
      <c r="J760" s="5" t="str">
        <f>IF(H760="",VLOOKUP(LEFT(F760,1),'Exp-Rev Categories'!A:B,2,FALSE),IF(ISNA(VLOOKUP(H760,'Exp-Rev Categories'!A:B,2,FALSE)),"Revenue",VLOOKUP(H760,'Exp-Rev Categories'!A:B,2,FALSE)))</f>
        <v>Exp-Goods &amp; Services</v>
      </c>
      <c r="K760" s="2">
        <v>3250</v>
      </c>
      <c r="L760" s="3">
        <v>0</v>
      </c>
      <c r="M760" s="3">
        <v>0</v>
      </c>
      <c r="N760" s="3">
        <v>3250</v>
      </c>
      <c r="O760" s="3">
        <v>0</v>
      </c>
      <c r="P760" s="2" t="s">
        <v>252</v>
      </c>
    </row>
    <row r="761" spans="1:16">
      <c r="A761" s="2" t="s">
        <v>280</v>
      </c>
      <c r="B761" s="2" t="s">
        <v>1</v>
      </c>
      <c r="C761" s="2" t="s">
        <v>2</v>
      </c>
      <c r="D761" s="2" t="s">
        <v>177</v>
      </c>
      <c r="E761" s="4" t="str">
        <f t="shared" si="11"/>
        <v>2462 - INTRNTL STUDENT ORG</v>
      </c>
      <c r="F761" s="2" t="s">
        <v>23</v>
      </c>
      <c r="G761" s="2" t="s">
        <v>24</v>
      </c>
      <c r="J761" s="5" t="str">
        <f>IF(H761="",VLOOKUP(LEFT(F761,1),'Exp-Rev Categories'!A:B,2,FALSE),IF(ISNA(VLOOKUP(H761,'Exp-Rev Categories'!A:B,2,FALSE)),"Revenue",VLOOKUP(H761,'Exp-Rev Categories'!A:B,2,FALSE)))</f>
        <v>Exp-Goods &amp; Services</v>
      </c>
      <c r="K761" s="2">
        <v>0</v>
      </c>
      <c r="L761" s="3">
        <v>97.83</v>
      </c>
      <c r="M761" s="3">
        <v>0</v>
      </c>
      <c r="N761" s="3">
        <v>-97.83</v>
      </c>
      <c r="O761" s="3">
        <v>0</v>
      </c>
      <c r="P761" s="2" t="s">
        <v>252</v>
      </c>
    </row>
    <row r="762" spans="1:16">
      <c r="A762" s="2" t="s">
        <v>280</v>
      </c>
      <c r="B762" s="2" t="s">
        <v>1</v>
      </c>
      <c r="C762" s="2" t="s">
        <v>2</v>
      </c>
      <c r="D762" s="2" t="s">
        <v>177</v>
      </c>
      <c r="E762" s="4" t="str">
        <f t="shared" si="11"/>
        <v>2462 - INTRNTL STUDENT ORG</v>
      </c>
      <c r="F762" s="2" t="s">
        <v>54</v>
      </c>
      <c r="G762" s="2" t="s">
        <v>56</v>
      </c>
      <c r="J762" s="5" t="str">
        <f>IF(H762="",VLOOKUP(LEFT(F762,1),'Exp-Rev Categories'!A:B,2,FALSE),IF(ISNA(VLOOKUP(H762,'Exp-Rev Categories'!A:B,2,FALSE)),"Revenue",VLOOKUP(H762,'Exp-Rev Categories'!A:B,2,FALSE)))</f>
        <v>Exp-Goods &amp; Services</v>
      </c>
      <c r="K762" s="2">
        <v>0</v>
      </c>
      <c r="L762" s="3">
        <v>237.27</v>
      </c>
      <c r="M762" s="3">
        <v>0</v>
      </c>
      <c r="N762" s="3">
        <v>-237.27</v>
      </c>
      <c r="O762" s="3">
        <v>0</v>
      </c>
      <c r="P762" s="2" t="s">
        <v>252</v>
      </c>
    </row>
    <row r="763" spans="1:16">
      <c r="A763" s="2" t="s">
        <v>280</v>
      </c>
      <c r="B763" s="2" t="s">
        <v>1</v>
      </c>
      <c r="C763" s="2" t="s">
        <v>2</v>
      </c>
      <c r="D763" s="2" t="s">
        <v>177</v>
      </c>
      <c r="E763" s="4" t="str">
        <f t="shared" si="11"/>
        <v>2462 - INTRNTL STUDENT ORG</v>
      </c>
      <c r="F763" s="2" t="s">
        <v>41</v>
      </c>
      <c r="G763" s="2" t="s">
        <v>24</v>
      </c>
      <c r="J763" s="5" t="str">
        <f>IF(H763="",VLOOKUP(LEFT(F763,1),'Exp-Rev Categories'!A:B,2,FALSE),IF(ISNA(VLOOKUP(H763,'Exp-Rev Categories'!A:B,2,FALSE)),"Revenue",VLOOKUP(H763,'Exp-Rev Categories'!A:B,2,FALSE)))</f>
        <v>Exp-Goods &amp; Services</v>
      </c>
      <c r="K763" s="2">
        <v>0</v>
      </c>
      <c r="L763" s="3">
        <v>901.86</v>
      </c>
      <c r="M763" s="3">
        <v>0</v>
      </c>
      <c r="N763" s="3">
        <v>-901.86</v>
      </c>
      <c r="O763" s="3">
        <v>0</v>
      </c>
      <c r="P763" s="2" t="s">
        <v>252</v>
      </c>
    </row>
    <row r="764" spans="1:16">
      <c r="A764" s="2" t="s">
        <v>280</v>
      </c>
      <c r="B764" s="2" t="s">
        <v>1</v>
      </c>
      <c r="C764" s="2" t="s">
        <v>2</v>
      </c>
      <c r="D764" s="2" t="s">
        <v>177</v>
      </c>
      <c r="E764" s="4" t="str">
        <f t="shared" si="11"/>
        <v>2462 - INTRNTL STUDENT ORG</v>
      </c>
      <c r="F764" s="2" t="s">
        <v>41</v>
      </c>
      <c r="G764" s="2" t="s">
        <v>7</v>
      </c>
      <c r="J764" s="5" t="str">
        <f>IF(H764="",VLOOKUP(LEFT(F764,1),'Exp-Rev Categories'!A:B,2,FALSE),IF(ISNA(VLOOKUP(H764,'Exp-Rev Categories'!A:B,2,FALSE)),"Revenue",VLOOKUP(H764,'Exp-Rev Categories'!A:B,2,FALSE)))</f>
        <v>Exp-Goods &amp; Services</v>
      </c>
      <c r="K764" s="2">
        <v>0</v>
      </c>
      <c r="L764" s="3">
        <v>605.61</v>
      </c>
      <c r="M764" s="3">
        <v>0</v>
      </c>
      <c r="N764" s="3">
        <v>-605.61</v>
      </c>
      <c r="O764" s="3">
        <v>0</v>
      </c>
      <c r="P764" s="2" t="s">
        <v>252</v>
      </c>
    </row>
    <row r="765" spans="1:16">
      <c r="A765" s="2" t="s">
        <v>280</v>
      </c>
      <c r="B765" s="2" t="s">
        <v>1</v>
      </c>
      <c r="C765" s="2" t="s">
        <v>2</v>
      </c>
      <c r="D765" s="2" t="s">
        <v>177</v>
      </c>
      <c r="E765" s="4" t="str">
        <f t="shared" si="11"/>
        <v>2462 - INTRNTL STUDENT ORG</v>
      </c>
      <c r="F765" s="2" t="s">
        <v>267</v>
      </c>
      <c r="J765" s="5" t="str">
        <f>IF(H765="",VLOOKUP(LEFT(F765,1),'Exp-Rev Categories'!A:B,2,FALSE),IF(ISNA(VLOOKUP(H765,'Exp-Rev Categories'!A:B,2,FALSE)),"Revenue",VLOOKUP(H765,'Exp-Rev Categories'!A:B,2,FALSE)))</f>
        <v>Exp-Travel</v>
      </c>
      <c r="K765" s="2">
        <v>0</v>
      </c>
      <c r="L765" s="3">
        <v>0</v>
      </c>
      <c r="M765" s="3">
        <v>0</v>
      </c>
      <c r="N765" s="3">
        <v>0</v>
      </c>
      <c r="O765" s="3">
        <v>0</v>
      </c>
      <c r="P765" s="2" t="s">
        <v>252</v>
      </c>
    </row>
    <row r="766" spans="1:16">
      <c r="A766" s="2" t="s">
        <v>280</v>
      </c>
      <c r="B766" s="2" t="s">
        <v>1</v>
      </c>
      <c r="C766" s="2" t="s">
        <v>2</v>
      </c>
      <c r="D766" s="2" t="s">
        <v>177</v>
      </c>
      <c r="E766" s="4" t="str">
        <f t="shared" si="11"/>
        <v>2462 - INTRNTL STUDENT ORG</v>
      </c>
      <c r="F766" s="2" t="s">
        <v>44</v>
      </c>
      <c r="G766" s="2" t="s">
        <v>24</v>
      </c>
      <c r="J766" s="5" t="str">
        <f>IF(H766="",VLOOKUP(LEFT(F766,1),'Exp-Rev Categories'!A:B,2,FALSE),IF(ISNA(VLOOKUP(H766,'Exp-Rev Categories'!A:B,2,FALSE)),"Revenue",VLOOKUP(H766,'Exp-Rev Categories'!A:B,2,FALSE)))</f>
        <v>Exp-Travel</v>
      </c>
      <c r="K766" s="2">
        <v>0</v>
      </c>
      <c r="L766" s="3">
        <v>121.31</v>
      </c>
      <c r="M766" s="3">
        <v>0</v>
      </c>
      <c r="N766" s="3">
        <v>-121.31</v>
      </c>
      <c r="O766" s="3">
        <v>0</v>
      </c>
      <c r="P766" s="2" t="s">
        <v>252</v>
      </c>
    </row>
    <row r="767" spans="1:16">
      <c r="A767" s="2" t="s">
        <v>280</v>
      </c>
      <c r="B767" s="2" t="s">
        <v>1</v>
      </c>
      <c r="C767" s="2" t="s">
        <v>2</v>
      </c>
      <c r="D767" s="2" t="s">
        <v>177</v>
      </c>
      <c r="E767" s="4" t="str">
        <f t="shared" si="11"/>
        <v>2462 - INTRNTL STUDENT ORG</v>
      </c>
      <c r="F767" s="2" t="s">
        <v>44</v>
      </c>
      <c r="G767" s="2" t="s">
        <v>7</v>
      </c>
      <c r="J767" s="5" t="str">
        <f>IF(H767="",VLOOKUP(LEFT(F767,1),'Exp-Rev Categories'!A:B,2,FALSE),IF(ISNA(VLOOKUP(H767,'Exp-Rev Categories'!A:B,2,FALSE)),"Revenue",VLOOKUP(H767,'Exp-Rev Categories'!A:B,2,FALSE)))</f>
        <v>Exp-Travel</v>
      </c>
      <c r="K767" s="2">
        <v>0</v>
      </c>
      <c r="L767" s="3">
        <v>711.07</v>
      </c>
      <c r="M767" s="3">
        <v>0</v>
      </c>
      <c r="N767" s="3">
        <v>-711.07</v>
      </c>
      <c r="O767" s="3">
        <v>0</v>
      </c>
      <c r="P767" s="2" t="s">
        <v>252</v>
      </c>
    </row>
    <row r="768" spans="1:16">
      <c r="A768" s="2" t="s">
        <v>280</v>
      </c>
      <c r="B768" s="2" t="s">
        <v>1</v>
      </c>
      <c r="C768" s="2" t="s">
        <v>2</v>
      </c>
      <c r="D768" s="2" t="s">
        <v>177</v>
      </c>
      <c r="E768" s="4" t="str">
        <f t="shared" si="11"/>
        <v>2462 - INTRNTL STUDENT ORG</v>
      </c>
      <c r="F768" s="2" t="s">
        <v>44</v>
      </c>
      <c r="G768" s="2" t="s">
        <v>45</v>
      </c>
      <c r="J768" s="5" t="str">
        <f>IF(H768="",VLOOKUP(LEFT(F768,1),'Exp-Rev Categories'!A:B,2,FALSE),IF(ISNA(VLOOKUP(H768,'Exp-Rev Categories'!A:B,2,FALSE)),"Revenue",VLOOKUP(H768,'Exp-Rev Categories'!A:B,2,FALSE)))</f>
        <v>Exp-Travel</v>
      </c>
      <c r="K768" s="2">
        <v>0</v>
      </c>
      <c r="L768" s="3">
        <v>8</v>
      </c>
      <c r="M768" s="3">
        <v>0</v>
      </c>
      <c r="N768" s="3">
        <v>-8</v>
      </c>
      <c r="O768" s="3">
        <v>0</v>
      </c>
      <c r="P768" s="2" t="s">
        <v>252</v>
      </c>
    </row>
    <row r="769" spans="1:16">
      <c r="A769" s="2" t="s">
        <v>280</v>
      </c>
      <c r="B769" s="2" t="s">
        <v>1</v>
      </c>
      <c r="C769" s="2" t="s">
        <v>2</v>
      </c>
      <c r="D769" s="2" t="s">
        <v>177</v>
      </c>
      <c r="E769" s="4" t="str">
        <f t="shared" si="11"/>
        <v>2462 - INTRNTL STUDENT ORG</v>
      </c>
      <c r="F769" s="2" t="s">
        <v>44</v>
      </c>
      <c r="G769" s="2" t="s">
        <v>65</v>
      </c>
      <c r="J769" s="5" t="str">
        <f>IF(H769="",VLOOKUP(LEFT(F769,1),'Exp-Rev Categories'!A:B,2,FALSE),IF(ISNA(VLOOKUP(H769,'Exp-Rev Categories'!A:B,2,FALSE)),"Revenue",VLOOKUP(H769,'Exp-Rev Categories'!A:B,2,FALSE)))</f>
        <v>Exp-Travel</v>
      </c>
      <c r="K769" s="2">
        <v>0</v>
      </c>
      <c r="L769" s="3">
        <v>257.77999999999997</v>
      </c>
      <c r="M769" s="3">
        <v>0</v>
      </c>
      <c r="N769" s="3">
        <v>-257.77999999999997</v>
      </c>
      <c r="O769" s="3">
        <v>0</v>
      </c>
      <c r="P769" s="2" t="s">
        <v>252</v>
      </c>
    </row>
    <row r="770" spans="1:16">
      <c r="A770" s="2" t="s">
        <v>280</v>
      </c>
      <c r="B770" s="2" t="s">
        <v>1</v>
      </c>
      <c r="C770" s="2" t="s">
        <v>2</v>
      </c>
      <c r="D770" s="2" t="s">
        <v>177</v>
      </c>
      <c r="E770" s="4" t="str">
        <f t="shared" ref="E770:E833" si="12">D770&amp;" - "&amp;P770</f>
        <v>2462 - INTRNTL STUDENT ORG</v>
      </c>
      <c r="F770" s="2" t="s">
        <v>59</v>
      </c>
      <c r="G770" s="2" t="s">
        <v>24</v>
      </c>
      <c r="J770" s="5" t="str">
        <f>IF(H770="",VLOOKUP(LEFT(F770,1),'Exp-Rev Categories'!A:B,2,FALSE),IF(ISNA(VLOOKUP(H770,'Exp-Rev Categories'!A:B,2,FALSE)),"Revenue",VLOOKUP(H770,'Exp-Rev Categories'!A:B,2,FALSE)))</f>
        <v>Exp-Travel</v>
      </c>
      <c r="K770" s="2">
        <v>0</v>
      </c>
      <c r="L770" s="3">
        <v>895.14</v>
      </c>
      <c r="M770" s="3">
        <v>0</v>
      </c>
      <c r="N770" s="3">
        <v>-895.14</v>
      </c>
      <c r="O770" s="3">
        <v>0</v>
      </c>
      <c r="P770" s="2" t="s">
        <v>252</v>
      </c>
    </row>
    <row r="771" spans="1:16">
      <c r="A771" s="2" t="s">
        <v>280</v>
      </c>
      <c r="B771" s="2" t="s">
        <v>1</v>
      </c>
      <c r="C771" s="2" t="s">
        <v>2</v>
      </c>
      <c r="D771" s="2" t="s">
        <v>179</v>
      </c>
      <c r="E771" s="4" t="str">
        <f t="shared" si="12"/>
        <v>2463 - ASIAN PACIFIC ISLNDR</v>
      </c>
      <c r="H771" s="2" t="s">
        <v>51</v>
      </c>
      <c r="I771" s="2" t="s">
        <v>180</v>
      </c>
      <c r="J771" s="5" t="str">
        <f>IF(H771="",VLOOKUP(LEFT(F771,1),'Exp-Rev Categories'!A:B,2,FALSE),IF(ISNA(VLOOKUP(H771,'Exp-Rev Categories'!A:B,2,FALSE)),"Revenue",VLOOKUP(H771,'Exp-Rev Categories'!A:B,2,FALSE)))</f>
        <v>Revenue</v>
      </c>
      <c r="K771" s="2">
        <v>0</v>
      </c>
      <c r="L771" s="3">
        <v>-51.25</v>
      </c>
      <c r="M771" s="3">
        <v>0</v>
      </c>
      <c r="N771" s="3">
        <v>51.25</v>
      </c>
      <c r="O771" s="3">
        <v>0</v>
      </c>
      <c r="P771" s="2" t="s">
        <v>253</v>
      </c>
    </row>
    <row r="772" spans="1:16">
      <c r="A772" s="2" t="s">
        <v>280</v>
      </c>
      <c r="B772" s="2" t="s">
        <v>1</v>
      </c>
      <c r="C772" s="2" t="s">
        <v>2</v>
      </c>
      <c r="D772" s="2" t="s">
        <v>179</v>
      </c>
      <c r="E772" s="4" t="str">
        <f t="shared" si="12"/>
        <v>2463 - ASIAN PACIFIC ISLNDR</v>
      </c>
      <c r="F772" s="2" t="s">
        <v>29</v>
      </c>
      <c r="J772" s="5" t="str">
        <f>IF(H772="",VLOOKUP(LEFT(F772,1),'Exp-Rev Categories'!A:B,2,FALSE),IF(ISNA(VLOOKUP(H772,'Exp-Rev Categories'!A:B,2,FALSE)),"Revenue",VLOOKUP(H772,'Exp-Rev Categories'!A:B,2,FALSE)))</f>
        <v>Exp-Goods &amp; Services</v>
      </c>
      <c r="K772" s="2">
        <v>6300</v>
      </c>
      <c r="L772" s="3">
        <v>0</v>
      </c>
      <c r="M772" s="3">
        <v>0</v>
      </c>
      <c r="N772" s="3">
        <v>6300</v>
      </c>
      <c r="O772" s="3">
        <v>0</v>
      </c>
      <c r="P772" s="2" t="s">
        <v>253</v>
      </c>
    </row>
    <row r="773" spans="1:16">
      <c r="A773" s="2" t="s">
        <v>280</v>
      </c>
      <c r="B773" s="2" t="s">
        <v>1</v>
      </c>
      <c r="C773" s="2" t="s">
        <v>2</v>
      </c>
      <c r="D773" s="2" t="s">
        <v>179</v>
      </c>
      <c r="E773" s="4" t="str">
        <f t="shared" si="12"/>
        <v>2463 - ASIAN PACIFIC ISLNDR</v>
      </c>
      <c r="F773" s="2" t="s">
        <v>23</v>
      </c>
      <c r="G773" s="2" t="s">
        <v>24</v>
      </c>
      <c r="J773" s="5" t="str">
        <f>IF(H773="",VLOOKUP(LEFT(F773,1),'Exp-Rev Categories'!A:B,2,FALSE),IF(ISNA(VLOOKUP(H773,'Exp-Rev Categories'!A:B,2,FALSE)),"Revenue",VLOOKUP(H773,'Exp-Rev Categories'!A:B,2,FALSE)))</f>
        <v>Exp-Goods &amp; Services</v>
      </c>
      <c r="K773" s="2">
        <v>0</v>
      </c>
      <c r="L773" s="3">
        <v>2131.9699999999998</v>
      </c>
      <c r="M773" s="3">
        <v>0</v>
      </c>
      <c r="N773" s="3">
        <v>-2131.9699999999998</v>
      </c>
      <c r="O773" s="3">
        <v>0</v>
      </c>
      <c r="P773" s="2" t="s">
        <v>253</v>
      </c>
    </row>
    <row r="774" spans="1:16">
      <c r="A774" s="2" t="s">
        <v>280</v>
      </c>
      <c r="B774" s="2" t="s">
        <v>1</v>
      </c>
      <c r="C774" s="2" t="s">
        <v>2</v>
      </c>
      <c r="D774" s="2" t="s">
        <v>179</v>
      </c>
      <c r="E774" s="4" t="str">
        <f t="shared" si="12"/>
        <v>2463 - ASIAN PACIFIC ISLNDR</v>
      </c>
      <c r="F774" s="2" t="s">
        <v>41</v>
      </c>
      <c r="G774" s="2" t="s">
        <v>24</v>
      </c>
      <c r="J774" s="5" t="str">
        <f>IF(H774="",VLOOKUP(LEFT(F774,1),'Exp-Rev Categories'!A:B,2,FALSE),IF(ISNA(VLOOKUP(H774,'Exp-Rev Categories'!A:B,2,FALSE)),"Revenue",VLOOKUP(H774,'Exp-Rev Categories'!A:B,2,FALSE)))</f>
        <v>Exp-Goods &amp; Services</v>
      </c>
      <c r="K774" s="2">
        <v>0</v>
      </c>
      <c r="L774" s="3">
        <v>1801.13</v>
      </c>
      <c r="M774" s="3">
        <v>0</v>
      </c>
      <c r="N774" s="3">
        <v>-1801.13</v>
      </c>
      <c r="O774" s="3">
        <v>0</v>
      </c>
      <c r="P774" s="2" t="s">
        <v>253</v>
      </c>
    </row>
    <row r="775" spans="1:16">
      <c r="A775" s="2" t="s">
        <v>280</v>
      </c>
      <c r="B775" s="2" t="s">
        <v>1</v>
      </c>
      <c r="C775" s="2" t="s">
        <v>2</v>
      </c>
      <c r="D775" s="2" t="s">
        <v>179</v>
      </c>
      <c r="E775" s="4" t="str">
        <f t="shared" si="12"/>
        <v>2463 - ASIAN PACIFIC ISLNDR</v>
      </c>
      <c r="F775" s="2" t="s">
        <v>41</v>
      </c>
      <c r="G775" s="2" t="s">
        <v>7</v>
      </c>
      <c r="J775" s="5" t="str">
        <f>IF(H775="",VLOOKUP(LEFT(F775,1),'Exp-Rev Categories'!A:B,2,FALSE),IF(ISNA(VLOOKUP(H775,'Exp-Rev Categories'!A:B,2,FALSE)),"Revenue",VLOOKUP(H775,'Exp-Rev Categories'!A:B,2,FALSE)))</f>
        <v>Exp-Goods &amp; Services</v>
      </c>
      <c r="K775" s="2">
        <v>0</v>
      </c>
      <c r="L775" s="3">
        <v>1711.11</v>
      </c>
      <c r="M775" s="3">
        <v>0</v>
      </c>
      <c r="N775" s="3">
        <v>-1711.11</v>
      </c>
      <c r="O775" s="3">
        <v>0</v>
      </c>
      <c r="P775" s="2" t="s">
        <v>253</v>
      </c>
    </row>
    <row r="776" spans="1:16">
      <c r="A776" s="2" t="s">
        <v>280</v>
      </c>
      <c r="B776" s="2" t="s">
        <v>1</v>
      </c>
      <c r="C776" s="2" t="s">
        <v>2</v>
      </c>
      <c r="D776" s="2" t="s">
        <v>179</v>
      </c>
      <c r="E776" s="4" t="str">
        <f t="shared" si="12"/>
        <v>2463 - ASIAN PACIFIC ISLNDR</v>
      </c>
      <c r="F776" s="2" t="s">
        <v>267</v>
      </c>
      <c r="J776" s="5" t="str">
        <f>IF(H776="",VLOOKUP(LEFT(F776,1),'Exp-Rev Categories'!A:B,2,FALSE),IF(ISNA(VLOOKUP(H776,'Exp-Rev Categories'!A:B,2,FALSE)),"Revenue",VLOOKUP(H776,'Exp-Rev Categories'!A:B,2,FALSE)))</f>
        <v>Exp-Travel</v>
      </c>
      <c r="K776" s="2">
        <v>0</v>
      </c>
      <c r="L776" s="3">
        <v>0</v>
      </c>
      <c r="M776" s="3">
        <v>0</v>
      </c>
      <c r="N776" s="3">
        <v>0</v>
      </c>
      <c r="O776" s="3">
        <v>0</v>
      </c>
      <c r="P776" s="2" t="s">
        <v>253</v>
      </c>
    </row>
    <row r="777" spans="1:16">
      <c r="A777" s="2" t="s">
        <v>280</v>
      </c>
      <c r="B777" s="2" t="s">
        <v>1</v>
      </c>
      <c r="C777" s="2" t="s">
        <v>2</v>
      </c>
      <c r="D777" s="2" t="s">
        <v>179</v>
      </c>
      <c r="E777" s="4" t="str">
        <f t="shared" si="12"/>
        <v>2463 - ASIAN PACIFIC ISLNDR</v>
      </c>
      <c r="F777" s="2" t="s">
        <v>44</v>
      </c>
      <c r="G777" s="2" t="s">
        <v>21</v>
      </c>
      <c r="J777" s="5" t="str">
        <f>IF(H777="",VLOOKUP(LEFT(F777,1),'Exp-Rev Categories'!A:B,2,FALSE),IF(ISNA(VLOOKUP(H777,'Exp-Rev Categories'!A:B,2,FALSE)),"Revenue",VLOOKUP(H777,'Exp-Rev Categories'!A:B,2,FALSE)))</f>
        <v>Exp-Travel</v>
      </c>
      <c r="K777" s="2">
        <v>0</v>
      </c>
      <c r="L777" s="3">
        <v>10</v>
      </c>
      <c r="M777" s="3">
        <v>0</v>
      </c>
      <c r="N777" s="3">
        <v>-10</v>
      </c>
      <c r="O777" s="3">
        <v>0</v>
      </c>
      <c r="P777" s="2" t="s">
        <v>253</v>
      </c>
    </row>
    <row r="778" spans="1:16">
      <c r="A778" s="2" t="s">
        <v>280</v>
      </c>
      <c r="B778" s="2" t="s">
        <v>1</v>
      </c>
      <c r="C778" s="2" t="s">
        <v>2</v>
      </c>
      <c r="D778" s="2" t="s">
        <v>179</v>
      </c>
      <c r="E778" s="4" t="str">
        <f t="shared" si="12"/>
        <v>2463 - ASIAN PACIFIC ISLNDR</v>
      </c>
      <c r="F778" s="2" t="s">
        <v>117</v>
      </c>
      <c r="J778" s="5" t="str">
        <f>IF(H778="",VLOOKUP(LEFT(F778,1),'Exp-Rev Categories'!A:B,2,FALSE),IF(ISNA(VLOOKUP(H778,'Exp-Rev Categories'!A:B,2,FALSE)),"Revenue",VLOOKUP(H778,'Exp-Rev Categories'!A:B,2,FALSE)))</f>
        <v>Exp-Grants/Scholarships</v>
      </c>
      <c r="K778" s="2">
        <v>0</v>
      </c>
      <c r="L778" s="3">
        <v>0</v>
      </c>
      <c r="M778" s="3">
        <v>0</v>
      </c>
      <c r="N778" s="3">
        <v>0</v>
      </c>
      <c r="O778" s="3">
        <v>0</v>
      </c>
      <c r="P778" s="2" t="s">
        <v>253</v>
      </c>
    </row>
    <row r="779" spans="1:16">
      <c r="A779" s="2" t="s">
        <v>280</v>
      </c>
      <c r="B779" s="2" t="s">
        <v>1</v>
      </c>
      <c r="C779" s="2" t="s">
        <v>2</v>
      </c>
      <c r="D779" s="2" t="s">
        <v>179</v>
      </c>
      <c r="E779" s="4" t="str">
        <f t="shared" si="12"/>
        <v>2463 - ASIAN PACIFIC ISLNDR</v>
      </c>
      <c r="F779" s="2" t="s">
        <v>117</v>
      </c>
      <c r="G779" s="2" t="s">
        <v>24</v>
      </c>
      <c r="J779" s="5" t="str">
        <f>IF(H779="",VLOOKUP(LEFT(F779,1),'Exp-Rev Categories'!A:B,2,FALSE),IF(ISNA(VLOOKUP(H779,'Exp-Rev Categories'!A:B,2,FALSE)),"Revenue",VLOOKUP(H779,'Exp-Rev Categories'!A:B,2,FALSE)))</f>
        <v>Exp-Grants/Scholarships</v>
      </c>
      <c r="K779" s="2">
        <v>0</v>
      </c>
      <c r="L779" s="3">
        <v>600</v>
      </c>
      <c r="M779" s="3">
        <v>0</v>
      </c>
      <c r="N779" s="3">
        <v>-600</v>
      </c>
      <c r="O779" s="3">
        <v>0</v>
      </c>
      <c r="P779" s="2" t="s">
        <v>253</v>
      </c>
    </row>
    <row r="780" spans="1:16">
      <c r="A780" s="2" t="s">
        <v>280</v>
      </c>
      <c r="B780" s="2" t="s">
        <v>1</v>
      </c>
      <c r="C780" s="2" t="s">
        <v>2</v>
      </c>
      <c r="D780" s="2" t="s">
        <v>181</v>
      </c>
      <c r="E780" s="4" t="str">
        <f t="shared" si="12"/>
        <v>2464 - SCC SWIM CLUB</v>
      </c>
      <c r="F780" s="2" t="s">
        <v>29</v>
      </c>
      <c r="J780" s="5" t="str">
        <f>IF(H780="",VLOOKUP(LEFT(F780,1),'Exp-Rev Categories'!A:B,2,FALSE),IF(ISNA(VLOOKUP(H780,'Exp-Rev Categories'!A:B,2,FALSE)),"Revenue",VLOOKUP(H780,'Exp-Rev Categories'!A:B,2,FALSE)))</f>
        <v>Exp-Goods &amp; Services</v>
      </c>
      <c r="K780" s="2">
        <v>0</v>
      </c>
      <c r="L780" s="3">
        <v>0</v>
      </c>
      <c r="M780" s="3">
        <v>0</v>
      </c>
      <c r="N780" s="3">
        <v>0</v>
      </c>
      <c r="O780" s="3">
        <v>0</v>
      </c>
      <c r="P780" s="2" t="s">
        <v>254</v>
      </c>
    </row>
    <row r="781" spans="1:16">
      <c r="A781" s="2" t="s">
        <v>280</v>
      </c>
      <c r="B781" s="2" t="s">
        <v>1</v>
      </c>
      <c r="C781" s="2" t="s">
        <v>2</v>
      </c>
      <c r="D781" s="2" t="s">
        <v>181</v>
      </c>
      <c r="E781" s="4" t="str">
        <f t="shared" si="12"/>
        <v>2464 - SCC SWIM CLUB</v>
      </c>
      <c r="F781" s="2" t="s">
        <v>23</v>
      </c>
      <c r="G781" s="2" t="s">
        <v>24</v>
      </c>
      <c r="J781" s="5" t="str">
        <f>IF(H781="",VLOOKUP(LEFT(F781,1),'Exp-Rev Categories'!A:B,2,FALSE),IF(ISNA(VLOOKUP(H781,'Exp-Rev Categories'!A:B,2,FALSE)),"Revenue",VLOOKUP(H781,'Exp-Rev Categories'!A:B,2,FALSE)))</f>
        <v>Exp-Goods &amp; Services</v>
      </c>
      <c r="K781" s="2">
        <v>0</v>
      </c>
      <c r="L781" s="3">
        <v>0</v>
      </c>
      <c r="M781" s="3">
        <v>0</v>
      </c>
      <c r="N781" s="3">
        <v>0</v>
      </c>
      <c r="O781" s="3">
        <v>0</v>
      </c>
      <c r="P781" s="2" t="s">
        <v>254</v>
      </c>
    </row>
    <row r="782" spans="1:16">
      <c r="A782" s="2" t="s">
        <v>280</v>
      </c>
      <c r="B782" s="2" t="s">
        <v>1</v>
      </c>
      <c r="C782" s="2" t="s">
        <v>2</v>
      </c>
      <c r="D782" s="2" t="s">
        <v>181</v>
      </c>
      <c r="E782" s="4" t="str">
        <f t="shared" si="12"/>
        <v>2464 - SCC SWIM CLUB</v>
      </c>
      <c r="F782" s="2" t="s">
        <v>78</v>
      </c>
      <c r="G782" s="2" t="s">
        <v>24</v>
      </c>
      <c r="J782" s="5" t="str">
        <f>IF(H782="",VLOOKUP(LEFT(F782,1),'Exp-Rev Categories'!A:B,2,FALSE),IF(ISNA(VLOOKUP(H782,'Exp-Rev Categories'!A:B,2,FALSE)),"Revenue",VLOOKUP(H782,'Exp-Rev Categories'!A:B,2,FALSE)))</f>
        <v>Exp-Goods &amp; Services</v>
      </c>
      <c r="K782" s="2">
        <v>0</v>
      </c>
      <c r="L782" s="3">
        <v>684</v>
      </c>
      <c r="M782" s="3">
        <v>0</v>
      </c>
      <c r="N782" s="3">
        <v>-684</v>
      </c>
      <c r="O782" s="3">
        <v>0</v>
      </c>
      <c r="P782" s="2" t="s">
        <v>254</v>
      </c>
    </row>
    <row r="783" spans="1:16">
      <c r="A783" s="2" t="s">
        <v>280</v>
      </c>
      <c r="B783" s="2" t="s">
        <v>1</v>
      </c>
      <c r="C783" s="2" t="s">
        <v>2</v>
      </c>
      <c r="D783" s="2" t="s">
        <v>182</v>
      </c>
      <c r="E783" s="4" t="str">
        <f t="shared" si="12"/>
        <v>2465 - NATIV AMER STDNT ORG</v>
      </c>
      <c r="H783" s="2" t="s">
        <v>51</v>
      </c>
      <c r="I783" s="2" t="s">
        <v>183</v>
      </c>
      <c r="J783" s="5" t="str">
        <f>IF(H783="",VLOOKUP(LEFT(F783,1),'Exp-Rev Categories'!A:B,2,FALSE),IF(ISNA(VLOOKUP(H783,'Exp-Rev Categories'!A:B,2,FALSE)),"Revenue",VLOOKUP(H783,'Exp-Rev Categories'!A:B,2,FALSE)))</f>
        <v>Revenue</v>
      </c>
      <c r="K783" s="2">
        <v>0</v>
      </c>
      <c r="L783" s="3">
        <v>-464.53</v>
      </c>
      <c r="M783" s="3">
        <v>0</v>
      </c>
      <c r="N783" s="3">
        <v>464.53</v>
      </c>
      <c r="O783" s="3">
        <v>0</v>
      </c>
      <c r="P783" s="2" t="s">
        <v>255</v>
      </c>
    </row>
    <row r="784" spans="1:16">
      <c r="A784" s="2" t="s">
        <v>280</v>
      </c>
      <c r="B784" s="2" t="s">
        <v>1</v>
      </c>
      <c r="C784" s="2" t="s">
        <v>2</v>
      </c>
      <c r="D784" s="2" t="s">
        <v>182</v>
      </c>
      <c r="E784" s="4" t="str">
        <f t="shared" si="12"/>
        <v>2465 - NATIV AMER STDNT ORG</v>
      </c>
      <c r="H784" s="2" t="s">
        <v>43</v>
      </c>
      <c r="J784" s="5" t="str">
        <f>IF(H784="",VLOOKUP(LEFT(F784,1),'Exp-Rev Categories'!A:B,2,FALSE),IF(ISNA(VLOOKUP(H784,'Exp-Rev Categories'!A:B,2,FALSE)),"Revenue",VLOOKUP(H784,'Exp-Rev Categories'!A:B,2,FALSE)))</f>
        <v>Rev-Intra-Fund Transfer</v>
      </c>
      <c r="K784" s="2">
        <v>0</v>
      </c>
      <c r="L784" s="3">
        <v>-956</v>
      </c>
      <c r="M784" s="3">
        <v>0</v>
      </c>
      <c r="N784" s="3">
        <v>956</v>
      </c>
      <c r="O784" s="3">
        <v>0</v>
      </c>
      <c r="P784" s="2" t="s">
        <v>255</v>
      </c>
    </row>
    <row r="785" spans="1:16">
      <c r="A785" s="2" t="s">
        <v>280</v>
      </c>
      <c r="B785" s="2" t="s">
        <v>1</v>
      </c>
      <c r="C785" s="2" t="s">
        <v>2</v>
      </c>
      <c r="D785" s="2" t="s">
        <v>182</v>
      </c>
      <c r="E785" s="4" t="str">
        <f t="shared" si="12"/>
        <v>2465 - NATIV AMER STDNT ORG</v>
      </c>
      <c r="F785" s="2" t="s">
        <v>29</v>
      </c>
      <c r="J785" s="5" t="str">
        <f>IF(H785="",VLOOKUP(LEFT(F785,1),'Exp-Rev Categories'!A:B,2,FALSE),IF(ISNA(VLOOKUP(H785,'Exp-Rev Categories'!A:B,2,FALSE)),"Revenue",VLOOKUP(H785,'Exp-Rev Categories'!A:B,2,FALSE)))</f>
        <v>Exp-Goods &amp; Services</v>
      </c>
      <c r="K785" s="2">
        <v>13603</v>
      </c>
      <c r="L785" s="3">
        <v>0</v>
      </c>
      <c r="M785" s="3">
        <v>0</v>
      </c>
      <c r="N785" s="3">
        <v>13603</v>
      </c>
      <c r="O785" s="3">
        <v>0</v>
      </c>
      <c r="P785" s="2" t="s">
        <v>255</v>
      </c>
    </row>
    <row r="786" spans="1:16">
      <c r="A786" s="2" t="s">
        <v>280</v>
      </c>
      <c r="B786" s="2" t="s">
        <v>1</v>
      </c>
      <c r="C786" s="2" t="s">
        <v>2</v>
      </c>
      <c r="D786" s="2" t="s">
        <v>182</v>
      </c>
      <c r="E786" s="4" t="str">
        <f t="shared" si="12"/>
        <v>2465 - NATIV AMER STDNT ORG</v>
      </c>
      <c r="F786" s="2" t="s">
        <v>23</v>
      </c>
      <c r="G786" s="2" t="s">
        <v>24</v>
      </c>
      <c r="J786" s="5" t="str">
        <f>IF(H786="",VLOOKUP(LEFT(F786,1),'Exp-Rev Categories'!A:B,2,FALSE),IF(ISNA(VLOOKUP(H786,'Exp-Rev Categories'!A:B,2,FALSE)),"Revenue",VLOOKUP(H786,'Exp-Rev Categories'!A:B,2,FALSE)))</f>
        <v>Exp-Goods &amp; Services</v>
      </c>
      <c r="K786" s="2">
        <v>0</v>
      </c>
      <c r="L786" s="3">
        <v>1504.22</v>
      </c>
      <c r="M786" s="3">
        <v>0</v>
      </c>
      <c r="N786" s="3">
        <v>-1504.22</v>
      </c>
      <c r="O786" s="3">
        <v>0</v>
      </c>
      <c r="P786" s="2" t="s">
        <v>255</v>
      </c>
    </row>
    <row r="787" spans="1:16">
      <c r="A787" s="2" t="s">
        <v>280</v>
      </c>
      <c r="B787" s="2" t="s">
        <v>1</v>
      </c>
      <c r="C787" s="2" t="s">
        <v>2</v>
      </c>
      <c r="D787" s="2" t="s">
        <v>182</v>
      </c>
      <c r="E787" s="4" t="str">
        <f t="shared" si="12"/>
        <v>2465 - NATIV AMER STDNT ORG</v>
      </c>
      <c r="F787" s="2" t="s">
        <v>54</v>
      </c>
      <c r="G787" s="2" t="s">
        <v>56</v>
      </c>
      <c r="J787" s="5" t="str">
        <f>IF(H787="",VLOOKUP(LEFT(F787,1),'Exp-Rev Categories'!A:B,2,FALSE),IF(ISNA(VLOOKUP(H787,'Exp-Rev Categories'!A:B,2,FALSE)),"Revenue",VLOOKUP(H787,'Exp-Rev Categories'!A:B,2,FALSE)))</f>
        <v>Exp-Goods &amp; Services</v>
      </c>
      <c r="K787" s="2">
        <v>0</v>
      </c>
      <c r="L787" s="3">
        <v>1080.58</v>
      </c>
      <c r="M787" s="3">
        <v>0</v>
      </c>
      <c r="N787" s="3">
        <v>-1080.58</v>
      </c>
      <c r="O787" s="3">
        <v>0</v>
      </c>
      <c r="P787" s="2" t="s">
        <v>255</v>
      </c>
    </row>
    <row r="788" spans="1:16">
      <c r="A788" s="2" t="s">
        <v>280</v>
      </c>
      <c r="B788" s="2" t="s">
        <v>1</v>
      </c>
      <c r="C788" s="2" t="s">
        <v>2</v>
      </c>
      <c r="D788" s="2" t="s">
        <v>182</v>
      </c>
      <c r="E788" s="4" t="str">
        <f t="shared" si="12"/>
        <v>2465 - NATIV AMER STDNT ORG</v>
      </c>
      <c r="F788" s="2" t="s">
        <v>154</v>
      </c>
      <c r="G788" s="2" t="s">
        <v>24</v>
      </c>
      <c r="J788" s="5" t="str">
        <f>IF(H788="",VLOOKUP(LEFT(F788,1),'Exp-Rev Categories'!A:B,2,FALSE),IF(ISNA(VLOOKUP(H788,'Exp-Rev Categories'!A:B,2,FALSE)),"Revenue",VLOOKUP(H788,'Exp-Rev Categories'!A:B,2,FALSE)))</f>
        <v>Exp-Goods &amp; Services</v>
      </c>
      <c r="K788" s="2">
        <v>0</v>
      </c>
      <c r="L788" s="3">
        <v>21.71</v>
      </c>
      <c r="M788" s="3">
        <v>0</v>
      </c>
      <c r="N788" s="3">
        <v>-21.71</v>
      </c>
      <c r="O788" s="3">
        <v>0</v>
      </c>
      <c r="P788" s="2" t="s">
        <v>255</v>
      </c>
    </row>
    <row r="789" spans="1:16">
      <c r="A789" s="2" t="s">
        <v>280</v>
      </c>
      <c r="B789" s="2" t="s">
        <v>1</v>
      </c>
      <c r="C789" s="2" t="s">
        <v>2</v>
      </c>
      <c r="D789" s="2" t="s">
        <v>182</v>
      </c>
      <c r="E789" s="4" t="str">
        <f t="shared" si="12"/>
        <v>2465 - NATIV AMER STDNT ORG</v>
      </c>
      <c r="F789" s="2" t="s">
        <v>41</v>
      </c>
      <c r="G789" s="2" t="s">
        <v>24</v>
      </c>
      <c r="J789" s="5" t="str">
        <f>IF(H789="",VLOOKUP(LEFT(F789,1),'Exp-Rev Categories'!A:B,2,FALSE),IF(ISNA(VLOOKUP(H789,'Exp-Rev Categories'!A:B,2,FALSE)),"Revenue",VLOOKUP(H789,'Exp-Rev Categories'!A:B,2,FALSE)))</f>
        <v>Exp-Goods &amp; Services</v>
      </c>
      <c r="K789" s="2">
        <v>0</v>
      </c>
      <c r="L789" s="3">
        <v>0</v>
      </c>
      <c r="M789" s="3">
        <v>0</v>
      </c>
      <c r="N789" s="3">
        <v>0</v>
      </c>
      <c r="O789" s="3">
        <v>0</v>
      </c>
      <c r="P789" s="2" t="s">
        <v>255</v>
      </c>
    </row>
    <row r="790" spans="1:16">
      <c r="A790" s="2" t="s">
        <v>280</v>
      </c>
      <c r="B790" s="2" t="s">
        <v>1</v>
      </c>
      <c r="C790" s="2" t="s">
        <v>2</v>
      </c>
      <c r="D790" s="2" t="s">
        <v>182</v>
      </c>
      <c r="E790" s="4" t="str">
        <f t="shared" si="12"/>
        <v>2465 - NATIV AMER STDNT ORG</v>
      </c>
      <c r="F790" s="2" t="s">
        <v>41</v>
      </c>
      <c r="G790" s="2" t="s">
        <v>66</v>
      </c>
      <c r="J790" s="5" t="str">
        <f>IF(H790="",VLOOKUP(LEFT(F790,1),'Exp-Rev Categories'!A:B,2,FALSE),IF(ISNA(VLOOKUP(H790,'Exp-Rev Categories'!A:B,2,FALSE)),"Revenue",VLOOKUP(H790,'Exp-Rev Categories'!A:B,2,FALSE)))</f>
        <v>Exp-Goods &amp; Services</v>
      </c>
      <c r="K790" s="2">
        <v>0</v>
      </c>
      <c r="L790" s="3">
        <v>220</v>
      </c>
      <c r="M790" s="3">
        <v>0</v>
      </c>
      <c r="N790" s="3">
        <v>-220</v>
      </c>
      <c r="O790" s="3">
        <v>0</v>
      </c>
      <c r="P790" s="2" t="s">
        <v>255</v>
      </c>
    </row>
    <row r="791" spans="1:16">
      <c r="A791" s="2" t="s">
        <v>280</v>
      </c>
      <c r="B791" s="2" t="s">
        <v>1</v>
      </c>
      <c r="C791" s="2" t="s">
        <v>2</v>
      </c>
      <c r="D791" s="2" t="s">
        <v>182</v>
      </c>
      <c r="E791" s="4" t="str">
        <f t="shared" si="12"/>
        <v>2465 - NATIV AMER STDNT ORG</v>
      </c>
      <c r="F791" s="2" t="s">
        <v>41</v>
      </c>
      <c r="G791" s="2" t="s">
        <v>7</v>
      </c>
      <c r="J791" s="5" t="str">
        <f>IF(H791="",VLOOKUP(LEFT(F791,1),'Exp-Rev Categories'!A:B,2,FALSE),IF(ISNA(VLOOKUP(H791,'Exp-Rev Categories'!A:B,2,FALSE)),"Revenue",VLOOKUP(H791,'Exp-Rev Categories'!A:B,2,FALSE)))</f>
        <v>Exp-Goods &amp; Services</v>
      </c>
      <c r="K791" s="2">
        <v>0</v>
      </c>
      <c r="L791" s="3">
        <v>796.86</v>
      </c>
      <c r="M791" s="3">
        <v>0</v>
      </c>
      <c r="N791" s="3">
        <v>-796.86</v>
      </c>
      <c r="O791" s="3">
        <v>0</v>
      </c>
      <c r="P791" s="2" t="s">
        <v>255</v>
      </c>
    </row>
    <row r="792" spans="1:16">
      <c r="A792" s="2" t="s">
        <v>280</v>
      </c>
      <c r="B792" s="2" t="s">
        <v>1</v>
      </c>
      <c r="C792" s="2" t="s">
        <v>2</v>
      </c>
      <c r="D792" s="2" t="s">
        <v>182</v>
      </c>
      <c r="E792" s="4" t="str">
        <f t="shared" si="12"/>
        <v>2465 - NATIV AMER STDNT ORG</v>
      </c>
      <c r="F792" s="2" t="s">
        <v>267</v>
      </c>
      <c r="J792" s="5" t="str">
        <f>IF(H792="",VLOOKUP(LEFT(F792,1),'Exp-Rev Categories'!A:B,2,FALSE),IF(ISNA(VLOOKUP(H792,'Exp-Rev Categories'!A:B,2,FALSE)),"Revenue",VLOOKUP(H792,'Exp-Rev Categories'!A:B,2,FALSE)))</f>
        <v>Exp-Travel</v>
      </c>
      <c r="K792" s="2">
        <v>0</v>
      </c>
      <c r="L792" s="3">
        <v>0</v>
      </c>
      <c r="M792" s="3">
        <v>0</v>
      </c>
      <c r="N792" s="3">
        <v>0</v>
      </c>
      <c r="O792" s="3">
        <v>0</v>
      </c>
      <c r="P792" s="2" t="s">
        <v>255</v>
      </c>
    </row>
    <row r="793" spans="1:16">
      <c r="A793" s="2" t="s">
        <v>280</v>
      </c>
      <c r="B793" s="2" t="s">
        <v>1</v>
      </c>
      <c r="C793" s="2" t="s">
        <v>2</v>
      </c>
      <c r="D793" s="2" t="s">
        <v>182</v>
      </c>
      <c r="E793" s="4" t="str">
        <f t="shared" si="12"/>
        <v>2465 - NATIV AMER STDNT ORG</v>
      </c>
      <c r="F793" s="2" t="s">
        <v>67</v>
      </c>
      <c r="G793" s="2" t="s">
        <v>24</v>
      </c>
      <c r="J793" s="5" t="str">
        <f>IF(H793="",VLOOKUP(LEFT(F793,1),'Exp-Rev Categories'!A:B,2,FALSE),IF(ISNA(VLOOKUP(H793,'Exp-Rev Categories'!A:B,2,FALSE)),"Revenue",VLOOKUP(H793,'Exp-Rev Categories'!A:B,2,FALSE)))</f>
        <v>Exp-Travel</v>
      </c>
      <c r="K793" s="2">
        <v>0</v>
      </c>
      <c r="L793" s="3">
        <v>1605.46</v>
      </c>
      <c r="M793" s="3">
        <v>0</v>
      </c>
      <c r="N793" s="3">
        <v>-1605.46</v>
      </c>
      <c r="O793" s="3">
        <v>0</v>
      </c>
      <c r="P793" s="2" t="s">
        <v>255</v>
      </c>
    </row>
    <row r="794" spans="1:16">
      <c r="A794" s="2" t="s">
        <v>280</v>
      </c>
      <c r="B794" s="2" t="s">
        <v>1</v>
      </c>
      <c r="C794" s="2" t="s">
        <v>2</v>
      </c>
      <c r="D794" s="2" t="s">
        <v>182</v>
      </c>
      <c r="E794" s="4" t="str">
        <f t="shared" si="12"/>
        <v>2465 - NATIV AMER STDNT ORG</v>
      </c>
      <c r="F794" s="2" t="s">
        <v>80</v>
      </c>
      <c r="G794" s="2" t="s">
        <v>21</v>
      </c>
      <c r="J794" s="5" t="str">
        <f>IF(H794="",VLOOKUP(LEFT(F794,1),'Exp-Rev Categories'!A:B,2,FALSE),IF(ISNA(VLOOKUP(H794,'Exp-Rev Categories'!A:B,2,FALSE)),"Revenue",VLOOKUP(H794,'Exp-Rev Categories'!A:B,2,FALSE)))</f>
        <v>Exp-Travel</v>
      </c>
      <c r="K794" s="2">
        <v>0</v>
      </c>
      <c r="L794" s="3">
        <v>38.07</v>
      </c>
      <c r="M794" s="3">
        <v>0</v>
      </c>
      <c r="N794" s="3">
        <v>-38.07</v>
      </c>
      <c r="O794" s="3">
        <v>0</v>
      </c>
      <c r="P794" s="2" t="s">
        <v>255</v>
      </c>
    </row>
    <row r="795" spans="1:16">
      <c r="A795" s="2" t="s">
        <v>280</v>
      </c>
      <c r="B795" s="2" t="s">
        <v>1</v>
      </c>
      <c r="C795" s="2" t="s">
        <v>2</v>
      </c>
      <c r="D795" s="2" t="s">
        <v>182</v>
      </c>
      <c r="E795" s="4" t="str">
        <f t="shared" si="12"/>
        <v>2465 - NATIV AMER STDNT ORG</v>
      </c>
      <c r="F795" s="2" t="s">
        <v>44</v>
      </c>
      <c r="G795" s="2" t="s">
        <v>24</v>
      </c>
      <c r="J795" s="5" t="str">
        <f>IF(H795="",VLOOKUP(LEFT(F795,1),'Exp-Rev Categories'!A:B,2,FALSE),IF(ISNA(VLOOKUP(H795,'Exp-Rev Categories'!A:B,2,FALSE)),"Revenue",VLOOKUP(H795,'Exp-Rev Categories'!A:B,2,FALSE)))</f>
        <v>Exp-Travel</v>
      </c>
      <c r="K795" s="2">
        <v>0</v>
      </c>
      <c r="L795" s="3">
        <v>0</v>
      </c>
      <c r="M795" s="3">
        <v>0</v>
      </c>
      <c r="N795" s="3">
        <v>0</v>
      </c>
      <c r="O795" s="3">
        <v>0</v>
      </c>
      <c r="P795" s="2" t="s">
        <v>255</v>
      </c>
    </row>
    <row r="796" spans="1:16">
      <c r="A796" s="2" t="s">
        <v>280</v>
      </c>
      <c r="B796" s="2" t="s">
        <v>1</v>
      </c>
      <c r="C796" s="2" t="s">
        <v>2</v>
      </c>
      <c r="D796" s="2" t="s">
        <v>182</v>
      </c>
      <c r="E796" s="4" t="str">
        <f t="shared" si="12"/>
        <v>2465 - NATIV AMER STDNT ORG</v>
      </c>
      <c r="F796" s="2" t="s">
        <v>44</v>
      </c>
      <c r="G796" s="2" t="s">
        <v>66</v>
      </c>
      <c r="J796" s="5" t="str">
        <f>IF(H796="",VLOOKUP(LEFT(F796,1),'Exp-Rev Categories'!A:B,2,FALSE),IF(ISNA(VLOOKUP(H796,'Exp-Rev Categories'!A:B,2,FALSE)),"Revenue",VLOOKUP(H796,'Exp-Rev Categories'!A:B,2,FALSE)))</f>
        <v>Exp-Travel</v>
      </c>
      <c r="K796" s="2">
        <v>0</v>
      </c>
      <c r="L796" s="3">
        <v>126</v>
      </c>
      <c r="M796" s="3">
        <v>0</v>
      </c>
      <c r="N796" s="3">
        <v>-126</v>
      </c>
      <c r="O796" s="3">
        <v>0</v>
      </c>
      <c r="P796" s="2" t="s">
        <v>255</v>
      </c>
    </row>
    <row r="797" spans="1:16">
      <c r="A797" s="2" t="s">
        <v>280</v>
      </c>
      <c r="B797" s="2" t="s">
        <v>1</v>
      </c>
      <c r="C797" s="2" t="s">
        <v>2</v>
      </c>
      <c r="D797" s="2" t="s">
        <v>182</v>
      </c>
      <c r="E797" s="4" t="str">
        <f t="shared" si="12"/>
        <v>2465 - NATIV AMER STDNT ORG</v>
      </c>
      <c r="F797" s="2" t="s">
        <v>268</v>
      </c>
      <c r="J797" s="5" t="str">
        <f>IF(H797="",VLOOKUP(LEFT(F797,1),'Exp-Rev Categories'!A:B,2,FALSE),IF(ISNA(VLOOKUP(H797,'Exp-Rev Categories'!A:B,2,FALSE)),"Revenue",VLOOKUP(H797,'Exp-Rev Categories'!A:B,2,FALSE)))</f>
        <v>Exp-Equipment</v>
      </c>
      <c r="K797" s="2">
        <v>0</v>
      </c>
      <c r="L797" s="3">
        <v>0</v>
      </c>
      <c r="M797" s="3">
        <v>0</v>
      </c>
      <c r="N797" s="3">
        <v>0</v>
      </c>
      <c r="O797" s="3">
        <v>0</v>
      </c>
      <c r="P797" s="2" t="s">
        <v>255</v>
      </c>
    </row>
    <row r="798" spans="1:16">
      <c r="A798" s="2" t="s">
        <v>280</v>
      </c>
      <c r="B798" s="2" t="s">
        <v>1</v>
      </c>
      <c r="C798" s="2" t="s">
        <v>2</v>
      </c>
      <c r="D798" s="2" t="s">
        <v>182</v>
      </c>
      <c r="E798" s="4" t="str">
        <f t="shared" si="12"/>
        <v>2465 - NATIV AMER STDNT ORG</v>
      </c>
      <c r="F798" s="2" t="s">
        <v>117</v>
      </c>
      <c r="J798" s="5" t="str">
        <f>IF(H798="",VLOOKUP(LEFT(F798,1),'Exp-Rev Categories'!A:B,2,FALSE),IF(ISNA(VLOOKUP(H798,'Exp-Rev Categories'!A:B,2,FALSE)),"Revenue",VLOOKUP(H798,'Exp-Rev Categories'!A:B,2,FALSE)))</f>
        <v>Exp-Grants/Scholarships</v>
      </c>
      <c r="K798" s="2">
        <v>0</v>
      </c>
      <c r="L798" s="3">
        <v>0</v>
      </c>
      <c r="M798" s="3">
        <v>0</v>
      </c>
      <c r="N798" s="3">
        <v>0</v>
      </c>
      <c r="O798" s="3">
        <v>0</v>
      </c>
      <c r="P798" s="2" t="s">
        <v>255</v>
      </c>
    </row>
    <row r="799" spans="1:16">
      <c r="A799" s="2" t="s">
        <v>280</v>
      </c>
      <c r="B799" s="2" t="s">
        <v>1</v>
      </c>
      <c r="C799" s="2" t="s">
        <v>2</v>
      </c>
      <c r="D799" s="2" t="s">
        <v>182</v>
      </c>
      <c r="E799" s="4" t="str">
        <f t="shared" si="12"/>
        <v>2465 - NATIV AMER STDNT ORG</v>
      </c>
      <c r="F799" s="2" t="s">
        <v>117</v>
      </c>
      <c r="G799" s="2" t="s">
        <v>24</v>
      </c>
      <c r="J799" s="5" t="str">
        <f>IF(H799="",VLOOKUP(LEFT(F799,1),'Exp-Rev Categories'!A:B,2,FALSE),IF(ISNA(VLOOKUP(H799,'Exp-Rev Categories'!A:B,2,FALSE)),"Revenue",VLOOKUP(H799,'Exp-Rev Categories'!A:B,2,FALSE)))</f>
        <v>Exp-Grants/Scholarships</v>
      </c>
      <c r="K799" s="2">
        <v>0</v>
      </c>
      <c r="L799" s="3">
        <v>5675</v>
      </c>
      <c r="M799" s="3">
        <v>0</v>
      </c>
      <c r="N799" s="3">
        <v>-5675</v>
      </c>
      <c r="O799" s="3">
        <v>0</v>
      </c>
      <c r="P799" s="2" t="s">
        <v>255</v>
      </c>
    </row>
    <row r="800" spans="1:16">
      <c r="A800" s="2" t="s">
        <v>280</v>
      </c>
      <c r="B800" s="2" t="s">
        <v>1</v>
      </c>
      <c r="C800" s="2" t="s">
        <v>2</v>
      </c>
      <c r="D800" s="2" t="s">
        <v>182</v>
      </c>
      <c r="E800" s="4" t="str">
        <f t="shared" si="12"/>
        <v>2465 - NATIV AMER STDNT ORG</v>
      </c>
      <c r="F800" s="2" t="s">
        <v>395</v>
      </c>
      <c r="G800" s="2" t="s">
        <v>24</v>
      </c>
      <c r="J800" s="5" t="str">
        <f>IF(H800="",VLOOKUP(LEFT(F800,1),'Exp-Rev Categories'!A:B,2,FALSE),IF(ISNA(VLOOKUP(H800,'Exp-Rev Categories'!A:B,2,FALSE)),"Revenue",VLOOKUP(H800,'Exp-Rev Categories'!A:B,2,FALSE)))</f>
        <v>Exp-Transfer</v>
      </c>
      <c r="K800" s="2">
        <v>0</v>
      </c>
      <c r="L800" s="3">
        <v>0</v>
      </c>
      <c r="M800" s="3">
        <v>0</v>
      </c>
      <c r="N800" s="3">
        <v>0</v>
      </c>
      <c r="O800" s="3">
        <v>0</v>
      </c>
      <c r="P800" s="2" t="s">
        <v>255</v>
      </c>
    </row>
    <row r="801" spans="1:16">
      <c r="A801" s="2" t="s">
        <v>280</v>
      </c>
      <c r="B801" s="2" t="s">
        <v>1</v>
      </c>
      <c r="C801" s="2" t="s">
        <v>2</v>
      </c>
      <c r="D801" s="2" t="s">
        <v>184</v>
      </c>
      <c r="E801" s="4" t="str">
        <f t="shared" si="12"/>
        <v>2466 - PARANORMAL CLUB</v>
      </c>
      <c r="H801" s="2" t="s">
        <v>51</v>
      </c>
      <c r="I801" s="2" t="s">
        <v>185</v>
      </c>
      <c r="J801" s="5" t="str">
        <f>IF(H801="",VLOOKUP(LEFT(F801,1),'Exp-Rev Categories'!A:B,2,FALSE),IF(ISNA(VLOOKUP(H801,'Exp-Rev Categories'!A:B,2,FALSE)),"Revenue",VLOOKUP(H801,'Exp-Rev Categories'!A:B,2,FALSE)))</f>
        <v>Revenue</v>
      </c>
      <c r="K801" s="2">
        <v>0</v>
      </c>
      <c r="L801" s="3">
        <v>-161.94</v>
      </c>
      <c r="M801" s="3">
        <v>0</v>
      </c>
      <c r="N801" s="3">
        <v>161.94</v>
      </c>
      <c r="O801" s="3">
        <v>0</v>
      </c>
      <c r="P801" s="2" t="s">
        <v>256</v>
      </c>
    </row>
    <row r="802" spans="1:16">
      <c r="A802" s="2" t="s">
        <v>280</v>
      </c>
      <c r="B802" s="2" t="s">
        <v>1</v>
      </c>
      <c r="C802" s="2" t="s">
        <v>2</v>
      </c>
      <c r="D802" s="2" t="s">
        <v>184</v>
      </c>
      <c r="E802" s="4" t="str">
        <f t="shared" si="12"/>
        <v>2466 - PARANORMAL CLUB</v>
      </c>
      <c r="H802" s="2" t="s">
        <v>43</v>
      </c>
      <c r="J802" s="5" t="str">
        <f>IF(H802="",VLOOKUP(LEFT(F802,1),'Exp-Rev Categories'!A:B,2,FALSE),IF(ISNA(VLOOKUP(H802,'Exp-Rev Categories'!A:B,2,FALSE)),"Revenue",VLOOKUP(H802,'Exp-Rev Categories'!A:B,2,FALSE)))</f>
        <v>Rev-Intra-Fund Transfer</v>
      </c>
      <c r="K802" s="2">
        <v>0</v>
      </c>
      <c r="L802" s="3">
        <v>-50</v>
      </c>
      <c r="M802" s="3">
        <v>0</v>
      </c>
      <c r="N802" s="3">
        <v>50</v>
      </c>
      <c r="O802" s="3">
        <v>0</v>
      </c>
      <c r="P802" s="2" t="s">
        <v>256</v>
      </c>
    </row>
    <row r="803" spans="1:16">
      <c r="A803" s="2" t="s">
        <v>280</v>
      </c>
      <c r="B803" s="2" t="s">
        <v>1</v>
      </c>
      <c r="C803" s="2" t="s">
        <v>2</v>
      </c>
      <c r="D803" s="2" t="s">
        <v>184</v>
      </c>
      <c r="E803" s="4" t="str">
        <f t="shared" si="12"/>
        <v>2466 - PARANORMAL CLUB</v>
      </c>
      <c r="F803" s="2" t="s">
        <v>29</v>
      </c>
      <c r="J803" s="5" t="str">
        <f>IF(H803="",VLOOKUP(LEFT(F803,1),'Exp-Rev Categories'!A:B,2,FALSE),IF(ISNA(VLOOKUP(H803,'Exp-Rev Categories'!A:B,2,FALSE)),"Revenue",VLOOKUP(H803,'Exp-Rev Categories'!A:B,2,FALSE)))</f>
        <v>Exp-Goods &amp; Services</v>
      </c>
      <c r="K803" s="2">
        <v>2000</v>
      </c>
      <c r="L803" s="3">
        <v>0</v>
      </c>
      <c r="M803" s="3">
        <v>0</v>
      </c>
      <c r="N803" s="3">
        <v>2000</v>
      </c>
      <c r="O803" s="3">
        <v>0</v>
      </c>
      <c r="P803" s="2" t="s">
        <v>256</v>
      </c>
    </row>
    <row r="804" spans="1:16">
      <c r="A804" s="2" t="s">
        <v>280</v>
      </c>
      <c r="B804" s="2" t="s">
        <v>1</v>
      </c>
      <c r="C804" s="2" t="s">
        <v>2</v>
      </c>
      <c r="D804" s="2" t="s">
        <v>184</v>
      </c>
      <c r="E804" s="4" t="str">
        <f t="shared" si="12"/>
        <v>2466 - PARANORMAL CLUB</v>
      </c>
      <c r="F804" s="2" t="s">
        <v>23</v>
      </c>
      <c r="G804" s="2" t="s">
        <v>24</v>
      </c>
      <c r="J804" s="5" t="str">
        <f>IF(H804="",VLOOKUP(LEFT(F804,1),'Exp-Rev Categories'!A:B,2,FALSE),IF(ISNA(VLOOKUP(H804,'Exp-Rev Categories'!A:B,2,FALSE)),"Revenue",VLOOKUP(H804,'Exp-Rev Categories'!A:B,2,FALSE)))</f>
        <v>Exp-Goods &amp; Services</v>
      </c>
      <c r="K804" s="2">
        <v>0</v>
      </c>
      <c r="L804" s="3">
        <v>861.53</v>
      </c>
      <c r="M804" s="3">
        <v>0</v>
      </c>
      <c r="N804" s="3">
        <v>-861.53</v>
      </c>
      <c r="O804" s="3">
        <v>0</v>
      </c>
      <c r="P804" s="2" t="s">
        <v>256</v>
      </c>
    </row>
    <row r="805" spans="1:16">
      <c r="A805" s="2" t="s">
        <v>280</v>
      </c>
      <c r="B805" s="2" t="s">
        <v>1</v>
      </c>
      <c r="C805" s="2" t="s">
        <v>2</v>
      </c>
      <c r="D805" s="2" t="s">
        <v>184</v>
      </c>
      <c r="E805" s="4" t="str">
        <f t="shared" si="12"/>
        <v>2466 - PARANORMAL CLUB</v>
      </c>
      <c r="F805" s="2" t="s">
        <v>41</v>
      </c>
      <c r="G805" s="2" t="s">
        <v>24</v>
      </c>
      <c r="J805" s="5" t="str">
        <f>IF(H805="",VLOOKUP(LEFT(F805,1),'Exp-Rev Categories'!A:B,2,FALSE),IF(ISNA(VLOOKUP(H805,'Exp-Rev Categories'!A:B,2,FALSE)),"Revenue",VLOOKUP(H805,'Exp-Rev Categories'!A:B,2,FALSE)))</f>
        <v>Exp-Goods &amp; Services</v>
      </c>
      <c r="K805" s="2">
        <v>0</v>
      </c>
      <c r="L805" s="3">
        <v>749.26</v>
      </c>
      <c r="M805" s="3">
        <v>0</v>
      </c>
      <c r="N805" s="3">
        <v>-749.26</v>
      </c>
      <c r="O805" s="3">
        <v>0</v>
      </c>
      <c r="P805" s="2" t="s">
        <v>256</v>
      </c>
    </row>
    <row r="806" spans="1:16">
      <c r="A806" s="2" t="s">
        <v>280</v>
      </c>
      <c r="B806" s="2" t="s">
        <v>1</v>
      </c>
      <c r="C806" s="2" t="s">
        <v>2</v>
      </c>
      <c r="D806" s="2" t="s">
        <v>186</v>
      </c>
      <c r="E806" s="4" t="str">
        <f t="shared" si="12"/>
        <v>2467 - EXTREME BOCCE CLUB</v>
      </c>
      <c r="F806" s="2" t="s">
        <v>29</v>
      </c>
      <c r="J806" s="5" t="str">
        <f>IF(H806="",VLOOKUP(LEFT(F806,1),'Exp-Rev Categories'!A:B,2,FALSE),IF(ISNA(VLOOKUP(H806,'Exp-Rev Categories'!A:B,2,FALSE)),"Revenue",VLOOKUP(H806,'Exp-Rev Categories'!A:B,2,FALSE)))</f>
        <v>Exp-Goods &amp; Services</v>
      </c>
      <c r="K806" s="2">
        <v>250</v>
      </c>
      <c r="L806" s="3">
        <v>0</v>
      </c>
      <c r="M806" s="3">
        <v>0</v>
      </c>
      <c r="N806" s="3">
        <v>250</v>
      </c>
      <c r="O806" s="3">
        <v>0</v>
      </c>
      <c r="P806" s="2" t="s">
        <v>257</v>
      </c>
    </row>
    <row r="807" spans="1:16">
      <c r="A807" s="2" t="s">
        <v>280</v>
      </c>
      <c r="B807" s="2" t="s">
        <v>1</v>
      </c>
      <c r="C807" s="2" t="s">
        <v>2</v>
      </c>
      <c r="D807" s="2" t="s">
        <v>186</v>
      </c>
      <c r="E807" s="4" t="str">
        <f t="shared" si="12"/>
        <v>2467 - EXTREME BOCCE CLUB</v>
      </c>
      <c r="F807" s="2" t="s">
        <v>23</v>
      </c>
      <c r="G807" s="2" t="s">
        <v>24</v>
      </c>
      <c r="J807" s="5" t="str">
        <f>IF(H807="",VLOOKUP(LEFT(F807,1),'Exp-Rev Categories'!A:B,2,FALSE),IF(ISNA(VLOOKUP(H807,'Exp-Rev Categories'!A:B,2,FALSE)),"Revenue",VLOOKUP(H807,'Exp-Rev Categories'!A:B,2,FALSE)))</f>
        <v>Exp-Goods &amp; Services</v>
      </c>
      <c r="K807" s="2">
        <v>0</v>
      </c>
      <c r="L807" s="3">
        <v>65.19</v>
      </c>
      <c r="M807" s="3">
        <v>0</v>
      </c>
      <c r="N807" s="3">
        <v>-65.19</v>
      </c>
      <c r="O807" s="3">
        <v>0</v>
      </c>
      <c r="P807" s="2" t="s">
        <v>257</v>
      </c>
    </row>
    <row r="808" spans="1:16">
      <c r="A808" s="2" t="s">
        <v>280</v>
      </c>
      <c r="B808" s="2" t="s">
        <v>1</v>
      </c>
      <c r="C808" s="2" t="s">
        <v>2</v>
      </c>
      <c r="D808" s="2" t="s">
        <v>258</v>
      </c>
      <c r="E808" s="4" t="str">
        <f t="shared" si="12"/>
        <v>2468 - RESEARCH CLUB</v>
      </c>
      <c r="F808" s="2" t="s">
        <v>29</v>
      </c>
      <c r="J808" s="5" t="str">
        <f>IF(H808="",VLOOKUP(LEFT(F808,1),'Exp-Rev Categories'!A:B,2,FALSE),IF(ISNA(VLOOKUP(H808,'Exp-Rev Categories'!A:B,2,FALSE)),"Revenue",VLOOKUP(H808,'Exp-Rev Categories'!A:B,2,FALSE)))</f>
        <v>Exp-Goods &amp; Services</v>
      </c>
      <c r="K808" s="2">
        <v>250</v>
      </c>
      <c r="L808" s="3">
        <v>0</v>
      </c>
      <c r="M808" s="3">
        <v>0</v>
      </c>
      <c r="N808" s="3">
        <v>250</v>
      </c>
      <c r="O808" s="3">
        <v>0</v>
      </c>
      <c r="P808" s="2" t="s">
        <v>259</v>
      </c>
    </row>
    <row r="809" spans="1:16">
      <c r="A809" s="2" t="s">
        <v>280</v>
      </c>
      <c r="B809" s="2" t="s">
        <v>1</v>
      </c>
      <c r="C809" s="2" t="s">
        <v>2</v>
      </c>
      <c r="D809" s="2" t="s">
        <v>187</v>
      </c>
      <c r="E809" s="4" t="str">
        <f t="shared" si="12"/>
        <v>2469 - MATH CLUB</v>
      </c>
      <c r="F809" s="2" t="s">
        <v>29</v>
      </c>
      <c r="J809" s="5" t="str">
        <f>IF(H809="",VLOOKUP(LEFT(F809,1),'Exp-Rev Categories'!A:B,2,FALSE),IF(ISNA(VLOOKUP(H809,'Exp-Rev Categories'!A:B,2,FALSE)),"Revenue",VLOOKUP(H809,'Exp-Rev Categories'!A:B,2,FALSE)))</f>
        <v>Exp-Goods &amp; Services</v>
      </c>
      <c r="K809" s="2">
        <v>450</v>
      </c>
      <c r="L809" s="3">
        <v>0</v>
      </c>
      <c r="M809" s="3">
        <v>0</v>
      </c>
      <c r="N809" s="3">
        <v>450</v>
      </c>
      <c r="O809" s="3">
        <v>0</v>
      </c>
      <c r="P809" s="2" t="s">
        <v>260</v>
      </c>
    </row>
    <row r="810" spans="1:16">
      <c r="A810" s="2" t="s">
        <v>280</v>
      </c>
      <c r="B810" s="2" t="s">
        <v>1</v>
      </c>
      <c r="C810" s="2" t="s">
        <v>2</v>
      </c>
      <c r="D810" s="2" t="s">
        <v>187</v>
      </c>
      <c r="E810" s="4" t="str">
        <f t="shared" si="12"/>
        <v>2469 - MATH CLUB</v>
      </c>
      <c r="F810" s="2" t="s">
        <v>23</v>
      </c>
      <c r="G810" s="2" t="s">
        <v>24</v>
      </c>
      <c r="J810" s="5" t="str">
        <f>IF(H810="",VLOOKUP(LEFT(F810,1),'Exp-Rev Categories'!A:B,2,FALSE),IF(ISNA(VLOOKUP(H810,'Exp-Rev Categories'!A:B,2,FALSE)),"Revenue",VLOOKUP(H810,'Exp-Rev Categories'!A:B,2,FALSE)))</f>
        <v>Exp-Goods &amp; Services</v>
      </c>
      <c r="K810" s="2">
        <v>0</v>
      </c>
      <c r="L810" s="3">
        <v>158.26</v>
      </c>
      <c r="M810" s="3">
        <v>0</v>
      </c>
      <c r="N810" s="3">
        <v>-158.26</v>
      </c>
      <c r="O810" s="3">
        <v>0</v>
      </c>
      <c r="P810" s="2" t="s">
        <v>260</v>
      </c>
    </row>
    <row r="811" spans="1:16">
      <c r="A811" s="2" t="s">
        <v>280</v>
      </c>
      <c r="B811" s="2" t="s">
        <v>1</v>
      </c>
      <c r="C811" s="2" t="s">
        <v>2</v>
      </c>
      <c r="D811" s="2" t="s">
        <v>187</v>
      </c>
      <c r="E811" s="4" t="str">
        <f t="shared" si="12"/>
        <v>2469 - MATH CLUB</v>
      </c>
      <c r="F811" s="2" t="s">
        <v>41</v>
      </c>
      <c r="G811" s="2" t="s">
        <v>7</v>
      </c>
      <c r="J811" s="5" t="str">
        <f>IF(H811="",VLOOKUP(LEFT(F811,1),'Exp-Rev Categories'!A:B,2,FALSE),IF(ISNA(VLOOKUP(H811,'Exp-Rev Categories'!A:B,2,FALSE)),"Revenue",VLOOKUP(H811,'Exp-Rev Categories'!A:B,2,FALSE)))</f>
        <v>Exp-Goods &amp; Services</v>
      </c>
      <c r="K811" s="2">
        <v>0</v>
      </c>
      <c r="L811" s="3">
        <v>179.22</v>
      </c>
      <c r="M811" s="3">
        <v>0</v>
      </c>
      <c r="N811" s="3">
        <v>-179.22</v>
      </c>
      <c r="O811" s="3">
        <v>0</v>
      </c>
      <c r="P811" s="2" t="s">
        <v>260</v>
      </c>
    </row>
    <row r="812" spans="1:16">
      <c r="A812" s="2" t="s">
        <v>280</v>
      </c>
      <c r="B812" s="2" t="s">
        <v>1</v>
      </c>
      <c r="C812" s="2" t="s">
        <v>2</v>
      </c>
      <c r="D812" s="2" t="s">
        <v>188</v>
      </c>
      <c r="E812" s="4" t="str">
        <f t="shared" si="12"/>
        <v>2473 - S.A.N.E.</v>
      </c>
      <c r="H812" s="2" t="s">
        <v>43</v>
      </c>
      <c r="J812" s="5" t="str">
        <f>IF(H812="",VLOOKUP(LEFT(F812,1),'Exp-Rev Categories'!A:B,2,FALSE),IF(ISNA(VLOOKUP(H812,'Exp-Rev Categories'!A:B,2,FALSE)),"Revenue",VLOOKUP(H812,'Exp-Rev Categories'!A:B,2,FALSE)))</f>
        <v>Rev-Intra-Fund Transfer</v>
      </c>
      <c r="K812" s="2">
        <v>0</v>
      </c>
      <c r="L812" s="3">
        <v>0</v>
      </c>
      <c r="M812" s="3">
        <v>0</v>
      </c>
      <c r="N812" s="3">
        <v>0</v>
      </c>
      <c r="O812" s="3">
        <v>0</v>
      </c>
      <c r="P812" s="2" t="s">
        <v>261</v>
      </c>
    </row>
    <row r="813" spans="1:16">
      <c r="A813" s="2" t="s">
        <v>280</v>
      </c>
      <c r="B813" s="2" t="s">
        <v>1</v>
      </c>
      <c r="C813" s="2" t="s">
        <v>2</v>
      </c>
      <c r="D813" s="2" t="s">
        <v>188</v>
      </c>
      <c r="E813" s="4" t="str">
        <f t="shared" si="12"/>
        <v>2473 - S.A.N.E.</v>
      </c>
      <c r="F813" s="2" t="s">
        <v>29</v>
      </c>
      <c r="J813" s="5" t="str">
        <f>IF(H813="",VLOOKUP(LEFT(F813,1),'Exp-Rev Categories'!A:B,2,FALSE),IF(ISNA(VLOOKUP(H813,'Exp-Rev Categories'!A:B,2,FALSE)),"Revenue",VLOOKUP(H813,'Exp-Rev Categories'!A:B,2,FALSE)))</f>
        <v>Exp-Goods &amp; Services</v>
      </c>
      <c r="K813" s="2">
        <v>4600</v>
      </c>
      <c r="L813" s="3">
        <v>0</v>
      </c>
      <c r="M813" s="3">
        <v>0</v>
      </c>
      <c r="N813" s="3">
        <v>4600</v>
      </c>
      <c r="O813" s="3">
        <v>0</v>
      </c>
      <c r="P813" s="2" t="s">
        <v>261</v>
      </c>
    </row>
    <row r="814" spans="1:16">
      <c r="A814" s="2" t="s">
        <v>280</v>
      </c>
      <c r="B814" s="2" t="s">
        <v>1</v>
      </c>
      <c r="C814" s="2" t="s">
        <v>2</v>
      </c>
      <c r="D814" s="2" t="s">
        <v>188</v>
      </c>
      <c r="E814" s="4" t="str">
        <f t="shared" si="12"/>
        <v>2473 - S.A.N.E.</v>
      </c>
      <c r="F814" s="2" t="s">
        <v>23</v>
      </c>
      <c r="G814" s="2" t="s">
        <v>24</v>
      </c>
      <c r="J814" s="5" t="str">
        <f>IF(H814="",VLOOKUP(LEFT(F814,1),'Exp-Rev Categories'!A:B,2,FALSE),IF(ISNA(VLOOKUP(H814,'Exp-Rev Categories'!A:B,2,FALSE)),"Revenue",VLOOKUP(H814,'Exp-Rev Categories'!A:B,2,FALSE)))</f>
        <v>Exp-Goods &amp; Services</v>
      </c>
      <c r="K814" s="2">
        <v>0</v>
      </c>
      <c r="L814" s="3">
        <v>2444.21</v>
      </c>
      <c r="M814" s="3">
        <v>0</v>
      </c>
      <c r="N814" s="3">
        <v>-2444.21</v>
      </c>
      <c r="O814" s="3">
        <v>0</v>
      </c>
      <c r="P814" s="2" t="s">
        <v>261</v>
      </c>
    </row>
    <row r="815" spans="1:16">
      <c r="A815" s="2" t="s">
        <v>280</v>
      </c>
      <c r="B815" s="2" t="s">
        <v>1</v>
      </c>
      <c r="C815" s="2" t="s">
        <v>2</v>
      </c>
      <c r="D815" s="2" t="s">
        <v>188</v>
      </c>
      <c r="E815" s="4" t="str">
        <f t="shared" si="12"/>
        <v>2473 - S.A.N.E.</v>
      </c>
      <c r="F815" s="2" t="s">
        <v>54</v>
      </c>
      <c r="G815" s="2" t="s">
        <v>56</v>
      </c>
      <c r="J815" s="5" t="str">
        <f>IF(H815="",VLOOKUP(LEFT(F815,1),'Exp-Rev Categories'!A:B,2,FALSE),IF(ISNA(VLOOKUP(H815,'Exp-Rev Categories'!A:B,2,FALSE)),"Revenue",VLOOKUP(H815,'Exp-Rev Categories'!A:B,2,FALSE)))</f>
        <v>Exp-Goods &amp; Services</v>
      </c>
      <c r="K815" s="2">
        <v>0</v>
      </c>
      <c r="L815" s="3">
        <v>0</v>
      </c>
      <c r="M815" s="3">
        <v>0</v>
      </c>
      <c r="N815" s="3">
        <v>0</v>
      </c>
      <c r="O815" s="3">
        <v>0</v>
      </c>
      <c r="P815" s="2" t="s">
        <v>261</v>
      </c>
    </row>
    <row r="816" spans="1:16">
      <c r="A816" s="2" t="s">
        <v>280</v>
      </c>
      <c r="B816" s="2" t="s">
        <v>1</v>
      </c>
      <c r="C816" s="2" t="s">
        <v>2</v>
      </c>
      <c r="D816" s="2" t="s">
        <v>188</v>
      </c>
      <c r="E816" s="4" t="str">
        <f t="shared" si="12"/>
        <v>2473 - S.A.N.E.</v>
      </c>
      <c r="F816" s="2" t="s">
        <v>41</v>
      </c>
      <c r="G816" s="2" t="s">
        <v>24</v>
      </c>
      <c r="J816" s="5" t="str">
        <f>IF(H816="",VLOOKUP(LEFT(F816,1),'Exp-Rev Categories'!A:B,2,FALSE),IF(ISNA(VLOOKUP(H816,'Exp-Rev Categories'!A:B,2,FALSE)),"Revenue",VLOOKUP(H816,'Exp-Rev Categories'!A:B,2,FALSE)))</f>
        <v>Exp-Goods &amp; Services</v>
      </c>
      <c r="K816" s="2">
        <v>0</v>
      </c>
      <c r="L816" s="3">
        <v>808.73</v>
      </c>
      <c r="M816" s="3">
        <v>0</v>
      </c>
      <c r="N816" s="3">
        <v>-808.73</v>
      </c>
      <c r="O816" s="3">
        <v>0</v>
      </c>
      <c r="P816" s="2" t="s">
        <v>261</v>
      </c>
    </row>
    <row r="817" spans="1:16">
      <c r="A817" s="2" t="s">
        <v>280</v>
      </c>
      <c r="B817" s="2" t="s">
        <v>1</v>
      </c>
      <c r="C817" s="2" t="s">
        <v>2</v>
      </c>
      <c r="D817" s="2" t="s">
        <v>188</v>
      </c>
      <c r="E817" s="4" t="str">
        <f t="shared" si="12"/>
        <v>2473 - S.A.N.E.</v>
      </c>
      <c r="F817" s="2" t="s">
        <v>41</v>
      </c>
      <c r="G817" s="2" t="s">
        <v>7</v>
      </c>
      <c r="J817" s="5" t="str">
        <f>IF(H817="",VLOOKUP(LEFT(F817,1),'Exp-Rev Categories'!A:B,2,FALSE),IF(ISNA(VLOOKUP(H817,'Exp-Rev Categories'!A:B,2,FALSE)),"Revenue",VLOOKUP(H817,'Exp-Rev Categories'!A:B,2,FALSE)))</f>
        <v>Exp-Goods &amp; Services</v>
      </c>
      <c r="K817" s="2">
        <v>0</v>
      </c>
      <c r="L817" s="3">
        <v>176.22</v>
      </c>
      <c r="M817" s="3">
        <v>0</v>
      </c>
      <c r="N817" s="3">
        <v>-176.22</v>
      </c>
      <c r="O817" s="3">
        <v>0</v>
      </c>
      <c r="P817" s="2" t="s">
        <v>261</v>
      </c>
    </row>
    <row r="818" spans="1:16">
      <c r="A818" s="2" t="s">
        <v>280</v>
      </c>
      <c r="B818" s="2" t="s">
        <v>1</v>
      </c>
      <c r="C818" s="2" t="s">
        <v>2</v>
      </c>
      <c r="D818" s="2" t="s">
        <v>188</v>
      </c>
      <c r="E818" s="4" t="str">
        <f t="shared" si="12"/>
        <v>2473 - S.A.N.E.</v>
      </c>
      <c r="F818" s="2" t="s">
        <v>267</v>
      </c>
      <c r="J818" s="5" t="str">
        <f>IF(H818="",VLOOKUP(LEFT(F818,1),'Exp-Rev Categories'!A:B,2,FALSE),IF(ISNA(VLOOKUP(H818,'Exp-Rev Categories'!A:B,2,FALSE)),"Revenue",VLOOKUP(H818,'Exp-Rev Categories'!A:B,2,FALSE)))</f>
        <v>Exp-Travel</v>
      </c>
      <c r="K818" s="2">
        <v>0</v>
      </c>
      <c r="L818" s="3">
        <v>0</v>
      </c>
      <c r="M818" s="3">
        <v>0</v>
      </c>
      <c r="N818" s="3">
        <v>0</v>
      </c>
      <c r="O818" s="3">
        <v>0</v>
      </c>
      <c r="P818" s="2" t="s">
        <v>261</v>
      </c>
    </row>
    <row r="819" spans="1:16">
      <c r="A819" s="2" t="s">
        <v>280</v>
      </c>
      <c r="B819" s="2" t="s">
        <v>1</v>
      </c>
      <c r="C819" s="2" t="s">
        <v>2</v>
      </c>
      <c r="D819" s="2" t="s">
        <v>188</v>
      </c>
      <c r="E819" s="4" t="str">
        <f t="shared" si="12"/>
        <v>2473 - S.A.N.E.</v>
      </c>
      <c r="F819" s="2" t="s">
        <v>44</v>
      </c>
      <c r="G819" s="2" t="s">
        <v>24</v>
      </c>
      <c r="J819" s="5" t="str">
        <f>IF(H819="",VLOOKUP(LEFT(F819,1),'Exp-Rev Categories'!A:B,2,FALSE),IF(ISNA(VLOOKUP(H819,'Exp-Rev Categories'!A:B,2,FALSE)),"Revenue",VLOOKUP(H819,'Exp-Rev Categories'!A:B,2,FALSE)))</f>
        <v>Exp-Travel</v>
      </c>
      <c r="K819" s="2">
        <v>0</v>
      </c>
      <c r="L819" s="3">
        <v>0</v>
      </c>
      <c r="M819" s="3">
        <v>0</v>
      </c>
      <c r="N819" s="3">
        <v>0</v>
      </c>
      <c r="O819" s="3">
        <v>0</v>
      </c>
      <c r="P819" s="2" t="s">
        <v>261</v>
      </c>
    </row>
    <row r="820" spans="1:16">
      <c r="A820" s="2" t="s">
        <v>280</v>
      </c>
      <c r="B820" s="2" t="s">
        <v>1</v>
      </c>
      <c r="C820" s="2" t="s">
        <v>2</v>
      </c>
      <c r="D820" s="2" t="s">
        <v>188</v>
      </c>
      <c r="E820" s="4" t="str">
        <f t="shared" si="12"/>
        <v>2473 - S.A.N.E.</v>
      </c>
      <c r="F820" s="2" t="s">
        <v>44</v>
      </c>
      <c r="G820" s="2" t="s">
        <v>21</v>
      </c>
      <c r="J820" s="5" t="str">
        <f>IF(H820="",VLOOKUP(LEFT(F820,1),'Exp-Rev Categories'!A:B,2,FALSE),IF(ISNA(VLOOKUP(H820,'Exp-Rev Categories'!A:B,2,FALSE)),"Revenue",VLOOKUP(H820,'Exp-Rev Categories'!A:B,2,FALSE)))</f>
        <v>Exp-Travel</v>
      </c>
      <c r="K820" s="2">
        <v>0</v>
      </c>
      <c r="L820" s="3">
        <v>0</v>
      </c>
      <c r="M820" s="3">
        <v>0</v>
      </c>
      <c r="N820" s="3">
        <v>0</v>
      </c>
      <c r="O820" s="3">
        <v>0</v>
      </c>
      <c r="P820" s="2" t="s">
        <v>261</v>
      </c>
    </row>
    <row r="821" spans="1:16">
      <c r="A821" s="2" t="s">
        <v>280</v>
      </c>
      <c r="B821" s="2" t="s">
        <v>1</v>
      </c>
      <c r="C821" s="2" t="s">
        <v>2</v>
      </c>
      <c r="D821" s="2" t="s">
        <v>188</v>
      </c>
      <c r="E821" s="4" t="str">
        <f t="shared" si="12"/>
        <v>2473 - S.A.N.E.</v>
      </c>
      <c r="F821" s="2" t="s">
        <v>44</v>
      </c>
      <c r="G821" s="2" t="s">
        <v>65</v>
      </c>
      <c r="J821" s="5" t="str">
        <f>IF(H821="",VLOOKUP(LEFT(F821,1),'Exp-Rev Categories'!A:B,2,FALSE),IF(ISNA(VLOOKUP(H821,'Exp-Rev Categories'!A:B,2,FALSE)),"Revenue",VLOOKUP(H821,'Exp-Rev Categories'!A:B,2,FALSE)))</f>
        <v>Exp-Travel</v>
      </c>
      <c r="K821" s="2">
        <v>0</v>
      </c>
      <c r="L821" s="3">
        <v>0</v>
      </c>
      <c r="M821" s="3">
        <v>0</v>
      </c>
      <c r="N821" s="3">
        <v>0</v>
      </c>
      <c r="O821" s="3">
        <v>0</v>
      </c>
      <c r="P821" s="2" t="s">
        <v>261</v>
      </c>
    </row>
    <row r="822" spans="1:16">
      <c r="A822" s="2" t="s">
        <v>280</v>
      </c>
      <c r="B822" s="2" t="s">
        <v>1</v>
      </c>
      <c r="C822" s="2" t="s">
        <v>2</v>
      </c>
      <c r="D822" s="2" t="s">
        <v>188</v>
      </c>
      <c r="E822" s="4" t="str">
        <f t="shared" si="12"/>
        <v>2473 - S.A.N.E.</v>
      </c>
      <c r="F822" s="2" t="s">
        <v>268</v>
      </c>
      <c r="J822" s="5" t="str">
        <f>IF(H822="",VLOOKUP(LEFT(F822,1),'Exp-Rev Categories'!A:B,2,FALSE),IF(ISNA(VLOOKUP(H822,'Exp-Rev Categories'!A:B,2,FALSE)),"Revenue",VLOOKUP(H822,'Exp-Rev Categories'!A:B,2,FALSE)))</f>
        <v>Exp-Equipment</v>
      </c>
      <c r="K822" s="2">
        <v>0</v>
      </c>
      <c r="L822" s="3">
        <v>0</v>
      </c>
      <c r="M822" s="3">
        <v>0</v>
      </c>
      <c r="N822" s="3">
        <v>0</v>
      </c>
      <c r="O822" s="3">
        <v>0</v>
      </c>
      <c r="P822" s="2" t="s">
        <v>261</v>
      </c>
    </row>
    <row r="823" spans="1:16">
      <c r="A823" s="2" t="s">
        <v>280</v>
      </c>
      <c r="B823" s="2" t="s">
        <v>1</v>
      </c>
      <c r="C823" s="2" t="s">
        <v>2</v>
      </c>
      <c r="D823" s="2" t="s">
        <v>188</v>
      </c>
      <c r="E823" s="4" t="str">
        <f t="shared" si="12"/>
        <v>2473 - S.A.N.E.</v>
      </c>
      <c r="F823" s="2" t="s">
        <v>61</v>
      </c>
      <c r="G823" s="2" t="s">
        <v>24</v>
      </c>
      <c r="J823" s="5" t="str">
        <f>IF(H823="",VLOOKUP(LEFT(F823,1),'Exp-Rev Categories'!A:B,2,FALSE),IF(ISNA(VLOOKUP(H823,'Exp-Rev Categories'!A:B,2,FALSE)),"Revenue",VLOOKUP(H823,'Exp-Rev Categories'!A:B,2,FALSE)))</f>
        <v>Exp-Equipment</v>
      </c>
      <c r="K823" s="2">
        <v>0</v>
      </c>
      <c r="L823" s="3">
        <v>402.05</v>
      </c>
      <c r="M823" s="3">
        <v>0</v>
      </c>
      <c r="N823" s="3">
        <v>-402.05</v>
      </c>
      <c r="O823" s="3">
        <v>0</v>
      </c>
      <c r="P823" s="2" t="s">
        <v>261</v>
      </c>
    </row>
    <row r="824" spans="1:16">
      <c r="A824" s="2" t="s">
        <v>280</v>
      </c>
      <c r="B824" s="2" t="s">
        <v>1</v>
      </c>
      <c r="C824" s="2" t="s">
        <v>2</v>
      </c>
      <c r="D824" s="2" t="s">
        <v>189</v>
      </c>
      <c r="E824" s="4" t="str">
        <f t="shared" si="12"/>
        <v>2490 - ASA WORK PROGRAMS</v>
      </c>
      <c r="F824" s="2" t="s">
        <v>190</v>
      </c>
      <c r="G824" s="2" t="s">
        <v>0</v>
      </c>
      <c r="J824" s="5" t="str">
        <f>IF(H824="",VLOOKUP(LEFT(F824,1),'Exp-Rev Categories'!A:B,2,FALSE),IF(ISNA(VLOOKUP(H824,'Exp-Rev Categories'!A:B,2,FALSE)),"Revenue",VLOOKUP(H824,'Exp-Rev Categories'!A:B,2,FALSE)))</f>
        <v>Exp-Salaries &amp; Wages</v>
      </c>
      <c r="K824" s="2">
        <v>89109</v>
      </c>
      <c r="L824" s="3">
        <v>51409.29</v>
      </c>
      <c r="M824" s="3">
        <v>0</v>
      </c>
      <c r="N824" s="3">
        <v>37699.71</v>
      </c>
      <c r="O824" s="3">
        <v>0</v>
      </c>
      <c r="P824" s="2" t="s">
        <v>262</v>
      </c>
    </row>
    <row r="825" spans="1:16">
      <c r="A825" s="2" t="s">
        <v>280</v>
      </c>
      <c r="B825" s="2" t="s">
        <v>1</v>
      </c>
      <c r="C825" s="2" t="s">
        <v>2</v>
      </c>
      <c r="D825" s="2" t="s">
        <v>189</v>
      </c>
      <c r="E825" s="4" t="str">
        <f t="shared" si="12"/>
        <v>2490 - ASA WORK PROGRAMS</v>
      </c>
      <c r="F825" s="2" t="s">
        <v>265</v>
      </c>
      <c r="J825" s="5" t="str">
        <f>IF(H825="",VLOOKUP(LEFT(F825,1),'Exp-Rev Categories'!A:B,2,FALSE),IF(ISNA(VLOOKUP(H825,'Exp-Rev Categories'!A:B,2,FALSE)),"Revenue",VLOOKUP(H825,'Exp-Rev Categories'!A:B,2,FALSE)))</f>
        <v>Exp-Benefits</v>
      </c>
      <c r="K825" s="2">
        <v>891</v>
      </c>
      <c r="L825" s="3">
        <v>0</v>
      </c>
      <c r="M825" s="3">
        <v>0</v>
      </c>
      <c r="N825" s="3">
        <v>891</v>
      </c>
      <c r="O825" s="3">
        <v>0</v>
      </c>
      <c r="P825" s="2" t="s">
        <v>262</v>
      </c>
    </row>
    <row r="826" spans="1:16">
      <c r="A826" s="2" t="s">
        <v>280</v>
      </c>
      <c r="B826" s="2" t="s">
        <v>1</v>
      </c>
      <c r="C826" s="2" t="s">
        <v>2</v>
      </c>
      <c r="D826" s="2" t="s">
        <v>189</v>
      </c>
      <c r="E826" s="4" t="str">
        <f t="shared" si="12"/>
        <v>2490 - ASA WORK PROGRAMS</v>
      </c>
      <c r="F826" s="2" t="s">
        <v>37</v>
      </c>
      <c r="J826" s="5" t="str">
        <f>IF(H826="",VLOOKUP(LEFT(F826,1),'Exp-Rev Categories'!A:B,2,FALSE),IF(ISNA(VLOOKUP(H826,'Exp-Rev Categories'!A:B,2,FALSE)),"Revenue",VLOOKUP(H826,'Exp-Rev Categories'!A:B,2,FALSE)))</f>
        <v>Exp-Benefits</v>
      </c>
      <c r="K826" s="2">
        <v>0</v>
      </c>
      <c r="L826" s="3">
        <v>1406.95</v>
      </c>
      <c r="M826" s="3">
        <v>0</v>
      </c>
      <c r="N826" s="3">
        <v>-1406.95</v>
      </c>
      <c r="O826" s="3">
        <v>0</v>
      </c>
      <c r="P826" s="2" t="s">
        <v>262</v>
      </c>
    </row>
    <row r="827" spans="1:16">
      <c r="A827" s="2" t="s">
        <v>280</v>
      </c>
      <c r="B827" s="2" t="s">
        <v>1</v>
      </c>
      <c r="C827" s="2" t="s">
        <v>2</v>
      </c>
      <c r="D827" s="2" t="s">
        <v>191</v>
      </c>
      <c r="E827" s="4" t="str">
        <f t="shared" si="12"/>
        <v>2499 - FEE &amp; INT.REV.ASA</v>
      </c>
      <c r="H827" s="2" t="s">
        <v>4</v>
      </c>
      <c r="J827" s="5" t="str">
        <f>IF(H827="",VLOOKUP(LEFT(F827,1),'Exp-Rev Categories'!A:B,2,FALSE),IF(ISNA(VLOOKUP(H827,'Exp-Rev Categories'!A:B,2,FALSE)),"Revenue",VLOOKUP(H827,'Exp-Rev Categories'!A:B,2,FALSE)))</f>
        <v>Revenue</v>
      </c>
      <c r="K827" s="2">
        <v>0</v>
      </c>
      <c r="L827" s="3">
        <v>-7803.29</v>
      </c>
      <c r="M827" s="3">
        <v>0</v>
      </c>
      <c r="N827" s="3">
        <v>7803.29</v>
      </c>
      <c r="O827" s="3">
        <v>-2442.7399999999998</v>
      </c>
      <c r="P827" s="2" t="s">
        <v>396</v>
      </c>
    </row>
    <row r="828" spans="1:16">
      <c r="A828" s="2" t="s">
        <v>280</v>
      </c>
      <c r="B828" s="2" t="s">
        <v>1</v>
      </c>
      <c r="C828" s="2" t="s">
        <v>2</v>
      </c>
      <c r="D828" s="2" t="s">
        <v>191</v>
      </c>
      <c r="E828" s="4" t="str">
        <f t="shared" si="12"/>
        <v>2499 - FEE &amp; INT.REV.ASA</v>
      </c>
      <c r="H828" s="2" t="s">
        <v>8</v>
      </c>
      <c r="I828" s="2" t="s">
        <v>9</v>
      </c>
      <c r="J828" s="5" t="str">
        <f>IF(H828="",VLOOKUP(LEFT(F828,1),'Exp-Rev Categories'!A:B,2,FALSE),IF(ISNA(VLOOKUP(H828,'Exp-Rev Categories'!A:B,2,FALSE)),"Revenue",VLOOKUP(H828,'Exp-Rev Categories'!A:B,2,FALSE)))</f>
        <v>Revenue</v>
      </c>
      <c r="K828" s="2">
        <v>0</v>
      </c>
      <c r="L828" s="3">
        <v>-1580.03</v>
      </c>
      <c r="M828" s="3">
        <v>0</v>
      </c>
      <c r="N828" s="3">
        <v>1580.03</v>
      </c>
      <c r="O828" s="3">
        <v>0</v>
      </c>
      <c r="P828" s="2" t="s">
        <v>396</v>
      </c>
    </row>
    <row r="829" spans="1:16">
      <c r="A829" s="2" t="s">
        <v>280</v>
      </c>
      <c r="B829" s="2" t="s">
        <v>1</v>
      </c>
      <c r="C829" s="2" t="s">
        <v>2</v>
      </c>
      <c r="D829" s="2" t="s">
        <v>191</v>
      </c>
      <c r="E829" s="4" t="str">
        <f t="shared" si="12"/>
        <v>2499 - FEE &amp; INT.REV.ASA</v>
      </c>
      <c r="H829" s="2" t="s">
        <v>8</v>
      </c>
      <c r="I829" s="2" t="s">
        <v>10</v>
      </c>
      <c r="J829" s="5" t="str">
        <f>IF(H829="",VLOOKUP(LEFT(F829,1),'Exp-Rev Categories'!A:B,2,FALSE),IF(ISNA(VLOOKUP(H829,'Exp-Rev Categories'!A:B,2,FALSE)),"Revenue",VLOOKUP(H829,'Exp-Rev Categories'!A:B,2,FALSE)))</f>
        <v>Revenue</v>
      </c>
      <c r="K829" s="2">
        <v>0</v>
      </c>
      <c r="L829" s="3">
        <v>-200.49</v>
      </c>
      <c r="M829" s="3">
        <v>0</v>
      </c>
      <c r="N829" s="3">
        <v>200.49</v>
      </c>
      <c r="O829" s="3">
        <v>0</v>
      </c>
      <c r="P829" s="2" t="s">
        <v>396</v>
      </c>
    </row>
    <row r="830" spans="1:16">
      <c r="A830" s="2" t="s">
        <v>280</v>
      </c>
      <c r="B830" s="2" t="s">
        <v>1</v>
      </c>
      <c r="C830" s="2" t="s">
        <v>2</v>
      </c>
      <c r="D830" s="2" t="s">
        <v>191</v>
      </c>
      <c r="E830" s="4" t="str">
        <f t="shared" si="12"/>
        <v>2499 - FEE &amp; INT.REV.ASA</v>
      </c>
      <c r="H830" s="2" t="s">
        <v>8</v>
      </c>
      <c r="I830" s="2" t="s">
        <v>11</v>
      </c>
      <c r="J830" s="5" t="str">
        <f>IF(H830="",VLOOKUP(LEFT(F830,1),'Exp-Rev Categories'!A:B,2,FALSE),IF(ISNA(VLOOKUP(H830,'Exp-Rev Categories'!A:B,2,FALSE)),"Revenue",VLOOKUP(H830,'Exp-Rev Categories'!A:B,2,FALSE)))</f>
        <v>Revenue</v>
      </c>
      <c r="K830" s="2">
        <v>0</v>
      </c>
      <c r="L830" s="3">
        <v>-2932.99</v>
      </c>
      <c r="M830" s="3">
        <v>0</v>
      </c>
      <c r="N830" s="3">
        <v>2932.99</v>
      </c>
      <c r="O830" s="3">
        <v>0</v>
      </c>
      <c r="P830" s="2" t="s">
        <v>396</v>
      </c>
    </row>
    <row r="831" spans="1:16">
      <c r="A831" s="2" t="s">
        <v>280</v>
      </c>
      <c r="B831" s="2" t="s">
        <v>1</v>
      </c>
      <c r="C831" s="2" t="s">
        <v>2</v>
      </c>
      <c r="D831" s="2" t="s">
        <v>191</v>
      </c>
      <c r="E831" s="4" t="str">
        <f t="shared" si="12"/>
        <v>2499 - FEE &amp; INT.REV.ASA</v>
      </c>
      <c r="H831" s="2" t="s">
        <v>8</v>
      </c>
      <c r="I831" s="2" t="s">
        <v>12</v>
      </c>
      <c r="J831" s="5" t="str">
        <f>IF(H831="",VLOOKUP(LEFT(F831,1),'Exp-Rev Categories'!A:B,2,FALSE),IF(ISNA(VLOOKUP(H831,'Exp-Rev Categories'!A:B,2,FALSE)),"Revenue",VLOOKUP(H831,'Exp-Rev Categories'!A:B,2,FALSE)))</f>
        <v>Revenue</v>
      </c>
      <c r="K831" s="2">
        <v>0</v>
      </c>
      <c r="L831" s="3">
        <v>-1219.71</v>
      </c>
      <c r="M831" s="3">
        <v>0</v>
      </c>
      <c r="N831" s="3">
        <v>1219.71</v>
      </c>
      <c r="O831" s="3">
        <v>0</v>
      </c>
      <c r="P831" s="2" t="s">
        <v>396</v>
      </c>
    </row>
    <row r="832" spans="1:16">
      <c r="A832" s="2" t="s">
        <v>280</v>
      </c>
      <c r="B832" s="2" t="s">
        <v>1</v>
      </c>
      <c r="C832" s="2" t="s">
        <v>2</v>
      </c>
      <c r="D832" s="2" t="s">
        <v>191</v>
      </c>
      <c r="E832" s="4" t="str">
        <f t="shared" si="12"/>
        <v>2499 - FEE &amp; INT.REV.ASA</v>
      </c>
      <c r="H832" s="2" t="s">
        <v>8</v>
      </c>
      <c r="I832" s="2" t="s">
        <v>13</v>
      </c>
      <c r="J832" s="5" t="str">
        <f>IF(H832="",VLOOKUP(LEFT(F832,1),'Exp-Rev Categories'!A:B,2,FALSE),IF(ISNA(VLOOKUP(H832,'Exp-Rev Categories'!A:B,2,FALSE)),"Revenue",VLOOKUP(H832,'Exp-Rev Categories'!A:B,2,FALSE)))</f>
        <v>Revenue</v>
      </c>
      <c r="K832" s="2">
        <v>0</v>
      </c>
      <c r="L832" s="3">
        <v>-259.02999999999997</v>
      </c>
      <c r="M832" s="3">
        <v>0</v>
      </c>
      <c r="N832" s="3">
        <v>259.02999999999997</v>
      </c>
      <c r="O832" s="3">
        <v>0</v>
      </c>
      <c r="P832" s="2" t="s">
        <v>396</v>
      </c>
    </row>
    <row r="833" spans="1:16">
      <c r="A833" s="2" t="s">
        <v>280</v>
      </c>
      <c r="B833" s="2" t="s">
        <v>1</v>
      </c>
      <c r="C833" s="2" t="s">
        <v>2</v>
      </c>
      <c r="D833" s="2" t="s">
        <v>191</v>
      </c>
      <c r="E833" s="4" t="str">
        <f t="shared" si="12"/>
        <v>2499 - FEE &amp; INT.REV.ASA</v>
      </c>
      <c r="H833" s="2" t="s">
        <v>8</v>
      </c>
      <c r="I833" s="2" t="s">
        <v>14</v>
      </c>
      <c r="J833" s="5" t="str">
        <f>IF(H833="",VLOOKUP(LEFT(F833,1),'Exp-Rev Categories'!A:B,2,FALSE),IF(ISNA(VLOOKUP(H833,'Exp-Rev Categories'!A:B,2,FALSE)),"Revenue",VLOOKUP(H833,'Exp-Rev Categories'!A:B,2,FALSE)))</f>
        <v>Revenue</v>
      </c>
      <c r="K833" s="2">
        <v>0</v>
      </c>
      <c r="L833" s="3">
        <v>-17.309999999999999</v>
      </c>
      <c r="M833" s="3">
        <v>0</v>
      </c>
      <c r="N833" s="3">
        <v>17.309999999999999</v>
      </c>
      <c r="O833" s="3">
        <v>0</v>
      </c>
      <c r="P833" s="2" t="s">
        <v>396</v>
      </c>
    </row>
    <row r="834" spans="1:16">
      <c r="A834" s="2" t="s">
        <v>280</v>
      </c>
      <c r="B834" s="2" t="s">
        <v>1</v>
      </c>
      <c r="C834" s="2" t="s">
        <v>2</v>
      </c>
      <c r="D834" s="2" t="s">
        <v>191</v>
      </c>
      <c r="E834" s="4" t="str">
        <f t="shared" ref="E834:E897" si="13">D834&amp;" - "&amp;P834</f>
        <v>2499 - FEE &amp; INT.REV.ASA</v>
      </c>
      <c r="H834" s="2" t="s">
        <v>8</v>
      </c>
      <c r="I834" s="2" t="s">
        <v>15</v>
      </c>
      <c r="J834" s="5" t="str">
        <f>IF(H834="",VLOOKUP(LEFT(F834,1),'Exp-Rev Categories'!A:B,2,FALSE),IF(ISNA(VLOOKUP(H834,'Exp-Rev Categories'!A:B,2,FALSE)),"Revenue",VLOOKUP(H834,'Exp-Rev Categories'!A:B,2,FALSE)))</f>
        <v>Revenue</v>
      </c>
      <c r="K834" s="2">
        <v>0</v>
      </c>
      <c r="L834" s="3">
        <v>-53250.52</v>
      </c>
      <c r="M834" s="3">
        <v>0</v>
      </c>
      <c r="N834" s="3">
        <v>53250.52</v>
      </c>
      <c r="O834" s="3">
        <v>0</v>
      </c>
      <c r="P834" s="2" t="s">
        <v>396</v>
      </c>
    </row>
    <row r="835" spans="1:16">
      <c r="A835" s="2" t="s">
        <v>280</v>
      </c>
      <c r="B835" s="2" t="s">
        <v>1</v>
      </c>
      <c r="C835" s="2" t="s">
        <v>2</v>
      </c>
      <c r="D835" s="2" t="s">
        <v>191</v>
      </c>
      <c r="E835" s="4" t="str">
        <f t="shared" si="13"/>
        <v>2499 - FEE &amp; INT.REV.ASA</v>
      </c>
      <c r="H835" s="2" t="s">
        <v>8</v>
      </c>
      <c r="I835" s="2" t="s">
        <v>16</v>
      </c>
      <c r="J835" s="5" t="str">
        <f>IF(H835="",VLOOKUP(LEFT(F835,1),'Exp-Rev Categories'!A:B,2,FALSE),IF(ISNA(VLOOKUP(H835,'Exp-Rev Categories'!A:B,2,FALSE)),"Revenue",VLOOKUP(H835,'Exp-Rev Categories'!A:B,2,FALSE)))</f>
        <v>Revenue</v>
      </c>
      <c r="K835" s="2">
        <v>0</v>
      </c>
      <c r="L835" s="3">
        <v>-94507.99</v>
      </c>
      <c r="M835" s="3">
        <v>0</v>
      </c>
      <c r="N835" s="3">
        <v>94507.99</v>
      </c>
      <c r="O835" s="3">
        <v>0</v>
      </c>
      <c r="P835" s="2" t="s">
        <v>396</v>
      </c>
    </row>
    <row r="836" spans="1:16">
      <c r="A836" s="2" t="s">
        <v>280</v>
      </c>
      <c r="B836" s="2" t="s">
        <v>1</v>
      </c>
      <c r="C836" s="2" t="s">
        <v>2</v>
      </c>
      <c r="D836" s="2" t="s">
        <v>191</v>
      </c>
      <c r="E836" s="4" t="str">
        <f t="shared" si="13"/>
        <v>2499 - FEE &amp; INT.REV.ASA</v>
      </c>
      <c r="H836" s="2" t="s">
        <v>8</v>
      </c>
      <c r="I836" s="2" t="s">
        <v>17</v>
      </c>
      <c r="J836" s="5" t="str">
        <f>IF(H836="",VLOOKUP(LEFT(F836,1),'Exp-Rev Categories'!A:B,2,FALSE),IF(ISNA(VLOOKUP(H836,'Exp-Rev Categories'!A:B,2,FALSE)),"Revenue",VLOOKUP(H836,'Exp-Rev Categories'!A:B,2,FALSE)))</f>
        <v>Revenue</v>
      </c>
      <c r="K836" s="2">
        <v>0</v>
      </c>
      <c r="L836" s="3">
        <v>-904.08</v>
      </c>
      <c r="M836" s="3">
        <v>0</v>
      </c>
      <c r="N836" s="3">
        <v>904.08</v>
      </c>
      <c r="O836" s="3">
        <v>0</v>
      </c>
      <c r="P836" s="2" t="s">
        <v>396</v>
      </c>
    </row>
    <row r="837" spans="1:16">
      <c r="A837" s="2" t="s">
        <v>280</v>
      </c>
      <c r="B837" s="2" t="s">
        <v>1</v>
      </c>
      <c r="C837" s="2" t="s">
        <v>2</v>
      </c>
      <c r="D837" s="2" t="s">
        <v>191</v>
      </c>
      <c r="E837" s="4" t="str">
        <f t="shared" si="13"/>
        <v>2499 - FEE &amp; INT.REV.ASA</v>
      </c>
      <c r="H837" s="2" t="s">
        <v>8</v>
      </c>
      <c r="I837" s="2" t="s">
        <v>18</v>
      </c>
      <c r="J837" s="5" t="str">
        <f>IF(H837="",VLOOKUP(LEFT(F837,1),'Exp-Rev Categories'!A:B,2,FALSE),IF(ISNA(VLOOKUP(H837,'Exp-Rev Categories'!A:B,2,FALSE)),"Revenue",VLOOKUP(H837,'Exp-Rev Categories'!A:B,2,FALSE)))</f>
        <v>Revenue</v>
      </c>
      <c r="K837" s="2">
        <v>0</v>
      </c>
      <c r="L837" s="3">
        <v>-8772.35</v>
      </c>
      <c r="M837" s="3">
        <v>0</v>
      </c>
      <c r="N837" s="3">
        <v>8772.35</v>
      </c>
      <c r="O837" s="3">
        <v>0</v>
      </c>
      <c r="P837" s="2" t="s">
        <v>396</v>
      </c>
    </row>
    <row r="838" spans="1:16">
      <c r="A838" s="2" t="s">
        <v>280</v>
      </c>
      <c r="B838" s="2" t="s">
        <v>1</v>
      </c>
      <c r="C838" s="2" t="s">
        <v>2</v>
      </c>
      <c r="D838" s="2" t="s">
        <v>191</v>
      </c>
      <c r="E838" s="4" t="str">
        <f t="shared" si="13"/>
        <v>2499 - FEE &amp; INT.REV.ASA</v>
      </c>
      <c r="H838" s="2" t="s">
        <v>8</v>
      </c>
      <c r="I838" s="2" t="s">
        <v>19</v>
      </c>
      <c r="J838" s="5" t="str">
        <f>IF(H838="",VLOOKUP(LEFT(F838,1),'Exp-Rev Categories'!A:B,2,FALSE),IF(ISNA(VLOOKUP(H838,'Exp-Rev Categories'!A:B,2,FALSE)),"Revenue",VLOOKUP(H838,'Exp-Rev Categories'!A:B,2,FALSE)))</f>
        <v>Revenue</v>
      </c>
      <c r="K838" s="2">
        <v>0</v>
      </c>
      <c r="L838" s="3">
        <v>-4841.1499999999996</v>
      </c>
      <c r="M838" s="3">
        <v>0</v>
      </c>
      <c r="N838" s="3">
        <v>4841.1499999999996</v>
      </c>
      <c r="O838" s="3">
        <v>0</v>
      </c>
      <c r="P838" s="2" t="s">
        <v>396</v>
      </c>
    </row>
    <row r="839" spans="1:16">
      <c r="A839" s="2" t="s">
        <v>280</v>
      </c>
      <c r="B839" s="2" t="s">
        <v>1</v>
      </c>
      <c r="C839" s="2" t="s">
        <v>2</v>
      </c>
      <c r="D839" s="2" t="s">
        <v>191</v>
      </c>
      <c r="E839" s="4" t="str">
        <f t="shared" si="13"/>
        <v>2499 - FEE &amp; INT.REV.ASA</v>
      </c>
      <c r="H839" s="2" t="s">
        <v>8</v>
      </c>
      <c r="I839" s="2" t="s">
        <v>20</v>
      </c>
      <c r="J839" s="5" t="str">
        <f>IF(H839="",VLOOKUP(LEFT(F839,1),'Exp-Rev Categories'!A:B,2,FALSE),IF(ISNA(VLOOKUP(H839,'Exp-Rev Categories'!A:B,2,FALSE)),"Revenue",VLOOKUP(H839,'Exp-Rev Categories'!A:B,2,FALSE)))</f>
        <v>Revenue</v>
      </c>
      <c r="K839" s="2">
        <v>0</v>
      </c>
      <c r="L839" s="3">
        <v>-665712.86</v>
      </c>
      <c r="M839" s="3">
        <v>0</v>
      </c>
      <c r="N839" s="3">
        <v>665712.86</v>
      </c>
      <c r="O839" s="3">
        <v>0</v>
      </c>
      <c r="P839" s="2" t="s">
        <v>396</v>
      </c>
    </row>
    <row r="840" spans="1:16">
      <c r="A840" s="2" t="s">
        <v>280</v>
      </c>
      <c r="B840" s="2" t="s">
        <v>1</v>
      </c>
      <c r="C840" s="2" t="s">
        <v>2</v>
      </c>
      <c r="D840" s="2" t="s">
        <v>191</v>
      </c>
      <c r="E840" s="4" t="str">
        <f t="shared" si="13"/>
        <v>2499 - FEE &amp; INT.REV.ASA</v>
      </c>
      <c r="H840" s="2" t="s">
        <v>139</v>
      </c>
      <c r="J840" s="5" t="str">
        <f>IF(H840="",VLOOKUP(LEFT(F840,1),'Exp-Rev Categories'!A:B,2,FALSE),IF(ISNA(VLOOKUP(H840,'Exp-Rev Categories'!A:B,2,FALSE)),"Revenue",VLOOKUP(H840,'Exp-Rev Categories'!A:B,2,FALSE)))</f>
        <v>Rev-Fund Transfers - In</v>
      </c>
      <c r="K840" s="2">
        <v>0</v>
      </c>
      <c r="L840" s="3">
        <v>-27000</v>
      </c>
      <c r="M840" s="3">
        <v>0</v>
      </c>
      <c r="N840" s="3">
        <v>27000</v>
      </c>
      <c r="O840" s="3">
        <v>0</v>
      </c>
      <c r="P840" s="2" t="s">
        <v>396</v>
      </c>
    </row>
  </sheetData>
  <autoFilter ref="A1:P840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topLeftCell="A6" workbookViewId="0">
      <selection activeCell="B3" sqref="B3"/>
    </sheetView>
  </sheetViews>
  <sheetFormatPr defaultRowHeight="15"/>
  <cols>
    <col min="2" max="2" width="28.7109375" bestFit="1" customWidth="1"/>
  </cols>
  <sheetData>
    <row r="1" spans="1:3">
      <c r="A1" s="6" t="s">
        <v>263</v>
      </c>
      <c r="B1" s="6" t="s">
        <v>264</v>
      </c>
      <c r="C1" s="6" t="s">
        <v>418</v>
      </c>
    </row>
    <row r="2" spans="1:3">
      <c r="A2" s="7" t="s">
        <v>22</v>
      </c>
      <c r="B2" t="s">
        <v>271</v>
      </c>
      <c r="C2">
        <v>1</v>
      </c>
    </row>
    <row r="3" spans="1:3">
      <c r="B3" t="s">
        <v>363</v>
      </c>
      <c r="C3">
        <v>2</v>
      </c>
    </row>
    <row r="4" spans="1:3">
      <c r="A4" s="7" t="s">
        <v>43</v>
      </c>
      <c r="B4" t="s">
        <v>292</v>
      </c>
      <c r="C4">
        <v>3</v>
      </c>
    </row>
    <row r="5" spans="1:3">
      <c r="A5" s="7" t="s">
        <v>139</v>
      </c>
      <c r="B5" t="s">
        <v>290</v>
      </c>
      <c r="C5">
        <v>4</v>
      </c>
    </row>
    <row r="6" spans="1:3">
      <c r="A6" s="7" t="s">
        <v>53</v>
      </c>
      <c r="B6" t="s">
        <v>291</v>
      </c>
      <c r="C6">
        <v>5</v>
      </c>
    </row>
    <row r="7" spans="1:3">
      <c r="A7" t="s">
        <v>194</v>
      </c>
      <c r="B7" t="s">
        <v>281</v>
      </c>
      <c r="C7">
        <v>6</v>
      </c>
    </row>
    <row r="8" spans="1:3">
      <c r="A8" t="s">
        <v>265</v>
      </c>
      <c r="B8" t="s">
        <v>282</v>
      </c>
      <c r="C8">
        <v>7</v>
      </c>
    </row>
    <row r="9" spans="1:3" s="1" customFormat="1">
      <c r="A9" s="1" t="s">
        <v>266</v>
      </c>
      <c r="B9" s="1" t="s">
        <v>283</v>
      </c>
      <c r="C9" s="1">
        <v>8</v>
      </c>
    </row>
    <row r="10" spans="1:3">
      <c r="A10" t="s">
        <v>29</v>
      </c>
      <c r="B10" t="s">
        <v>284</v>
      </c>
      <c r="C10">
        <v>9</v>
      </c>
    </row>
    <row r="11" spans="1:3">
      <c r="A11" s="1" t="s">
        <v>267</v>
      </c>
      <c r="B11" t="s">
        <v>285</v>
      </c>
      <c r="C11">
        <v>10</v>
      </c>
    </row>
    <row r="12" spans="1:3">
      <c r="A12" s="1" t="s">
        <v>268</v>
      </c>
      <c r="B12" t="s">
        <v>286</v>
      </c>
      <c r="C12">
        <v>11</v>
      </c>
    </row>
    <row r="13" spans="1:3">
      <c r="A13" s="1" t="s">
        <v>269</v>
      </c>
      <c r="B13" t="s">
        <v>287</v>
      </c>
      <c r="C13">
        <v>12</v>
      </c>
    </row>
    <row r="14" spans="1:3">
      <c r="A14" s="1" t="s">
        <v>193</v>
      </c>
      <c r="B14" t="s">
        <v>288</v>
      </c>
      <c r="C14">
        <v>13</v>
      </c>
    </row>
    <row r="15" spans="1:3">
      <c r="A15" t="s">
        <v>270</v>
      </c>
      <c r="B15" t="s">
        <v>289</v>
      </c>
      <c r="C15">
        <v>14</v>
      </c>
    </row>
  </sheetData>
  <sortState ref="A2:C15">
    <sortCondition ref="C2:C1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Pivot</vt:lpstr>
      <vt:lpstr>BSPRGORG-T</vt:lpstr>
      <vt:lpstr>Exp-Rev Categories</vt:lpstr>
      <vt:lpstr>'BSPRGORG-T'!Database</vt:lpstr>
      <vt:lpstr>Pivot!Print_Titles</vt:lpstr>
    </vt:vector>
  </TitlesOfParts>
  <Company>Spokane Community College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DEaker</dc:creator>
  <cp:lastModifiedBy>DEaker</cp:lastModifiedBy>
  <cp:lastPrinted>2013-09-12T21:50:50Z</cp:lastPrinted>
  <dcterms:created xsi:type="dcterms:W3CDTF">2013-09-03T16:20:48Z</dcterms:created>
  <dcterms:modified xsi:type="dcterms:W3CDTF">2013-09-12T21:51:09Z</dcterms:modified>
</cp:coreProperties>
</file>