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2" yWindow="-12" windowWidth="10080" windowHeight="9348" activeTab="1"/>
  </bookViews>
  <sheets>
    <sheet name="Data" sheetId="1" r:id="rId1"/>
    <sheet name="New Figure 17" sheetId="3" r:id="rId2"/>
  </sheets>
  <externalReferences>
    <externalReference r:id="rId3"/>
  </externalReferences>
  <definedNames>
    <definedName name="_xlnm.Print_Area" localSheetId="0">Data!$A$4:$F$60</definedName>
  </definedNames>
  <calcPr calcId="145621"/>
</workbook>
</file>

<file path=xl/calcChain.xml><?xml version="1.0" encoding="utf-8"?>
<calcChain xmlns="http://schemas.openxmlformats.org/spreadsheetml/2006/main">
  <c r="G230" i="1" l="1"/>
  <c r="F230" i="1"/>
  <c r="E230" i="1"/>
  <c r="C230" i="1"/>
  <c r="G229" i="1" l="1"/>
  <c r="F229" i="1"/>
  <c r="E229" i="1"/>
  <c r="C229" i="1"/>
  <c r="G228" i="1" l="1"/>
  <c r="F228" i="1"/>
  <c r="E228" i="1"/>
  <c r="C228" i="1"/>
  <c r="G227" i="1" l="1"/>
  <c r="F227" i="1"/>
  <c r="E227" i="1"/>
  <c r="C227" i="1"/>
  <c r="G226" i="1" l="1"/>
  <c r="F226" i="1"/>
  <c r="E226" i="1"/>
  <c r="C226" i="1"/>
  <c r="G225" i="1"/>
  <c r="F225" i="1"/>
  <c r="E225" i="1"/>
  <c r="C225" i="1"/>
  <c r="G224" i="1" l="1"/>
  <c r="F224" i="1"/>
  <c r="E224" i="1"/>
  <c r="C224" i="1"/>
  <c r="G223" i="1" l="1"/>
  <c r="F223" i="1"/>
  <c r="E223" i="1"/>
  <c r="C223" i="1"/>
  <c r="G222" i="1" l="1"/>
  <c r="F222" i="1"/>
  <c r="E222" i="1"/>
  <c r="C222" i="1"/>
  <c r="G221" i="1" l="1"/>
  <c r="F221" i="1"/>
  <c r="E221" i="1"/>
  <c r="C221" i="1"/>
  <c r="G220" i="1" l="1"/>
  <c r="F220" i="1"/>
  <c r="E220" i="1"/>
  <c r="C220" i="1"/>
  <c r="G219" i="1" l="1"/>
  <c r="F219" i="1"/>
  <c r="E219" i="1"/>
  <c r="C219" i="1"/>
  <c r="G218" i="1" l="1"/>
  <c r="F218" i="1"/>
  <c r="E218" i="1"/>
  <c r="C218" i="1"/>
  <c r="G217" i="1" l="1"/>
  <c r="F217" i="1"/>
  <c r="E217" i="1"/>
  <c r="C217" i="1"/>
  <c r="G216" i="1" l="1"/>
  <c r="F216" i="1"/>
  <c r="E216" i="1"/>
  <c r="C216" i="1"/>
  <c r="G215" i="1" l="1"/>
  <c r="F215" i="1"/>
  <c r="E215" i="1"/>
  <c r="C215" i="1"/>
  <c r="G214" i="1" l="1"/>
  <c r="F214" i="1"/>
  <c r="E214" i="1"/>
  <c r="C214" i="1"/>
  <c r="G213" i="1" l="1"/>
  <c r="F213" i="1"/>
  <c r="E213" i="1"/>
  <c r="C213" i="1"/>
  <c r="G212" i="1" l="1"/>
  <c r="F212" i="1"/>
  <c r="E212" i="1"/>
  <c r="C212" i="1"/>
  <c r="G211" i="1" l="1"/>
  <c r="F211" i="1"/>
  <c r="E211" i="1"/>
  <c r="C211" i="1"/>
  <c r="G210" i="1" l="1"/>
  <c r="F210" i="1"/>
  <c r="E210" i="1"/>
  <c r="C210" i="1"/>
  <c r="G209" i="1" l="1"/>
  <c r="F209" i="1"/>
  <c r="E209" i="1"/>
  <c r="C209" i="1"/>
  <c r="G208" i="1" l="1"/>
  <c r="F208" i="1"/>
  <c r="E208" i="1"/>
  <c r="C208" i="1"/>
  <c r="G207" i="1" l="1"/>
  <c r="F207" i="1"/>
  <c r="E207" i="1"/>
  <c r="C207" i="1"/>
  <c r="G206" i="1" l="1"/>
  <c r="F206" i="1"/>
  <c r="E206" i="1"/>
  <c r="C206" i="1"/>
  <c r="G205" i="1" l="1"/>
  <c r="F205" i="1"/>
  <c r="E205" i="1"/>
  <c r="C205" i="1"/>
  <c r="G204" i="1" l="1"/>
  <c r="F204" i="1"/>
  <c r="E204" i="1"/>
  <c r="C204" i="1"/>
  <c r="G203" i="1" l="1"/>
  <c r="F203" i="1"/>
  <c r="E203" i="1"/>
  <c r="C203" i="1"/>
  <c r="G202" i="1" l="1"/>
  <c r="F202" i="1"/>
  <c r="E202" i="1"/>
  <c r="C202" i="1"/>
  <c r="G201" i="1" l="1"/>
  <c r="E201" i="1"/>
  <c r="C201" i="1"/>
  <c r="F201" i="1"/>
  <c r="G200" i="1" l="1"/>
  <c r="E200" i="1"/>
  <c r="C200" i="1"/>
  <c r="F200" i="1"/>
  <c r="G199" i="1" l="1"/>
  <c r="E199" i="1"/>
  <c r="C199" i="1"/>
  <c r="F199" i="1"/>
  <c r="G198" i="1" l="1"/>
  <c r="E198" i="1"/>
  <c r="F198" i="1"/>
  <c r="C198" i="1"/>
  <c r="G197" i="1" l="1"/>
  <c r="E197" i="1"/>
  <c r="C197" i="1"/>
  <c r="F197" i="1"/>
  <c r="G196" i="1" l="1"/>
  <c r="E196" i="1"/>
  <c r="C196" i="1"/>
  <c r="F196" i="1"/>
  <c r="G195" i="1" l="1"/>
  <c r="E195" i="1"/>
  <c r="C195" i="1"/>
  <c r="F195" i="1"/>
  <c r="E194" i="1" l="1"/>
  <c r="C194" i="1"/>
  <c r="F194" i="1"/>
  <c r="E193" i="1" l="1"/>
  <c r="C193" i="1"/>
  <c r="F193" i="1"/>
  <c r="E192" i="1" l="1"/>
  <c r="C192" i="1"/>
  <c r="F192" i="1"/>
  <c r="E191" i="1" l="1"/>
  <c r="C191" i="1"/>
  <c r="F191" i="1"/>
  <c r="E190" i="1" l="1"/>
  <c r="C190" i="1"/>
  <c r="F190" i="1"/>
  <c r="E189" i="1" l="1"/>
  <c r="C189" i="1"/>
  <c r="F189" i="1"/>
  <c r="E188" i="1" l="1"/>
  <c r="C188" i="1"/>
  <c r="F188" i="1"/>
  <c r="E187" i="1" l="1"/>
  <c r="C187" i="1"/>
  <c r="F187" i="1"/>
  <c r="E186" i="1" l="1"/>
  <c r="C186" i="1"/>
  <c r="F186" i="1"/>
  <c r="E185" i="1" l="1"/>
  <c r="C185" i="1"/>
  <c r="F185" i="1"/>
  <c r="E184" i="1"/>
  <c r="C184" i="1"/>
  <c r="F184" i="1"/>
  <c r="E183" i="1"/>
  <c r="C183" i="1"/>
  <c r="F183" i="1"/>
  <c r="E182" i="1"/>
  <c r="C182" i="1"/>
  <c r="F182" i="1"/>
  <c r="E181" i="1"/>
  <c r="C181" i="1"/>
  <c r="F181" i="1"/>
  <c r="E180" i="1"/>
  <c r="C180" i="1"/>
  <c r="F180" i="1"/>
  <c r="E179" i="1"/>
  <c r="C179" i="1"/>
  <c r="F179" i="1"/>
  <c r="E178" i="1"/>
  <c r="C178" i="1"/>
  <c r="F178" i="1"/>
  <c r="G190" i="1" s="1"/>
  <c r="E177" i="1"/>
  <c r="C177" i="1"/>
  <c r="F177" i="1"/>
  <c r="E176" i="1"/>
  <c r="C176" i="1"/>
  <c r="F176" i="1"/>
  <c r="E175" i="1"/>
  <c r="C175" i="1"/>
  <c r="F175" i="1"/>
  <c r="E174" i="1"/>
  <c r="C174" i="1"/>
  <c r="F174" i="1"/>
  <c r="E173" i="1"/>
  <c r="C173" i="1"/>
  <c r="F173" i="1"/>
  <c r="G185" i="1" s="1"/>
  <c r="E172" i="1"/>
  <c r="C172" i="1"/>
  <c r="F172" i="1"/>
  <c r="E171" i="1"/>
  <c r="C171" i="1"/>
  <c r="F171" i="1"/>
  <c r="E170" i="1"/>
  <c r="C170" i="1"/>
  <c r="F170" i="1"/>
  <c r="G182" i="1" s="1"/>
  <c r="E169" i="1"/>
  <c r="C169" i="1"/>
  <c r="F169" i="1"/>
  <c r="E168" i="1"/>
  <c r="C168" i="1"/>
  <c r="F168" i="1"/>
  <c r="E167" i="1"/>
  <c r="C167" i="1"/>
  <c r="F167" i="1"/>
  <c r="G179" i="1" s="1"/>
  <c r="E166" i="1"/>
  <c r="C166" i="1"/>
  <c r="F166" i="1"/>
  <c r="G178" i="1" s="1"/>
  <c r="E165" i="1"/>
  <c r="C165" i="1"/>
  <c r="F165" i="1"/>
  <c r="E164" i="1"/>
  <c r="C164" i="1"/>
  <c r="F164" i="1"/>
  <c r="E163" i="1"/>
  <c r="C163" i="1"/>
  <c r="F163" i="1"/>
  <c r="F162" i="1"/>
  <c r="E162" i="1"/>
  <c r="C162" i="1"/>
  <c r="E161" i="1"/>
  <c r="C161" i="1"/>
  <c r="F161" i="1"/>
  <c r="E160" i="1"/>
  <c r="C160" i="1"/>
  <c r="F160" i="1"/>
  <c r="G172" i="1" s="1"/>
  <c r="E159" i="1"/>
  <c r="C159" i="1"/>
  <c r="F159" i="1"/>
  <c r="G171" i="1" s="1"/>
  <c r="E158" i="1"/>
  <c r="C158" i="1"/>
  <c r="F158" i="1"/>
  <c r="E157" i="1"/>
  <c r="C157" i="1"/>
  <c r="F157" i="1"/>
  <c r="E156" i="1"/>
  <c r="C156" i="1"/>
  <c r="F156" i="1"/>
  <c r="F155" i="1"/>
  <c r="G167" i="1" s="1"/>
  <c r="E155" i="1"/>
  <c r="C155" i="1"/>
  <c r="E154" i="1"/>
  <c r="C154" i="1"/>
  <c r="F154" i="1"/>
  <c r="E153" i="1"/>
  <c r="C153" i="1"/>
  <c r="F153" i="1"/>
  <c r="F151" i="1"/>
  <c r="F152" i="1"/>
  <c r="E152" i="1"/>
  <c r="C152" i="1"/>
  <c r="E151" i="1"/>
  <c r="C151" i="1"/>
  <c r="E150" i="1"/>
  <c r="C150" i="1"/>
  <c r="F150" i="1"/>
  <c r="E149" i="1"/>
  <c r="C149" i="1"/>
  <c r="F149" i="1"/>
  <c r="E148" i="1"/>
  <c r="C148" i="1"/>
  <c r="F148" i="1"/>
  <c r="E147" i="1"/>
  <c r="C147" i="1"/>
  <c r="F147" i="1"/>
  <c r="G159" i="1" s="1"/>
  <c r="E146" i="1"/>
  <c r="C146" i="1"/>
  <c r="F146" i="1"/>
  <c r="C145" i="1"/>
  <c r="E145" i="1"/>
  <c r="F145" i="1"/>
  <c r="E144" i="1"/>
  <c r="C144" i="1"/>
  <c r="F144" i="1"/>
  <c r="G168" i="1" s="1"/>
  <c r="E143" i="1"/>
  <c r="C143" i="1"/>
  <c r="F143" i="1"/>
  <c r="G155" i="1"/>
  <c r="F142" i="1"/>
  <c r="E142" i="1"/>
  <c r="C142" i="1"/>
  <c r="F141" i="1"/>
  <c r="E141" i="1"/>
  <c r="C141" i="1"/>
  <c r="E140" i="1"/>
  <c r="C140" i="1"/>
  <c r="F140" i="1"/>
  <c r="E139" i="1"/>
  <c r="C139" i="1"/>
  <c r="F139" i="1"/>
  <c r="E138" i="1"/>
  <c r="F138" i="1"/>
  <c r="G162" i="1" s="1"/>
  <c r="C138" i="1"/>
  <c r="E137" i="1"/>
  <c r="C137" i="1"/>
  <c r="F137" i="1"/>
  <c r="E136" i="1"/>
  <c r="C136" i="1"/>
  <c r="F136" i="1"/>
  <c r="E135" i="1"/>
  <c r="C135" i="1"/>
  <c r="F135" i="1"/>
  <c r="E134" i="1"/>
  <c r="C134" i="1"/>
  <c r="F134" i="1"/>
  <c r="E133" i="1"/>
  <c r="C133" i="1"/>
  <c r="F133" i="1"/>
  <c r="G157" i="1" s="1"/>
  <c r="E132" i="1"/>
  <c r="C132" i="1"/>
  <c r="F132" i="1"/>
  <c r="E131" i="1"/>
  <c r="C131" i="1"/>
  <c r="F131" i="1"/>
  <c r="F130" i="1"/>
  <c r="E130" i="1"/>
  <c r="C130" i="1"/>
  <c r="E129" i="1"/>
  <c r="C129" i="1"/>
  <c r="F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28" i="1"/>
  <c r="F128" i="1"/>
  <c r="F127" i="1"/>
  <c r="F126" i="1"/>
  <c r="F125" i="1"/>
  <c r="G137" i="1" s="1"/>
  <c r="F124" i="1"/>
  <c r="F123" i="1"/>
  <c r="F122" i="1"/>
  <c r="F121" i="1"/>
  <c r="F120" i="1"/>
  <c r="G144" i="1"/>
  <c r="F119" i="1"/>
  <c r="F118" i="1"/>
  <c r="F117" i="1"/>
  <c r="F116" i="1"/>
  <c r="F115" i="1"/>
  <c r="F114" i="1"/>
  <c r="G150" i="1" s="1"/>
  <c r="F113" i="1"/>
  <c r="G125" i="1" s="1"/>
  <c r="F112" i="1"/>
  <c r="F111" i="1"/>
  <c r="F110" i="1"/>
  <c r="F109" i="1"/>
  <c r="F108" i="1"/>
  <c r="G132" i="1"/>
  <c r="F107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G119" i="1" s="1"/>
  <c r="F96" i="1"/>
  <c r="F97" i="1"/>
  <c r="G109" i="1" s="1"/>
  <c r="F98" i="1"/>
  <c r="F99" i="1"/>
  <c r="F100" i="1"/>
  <c r="G136" i="1" s="1"/>
  <c r="F101" i="1"/>
  <c r="F102" i="1"/>
  <c r="G126" i="1"/>
  <c r="F103" i="1"/>
  <c r="F104" i="1"/>
  <c r="F105" i="1"/>
  <c r="F106" i="1"/>
  <c r="F82" i="1"/>
  <c r="F81" i="1"/>
  <c r="F80" i="1"/>
  <c r="G116" i="1" s="1"/>
  <c r="F79" i="1"/>
  <c r="F78" i="1"/>
  <c r="F77" i="1"/>
  <c r="F76" i="1"/>
  <c r="F75" i="1"/>
  <c r="F74" i="1"/>
  <c r="F73" i="1"/>
  <c r="F72" i="1"/>
  <c r="F71" i="1"/>
  <c r="G107" i="1" s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G160" i="1"/>
  <c r="G151" i="1" l="1"/>
  <c r="G192" i="1"/>
  <c r="G108" i="1"/>
  <c r="G161" i="1"/>
  <c r="G113" i="1"/>
  <c r="G133" i="1"/>
  <c r="G158" i="1"/>
  <c r="G112" i="1"/>
  <c r="G104" i="1"/>
  <c r="G142" i="1"/>
  <c r="G117" i="1"/>
  <c r="G123" i="1"/>
  <c r="G103" i="1"/>
  <c r="G124" i="1"/>
  <c r="G130" i="1"/>
  <c r="G148" i="1"/>
  <c r="G164" i="1"/>
  <c r="G176" i="1"/>
  <c r="G189" i="1"/>
  <c r="G194" i="1"/>
  <c r="G187" i="1"/>
  <c r="G156" i="1"/>
  <c r="G105" i="1"/>
  <c r="G128" i="1"/>
  <c r="G169" i="1"/>
  <c r="G191" i="1"/>
  <c r="G183" i="1"/>
  <c r="G129" i="1"/>
  <c r="G135" i="1"/>
  <c r="G186" i="1"/>
  <c r="G143" i="1"/>
  <c r="G184" i="1"/>
  <c r="G153" i="1"/>
  <c r="G120" i="1"/>
  <c r="G114" i="1"/>
  <c r="G121" i="1"/>
  <c r="G139" i="1"/>
  <c r="G145" i="1"/>
  <c r="G149" i="1"/>
  <c r="G180" i="1"/>
  <c r="G110" i="1"/>
  <c r="G106" i="1"/>
  <c r="G140" i="1"/>
  <c r="G147" i="1"/>
  <c r="G152" i="1"/>
  <c r="G175" i="1"/>
  <c r="G188" i="1"/>
  <c r="G193" i="1"/>
  <c r="G122" i="1"/>
  <c r="G141" i="1"/>
  <c r="G165" i="1"/>
  <c r="G154" i="1"/>
  <c r="G163" i="1"/>
  <c r="G134" i="1"/>
  <c r="G138" i="1"/>
  <c r="G146" i="1"/>
  <c r="G111" i="1"/>
  <c r="G181" i="1"/>
  <c r="G115" i="1"/>
  <c r="G118" i="1"/>
  <c r="G170" i="1"/>
  <c r="G174" i="1"/>
  <c r="G131" i="1"/>
  <c r="G166" i="1"/>
  <c r="G173" i="1"/>
  <c r="G177" i="1"/>
  <c r="G127" i="1"/>
</calcChain>
</file>

<file path=xl/sharedStrings.xml><?xml version="1.0" encoding="utf-8"?>
<sst xmlns="http://schemas.openxmlformats.org/spreadsheetml/2006/main" count="240" uniqueCount="236">
  <si>
    <t>Quaterly Ocean Freight Rates</t>
  </si>
  <si>
    <t>****DO NOT Type Numbers into italicized columns, use COPY - PASTE to Fill******</t>
  </si>
  <si>
    <t>Gulf to Japan</t>
  </si>
  <si>
    <t>PNW to Japan</t>
  </si>
  <si>
    <t>Spread</t>
  </si>
  <si>
    <t>absent data for PNW-Japan</t>
  </si>
  <si>
    <t>Rate</t>
  </si>
  <si>
    <t>Gulf vs. PNW to Japan</t>
  </si>
  <si>
    <t>96-Jan</t>
  </si>
  <si>
    <t>96-Feb</t>
  </si>
  <si>
    <t>96-Mar</t>
  </si>
  <si>
    <t>96-Apr</t>
  </si>
  <si>
    <t>96-May</t>
  </si>
  <si>
    <t>96-June</t>
  </si>
  <si>
    <t>96-July</t>
  </si>
  <si>
    <t>96-Aug</t>
  </si>
  <si>
    <t>96-Sep</t>
  </si>
  <si>
    <t>96-Oct</t>
  </si>
  <si>
    <t>96-Nov</t>
  </si>
  <si>
    <t>96-Dec</t>
  </si>
  <si>
    <t>97-Jan</t>
  </si>
  <si>
    <t>97-Feb</t>
  </si>
  <si>
    <t>97-Mar</t>
  </si>
  <si>
    <t>97-Apr</t>
  </si>
  <si>
    <t>97-May</t>
  </si>
  <si>
    <t>97-June</t>
  </si>
  <si>
    <t>97-July</t>
  </si>
  <si>
    <t>97-Aug</t>
  </si>
  <si>
    <t>97-Sep</t>
  </si>
  <si>
    <t>97-Oct</t>
  </si>
  <si>
    <t>97-Nov</t>
  </si>
  <si>
    <t>97-Dec</t>
  </si>
  <si>
    <t>98-Jan</t>
  </si>
  <si>
    <t>98-Feb</t>
  </si>
  <si>
    <t>98-Mar</t>
  </si>
  <si>
    <t>98-Apr</t>
  </si>
  <si>
    <t>98-May</t>
  </si>
  <si>
    <t>98-June</t>
  </si>
  <si>
    <t>98-July</t>
  </si>
  <si>
    <t>98-Aug</t>
  </si>
  <si>
    <t>98-Sep</t>
  </si>
  <si>
    <t>98-Oct</t>
  </si>
  <si>
    <t>98-Nov</t>
  </si>
  <si>
    <t>98-Dec</t>
  </si>
  <si>
    <t>99-Jan</t>
  </si>
  <si>
    <t>99-Feb</t>
  </si>
  <si>
    <t>99-Mar</t>
  </si>
  <si>
    <t>99-Apr</t>
  </si>
  <si>
    <t>99-May</t>
  </si>
  <si>
    <t>99-June</t>
  </si>
  <si>
    <t>July_99</t>
  </si>
  <si>
    <t>Aug_99</t>
  </si>
  <si>
    <t>Sep_99</t>
  </si>
  <si>
    <t>Oct_99</t>
  </si>
  <si>
    <t>Nov_99</t>
  </si>
  <si>
    <t>Dec_99</t>
  </si>
  <si>
    <t>Jan_00</t>
  </si>
  <si>
    <t>Feb_00</t>
  </si>
  <si>
    <t>Mar_00</t>
  </si>
  <si>
    <t>Apr_00</t>
  </si>
  <si>
    <t>May_00</t>
  </si>
  <si>
    <t>June_00</t>
  </si>
  <si>
    <t>July_00</t>
  </si>
  <si>
    <t>Aug_00</t>
  </si>
  <si>
    <t>Sep_00</t>
  </si>
  <si>
    <t>Oct_00</t>
  </si>
  <si>
    <t>Nov_00</t>
  </si>
  <si>
    <t>Dec_00</t>
  </si>
  <si>
    <t>Jan_01</t>
  </si>
  <si>
    <t>Feb_01</t>
  </si>
  <si>
    <t>Mar_01</t>
  </si>
  <si>
    <t>Apr_01</t>
  </si>
  <si>
    <t>May_01</t>
  </si>
  <si>
    <t>June_01</t>
  </si>
  <si>
    <t>July_01</t>
  </si>
  <si>
    <t>Aug_01</t>
  </si>
  <si>
    <t>Sep_01</t>
  </si>
  <si>
    <t>Oct_01</t>
  </si>
  <si>
    <t>Nov_01</t>
  </si>
  <si>
    <t>Dec_01</t>
  </si>
  <si>
    <t>Jan. 02</t>
  </si>
  <si>
    <t>Feb. 02</t>
  </si>
  <si>
    <t>Mar. 02</t>
  </si>
  <si>
    <t>Apr. 02</t>
  </si>
  <si>
    <t>Aug. 02</t>
  </si>
  <si>
    <t>Oct. 02</t>
  </si>
  <si>
    <t>Nov. 02</t>
  </si>
  <si>
    <t>Dec. 02</t>
  </si>
  <si>
    <t>Jan. 03</t>
  </si>
  <si>
    <t>Feb. 03</t>
  </si>
  <si>
    <t>Mar. 03</t>
  </si>
  <si>
    <t>Apr. 03</t>
  </si>
  <si>
    <t>Aug. 03</t>
  </si>
  <si>
    <t>Nov. 03</t>
  </si>
  <si>
    <t>Dec. 03</t>
  </si>
  <si>
    <t>Oct. 03</t>
  </si>
  <si>
    <t>Jan. 04</t>
  </si>
  <si>
    <t>Feb. 04</t>
  </si>
  <si>
    <t>Mar. 04</t>
  </si>
  <si>
    <t>Apr. 04</t>
  </si>
  <si>
    <t>July 02</t>
  </si>
  <si>
    <t>May 04</t>
  </si>
  <si>
    <t>May  03</t>
  </si>
  <si>
    <t>June 03</t>
  </si>
  <si>
    <t>May  02</t>
  </si>
  <si>
    <t>June 02</t>
  </si>
  <si>
    <t>July 03</t>
  </si>
  <si>
    <t>Sept. 03</t>
  </si>
  <si>
    <t>Sept. 02</t>
  </si>
  <si>
    <t>June 04</t>
  </si>
  <si>
    <t>July 04</t>
  </si>
  <si>
    <t>Aug. 04</t>
  </si>
  <si>
    <t>Sept. 04</t>
  </si>
  <si>
    <t>Oct. 04</t>
  </si>
  <si>
    <t>Nov. 04</t>
  </si>
  <si>
    <t>Dec. 04</t>
  </si>
  <si>
    <t>Jan. 05</t>
  </si>
  <si>
    <t>Feb. 05</t>
  </si>
  <si>
    <t>Mar. 05</t>
  </si>
  <si>
    <t>Apr. 05</t>
  </si>
  <si>
    <t>May 05</t>
  </si>
  <si>
    <t>June 05</t>
  </si>
  <si>
    <t>July 05</t>
  </si>
  <si>
    <t>Aug. 05</t>
  </si>
  <si>
    <t>Sept. 05</t>
  </si>
  <si>
    <t>Oct. 05</t>
  </si>
  <si>
    <t>Nov. 05</t>
  </si>
  <si>
    <t>Dec. 05</t>
  </si>
  <si>
    <t>Jan. 06</t>
  </si>
  <si>
    <t>Feb. 06</t>
  </si>
  <si>
    <t>Mar. 06</t>
  </si>
  <si>
    <t>Apr. 06</t>
  </si>
  <si>
    <t>May 06</t>
  </si>
  <si>
    <t>June 06</t>
  </si>
  <si>
    <t>July 06</t>
  </si>
  <si>
    <t>Aug. 06</t>
  </si>
  <si>
    <t>Sept. 06</t>
  </si>
  <si>
    <t>Oct. 06</t>
  </si>
  <si>
    <t>Nov. 06</t>
  </si>
  <si>
    <t>Dec. 06</t>
  </si>
  <si>
    <t>4-year avg</t>
  </si>
  <si>
    <t>Figure 17</t>
  </si>
  <si>
    <t>Grain Vessel Rates, U.S. to Japan</t>
  </si>
  <si>
    <t>Jan. 07</t>
  </si>
  <si>
    <t>Feb. 07</t>
  </si>
  <si>
    <t>Mar. 07</t>
  </si>
  <si>
    <t>Apr. 07</t>
  </si>
  <si>
    <t>May 07</t>
  </si>
  <si>
    <t>June 07</t>
  </si>
  <si>
    <t>July 07</t>
  </si>
  <si>
    <t>Aug. 07</t>
  </si>
  <si>
    <t>Sept. 07</t>
  </si>
  <si>
    <t>Oct. 07</t>
  </si>
  <si>
    <t>Nov. 07</t>
  </si>
  <si>
    <t>Dec. 07</t>
  </si>
  <si>
    <t>Jan. 08</t>
  </si>
  <si>
    <t>Feb. 08</t>
  </si>
  <si>
    <t>Mar. 08</t>
  </si>
  <si>
    <t>Apr. 08</t>
  </si>
  <si>
    <t>May 08</t>
  </si>
  <si>
    <t>June 08</t>
  </si>
  <si>
    <t>July 08</t>
  </si>
  <si>
    <t>Aug. 08</t>
  </si>
  <si>
    <t>Sept. 08</t>
  </si>
  <si>
    <t>Oct. 08</t>
  </si>
  <si>
    <t>Nov. 08</t>
  </si>
  <si>
    <t>Dec. 08</t>
  </si>
  <si>
    <t>Jan. 09</t>
  </si>
  <si>
    <t>Feb. 09</t>
  </si>
  <si>
    <t>Mar. 09</t>
  </si>
  <si>
    <t>Apr. 09</t>
  </si>
  <si>
    <t>May 09</t>
  </si>
  <si>
    <t>June 09</t>
  </si>
  <si>
    <t>July 09</t>
  </si>
  <si>
    <t>Aug. 09</t>
  </si>
  <si>
    <t>Sept. 09</t>
  </si>
  <si>
    <t>Oct. 09</t>
  </si>
  <si>
    <t>Nov. 09</t>
  </si>
  <si>
    <t>Dec. 09</t>
  </si>
  <si>
    <t>Jan. 10</t>
  </si>
  <si>
    <t>Feb. 10</t>
  </si>
  <si>
    <t>Mar. 10</t>
  </si>
  <si>
    <t>Apr. 10</t>
  </si>
  <si>
    <t>May 10</t>
  </si>
  <si>
    <t>June 10</t>
  </si>
  <si>
    <t>July 10</t>
  </si>
  <si>
    <t>Aug. 10</t>
  </si>
  <si>
    <t>Sept. 10</t>
  </si>
  <si>
    <t>Oct. 10</t>
  </si>
  <si>
    <t>Nov. 10</t>
  </si>
  <si>
    <t>Dec. 10</t>
  </si>
  <si>
    <t>Jan. 11</t>
  </si>
  <si>
    <t>Feb. 11</t>
  </si>
  <si>
    <t>Mar. 11</t>
  </si>
  <si>
    <t>Apr. 11</t>
  </si>
  <si>
    <t>May 11</t>
  </si>
  <si>
    <t>June 11</t>
  </si>
  <si>
    <t>July 11</t>
  </si>
  <si>
    <t>Aug. 11</t>
  </si>
  <si>
    <t>Sept. 11</t>
  </si>
  <si>
    <t>Oct. 11</t>
  </si>
  <si>
    <t>Nov. 11</t>
  </si>
  <si>
    <t>Dec. 11</t>
  </si>
  <si>
    <t>Jan. 12</t>
  </si>
  <si>
    <t>Feb. 12</t>
  </si>
  <si>
    <t>Mar. 12</t>
  </si>
  <si>
    <t>Apr. 12</t>
  </si>
  <si>
    <t>May 12</t>
  </si>
  <si>
    <t>June 12</t>
  </si>
  <si>
    <t>July 12</t>
  </si>
  <si>
    <t>Aug. 12</t>
  </si>
  <si>
    <t>Sept. 12</t>
  </si>
  <si>
    <t>Oct. 12</t>
  </si>
  <si>
    <t>Nov. 12</t>
  </si>
  <si>
    <t>Dec. 12</t>
  </si>
  <si>
    <t>Jan. 13</t>
  </si>
  <si>
    <t>Feb. 13</t>
  </si>
  <si>
    <t>Mar. 13</t>
  </si>
  <si>
    <t>Apr. 13</t>
  </si>
  <si>
    <t>May 13</t>
  </si>
  <si>
    <t>June 13</t>
  </si>
  <si>
    <t>July 13</t>
  </si>
  <si>
    <t>Aug. 13</t>
  </si>
  <si>
    <t>Sept. 13</t>
  </si>
  <si>
    <t>Oct. 13</t>
  </si>
  <si>
    <t>Nov. 13</t>
  </si>
  <si>
    <t>Dec. 13</t>
  </si>
  <si>
    <t>Jan. 14</t>
  </si>
  <si>
    <t>Feb. 14</t>
  </si>
  <si>
    <t>Mar. 14</t>
  </si>
  <si>
    <t>Apr. 14</t>
  </si>
  <si>
    <t>May 14</t>
  </si>
  <si>
    <t xml:space="preserve">Data Source:  O'Neil Commodity Consulting </t>
  </si>
  <si>
    <t>June 14</t>
  </si>
  <si>
    <t>July 14</t>
  </si>
  <si>
    <t>Aug.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</si>
</sst>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7" formatCode="&quot;$&quot;#,##0.00_);\(&quot;$&quot;#,##0.00\)"/>
    <numFmt numFmtId="164" formatCode="mm/dd/yy_)"/>
    <numFmt numFmtId="165" formatCode="0.0%"/>
  </numFmts>
  <fonts count="13" x14ac:knownFonts="1">
    <font>
      <sz val="12"/>
      <name val="Arial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u/>
      <sz val="10"/>
      <name val="Arial"/>
      <family val="2"/>
    </font>
    <font>
      <i/>
      <u/>
      <sz val="10"/>
      <name val="Arial"/>
      <family val="2"/>
    </font>
    <font>
      <sz val="12"/>
      <name val="Times New Roman"/>
      <family val="1"/>
    </font>
    <font>
      <sz val="8"/>
      <name val="Times New Roman"/>
      <family val="1"/>
    </font>
    <font>
      <sz val="8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  <font>
      <sz val="9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5">
    <xf numFmtId="0" fontId="0" fillId="0" borderId="0" xfId="0"/>
    <xf numFmtId="0" fontId="3" fillId="0" borderId="0" xfId="0" applyFont="1" applyAlignment="1" applyProtection="1">
      <alignment horizontal="centerContinuous"/>
    </xf>
    <xf numFmtId="7" fontId="2" fillId="0" borderId="0" xfId="0" applyNumberFormat="1" applyFont="1" applyAlignment="1" applyProtection="1">
      <alignment horizontal="centerContinuous"/>
    </xf>
    <xf numFmtId="7" fontId="4" fillId="0" borderId="0" xfId="0" applyNumberFormat="1" applyFont="1" applyAlignment="1" applyProtection="1">
      <alignment horizontal="centerContinuous"/>
    </xf>
    <xf numFmtId="0" fontId="2" fillId="0" borderId="0" xfId="0" applyFont="1" applyProtection="1"/>
    <xf numFmtId="164" fontId="3" fillId="0" borderId="0" xfId="0" applyNumberFormat="1" applyFont="1" applyAlignment="1" applyProtection="1">
      <alignment horizontal="centerContinuous"/>
    </xf>
    <xf numFmtId="7" fontId="2" fillId="0" borderId="0" xfId="0" applyNumberFormat="1" applyFont="1" applyAlignment="1" applyProtection="1">
      <alignment horizontal="center"/>
    </xf>
    <xf numFmtId="7" fontId="4" fillId="0" borderId="0" xfId="0" applyNumberFormat="1" applyFont="1" applyAlignment="1" applyProtection="1">
      <alignment horizontal="center"/>
    </xf>
    <xf numFmtId="7" fontId="5" fillId="0" borderId="0" xfId="0" applyNumberFormat="1" applyFont="1" applyAlignment="1" applyProtection="1">
      <alignment horizontal="center"/>
    </xf>
    <xf numFmtId="7" fontId="6" fillId="0" borderId="0" xfId="0" applyNumberFormat="1" applyFont="1" applyAlignment="1" applyProtection="1">
      <alignment horizontal="center"/>
    </xf>
    <xf numFmtId="7" fontId="6" fillId="0" borderId="0" xfId="0" applyNumberFormat="1" applyFont="1" applyAlignment="1" applyProtection="1">
      <alignment horizontal="left"/>
    </xf>
    <xf numFmtId="7" fontId="1" fillId="0" borderId="0" xfId="0" applyNumberFormat="1" applyFont="1" applyAlignment="1" applyProtection="1">
      <alignment horizontal="center"/>
    </xf>
    <xf numFmtId="0" fontId="2" fillId="0" borderId="0" xfId="0" quotePrefix="1" applyFont="1" applyProtection="1"/>
    <xf numFmtId="165" fontId="2" fillId="0" borderId="0" xfId="1" applyNumberFormat="1" applyFont="1" applyAlignment="1" applyProtection="1">
      <alignment horizontal="center"/>
    </xf>
    <xf numFmtId="2" fontId="12" fillId="3" borderId="0" xfId="0" applyNumberFormat="1" applyFont="1" applyFill="1"/>
    <xf numFmtId="2" fontId="7" fillId="3" borderId="0" xfId="0" applyNumberFormat="1" applyFont="1" applyFill="1"/>
    <xf numFmtId="2" fontId="0" fillId="2" borderId="0" xfId="0" applyNumberFormat="1" applyFill="1"/>
    <xf numFmtId="2" fontId="0" fillId="4" borderId="0" xfId="0" applyNumberFormat="1" applyFill="1"/>
    <xf numFmtId="2" fontId="10" fillId="3" borderId="0" xfId="0" applyNumberFormat="1" applyFont="1" applyFill="1"/>
    <xf numFmtId="2" fontId="11" fillId="3" borderId="0" xfId="0" applyNumberFormat="1" applyFont="1" applyFill="1"/>
    <xf numFmtId="2" fontId="7" fillId="2" borderId="0" xfId="0" applyNumberFormat="1" applyFont="1" applyFill="1"/>
    <xf numFmtId="2" fontId="8" fillId="2" borderId="0" xfId="0" applyNumberFormat="1" applyFont="1" applyFill="1"/>
    <xf numFmtId="0" fontId="1" fillId="0" borderId="0" xfId="0" applyFont="1" applyProtection="1"/>
    <xf numFmtId="0" fontId="1" fillId="0" borderId="0" xfId="0" quotePrefix="1" applyFont="1" applyProtection="1"/>
    <xf numFmtId="165" fontId="2" fillId="0" borderId="0" xfId="1" applyNumberFormat="1" applyFont="1" applyProtection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7301722627918119E-2"/>
          <c:y val="4.5454679967684562E-2"/>
          <c:w val="0.89841409104366488"/>
          <c:h val="0.727274879482953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Data!$F$5:$F$6</c:f>
              <c:strCache>
                <c:ptCount val="1"/>
                <c:pt idx="0">
                  <c:v>Spread Gulf vs. PNW to Japan</c:v>
                </c:pt>
              </c:strCache>
            </c:strRef>
          </c:tx>
          <c:spPr>
            <a:solidFill>
              <a:srgbClr val="FF9900"/>
            </a:solidFill>
            <a:ln w="25400">
              <a:noFill/>
            </a:ln>
          </c:spPr>
          <c:invertIfNegative val="0"/>
          <c:cat>
            <c:strRef>
              <c:f>Data!$A$206:$A$230</c:f>
              <c:strCache>
                <c:ptCount val="25"/>
                <c:pt idx="0">
                  <c:v>Aug. 12</c:v>
                </c:pt>
                <c:pt idx="1">
                  <c:v>Sept. 12</c:v>
                </c:pt>
                <c:pt idx="2">
                  <c:v>Oct. 12</c:v>
                </c:pt>
                <c:pt idx="3">
                  <c:v>Nov. 12</c:v>
                </c:pt>
                <c:pt idx="4">
                  <c:v>Dec. 12</c:v>
                </c:pt>
                <c:pt idx="5">
                  <c:v>Jan. 13</c:v>
                </c:pt>
                <c:pt idx="6">
                  <c:v>Feb. 13</c:v>
                </c:pt>
                <c:pt idx="7">
                  <c:v>Mar. 13</c:v>
                </c:pt>
                <c:pt idx="8">
                  <c:v>Apr. 13</c:v>
                </c:pt>
                <c:pt idx="9">
                  <c:v>May 13</c:v>
                </c:pt>
                <c:pt idx="10">
                  <c:v>June 13</c:v>
                </c:pt>
                <c:pt idx="11">
                  <c:v>July 13</c:v>
                </c:pt>
                <c:pt idx="12">
                  <c:v>Aug. 13</c:v>
                </c:pt>
                <c:pt idx="13">
                  <c:v>Sept. 13</c:v>
                </c:pt>
                <c:pt idx="14">
                  <c:v>Oct. 13</c:v>
                </c:pt>
                <c:pt idx="15">
                  <c:v>Nov. 13</c:v>
                </c:pt>
                <c:pt idx="16">
                  <c:v>Dec. 13</c:v>
                </c:pt>
                <c:pt idx="17">
                  <c:v>Jan. 14</c:v>
                </c:pt>
                <c:pt idx="18">
                  <c:v>Feb. 14</c:v>
                </c:pt>
                <c:pt idx="19">
                  <c:v>Mar. 14</c:v>
                </c:pt>
                <c:pt idx="20">
                  <c:v>Apr. 14</c:v>
                </c:pt>
                <c:pt idx="21">
                  <c:v>May 14</c:v>
                </c:pt>
                <c:pt idx="22">
                  <c:v>June 14</c:v>
                </c:pt>
                <c:pt idx="23">
                  <c:v>July 14</c:v>
                </c:pt>
                <c:pt idx="24">
                  <c:v>Aug. 14</c:v>
                </c:pt>
              </c:strCache>
            </c:strRef>
          </c:cat>
          <c:val>
            <c:numRef>
              <c:f>Data!$F$206:$F$230</c:f>
              <c:numCache>
                <c:formatCode>"$"#,##0.00_);\("$"#,##0.00\)</c:formatCode>
                <c:ptCount val="25"/>
                <c:pt idx="0">
                  <c:v>22.999999999999996</c:v>
                </c:pt>
                <c:pt idx="1">
                  <c:v>23.5</c:v>
                </c:pt>
                <c:pt idx="2">
                  <c:v>21.380000000000003</c:v>
                </c:pt>
                <c:pt idx="3">
                  <c:v>20.3</c:v>
                </c:pt>
                <c:pt idx="4">
                  <c:v>21.130000000000003</c:v>
                </c:pt>
                <c:pt idx="5">
                  <c:v>21</c:v>
                </c:pt>
                <c:pt idx="6">
                  <c:v>21.87</c:v>
                </c:pt>
                <c:pt idx="7">
                  <c:v>22.800000000000004</c:v>
                </c:pt>
                <c:pt idx="8">
                  <c:v>22.37</c:v>
                </c:pt>
                <c:pt idx="9">
                  <c:v>21.200000000000003</c:v>
                </c:pt>
                <c:pt idx="10">
                  <c:v>21.750000000000004</c:v>
                </c:pt>
                <c:pt idx="11">
                  <c:v>21.69</c:v>
                </c:pt>
                <c:pt idx="12">
                  <c:v>21.05</c:v>
                </c:pt>
                <c:pt idx="13">
                  <c:v>20.75</c:v>
                </c:pt>
                <c:pt idx="14">
                  <c:v>23.630000000000003</c:v>
                </c:pt>
                <c:pt idx="15">
                  <c:v>24.799999999999997</c:v>
                </c:pt>
                <c:pt idx="16">
                  <c:v>27.12</c:v>
                </c:pt>
                <c:pt idx="17">
                  <c:v>28.5</c:v>
                </c:pt>
                <c:pt idx="18">
                  <c:v>25.630000000000003</c:v>
                </c:pt>
                <c:pt idx="19">
                  <c:v>23.630000000000003</c:v>
                </c:pt>
                <c:pt idx="20">
                  <c:v>22</c:v>
                </c:pt>
                <c:pt idx="21">
                  <c:v>20.799999999999997</c:v>
                </c:pt>
                <c:pt idx="22">
                  <c:v>20.630000000000003</c:v>
                </c:pt>
                <c:pt idx="23">
                  <c:v>19.070000000000004</c:v>
                </c:pt>
                <c:pt idx="24">
                  <c:v>19.150000000000002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9321856"/>
        <c:axId val="89323392"/>
      </c:barChart>
      <c:lineChart>
        <c:grouping val="standard"/>
        <c:varyColors val="0"/>
        <c:ser>
          <c:idx val="1"/>
          <c:order val="0"/>
          <c:tx>
            <c:strRef>
              <c:f>Data!$B$5:$B$6</c:f>
              <c:strCache>
                <c:ptCount val="1"/>
                <c:pt idx="0">
                  <c:v>Rate Gulf to Japan</c:v>
                </c:pt>
              </c:strCache>
            </c:strRef>
          </c:tx>
          <c:spPr>
            <a:ln w="25400">
              <a:solidFill>
                <a:srgbClr val="008000"/>
              </a:solidFill>
              <a:prstDash val="sysDash"/>
            </a:ln>
          </c:spPr>
          <c:marker>
            <c:symbol val="none"/>
          </c:marker>
          <c:cat>
            <c:strRef>
              <c:f>Data!$A$206:$A$230</c:f>
              <c:strCache>
                <c:ptCount val="25"/>
                <c:pt idx="0">
                  <c:v>Aug. 12</c:v>
                </c:pt>
                <c:pt idx="1">
                  <c:v>Sept. 12</c:v>
                </c:pt>
                <c:pt idx="2">
                  <c:v>Oct. 12</c:v>
                </c:pt>
                <c:pt idx="3">
                  <c:v>Nov. 12</c:v>
                </c:pt>
                <c:pt idx="4">
                  <c:v>Dec. 12</c:v>
                </c:pt>
                <c:pt idx="5">
                  <c:v>Jan. 13</c:v>
                </c:pt>
                <c:pt idx="6">
                  <c:v>Feb. 13</c:v>
                </c:pt>
                <c:pt idx="7">
                  <c:v>Mar. 13</c:v>
                </c:pt>
                <c:pt idx="8">
                  <c:v>Apr. 13</c:v>
                </c:pt>
                <c:pt idx="9">
                  <c:v>May 13</c:v>
                </c:pt>
                <c:pt idx="10">
                  <c:v>June 13</c:v>
                </c:pt>
                <c:pt idx="11">
                  <c:v>July 13</c:v>
                </c:pt>
                <c:pt idx="12">
                  <c:v>Aug. 13</c:v>
                </c:pt>
                <c:pt idx="13">
                  <c:v>Sept. 13</c:v>
                </c:pt>
                <c:pt idx="14">
                  <c:v>Oct. 13</c:v>
                </c:pt>
                <c:pt idx="15">
                  <c:v>Nov. 13</c:v>
                </c:pt>
                <c:pt idx="16">
                  <c:v>Dec. 13</c:v>
                </c:pt>
                <c:pt idx="17">
                  <c:v>Jan. 14</c:v>
                </c:pt>
                <c:pt idx="18">
                  <c:v>Feb. 14</c:v>
                </c:pt>
                <c:pt idx="19">
                  <c:v>Mar. 14</c:v>
                </c:pt>
                <c:pt idx="20">
                  <c:v>Apr. 14</c:v>
                </c:pt>
                <c:pt idx="21">
                  <c:v>May 14</c:v>
                </c:pt>
                <c:pt idx="22">
                  <c:v>June 14</c:v>
                </c:pt>
                <c:pt idx="23">
                  <c:v>July 14</c:v>
                </c:pt>
                <c:pt idx="24">
                  <c:v>Aug. 14</c:v>
                </c:pt>
              </c:strCache>
            </c:strRef>
          </c:cat>
          <c:val>
            <c:numRef>
              <c:f>Data!$B$206:$B$230</c:f>
              <c:numCache>
                <c:formatCode>"$"#,##0.00_);\("$"#,##0.00\)</c:formatCode>
                <c:ptCount val="25"/>
                <c:pt idx="0">
                  <c:v>49.8</c:v>
                </c:pt>
                <c:pt idx="1">
                  <c:v>47.5</c:v>
                </c:pt>
                <c:pt idx="2">
                  <c:v>48.63</c:v>
                </c:pt>
                <c:pt idx="3">
                  <c:v>46.5</c:v>
                </c:pt>
                <c:pt idx="4">
                  <c:v>45.38</c:v>
                </c:pt>
                <c:pt idx="5">
                  <c:v>45.75</c:v>
                </c:pt>
                <c:pt idx="6">
                  <c:v>46.25</c:v>
                </c:pt>
                <c:pt idx="7">
                  <c:v>48.2</c:v>
                </c:pt>
                <c:pt idx="8">
                  <c:v>47.25</c:v>
                </c:pt>
                <c:pt idx="9">
                  <c:v>44.7</c:v>
                </c:pt>
                <c:pt idx="10">
                  <c:v>45.38</c:v>
                </c:pt>
                <c:pt idx="11">
                  <c:v>45.88</c:v>
                </c:pt>
                <c:pt idx="12">
                  <c:v>45.5</c:v>
                </c:pt>
                <c:pt idx="13">
                  <c:v>52</c:v>
                </c:pt>
                <c:pt idx="14">
                  <c:v>56.13</c:v>
                </c:pt>
                <c:pt idx="15">
                  <c:v>53.9</c:v>
                </c:pt>
                <c:pt idx="16">
                  <c:v>57.25</c:v>
                </c:pt>
                <c:pt idx="17">
                  <c:v>56.9</c:v>
                </c:pt>
                <c:pt idx="18">
                  <c:v>53.38</c:v>
                </c:pt>
                <c:pt idx="19">
                  <c:v>52.38</c:v>
                </c:pt>
                <c:pt idx="20">
                  <c:v>48.75</c:v>
                </c:pt>
                <c:pt idx="21">
                  <c:v>46.8</c:v>
                </c:pt>
                <c:pt idx="22">
                  <c:v>43.63</c:v>
                </c:pt>
                <c:pt idx="23">
                  <c:v>42.63</c:v>
                </c:pt>
                <c:pt idx="24">
                  <c:v>43.2</c:v>
                </c:pt>
              </c:numCache>
            </c:numRef>
          </c:val>
          <c:smooth val="0"/>
        </c:ser>
        <c:ser>
          <c:idx val="0"/>
          <c:order val="1"/>
          <c:tx>
            <c:strRef>
              <c:f>Data!$D$5:$D$6</c:f>
              <c:strCache>
                <c:ptCount val="1"/>
                <c:pt idx="0">
                  <c:v>Rate PNW to Japan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Ref>
              <c:f>Data!$A$206:$A$230</c:f>
              <c:strCache>
                <c:ptCount val="25"/>
                <c:pt idx="0">
                  <c:v>Aug. 12</c:v>
                </c:pt>
                <c:pt idx="1">
                  <c:v>Sept. 12</c:v>
                </c:pt>
                <c:pt idx="2">
                  <c:v>Oct. 12</c:v>
                </c:pt>
                <c:pt idx="3">
                  <c:v>Nov. 12</c:v>
                </c:pt>
                <c:pt idx="4">
                  <c:v>Dec. 12</c:v>
                </c:pt>
                <c:pt idx="5">
                  <c:v>Jan. 13</c:v>
                </c:pt>
                <c:pt idx="6">
                  <c:v>Feb. 13</c:v>
                </c:pt>
                <c:pt idx="7">
                  <c:v>Mar. 13</c:v>
                </c:pt>
                <c:pt idx="8">
                  <c:v>Apr. 13</c:v>
                </c:pt>
                <c:pt idx="9">
                  <c:v>May 13</c:v>
                </c:pt>
                <c:pt idx="10">
                  <c:v>June 13</c:v>
                </c:pt>
                <c:pt idx="11">
                  <c:v>July 13</c:v>
                </c:pt>
                <c:pt idx="12">
                  <c:v>Aug. 13</c:v>
                </c:pt>
                <c:pt idx="13">
                  <c:v>Sept. 13</c:v>
                </c:pt>
                <c:pt idx="14">
                  <c:v>Oct. 13</c:v>
                </c:pt>
                <c:pt idx="15">
                  <c:v>Nov. 13</c:v>
                </c:pt>
                <c:pt idx="16">
                  <c:v>Dec. 13</c:v>
                </c:pt>
                <c:pt idx="17">
                  <c:v>Jan. 14</c:v>
                </c:pt>
                <c:pt idx="18">
                  <c:v>Feb. 14</c:v>
                </c:pt>
                <c:pt idx="19">
                  <c:v>Mar. 14</c:v>
                </c:pt>
                <c:pt idx="20">
                  <c:v>Apr. 14</c:v>
                </c:pt>
                <c:pt idx="21">
                  <c:v>May 14</c:v>
                </c:pt>
                <c:pt idx="22">
                  <c:v>June 14</c:v>
                </c:pt>
                <c:pt idx="23">
                  <c:v>July 14</c:v>
                </c:pt>
                <c:pt idx="24">
                  <c:v>Aug. 14</c:v>
                </c:pt>
              </c:strCache>
            </c:strRef>
          </c:cat>
          <c:val>
            <c:numRef>
              <c:f>Data!$D$206:$D$230</c:f>
              <c:numCache>
                <c:formatCode>"$"#,##0.00_);\("$"#,##0.00\)</c:formatCode>
                <c:ptCount val="25"/>
                <c:pt idx="0">
                  <c:v>26.8</c:v>
                </c:pt>
                <c:pt idx="1">
                  <c:v>24</c:v>
                </c:pt>
                <c:pt idx="2">
                  <c:v>27.25</c:v>
                </c:pt>
                <c:pt idx="3">
                  <c:v>26.2</c:v>
                </c:pt>
                <c:pt idx="4">
                  <c:v>24.25</c:v>
                </c:pt>
                <c:pt idx="5">
                  <c:v>24.75</c:v>
                </c:pt>
                <c:pt idx="6">
                  <c:v>24.38</c:v>
                </c:pt>
                <c:pt idx="7">
                  <c:v>25.4</c:v>
                </c:pt>
                <c:pt idx="8">
                  <c:v>24.88</c:v>
                </c:pt>
                <c:pt idx="9">
                  <c:v>23.5</c:v>
                </c:pt>
                <c:pt idx="10">
                  <c:v>23.63</c:v>
                </c:pt>
                <c:pt idx="11">
                  <c:v>24.19</c:v>
                </c:pt>
                <c:pt idx="12">
                  <c:v>24.45</c:v>
                </c:pt>
                <c:pt idx="13">
                  <c:v>31.25</c:v>
                </c:pt>
                <c:pt idx="14">
                  <c:v>32.5</c:v>
                </c:pt>
                <c:pt idx="15">
                  <c:v>29.1</c:v>
                </c:pt>
                <c:pt idx="16">
                  <c:v>30.13</c:v>
                </c:pt>
                <c:pt idx="17">
                  <c:v>28.4</c:v>
                </c:pt>
                <c:pt idx="18">
                  <c:v>27.75</c:v>
                </c:pt>
                <c:pt idx="19">
                  <c:v>28.75</c:v>
                </c:pt>
                <c:pt idx="20">
                  <c:v>26.75</c:v>
                </c:pt>
                <c:pt idx="21">
                  <c:v>26</c:v>
                </c:pt>
                <c:pt idx="22">
                  <c:v>23</c:v>
                </c:pt>
                <c:pt idx="23">
                  <c:v>23.56</c:v>
                </c:pt>
                <c:pt idx="24">
                  <c:v>24.05</c:v>
                </c:pt>
              </c:numCache>
            </c:numRef>
          </c:val>
          <c:smooth val="0"/>
        </c:ser>
        <c:ser>
          <c:idx val="3"/>
          <c:order val="3"/>
          <c:marker>
            <c:symbol val="none"/>
          </c:marker>
          <c:cat>
            <c:strRef>
              <c:f>Data!$A$206:$A$230</c:f>
              <c:strCache>
                <c:ptCount val="25"/>
                <c:pt idx="0">
                  <c:v>Aug. 12</c:v>
                </c:pt>
                <c:pt idx="1">
                  <c:v>Sept. 12</c:v>
                </c:pt>
                <c:pt idx="2">
                  <c:v>Oct. 12</c:v>
                </c:pt>
                <c:pt idx="3">
                  <c:v>Nov. 12</c:v>
                </c:pt>
                <c:pt idx="4">
                  <c:v>Dec. 12</c:v>
                </c:pt>
                <c:pt idx="5">
                  <c:v>Jan. 13</c:v>
                </c:pt>
                <c:pt idx="6">
                  <c:v>Feb. 13</c:v>
                </c:pt>
                <c:pt idx="7">
                  <c:v>Mar. 13</c:v>
                </c:pt>
                <c:pt idx="8">
                  <c:v>Apr. 13</c:v>
                </c:pt>
                <c:pt idx="9">
                  <c:v>May 13</c:v>
                </c:pt>
                <c:pt idx="10">
                  <c:v>June 13</c:v>
                </c:pt>
                <c:pt idx="11">
                  <c:v>July 13</c:v>
                </c:pt>
                <c:pt idx="12">
                  <c:v>Aug. 13</c:v>
                </c:pt>
                <c:pt idx="13">
                  <c:v>Sept. 13</c:v>
                </c:pt>
                <c:pt idx="14">
                  <c:v>Oct. 13</c:v>
                </c:pt>
                <c:pt idx="15">
                  <c:v>Nov. 13</c:v>
                </c:pt>
                <c:pt idx="16">
                  <c:v>Dec. 13</c:v>
                </c:pt>
                <c:pt idx="17">
                  <c:v>Jan. 14</c:v>
                </c:pt>
                <c:pt idx="18">
                  <c:v>Feb. 14</c:v>
                </c:pt>
                <c:pt idx="19">
                  <c:v>Mar. 14</c:v>
                </c:pt>
                <c:pt idx="20">
                  <c:v>Apr. 14</c:v>
                </c:pt>
                <c:pt idx="21">
                  <c:v>May 14</c:v>
                </c:pt>
                <c:pt idx="22">
                  <c:v>June 14</c:v>
                </c:pt>
                <c:pt idx="23">
                  <c:v>July 14</c:v>
                </c:pt>
                <c:pt idx="24">
                  <c:v>Aug. 14</c:v>
                </c:pt>
              </c:strCache>
            </c:strRef>
          </c:cat>
          <c:val>
            <c:numRef>
              <c:f>[1]Data!$B$214</c:f>
              <c:numCache>
                <c:formatCode>General</c:formatCode>
                <c:ptCount val="1"/>
                <c:pt idx="0">
                  <c:v>47.25</c:v>
                </c:pt>
              </c:numCache>
            </c:numRef>
          </c:val>
          <c:smooth val="0"/>
        </c:ser>
        <c:ser>
          <c:idx val="4"/>
          <c:order val="4"/>
          <c:marker>
            <c:symbol val="none"/>
          </c:marker>
          <c:cat>
            <c:strRef>
              <c:f>Data!$A$206:$A$230</c:f>
              <c:strCache>
                <c:ptCount val="25"/>
                <c:pt idx="0">
                  <c:v>Aug. 12</c:v>
                </c:pt>
                <c:pt idx="1">
                  <c:v>Sept. 12</c:v>
                </c:pt>
                <c:pt idx="2">
                  <c:v>Oct. 12</c:v>
                </c:pt>
                <c:pt idx="3">
                  <c:v>Nov. 12</c:v>
                </c:pt>
                <c:pt idx="4">
                  <c:v>Dec. 12</c:v>
                </c:pt>
                <c:pt idx="5">
                  <c:v>Jan. 13</c:v>
                </c:pt>
                <c:pt idx="6">
                  <c:v>Feb. 13</c:v>
                </c:pt>
                <c:pt idx="7">
                  <c:v>Mar. 13</c:v>
                </c:pt>
                <c:pt idx="8">
                  <c:v>Apr. 13</c:v>
                </c:pt>
                <c:pt idx="9">
                  <c:v>May 13</c:v>
                </c:pt>
                <c:pt idx="10">
                  <c:v>June 13</c:v>
                </c:pt>
                <c:pt idx="11">
                  <c:v>July 13</c:v>
                </c:pt>
                <c:pt idx="12">
                  <c:v>Aug. 13</c:v>
                </c:pt>
                <c:pt idx="13">
                  <c:v>Sept. 13</c:v>
                </c:pt>
                <c:pt idx="14">
                  <c:v>Oct. 13</c:v>
                </c:pt>
                <c:pt idx="15">
                  <c:v>Nov. 13</c:v>
                </c:pt>
                <c:pt idx="16">
                  <c:v>Dec. 13</c:v>
                </c:pt>
                <c:pt idx="17">
                  <c:v>Jan. 14</c:v>
                </c:pt>
                <c:pt idx="18">
                  <c:v>Feb. 14</c:v>
                </c:pt>
                <c:pt idx="19">
                  <c:v>Mar. 14</c:v>
                </c:pt>
                <c:pt idx="20">
                  <c:v>Apr. 14</c:v>
                </c:pt>
                <c:pt idx="21">
                  <c:v>May 14</c:v>
                </c:pt>
                <c:pt idx="22">
                  <c:v>June 14</c:v>
                </c:pt>
                <c:pt idx="23">
                  <c:v>July 14</c:v>
                </c:pt>
                <c:pt idx="24">
                  <c:v>Aug. 14</c:v>
                </c:pt>
              </c:strCache>
            </c:strRef>
          </c:cat>
          <c:val>
            <c:numRef>
              <c:f>[1]Data!$C$214</c:f>
              <c:numCache>
                <c:formatCode>General</c:formatCode>
                <c:ptCount val="1"/>
                <c:pt idx="0">
                  <c:v>53.807500000000005</c:v>
                </c:pt>
              </c:numCache>
            </c:numRef>
          </c:val>
          <c:smooth val="0"/>
        </c:ser>
        <c:ser>
          <c:idx val="5"/>
          <c:order val="5"/>
          <c:marker>
            <c:symbol val="none"/>
          </c:marker>
          <c:cat>
            <c:strRef>
              <c:f>Data!$A$206:$A$230</c:f>
              <c:strCache>
                <c:ptCount val="25"/>
                <c:pt idx="0">
                  <c:v>Aug. 12</c:v>
                </c:pt>
                <c:pt idx="1">
                  <c:v>Sept. 12</c:v>
                </c:pt>
                <c:pt idx="2">
                  <c:v>Oct. 12</c:v>
                </c:pt>
                <c:pt idx="3">
                  <c:v>Nov. 12</c:v>
                </c:pt>
                <c:pt idx="4">
                  <c:v>Dec. 12</c:v>
                </c:pt>
                <c:pt idx="5">
                  <c:v>Jan. 13</c:v>
                </c:pt>
                <c:pt idx="6">
                  <c:v>Feb. 13</c:v>
                </c:pt>
                <c:pt idx="7">
                  <c:v>Mar. 13</c:v>
                </c:pt>
                <c:pt idx="8">
                  <c:v>Apr. 13</c:v>
                </c:pt>
                <c:pt idx="9">
                  <c:v>May 13</c:v>
                </c:pt>
                <c:pt idx="10">
                  <c:v>June 13</c:v>
                </c:pt>
                <c:pt idx="11">
                  <c:v>July 13</c:v>
                </c:pt>
                <c:pt idx="12">
                  <c:v>Aug. 13</c:v>
                </c:pt>
                <c:pt idx="13">
                  <c:v>Sept. 13</c:v>
                </c:pt>
                <c:pt idx="14">
                  <c:v>Oct. 13</c:v>
                </c:pt>
                <c:pt idx="15">
                  <c:v>Nov. 13</c:v>
                </c:pt>
                <c:pt idx="16">
                  <c:v>Dec. 13</c:v>
                </c:pt>
                <c:pt idx="17">
                  <c:v>Jan. 14</c:v>
                </c:pt>
                <c:pt idx="18">
                  <c:v>Feb. 14</c:v>
                </c:pt>
                <c:pt idx="19">
                  <c:v>Mar. 14</c:v>
                </c:pt>
                <c:pt idx="20">
                  <c:v>Apr. 14</c:v>
                </c:pt>
                <c:pt idx="21">
                  <c:v>May 14</c:v>
                </c:pt>
                <c:pt idx="22">
                  <c:v>June 14</c:v>
                </c:pt>
                <c:pt idx="23">
                  <c:v>July 14</c:v>
                </c:pt>
                <c:pt idx="24">
                  <c:v>Aug. 14</c:v>
                </c:pt>
              </c:strCache>
            </c:strRef>
          </c:cat>
          <c:val>
            <c:numRef>
              <c:f>[1]Data!$D$214</c:f>
              <c:numCache>
                <c:formatCode>General</c:formatCode>
                <c:ptCount val="1"/>
                <c:pt idx="0">
                  <c:v>24.88</c:v>
                </c:pt>
              </c:numCache>
            </c:numRef>
          </c:val>
          <c:smooth val="0"/>
        </c:ser>
        <c:ser>
          <c:idx val="6"/>
          <c:order val="6"/>
          <c:marker>
            <c:symbol val="none"/>
          </c:marker>
          <c:cat>
            <c:strRef>
              <c:f>Data!$A$206:$A$230</c:f>
              <c:strCache>
                <c:ptCount val="25"/>
                <c:pt idx="0">
                  <c:v>Aug. 12</c:v>
                </c:pt>
                <c:pt idx="1">
                  <c:v>Sept. 12</c:v>
                </c:pt>
                <c:pt idx="2">
                  <c:v>Oct. 12</c:v>
                </c:pt>
                <c:pt idx="3">
                  <c:v>Nov. 12</c:v>
                </c:pt>
                <c:pt idx="4">
                  <c:v>Dec. 12</c:v>
                </c:pt>
                <c:pt idx="5">
                  <c:v>Jan. 13</c:v>
                </c:pt>
                <c:pt idx="6">
                  <c:v>Feb. 13</c:v>
                </c:pt>
                <c:pt idx="7">
                  <c:v>Mar. 13</c:v>
                </c:pt>
                <c:pt idx="8">
                  <c:v>Apr. 13</c:v>
                </c:pt>
                <c:pt idx="9">
                  <c:v>May 13</c:v>
                </c:pt>
                <c:pt idx="10">
                  <c:v>June 13</c:v>
                </c:pt>
                <c:pt idx="11">
                  <c:v>July 13</c:v>
                </c:pt>
                <c:pt idx="12">
                  <c:v>Aug. 13</c:v>
                </c:pt>
                <c:pt idx="13">
                  <c:v>Sept. 13</c:v>
                </c:pt>
                <c:pt idx="14">
                  <c:v>Oct. 13</c:v>
                </c:pt>
                <c:pt idx="15">
                  <c:v>Nov. 13</c:v>
                </c:pt>
                <c:pt idx="16">
                  <c:v>Dec. 13</c:v>
                </c:pt>
                <c:pt idx="17">
                  <c:v>Jan. 14</c:v>
                </c:pt>
                <c:pt idx="18">
                  <c:v>Feb. 14</c:v>
                </c:pt>
                <c:pt idx="19">
                  <c:v>Mar. 14</c:v>
                </c:pt>
                <c:pt idx="20">
                  <c:v>Apr. 14</c:v>
                </c:pt>
                <c:pt idx="21">
                  <c:v>May 14</c:v>
                </c:pt>
                <c:pt idx="22">
                  <c:v>June 14</c:v>
                </c:pt>
                <c:pt idx="23">
                  <c:v>July 14</c:v>
                </c:pt>
                <c:pt idx="24">
                  <c:v>Aug. 14</c:v>
                </c:pt>
              </c:strCache>
            </c:strRef>
          </c:cat>
          <c:val>
            <c:numRef>
              <c:f>[1]Data!$E$214</c:f>
              <c:numCache>
                <c:formatCode>General</c:formatCode>
                <c:ptCount val="1"/>
                <c:pt idx="0">
                  <c:v>28.269999999999996</c:v>
                </c:pt>
              </c:numCache>
            </c:numRef>
          </c:val>
          <c:smooth val="0"/>
        </c:ser>
        <c:ser>
          <c:idx val="7"/>
          <c:order val="7"/>
          <c:marker>
            <c:symbol val="none"/>
          </c:marker>
          <c:cat>
            <c:strRef>
              <c:f>Data!$A$206:$A$230</c:f>
              <c:strCache>
                <c:ptCount val="25"/>
                <c:pt idx="0">
                  <c:v>Aug. 12</c:v>
                </c:pt>
                <c:pt idx="1">
                  <c:v>Sept. 12</c:v>
                </c:pt>
                <c:pt idx="2">
                  <c:v>Oct. 12</c:v>
                </c:pt>
                <c:pt idx="3">
                  <c:v>Nov. 12</c:v>
                </c:pt>
                <c:pt idx="4">
                  <c:v>Dec. 12</c:v>
                </c:pt>
                <c:pt idx="5">
                  <c:v>Jan. 13</c:v>
                </c:pt>
                <c:pt idx="6">
                  <c:v>Feb. 13</c:v>
                </c:pt>
                <c:pt idx="7">
                  <c:v>Mar. 13</c:v>
                </c:pt>
                <c:pt idx="8">
                  <c:v>Apr. 13</c:v>
                </c:pt>
                <c:pt idx="9">
                  <c:v>May 13</c:v>
                </c:pt>
                <c:pt idx="10">
                  <c:v>June 13</c:v>
                </c:pt>
                <c:pt idx="11">
                  <c:v>July 13</c:v>
                </c:pt>
                <c:pt idx="12">
                  <c:v>Aug. 13</c:v>
                </c:pt>
                <c:pt idx="13">
                  <c:v>Sept. 13</c:v>
                </c:pt>
                <c:pt idx="14">
                  <c:v>Oct. 13</c:v>
                </c:pt>
                <c:pt idx="15">
                  <c:v>Nov. 13</c:v>
                </c:pt>
                <c:pt idx="16">
                  <c:v>Dec. 13</c:v>
                </c:pt>
                <c:pt idx="17">
                  <c:v>Jan. 14</c:v>
                </c:pt>
                <c:pt idx="18">
                  <c:v>Feb. 14</c:v>
                </c:pt>
                <c:pt idx="19">
                  <c:v>Mar. 14</c:v>
                </c:pt>
                <c:pt idx="20">
                  <c:v>Apr. 14</c:v>
                </c:pt>
                <c:pt idx="21">
                  <c:v>May 14</c:v>
                </c:pt>
                <c:pt idx="22">
                  <c:v>June 14</c:v>
                </c:pt>
                <c:pt idx="23">
                  <c:v>July 14</c:v>
                </c:pt>
                <c:pt idx="24">
                  <c:v>Aug. 14</c:v>
                </c:pt>
              </c:strCache>
            </c:strRef>
          </c:cat>
          <c:val>
            <c:numRef>
              <c:f>[1]Data!$F$214</c:f>
              <c:numCache>
                <c:formatCode>General</c:formatCode>
                <c:ptCount val="1"/>
                <c:pt idx="0">
                  <c:v>22.37</c:v>
                </c:pt>
              </c:numCache>
            </c:numRef>
          </c:val>
          <c:smooth val="0"/>
        </c:ser>
        <c:ser>
          <c:idx val="8"/>
          <c:order val="8"/>
          <c:marker>
            <c:symbol val="none"/>
          </c:marker>
          <c:cat>
            <c:strRef>
              <c:f>Data!$A$206:$A$230</c:f>
              <c:strCache>
                <c:ptCount val="25"/>
                <c:pt idx="0">
                  <c:v>Aug. 12</c:v>
                </c:pt>
                <c:pt idx="1">
                  <c:v>Sept. 12</c:v>
                </c:pt>
                <c:pt idx="2">
                  <c:v>Oct. 12</c:v>
                </c:pt>
                <c:pt idx="3">
                  <c:v>Nov. 12</c:v>
                </c:pt>
                <c:pt idx="4">
                  <c:v>Dec. 12</c:v>
                </c:pt>
                <c:pt idx="5">
                  <c:v>Jan. 13</c:v>
                </c:pt>
                <c:pt idx="6">
                  <c:v>Feb. 13</c:v>
                </c:pt>
                <c:pt idx="7">
                  <c:v>Mar. 13</c:v>
                </c:pt>
                <c:pt idx="8">
                  <c:v>Apr. 13</c:v>
                </c:pt>
                <c:pt idx="9">
                  <c:v>May 13</c:v>
                </c:pt>
                <c:pt idx="10">
                  <c:v>June 13</c:v>
                </c:pt>
                <c:pt idx="11">
                  <c:v>July 13</c:v>
                </c:pt>
                <c:pt idx="12">
                  <c:v>Aug. 13</c:v>
                </c:pt>
                <c:pt idx="13">
                  <c:v>Sept. 13</c:v>
                </c:pt>
                <c:pt idx="14">
                  <c:v>Oct. 13</c:v>
                </c:pt>
                <c:pt idx="15">
                  <c:v>Nov. 13</c:v>
                </c:pt>
                <c:pt idx="16">
                  <c:v>Dec. 13</c:v>
                </c:pt>
                <c:pt idx="17">
                  <c:v>Jan. 14</c:v>
                </c:pt>
                <c:pt idx="18">
                  <c:v>Feb. 14</c:v>
                </c:pt>
                <c:pt idx="19">
                  <c:v>Mar. 14</c:v>
                </c:pt>
                <c:pt idx="20">
                  <c:v>Apr. 14</c:v>
                </c:pt>
                <c:pt idx="21">
                  <c:v>May 14</c:v>
                </c:pt>
                <c:pt idx="22">
                  <c:v>June 14</c:v>
                </c:pt>
                <c:pt idx="23">
                  <c:v>July 14</c:v>
                </c:pt>
                <c:pt idx="24">
                  <c:v>Aug. 14</c:v>
                </c:pt>
              </c:strCache>
            </c:strRef>
          </c:cat>
          <c:val>
            <c:numRef>
              <c:f>[1]Data!$G$214</c:f>
              <c:numCache>
                <c:formatCode>General</c:formatCode>
                <c:ptCount val="1"/>
                <c:pt idx="0">
                  <c:v>25.537500000000001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318144"/>
        <c:axId val="89319680"/>
      </c:lineChart>
      <c:catAx>
        <c:axId val="89318144"/>
        <c:scaling>
          <c:orientation val="minMax"/>
        </c:scaling>
        <c:delete val="0"/>
        <c:axPos val="b"/>
        <c:numFmt formatCode="General" sourceLinked="1"/>
        <c:majorTickMark val="out"/>
        <c:minorTickMark val="out"/>
        <c:tickLblPos val="nextTo"/>
        <c:spPr>
          <a:ln w="9525">
            <a:noFill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89319680"/>
        <c:crossesAt val="-10"/>
        <c:auto val="0"/>
        <c:lblAlgn val="ctr"/>
        <c:lblOffset val="100"/>
        <c:tickLblSkip val="2"/>
        <c:tickMarkSkip val="3"/>
        <c:noMultiLvlLbl val="0"/>
      </c:catAx>
      <c:valAx>
        <c:axId val="8931968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US$/metric ton</a:t>
                </a:r>
              </a:p>
            </c:rich>
          </c:tx>
          <c:layout>
            <c:manualLayout>
              <c:xMode val="edge"/>
              <c:yMode val="edge"/>
              <c:x val="7.9365079365079413E-3"/>
              <c:y val="0.2939403921214723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\(#,##0\)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89318144"/>
        <c:crosses val="autoZero"/>
        <c:crossBetween val="between"/>
      </c:valAx>
      <c:catAx>
        <c:axId val="89321856"/>
        <c:scaling>
          <c:orientation val="minMax"/>
        </c:scaling>
        <c:delete val="1"/>
        <c:axPos val="b"/>
        <c:majorTickMark val="out"/>
        <c:minorTickMark val="none"/>
        <c:tickLblPos val="none"/>
        <c:crossAx val="89323392"/>
        <c:crosses val="autoZero"/>
        <c:auto val="0"/>
        <c:lblAlgn val="ctr"/>
        <c:lblOffset val="100"/>
        <c:noMultiLvlLbl val="0"/>
      </c:catAx>
      <c:valAx>
        <c:axId val="89323392"/>
        <c:scaling>
          <c:orientation val="minMax"/>
        </c:scaling>
        <c:delete val="1"/>
        <c:axPos val="l"/>
        <c:numFmt formatCode="&quot;$&quot;#,##0.00_);\(&quot;$&quot;#,##0.00\)" sourceLinked="1"/>
        <c:majorTickMark val="out"/>
        <c:minorTickMark val="none"/>
        <c:tickLblPos val="none"/>
        <c:crossAx val="89321856"/>
        <c:crosses val="autoZero"/>
        <c:crossBetween val="between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0634937299504205"/>
          <c:y val="0.9212150200422623"/>
          <c:w val="0.76053318980344398"/>
          <c:h val="7.878499872117764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6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0278" r="0.75000000000000278" t="1" header="0.5" footer="0.5"/>
    <c:pageSetup orientation="landscape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2</xdr:row>
      <xdr:rowOff>47625</xdr:rowOff>
    </xdr:from>
    <xdr:to>
      <xdr:col>8</xdr:col>
      <xdr:colOff>0</xdr:colOff>
      <xdr:row>18</xdr:row>
      <xdr:rowOff>180975</xdr:rowOff>
    </xdr:to>
    <xdr:graphicFrame macro="">
      <xdr:nvGraphicFramePr>
        <xdr:cNvPr id="615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0.10898</cdr:x>
      <cdr:y>0.07134</cdr:y>
    </cdr:from>
    <cdr:to>
      <cdr:x>0.52015</cdr:x>
      <cdr:y>0.22701</cdr:y>
    </cdr:to>
    <cdr:sp macro="" textlink="">
      <cdr:nvSpPr>
        <cdr:cNvPr id="7169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24411" y="231778"/>
          <a:ext cx="2355929" cy="505785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                                      Gulf       PNW      Spread                                                  </a:t>
          </a:r>
        </a:p>
        <a:p xmlns:a="http://schemas.openxmlformats.org/drawingml/2006/main">
          <a:pPr rtl="0"/>
          <a:r>
            <a:rPr lang="en-US" sz="800" b="0" i="0">
              <a:effectLst/>
              <a:latin typeface="Times New Roman" pitchFamily="18" charset="0"/>
              <a:ea typeface="+mn-ea"/>
              <a:cs typeface="Times New Roman" pitchFamily="18" charset="0"/>
            </a:rPr>
            <a:t>Ocean rates for August '14   $43.20    $24.05    $19.15  </a:t>
          </a:r>
          <a:endParaRPr lang="en-US" sz="800">
            <a:effectLst/>
            <a:latin typeface="Times New Roman" pitchFamily="18" charset="0"/>
            <a:cs typeface="Times New Roman" pitchFamily="18" charset="0"/>
          </a:endParaRPr>
        </a:p>
        <a:p xmlns:a="http://schemas.openxmlformats.org/drawingml/2006/main">
          <a:pPr rtl="0"/>
          <a:r>
            <a:rPr lang="en-US" sz="800" b="0" i="0">
              <a:effectLst/>
              <a:latin typeface="Times New Roman" pitchFamily="18" charset="0"/>
              <a:ea typeface="+mn-ea"/>
              <a:cs typeface="Times New Roman" pitchFamily="18" charset="0"/>
            </a:rPr>
            <a:t>Change from August. '13        -5.1%     -1.6%      -9.0%      </a:t>
          </a:r>
        </a:p>
        <a:p xmlns:a="http://schemas.openxmlformats.org/drawingml/2006/main">
          <a:pPr rtl="0"/>
          <a:r>
            <a:rPr lang="en-US" sz="800" b="0" i="0">
              <a:effectLst/>
              <a:latin typeface="Times New Roman" pitchFamily="18" charset="0"/>
              <a:ea typeface="+mn-ea"/>
              <a:cs typeface="Times New Roman" pitchFamily="18" charset="0"/>
            </a:rPr>
            <a:t>Change from 4-year avg.      -17.8%   -17.1%     -18.8%</a:t>
          </a:r>
          <a:endParaRPr lang="en-US" sz="800">
            <a:effectLst/>
            <a:latin typeface="Times New Roman" pitchFamily="18" charset="0"/>
            <a:cs typeface="Times New Roman" pitchFamily="18" charset="0"/>
          </a:endParaRPr>
        </a:p>
        <a:p xmlns:a="http://schemas.openxmlformats.org/drawingml/2006/main">
          <a:pPr algn="l" rtl="0">
            <a:defRPr sz="1000"/>
          </a:pPr>
          <a:r>
            <a:rPr lang="en-US" sz="600" b="0" i="0" strike="noStrike">
              <a:solidFill>
                <a:srgbClr val="000000"/>
              </a:solidFill>
              <a:latin typeface="Times New Roman"/>
              <a:cs typeface="Times New Roman"/>
            </a:rPr>
            <a:t>  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GTR%202/Ocean%20Tranportation2/Data/New%20Figure17_Rat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New Figure 17"/>
      <sheetName val="Figure 12"/>
      <sheetName val="Sheet1"/>
    </sheetNames>
    <sheetDataSet>
      <sheetData sheetId="0">
        <row r="214">
          <cell r="B214">
            <v>47.25</v>
          </cell>
          <cell r="C214">
            <v>53.807500000000005</v>
          </cell>
          <cell r="D214">
            <v>24.88</v>
          </cell>
          <cell r="E214">
            <v>28.269999999999996</v>
          </cell>
          <cell r="F214">
            <v>22.37</v>
          </cell>
          <cell r="G214">
            <v>25.537500000000001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/>
  <dimension ref="A1:M235"/>
  <sheetViews>
    <sheetView defaultGridColor="0" colorId="22" zoomScale="87" workbookViewId="0">
      <pane ySplit="6" topLeftCell="A220" activePane="bottomLeft" state="frozen"/>
      <selection pane="bottomLeft" activeCell="A230" sqref="A230:G230"/>
    </sheetView>
  </sheetViews>
  <sheetFormatPr defaultColWidth="9.7265625" defaultRowHeight="13.2" x14ac:dyDescent="0.25"/>
  <cols>
    <col min="1" max="1" width="14.08984375" style="4" customWidth="1"/>
    <col min="2" max="3" width="11.26953125" style="6" customWidth="1"/>
    <col min="4" max="5" width="11.54296875" style="6" customWidth="1"/>
    <col min="6" max="7" width="11" style="7" customWidth="1"/>
    <col min="8" max="16384" width="9.7265625" style="4"/>
  </cols>
  <sheetData>
    <row r="1" spans="1:7" x14ac:dyDescent="0.25">
      <c r="A1" s="1" t="s">
        <v>0</v>
      </c>
      <c r="B1" s="2"/>
      <c r="C1" s="2"/>
      <c r="D1" s="2"/>
      <c r="E1" s="2"/>
      <c r="F1" s="3"/>
      <c r="G1" s="3"/>
    </row>
    <row r="2" spans="1:7" x14ac:dyDescent="0.25">
      <c r="A2" s="1"/>
      <c r="B2" s="2"/>
      <c r="C2" s="2"/>
      <c r="D2" s="2"/>
      <c r="E2" s="2"/>
      <c r="F2" s="3"/>
      <c r="G2" s="3"/>
    </row>
    <row r="3" spans="1:7" x14ac:dyDescent="0.25">
      <c r="A3" s="5" t="s">
        <v>1</v>
      </c>
      <c r="B3" s="2"/>
      <c r="C3" s="2"/>
      <c r="D3" s="2"/>
      <c r="E3" s="2"/>
      <c r="F3" s="3"/>
      <c r="G3" s="3"/>
    </row>
    <row r="5" spans="1:7" x14ac:dyDescent="0.25">
      <c r="B5" s="6" t="s">
        <v>6</v>
      </c>
      <c r="D5" s="6" t="s">
        <v>6</v>
      </c>
      <c r="F5" s="9" t="s">
        <v>4</v>
      </c>
      <c r="G5" s="9"/>
    </row>
    <row r="6" spans="1:7" x14ac:dyDescent="0.25">
      <c r="B6" s="8" t="s">
        <v>2</v>
      </c>
      <c r="C6" s="8" t="s">
        <v>140</v>
      </c>
      <c r="D6" s="8" t="s">
        <v>3</v>
      </c>
      <c r="E6" s="8" t="s">
        <v>140</v>
      </c>
      <c r="F6" s="10" t="s">
        <v>7</v>
      </c>
      <c r="G6" s="8" t="s">
        <v>140</v>
      </c>
    </row>
    <row r="7" spans="1:7" x14ac:dyDescent="0.25">
      <c r="A7" s="4" t="s">
        <v>8</v>
      </c>
      <c r="B7" s="6">
        <v>27.670955086580083</v>
      </c>
      <c r="D7" s="6">
        <v>15.62298430735931</v>
      </c>
      <c r="F7" s="7">
        <f t="shared" ref="F7:F38" si="0">B7-D7</f>
        <v>12.047970779220773</v>
      </c>
    </row>
    <row r="8" spans="1:7" x14ac:dyDescent="0.25">
      <c r="A8" s="4" t="s">
        <v>9</v>
      </c>
      <c r="B8" s="6">
        <v>25.047151360544213</v>
      </c>
      <c r="D8" s="6">
        <v>15.35739795918367</v>
      </c>
      <c r="F8" s="7">
        <f t="shared" si="0"/>
        <v>9.6897534013605426</v>
      </c>
    </row>
    <row r="9" spans="1:7" x14ac:dyDescent="0.25">
      <c r="A9" s="4" t="s">
        <v>10</v>
      </c>
      <c r="B9" s="6">
        <v>24.920578231292513</v>
      </c>
      <c r="D9" s="6">
        <v>14.095323129251701</v>
      </c>
      <c r="F9" s="7">
        <f t="shared" si="0"/>
        <v>10.825255102040812</v>
      </c>
    </row>
    <row r="10" spans="1:7" x14ac:dyDescent="0.25">
      <c r="A10" s="4" t="s">
        <v>11</v>
      </c>
      <c r="B10" s="6">
        <v>25.847008928571434</v>
      </c>
      <c r="D10" s="6">
        <v>14.035357142857142</v>
      </c>
      <c r="F10" s="7">
        <f t="shared" si="0"/>
        <v>11.811651785714291</v>
      </c>
    </row>
    <row r="11" spans="1:7" x14ac:dyDescent="0.25">
      <c r="A11" s="4" t="s">
        <v>12</v>
      </c>
      <c r="B11" s="6">
        <v>25.4281179138322</v>
      </c>
      <c r="D11" s="6">
        <v>13.884297052154196</v>
      </c>
      <c r="F11" s="7">
        <f t="shared" si="0"/>
        <v>11.543820861678004</v>
      </c>
    </row>
    <row r="12" spans="1:7" x14ac:dyDescent="0.25">
      <c r="A12" s="4" t="s">
        <v>13</v>
      </c>
      <c r="B12" s="6">
        <v>23.490595238095231</v>
      </c>
      <c r="D12" s="6">
        <v>12.634940476190476</v>
      </c>
      <c r="F12" s="7">
        <f t="shared" si="0"/>
        <v>10.855654761904756</v>
      </c>
    </row>
    <row r="13" spans="1:7" x14ac:dyDescent="0.25">
      <c r="A13" s="4" t="s">
        <v>14</v>
      </c>
      <c r="B13" s="6">
        <v>21.453985507246379</v>
      </c>
      <c r="D13" s="6">
        <v>11.137681159420291</v>
      </c>
      <c r="F13" s="7">
        <f t="shared" si="0"/>
        <v>10.316304347826089</v>
      </c>
    </row>
    <row r="14" spans="1:7" x14ac:dyDescent="0.25">
      <c r="A14" s="4" t="s">
        <v>15</v>
      </c>
      <c r="B14" s="6">
        <v>20.879648526077098</v>
      </c>
      <c r="D14" s="6">
        <v>10.678911564625851</v>
      </c>
      <c r="F14" s="7">
        <f t="shared" si="0"/>
        <v>10.200736961451247</v>
      </c>
    </row>
    <row r="15" spans="1:7" x14ac:dyDescent="0.25">
      <c r="A15" s="4" t="s">
        <v>16</v>
      </c>
      <c r="B15" s="6">
        <v>19.332936507936505</v>
      </c>
      <c r="D15" s="6">
        <v>10.520804988662132</v>
      </c>
      <c r="F15" s="7">
        <f t="shared" si="0"/>
        <v>8.8121315192743737</v>
      </c>
    </row>
    <row r="16" spans="1:7" x14ac:dyDescent="0.25">
      <c r="A16" s="4" t="s">
        <v>17</v>
      </c>
      <c r="B16" s="6">
        <v>21.471325051759838</v>
      </c>
      <c r="D16" s="6">
        <v>11.811024844720494</v>
      </c>
      <c r="F16" s="7">
        <f t="shared" si="0"/>
        <v>9.6603002070393433</v>
      </c>
    </row>
    <row r="17" spans="1:6" x14ac:dyDescent="0.25">
      <c r="A17" s="4" t="s">
        <v>18</v>
      </c>
      <c r="B17" s="6">
        <v>24.618494897959188</v>
      </c>
      <c r="D17" s="6">
        <v>14.92070578231292</v>
      </c>
      <c r="F17" s="7">
        <f t="shared" si="0"/>
        <v>9.6977891156462679</v>
      </c>
    </row>
    <row r="18" spans="1:6" x14ac:dyDescent="0.25">
      <c r="A18" s="4" t="s">
        <v>19</v>
      </c>
      <c r="B18" s="6">
        <v>25.652349624060154</v>
      </c>
      <c r="D18" s="6">
        <v>15.122368421052631</v>
      </c>
      <c r="F18" s="7">
        <f t="shared" si="0"/>
        <v>10.529981203007523</v>
      </c>
    </row>
    <row r="19" spans="1:6" x14ac:dyDescent="0.25">
      <c r="A19" s="4" t="s">
        <v>20</v>
      </c>
      <c r="B19" s="6">
        <v>25.510105519480522</v>
      </c>
      <c r="D19" s="6">
        <v>14.237865259740259</v>
      </c>
      <c r="F19" s="7">
        <f t="shared" si="0"/>
        <v>11.272240259740263</v>
      </c>
    </row>
    <row r="20" spans="1:6" x14ac:dyDescent="0.25">
      <c r="A20" s="4" t="s">
        <v>21</v>
      </c>
      <c r="B20" s="6">
        <v>25.578705357142859</v>
      </c>
      <c r="D20" s="6">
        <v>14.508973214285714</v>
      </c>
      <c r="F20" s="7">
        <f t="shared" si="0"/>
        <v>11.069732142857145</v>
      </c>
    </row>
    <row r="21" spans="1:6" x14ac:dyDescent="0.25">
      <c r="A21" s="4" t="s">
        <v>22</v>
      </c>
      <c r="B21" s="6">
        <v>25.314489348370927</v>
      </c>
      <c r="D21" s="6">
        <v>15.511575814536343</v>
      </c>
      <c r="F21" s="7">
        <f t="shared" si="0"/>
        <v>9.8029135338345839</v>
      </c>
    </row>
    <row r="22" spans="1:6" x14ac:dyDescent="0.25">
      <c r="A22" s="4" t="s">
        <v>23</v>
      </c>
      <c r="B22" s="6">
        <v>23.595604707792209</v>
      </c>
      <c r="D22" s="6">
        <v>14.370021645021644</v>
      </c>
      <c r="F22" s="7">
        <f t="shared" si="0"/>
        <v>9.2255830627705642</v>
      </c>
    </row>
    <row r="23" spans="1:6" x14ac:dyDescent="0.25">
      <c r="A23" s="4" t="s">
        <v>24</v>
      </c>
      <c r="B23" s="6">
        <v>21.801473214285711</v>
      </c>
      <c r="D23" s="6">
        <v>12.565580357142858</v>
      </c>
      <c r="F23" s="7">
        <f t="shared" si="0"/>
        <v>9.2358928571428525</v>
      </c>
    </row>
    <row r="24" spans="1:6" x14ac:dyDescent="0.25">
      <c r="A24" s="4" t="s">
        <v>25</v>
      </c>
      <c r="B24" s="6">
        <v>21.438137755102041</v>
      </c>
      <c r="D24" s="6">
        <v>12.25715986394558</v>
      </c>
      <c r="F24" s="7">
        <f t="shared" si="0"/>
        <v>9.180977891156461</v>
      </c>
    </row>
    <row r="25" spans="1:6" x14ac:dyDescent="0.25">
      <c r="A25" s="4" t="s">
        <v>26</v>
      </c>
      <c r="B25" s="6">
        <v>23.608618012422362</v>
      </c>
      <c r="D25" s="6">
        <v>13.56651138716356</v>
      </c>
      <c r="F25" s="7">
        <f t="shared" si="0"/>
        <v>10.042106625258802</v>
      </c>
    </row>
    <row r="26" spans="1:6" x14ac:dyDescent="0.25">
      <c r="A26" s="4" t="s">
        <v>27</v>
      </c>
      <c r="B26" s="6">
        <v>22.797410714285714</v>
      </c>
      <c r="D26" s="6">
        <v>12.948437500000001</v>
      </c>
      <c r="F26" s="7">
        <f t="shared" si="0"/>
        <v>9.8489732142857136</v>
      </c>
    </row>
    <row r="27" spans="1:6" x14ac:dyDescent="0.25">
      <c r="A27" s="4" t="s">
        <v>28</v>
      </c>
      <c r="B27" s="6">
        <v>23.218411796536795</v>
      </c>
      <c r="D27" s="6">
        <v>13.182927489177489</v>
      </c>
      <c r="F27" s="7">
        <f t="shared" si="0"/>
        <v>10.035484307359306</v>
      </c>
    </row>
    <row r="28" spans="1:6" x14ac:dyDescent="0.25">
      <c r="A28" s="4" t="s">
        <v>29</v>
      </c>
      <c r="B28" s="6">
        <v>23.216614906832298</v>
      </c>
      <c r="D28" s="6">
        <v>13.652445652173913</v>
      </c>
      <c r="F28" s="7">
        <f t="shared" si="0"/>
        <v>9.5641692546583847</v>
      </c>
    </row>
    <row r="29" spans="1:6" x14ac:dyDescent="0.25">
      <c r="A29" s="4" t="s">
        <v>30</v>
      </c>
      <c r="B29" s="6">
        <v>20.643673809523811</v>
      </c>
      <c r="D29" s="6">
        <v>13.00820238095238</v>
      </c>
      <c r="F29" s="7">
        <f t="shared" si="0"/>
        <v>7.6354714285714316</v>
      </c>
    </row>
    <row r="30" spans="1:6" x14ac:dyDescent="0.25">
      <c r="A30" s="4" t="s">
        <v>31</v>
      </c>
      <c r="B30" s="6">
        <v>21.206405895691606</v>
      </c>
      <c r="D30" s="6">
        <v>12.507925170068026</v>
      </c>
      <c r="F30" s="7">
        <f t="shared" si="0"/>
        <v>8.6984807256235808</v>
      </c>
    </row>
    <row r="31" spans="1:6" x14ac:dyDescent="0.25">
      <c r="A31" s="4" t="s">
        <v>32</v>
      </c>
      <c r="B31" s="6">
        <v>20.354345238095242</v>
      </c>
      <c r="D31" s="6">
        <v>11.428809523809523</v>
      </c>
      <c r="F31" s="7">
        <f t="shared" si="0"/>
        <v>8.9255357142857186</v>
      </c>
    </row>
    <row r="32" spans="1:6" x14ac:dyDescent="0.25">
      <c r="A32" s="4" t="s">
        <v>33</v>
      </c>
      <c r="B32" s="6">
        <v>17.848988095238099</v>
      </c>
      <c r="D32" s="6">
        <v>9.401011904761905</v>
      </c>
      <c r="F32" s="7">
        <f t="shared" si="0"/>
        <v>8.4479761904761936</v>
      </c>
    </row>
    <row r="33" spans="1:9" x14ac:dyDescent="0.25">
      <c r="A33" s="4" t="s">
        <v>34</v>
      </c>
      <c r="B33" s="6">
        <v>18.463852813852814</v>
      </c>
      <c r="D33" s="6">
        <v>12.194588744588744</v>
      </c>
      <c r="F33" s="7">
        <f t="shared" si="0"/>
        <v>6.2692640692640698</v>
      </c>
    </row>
    <row r="34" spans="1:9" x14ac:dyDescent="0.25">
      <c r="A34" s="4" t="s">
        <v>35</v>
      </c>
      <c r="B34" s="6">
        <v>18.140833333333333</v>
      </c>
      <c r="D34" s="6">
        <v>11.519345238095237</v>
      </c>
      <c r="F34" s="7">
        <f t="shared" si="0"/>
        <v>6.6214880952380959</v>
      </c>
    </row>
    <row r="35" spans="1:9" x14ac:dyDescent="0.25">
      <c r="A35" s="4" t="s">
        <v>36</v>
      </c>
      <c r="B35" s="6">
        <v>17.079667919799501</v>
      </c>
      <c r="D35" s="6">
        <v>10.887439223057646</v>
      </c>
      <c r="F35" s="7">
        <f t="shared" si="0"/>
        <v>6.1922286967418554</v>
      </c>
    </row>
    <row r="36" spans="1:9" x14ac:dyDescent="0.25">
      <c r="A36" s="4" t="s">
        <v>37</v>
      </c>
      <c r="B36" s="6">
        <v>14.40219155844156</v>
      </c>
      <c r="D36" s="6">
        <v>10.620292207792206</v>
      </c>
      <c r="F36" s="7">
        <f t="shared" si="0"/>
        <v>3.7818993506493541</v>
      </c>
    </row>
    <row r="37" spans="1:9" x14ac:dyDescent="0.25">
      <c r="A37" s="4" t="s">
        <v>38</v>
      </c>
      <c r="B37" s="6">
        <v>13.416935817805383</v>
      </c>
      <c r="D37" s="6">
        <v>10.024847308488614</v>
      </c>
      <c r="F37" s="7">
        <f t="shared" si="0"/>
        <v>3.3920885093167694</v>
      </c>
    </row>
    <row r="38" spans="1:9" x14ac:dyDescent="0.25">
      <c r="A38" s="4" t="s">
        <v>39</v>
      </c>
      <c r="B38" s="6">
        <v>12.709955357142857</v>
      </c>
      <c r="D38" s="6">
        <v>9.7103422619047599</v>
      </c>
      <c r="F38" s="7">
        <f t="shared" si="0"/>
        <v>2.9996130952380966</v>
      </c>
    </row>
    <row r="39" spans="1:9" x14ac:dyDescent="0.25">
      <c r="A39" s="4" t="s">
        <v>40</v>
      </c>
      <c r="B39" s="6">
        <v>12.732765151515151</v>
      </c>
      <c r="D39" s="6">
        <v>10.155303030303031</v>
      </c>
      <c r="F39" s="7">
        <f t="shared" ref="F39:F70" si="1">B39-D39</f>
        <v>2.57746212121212</v>
      </c>
    </row>
    <row r="40" spans="1:9" x14ac:dyDescent="0.25">
      <c r="A40" s="4" t="s">
        <v>41</v>
      </c>
      <c r="B40" s="6">
        <v>13.771387987012988</v>
      </c>
      <c r="D40" s="6">
        <v>11.958220779220779</v>
      </c>
      <c r="F40" s="7">
        <f t="shared" si="1"/>
        <v>1.8131672077922083</v>
      </c>
    </row>
    <row r="41" spans="1:9" x14ac:dyDescent="0.25">
      <c r="A41" s="4" t="s">
        <v>42</v>
      </c>
      <c r="B41" s="6">
        <v>13.354889455782313</v>
      </c>
      <c r="D41" s="6">
        <v>12.447534013605443</v>
      </c>
      <c r="F41" s="7">
        <f t="shared" si="1"/>
        <v>0.90735544217687014</v>
      </c>
    </row>
    <row r="42" spans="1:9" x14ac:dyDescent="0.25">
      <c r="A42" s="4" t="s">
        <v>43</v>
      </c>
      <c r="B42" s="6">
        <v>12.506754535147392</v>
      </c>
      <c r="D42" s="6">
        <v>10.778044217687073</v>
      </c>
      <c r="F42" s="7">
        <f t="shared" si="1"/>
        <v>1.7287103174603189</v>
      </c>
    </row>
    <row r="43" spans="1:9" x14ac:dyDescent="0.25">
      <c r="A43" s="4" t="s">
        <v>44</v>
      </c>
      <c r="B43" s="6">
        <v>13.915059523809521</v>
      </c>
      <c r="D43" s="6">
        <v>9.5644642857142834</v>
      </c>
      <c r="F43" s="7">
        <f t="shared" si="1"/>
        <v>4.350595238095238</v>
      </c>
    </row>
    <row r="44" spans="1:9" x14ac:dyDescent="0.25">
      <c r="A44" s="4" t="s">
        <v>45</v>
      </c>
      <c r="B44" s="6">
        <v>15.126964285714289</v>
      </c>
      <c r="D44" s="6">
        <v>9.2216666666666676</v>
      </c>
      <c r="F44" s="7">
        <f t="shared" si="1"/>
        <v>5.9052976190476212</v>
      </c>
      <c r="I44" s="4" t="s">
        <v>5</v>
      </c>
    </row>
    <row r="45" spans="1:9" x14ac:dyDescent="0.25">
      <c r="A45" s="4" t="s">
        <v>46</v>
      </c>
      <c r="B45" s="6">
        <v>16.322173913043478</v>
      </c>
      <c r="D45" s="6">
        <v>10.343726708074534</v>
      </c>
      <c r="F45" s="7">
        <f t="shared" si="1"/>
        <v>5.9784472049689441</v>
      </c>
      <c r="I45" s="4" t="s">
        <v>5</v>
      </c>
    </row>
    <row r="46" spans="1:9" x14ac:dyDescent="0.25">
      <c r="A46" s="4" t="s">
        <v>47</v>
      </c>
      <c r="B46" s="6">
        <v>16.158154761904761</v>
      </c>
      <c r="D46" s="6">
        <v>9.5844642857142865</v>
      </c>
      <c r="F46" s="7">
        <f t="shared" si="1"/>
        <v>6.5736904761904746</v>
      </c>
    </row>
    <row r="47" spans="1:9" x14ac:dyDescent="0.25">
      <c r="A47" s="4" t="s">
        <v>48</v>
      </c>
      <c r="B47" s="6">
        <v>18.280162907268174</v>
      </c>
      <c r="D47" s="6">
        <v>11.261647869674187</v>
      </c>
      <c r="F47" s="7">
        <f t="shared" si="1"/>
        <v>7.0185150375939873</v>
      </c>
    </row>
    <row r="48" spans="1:9" x14ac:dyDescent="0.25">
      <c r="A48" s="4" t="s">
        <v>49</v>
      </c>
      <c r="B48" s="6">
        <v>16.403084415584413</v>
      </c>
      <c r="D48" s="6">
        <v>11.729491341991343</v>
      </c>
      <c r="F48" s="7">
        <f t="shared" si="1"/>
        <v>4.6735930735930697</v>
      </c>
    </row>
    <row r="49" spans="1:6" x14ac:dyDescent="0.25">
      <c r="A49" s="4" t="s">
        <v>50</v>
      </c>
      <c r="B49" s="6">
        <v>17.583157894736843</v>
      </c>
      <c r="D49" s="6">
        <v>10.938421052631577</v>
      </c>
      <c r="F49" s="7">
        <f t="shared" si="1"/>
        <v>6.6447368421052655</v>
      </c>
    </row>
    <row r="50" spans="1:6" x14ac:dyDescent="0.25">
      <c r="A50" s="4" t="s">
        <v>51</v>
      </c>
      <c r="B50" s="6">
        <v>18.996190476190478</v>
      </c>
      <c r="D50" s="6">
        <v>10.912857142857142</v>
      </c>
      <c r="F50" s="7">
        <f t="shared" si="1"/>
        <v>8.0833333333333357</v>
      </c>
    </row>
    <row r="51" spans="1:6" x14ac:dyDescent="0.25">
      <c r="A51" s="4" t="s">
        <v>52</v>
      </c>
      <c r="B51" s="6">
        <v>20.734090909090909</v>
      </c>
      <c r="D51" s="6">
        <v>11.356363636363637</v>
      </c>
      <c r="F51" s="7">
        <f t="shared" si="1"/>
        <v>9.377727272727272</v>
      </c>
    </row>
    <row r="52" spans="1:6" x14ac:dyDescent="0.25">
      <c r="A52" s="4" t="s">
        <v>53</v>
      </c>
      <c r="B52" s="6">
        <v>22.287285714285709</v>
      </c>
      <c r="D52" s="6">
        <v>13.694857142857142</v>
      </c>
      <c r="F52" s="7">
        <f t="shared" si="1"/>
        <v>8.5924285714285666</v>
      </c>
    </row>
    <row r="53" spans="1:6" x14ac:dyDescent="0.25">
      <c r="A53" s="4" t="s">
        <v>54</v>
      </c>
      <c r="B53" s="6">
        <v>22.427590909090906</v>
      </c>
      <c r="D53" s="6">
        <v>14.171681818181817</v>
      </c>
      <c r="F53" s="7">
        <f t="shared" si="1"/>
        <v>8.2559090909090891</v>
      </c>
    </row>
    <row r="54" spans="1:6" x14ac:dyDescent="0.25">
      <c r="A54" s="4" t="s">
        <v>55</v>
      </c>
      <c r="B54" s="6">
        <v>20.490666666666662</v>
      </c>
      <c r="D54" s="6">
        <v>13.872999999999999</v>
      </c>
      <c r="F54" s="7">
        <f t="shared" si="1"/>
        <v>6.617666666666663</v>
      </c>
    </row>
    <row r="55" spans="1:6" x14ac:dyDescent="0.25">
      <c r="A55" s="4" t="s">
        <v>56</v>
      </c>
      <c r="B55" s="6">
        <v>21.568199999999997</v>
      </c>
      <c r="D55" s="6">
        <v>14.7536</v>
      </c>
      <c r="F55" s="7">
        <f t="shared" si="1"/>
        <v>6.8145999999999969</v>
      </c>
    </row>
    <row r="56" spans="1:6" x14ac:dyDescent="0.25">
      <c r="A56" s="4" t="s">
        <v>57</v>
      </c>
      <c r="B56" s="6">
        <v>20.740476190476191</v>
      </c>
      <c r="D56" s="6">
        <v>14.83047619047619</v>
      </c>
      <c r="F56" s="7">
        <f t="shared" si="1"/>
        <v>5.91</v>
      </c>
    </row>
    <row r="57" spans="1:6" x14ac:dyDescent="0.25">
      <c r="A57" s="4" t="s">
        <v>58</v>
      </c>
      <c r="B57" s="6">
        <v>22.046173913043475</v>
      </c>
      <c r="D57" s="6">
        <v>16.42082608695652</v>
      </c>
      <c r="F57" s="7">
        <f t="shared" si="1"/>
        <v>5.6253478260869549</v>
      </c>
    </row>
    <row r="58" spans="1:6" x14ac:dyDescent="0.25">
      <c r="A58" s="4" t="s">
        <v>59</v>
      </c>
      <c r="B58" s="6">
        <v>22.59438888888889</v>
      </c>
      <c r="D58" s="6">
        <v>15.774500000000002</v>
      </c>
      <c r="F58" s="7">
        <f t="shared" si="1"/>
        <v>6.8198888888888884</v>
      </c>
    </row>
    <row r="59" spans="1:6" x14ac:dyDescent="0.25">
      <c r="A59" s="4" t="s">
        <v>60</v>
      </c>
      <c r="B59" s="6">
        <v>23.048190476190477</v>
      </c>
      <c r="D59" s="6">
        <v>15.64447619047619</v>
      </c>
      <c r="F59" s="7">
        <f t="shared" si="1"/>
        <v>7.4037142857142868</v>
      </c>
    </row>
    <row r="60" spans="1:6" x14ac:dyDescent="0.25">
      <c r="A60" s="4" t="s">
        <v>61</v>
      </c>
      <c r="B60" s="6">
        <v>23.258090909090907</v>
      </c>
      <c r="D60" s="6">
        <v>15.935181818181819</v>
      </c>
      <c r="F60" s="7">
        <f t="shared" si="1"/>
        <v>7.3229090909090875</v>
      </c>
    </row>
    <row r="61" spans="1:6" x14ac:dyDescent="0.25">
      <c r="A61" s="4" t="s">
        <v>62</v>
      </c>
      <c r="B61" s="6">
        <v>23.50152380952381</v>
      </c>
      <c r="D61" s="6">
        <v>15.890285714285714</v>
      </c>
      <c r="F61" s="7">
        <f t="shared" si="1"/>
        <v>7.6112380952380967</v>
      </c>
    </row>
    <row r="62" spans="1:6" x14ac:dyDescent="0.25">
      <c r="A62" s="4" t="s">
        <v>63</v>
      </c>
      <c r="B62" s="6">
        <v>23.674238095238099</v>
      </c>
      <c r="D62" s="6">
        <v>15.860190476190477</v>
      </c>
      <c r="F62" s="7">
        <f t="shared" si="1"/>
        <v>7.8140476190476225</v>
      </c>
    </row>
    <row r="63" spans="1:6" x14ac:dyDescent="0.25">
      <c r="A63" s="4" t="s">
        <v>64</v>
      </c>
      <c r="B63" s="6">
        <v>24.72219047619048</v>
      </c>
      <c r="D63" s="6">
        <v>16.330523809523807</v>
      </c>
      <c r="F63" s="7">
        <f t="shared" si="1"/>
        <v>8.3916666666666728</v>
      </c>
    </row>
    <row r="64" spans="1:6" x14ac:dyDescent="0.25">
      <c r="A64" s="4" t="s">
        <v>65</v>
      </c>
      <c r="B64" s="6">
        <v>24.997636363636364</v>
      </c>
      <c r="D64" s="6">
        <v>16.132318181818182</v>
      </c>
      <c r="F64" s="7">
        <f t="shared" si="1"/>
        <v>8.8653181818181821</v>
      </c>
    </row>
    <row r="65" spans="1:6" x14ac:dyDescent="0.25">
      <c r="A65" s="4" t="s">
        <v>66</v>
      </c>
      <c r="B65" s="6">
        <v>23.919136363636365</v>
      </c>
      <c r="D65" s="6">
        <v>16.110409090909094</v>
      </c>
      <c r="F65" s="7">
        <f t="shared" si="1"/>
        <v>7.8087272727272712</v>
      </c>
    </row>
    <row r="66" spans="1:6" x14ac:dyDescent="0.25">
      <c r="A66" s="4" t="s">
        <v>67</v>
      </c>
      <c r="B66" s="6">
        <v>21.804052631578948</v>
      </c>
      <c r="D66" s="6">
        <v>16.096368421052631</v>
      </c>
      <c r="F66" s="7">
        <f t="shared" si="1"/>
        <v>5.7076842105263168</v>
      </c>
    </row>
    <row r="67" spans="1:6" x14ac:dyDescent="0.25">
      <c r="A67" s="4" t="s">
        <v>68</v>
      </c>
      <c r="B67" s="6">
        <v>22.195227272727273</v>
      </c>
      <c r="D67" s="6">
        <v>17.036181818181817</v>
      </c>
      <c r="F67" s="7">
        <f t="shared" si="1"/>
        <v>5.1590454545454563</v>
      </c>
    </row>
    <row r="68" spans="1:6" x14ac:dyDescent="0.25">
      <c r="A68" s="4" t="s">
        <v>69</v>
      </c>
      <c r="B68" s="6">
        <v>21.665400000000005</v>
      </c>
      <c r="D68" s="6">
        <v>16.951550000000005</v>
      </c>
      <c r="F68" s="7">
        <f t="shared" si="1"/>
        <v>4.7138500000000008</v>
      </c>
    </row>
    <row r="69" spans="1:6" x14ac:dyDescent="0.25">
      <c r="A69" s="4" t="s">
        <v>70</v>
      </c>
      <c r="B69" s="6">
        <v>22.520227272727272</v>
      </c>
      <c r="D69" s="6">
        <v>17.463000000000008</v>
      </c>
      <c r="F69" s="7">
        <f t="shared" si="1"/>
        <v>5.057227272727264</v>
      </c>
    </row>
    <row r="70" spans="1:6" x14ac:dyDescent="0.25">
      <c r="A70" s="4" t="s">
        <v>71</v>
      </c>
      <c r="B70" s="6">
        <v>22.492368421052632</v>
      </c>
      <c r="D70" s="6">
        <v>16.147000000000002</v>
      </c>
      <c r="F70" s="7">
        <f t="shared" si="1"/>
        <v>6.3453684210526298</v>
      </c>
    </row>
    <row r="71" spans="1:6" x14ac:dyDescent="0.25">
      <c r="A71" s="4" t="s">
        <v>72</v>
      </c>
      <c r="B71" s="6">
        <v>23.449714285714286</v>
      </c>
      <c r="D71" s="6">
        <v>14.565619047619046</v>
      </c>
      <c r="F71" s="7">
        <f t="shared" ref="F71:F201" si="2">B71-D71</f>
        <v>8.8840952380952398</v>
      </c>
    </row>
    <row r="72" spans="1:6" x14ac:dyDescent="0.25">
      <c r="A72" s="4" t="s">
        <v>73</v>
      </c>
      <c r="B72" s="6">
        <v>22.761523809523812</v>
      </c>
      <c r="D72" s="6">
        <v>13.307714285714285</v>
      </c>
      <c r="F72" s="7">
        <f t="shared" si="2"/>
        <v>9.453809523809527</v>
      </c>
    </row>
    <row r="73" spans="1:6" x14ac:dyDescent="0.25">
      <c r="A73" s="4" t="s">
        <v>74</v>
      </c>
      <c r="B73" s="6">
        <v>20.305181818181815</v>
      </c>
      <c r="D73" s="6">
        <v>13.007590909090908</v>
      </c>
      <c r="F73" s="7">
        <f t="shared" si="2"/>
        <v>7.297590909090907</v>
      </c>
    </row>
    <row r="74" spans="1:6" x14ac:dyDescent="0.25">
      <c r="A74" s="4" t="s">
        <v>75</v>
      </c>
      <c r="B74" s="6">
        <v>18.007571428571431</v>
      </c>
      <c r="D74" s="6">
        <v>10.682</v>
      </c>
      <c r="F74" s="7">
        <f t="shared" si="2"/>
        <v>7.3255714285714308</v>
      </c>
    </row>
    <row r="75" spans="1:6" x14ac:dyDescent="0.25">
      <c r="A75" s="4" t="s">
        <v>76</v>
      </c>
      <c r="B75" s="6">
        <v>18.048999999999999</v>
      </c>
      <c r="D75" s="6">
        <v>10.8047</v>
      </c>
      <c r="F75" s="7">
        <f t="shared" si="2"/>
        <v>7.2442999999999991</v>
      </c>
    </row>
    <row r="76" spans="1:6" x14ac:dyDescent="0.25">
      <c r="A76" s="4" t="s">
        <v>77</v>
      </c>
      <c r="B76" s="6">
        <v>17.425956521739128</v>
      </c>
      <c r="D76" s="6">
        <v>10.402782608695654</v>
      </c>
      <c r="F76" s="7">
        <f t="shared" si="2"/>
        <v>7.0231739130434736</v>
      </c>
    </row>
    <row r="77" spans="1:6" x14ac:dyDescent="0.25">
      <c r="A77" s="4" t="s">
        <v>78</v>
      </c>
      <c r="B77" s="6">
        <v>17.288545454545456</v>
      </c>
      <c r="D77" s="6">
        <v>9.7272272727272746</v>
      </c>
      <c r="F77" s="7">
        <f t="shared" si="2"/>
        <v>7.5613181818181818</v>
      </c>
    </row>
    <row r="78" spans="1:6" x14ac:dyDescent="0.25">
      <c r="A78" s="4" t="s">
        <v>79</v>
      </c>
      <c r="B78" s="6">
        <v>16.265000000000001</v>
      </c>
      <c r="D78" s="6">
        <v>10.537294117647058</v>
      </c>
      <c r="F78" s="7">
        <f t="shared" si="2"/>
        <v>5.727705882352943</v>
      </c>
    </row>
    <row r="79" spans="1:6" x14ac:dyDescent="0.25">
      <c r="A79" s="4" t="s">
        <v>80</v>
      </c>
      <c r="B79" s="6">
        <v>17.637227272727269</v>
      </c>
      <c r="D79" s="6">
        <v>11.343272727272725</v>
      </c>
      <c r="F79" s="7">
        <f t="shared" si="2"/>
        <v>6.2939545454545449</v>
      </c>
    </row>
    <row r="80" spans="1:6" x14ac:dyDescent="0.25">
      <c r="A80" s="4" t="s">
        <v>81</v>
      </c>
      <c r="B80" s="6">
        <v>17.650349999999996</v>
      </c>
      <c r="D80" s="6">
        <v>11.279349999999997</v>
      </c>
      <c r="F80" s="7">
        <f t="shared" si="2"/>
        <v>6.3709999999999987</v>
      </c>
    </row>
    <row r="81" spans="1:6" x14ac:dyDescent="0.25">
      <c r="A81" s="4" t="s">
        <v>82</v>
      </c>
      <c r="B81" s="6">
        <v>19.45795</v>
      </c>
      <c r="D81" s="6">
        <v>11.304200000000002</v>
      </c>
      <c r="F81" s="7">
        <f t="shared" si="2"/>
        <v>8.1537499999999987</v>
      </c>
    </row>
    <row r="82" spans="1:6" x14ac:dyDescent="0.25">
      <c r="A82" s="4" t="s">
        <v>83</v>
      </c>
      <c r="B82" s="11">
        <v>20.814272727272726</v>
      </c>
      <c r="C82" s="11"/>
      <c r="D82" s="11">
        <v>11.209454545454545</v>
      </c>
      <c r="E82" s="11"/>
      <c r="F82" s="7">
        <f t="shared" si="2"/>
        <v>9.6048181818181817</v>
      </c>
    </row>
    <row r="83" spans="1:6" x14ac:dyDescent="0.25">
      <c r="A83" s="12" t="s">
        <v>104</v>
      </c>
      <c r="B83" s="6">
        <v>21.303045454545455</v>
      </c>
      <c r="D83" s="6">
        <v>11.824954545454547</v>
      </c>
      <c r="F83" s="7">
        <f t="shared" si="2"/>
        <v>9.4780909090909073</v>
      </c>
    </row>
    <row r="84" spans="1:6" x14ac:dyDescent="0.25">
      <c r="A84" s="12" t="s">
        <v>105</v>
      </c>
      <c r="B84" s="6">
        <v>18.432388888888891</v>
      </c>
      <c r="D84" s="6">
        <v>11.640166666666667</v>
      </c>
      <c r="F84" s="7">
        <f t="shared" si="2"/>
        <v>6.7922222222222235</v>
      </c>
    </row>
    <row r="85" spans="1:6" x14ac:dyDescent="0.25">
      <c r="A85" s="12" t="s">
        <v>100</v>
      </c>
      <c r="B85" s="6">
        <v>18.406173913043478</v>
      </c>
      <c r="D85" s="6">
        <v>11.970956521739133</v>
      </c>
      <c r="F85" s="7">
        <f t="shared" si="2"/>
        <v>6.4352173913043451</v>
      </c>
    </row>
    <row r="86" spans="1:6" x14ac:dyDescent="0.25">
      <c r="A86" s="4" t="s">
        <v>84</v>
      </c>
      <c r="B86" s="6">
        <v>19.619666666666671</v>
      </c>
      <c r="D86" s="6">
        <v>11.173047619047619</v>
      </c>
      <c r="F86" s="7">
        <f t="shared" si="2"/>
        <v>8.4466190476190519</v>
      </c>
    </row>
    <row r="87" spans="1:6" x14ac:dyDescent="0.25">
      <c r="A87" s="4" t="s">
        <v>108</v>
      </c>
      <c r="B87" s="6">
        <v>22.985238095238099</v>
      </c>
      <c r="D87" s="6">
        <v>12.15247619047619</v>
      </c>
      <c r="F87" s="7">
        <f t="shared" si="2"/>
        <v>10.832761904761909</v>
      </c>
    </row>
    <row r="88" spans="1:6" x14ac:dyDescent="0.25">
      <c r="A88" s="4" t="s">
        <v>85</v>
      </c>
      <c r="B88" s="6">
        <v>24.527956521739132</v>
      </c>
      <c r="D88" s="6">
        <v>13.43808695652174</v>
      </c>
      <c r="F88" s="7">
        <f t="shared" si="2"/>
        <v>11.089869565217391</v>
      </c>
    </row>
    <row r="89" spans="1:6" x14ac:dyDescent="0.25">
      <c r="A89" s="4" t="s">
        <v>86</v>
      </c>
      <c r="B89" s="6">
        <v>24.704095238095242</v>
      </c>
      <c r="D89" s="6">
        <v>15.160238095238093</v>
      </c>
      <c r="F89" s="7">
        <f t="shared" si="2"/>
        <v>9.5438571428571493</v>
      </c>
    </row>
    <row r="90" spans="1:6" x14ac:dyDescent="0.25">
      <c r="A90" s="4" t="s">
        <v>87</v>
      </c>
      <c r="B90" s="6">
        <v>25.101529411764709</v>
      </c>
      <c r="D90" s="6">
        <v>18.327117647058824</v>
      </c>
      <c r="F90" s="7">
        <f t="shared" si="2"/>
        <v>6.774411764705885</v>
      </c>
    </row>
    <row r="91" spans="1:6" x14ac:dyDescent="0.25">
      <c r="A91" s="4" t="s">
        <v>88</v>
      </c>
      <c r="B91" s="6">
        <v>26.786136363636356</v>
      </c>
      <c r="D91" s="6">
        <v>19.780545454545457</v>
      </c>
      <c r="F91" s="7">
        <f t="shared" si="2"/>
        <v>7.0055909090908983</v>
      </c>
    </row>
    <row r="92" spans="1:6" x14ac:dyDescent="0.25">
      <c r="A92" s="4" t="s">
        <v>89</v>
      </c>
      <c r="B92" s="6">
        <v>27.367700000000003</v>
      </c>
      <c r="D92" s="6">
        <v>19.161300000000001</v>
      </c>
      <c r="F92" s="7">
        <f t="shared" si="2"/>
        <v>8.2064000000000021</v>
      </c>
    </row>
    <row r="93" spans="1:6" x14ac:dyDescent="0.25">
      <c r="A93" s="4" t="s">
        <v>90</v>
      </c>
      <c r="B93" s="6">
        <v>29.594904761904765</v>
      </c>
      <c r="D93" s="6">
        <v>19.33228571428571</v>
      </c>
      <c r="F93" s="7">
        <f t="shared" si="2"/>
        <v>10.262619047619054</v>
      </c>
    </row>
    <row r="94" spans="1:6" x14ac:dyDescent="0.25">
      <c r="A94" s="4" t="s">
        <v>91</v>
      </c>
      <c r="B94" s="6">
        <v>32.029428571428575</v>
      </c>
      <c r="D94" s="6">
        <v>21.321714285714283</v>
      </c>
      <c r="F94" s="7">
        <f t="shared" si="2"/>
        <v>10.707714285714292</v>
      </c>
    </row>
    <row r="95" spans="1:6" x14ac:dyDescent="0.25">
      <c r="A95" s="12" t="s">
        <v>102</v>
      </c>
      <c r="B95" s="6">
        <v>33.9268</v>
      </c>
      <c r="D95" s="6">
        <v>22.486550000000001</v>
      </c>
      <c r="F95" s="7">
        <f t="shared" si="2"/>
        <v>11.440249999999999</v>
      </c>
    </row>
    <row r="96" spans="1:6" x14ac:dyDescent="0.25">
      <c r="A96" s="12" t="s">
        <v>103</v>
      </c>
      <c r="B96" s="6">
        <v>30.549142857142858</v>
      </c>
      <c r="D96" s="6">
        <v>22.447238095238092</v>
      </c>
      <c r="F96" s="7">
        <f t="shared" si="2"/>
        <v>8.1019047619047662</v>
      </c>
    </row>
    <row r="97" spans="1:7" x14ac:dyDescent="0.25">
      <c r="A97" s="12" t="s">
        <v>106</v>
      </c>
      <c r="B97" s="6">
        <v>32.162304347826087</v>
      </c>
      <c r="D97" s="6">
        <v>23.19</v>
      </c>
      <c r="F97" s="7">
        <f t="shared" si="2"/>
        <v>8.9723043478260855</v>
      </c>
    </row>
    <row r="98" spans="1:7" x14ac:dyDescent="0.25">
      <c r="A98" s="4" t="s">
        <v>92</v>
      </c>
      <c r="B98" s="6">
        <v>33.273149999999994</v>
      </c>
      <c r="D98" s="6">
        <v>21.064400000000003</v>
      </c>
      <c r="F98" s="7">
        <f t="shared" si="2"/>
        <v>12.208749999999991</v>
      </c>
    </row>
    <row r="99" spans="1:7" x14ac:dyDescent="0.25">
      <c r="A99" s="4" t="s">
        <v>107</v>
      </c>
      <c r="B99" s="6">
        <v>34.629136363636356</v>
      </c>
      <c r="D99" s="6">
        <v>21.396227272727273</v>
      </c>
      <c r="F99" s="7">
        <f t="shared" si="2"/>
        <v>13.232909090909082</v>
      </c>
    </row>
    <row r="100" spans="1:7" x14ac:dyDescent="0.25">
      <c r="A100" s="4" t="s">
        <v>95</v>
      </c>
      <c r="B100" s="6">
        <v>44.638695652173908</v>
      </c>
      <c r="D100" s="6">
        <v>37.069130434782608</v>
      </c>
      <c r="F100" s="7">
        <f t="shared" si="2"/>
        <v>7.5695652173913004</v>
      </c>
    </row>
    <row r="101" spans="1:7" x14ac:dyDescent="0.25">
      <c r="A101" s="4" t="s">
        <v>93</v>
      </c>
      <c r="B101" s="6">
        <v>46.062599999999996</v>
      </c>
      <c r="D101" s="6">
        <v>40.168050000000001</v>
      </c>
      <c r="F101" s="7">
        <f t="shared" si="2"/>
        <v>5.8945499999999953</v>
      </c>
    </row>
    <row r="102" spans="1:7" x14ac:dyDescent="0.25">
      <c r="A102" s="4" t="s">
        <v>94</v>
      </c>
      <c r="B102" s="6">
        <v>50.749166666666675</v>
      </c>
      <c r="D102" s="6">
        <v>41.697944444444445</v>
      </c>
      <c r="F102" s="7">
        <f t="shared" si="2"/>
        <v>9.0512222222222292</v>
      </c>
    </row>
    <row r="103" spans="1:7" x14ac:dyDescent="0.25">
      <c r="A103" s="4" t="s">
        <v>96</v>
      </c>
      <c r="B103" s="6">
        <v>58.557619047619049</v>
      </c>
      <c r="C103" s="6">
        <f t="shared" ref="C103:C127" si="3">AVERAGE(B91,B79,B67,B55)</f>
        <v>22.046697727272722</v>
      </c>
      <c r="D103" s="6">
        <v>43.584857142857146</v>
      </c>
      <c r="E103" s="6">
        <f t="shared" ref="E103:E201" si="4">AVERAGE(D91,D79,D67,D55)</f>
        <v>15.728399999999999</v>
      </c>
      <c r="F103" s="7">
        <f t="shared" si="2"/>
        <v>14.972761904761903</v>
      </c>
      <c r="G103" s="6">
        <f t="shared" ref="G103:G201" si="5">AVERAGE(F91,F79,F67,F55)</f>
        <v>6.318297727272725</v>
      </c>
    </row>
    <row r="104" spans="1:7" x14ac:dyDescent="0.25">
      <c r="A104" s="4" t="s">
        <v>97</v>
      </c>
      <c r="B104" s="6">
        <v>70.562399999999997</v>
      </c>
      <c r="C104" s="6">
        <f t="shared" si="3"/>
        <v>21.855981547619049</v>
      </c>
      <c r="D104" s="6">
        <v>44.30769999999999</v>
      </c>
      <c r="E104" s="6">
        <f t="shared" si="4"/>
        <v>15.555669047619048</v>
      </c>
      <c r="F104" s="7">
        <f t="shared" si="2"/>
        <v>26.254700000000007</v>
      </c>
      <c r="G104" s="6">
        <f t="shared" si="5"/>
        <v>6.3003125000000004</v>
      </c>
    </row>
    <row r="105" spans="1:7" x14ac:dyDescent="0.25">
      <c r="A105" s="4" t="s">
        <v>98</v>
      </c>
      <c r="B105" s="6">
        <v>72.745565217391302</v>
      </c>
      <c r="C105" s="6">
        <f t="shared" si="3"/>
        <v>23.404813986918878</v>
      </c>
      <c r="D105" s="6">
        <v>44.05130434782609</v>
      </c>
      <c r="E105" s="6">
        <f t="shared" si="4"/>
        <v>16.130077950310561</v>
      </c>
      <c r="F105" s="7">
        <f t="shared" si="2"/>
        <v>28.694260869565213</v>
      </c>
      <c r="G105" s="6">
        <f t="shared" si="5"/>
        <v>7.274736036608318</v>
      </c>
    </row>
    <row r="106" spans="1:7" x14ac:dyDescent="0.25">
      <c r="A106" s="4" t="s">
        <v>99</v>
      </c>
      <c r="B106" s="6">
        <v>69.832900000000024</v>
      </c>
      <c r="C106" s="6">
        <f t="shared" si="3"/>
        <v>24.482614652160706</v>
      </c>
      <c r="D106" s="6">
        <v>39.875050000000002</v>
      </c>
      <c r="E106" s="6">
        <f t="shared" si="4"/>
        <v>16.113167207792209</v>
      </c>
      <c r="F106" s="7">
        <f t="shared" si="2"/>
        <v>29.957850000000022</v>
      </c>
      <c r="G106" s="6">
        <f t="shared" si="5"/>
        <v>8.3694474443684985</v>
      </c>
    </row>
    <row r="107" spans="1:7" x14ac:dyDescent="0.25">
      <c r="A107" s="12" t="s">
        <v>101</v>
      </c>
      <c r="B107" s="6">
        <v>56.88</v>
      </c>
      <c r="C107" s="6">
        <f t="shared" si="3"/>
        <v>25.431937554112558</v>
      </c>
      <c r="D107" s="6">
        <v>32.94</v>
      </c>
      <c r="E107" s="6">
        <f t="shared" si="4"/>
        <v>16.130399945887447</v>
      </c>
      <c r="F107" s="7">
        <f t="shared" si="2"/>
        <v>23.940000000000005</v>
      </c>
      <c r="G107" s="6">
        <f t="shared" si="5"/>
        <v>9.3015376082251091</v>
      </c>
    </row>
    <row r="108" spans="1:7" x14ac:dyDescent="0.25">
      <c r="A108" s="12" t="s">
        <v>109</v>
      </c>
      <c r="B108" s="6">
        <v>43.05</v>
      </c>
      <c r="C108" s="6">
        <f t="shared" si="3"/>
        <v>23.750286616161617</v>
      </c>
      <c r="D108" s="6">
        <v>26.25</v>
      </c>
      <c r="E108" s="6">
        <f t="shared" si="4"/>
        <v>15.832575216450214</v>
      </c>
      <c r="F108" s="7">
        <f t="shared" si="2"/>
        <v>16.799999999999997</v>
      </c>
      <c r="G108" s="6">
        <f t="shared" si="5"/>
        <v>7.9177113997114006</v>
      </c>
    </row>
    <row r="109" spans="1:7" x14ac:dyDescent="0.25">
      <c r="A109" s="12" t="s">
        <v>110</v>
      </c>
      <c r="B109" s="6">
        <v>47.05</v>
      </c>
      <c r="C109" s="6">
        <f t="shared" si="3"/>
        <v>23.593795972143795</v>
      </c>
      <c r="D109" s="6">
        <v>32.659999999999997</v>
      </c>
      <c r="E109" s="6">
        <f t="shared" si="4"/>
        <v>16.014708286278939</v>
      </c>
      <c r="F109" s="7">
        <f t="shared" si="2"/>
        <v>14.39</v>
      </c>
      <c r="G109" s="6">
        <f t="shared" si="5"/>
        <v>7.5790876858648586</v>
      </c>
    </row>
    <row r="110" spans="1:7" x14ac:dyDescent="0.25">
      <c r="A110" s="4" t="s">
        <v>111</v>
      </c>
      <c r="B110" s="6">
        <v>51.52</v>
      </c>
      <c r="C110" s="6">
        <f t="shared" si="3"/>
        <v>23.643656547619049</v>
      </c>
      <c r="D110" s="6">
        <v>32.07</v>
      </c>
      <c r="E110" s="6">
        <f t="shared" si="4"/>
        <v>14.694909523809525</v>
      </c>
      <c r="F110" s="7">
        <f t="shared" si="2"/>
        <v>19.450000000000003</v>
      </c>
      <c r="G110" s="6">
        <f t="shared" si="5"/>
        <v>8.9487470238095241</v>
      </c>
    </row>
    <row r="111" spans="1:7" x14ac:dyDescent="0.25">
      <c r="A111" s="4" t="s">
        <v>112</v>
      </c>
      <c r="B111" s="6">
        <v>52.91</v>
      </c>
      <c r="C111" s="6">
        <f t="shared" si="3"/>
        <v>25.09639123376623</v>
      </c>
      <c r="D111" s="6">
        <v>33.85</v>
      </c>
      <c r="E111" s="6">
        <f t="shared" si="4"/>
        <v>15.170981818181819</v>
      </c>
      <c r="F111" s="7">
        <f t="shared" si="2"/>
        <v>19.059999999999995</v>
      </c>
      <c r="G111" s="6">
        <f t="shared" si="5"/>
        <v>9.925409415584415</v>
      </c>
    </row>
    <row r="112" spans="1:7" x14ac:dyDescent="0.25">
      <c r="A112" s="4" t="s">
        <v>113</v>
      </c>
      <c r="B112" s="6">
        <v>56.78</v>
      </c>
      <c r="C112" s="6">
        <f t="shared" si="3"/>
        <v>27.89756126482213</v>
      </c>
      <c r="D112" s="6">
        <v>37.72</v>
      </c>
      <c r="E112" s="6">
        <f t="shared" si="4"/>
        <v>19.260579545454547</v>
      </c>
      <c r="F112" s="7">
        <f t="shared" si="2"/>
        <v>19.060000000000002</v>
      </c>
      <c r="G112" s="6">
        <f t="shared" si="5"/>
        <v>8.6369817193675864</v>
      </c>
    </row>
    <row r="113" spans="1:7" x14ac:dyDescent="0.25">
      <c r="A113" s="4" t="s">
        <v>114</v>
      </c>
      <c r="B113" s="6">
        <v>63.06</v>
      </c>
      <c r="C113" s="6">
        <f t="shared" si="3"/>
        <v>27.993594264069266</v>
      </c>
      <c r="D113" s="6">
        <v>42.44</v>
      </c>
      <c r="E113" s="6">
        <f t="shared" si="4"/>
        <v>20.291481114718614</v>
      </c>
      <c r="F113" s="7">
        <f t="shared" si="2"/>
        <v>20.620000000000005</v>
      </c>
      <c r="G113" s="6">
        <f t="shared" si="5"/>
        <v>7.7021131493506489</v>
      </c>
    </row>
    <row r="114" spans="1:7" x14ac:dyDescent="0.25">
      <c r="A114" s="4" t="s">
        <v>115</v>
      </c>
      <c r="B114" s="6">
        <v>64.819999999999993</v>
      </c>
      <c r="C114" s="6">
        <f t="shared" si="3"/>
        <v>28.479937177502585</v>
      </c>
      <c r="D114" s="6">
        <v>44.17</v>
      </c>
      <c r="E114" s="6">
        <f t="shared" si="4"/>
        <v>21.664681157550739</v>
      </c>
      <c r="F114" s="7">
        <f t="shared" si="2"/>
        <v>20.649999999999991</v>
      </c>
      <c r="G114" s="6">
        <f t="shared" si="5"/>
        <v>6.8152560199518435</v>
      </c>
    </row>
    <row r="115" spans="1:7" x14ac:dyDescent="0.25">
      <c r="A115" s="4" t="s">
        <v>116</v>
      </c>
      <c r="B115" s="6">
        <v>60.01</v>
      </c>
      <c r="C115" s="6">
        <f t="shared" si="3"/>
        <v>31.294052489177488</v>
      </c>
      <c r="D115" s="6">
        <v>36.44</v>
      </c>
      <c r="E115" s="6">
        <f t="shared" si="4"/>
        <v>22.936214285714286</v>
      </c>
      <c r="F115" s="7">
        <f t="shared" si="2"/>
        <v>23.57</v>
      </c>
      <c r="G115" s="6">
        <f t="shared" si="5"/>
        <v>8.3578382034632011</v>
      </c>
    </row>
    <row r="116" spans="1:7" x14ac:dyDescent="0.25">
      <c r="A116" s="4" t="s">
        <v>117</v>
      </c>
      <c r="B116" s="6">
        <v>59.9</v>
      </c>
      <c r="C116" s="6">
        <f t="shared" si="3"/>
        <v>34.311462499999998</v>
      </c>
      <c r="D116" s="6">
        <v>36.99</v>
      </c>
      <c r="E116" s="6">
        <f t="shared" si="4"/>
        <v>22.924974999999996</v>
      </c>
      <c r="F116" s="7">
        <f t="shared" si="2"/>
        <v>22.909999999999997</v>
      </c>
      <c r="G116" s="6">
        <f t="shared" si="5"/>
        <v>11.386487500000003</v>
      </c>
    </row>
    <row r="117" spans="1:7" x14ac:dyDescent="0.25">
      <c r="A117" s="4" t="s">
        <v>118</v>
      </c>
      <c r="B117" s="6">
        <v>63.04</v>
      </c>
      <c r="C117" s="6">
        <f t="shared" si="3"/>
        <v>36.079661813005835</v>
      </c>
      <c r="D117" s="6">
        <v>39.18</v>
      </c>
      <c r="E117" s="6">
        <f t="shared" si="4"/>
        <v>23.037697515527952</v>
      </c>
      <c r="F117" s="7">
        <f t="shared" si="2"/>
        <v>23.86</v>
      </c>
      <c r="G117" s="6">
        <f t="shared" si="5"/>
        <v>13.041964297477882</v>
      </c>
    </row>
    <row r="118" spans="1:7" x14ac:dyDescent="0.25">
      <c r="A118" s="4" t="s">
        <v>119</v>
      </c>
      <c r="B118" s="6">
        <v>60.55</v>
      </c>
      <c r="C118" s="6">
        <f t="shared" si="3"/>
        <v>36.29224242993849</v>
      </c>
      <c r="D118" s="6">
        <v>33.119999999999997</v>
      </c>
      <c r="E118" s="6">
        <f t="shared" si="4"/>
        <v>22.138304707792209</v>
      </c>
      <c r="F118" s="7">
        <f t="shared" si="2"/>
        <v>27.43</v>
      </c>
      <c r="G118" s="6">
        <f t="shared" si="5"/>
        <v>14.153937722146281</v>
      </c>
    </row>
    <row r="119" spans="1:7" x14ac:dyDescent="0.25">
      <c r="A119" s="12" t="s">
        <v>120</v>
      </c>
      <c r="B119" s="6">
        <v>54.9</v>
      </c>
      <c r="C119" s="6">
        <f t="shared" si="3"/>
        <v>33.889889935064936</v>
      </c>
      <c r="D119" s="6">
        <v>27.53</v>
      </c>
      <c r="E119" s="6">
        <f t="shared" si="4"/>
        <v>20.454280898268401</v>
      </c>
      <c r="F119" s="7">
        <f t="shared" si="2"/>
        <v>27.369999999999997</v>
      </c>
      <c r="G119" s="6">
        <f t="shared" si="5"/>
        <v>13.435609036796539</v>
      </c>
    </row>
    <row r="120" spans="1:7" x14ac:dyDescent="0.25">
      <c r="A120" s="12" t="s">
        <v>121</v>
      </c>
      <c r="B120" s="6">
        <v>49.4</v>
      </c>
      <c r="C120" s="6">
        <f t="shared" si="3"/>
        <v>28.698263888888889</v>
      </c>
      <c r="D120" s="6">
        <v>25.08</v>
      </c>
      <c r="E120" s="6">
        <f t="shared" si="4"/>
        <v>18.411279761904762</v>
      </c>
      <c r="F120" s="7">
        <f t="shared" si="2"/>
        <v>24.32</v>
      </c>
      <c r="G120" s="6">
        <f t="shared" si="5"/>
        <v>10.286984126984128</v>
      </c>
    </row>
    <row r="121" spans="1:7" x14ac:dyDescent="0.25">
      <c r="A121" s="12" t="s">
        <v>122</v>
      </c>
      <c r="B121" s="6">
        <v>38.25</v>
      </c>
      <c r="C121" s="6">
        <f t="shared" si="3"/>
        <v>29.480915019762847</v>
      </c>
      <c r="D121" s="6">
        <v>20.79</v>
      </c>
      <c r="E121" s="6">
        <f t="shared" si="4"/>
        <v>20.207136857707511</v>
      </c>
      <c r="F121" s="7">
        <f t="shared" si="2"/>
        <v>17.46</v>
      </c>
      <c r="G121" s="6">
        <f t="shared" si="5"/>
        <v>9.2737781620553346</v>
      </c>
    </row>
    <row r="122" spans="1:7" x14ac:dyDescent="0.25">
      <c r="A122" s="4" t="s">
        <v>123</v>
      </c>
      <c r="B122" s="6">
        <v>36.26</v>
      </c>
      <c r="C122" s="6">
        <f t="shared" si="3"/>
        <v>30.605097023809527</v>
      </c>
      <c r="D122" s="6">
        <v>21.84</v>
      </c>
      <c r="E122" s="6">
        <f t="shared" si="4"/>
        <v>18.747361904761906</v>
      </c>
      <c r="F122" s="7">
        <f t="shared" si="2"/>
        <v>14.419999999999998</v>
      </c>
      <c r="G122" s="6">
        <f t="shared" si="5"/>
        <v>11.85773511904762</v>
      </c>
    </row>
    <row r="123" spans="1:7" x14ac:dyDescent="0.25">
      <c r="A123" s="4" t="s">
        <v>124</v>
      </c>
      <c r="B123" s="6">
        <v>40.619999999999997</v>
      </c>
      <c r="C123" s="6">
        <f t="shared" si="3"/>
        <v>32.14334361471861</v>
      </c>
      <c r="D123" s="6">
        <v>24.53</v>
      </c>
      <c r="E123" s="6">
        <f t="shared" si="4"/>
        <v>19.550850865800864</v>
      </c>
      <c r="F123" s="7">
        <f t="shared" si="2"/>
        <v>16.089999999999996</v>
      </c>
      <c r="G123" s="6">
        <f t="shared" si="5"/>
        <v>12.592492748917746</v>
      </c>
    </row>
    <row r="124" spans="1:7" x14ac:dyDescent="0.25">
      <c r="A124" s="4" t="s">
        <v>125</v>
      </c>
      <c r="B124" s="6">
        <v>46.36</v>
      </c>
      <c r="C124" s="6">
        <f t="shared" si="3"/>
        <v>35.84315217391304</v>
      </c>
      <c r="D124" s="6">
        <v>25.22</v>
      </c>
      <c r="E124" s="6">
        <f t="shared" si="4"/>
        <v>24.657500000000002</v>
      </c>
      <c r="F124" s="7">
        <f t="shared" si="2"/>
        <v>21.14</v>
      </c>
      <c r="G124" s="6">
        <f t="shared" si="5"/>
        <v>11.185652173913041</v>
      </c>
    </row>
    <row r="125" spans="1:7" x14ac:dyDescent="0.25">
      <c r="A125" s="4" t="s">
        <v>126</v>
      </c>
      <c r="B125" s="6">
        <v>44.44</v>
      </c>
      <c r="C125" s="6">
        <f t="shared" si="3"/>
        <v>37.778810173160181</v>
      </c>
      <c r="D125" s="6">
        <v>23.6</v>
      </c>
      <c r="E125" s="6">
        <f t="shared" si="4"/>
        <v>26.873878841991342</v>
      </c>
      <c r="F125" s="7">
        <f t="shared" si="2"/>
        <v>20.839999999999996</v>
      </c>
      <c r="G125" s="6">
        <f t="shared" si="5"/>
        <v>10.904931331168832</v>
      </c>
    </row>
    <row r="126" spans="1:7" x14ac:dyDescent="0.25">
      <c r="A126" s="4" t="s">
        <v>127</v>
      </c>
      <c r="B126" s="6">
        <v>40.270000000000003</v>
      </c>
      <c r="C126" s="6">
        <f t="shared" si="3"/>
        <v>39.233924019607841</v>
      </c>
      <c r="D126" s="6">
        <v>25.66</v>
      </c>
      <c r="E126" s="6">
        <f t="shared" si="4"/>
        <v>28.683089052287585</v>
      </c>
      <c r="F126" s="7">
        <f t="shared" si="2"/>
        <v>14.610000000000003</v>
      </c>
      <c r="G126" s="6">
        <f t="shared" si="5"/>
        <v>10.550834967320261</v>
      </c>
    </row>
    <row r="127" spans="1:7" x14ac:dyDescent="0.25">
      <c r="A127" s="4" t="s">
        <v>128</v>
      </c>
      <c r="B127" s="6">
        <v>36.409999999999997</v>
      </c>
      <c r="C127" s="6">
        <f t="shared" si="3"/>
        <v>40.74774567099567</v>
      </c>
      <c r="D127" s="6">
        <v>24.64</v>
      </c>
      <c r="E127" s="6">
        <f t="shared" si="4"/>
        <v>27.787168831168831</v>
      </c>
      <c r="F127" s="7">
        <f t="shared" si="2"/>
        <v>11.769999999999996</v>
      </c>
      <c r="G127" s="6">
        <f t="shared" si="5"/>
        <v>12.960576839826837</v>
      </c>
    </row>
    <row r="128" spans="1:7" x14ac:dyDescent="0.25">
      <c r="A128" s="4" t="s">
        <v>129</v>
      </c>
      <c r="B128" s="6">
        <v>34.909999999999997</v>
      </c>
      <c r="C128" s="6">
        <f t="shared" ref="C128:C201" si="6">AVERAGE(B116,B104,B92,B80)</f>
        <v>43.870112500000005</v>
      </c>
      <c r="D128" s="6">
        <v>25.69</v>
      </c>
      <c r="E128" s="6">
        <f t="shared" si="4"/>
        <v>27.934587499999996</v>
      </c>
      <c r="F128" s="7">
        <f t="shared" si="2"/>
        <v>9.2199999999999953</v>
      </c>
      <c r="G128" s="6">
        <f t="shared" si="5"/>
        <v>15.935525000000002</v>
      </c>
    </row>
    <row r="129" spans="1:7" x14ac:dyDescent="0.25">
      <c r="A129" s="4" t="s">
        <v>130</v>
      </c>
      <c r="B129" s="6">
        <v>35.82</v>
      </c>
      <c r="C129" s="6">
        <f t="shared" si="6"/>
        <v>46.209604994824019</v>
      </c>
      <c r="D129" s="6">
        <v>27.71</v>
      </c>
      <c r="E129" s="6">
        <f t="shared" si="4"/>
        <v>28.466947515527956</v>
      </c>
      <c r="F129" s="7">
        <f t="shared" si="2"/>
        <v>8.11</v>
      </c>
      <c r="G129" s="6">
        <f t="shared" si="5"/>
        <v>17.742657479296067</v>
      </c>
    </row>
    <row r="130" spans="1:7" x14ac:dyDescent="0.25">
      <c r="A130" s="4" t="s">
        <v>131</v>
      </c>
      <c r="B130" s="6">
        <v>34.700000000000003</v>
      </c>
      <c r="C130" s="6">
        <f t="shared" si="6"/>
        <v>45.806650324675331</v>
      </c>
      <c r="D130" s="6">
        <v>25.31</v>
      </c>
      <c r="E130" s="6">
        <f t="shared" si="4"/>
        <v>26.381554707792205</v>
      </c>
      <c r="F130" s="7">
        <f t="shared" si="2"/>
        <v>9.3900000000000041</v>
      </c>
      <c r="G130" s="6">
        <f t="shared" si="5"/>
        <v>19.425095616883127</v>
      </c>
    </row>
    <row r="131" spans="1:7" x14ac:dyDescent="0.25">
      <c r="A131" s="12" t="s">
        <v>132</v>
      </c>
      <c r="B131" s="6">
        <v>34.700000000000003</v>
      </c>
      <c r="C131" s="6">
        <f t="shared" si="6"/>
        <v>41.752461363636357</v>
      </c>
      <c r="D131" s="6">
        <v>25.38</v>
      </c>
      <c r="E131" s="6">
        <f t="shared" si="4"/>
        <v>23.695376136363635</v>
      </c>
      <c r="F131" s="7">
        <f t="shared" si="2"/>
        <v>9.3200000000000038</v>
      </c>
      <c r="G131" s="6">
        <f t="shared" si="5"/>
        <v>18.057085227272726</v>
      </c>
    </row>
    <row r="132" spans="1:7" x14ac:dyDescent="0.25">
      <c r="A132" s="12" t="s">
        <v>133</v>
      </c>
      <c r="B132" s="6">
        <v>37.159999999999997</v>
      </c>
      <c r="C132" s="6">
        <f t="shared" si="6"/>
        <v>35.357882936507934</v>
      </c>
      <c r="D132" s="6">
        <v>28.85</v>
      </c>
      <c r="E132" s="6">
        <f t="shared" si="4"/>
        <v>21.354351190476191</v>
      </c>
      <c r="F132" s="7">
        <f t="shared" si="2"/>
        <v>8.3099999999999952</v>
      </c>
      <c r="G132" s="6">
        <f t="shared" si="5"/>
        <v>14.003531746031747</v>
      </c>
    </row>
    <row r="133" spans="1:7" x14ac:dyDescent="0.25">
      <c r="A133" s="12" t="s">
        <v>134</v>
      </c>
      <c r="B133" s="6">
        <v>39.67</v>
      </c>
      <c r="C133" s="6">
        <f t="shared" si="6"/>
        <v>33.967119565217395</v>
      </c>
      <c r="D133" s="6">
        <v>30.42</v>
      </c>
      <c r="E133" s="6">
        <f t="shared" si="4"/>
        <v>22.152739130434782</v>
      </c>
      <c r="F133" s="7">
        <f t="shared" si="2"/>
        <v>9.25</v>
      </c>
      <c r="G133" s="6">
        <f t="shared" si="5"/>
        <v>11.81438043478261</v>
      </c>
    </row>
    <row r="134" spans="1:7" x14ac:dyDescent="0.25">
      <c r="A134" s="4" t="s">
        <v>135</v>
      </c>
      <c r="B134" s="6">
        <v>44.82</v>
      </c>
      <c r="C134" s="6">
        <f t="shared" si="6"/>
        <v>35.168204166666662</v>
      </c>
      <c r="D134" s="6">
        <v>32.72</v>
      </c>
      <c r="E134" s="6">
        <f t="shared" si="4"/>
        <v>21.536861904761906</v>
      </c>
      <c r="F134" s="7">
        <f t="shared" si="2"/>
        <v>12.100000000000001</v>
      </c>
      <c r="G134" s="6">
        <f t="shared" si="5"/>
        <v>13.631342261904763</v>
      </c>
    </row>
    <row r="135" spans="1:7" x14ac:dyDescent="0.25">
      <c r="A135" s="4" t="s">
        <v>136</v>
      </c>
      <c r="B135" s="6">
        <v>50.15</v>
      </c>
      <c r="C135" s="6">
        <f t="shared" si="6"/>
        <v>37.78609361471861</v>
      </c>
      <c r="D135" s="6">
        <v>37.159999999999997</v>
      </c>
      <c r="E135" s="6">
        <f t="shared" si="4"/>
        <v>22.982175865800869</v>
      </c>
      <c r="F135" s="7">
        <f t="shared" si="2"/>
        <v>12.990000000000002</v>
      </c>
      <c r="G135" s="6">
        <f t="shared" si="5"/>
        <v>14.803917748917746</v>
      </c>
    </row>
    <row r="136" spans="1:7" x14ac:dyDescent="0.25">
      <c r="A136" s="4" t="s">
        <v>137</v>
      </c>
      <c r="B136" s="6">
        <v>48.74</v>
      </c>
      <c r="C136" s="6">
        <f t="shared" si="6"/>
        <v>43.076663043478256</v>
      </c>
      <c r="D136" s="6">
        <v>38.229999999999997</v>
      </c>
      <c r="E136" s="6">
        <f t="shared" si="4"/>
        <v>28.361804347826087</v>
      </c>
      <c r="F136" s="7">
        <f t="shared" si="2"/>
        <v>10.510000000000005</v>
      </c>
      <c r="G136" s="6">
        <f t="shared" si="5"/>
        <v>14.714858695652174</v>
      </c>
    </row>
    <row r="137" spans="1:7" x14ac:dyDescent="0.25">
      <c r="A137" s="4" t="s">
        <v>138</v>
      </c>
      <c r="B137" s="6">
        <v>49.44</v>
      </c>
      <c r="C137" s="6">
        <f t="shared" si="6"/>
        <v>44.566673809523813</v>
      </c>
      <c r="D137" s="6">
        <v>40.869999999999997</v>
      </c>
      <c r="E137" s="6">
        <f t="shared" si="4"/>
        <v>30.342072023809521</v>
      </c>
      <c r="F137" s="7">
        <f t="shared" si="2"/>
        <v>8.57</v>
      </c>
      <c r="G137" s="6">
        <f t="shared" si="5"/>
        <v>14.224601785714286</v>
      </c>
    </row>
    <row r="138" spans="1:7" x14ac:dyDescent="0.25">
      <c r="A138" s="4" t="s">
        <v>139</v>
      </c>
      <c r="B138" s="6">
        <v>52.54</v>
      </c>
      <c r="C138" s="6">
        <f t="shared" si="6"/>
        <v>45.235174019607847</v>
      </c>
      <c r="D138" s="6">
        <v>40.07</v>
      </c>
      <c r="E138" s="6">
        <f t="shared" si="4"/>
        <v>32.463765522875818</v>
      </c>
      <c r="F138" s="7">
        <f t="shared" si="2"/>
        <v>12.469999999999999</v>
      </c>
      <c r="G138" s="6">
        <f t="shared" si="5"/>
        <v>12.771408496732025</v>
      </c>
    </row>
    <row r="139" spans="1:7" x14ac:dyDescent="0.25">
      <c r="A139" s="4" t="s">
        <v>143</v>
      </c>
      <c r="B139" s="6">
        <v>53.7</v>
      </c>
      <c r="C139" s="6">
        <f t="shared" si="6"/>
        <v>45.440938852813851</v>
      </c>
      <c r="D139" s="6">
        <v>38.4</v>
      </c>
      <c r="E139" s="6">
        <f t="shared" si="4"/>
        <v>31.111350649350651</v>
      </c>
      <c r="F139" s="7">
        <f t="shared" si="2"/>
        <v>15.300000000000004</v>
      </c>
      <c r="G139" s="6">
        <f t="shared" si="5"/>
        <v>14.329588203463199</v>
      </c>
    </row>
    <row r="140" spans="1:7" x14ac:dyDescent="0.25">
      <c r="A140" s="4" t="s">
        <v>144</v>
      </c>
      <c r="B140" s="6">
        <v>54.4</v>
      </c>
      <c r="C140" s="6">
        <f t="shared" si="6"/>
        <v>48.185025000000003</v>
      </c>
      <c r="D140" s="6">
        <v>38</v>
      </c>
      <c r="E140" s="6">
        <f t="shared" si="4"/>
        <v>31.537249999999997</v>
      </c>
      <c r="F140" s="7">
        <f t="shared" si="2"/>
        <v>16.399999999999999</v>
      </c>
      <c r="G140" s="6">
        <f t="shared" si="5"/>
        <v>16.647775000000003</v>
      </c>
    </row>
    <row r="141" spans="1:7" x14ac:dyDescent="0.25">
      <c r="A141" s="4" t="s">
        <v>145</v>
      </c>
      <c r="B141" s="6">
        <v>57</v>
      </c>
      <c r="C141" s="6">
        <f t="shared" si="6"/>
        <v>50.300117494824015</v>
      </c>
      <c r="D141" s="6">
        <v>40.15</v>
      </c>
      <c r="E141" s="6">
        <f t="shared" si="4"/>
        <v>32.568397515527948</v>
      </c>
      <c r="F141" s="7">
        <f t="shared" si="2"/>
        <v>16.850000000000001</v>
      </c>
      <c r="G141" s="6">
        <f t="shared" si="5"/>
        <v>17.731719979296066</v>
      </c>
    </row>
    <row r="142" spans="1:7" x14ac:dyDescent="0.25">
      <c r="A142" s="4" t="s">
        <v>146</v>
      </c>
      <c r="B142" s="6">
        <v>59.15</v>
      </c>
      <c r="C142" s="6">
        <f t="shared" si="6"/>
        <v>49.278082142857151</v>
      </c>
      <c r="D142" s="6">
        <v>42.05</v>
      </c>
      <c r="E142" s="6">
        <f t="shared" si="4"/>
        <v>29.906691071428568</v>
      </c>
      <c r="F142" s="7">
        <f t="shared" si="2"/>
        <v>17.100000000000001</v>
      </c>
      <c r="G142" s="6">
        <f t="shared" si="5"/>
        <v>19.37139107142858</v>
      </c>
    </row>
    <row r="143" spans="1:7" x14ac:dyDescent="0.25">
      <c r="A143" s="12" t="s">
        <v>147</v>
      </c>
      <c r="B143" s="6">
        <v>63.6</v>
      </c>
      <c r="C143" s="6">
        <f t="shared" si="6"/>
        <v>45.101699999999994</v>
      </c>
      <c r="D143" s="6">
        <v>43.8</v>
      </c>
      <c r="E143" s="6">
        <f t="shared" si="4"/>
        <v>27.084137499999997</v>
      </c>
      <c r="F143" s="7">
        <f t="shared" si="2"/>
        <v>19.800000000000004</v>
      </c>
      <c r="G143" s="6">
        <f t="shared" si="5"/>
        <v>18.0175625</v>
      </c>
    </row>
    <row r="144" spans="1:7" x14ac:dyDescent="0.25">
      <c r="A144" s="12" t="s">
        <v>148</v>
      </c>
      <c r="B144" s="6">
        <v>63.9</v>
      </c>
      <c r="C144" s="6">
        <f t="shared" si="6"/>
        <v>40.039785714285721</v>
      </c>
      <c r="D144" s="6">
        <v>42.75</v>
      </c>
      <c r="E144" s="6">
        <f t="shared" si="4"/>
        <v>25.656809523809525</v>
      </c>
      <c r="F144" s="7">
        <f t="shared" si="2"/>
        <v>21.15</v>
      </c>
      <c r="G144" s="6">
        <f t="shared" si="5"/>
        <v>14.382976190476189</v>
      </c>
    </row>
    <row r="145" spans="1:7" x14ac:dyDescent="0.25">
      <c r="A145" s="12" t="s">
        <v>149</v>
      </c>
      <c r="B145" s="6">
        <v>82</v>
      </c>
      <c r="C145" s="6">
        <f t="shared" si="6"/>
        <v>39.28307608695652</v>
      </c>
      <c r="D145" s="6">
        <v>58.25</v>
      </c>
      <c r="E145" s="6">
        <f t="shared" si="4"/>
        <v>26.765000000000001</v>
      </c>
      <c r="F145" s="7">
        <f t="shared" si="2"/>
        <v>23.75</v>
      </c>
      <c r="G145" s="6">
        <f t="shared" si="5"/>
        <v>12.518076086956523</v>
      </c>
    </row>
    <row r="146" spans="1:7" x14ac:dyDescent="0.25">
      <c r="A146" s="4" t="s">
        <v>150</v>
      </c>
      <c r="B146" s="6">
        <v>90.75</v>
      </c>
      <c r="C146" s="6">
        <f t="shared" si="6"/>
        <v>41.468287499999995</v>
      </c>
      <c r="D146" s="6">
        <v>64.599999999999994</v>
      </c>
      <c r="E146" s="6">
        <f t="shared" si="4"/>
        <v>26.9236</v>
      </c>
      <c r="F146" s="7">
        <f t="shared" si="2"/>
        <v>26.150000000000006</v>
      </c>
      <c r="G146" s="6">
        <f t="shared" si="5"/>
        <v>14.544687499999998</v>
      </c>
    </row>
    <row r="147" spans="1:7" x14ac:dyDescent="0.25">
      <c r="A147" s="4" t="s">
        <v>151</v>
      </c>
      <c r="B147" s="6">
        <v>97</v>
      </c>
      <c r="C147" s="6">
        <f t="shared" si="6"/>
        <v>44.577284090909089</v>
      </c>
      <c r="D147" s="6">
        <v>66.650000000000006</v>
      </c>
      <c r="E147" s="6">
        <f t="shared" si="4"/>
        <v>29.234056818181816</v>
      </c>
      <c r="F147" s="7">
        <f t="shared" si="2"/>
        <v>30.349999999999994</v>
      </c>
      <c r="G147" s="6">
        <f t="shared" si="5"/>
        <v>15.343227272727269</v>
      </c>
    </row>
    <row r="148" spans="1:7" x14ac:dyDescent="0.25">
      <c r="A148" s="4" t="s">
        <v>152</v>
      </c>
      <c r="B148" s="6">
        <v>112.6</v>
      </c>
      <c r="C148" s="6">
        <f t="shared" si="6"/>
        <v>49.129673913043476</v>
      </c>
      <c r="D148" s="6">
        <v>86.7</v>
      </c>
      <c r="E148" s="6">
        <f t="shared" si="4"/>
        <v>34.559782608695649</v>
      </c>
      <c r="F148" s="7">
        <f t="shared" si="2"/>
        <v>25.899999999999991</v>
      </c>
      <c r="G148" s="6">
        <f t="shared" si="5"/>
        <v>14.569891304347827</v>
      </c>
    </row>
    <row r="149" spans="1:7" x14ac:dyDescent="0.25">
      <c r="A149" s="4" t="s">
        <v>153</v>
      </c>
      <c r="B149" s="6">
        <v>118</v>
      </c>
      <c r="C149" s="6">
        <f t="shared" si="6"/>
        <v>50.75065</v>
      </c>
      <c r="D149" s="6">
        <v>86.5</v>
      </c>
      <c r="E149" s="6">
        <f t="shared" si="4"/>
        <v>36.769512499999998</v>
      </c>
      <c r="F149" s="7">
        <f t="shared" si="2"/>
        <v>31.5</v>
      </c>
      <c r="G149" s="6">
        <f t="shared" si="5"/>
        <v>13.981137499999999</v>
      </c>
    </row>
    <row r="150" spans="1:7" x14ac:dyDescent="0.25">
      <c r="A150" s="4" t="s">
        <v>154</v>
      </c>
      <c r="B150" s="6">
        <v>124.2</v>
      </c>
      <c r="C150" s="6">
        <f t="shared" si="6"/>
        <v>52.094791666666666</v>
      </c>
      <c r="D150" s="6">
        <v>79.349999999999994</v>
      </c>
      <c r="E150" s="6">
        <f t="shared" si="4"/>
        <v>37.899486111111116</v>
      </c>
      <c r="F150" s="7">
        <f t="shared" si="2"/>
        <v>44.850000000000009</v>
      </c>
      <c r="G150" s="6">
        <f t="shared" si="5"/>
        <v>14.195305555555555</v>
      </c>
    </row>
    <row r="151" spans="1:7" x14ac:dyDescent="0.25">
      <c r="A151" s="4" t="s">
        <v>155</v>
      </c>
      <c r="B151" s="6">
        <v>99</v>
      </c>
      <c r="C151" s="6">
        <f t="shared" si="6"/>
        <v>52.169404761904765</v>
      </c>
      <c r="D151" s="6">
        <v>58</v>
      </c>
      <c r="E151" s="6">
        <f t="shared" si="4"/>
        <v>35.766214285714284</v>
      </c>
      <c r="F151" s="7">
        <f t="shared" si="2"/>
        <v>41</v>
      </c>
      <c r="G151" s="6">
        <f t="shared" si="5"/>
        <v>16.403190476190474</v>
      </c>
    </row>
    <row r="152" spans="1:7" x14ac:dyDescent="0.25">
      <c r="A152" s="4" t="s">
        <v>156</v>
      </c>
      <c r="B152" s="6">
        <v>102.4</v>
      </c>
      <c r="C152" s="6">
        <f t="shared" si="6"/>
        <v>54.943100000000001</v>
      </c>
      <c r="D152" s="6">
        <v>59.4</v>
      </c>
      <c r="E152" s="6">
        <f t="shared" si="4"/>
        <v>36.246924999999997</v>
      </c>
      <c r="F152" s="7">
        <f t="shared" si="2"/>
        <v>43.000000000000007</v>
      </c>
      <c r="G152" s="6">
        <f t="shared" si="5"/>
        <v>18.696174999999997</v>
      </c>
    </row>
    <row r="153" spans="1:7" x14ac:dyDescent="0.25">
      <c r="A153" s="4" t="s">
        <v>157</v>
      </c>
      <c r="B153" s="6">
        <v>111.25</v>
      </c>
      <c r="C153" s="6">
        <f t="shared" si="6"/>
        <v>57.151391304347825</v>
      </c>
      <c r="D153" s="6">
        <v>66.5</v>
      </c>
      <c r="E153" s="6">
        <f t="shared" si="4"/>
        <v>37.77282608695652</v>
      </c>
      <c r="F153" s="7">
        <f t="shared" si="2"/>
        <v>44.75</v>
      </c>
      <c r="G153" s="6">
        <f t="shared" si="5"/>
        <v>19.378565217391305</v>
      </c>
    </row>
    <row r="154" spans="1:7" x14ac:dyDescent="0.25">
      <c r="A154" s="4" t="s">
        <v>158</v>
      </c>
      <c r="B154" s="6">
        <v>113.25</v>
      </c>
      <c r="C154" s="6">
        <f t="shared" si="6"/>
        <v>56.058225</v>
      </c>
      <c r="D154" s="6">
        <v>64.75</v>
      </c>
      <c r="E154" s="6">
        <f t="shared" si="4"/>
        <v>35.088762500000001</v>
      </c>
      <c r="F154" s="7">
        <f t="shared" si="2"/>
        <v>48.5</v>
      </c>
      <c r="G154" s="6">
        <f t="shared" si="5"/>
        <v>20.969462500000006</v>
      </c>
    </row>
    <row r="155" spans="1:7" x14ac:dyDescent="0.25">
      <c r="A155" s="12" t="s">
        <v>159</v>
      </c>
      <c r="B155" s="6">
        <v>133.1</v>
      </c>
      <c r="C155" s="6">
        <f t="shared" si="6"/>
        <v>52.52</v>
      </c>
      <c r="D155" s="6">
        <v>72.2</v>
      </c>
      <c r="E155" s="6">
        <f t="shared" si="4"/>
        <v>32.412499999999994</v>
      </c>
      <c r="F155" s="7">
        <f t="shared" si="2"/>
        <v>60.899999999999991</v>
      </c>
      <c r="G155" s="6">
        <f t="shared" si="5"/>
        <v>20.107500000000002</v>
      </c>
    </row>
    <row r="156" spans="1:7" x14ac:dyDescent="0.25">
      <c r="A156" s="12" t="s">
        <v>160</v>
      </c>
      <c r="B156" s="6">
        <v>127.25</v>
      </c>
      <c r="C156" s="6">
        <f t="shared" si="6"/>
        <v>48.377499999999998</v>
      </c>
      <c r="D156" s="6">
        <v>80.25</v>
      </c>
      <c r="E156" s="6">
        <f t="shared" si="4"/>
        <v>30.732499999999998</v>
      </c>
      <c r="F156" s="7">
        <f t="shared" si="2"/>
        <v>47</v>
      </c>
      <c r="G156" s="6">
        <f t="shared" si="5"/>
        <v>17.644999999999996</v>
      </c>
    </row>
    <row r="157" spans="1:7" x14ac:dyDescent="0.25">
      <c r="A157" s="12" t="s">
        <v>161</v>
      </c>
      <c r="B157" s="6">
        <v>127.5</v>
      </c>
      <c r="C157" s="6">
        <f t="shared" si="6"/>
        <v>51.742500000000007</v>
      </c>
      <c r="D157" s="6">
        <v>72.5</v>
      </c>
      <c r="E157" s="6">
        <f t="shared" si="4"/>
        <v>35.53</v>
      </c>
      <c r="F157" s="7">
        <f t="shared" si="2"/>
        <v>55</v>
      </c>
      <c r="G157" s="6">
        <f t="shared" si="5"/>
        <v>16.212499999999999</v>
      </c>
    </row>
    <row r="158" spans="1:7" x14ac:dyDescent="0.25">
      <c r="A158" s="4" t="s">
        <v>162</v>
      </c>
      <c r="B158" s="6">
        <v>115.8</v>
      </c>
      <c r="C158" s="6">
        <f t="shared" si="6"/>
        <v>55.837499999999999</v>
      </c>
      <c r="D158" s="6">
        <v>60</v>
      </c>
      <c r="E158" s="6">
        <f t="shared" si="4"/>
        <v>37.807499999999997</v>
      </c>
      <c r="F158" s="7">
        <f t="shared" si="2"/>
        <v>55.8</v>
      </c>
      <c r="G158" s="6">
        <f t="shared" si="5"/>
        <v>18.03</v>
      </c>
    </row>
    <row r="159" spans="1:7" x14ac:dyDescent="0.25">
      <c r="A159" s="4" t="s">
        <v>163</v>
      </c>
      <c r="B159" s="6">
        <v>88</v>
      </c>
      <c r="C159" s="6">
        <f t="shared" si="6"/>
        <v>60.17</v>
      </c>
      <c r="D159" s="6">
        <v>51.5</v>
      </c>
      <c r="E159" s="6">
        <f t="shared" si="4"/>
        <v>40.547499999999999</v>
      </c>
      <c r="F159" s="7">
        <f t="shared" si="2"/>
        <v>36.5</v>
      </c>
      <c r="G159" s="6">
        <f t="shared" si="5"/>
        <v>19.622499999999995</v>
      </c>
    </row>
    <row r="160" spans="1:7" x14ac:dyDescent="0.25">
      <c r="A160" s="4" t="s">
        <v>164</v>
      </c>
      <c r="B160" s="6">
        <v>40.4</v>
      </c>
      <c r="C160" s="6">
        <f t="shared" si="6"/>
        <v>66.12</v>
      </c>
      <c r="D160" s="6">
        <v>23.6</v>
      </c>
      <c r="E160" s="6">
        <f t="shared" si="4"/>
        <v>46.967500000000001</v>
      </c>
      <c r="F160" s="7">
        <f t="shared" si="2"/>
        <v>16.799999999999997</v>
      </c>
      <c r="G160" s="6">
        <f t="shared" si="5"/>
        <v>19.1525</v>
      </c>
    </row>
    <row r="161" spans="1:7" x14ac:dyDescent="0.25">
      <c r="A161" s="4" t="s">
        <v>165</v>
      </c>
      <c r="B161" s="6">
        <v>27.63</v>
      </c>
      <c r="C161" s="6">
        <f t="shared" si="6"/>
        <v>68.734999999999999</v>
      </c>
      <c r="D161" s="6">
        <v>17.38</v>
      </c>
      <c r="E161" s="6">
        <f t="shared" si="4"/>
        <v>48.352499999999999</v>
      </c>
      <c r="F161" s="7">
        <f t="shared" si="2"/>
        <v>10.25</v>
      </c>
      <c r="G161" s="6">
        <f t="shared" si="5"/>
        <v>20.3825</v>
      </c>
    </row>
    <row r="162" spans="1:7" x14ac:dyDescent="0.25">
      <c r="A162" s="4" t="s">
        <v>166</v>
      </c>
      <c r="B162" s="6">
        <v>23.33</v>
      </c>
      <c r="C162" s="6">
        <f t="shared" si="6"/>
        <v>70.45750000000001</v>
      </c>
      <c r="D162" s="6">
        <v>13.33</v>
      </c>
      <c r="E162" s="6">
        <f t="shared" si="4"/>
        <v>47.3125</v>
      </c>
      <c r="F162" s="7">
        <f t="shared" si="2"/>
        <v>9.9999999999999982</v>
      </c>
      <c r="G162" s="6">
        <f t="shared" si="5"/>
        <v>23.145</v>
      </c>
    </row>
    <row r="163" spans="1:7" x14ac:dyDescent="0.25">
      <c r="A163" s="4" t="s">
        <v>167</v>
      </c>
      <c r="B163" s="6">
        <v>26.3</v>
      </c>
      <c r="C163" s="6">
        <f t="shared" si="6"/>
        <v>62.279999999999994</v>
      </c>
      <c r="D163" s="6">
        <v>14.6</v>
      </c>
      <c r="E163" s="6">
        <f t="shared" si="4"/>
        <v>39.370000000000005</v>
      </c>
      <c r="F163" s="7">
        <f t="shared" si="2"/>
        <v>11.700000000000001</v>
      </c>
      <c r="G163" s="6">
        <f t="shared" si="5"/>
        <v>22.909999999999997</v>
      </c>
    </row>
    <row r="164" spans="1:7" x14ac:dyDescent="0.25">
      <c r="A164" s="4" t="s">
        <v>168</v>
      </c>
      <c r="B164" s="6">
        <v>39.25</v>
      </c>
      <c r="C164" s="6">
        <f t="shared" si="6"/>
        <v>62.902500000000003</v>
      </c>
      <c r="D164" s="6">
        <v>19.75</v>
      </c>
      <c r="E164" s="6">
        <f t="shared" si="4"/>
        <v>40.020000000000003</v>
      </c>
      <c r="F164" s="7">
        <f t="shared" si="2"/>
        <v>19.5</v>
      </c>
      <c r="G164" s="6">
        <f t="shared" si="5"/>
        <v>22.8825</v>
      </c>
    </row>
    <row r="165" spans="1:7" x14ac:dyDescent="0.25">
      <c r="A165" s="4" t="s">
        <v>169</v>
      </c>
      <c r="B165" s="6">
        <v>42.25</v>
      </c>
      <c r="C165" s="6">
        <f t="shared" si="6"/>
        <v>66.777500000000003</v>
      </c>
      <c r="D165" s="6">
        <v>22</v>
      </c>
      <c r="E165" s="6">
        <f t="shared" si="4"/>
        <v>43.385000000000005</v>
      </c>
      <c r="F165" s="7">
        <f t="shared" si="2"/>
        <v>20.25</v>
      </c>
      <c r="G165" s="6">
        <f t="shared" si="5"/>
        <v>23.392500000000002</v>
      </c>
    </row>
    <row r="166" spans="1:7" x14ac:dyDescent="0.25">
      <c r="A166" s="4" t="s">
        <v>170</v>
      </c>
      <c r="B166" s="6">
        <v>40.380000000000003</v>
      </c>
      <c r="C166" s="6">
        <f t="shared" si="6"/>
        <v>66.912500000000009</v>
      </c>
      <c r="D166" s="6">
        <v>20.63</v>
      </c>
      <c r="E166" s="6">
        <f t="shared" si="4"/>
        <v>41.307499999999997</v>
      </c>
      <c r="F166" s="7">
        <f t="shared" si="2"/>
        <v>19.750000000000004</v>
      </c>
      <c r="G166" s="6">
        <f t="shared" si="5"/>
        <v>25.604999999999997</v>
      </c>
    </row>
    <row r="167" spans="1:7" x14ac:dyDescent="0.25">
      <c r="A167" s="12" t="s">
        <v>171</v>
      </c>
      <c r="B167" s="6">
        <v>47</v>
      </c>
      <c r="C167" s="6">
        <f t="shared" si="6"/>
        <v>71.574999999999989</v>
      </c>
      <c r="D167" s="6">
        <v>25.7</v>
      </c>
      <c r="E167" s="6">
        <f t="shared" si="4"/>
        <v>42.227499999999999</v>
      </c>
      <c r="F167" s="7">
        <f t="shared" si="2"/>
        <v>21.3</v>
      </c>
      <c r="G167" s="6">
        <f t="shared" si="5"/>
        <v>29.347499999999997</v>
      </c>
    </row>
    <row r="168" spans="1:7" x14ac:dyDescent="0.25">
      <c r="A168" s="12" t="s">
        <v>172</v>
      </c>
      <c r="B168" s="6">
        <v>48.63</v>
      </c>
      <c r="C168" s="6">
        <f t="shared" si="6"/>
        <v>69.427499999999995</v>
      </c>
      <c r="D168" s="6">
        <v>26.69</v>
      </c>
      <c r="E168" s="6">
        <f t="shared" si="4"/>
        <v>44.232500000000002</v>
      </c>
      <c r="F168" s="7">
        <f t="shared" si="2"/>
        <v>21.94</v>
      </c>
      <c r="G168" s="6">
        <f t="shared" si="5"/>
        <v>25.195</v>
      </c>
    </row>
    <row r="169" spans="1:7" x14ac:dyDescent="0.25">
      <c r="A169" s="12" t="s">
        <v>173</v>
      </c>
      <c r="B169" s="6">
        <v>60.2</v>
      </c>
      <c r="C169" s="6">
        <f t="shared" si="6"/>
        <v>71.855000000000004</v>
      </c>
      <c r="D169" s="6">
        <v>32.200000000000003</v>
      </c>
      <c r="E169" s="6">
        <f t="shared" si="4"/>
        <v>45.49</v>
      </c>
      <c r="F169" s="7">
        <f t="shared" si="2"/>
        <v>28</v>
      </c>
      <c r="G169" s="6">
        <f t="shared" si="5"/>
        <v>26.365000000000002</v>
      </c>
    </row>
    <row r="170" spans="1:7" x14ac:dyDescent="0.25">
      <c r="A170" s="4" t="s">
        <v>174</v>
      </c>
      <c r="B170" s="6">
        <v>54.5</v>
      </c>
      <c r="C170" s="6">
        <f t="shared" si="6"/>
        <v>71.907499999999999</v>
      </c>
      <c r="D170" s="6">
        <v>28</v>
      </c>
      <c r="E170" s="6">
        <f t="shared" si="4"/>
        <v>44.79</v>
      </c>
      <c r="F170" s="7">
        <f t="shared" si="2"/>
        <v>26.5</v>
      </c>
      <c r="G170" s="6">
        <f t="shared" si="5"/>
        <v>27.117500000000003</v>
      </c>
    </row>
    <row r="171" spans="1:7" x14ac:dyDescent="0.25">
      <c r="A171" s="4" t="s">
        <v>175</v>
      </c>
      <c r="B171" s="6">
        <v>57.13</v>
      </c>
      <c r="C171" s="6">
        <f t="shared" si="6"/>
        <v>68.942499999999995</v>
      </c>
      <c r="D171" s="6">
        <v>29.88</v>
      </c>
      <c r="E171" s="6">
        <f t="shared" si="4"/>
        <v>44.96</v>
      </c>
      <c r="F171" s="7">
        <f t="shared" si="2"/>
        <v>27.250000000000004</v>
      </c>
      <c r="G171" s="6">
        <f t="shared" si="5"/>
        <v>23.982500000000002</v>
      </c>
    </row>
    <row r="172" spans="1:7" x14ac:dyDescent="0.25">
      <c r="A172" s="4" t="s">
        <v>176</v>
      </c>
      <c r="B172" s="6">
        <v>60.85</v>
      </c>
      <c r="C172" s="6">
        <f t="shared" si="6"/>
        <v>62.025000000000006</v>
      </c>
      <c r="D172" s="6">
        <v>33.799999999999997</v>
      </c>
      <c r="E172" s="6">
        <f t="shared" si="4"/>
        <v>43.4375</v>
      </c>
      <c r="F172" s="7">
        <f t="shared" si="2"/>
        <v>27.050000000000004</v>
      </c>
      <c r="G172" s="6">
        <f t="shared" si="5"/>
        <v>18.587499999999999</v>
      </c>
    </row>
    <row r="173" spans="1:7" x14ac:dyDescent="0.25">
      <c r="A173" s="4" t="s">
        <v>177</v>
      </c>
      <c r="B173" s="6">
        <v>71.38</v>
      </c>
      <c r="C173" s="6">
        <f t="shared" si="6"/>
        <v>59.877499999999998</v>
      </c>
      <c r="D173" s="6">
        <v>43.13</v>
      </c>
      <c r="E173" s="6">
        <f t="shared" si="4"/>
        <v>42.087499999999999</v>
      </c>
      <c r="F173" s="7">
        <f t="shared" si="2"/>
        <v>28.249999999999993</v>
      </c>
      <c r="G173" s="6">
        <f t="shared" si="5"/>
        <v>17.79</v>
      </c>
    </row>
    <row r="174" spans="1:7" x14ac:dyDescent="0.25">
      <c r="A174" s="4" t="s">
        <v>178</v>
      </c>
      <c r="B174" s="6">
        <v>68.63</v>
      </c>
      <c r="C174" s="6">
        <f t="shared" si="6"/>
        <v>60.085000000000001</v>
      </c>
      <c r="D174" s="6">
        <v>38.880000000000003</v>
      </c>
      <c r="E174" s="6">
        <f t="shared" si="4"/>
        <v>39.602499999999999</v>
      </c>
      <c r="F174" s="7">
        <f t="shared" si="2"/>
        <v>29.749999999999993</v>
      </c>
      <c r="G174" s="6">
        <f t="shared" si="5"/>
        <v>20.482500000000002</v>
      </c>
    </row>
    <row r="175" spans="1:7" x14ac:dyDescent="0.25">
      <c r="A175" s="22" t="s">
        <v>179</v>
      </c>
      <c r="B175" s="6">
        <v>69.38</v>
      </c>
      <c r="C175" s="6">
        <f t="shared" si="6"/>
        <v>53.852499999999999</v>
      </c>
      <c r="D175" s="6">
        <v>39.75</v>
      </c>
      <c r="E175" s="6">
        <f t="shared" si="4"/>
        <v>33.909999999999997</v>
      </c>
      <c r="F175" s="7">
        <f t="shared" si="2"/>
        <v>29.629999999999995</v>
      </c>
      <c r="G175" s="6">
        <f t="shared" si="5"/>
        <v>19.942499999999999</v>
      </c>
    </row>
    <row r="176" spans="1:7" x14ac:dyDescent="0.25">
      <c r="A176" s="22" t="s">
        <v>180</v>
      </c>
      <c r="B176" s="6">
        <v>63</v>
      </c>
      <c r="C176" s="6">
        <f t="shared" si="6"/>
        <v>57.74</v>
      </c>
      <c r="D176" s="6">
        <v>36.75</v>
      </c>
      <c r="E176" s="6">
        <f t="shared" si="4"/>
        <v>35.71</v>
      </c>
      <c r="F176" s="7">
        <f t="shared" si="2"/>
        <v>26.25</v>
      </c>
      <c r="G176" s="6">
        <f t="shared" si="5"/>
        <v>22.03</v>
      </c>
    </row>
    <row r="177" spans="1:7" x14ac:dyDescent="0.25">
      <c r="A177" s="22" t="s">
        <v>181</v>
      </c>
      <c r="B177" s="6">
        <v>69.5</v>
      </c>
      <c r="C177" s="6">
        <f t="shared" si="6"/>
        <v>61.58</v>
      </c>
      <c r="D177" s="6">
        <v>42.5</v>
      </c>
      <c r="E177" s="6">
        <f t="shared" si="4"/>
        <v>39.090000000000003</v>
      </c>
      <c r="F177" s="7">
        <f t="shared" si="2"/>
        <v>27</v>
      </c>
      <c r="G177" s="6">
        <f t="shared" si="5"/>
        <v>22.49</v>
      </c>
    </row>
    <row r="178" spans="1:7" x14ac:dyDescent="0.25">
      <c r="A178" s="22" t="s">
        <v>182</v>
      </c>
      <c r="B178" s="6">
        <v>69.2</v>
      </c>
      <c r="C178" s="6">
        <f t="shared" si="6"/>
        <v>61.870000000000005</v>
      </c>
      <c r="D178" s="6">
        <v>40.4</v>
      </c>
      <c r="E178" s="6">
        <f t="shared" si="4"/>
        <v>38.184999999999995</v>
      </c>
      <c r="F178" s="7">
        <f t="shared" si="2"/>
        <v>28.800000000000004</v>
      </c>
      <c r="G178" s="6">
        <f t="shared" si="5"/>
        <v>23.684999999999999</v>
      </c>
    </row>
    <row r="179" spans="1:7" x14ac:dyDescent="0.25">
      <c r="A179" s="23" t="s">
        <v>183</v>
      </c>
      <c r="B179" s="6">
        <v>72.13</v>
      </c>
      <c r="C179" s="6">
        <f t="shared" si="6"/>
        <v>69.599999999999994</v>
      </c>
      <c r="D179" s="6">
        <v>42.25</v>
      </c>
      <c r="E179" s="6">
        <f t="shared" si="4"/>
        <v>41.769999999999996</v>
      </c>
      <c r="F179" s="7">
        <f t="shared" si="2"/>
        <v>29.879999999999995</v>
      </c>
      <c r="G179" s="6">
        <f t="shared" si="5"/>
        <v>27.830000000000002</v>
      </c>
    </row>
    <row r="180" spans="1:7" x14ac:dyDescent="0.25">
      <c r="A180" s="23" t="s">
        <v>184</v>
      </c>
      <c r="B180" s="6">
        <v>66.75</v>
      </c>
      <c r="C180" s="6">
        <f t="shared" si="6"/>
        <v>69.234999999999999</v>
      </c>
      <c r="D180" s="6">
        <v>33.5</v>
      </c>
      <c r="E180" s="6">
        <f t="shared" si="4"/>
        <v>44.634999999999998</v>
      </c>
      <c r="F180" s="7">
        <f t="shared" si="2"/>
        <v>33.25</v>
      </c>
      <c r="G180" s="6">
        <f t="shared" si="5"/>
        <v>24.6</v>
      </c>
    </row>
    <row r="181" spans="1:7" x14ac:dyDescent="0.25">
      <c r="A181" s="23" t="s">
        <v>185</v>
      </c>
      <c r="B181" s="6">
        <v>56.1</v>
      </c>
      <c r="C181" s="6">
        <f t="shared" si="6"/>
        <v>77.342500000000001</v>
      </c>
      <c r="D181" s="6">
        <v>30.8</v>
      </c>
      <c r="E181" s="6">
        <f t="shared" si="4"/>
        <v>48.342500000000001</v>
      </c>
      <c r="F181" s="7">
        <f t="shared" si="2"/>
        <v>25.3</v>
      </c>
      <c r="G181" s="6">
        <f t="shared" si="5"/>
        <v>29</v>
      </c>
    </row>
    <row r="182" spans="1:7" x14ac:dyDescent="0.25">
      <c r="A182" s="22" t="s">
        <v>186</v>
      </c>
      <c r="B182" s="6">
        <v>62.75</v>
      </c>
      <c r="C182" s="6">
        <f t="shared" si="6"/>
        <v>76.467500000000001</v>
      </c>
      <c r="D182" s="6">
        <v>34.5</v>
      </c>
      <c r="E182" s="6">
        <f t="shared" si="4"/>
        <v>46.33</v>
      </c>
      <c r="F182" s="7">
        <f t="shared" si="2"/>
        <v>28.25</v>
      </c>
      <c r="G182" s="6">
        <f t="shared" si="5"/>
        <v>30.137500000000003</v>
      </c>
    </row>
    <row r="183" spans="1:7" x14ac:dyDescent="0.25">
      <c r="A183" s="22" t="s">
        <v>187</v>
      </c>
      <c r="B183" s="6">
        <v>65.5</v>
      </c>
      <c r="C183" s="6">
        <f t="shared" si="6"/>
        <v>73.069999999999993</v>
      </c>
      <c r="D183" s="6">
        <v>36</v>
      </c>
      <c r="E183" s="6">
        <f t="shared" si="4"/>
        <v>46.297499999999999</v>
      </c>
      <c r="F183" s="7">
        <f t="shared" si="2"/>
        <v>29.5</v>
      </c>
      <c r="G183" s="6">
        <f t="shared" si="5"/>
        <v>26.772500000000001</v>
      </c>
    </row>
    <row r="184" spans="1:7" x14ac:dyDescent="0.25">
      <c r="A184" s="22" t="s">
        <v>188</v>
      </c>
      <c r="B184" s="6">
        <v>60</v>
      </c>
      <c r="C184" s="6">
        <f t="shared" si="6"/>
        <v>65.647499999999994</v>
      </c>
      <c r="D184" s="6">
        <v>32.9</v>
      </c>
      <c r="E184" s="6">
        <f t="shared" si="4"/>
        <v>45.582499999999996</v>
      </c>
      <c r="F184" s="7">
        <f t="shared" si="2"/>
        <v>27.1</v>
      </c>
      <c r="G184" s="6">
        <f t="shared" si="5"/>
        <v>20.065000000000001</v>
      </c>
    </row>
    <row r="185" spans="1:7" x14ac:dyDescent="0.25">
      <c r="A185" s="22" t="s">
        <v>189</v>
      </c>
      <c r="B185" s="6">
        <v>55.88</v>
      </c>
      <c r="C185" s="6">
        <f t="shared" si="6"/>
        <v>66.612499999999997</v>
      </c>
      <c r="D185" s="6">
        <v>32.130000000000003</v>
      </c>
      <c r="E185" s="6">
        <f t="shared" si="4"/>
        <v>46.97</v>
      </c>
      <c r="F185" s="7">
        <f t="shared" si="2"/>
        <v>23.75</v>
      </c>
      <c r="G185" s="6">
        <f t="shared" si="5"/>
        <v>19.642499999999998</v>
      </c>
    </row>
    <row r="186" spans="1:7" x14ac:dyDescent="0.25">
      <c r="A186" s="22" t="s">
        <v>190</v>
      </c>
      <c r="B186" s="6">
        <v>52.88</v>
      </c>
      <c r="C186" s="6">
        <f t="shared" si="6"/>
        <v>67.174999999999997</v>
      </c>
      <c r="D186" s="6">
        <v>29</v>
      </c>
      <c r="E186" s="6">
        <f t="shared" si="4"/>
        <v>42.907499999999999</v>
      </c>
      <c r="F186" s="7">
        <f t="shared" si="2"/>
        <v>23.880000000000003</v>
      </c>
      <c r="G186" s="6">
        <f t="shared" si="5"/>
        <v>24.267499999999998</v>
      </c>
    </row>
    <row r="187" spans="1:7" x14ac:dyDescent="0.25">
      <c r="A187" s="22" t="s">
        <v>191</v>
      </c>
      <c r="B187" s="6">
        <v>51.5</v>
      </c>
      <c r="C187" s="6">
        <f t="shared" si="6"/>
        <v>62.094999999999999</v>
      </c>
      <c r="D187" s="6">
        <v>29</v>
      </c>
      <c r="E187" s="6">
        <f t="shared" si="4"/>
        <v>37.6875</v>
      </c>
      <c r="F187" s="7">
        <f t="shared" si="2"/>
        <v>22.5</v>
      </c>
      <c r="G187" s="6">
        <f t="shared" si="5"/>
        <v>24.407499999999999</v>
      </c>
    </row>
    <row r="188" spans="1:7" x14ac:dyDescent="0.25">
      <c r="A188" s="22" t="s">
        <v>192</v>
      </c>
      <c r="B188" s="6">
        <v>53.63</v>
      </c>
      <c r="C188" s="6">
        <f t="shared" si="6"/>
        <v>64.762500000000003</v>
      </c>
      <c r="D188" s="6">
        <v>31.75</v>
      </c>
      <c r="E188" s="6">
        <f t="shared" si="4"/>
        <v>38.475000000000001</v>
      </c>
      <c r="F188" s="7">
        <f t="shared" si="2"/>
        <v>21.880000000000003</v>
      </c>
      <c r="G188" s="6">
        <f t="shared" si="5"/>
        <v>26.287500000000001</v>
      </c>
    </row>
    <row r="189" spans="1:7" x14ac:dyDescent="0.25">
      <c r="A189" s="22" t="s">
        <v>193</v>
      </c>
      <c r="B189" s="6">
        <v>59.25</v>
      </c>
      <c r="C189" s="6">
        <f t="shared" si="6"/>
        <v>70</v>
      </c>
      <c r="D189" s="6">
        <v>35</v>
      </c>
      <c r="E189" s="6">
        <f t="shared" si="4"/>
        <v>42.787500000000001</v>
      </c>
      <c r="F189" s="7">
        <f t="shared" si="2"/>
        <v>24.25</v>
      </c>
      <c r="G189" s="6">
        <f t="shared" si="5"/>
        <v>27.212499999999999</v>
      </c>
    </row>
    <row r="190" spans="1:7" x14ac:dyDescent="0.25">
      <c r="A190" s="22" t="s">
        <v>194</v>
      </c>
      <c r="B190" s="6">
        <v>52.9</v>
      </c>
      <c r="C190" s="6">
        <f t="shared" si="6"/>
        <v>70.495000000000005</v>
      </c>
      <c r="D190" s="6">
        <v>22.3</v>
      </c>
      <c r="E190" s="6">
        <f t="shared" si="4"/>
        <v>41.957499999999996</v>
      </c>
      <c r="F190" s="7">
        <f t="shared" si="2"/>
        <v>30.599999999999998</v>
      </c>
      <c r="G190" s="6">
        <f t="shared" si="5"/>
        <v>28.537500000000001</v>
      </c>
    </row>
    <row r="191" spans="1:7" x14ac:dyDescent="0.25">
      <c r="A191" s="23" t="s">
        <v>195</v>
      </c>
      <c r="B191" s="6">
        <v>52.75</v>
      </c>
      <c r="C191" s="6">
        <f t="shared" si="6"/>
        <v>78.957499999999996</v>
      </c>
      <c r="D191" s="6">
        <v>30</v>
      </c>
      <c r="E191" s="6">
        <f t="shared" si="4"/>
        <v>45.987499999999997</v>
      </c>
      <c r="F191" s="7">
        <f t="shared" si="2"/>
        <v>22.75</v>
      </c>
      <c r="G191" s="6">
        <f t="shared" si="5"/>
        <v>32.97</v>
      </c>
    </row>
    <row r="192" spans="1:7" x14ac:dyDescent="0.25">
      <c r="A192" s="23" t="s">
        <v>196</v>
      </c>
      <c r="B192" s="6">
        <v>53.25</v>
      </c>
      <c r="C192" s="6">
        <f t="shared" si="6"/>
        <v>76.632499999999993</v>
      </c>
      <c r="D192" s="6">
        <v>30.13</v>
      </c>
      <c r="E192" s="6">
        <f t="shared" si="4"/>
        <v>45.797499999999999</v>
      </c>
      <c r="F192" s="7">
        <f t="shared" si="2"/>
        <v>23.12</v>
      </c>
      <c r="G192" s="6">
        <f t="shared" si="5"/>
        <v>30.835000000000001</v>
      </c>
    </row>
    <row r="193" spans="1:13" x14ac:dyDescent="0.25">
      <c r="A193" s="23" t="s">
        <v>197</v>
      </c>
      <c r="B193" s="6">
        <v>51.9</v>
      </c>
      <c r="C193" s="6">
        <f t="shared" si="6"/>
        <v>81.45</v>
      </c>
      <c r="D193" s="6">
        <v>27.8</v>
      </c>
      <c r="E193" s="6">
        <f t="shared" si="4"/>
        <v>48.4375</v>
      </c>
      <c r="F193" s="7">
        <f t="shared" si="2"/>
        <v>24.099999999999998</v>
      </c>
      <c r="G193" s="6">
        <f t="shared" si="5"/>
        <v>33.012500000000003</v>
      </c>
      <c r="K193" s="24"/>
      <c r="M193" s="24"/>
    </row>
    <row r="194" spans="1:13" x14ac:dyDescent="0.25">
      <c r="A194" s="22" t="s">
        <v>198</v>
      </c>
      <c r="B194" s="6">
        <v>52.25</v>
      </c>
      <c r="C194" s="6">
        <f t="shared" si="6"/>
        <v>80.95</v>
      </c>
      <c r="D194" s="6">
        <v>30.25</v>
      </c>
      <c r="E194" s="6">
        <f t="shared" si="4"/>
        <v>46.774999999999999</v>
      </c>
      <c r="F194" s="7">
        <f t="shared" si="2"/>
        <v>22</v>
      </c>
      <c r="G194" s="6">
        <f t="shared" si="5"/>
        <v>34.174999999999997</v>
      </c>
    </row>
    <row r="195" spans="1:13" x14ac:dyDescent="0.25">
      <c r="A195" s="22" t="s">
        <v>199</v>
      </c>
      <c r="B195" s="6">
        <v>52.92</v>
      </c>
      <c r="C195" s="6">
        <f t="shared" si="6"/>
        <v>76.907499999999999</v>
      </c>
      <c r="D195" s="6">
        <v>30.55</v>
      </c>
      <c r="E195" s="6">
        <f t="shared" si="4"/>
        <v>46.0075</v>
      </c>
      <c r="F195" s="7">
        <f t="shared" si="2"/>
        <v>22.37</v>
      </c>
      <c r="G195" s="6">
        <f t="shared" si="5"/>
        <v>30.9</v>
      </c>
    </row>
    <row r="196" spans="1:13" x14ac:dyDescent="0.25">
      <c r="A196" s="22" t="s">
        <v>200</v>
      </c>
      <c r="B196" s="6">
        <v>58</v>
      </c>
      <c r="C196" s="6">
        <f t="shared" si="6"/>
        <v>68.462500000000006</v>
      </c>
      <c r="D196" s="6">
        <v>34.75</v>
      </c>
      <c r="E196" s="6">
        <f t="shared" si="4"/>
        <v>44.25</v>
      </c>
      <c r="F196" s="7">
        <f t="shared" si="2"/>
        <v>23.25</v>
      </c>
      <c r="G196" s="6">
        <f t="shared" si="5"/>
        <v>24.212499999999999</v>
      </c>
    </row>
    <row r="197" spans="1:13" x14ac:dyDescent="0.25">
      <c r="A197" s="22" t="s">
        <v>201</v>
      </c>
      <c r="B197" s="6">
        <v>57</v>
      </c>
      <c r="C197" s="6">
        <f t="shared" si="6"/>
        <v>68.222499999999997</v>
      </c>
      <c r="D197" s="6">
        <v>31.5</v>
      </c>
      <c r="E197" s="6">
        <f t="shared" si="4"/>
        <v>44.784999999999997</v>
      </c>
      <c r="F197" s="7">
        <f t="shared" si="2"/>
        <v>25.5</v>
      </c>
      <c r="G197" s="6">
        <f t="shared" si="5"/>
        <v>23.4375</v>
      </c>
    </row>
    <row r="198" spans="1:13" x14ac:dyDescent="0.25">
      <c r="A198" s="22" t="s">
        <v>202</v>
      </c>
      <c r="B198" s="6">
        <v>56.38</v>
      </c>
      <c r="C198" s="6">
        <f t="shared" si="6"/>
        <v>67.259999999999991</v>
      </c>
      <c r="D198" s="6">
        <v>29.63</v>
      </c>
      <c r="E198" s="6">
        <f t="shared" si="4"/>
        <v>40.14</v>
      </c>
      <c r="F198" s="7">
        <f t="shared" si="2"/>
        <v>26.750000000000004</v>
      </c>
      <c r="G198" s="6">
        <f t="shared" si="5"/>
        <v>27.12</v>
      </c>
    </row>
    <row r="199" spans="1:13" x14ac:dyDescent="0.25">
      <c r="A199" s="22" t="s">
        <v>203</v>
      </c>
      <c r="B199" s="6">
        <v>51.75</v>
      </c>
      <c r="C199" s="6">
        <f t="shared" si="6"/>
        <v>61.545000000000002</v>
      </c>
      <c r="D199" s="6">
        <v>27.25</v>
      </c>
      <c r="E199" s="6">
        <f t="shared" si="4"/>
        <v>35.337499999999999</v>
      </c>
      <c r="F199" s="7">
        <f t="shared" si="2"/>
        <v>24.5</v>
      </c>
      <c r="G199" s="6">
        <f t="shared" si="5"/>
        <v>26.2075</v>
      </c>
    </row>
    <row r="200" spans="1:13" x14ac:dyDescent="0.25">
      <c r="A200" s="22" t="s">
        <v>204</v>
      </c>
      <c r="B200" s="6">
        <v>49</v>
      </c>
      <c r="C200" s="6">
        <f t="shared" si="6"/>
        <v>64.569999999999993</v>
      </c>
      <c r="D200" s="6">
        <v>28</v>
      </c>
      <c r="E200" s="6">
        <f t="shared" si="4"/>
        <v>36.912500000000001</v>
      </c>
      <c r="F200" s="7">
        <f t="shared" si="2"/>
        <v>21</v>
      </c>
      <c r="G200" s="6">
        <f t="shared" si="5"/>
        <v>27.657499999999999</v>
      </c>
    </row>
    <row r="201" spans="1:13" x14ac:dyDescent="0.25">
      <c r="A201" s="22" t="s">
        <v>205</v>
      </c>
      <c r="B201" s="6">
        <v>49.8</v>
      </c>
      <c r="C201" s="6">
        <f t="shared" si="6"/>
        <v>70.5625</v>
      </c>
      <c r="D201" s="6">
        <v>29.6</v>
      </c>
      <c r="E201" s="6">
        <f t="shared" si="4"/>
        <v>41.5</v>
      </c>
      <c r="F201" s="7">
        <f t="shared" si="2"/>
        <v>20.199999999999996</v>
      </c>
      <c r="G201" s="6">
        <f t="shared" si="5"/>
        <v>29.0625</v>
      </c>
    </row>
    <row r="202" spans="1:13" x14ac:dyDescent="0.25">
      <c r="A202" s="22" t="s">
        <v>206</v>
      </c>
      <c r="B202" s="11">
        <v>52.75</v>
      </c>
      <c r="C202" s="11">
        <f t="shared" ref="C202:C212" si="7">AVERAGE(B190,B178,B166,B154)</f>
        <v>68.932500000000005</v>
      </c>
      <c r="D202" s="11">
        <v>29.75</v>
      </c>
      <c r="E202" s="11">
        <f t="shared" ref="E202:E212" si="8">AVERAGE(D190,D178,D166,D154)</f>
        <v>37.019999999999996</v>
      </c>
      <c r="F202" s="7">
        <f t="shared" ref="F202:F212" si="9">B202-D202</f>
        <v>23</v>
      </c>
      <c r="G202" s="11">
        <f t="shared" ref="G202:G212" si="10">AVERAGE(F190,F178,F166,F154)</f>
        <v>31.912500000000001</v>
      </c>
    </row>
    <row r="203" spans="1:13" x14ac:dyDescent="0.25">
      <c r="A203" s="23" t="s">
        <v>207</v>
      </c>
      <c r="B203" s="11">
        <v>50.75</v>
      </c>
      <c r="C203" s="11">
        <f t="shared" si="7"/>
        <v>76.245000000000005</v>
      </c>
      <c r="D203" s="11">
        <v>26.88</v>
      </c>
      <c r="E203" s="11">
        <f t="shared" si="8"/>
        <v>42.537500000000001</v>
      </c>
      <c r="F203" s="7">
        <f t="shared" si="9"/>
        <v>23.87</v>
      </c>
      <c r="G203" s="11">
        <f t="shared" si="10"/>
        <v>33.707499999999996</v>
      </c>
    </row>
    <row r="204" spans="1:13" x14ac:dyDescent="0.25">
      <c r="A204" s="23" t="s">
        <v>208</v>
      </c>
      <c r="B204" s="11">
        <v>52.32</v>
      </c>
      <c r="C204" s="11">
        <f t="shared" si="7"/>
        <v>73.97</v>
      </c>
      <c r="D204" s="11">
        <v>29.73</v>
      </c>
      <c r="E204" s="11">
        <f t="shared" si="8"/>
        <v>42.642499999999998</v>
      </c>
      <c r="F204" s="7">
        <f t="shared" si="9"/>
        <v>22.59</v>
      </c>
      <c r="G204" s="11">
        <f t="shared" si="10"/>
        <v>31.327500000000001</v>
      </c>
    </row>
    <row r="205" spans="1:13" x14ac:dyDescent="0.25">
      <c r="A205" s="23" t="s">
        <v>209</v>
      </c>
      <c r="B205" s="11">
        <v>50.25</v>
      </c>
      <c r="C205" s="11">
        <f t="shared" si="7"/>
        <v>73.924999999999997</v>
      </c>
      <c r="D205" s="11">
        <v>28.13</v>
      </c>
      <c r="E205" s="11">
        <f t="shared" si="8"/>
        <v>40.825000000000003</v>
      </c>
      <c r="F205" s="7">
        <f t="shared" si="9"/>
        <v>22.12</v>
      </c>
      <c r="G205" s="11">
        <f t="shared" si="10"/>
        <v>33.1</v>
      </c>
    </row>
    <row r="206" spans="1:13" x14ac:dyDescent="0.25">
      <c r="A206" s="22" t="s">
        <v>210</v>
      </c>
      <c r="B206" s="11">
        <v>49.8</v>
      </c>
      <c r="C206" s="11">
        <f t="shared" si="7"/>
        <v>71.325000000000003</v>
      </c>
      <c r="D206" s="11">
        <v>26.8</v>
      </c>
      <c r="E206" s="11">
        <f t="shared" si="8"/>
        <v>38.1875</v>
      </c>
      <c r="F206" s="7">
        <f t="shared" si="9"/>
        <v>22.999999999999996</v>
      </c>
      <c r="G206" s="11">
        <f t="shared" si="10"/>
        <v>33.137500000000003</v>
      </c>
    </row>
    <row r="207" spans="1:13" x14ac:dyDescent="0.25">
      <c r="A207" s="22" t="s">
        <v>211</v>
      </c>
      <c r="B207" s="11">
        <v>47.5</v>
      </c>
      <c r="C207" s="11">
        <f t="shared" si="7"/>
        <v>65.887500000000003</v>
      </c>
      <c r="D207" s="11">
        <v>24</v>
      </c>
      <c r="E207" s="11">
        <f t="shared" si="8"/>
        <v>36.982500000000002</v>
      </c>
      <c r="F207" s="7">
        <f t="shared" si="9"/>
        <v>23.5</v>
      </c>
      <c r="G207" s="11">
        <f t="shared" si="10"/>
        <v>28.905000000000001</v>
      </c>
    </row>
    <row r="208" spans="1:13" x14ac:dyDescent="0.25">
      <c r="A208" s="22" t="s">
        <v>212</v>
      </c>
      <c r="B208" s="11">
        <v>48.63</v>
      </c>
      <c r="C208" s="11">
        <f t="shared" si="7"/>
        <v>54.8125</v>
      </c>
      <c r="D208" s="11">
        <v>27.25</v>
      </c>
      <c r="E208" s="11">
        <f t="shared" si="8"/>
        <v>31.262500000000003</v>
      </c>
      <c r="F208" s="7">
        <f t="shared" si="9"/>
        <v>21.380000000000003</v>
      </c>
      <c r="G208" s="11">
        <f t="shared" si="10"/>
        <v>23.55</v>
      </c>
    </row>
    <row r="209" spans="1:7" x14ac:dyDescent="0.25">
      <c r="A209" s="22" t="s">
        <v>213</v>
      </c>
      <c r="B209" s="11">
        <v>46.5</v>
      </c>
      <c r="C209" s="11">
        <f t="shared" si="7"/>
        <v>52.972499999999997</v>
      </c>
      <c r="D209" s="11">
        <v>26.2</v>
      </c>
      <c r="E209" s="11">
        <f t="shared" si="8"/>
        <v>31.035</v>
      </c>
      <c r="F209" s="7">
        <f t="shared" si="9"/>
        <v>20.3</v>
      </c>
      <c r="G209" s="11">
        <f t="shared" si="10"/>
        <v>21.9375</v>
      </c>
    </row>
    <row r="210" spans="1:7" x14ac:dyDescent="0.25">
      <c r="A210" s="22" t="s">
        <v>214</v>
      </c>
      <c r="B210" s="11">
        <v>45.38</v>
      </c>
      <c r="C210" s="11">
        <f t="shared" si="7"/>
        <v>50.304999999999993</v>
      </c>
      <c r="D210" s="11">
        <v>24.25</v>
      </c>
      <c r="E210" s="11">
        <f t="shared" si="8"/>
        <v>27.709999999999997</v>
      </c>
      <c r="F210" s="7">
        <f t="shared" si="9"/>
        <v>21.130000000000003</v>
      </c>
      <c r="G210" s="11">
        <f t="shared" si="10"/>
        <v>22.594999999999999</v>
      </c>
    </row>
    <row r="211" spans="1:7" x14ac:dyDescent="0.25">
      <c r="A211" s="22" t="s">
        <v>215</v>
      </c>
      <c r="B211" s="11">
        <v>45.75</v>
      </c>
      <c r="C211" s="11">
        <f t="shared" si="7"/>
        <v>49.732500000000002</v>
      </c>
      <c r="D211" s="11">
        <v>24.75</v>
      </c>
      <c r="E211" s="11">
        <f t="shared" si="8"/>
        <v>27.65</v>
      </c>
      <c r="F211" s="7">
        <f t="shared" si="9"/>
        <v>21</v>
      </c>
      <c r="G211" s="11">
        <f t="shared" si="10"/>
        <v>22.0825</v>
      </c>
    </row>
    <row r="212" spans="1:7" x14ac:dyDescent="0.25">
      <c r="A212" s="22" t="s">
        <v>216</v>
      </c>
      <c r="B212" s="11">
        <v>46.25</v>
      </c>
      <c r="C212" s="11">
        <f t="shared" si="7"/>
        <v>51.22</v>
      </c>
      <c r="D212" s="11">
        <v>24.38</v>
      </c>
      <c r="E212" s="11">
        <f t="shared" si="8"/>
        <v>29.0625</v>
      </c>
      <c r="F212" s="7">
        <f t="shared" si="9"/>
        <v>21.87</v>
      </c>
      <c r="G212" s="11">
        <f t="shared" si="10"/>
        <v>22.157499999999999</v>
      </c>
    </row>
    <row r="213" spans="1:7" x14ac:dyDescent="0.25">
      <c r="A213" s="22" t="s">
        <v>217</v>
      </c>
      <c r="B213" s="11">
        <v>48.2</v>
      </c>
      <c r="C213" s="11">
        <f>AVERAGE(C201,C189,C177,C165)</f>
        <v>67.22999999999999</v>
      </c>
      <c r="D213" s="11">
        <v>25.4</v>
      </c>
      <c r="E213" s="11">
        <f>AVERAGE(E201,E189,E177,E165)</f>
        <v>41.690624999999997</v>
      </c>
      <c r="F213" s="7">
        <f t="shared" ref="F213:F230" si="11">B213-D213</f>
        <v>22.800000000000004</v>
      </c>
      <c r="G213" s="11">
        <f>AVERAGE(G201,G189,G177,G165)</f>
        <v>25.539375</v>
      </c>
    </row>
    <row r="214" spans="1:7" x14ac:dyDescent="0.25">
      <c r="A214" s="22" t="s">
        <v>218</v>
      </c>
      <c r="B214" s="11">
        <v>47.25</v>
      </c>
      <c r="C214" s="11">
        <f t="shared" ref="C214:C230" si="12">AVERAGE(B202,B190,B178,B166)</f>
        <v>53.807500000000005</v>
      </c>
      <c r="D214" s="11">
        <v>24.88</v>
      </c>
      <c r="E214" s="11">
        <f t="shared" ref="E214:E230" si="13">AVERAGE(D202,D190,D178,D166)</f>
        <v>28.269999999999996</v>
      </c>
      <c r="F214" s="7">
        <f t="shared" si="11"/>
        <v>22.37</v>
      </c>
      <c r="G214" s="11">
        <f t="shared" ref="G214:G230" si="14">AVERAGE(F202,F190,F178,F166)</f>
        <v>25.537500000000001</v>
      </c>
    </row>
    <row r="215" spans="1:7" x14ac:dyDescent="0.25">
      <c r="A215" s="23" t="s">
        <v>219</v>
      </c>
      <c r="B215" s="11">
        <v>44.7</v>
      </c>
      <c r="C215" s="11">
        <f t="shared" si="12"/>
        <v>55.657499999999999</v>
      </c>
      <c r="D215" s="11">
        <v>23.5</v>
      </c>
      <c r="E215" s="11">
        <f t="shared" si="13"/>
        <v>31.2075</v>
      </c>
      <c r="F215" s="7">
        <f t="shared" si="11"/>
        <v>21.200000000000003</v>
      </c>
      <c r="G215" s="11">
        <f t="shared" si="14"/>
        <v>24.45</v>
      </c>
    </row>
    <row r="216" spans="1:7" x14ac:dyDescent="0.25">
      <c r="A216" s="23" t="s">
        <v>220</v>
      </c>
      <c r="B216" s="11">
        <v>45.38</v>
      </c>
      <c r="C216" s="11">
        <f t="shared" si="12"/>
        <v>55.237499999999997</v>
      </c>
      <c r="D216" s="11">
        <v>23.63</v>
      </c>
      <c r="E216" s="11">
        <f t="shared" si="13"/>
        <v>30.012499999999999</v>
      </c>
      <c r="F216" s="7">
        <f t="shared" si="11"/>
        <v>21.750000000000004</v>
      </c>
      <c r="G216" s="11">
        <f t="shared" si="14"/>
        <v>25.225000000000001</v>
      </c>
    </row>
    <row r="217" spans="1:7" s="22" customFormat="1" x14ac:dyDescent="0.25">
      <c r="A217" s="23" t="s">
        <v>221</v>
      </c>
      <c r="B217" s="11">
        <v>45.88</v>
      </c>
      <c r="C217" s="11">
        <f t="shared" si="12"/>
        <v>54.612499999999997</v>
      </c>
      <c r="D217" s="11">
        <v>24.19</v>
      </c>
      <c r="E217" s="11">
        <f t="shared" si="13"/>
        <v>29.732500000000002</v>
      </c>
      <c r="F217" s="7">
        <f t="shared" si="11"/>
        <v>21.69</v>
      </c>
      <c r="G217" s="11">
        <f t="shared" si="14"/>
        <v>24.88</v>
      </c>
    </row>
    <row r="218" spans="1:7" x14ac:dyDescent="0.25">
      <c r="A218" s="22" t="s">
        <v>222</v>
      </c>
      <c r="B218" s="11">
        <v>45.5</v>
      </c>
      <c r="C218" s="11">
        <f t="shared" si="12"/>
        <v>54.825000000000003</v>
      </c>
      <c r="D218" s="11">
        <v>24.45</v>
      </c>
      <c r="E218" s="11">
        <f t="shared" si="13"/>
        <v>29.887499999999999</v>
      </c>
      <c r="F218" s="7">
        <f t="shared" si="11"/>
        <v>21.05</v>
      </c>
      <c r="G218" s="11">
        <f t="shared" si="14"/>
        <v>24.9375</v>
      </c>
    </row>
    <row r="219" spans="1:7" x14ac:dyDescent="0.25">
      <c r="A219" s="22" t="s">
        <v>223</v>
      </c>
      <c r="B219" s="11">
        <v>52</v>
      </c>
      <c r="C219" s="11">
        <f t="shared" si="12"/>
        <v>55.762500000000003</v>
      </c>
      <c r="D219" s="11">
        <v>31.25</v>
      </c>
      <c r="E219" s="11">
        <f t="shared" si="13"/>
        <v>30.107499999999998</v>
      </c>
      <c r="F219" s="7">
        <f t="shared" si="11"/>
        <v>20.75</v>
      </c>
      <c r="G219" s="11">
        <f t="shared" si="14"/>
        <v>25.655000000000001</v>
      </c>
    </row>
    <row r="220" spans="1:7" x14ac:dyDescent="0.25">
      <c r="A220" s="22" t="s">
        <v>224</v>
      </c>
      <c r="B220" s="11">
        <v>56.13</v>
      </c>
      <c r="C220" s="11">
        <f t="shared" si="12"/>
        <v>56.87</v>
      </c>
      <c r="D220" s="11">
        <v>32.5</v>
      </c>
      <c r="E220" s="11">
        <f t="shared" si="13"/>
        <v>32.174999999999997</v>
      </c>
      <c r="F220" s="7">
        <f t="shared" si="11"/>
        <v>23.630000000000003</v>
      </c>
      <c r="G220" s="11">
        <f t="shared" si="14"/>
        <v>24.695</v>
      </c>
    </row>
    <row r="221" spans="1:7" x14ac:dyDescent="0.25">
      <c r="A221" s="22" t="s">
        <v>225</v>
      </c>
      <c r="B221" s="11">
        <v>53.9</v>
      </c>
      <c r="C221" s="11">
        <f t="shared" si="12"/>
        <v>57.69</v>
      </c>
      <c r="D221" s="11">
        <v>29.1</v>
      </c>
      <c r="E221" s="11">
        <f t="shared" si="13"/>
        <v>33.24</v>
      </c>
      <c r="F221" s="7">
        <f t="shared" si="11"/>
        <v>24.799999999999997</v>
      </c>
      <c r="G221" s="11">
        <f t="shared" si="14"/>
        <v>24.449999999999996</v>
      </c>
    </row>
    <row r="222" spans="1:7" x14ac:dyDescent="0.25">
      <c r="A222" s="22" t="s">
        <v>226</v>
      </c>
      <c r="B222" s="11">
        <v>57.25</v>
      </c>
      <c r="C222" s="11">
        <f t="shared" si="12"/>
        <v>55.817500000000003</v>
      </c>
      <c r="D222" s="11">
        <v>30.13</v>
      </c>
      <c r="E222" s="11">
        <f t="shared" si="13"/>
        <v>30.439999999999998</v>
      </c>
      <c r="F222" s="7">
        <f t="shared" si="11"/>
        <v>27.12</v>
      </c>
      <c r="G222" s="11">
        <f t="shared" si="14"/>
        <v>25.377500000000005</v>
      </c>
    </row>
    <row r="223" spans="1:7" x14ac:dyDescent="0.25">
      <c r="A223" s="22" t="s">
        <v>227</v>
      </c>
      <c r="B223" s="11">
        <v>56.9</v>
      </c>
      <c r="C223" s="11">
        <f t="shared" si="12"/>
        <v>54.594999999999999</v>
      </c>
      <c r="D223" s="11">
        <v>28.4</v>
      </c>
      <c r="E223" s="11">
        <f t="shared" si="13"/>
        <v>30.1875</v>
      </c>
      <c r="F223" s="7">
        <f t="shared" si="11"/>
        <v>28.5</v>
      </c>
      <c r="G223" s="11">
        <f t="shared" si="14"/>
        <v>24.407499999999999</v>
      </c>
    </row>
    <row r="224" spans="1:7" x14ac:dyDescent="0.25">
      <c r="A224" s="22" t="s">
        <v>228</v>
      </c>
      <c r="B224" s="11">
        <v>53.38</v>
      </c>
      <c r="C224" s="11">
        <f t="shared" si="12"/>
        <v>52.97</v>
      </c>
      <c r="D224" s="11">
        <v>27.75</v>
      </c>
      <c r="E224" s="11">
        <f t="shared" si="13"/>
        <v>30.22</v>
      </c>
      <c r="F224" s="7">
        <f t="shared" si="11"/>
        <v>25.630000000000003</v>
      </c>
      <c r="G224" s="11">
        <f t="shared" si="14"/>
        <v>22.75</v>
      </c>
    </row>
    <row r="225" spans="1:7" x14ac:dyDescent="0.25">
      <c r="A225" s="22" t="s">
        <v>229</v>
      </c>
      <c r="B225" s="11">
        <v>52.38</v>
      </c>
      <c r="C225" s="11">
        <f t="shared" si="12"/>
        <v>56.6875</v>
      </c>
      <c r="D225" s="11">
        <v>28.75</v>
      </c>
      <c r="E225" s="11">
        <f t="shared" si="13"/>
        <v>33.125</v>
      </c>
      <c r="F225" s="7">
        <f t="shared" si="11"/>
        <v>23.630000000000003</v>
      </c>
      <c r="G225" s="11">
        <f t="shared" si="14"/>
        <v>23.5625</v>
      </c>
    </row>
    <row r="226" spans="1:7" x14ac:dyDescent="0.25">
      <c r="A226" s="22" t="s">
        <v>230</v>
      </c>
      <c r="B226" s="11">
        <v>48.75</v>
      </c>
      <c r="C226" s="11">
        <f t="shared" si="12"/>
        <v>55.525000000000006</v>
      </c>
      <c r="D226" s="11">
        <v>26.75</v>
      </c>
      <c r="E226" s="11">
        <f t="shared" si="13"/>
        <v>29.332499999999996</v>
      </c>
      <c r="F226" s="7">
        <f t="shared" si="11"/>
        <v>22</v>
      </c>
      <c r="G226" s="11">
        <f t="shared" si="14"/>
        <v>26.192500000000003</v>
      </c>
    </row>
    <row r="227" spans="1:7" x14ac:dyDescent="0.25">
      <c r="A227" s="23" t="s">
        <v>231</v>
      </c>
      <c r="B227" s="11">
        <v>46.8</v>
      </c>
      <c r="C227" s="11">
        <f t="shared" si="12"/>
        <v>55.082499999999996</v>
      </c>
      <c r="D227" s="11">
        <v>26</v>
      </c>
      <c r="E227" s="11">
        <f t="shared" si="13"/>
        <v>30.657499999999999</v>
      </c>
      <c r="F227" s="7">
        <f t="shared" si="11"/>
        <v>20.799999999999997</v>
      </c>
      <c r="G227" s="11">
        <f t="shared" si="14"/>
        <v>24.425000000000001</v>
      </c>
    </row>
    <row r="228" spans="1:7" x14ac:dyDescent="0.25">
      <c r="A228" s="23" t="s">
        <v>233</v>
      </c>
      <c r="B228" s="11">
        <v>43.63</v>
      </c>
      <c r="C228" s="11">
        <f t="shared" si="12"/>
        <v>54.424999999999997</v>
      </c>
      <c r="D228" s="11">
        <v>23</v>
      </c>
      <c r="E228" s="11">
        <f t="shared" si="13"/>
        <v>29.247499999999999</v>
      </c>
      <c r="F228" s="7">
        <f t="shared" si="11"/>
        <v>20.630000000000003</v>
      </c>
      <c r="G228" s="11">
        <f t="shared" si="14"/>
        <v>25.177500000000002</v>
      </c>
    </row>
    <row r="229" spans="1:7" x14ac:dyDescent="0.25">
      <c r="A229" s="23" t="s">
        <v>234</v>
      </c>
      <c r="B229" s="11">
        <v>42.63</v>
      </c>
      <c r="C229" s="11">
        <f t="shared" si="12"/>
        <v>51.032499999999999</v>
      </c>
      <c r="D229" s="11">
        <v>23.56</v>
      </c>
      <c r="E229" s="11">
        <f t="shared" si="13"/>
        <v>27.73</v>
      </c>
      <c r="F229" s="7">
        <f t="shared" si="11"/>
        <v>19.070000000000004</v>
      </c>
      <c r="G229" s="11">
        <f t="shared" si="14"/>
        <v>23.302499999999998</v>
      </c>
    </row>
    <row r="230" spans="1:7" x14ac:dyDescent="0.25">
      <c r="A230" s="22" t="s">
        <v>235</v>
      </c>
      <c r="B230" s="11">
        <v>43.2</v>
      </c>
      <c r="C230" s="11">
        <f t="shared" si="12"/>
        <v>52.575000000000003</v>
      </c>
      <c r="D230" s="11">
        <v>24.05</v>
      </c>
      <c r="E230" s="11">
        <f t="shared" si="13"/>
        <v>29</v>
      </c>
      <c r="F230" s="7">
        <f t="shared" si="11"/>
        <v>19.150000000000002</v>
      </c>
      <c r="G230" s="11">
        <f t="shared" si="14"/>
        <v>23.574999999999999</v>
      </c>
    </row>
    <row r="233" spans="1:7" x14ac:dyDescent="0.25">
      <c r="A233" s="22"/>
    </row>
    <row r="234" spans="1:7" x14ac:dyDescent="0.25">
      <c r="A234" s="22"/>
    </row>
    <row r="235" spans="1:7" x14ac:dyDescent="0.25">
      <c r="A235" s="22"/>
      <c r="B235" s="13"/>
      <c r="D235" s="13"/>
    </row>
  </sheetData>
  <phoneticPr fontId="9" type="noConversion"/>
  <pageMargins left="0.5" right="0.5" top="0.5" bottom="0.5" header="0.5" footer="0.5"/>
  <pageSetup orientation="portrait" r:id="rId1"/>
  <headerFooter alignWithMargins="0">
    <oddFooter>&amp;C ^, &amp;D&amp;R</oddFooter>
  </headerFooter>
  <ignoredErrors>
    <ignoredError sqref="F103:F213 C213 E213 F214:F227 G213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tabSelected="1" zoomScale="90" zoomScaleNormal="90" workbookViewId="0">
      <selection sqref="A1:I20"/>
    </sheetView>
  </sheetViews>
  <sheetFormatPr defaultRowHeight="15" x14ac:dyDescent="0.25"/>
  <cols>
    <col min="9" max="9" width="3.7265625" customWidth="1"/>
  </cols>
  <sheetData>
    <row r="1" spans="1:10" ht="15.6" x14ac:dyDescent="0.3">
      <c r="A1" s="14" t="s">
        <v>141</v>
      </c>
      <c r="B1" s="15"/>
      <c r="C1" s="15"/>
      <c r="D1" s="15"/>
      <c r="E1" s="15"/>
      <c r="F1" s="15"/>
      <c r="G1" s="15"/>
      <c r="H1" s="15"/>
      <c r="I1" s="16"/>
      <c r="J1" s="17"/>
    </row>
    <row r="2" spans="1:10" ht="17.25" customHeight="1" x14ac:dyDescent="0.3">
      <c r="A2" s="18" t="s">
        <v>142</v>
      </c>
      <c r="B2" s="19"/>
      <c r="C2" s="19"/>
      <c r="D2" s="15"/>
      <c r="E2" s="15"/>
      <c r="F2" s="15"/>
      <c r="G2" s="15"/>
      <c r="H2" s="15"/>
      <c r="I2" s="16"/>
      <c r="J2" s="17"/>
    </row>
    <row r="3" spans="1:10" ht="15.6" x14ac:dyDescent="0.3">
      <c r="A3" s="20"/>
      <c r="B3" s="20"/>
      <c r="C3" s="20"/>
      <c r="D3" s="20"/>
      <c r="E3" s="20"/>
      <c r="F3" s="20"/>
      <c r="G3" s="20"/>
      <c r="H3" s="20"/>
      <c r="I3" s="16"/>
      <c r="J3" s="17"/>
    </row>
    <row r="4" spans="1:10" ht="15.6" x14ac:dyDescent="0.3">
      <c r="A4" s="20"/>
      <c r="B4" s="20"/>
      <c r="C4" s="20"/>
      <c r="D4" s="20"/>
      <c r="E4" s="20"/>
      <c r="F4" s="20"/>
      <c r="G4" s="20"/>
      <c r="H4" s="20"/>
      <c r="I4" s="16"/>
      <c r="J4" s="17"/>
    </row>
    <row r="5" spans="1:10" ht="15.6" x14ac:dyDescent="0.3">
      <c r="A5" s="20"/>
      <c r="B5" s="20"/>
      <c r="C5" s="20"/>
      <c r="D5" s="20"/>
      <c r="E5" s="20"/>
      <c r="F5" s="20"/>
      <c r="G5" s="20"/>
      <c r="H5" s="20"/>
      <c r="I5" s="16"/>
      <c r="J5" s="17"/>
    </row>
    <row r="6" spans="1:10" ht="15.6" x14ac:dyDescent="0.3">
      <c r="A6" s="20"/>
      <c r="B6" s="20"/>
      <c r="C6" s="20"/>
      <c r="D6" s="20"/>
      <c r="E6" s="20"/>
      <c r="F6" s="20"/>
      <c r="G6" s="20"/>
      <c r="H6" s="20"/>
      <c r="I6" s="16"/>
      <c r="J6" s="17"/>
    </row>
    <row r="7" spans="1:10" ht="15.6" x14ac:dyDescent="0.3">
      <c r="A7" s="20"/>
      <c r="B7" s="20"/>
      <c r="C7" s="20"/>
      <c r="D7" s="20"/>
      <c r="E7" s="20"/>
      <c r="F7" s="20"/>
      <c r="G7" s="20"/>
      <c r="H7" s="20"/>
      <c r="I7" s="16"/>
      <c r="J7" s="17"/>
    </row>
    <row r="8" spans="1:10" ht="15.6" x14ac:dyDescent="0.3">
      <c r="A8" s="20"/>
      <c r="B8" s="20"/>
      <c r="C8" s="20"/>
      <c r="D8" s="20"/>
      <c r="E8" s="20"/>
      <c r="F8" s="20"/>
      <c r="G8" s="20"/>
      <c r="H8" s="20"/>
      <c r="I8" s="16"/>
      <c r="J8" s="17"/>
    </row>
    <row r="9" spans="1:10" ht="15.6" x14ac:dyDescent="0.3">
      <c r="A9" s="20"/>
      <c r="B9" s="20"/>
      <c r="C9" s="20"/>
      <c r="D9" s="20"/>
      <c r="E9" s="20"/>
      <c r="F9" s="20"/>
      <c r="G9" s="20"/>
      <c r="H9" s="20"/>
      <c r="I9" s="16"/>
      <c r="J9" s="17"/>
    </row>
    <row r="10" spans="1:10" ht="15.6" x14ac:dyDescent="0.3">
      <c r="A10" s="20"/>
      <c r="B10" s="20"/>
      <c r="C10" s="20"/>
      <c r="D10" s="20"/>
      <c r="E10" s="20"/>
      <c r="F10" s="20"/>
      <c r="G10" s="20"/>
      <c r="H10" s="20"/>
      <c r="I10" s="16"/>
      <c r="J10" s="17"/>
    </row>
    <row r="11" spans="1:10" ht="15.6" x14ac:dyDescent="0.3">
      <c r="A11" s="20"/>
      <c r="B11" s="20"/>
      <c r="C11" s="20"/>
      <c r="D11" s="20"/>
      <c r="E11" s="20"/>
      <c r="F11" s="20"/>
      <c r="G11" s="20"/>
      <c r="H11" s="20"/>
      <c r="I11" s="16"/>
      <c r="J11" s="17"/>
    </row>
    <row r="12" spans="1:10" ht="15.6" x14ac:dyDescent="0.3">
      <c r="A12" s="20"/>
      <c r="B12" s="20"/>
      <c r="C12" s="20"/>
      <c r="D12" s="20"/>
      <c r="E12" s="20"/>
      <c r="F12" s="20"/>
      <c r="G12" s="20"/>
      <c r="H12" s="20"/>
      <c r="I12" s="16"/>
      <c r="J12" s="17"/>
    </row>
    <row r="13" spans="1:10" ht="15.6" x14ac:dyDescent="0.3">
      <c r="A13" s="20"/>
      <c r="B13" s="20"/>
      <c r="C13" s="20"/>
      <c r="D13" s="20"/>
      <c r="E13" s="20"/>
      <c r="F13" s="20"/>
      <c r="G13" s="20"/>
      <c r="H13" s="20"/>
      <c r="I13" s="16"/>
      <c r="J13" s="17"/>
    </row>
    <row r="14" spans="1:10" ht="15.6" x14ac:dyDescent="0.3">
      <c r="A14" s="20"/>
      <c r="B14" s="20"/>
      <c r="C14" s="20"/>
      <c r="D14" s="20"/>
      <c r="E14" s="20"/>
      <c r="F14" s="20"/>
      <c r="G14" s="20"/>
      <c r="H14" s="20"/>
      <c r="I14" s="16"/>
      <c r="J14" s="17"/>
    </row>
    <row r="15" spans="1:10" ht="15.6" x14ac:dyDescent="0.3">
      <c r="A15" s="20"/>
      <c r="B15" s="20"/>
      <c r="C15" s="20"/>
      <c r="D15" s="20"/>
      <c r="E15" s="20"/>
      <c r="F15" s="20"/>
      <c r="G15" s="20"/>
      <c r="H15" s="20"/>
      <c r="I15" s="16"/>
      <c r="J15" s="17"/>
    </row>
    <row r="16" spans="1:10" ht="15.6" x14ac:dyDescent="0.3">
      <c r="A16" s="21"/>
      <c r="B16" s="20"/>
      <c r="C16" s="20"/>
      <c r="D16" s="20"/>
      <c r="E16" s="20"/>
      <c r="F16" s="20"/>
      <c r="G16" s="20"/>
      <c r="H16" s="20"/>
      <c r="I16" s="16"/>
      <c r="J16" s="17"/>
    </row>
    <row r="17" spans="1:10" ht="15.6" x14ac:dyDescent="0.3">
      <c r="A17" s="17"/>
      <c r="B17" s="20"/>
      <c r="C17" s="20"/>
      <c r="D17" s="20"/>
      <c r="E17" s="20"/>
      <c r="F17" s="20"/>
      <c r="G17" s="20"/>
      <c r="H17" s="20"/>
      <c r="I17" s="16"/>
      <c r="J17" s="17"/>
    </row>
    <row r="18" spans="1:10" x14ac:dyDescent="0.25">
      <c r="A18" s="16"/>
      <c r="B18" s="16"/>
      <c r="C18" s="16"/>
      <c r="D18" s="16"/>
      <c r="E18" s="16"/>
      <c r="F18" s="16"/>
      <c r="G18" s="16"/>
      <c r="H18" s="16"/>
      <c r="I18" s="16"/>
      <c r="J18" s="17"/>
    </row>
    <row r="19" spans="1:10" x14ac:dyDescent="0.25">
      <c r="A19" s="17"/>
      <c r="B19" s="17"/>
      <c r="C19" s="17"/>
      <c r="D19" s="17"/>
      <c r="E19" s="17"/>
      <c r="F19" s="17"/>
      <c r="G19" s="17"/>
      <c r="H19" s="17"/>
      <c r="I19" s="17"/>
      <c r="J19" s="17"/>
    </row>
    <row r="20" spans="1:10" x14ac:dyDescent="0.25">
      <c r="A20" s="21" t="s">
        <v>232</v>
      </c>
      <c r="B20" s="16"/>
      <c r="C20" s="16"/>
      <c r="D20" s="16"/>
      <c r="E20" s="16"/>
      <c r="F20" s="16"/>
      <c r="G20" s="16"/>
      <c r="H20" s="16"/>
      <c r="I20" s="16"/>
      <c r="J20" s="17"/>
    </row>
    <row r="21" spans="1:10" x14ac:dyDescent="0.25">
      <c r="A21" s="17"/>
      <c r="B21" s="17"/>
      <c r="C21" s="17"/>
      <c r="D21" s="17"/>
      <c r="E21" s="17"/>
      <c r="F21" s="17"/>
      <c r="G21" s="17"/>
      <c r="H21" s="17"/>
      <c r="I21" s="17"/>
      <c r="J21" s="17"/>
    </row>
    <row r="22" spans="1:10" x14ac:dyDescent="0.25">
      <c r="A22" s="17"/>
      <c r="B22" s="17"/>
      <c r="C22" s="17"/>
      <c r="D22" s="17"/>
      <c r="E22" s="17"/>
      <c r="F22" s="17"/>
      <c r="G22" s="17"/>
      <c r="H22" s="17"/>
      <c r="I22" s="17"/>
      <c r="J22" s="17"/>
    </row>
    <row r="23" spans="1:10" x14ac:dyDescent="0.25">
      <c r="A23" s="17"/>
      <c r="B23" s="17"/>
      <c r="C23" s="17"/>
      <c r="D23" s="17"/>
      <c r="E23" s="17"/>
      <c r="F23" s="17"/>
      <c r="G23" s="17"/>
      <c r="H23" s="17"/>
      <c r="I23" s="17"/>
      <c r="J23" s="17"/>
    </row>
  </sheetData>
  <phoneticPr fontId="9" type="noConversion"/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</vt:lpstr>
      <vt:lpstr>New Figure 17</vt:lpstr>
      <vt:lpstr>Data!Print_Area</vt:lpstr>
    </vt:vector>
  </TitlesOfParts>
  <Company>USDA - AMS TMD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Authorized User</dc:creator>
  <cp:lastModifiedBy>Surajudeen  Olowolayemo</cp:lastModifiedBy>
  <cp:lastPrinted>2012-02-27T14:11:52Z</cp:lastPrinted>
  <dcterms:created xsi:type="dcterms:W3CDTF">2003-12-08T23:11:41Z</dcterms:created>
  <dcterms:modified xsi:type="dcterms:W3CDTF">2014-09-02T13:29:52Z</dcterms:modified>
</cp:coreProperties>
</file>