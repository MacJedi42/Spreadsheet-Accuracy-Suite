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0" yWindow="135" windowWidth="23955" windowHeight="9780"/>
  </bookViews>
  <sheets>
    <sheet name="Total Request" sheetId="1" r:id="rId1"/>
    <sheet name="Schwans" sheetId="16" r:id="rId2"/>
    <sheet name="RedGold" sheetId="17" r:id="rId3"/>
  </sheets>
  <externalReferences>
    <externalReference r:id="rId4"/>
  </externalReferences>
  <definedNames>
    <definedName name="floursepds">[1]Sheet8!$309:$600</definedName>
    <definedName name="name">[1]Sheet3!$A:$B</definedName>
    <definedName name="nutinfo" localSheetId="1">#REF!</definedName>
    <definedName name="nutinfo">#REF!</definedName>
    <definedName name="nutrits">[1]Sheet2!$A:$J</definedName>
    <definedName name="_xlnm.Print_Area" localSheetId="2">RedGold!$A$1:$R$51</definedName>
    <definedName name="_xlnm.Print_Area" localSheetId="1">Schwans!$A$1:$Q$183</definedName>
    <definedName name="_xlnm.Print_Titles" localSheetId="2">RedGold!$1:$8</definedName>
    <definedName name="_xlnm.Print_Titles" localSheetId="1">Schwans!$5:$6</definedName>
    <definedName name="sepdscheese">[1]Sheet8!$A$1:$J$301</definedName>
    <definedName name="sepdschic">[1]Sheet8!$A$302:$J$306</definedName>
    <definedName name="sepdsflour">[1]Sheet8!$A$310:$J$600,[1]Sheet8!$A$309:$J$310</definedName>
    <definedName name="sepdspaste">[1]Sheet8!$A$603:$J$882</definedName>
  </definedNames>
  <calcPr calcId="125725"/>
</workbook>
</file>

<file path=xl/calcChain.xml><?xml version="1.0" encoding="utf-8"?>
<calcChain xmlns="http://schemas.openxmlformats.org/spreadsheetml/2006/main">
  <c r="L9" i="17"/>
  <c r="M9"/>
  <c r="O9"/>
  <c r="Q9"/>
  <c r="S9"/>
  <c r="T9"/>
  <c r="L10"/>
  <c r="M10"/>
  <c r="O10"/>
  <c r="Q10"/>
  <c r="S10"/>
  <c r="T10"/>
  <c r="L11"/>
  <c r="M11"/>
  <c r="O11"/>
  <c r="Q11"/>
  <c r="S11"/>
  <c r="T11"/>
  <c r="L12"/>
  <c r="M12"/>
  <c r="O12"/>
  <c r="Q12"/>
  <c r="S12"/>
  <c r="T12"/>
  <c r="L13"/>
  <c r="M13"/>
  <c r="O13"/>
  <c r="Q13"/>
  <c r="S13"/>
  <c r="T13"/>
  <c r="L14"/>
  <c r="M14"/>
  <c r="O14"/>
  <c r="Q14"/>
  <c r="S14"/>
  <c r="T14"/>
  <c r="L15"/>
  <c r="M15"/>
  <c r="O15"/>
  <c r="Q15"/>
  <c r="S15"/>
  <c r="T15"/>
  <c r="L16"/>
  <c r="M16"/>
  <c r="O16"/>
  <c r="Q16"/>
  <c r="S16"/>
  <c r="T16"/>
  <c r="L17"/>
  <c r="M17"/>
  <c r="O17"/>
  <c r="Q17"/>
  <c r="S17"/>
  <c r="T17"/>
  <c r="L18"/>
  <c r="M18"/>
  <c r="O18"/>
  <c r="Q18"/>
  <c r="S18"/>
  <c r="T18"/>
  <c r="L20"/>
  <c r="M20"/>
  <c r="O20"/>
  <c r="Q20"/>
  <c r="S20"/>
  <c r="T20"/>
  <c r="L21"/>
  <c r="M21"/>
  <c r="O21"/>
  <c r="Q21"/>
  <c r="S21"/>
  <c r="T21"/>
  <c r="L22"/>
  <c r="M22"/>
  <c r="O22"/>
  <c r="Q22"/>
  <c r="S22"/>
  <c r="T22"/>
  <c r="L23"/>
  <c r="M23"/>
  <c r="O23"/>
  <c r="Q23"/>
  <c r="S23"/>
  <c r="T23"/>
  <c r="L24"/>
  <c r="M24"/>
  <c r="O24"/>
  <c r="Q24"/>
  <c r="S24"/>
  <c r="T24"/>
  <c r="T46" s="1"/>
  <c r="P47" s="1"/>
  <c r="L25"/>
  <c r="M25"/>
  <c r="O25"/>
  <c r="Q25"/>
  <c r="S25"/>
  <c r="T25"/>
  <c r="L26"/>
  <c r="M26"/>
  <c r="O26"/>
  <c r="Q26"/>
  <c r="S26"/>
  <c r="T26"/>
  <c r="L27"/>
  <c r="M27"/>
  <c r="O27"/>
  <c r="Q27"/>
  <c r="S27"/>
  <c r="T27"/>
  <c r="L29"/>
  <c r="M29"/>
  <c r="O29"/>
  <c r="Q29"/>
  <c r="S29"/>
  <c r="T29"/>
  <c r="L31"/>
  <c r="M31"/>
  <c r="O31"/>
  <c r="Q31"/>
  <c r="S31"/>
  <c r="T31"/>
  <c r="L32"/>
  <c r="M32"/>
  <c r="O32"/>
  <c r="Q32"/>
  <c r="S32"/>
  <c r="T32"/>
  <c r="L33"/>
  <c r="M33"/>
  <c r="O33"/>
  <c r="Q33"/>
  <c r="S33"/>
  <c r="T33"/>
  <c r="L34"/>
  <c r="M34"/>
  <c r="O34"/>
  <c r="Q34"/>
  <c r="S34"/>
  <c r="T34"/>
  <c r="L35"/>
  <c r="M35"/>
  <c r="O35"/>
  <c r="Q35"/>
  <c r="S35"/>
  <c r="T35"/>
  <c r="L36"/>
  <c r="M36"/>
  <c r="O36"/>
  <c r="Q36"/>
  <c r="S36"/>
  <c r="T36"/>
  <c r="L37"/>
  <c r="M37"/>
  <c r="O37"/>
  <c r="Q37"/>
  <c r="S37"/>
  <c r="T37"/>
  <c r="L38"/>
  <c r="M38"/>
  <c r="O38"/>
  <c r="Q38"/>
  <c r="S38"/>
  <c r="T38"/>
  <c r="L39"/>
  <c r="M39"/>
  <c r="O39"/>
  <c r="Q39"/>
  <c r="S39"/>
  <c r="T39"/>
  <c r="L40"/>
  <c r="M40"/>
  <c r="O40"/>
  <c r="Q40"/>
  <c r="S40"/>
  <c r="T40"/>
  <c r="L41"/>
  <c r="M41"/>
  <c r="O41"/>
  <c r="Q41"/>
  <c r="S41"/>
  <c r="T41"/>
  <c r="L42"/>
  <c r="M42"/>
  <c r="O42"/>
  <c r="Q42"/>
  <c r="S42"/>
  <c r="T42"/>
  <c r="L44"/>
  <c r="M44"/>
  <c r="O44"/>
  <c r="Q44"/>
  <c r="S44"/>
  <c r="T44"/>
  <c r="N46"/>
  <c r="P46"/>
  <c r="S46" l="1"/>
  <c r="N47" s="1"/>
  <c r="Q46"/>
  <c r="O46"/>
  <c r="N174" i="16"/>
  <c r="J174"/>
  <c r="L174" s="1"/>
  <c r="G174"/>
  <c r="F174"/>
  <c r="E174"/>
  <c r="D174"/>
  <c r="C174"/>
  <c r="B174"/>
  <c r="N173"/>
  <c r="J173"/>
  <c r="L173" s="1"/>
  <c r="G173"/>
  <c r="F173"/>
  <c r="E173"/>
  <c r="D173"/>
  <c r="C173"/>
  <c r="B173"/>
  <c r="N172"/>
  <c r="J172"/>
  <c r="L172" s="1"/>
  <c r="G172"/>
  <c r="F172"/>
  <c r="E172"/>
  <c r="D172"/>
  <c r="C172"/>
  <c r="B172"/>
  <c r="N171"/>
  <c r="J171"/>
  <c r="L171" s="1"/>
  <c r="G171"/>
  <c r="F171"/>
  <c r="E171"/>
  <c r="D171"/>
  <c r="C171"/>
  <c r="B171"/>
  <c r="N170"/>
  <c r="J170"/>
  <c r="L170" s="1"/>
  <c r="G170"/>
  <c r="F170"/>
  <c r="E170"/>
  <c r="D170"/>
  <c r="C170"/>
  <c r="B170"/>
  <c r="N169"/>
  <c r="J169"/>
  <c r="L169" s="1"/>
  <c r="G169"/>
  <c r="F169"/>
  <c r="E169"/>
  <c r="D169"/>
  <c r="C169"/>
  <c r="B169"/>
  <c r="N168"/>
  <c r="J168"/>
  <c r="L168" s="1"/>
  <c r="G168"/>
  <c r="F168"/>
  <c r="E168"/>
  <c r="D168"/>
  <c r="C168"/>
  <c r="B168"/>
  <c r="N167"/>
  <c r="J167"/>
  <c r="L167" s="1"/>
  <c r="G167"/>
  <c r="F167"/>
  <c r="E167"/>
  <c r="D167"/>
  <c r="C167"/>
  <c r="B167"/>
  <c r="N166"/>
  <c r="J166"/>
  <c r="L166" s="1"/>
  <c r="G166"/>
  <c r="F166"/>
  <c r="E166"/>
  <c r="D166"/>
  <c r="C166"/>
  <c r="B166"/>
  <c r="N165"/>
  <c r="J165"/>
  <c r="L165" s="1"/>
  <c r="G165"/>
  <c r="F165"/>
  <c r="E165"/>
  <c r="D165"/>
  <c r="C165"/>
  <c r="B165"/>
  <c r="N164"/>
  <c r="J164"/>
  <c r="L164" s="1"/>
  <c r="G164"/>
  <c r="F164"/>
  <c r="E164"/>
  <c r="D164"/>
  <c r="C164"/>
  <c r="B164"/>
  <c r="N163"/>
  <c r="J163"/>
  <c r="L163" s="1"/>
  <c r="G163"/>
  <c r="F163"/>
  <c r="E163"/>
  <c r="D163"/>
  <c r="C163"/>
  <c r="B163"/>
  <c r="N162"/>
  <c r="J162"/>
  <c r="L162" s="1"/>
  <c r="G162"/>
  <c r="F162"/>
  <c r="E162"/>
  <c r="D162"/>
  <c r="C162"/>
  <c r="B162"/>
  <c r="N161"/>
  <c r="J161"/>
  <c r="L161" s="1"/>
  <c r="G161"/>
  <c r="F161"/>
  <c r="E161"/>
  <c r="D161"/>
  <c r="C161"/>
  <c r="B161"/>
  <c r="N160"/>
  <c r="J160"/>
  <c r="L160" s="1"/>
  <c r="G160"/>
  <c r="F160"/>
  <c r="E160"/>
  <c r="D160"/>
  <c r="C160"/>
  <c r="B160"/>
  <c r="N159"/>
  <c r="J159"/>
  <c r="L159" s="1"/>
  <c r="G159"/>
  <c r="F159"/>
  <c r="E159"/>
  <c r="D159"/>
  <c r="C159"/>
  <c r="B159"/>
  <c r="N158"/>
  <c r="J158"/>
  <c r="L158" s="1"/>
  <c r="G158"/>
  <c r="F158"/>
  <c r="E158"/>
  <c r="D158"/>
  <c r="C158"/>
  <c r="B158"/>
  <c r="N157"/>
  <c r="J157"/>
  <c r="L157" s="1"/>
  <c r="G157"/>
  <c r="F157"/>
  <c r="E157"/>
  <c r="D157"/>
  <c r="C157"/>
  <c r="B157"/>
  <c r="N156"/>
  <c r="J156"/>
  <c r="L156" s="1"/>
  <c r="G156"/>
  <c r="F156"/>
  <c r="E156"/>
  <c r="D156"/>
  <c r="C156"/>
  <c r="B156"/>
  <c r="N155"/>
  <c r="J155"/>
  <c r="L155" s="1"/>
  <c r="G155"/>
  <c r="F155"/>
  <c r="E155"/>
  <c r="D155"/>
  <c r="C155"/>
  <c r="B155"/>
  <c r="N154"/>
  <c r="J154"/>
  <c r="L154" s="1"/>
  <c r="G154"/>
  <c r="F154"/>
  <c r="E154"/>
  <c r="D154"/>
  <c r="C154"/>
  <c r="B154"/>
  <c r="N153"/>
  <c r="J153"/>
  <c r="L153" s="1"/>
  <c r="G153"/>
  <c r="F153"/>
  <c r="E153"/>
  <c r="D153"/>
  <c r="C153"/>
  <c r="B153"/>
  <c r="N152"/>
  <c r="J152"/>
  <c r="L152" s="1"/>
  <c r="G152"/>
  <c r="F152"/>
  <c r="E152"/>
  <c r="D152"/>
  <c r="C152"/>
  <c r="B152"/>
  <c r="N151"/>
  <c r="J151"/>
  <c r="L151" s="1"/>
  <c r="G151"/>
  <c r="F151"/>
  <c r="E151"/>
  <c r="D151"/>
  <c r="C151"/>
  <c r="B151"/>
  <c r="N150"/>
  <c r="J150"/>
  <c r="L150" s="1"/>
  <c r="G150"/>
  <c r="F150"/>
  <c r="E150"/>
  <c r="D150"/>
  <c r="C150"/>
  <c r="B150"/>
  <c r="N149"/>
  <c r="J149"/>
  <c r="L149" s="1"/>
  <c r="G149"/>
  <c r="F149"/>
  <c r="E149"/>
  <c r="D149"/>
  <c r="C149"/>
  <c r="B149"/>
  <c r="N148"/>
  <c r="J148"/>
  <c r="L148" s="1"/>
  <c r="G148"/>
  <c r="F148"/>
  <c r="E148"/>
  <c r="D148"/>
  <c r="C148"/>
  <c r="B148"/>
  <c r="N147"/>
  <c r="J147"/>
  <c r="L147" s="1"/>
  <c r="G147"/>
  <c r="F147"/>
  <c r="E147"/>
  <c r="D147"/>
  <c r="C147"/>
  <c r="B147"/>
  <c r="N146"/>
  <c r="J146"/>
  <c r="L146" s="1"/>
  <c r="G146"/>
  <c r="F146"/>
  <c r="E146"/>
  <c r="D146"/>
  <c r="C146"/>
  <c r="B146"/>
  <c r="N145"/>
  <c r="J145"/>
  <c r="L145" s="1"/>
  <c r="G145"/>
  <c r="F145"/>
  <c r="E145"/>
  <c r="D145"/>
  <c r="C145"/>
  <c r="B145"/>
  <c r="N144"/>
  <c r="J144"/>
  <c r="L144" s="1"/>
  <c r="G144"/>
  <c r="F144"/>
  <c r="E144"/>
  <c r="D144"/>
  <c r="C144"/>
  <c r="B144"/>
  <c r="N143"/>
  <c r="J143"/>
  <c r="L143" s="1"/>
  <c r="G143"/>
  <c r="F143"/>
  <c r="E143"/>
  <c r="D143"/>
  <c r="C143"/>
  <c r="B143"/>
  <c r="N142"/>
  <c r="J142"/>
  <c r="L142" s="1"/>
  <c r="G142"/>
  <c r="F142"/>
  <c r="E142"/>
  <c r="D142"/>
  <c r="C142"/>
  <c r="B142"/>
  <c r="N141"/>
  <c r="J141"/>
  <c r="L141" s="1"/>
  <c r="G141"/>
  <c r="F141"/>
  <c r="E141"/>
  <c r="D141"/>
  <c r="C141"/>
  <c r="B141"/>
  <c r="N140"/>
  <c r="J140"/>
  <c r="L140" s="1"/>
  <c r="G140"/>
  <c r="F140"/>
  <c r="E140"/>
  <c r="D140"/>
  <c r="C140"/>
  <c r="B140"/>
  <c r="N139"/>
  <c r="J139"/>
  <c r="L139" s="1"/>
  <c r="G139"/>
  <c r="F139"/>
  <c r="E139"/>
  <c r="D139"/>
  <c r="C139"/>
  <c r="B139"/>
  <c r="N138"/>
  <c r="J138"/>
  <c r="L138" s="1"/>
  <c r="G138"/>
  <c r="F138"/>
  <c r="E138"/>
  <c r="D138"/>
  <c r="C138"/>
  <c r="B138"/>
  <c r="N137"/>
  <c r="J137"/>
  <c r="L137" s="1"/>
  <c r="G137"/>
  <c r="F137"/>
  <c r="E137"/>
  <c r="D137"/>
  <c r="C137"/>
  <c r="B137"/>
  <c r="N136"/>
  <c r="J136"/>
  <c r="L136" s="1"/>
  <c r="G136"/>
  <c r="F136"/>
  <c r="E136"/>
  <c r="D136"/>
  <c r="C136"/>
  <c r="B136"/>
  <c r="N135"/>
  <c r="J135"/>
  <c r="L135" s="1"/>
  <c r="G135"/>
  <c r="F135"/>
  <c r="E135"/>
  <c r="D135"/>
  <c r="C135"/>
  <c r="B135"/>
  <c r="N134"/>
  <c r="J134"/>
  <c r="L134" s="1"/>
  <c r="G134"/>
  <c r="F134"/>
  <c r="E134"/>
  <c r="D134"/>
  <c r="C134"/>
  <c r="B134"/>
  <c r="N133"/>
  <c r="J133"/>
  <c r="L133" s="1"/>
  <c r="G133"/>
  <c r="F133"/>
  <c r="E133"/>
  <c r="D133"/>
  <c r="C133"/>
  <c r="B133"/>
  <c r="N132"/>
  <c r="J132"/>
  <c r="L132" s="1"/>
  <c r="G132"/>
  <c r="F132"/>
  <c r="E132"/>
  <c r="D132"/>
  <c r="C132"/>
  <c r="B132"/>
  <c r="N131"/>
  <c r="J131"/>
  <c r="L131" s="1"/>
  <c r="G131"/>
  <c r="F131"/>
  <c r="E131"/>
  <c r="D131"/>
  <c r="C131"/>
  <c r="B131"/>
  <c r="N130"/>
  <c r="J130"/>
  <c r="L130" s="1"/>
  <c r="G130"/>
  <c r="F130"/>
  <c r="E130"/>
  <c r="D130"/>
  <c r="C130"/>
  <c r="B130"/>
  <c r="N129"/>
  <c r="J129"/>
  <c r="L129" s="1"/>
  <c r="G129"/>
  <c r="F129"/>
  <c r="E129"/>
  <c r="D129"/>
  <c r="C129"/>
  <c r="B129"/>
  <c r="N128"/>
  <c r="J128"/>
  <c r="L128" s="1"/>
  <c r="G128"/>
  <c r="F128"/>
  <c r="E128"/>
  <c r="D128"/>
  <c r="C128"/>
  <c r="B128"/>
  <c r="N127"/>
  <c r="J127"/>
  <c r="L127" s="1"/>
  <c r="G127"/>
  <c r="F127"/>
  <c r="E127"/>
  <c r="D127"/>
  <c r="C127"/>
  <c r="B127"/>
  <c r="N126"/>
  <c r="J126"/>
  <c r="L126" s="1"/>
  <c r="G126"/>
  <c r="F126"/>
  <c r="E126"/>
  <c r="D126"/>
  <c r="C126"/>
  <c r="B126"/>
  <c r="N125"/>
  <c r="J125"/>
  <c r="L125" s="1"/>
  <c r="G125"/>
  <c r="F125"/>
  <c r="E125"/>
  <c r="D125"/>
  <c r="C125"/>
  <c r="B125"/>
  <c r="N124"/>
  <c r="J124"/>
  <c r="L124" s="1"/>
  <c r="G124"/>
  <c r="F124"/>
  <c r="E124"/>
  <c r="D124"/>
  <c r="C124"/>
  <c r="B124"/>
  <c r="N123"/>
  <c r="J123"/>
  <c r="L123" s="1"/>
  <c r="G123"/>
  <c r="F123"/>
  <c r="E123"/>
  <c r="D123"/>
  <c r="C123"/>
  <c r="B123"/>
  <c r="N122"/>
  <c r="J122"/>
  <c r="L122" s="1"/>
  <c r="G122"/>
  <c r="F122"/>
  <c r="E122"/>
  <c r="D122"/>
  <c r="C122"/>
  <c r="B122"/>
  <c r="N121"/>
  <c r="J121"/>
  <c r="L121" s="1"/>
  <c r="G121"/>
  <c r="F121"/>
  <c r="E121"/>
  <c r="D121"/>
  <c r="C121"/>
  <c r="B121"/>
  <c r="N120"/>
  <c r="J120"/>
  <c r="L120" s="1"/>
  <c r="G120"/>
  <c r="F120"/>
  <c r="E120"/>
  <c r="D120"/>
  <c r="C120"/>
  <c r="B120"/>
  <c r="N119"/>
  <c r="J119"/>
  <c r="L119" s="1"/>
  <c r="G119"/>
  <c r="F119"/>
  <c r="E119"/>
  <c r="D119"/>
  <c r="C119"/>
  <c r="B119"/>
  <c r="N118"/>
  <c r="J118"/>
  <c r="L118" s="1"/>
  <c r="G118"/>
  <c r="F118"/>
  <c r="E118"/>
  <c r="D118"/>
  <c r="C118"/>
  <c r="B118"/>
  <c r="N117"/>
  <c r="J117"/>
  <c r="L117" s="1"/>
  <c r="G117"/>
  <c r="F117"/>
  <c r="E117"/>
  <c r="D117"/>
  <c r="C117"/>
  <c r="B117"/>
  <c r="N116"/>
  <c r="J116"/>
  <c r="L116" s="1"/>
  <c r="G116"/>
  <c r="F116"/>
  <c r="E116"/>
  <c r="D116"/>
  <c r="C116"/>
  <c r="B116"/>
  <c r="N115"/>
  <c r="J115"/>
  <c r="L115" s="1"/>
  <c r="G115"/>
  <c r="F115"/>
  <c r="E115"/>
  <c r="D115"/>
  <c r="C115"/>
  <c r="B115"/>
  <c r="N114"/>
  <c r="J114"/>
  <c r="L114" s="1"/>
  <c r="G114"/>
  <c r="F114"/>
  <c r="E114"/>
  <c r="D114"/>
  <c r="C114"/>
  <c r="B114"/>
  <c r="N113"/>
  <c r="J113"/>
  <c r="L113" s="1"/>
  <c r="G113"/>
  <c r="F113"/>
  <c r="E113"/>
  <c r="D113"/>
  <c r="C113"/>
  <c r="B113"/>
  <c r="N112"/>
  <c r="J112"/>
  <c r="L112" s="1"/>
  <c r="G112"/>
  <c r="F112"/>
  <c r="E112"/>
  <c r="D112"/>
  <c r="C112"/>
  <c r="B112"/>
  <c r="N111"/>
  <c r="J111"/>
  <c r="L111" s="1"/>
  <c r="G111"/>
  <c r="F111"/>
  <c r="E111"/>
  <c r="D111"/>
  <c r="C111"/>
  <c r="B111"/>
  <c r="N110"/>
  <c r="J110"/>
  <c r="L110" s="1"/>
  <c r="G110"/>
  <c r="F110"/>
  <c r="E110"/>
  <c r="D110"/>
  <c r="C110"/>
  <c r="B110"/>
  <c r="N109"/>
  <c r="J109"/>
  <c r="L109" s="1"/>
  <c r="G109"/>
  <c r="F109"/>
  <c r="E109"/>
  <c r="D109"/>
  <c r="C109"/>
  <c r="B109"/>
  <c r="N108"/>
  <c r="J108"/>
  <c r="L108" s="1"/>
  <c r="G108"/>
  <c r="F108"/>
  <c r="E108"/>
  <c r="D108"/>
  <c r="C108"/>
  <c r="B108"/>
  <c r="N107"/>
  <c r="J107"/>
  <c r="L107" s="1"/>
  <c r="G107"/>
  <c r="F107"/>
  <c r="E107"/>
  <c r="D107"/>
  <c r="C107"/>
  <c r="B107"/>
  <c r="N106"/>
  <c r="J106"/>
  <c r="L106" s="1"/>
  <c r="G106"/>
  <c r="F106"/>
  <c r="E106"/>
  <c r="D106"/>
  <c r="C106"/>
  <c r="B106"/>
  <c r="N105"/>
  <c r="J105"/>
  <c r="L105" s="1"/>
  <c r="G105"/>
  <c r="F105"/>
  <c r="E105"/>
  <c r="D105"/>
  <c r="C105"/>
  <c r="B105"/>
  <c r="N104"/>
  <c r="J104"/>
  <c r="L104" s="1"/>
  <c r="G104"/>
  <c r="F104"/>
  <c r="E104"/>
  <c r="D104"/>
  <c r="C104"/>
  <c r="B104"/>
  <c r="N103"/>
  <c r="J103"/>
  <c r="L103" s="1"/>
  <c r="G103"/>
  <c r="F103"/>
  <c r="E103"/>
  <c r="D103"/>
  <c r="C103"/>
  <c r="B103"/>
  <c r="N102"/>
  <c r="J102"/>
  <c r="L102" s="1"/>
  <c r="G102"/>
  <c r="F102"/>
  <c r="E102"/>
  <c r="D102"/>
  <c r="C102"/>
  <c r="B102"/>
  <c r="N101"/>
  <c r="J101"/>
  <c r="L101" s="1"/>
  <c r="G101"/>
  <c r="F101"/>
  <c r="E101"/>
  <c r="D101"/>
  <c r="C101"/>
  <c r="B101"/>
  <c r="N100"/>
  <c r="J100"/>
  <c r="L100" s="1"/>
  <c r="G100"/>
  <c r="F100"/>
  <c r="E100"/>
  <c r="D100"/>
  <c r="C100"/>
  <c r="B100"/>
  <c r="N99"/>
  <c r="J99"/>
  <c r="L99" s="1"/>
  <c r="G99"/>
  <c r="F99"/>
  <c r="E99"/>
  <c r="D99"/>
  <c r="C99"/>
  <c r="B99"/>
  <c r="N98"/>
  <c r="J98"/>
  <c r="L98" s="1"/>
  <c r="G98"/>
  <c r="F98"/>
  <c r="E98"/>
  <c r="D98"/>
  <c r="C98"/>
  <c r="B98"/>
  <c r="N97"/>
  <c r="J97"/>
  <c r="L97" s="1"/>
  <c r="G97"/>
  <c r="F97"/>
  <c r="E97"/>
  <c r="D97"/>
  <c r="C97"/>
  <c r="B97"/>
  <c r="N96"/>
  <c r="J96"/>
  <c r="L96" s="1"/>
  <c r="G96"/>
  <c r="F96"/>
  <c r="E96"/>
  <c r="D96"/>
  <c r="C96"/>
  <c r="B96"/>
  <c r="N95"/>
  <c r="J95"/>
  <c r="L95" s="1"/>
  <c r="G95"/>
  <c r="F95"/>
  <c r="E95"/>
  <c r="D95"/>
  <c r="C95"/>
  <c r="N94"/>
  <c r="J94"/>
  <c r="L94" s="1"/>
  <c r="G94"/>
  <c r="F94"/>
  <c r="E94"/>
  <c r="D94"/>
  <c r="C94"/>
  <c r="N93"/>
  <c r="J93"/>
  <c r="L93" s="1"/>
  <c r="G93"/>
  <c r="F93"/>
  <c r="E93"/>
  <c r="D93"/>
  <c r="C93"/>
  <c r="N92"/>
  <c r="J92"/>
  <c r="L92" s="1"/>
  <c r="G92"/>
  <c r="F92"/>
  <c r="E92"/>
  <c r="D92"/>
  <c r="C92"/>
  <c r="N91"/>
  <c r="J91"/>
  <c r="L91" s="1"/>
  <c r="G91"/>
  <c r="F91"/>
  <c r="E91"/>
  <c r="D91"/>
  <c r="C91"/>
  <c r="N90"/>
  <c r="J90"/>
  <c r="L90" s="1"/>
  <c r="G90"/>
  <c r="F90"/>
  <c r="E90"/>
  <c r="D90"/>
  <c r="C90"/>
  <c r="N89"/>
  <c r="J89"/>
  <c r="L89" s="1"/>
  <c r="G89"/>
  <c r="F89"/>
  <c r="E89"/>
  <c r="D89"/>
  <c r="C89"/>
  <c r="N88"/>
  <c r="J88"/>
  <c r="L88" s="1"/>
  <c r="G88"/>
  <c r="F88"/>
  <c r="E88"/>
  <c r="D88"/>
  <c r="C88"/>
  <c r="N87"/>
  <c r="J87"/>
  <c r="L87" s="1"/>
  <c r="G87"/>
  <c r="F87"/>
  <c r="E87"/>
  <c r="D87"/>
  <c r="C87"/>
  <c r="B87"/>
  <c r="N86"/>
  <c r="J86"/>
  <c r="L86" s="1"/>
  <c r="G86"/>
  <c r="F86"/>
  <c r="E86"/>
  <c r="D86"/>
  <c r="C86"/>
  <c r="B86"/>
  <c r="N85"/>
  <c r="J85"/>
  <c r="L85" s="1"/>
  <c r="G85"/>
  <c r="F85"/>
  <c r="E85"/>
  <c r="D85"/>
  <c r="C85"/>
  <c r="B85"/>
  <c r="N84"/>
  <c r="J84"/>
  <c r="L84" s="1"/>
  <c r="G84"/>
  <c r="F84"/>
  <c r="E84"/>
  <c r="D84"/>
  <c r="C84"/>
  <c r="B84"/>
  <c r="N83"/>
  <c r="J83"/>
  <c r="L83" s="1"/>
  <c r="G83"/>
  <c r="F83"/>
  <c r="E83"/>
  <c r="D83"/>
  <c r="C83"/>
  <c r="B83"/>
  <c r="N82"/>
  <c r="J82"/>
  <c r="L82" s="1"/>
  <c r="G82"/>
  <c r="F82"/>
  <c r="E82"/>
  <c r="D82"/>
  <c r="C82"/>
  <c r="B82"/>
  <c r="N81"/>
  <c r="J81"/>
  <c r="L81" s="1"/>
  <c r="G81"/>
  <c r="F81"/>
  <c r="E81"/>
  <c r="D81"/>
  <c r="C81"/>
  <c r="B81"/>
  <c r="N80"/>
  <c r="J80"/>
  <c r="L80" s="1"/>
  <c r="G80"/>
  <c r="F80"/>
  <c r="E80"/>
  <c r="D80"/>
  <c r="C80"/>
  <c r="B80"/>
  <c r="N79"/>
  <c r="J79"/>
  <c r="L79" s="1"/>
  <c r="G79"/>
  <c r="F79"/>
  <c r="E79"/>
  <c r="D79"/>
  <c r="C79"/>
  <c r="B79"/>
  <c r="N78"/>
  <c r="J78"/>
  <c r="L78" s="1"/>
  <c r="G78"/>
  <c r="F78"/>
  <c r="E78"/>
  <c r="D78"/>
  <c r="C78"/>
  <c r="B78"/>
  <c r="N77"/>
  <c r="J77"/>
  <c r="L77" s="1"/>
  <c r="G77"/>
  <c r="F77"/>
  <c r="E77"/>
  <c r="D77"/>
  <c r="C77"/>
  <c r="B77"/>
  <c r="N76"/>
  <c r="J76"/>
  <c r="L76" s="1"/>
  <c r="G76"/>
  <c r="F76"/>
  <c r="E76"/>
  <c r="D76"/>
  <c r="C76"/>
  <c r="B76"/>
  <c r="N75"/>
  <c r="J75"/>
  <c r="L75" s="1"/>
  <c r="G75"/>
  <c r="F75"/>
  <c r="E75"/>
  <c r="D75"/>
  <c r="C75"/>
  <c r="B75"/>
  <c r="N74"/>
  <c r="J74"/>
  <c r="L74" s="1"/>
  <c r="G74"/>
  <c r="F74"/>
  <c r="E74"/>
  <c r="D74"/>
  <c r="C74"/>
  <c r="B74"/>
  <c r="N73"/>
  <c r="J73"/>
  <c r="L73" s="1"/>
  <c r="G73"/>
  <c r="F73"/>
  <c r="E73"/>
  <c r="D73"/>
  <c r="C73"/>
  <c r="B73"/>
  <c r="N72"/>
  <c r="J72"/>
  <c r="L72" s="1"/>
  <c r="G72"/>
  <c r="F72"/>
  <c r="E72"/>
  <c r="D72"/>
  <c r="C72"/>
  <c r="B72"/>
  <c r="N71"/>
  <c r="J71"/>
  <c r="L71" s="1"/>
  <c r="G71"/>
  <c r="F71"/>
  <c r="E71"/>
  <c r="D71"/>
  <c r="C71"/>
  <c r="B71"/>
  <c r="N70"/>
  <c r="J70"/>
  <c r="L70" s="1"/>
  <c r="G70"/>
  <c r="F70"/>
  <c r="E70"/>
  <c r="D70"/>
  <c r="C70"/>
  <c r="B70"/>
  <c r="N69"/>
  <c r="J69"/>
  <c r="L69" s="1"/>
  <c r="G69"/>
  <c r="F69"/>
  <c r="E69"/>
  <c r="D69"/>
  <c r="C69"/>
  <c r="B69"/>
  <c r="N68"/>
  <c r="J68"/>
  <c r="L68" s="1"/>
  <c r="G68"/>
  <c r="F68"/>
  <c r="E68"/>
  <c r="D68"/>
  <c r="C68"/>
  <c r="B68"/>
  <c r="N67"/>
  <c r="J67"/>
  <c r="L67" s="1"/>
  <c r="G67"/>
  <c r="F67"/>
  <c r="E67"/>
  <c r="D67"/>
  <c r="C67"/>
  <c r="B67"/>
  <c r="N66"/>
  <c r="J66"/>
  <c r="L66" s="1"/>
  <c r="G66"/>
  <c r="F66"/>
  <c r="E66"/>
  <c r="D66"/>
  <c r="C66"/>
  <c r="B66"/>
  <c r="N65"/>
  <c r="J65"/>
  <c r="L65" s="1"/>
  <c r="G65"/>
  <c r="F65"/>
  <c r="E65"/>
  <c r="D65"/>
  <c r="C65"/>
  <c r="B65"/>
  <c r="N64"/>
  <c r="J64"/>
  <c r="L64" s="1"/>
  <c r="G64"/>
  <c r="F64"/>
  <c r="E64"/>
  <c r="D64"/>
  <c r="C64"/>
  <c r="B64"/>
  <c r="N63"/>
  <c r="J63"/>
  <c r="L63" s="1"/>
  <c r="G63"/>
  <c r="F63"/>
  <c r="E63"/>
  <c r="D63"/>
  <c r="C63"/>
  <c r="B63"/>
  <c r="N62"/>
  <c r="J62"/>
  <c r="L62" s="1"/>
  <c r="G62"/>
  <c r="F62"/>
  <c r="E62"/>
  <c r="D62"/>
  <c r="C62"/>
  <c r="B62"/>
  <c r="N61"/>
  <c r="J61"/>
  <c r="L61" s="1"/>
  <c r="G61"/>
  <c r="F61"/>
  <c r="E61"/>
  <c r="D61"/>
  <c r="C61"/>
  <c r="B61"/>
  <c r="N60"/>
  <c r="J60"/>
  <c r="L60" s="1"/>
  <c r="G60"/>
  <c r="F60"/>
  <c r="E60"/>
  <c r="D60"/>
  <c r="C60"/>
  <c r="B60"/>
  <c r="N59"/>
  <c r="J59"/>
  <c r="L59" s="1"/>
  <c r="G59"/>
  <c r="F59"/>
  <c r="E59"/>
  <c r="D59"/>
  <c r="C59"/>
  <c r="B59"/>
  <c r="N58"/>
  <c r="J58"/>
  <c r="L58" s="1"/>
  <c r="G58"/>
  <c r="F58"/>
  <c r="E58"/>
  <c r="D58"/>
  <c r="C58"/>
  <c r="B58"/>
  <c r="N57"/>
  <c r="J57"/>
  <c r="L57" s="1"/>
  <c r="G57"/>
  <c r="F57"/>
  <c r="E57"/>
  <c r="D57"/>
  <c r="C57"/>
  <c r="B57"/>
  <c r="N56"/>
  <c r="J56"/>
  <c r="L56" s="1"/>
  <c r="G56"/>
  <c r="F56"/>
  <c r="E56"/>
  <c r="D56"/>
  <c r="C56"/>
  <c r="B56"/>
  <c r="N55"/>
  <c r="J55"/>
  <c r="L55" s="1"/>
  <c r="G55"/>
  <c r="F55"/>
  <c r="E55"/>
  <c r="D55"/>
  <c r="C55"/>
  <c r="N54"/>
  <c r="J54"/>
  <c r="L54" s="1"/>
  <c r="G54"/>
  <c r="F54"/>
  <c r="E54"/>
  <c r="D54"/>
  <c r="C54"/>
  <c r="N53"/>
  <c r="J53"/>
  <c r="L53" s="1"/>
  <c r="G53"/>
  <c r="F53"/>
  <c r="E53"/>
  <c r="D53"/>
  <c r="C53"/>
  <c r="N52"/>
  <c r="J52"/>
  <c r="L52" s="1"/>
  <c r="G52"/>
  <c r="F52"/>
  <c r="E52"/>
  <c r="D52"/>
  <c r="C52"/>
  <c r="N51"/>
  <c r="J51"/>
  <c r="L51" s="1"/>
  <c r="G51"/>
  <c r="F51"/>
  <c r="E51"/>
  <c r="D51"/>
  <c r="C51"/>
  <c r="N50"/>
  <c r="J50"/>
  <c r="L50" s="1"/>
  <c r="G50"/>
  <c r="F50"/>
  <c r="E50"/>
  <c r="D50"/>
  <c r="C50"/>
  <c r="N49"/>
  <c r="J49"/>
  <c r="L49" s="1"/>
  <c r="G49"/>
  <c r="F49"/>
  <c r="E49"/>
  <c r="D49"/>
  <c r="C49"/>
  <c r="N48"/>
  <c r="J48"/>
  <c r="L48" s="1"/>
  <c r="G48"/>
  <c r="F48"/>
  <c r="E48"/>
  <c r="D48"/>
  <c r="C48"/>
  <c r="N47"/>
  <c r="J47"/>
  <c r="L47" s="1"/>
  <c r="G47"/>
  <c r="F47"/>
  <c r="E47"/>
  <c r="D47"/>
  <c r="C47"/>
  <c r="N46"/>
  <c r="J46"/>
  <c r="L46" s="1"/>
  <c r="G46"/>
  <c r="F46"/>
  <c r="E46"/>
  <c r="D46"/>
  <c r="C46"/>
  <c r="N45"/>
  <c r="J45"/>
  <c r="L45" s="1"/>
  <c r="G45"/>
  <c r="F45"/>
  <c r="E45"/>
  <c r="D45"/>
  <c r="C45"/>
  <c r="N44"/>
  <c r="J44"/>
  <c r="L44" s="1"/>
  <c r="G44"/>
  <c r="F44"/>
  <c r="E44"/>
  <c r="D44"/>
  <c r="C44"/>
  <c r="N43"/>
  <c r="J43"/>
  <c r="L43" s="1"/>
  <c r="G43"/>
  <c r="F43"/>
  <c r="E43"/>
  <c r="D43"/>
  <c r="C43"/>
  <c r="N42"/>
  <c r="J42"/>
  <c r="L42" s="1"/>
  <c r="G42"/>
  <c r="F42"/>
  <c r="E42"/>
  <c r="D42"/>
  <c r="C42"/>
  <c r="N41"/>
  <c r="J41"/>
  <c r="L41" s="1"/>
  <c r="G41"/>
  <c r="F41"/>
  <c r="E41"/>
  <c r="D41"/>
  <c r="C41"/>
  <c r="N40"/>
  <c r="J40"/>
  <c r="L40" s="1"/>
  <c r="G40"/>
  <c r="F40"/>
  <c r="E40"/>
  <c r="D40"/>
  <c r="C40"/>
  <c r="N39"/>
  <c r="J39"/>
  <c r="L39" s="1"/>
  <c r="G39"/>
  <c r="F39"/>
  <c r="E39"/>
  <c r="D39"/>
  <c r="C39"/>
  <c r="N38"/>
  <c r="J38"/>
  <c r="L38" s="1"/>
  <c r="G38"/>
  <c r="F38"/>
  <c r="E38"/>
  <c r="D38"/>
  <c r="C38"/>
  <c r="N37"/>
  <c r="J37"/>
  <c r="L37" s="1"/>
  <c r="G37"/>
  <c r="F37"/>
  <c r="E37"/>
  <c r="D37"/>
  <c r="C37"/>
  <c r="N36"/>
  <c r="J36"/>
  <c r="L36" s="1"/>
  <c r="G36"/>
  <c r="F36"/>
  <c r="E36"/>
  <c r="D36"/>
  <c r="C36"/>
  <c r="N35"/>
  <c r="J35"/>
  <c r="L35" s="1"/>
  <c r="G35"/>
  <c r="F35"/>
  <c r="E35"/>
  <c r="D35"/>
  <c r="C35"/>
  <c r="N34"/>
  <c r="J34"/>
  <c r="L34" s="1"/>
  <c r="G34"/>
  <c r="F34"/>
  <c r="E34"/>
  <c r="D34"/>
  <c r="C34"/>
  <c r="N33"/>
  <c r="J33"/>
  <c r="L33" s="1"/>
  <c r="G33"/>
  <c r="F33"/>
  <c r="E33"/>
  <c r="D33"/>
  <c r="C33"/>
  <c r="B33"/>
  <c r="N32"/>
  <c r="J32"/>
  <c r="L32" s="1"/>
  <c r="G32"/>
  <c r="F32"/>
  <c r="E32"/>
  <c r="D32"/>
  <c r="C32"/>
  <c r="B32"/>
  <c r="N31"/>
  <c r="J31"/>
  <c r="L31" s="1"/>
  <c r="G31"/>
  <c r="F31"/>
  <c r="E31"/>
  <c r="D31"/>
  <c r="C31"/>
  <c r="B31"/>
  <c r="N30"/>
  <c r="J30"/>
  <c r="L30" s="1"/>
  <c r="G30"/>
  <c r="F30"/>
  <c r="E30"/>
  <c r="D30"/>
  <c r="C30"/>
  <c r="B30"/>
  <c r="N29"/>
  <c r="J29"/>
  <c r="L29" s="1"/>
  <c r="G29"/>
  <c r="F29"/>
  <c r="E29"/>
  <c r="D29"/>
  <c r="C29"/>
  <c r="B29"/>
  <c r="N28"/>
  <c r="J28"/>
  <c r="L28" s="1"/>
  <c r="G28"/>
  <c r="F28"/>
  <c r="E28"/>
  <c r="D28"/>
  <c r="C28"/>
  <c r="B28"/>
  <c r="N27"/>
  <c r="J27"/>
  <c r="L27" s="1"/>
  <c r="G27"/>
  <c r="F27"/>
  <c r="E27"/>
  <c r="D27"/>
  <c r="C27"/>
  <c r="B27"/>
  <c r="N26"/>
  <c r="J26"/>
  <c r="L26" s="1"/>
  <c r="G26"/>
  <c r="F26"/>
  <c r="E26"/>
  <c r="D26"/>
  <c r="C26"/>
  <c r="B26"/>
  <c r="N25"/>
  <c r="J25"/>
  <c r="L25" s="1"/>
  <c r="G25"/>
  <c r="F25"/>
  <c r="E25"/>
  <c r="D25"/>
  <c r="C25"/>
  <c r="B25"/>
  <c r="N24"/>
  <c r="J24"/>
  <c r="L24" s="1"/>
  <c r="G24"/>
  <c r="F24"/>
  <c r="E24"/>
  <c r="D24"/>
  <c r="C24"/>
  <c r="B24"/>
  <c r="N23"/>
  <c r="J23"/>
  <c r="L23" s="1"/>
  <c r="G23"/>
  <c r="F23"/>
  <c r="E23"/>
  <c r="D23"/>
  <c r="C23"/>
  <c r="B23"/>
  <c r="N22"/>
  <c r="J22"/>
  <c r="L22" s="1"/>
  <c r="G22"/>
  <c r="F22"/>
  <c r="E22"/>
  <c r="D22"/>
  <c r="C22"/>
  <c r="B22"/>
  <c r="N21"/>
  <c r="J21"/>
  <c r="L21" s="1"/>
  <c r="G21"/>
  <c r="F21"/>
  <c r="E21"/>
  <c r="D21"/>
  <c r="C21"/>
  <c r="B21"/>
  <c r="N20"/>
  <c r="J20"/>
  <c r="L20" s="1"/>
  <c r="G20"/>
  <c r="F20"/>
  <c r="E20"/>
  <c r="D20"/>
  <c r="C20"/>
  <c r="B20"/>
  <c r="N19"/>
  <c r="J19"/>
  <c r="L19" s="1"/>
  <c r="G19"/>
  <c r="F19"/>
  <c r="E19"/>
  <c r="D19"/>
  <c r="C19"/>
  <c r="B19"/>
  <c r="N18"/>
  <c r="J18"/>
  <c r="L18" s="1"/>
  <c r="G18"/>
  <c r="F18"/>
  <c r="E18"/>
  <c r="D18"/>
  <c r="C18"/>
  <c r="B18"/>
  <c r="N17"/>
  <c r="J17"/>
  <c r="L17" s="1"/>
  <c r="G17"/>
  <c r="F17"/>
  <c r="E17"/>
  <c r="D17"/>
  <c r="C17"/>
  <c r="B17"/>
  <c r="N16"/>
  <c r="J16"/>
  <c r="L16" s="1"/>
  <c r="G16"/>
  <c r="F16"/>
  <c r="E16"/>
  <c r="D16"/>
  <c r="C16"/>
  <c r="B16"/>
  <c r="N15"/>
  <c r="J15"/>
  <c r="L15" s="1"/>
  <c r="G15"/>
  <c r="F15"/>
  <c r="E15"/>
  <c r="D15"/>
  <c r="C15"/>
  <c r="B15"/>
  <c r="N14"/>
  <c r="J14"/>
  <c r="L14" s="1"/>
  <c r="G14"/>
  <c r="F14"/>
  <c r="E14"/>
  <c r="D14"/>
  <c r="C14"/>
  <c r="B14"/>
  <c r="N13"/>
  <c r="J13"/>
  <c r="L13" s="1"/>
  <c r="G13"/>
  <c r="F13"/>
  <c r="E13"/>
  <c r="D13"/>
  <c r="C13"/>
  <c r="B13"/>
  <c r="N12"/>
  <c r="J12"/>
  <c r="L12" s="1"/>
  <c r="G12"/>
  <c r="F12"/>
  <c r="E12"/>
  <c r="D12"/>
  <c r="C12"/>
  <c r="B12"/>
  <c r="N11"/>
  <c r="J11"/>
  <c r="L11" s="1"/>
  <c r="G11"/>
  <c r="F11"/>
  <c r="E11"/>
  <c r="D11"/>
  <c r="C11"/>
  <c r="B11"/>
  <c r="N10"/>
  <c r="J10"/>
  <c r="L10" s="1"/>
  <c r="G10"/>
  <c r="F10"/>
  <c r="E10"/>
  <c r="D10"/>
  <c r="C10"/>
  <c r="B10"/>
  <c r="N9"/>
  <c r="J9"/>
  <c r="L9" s="1"/>
  <c r="G9"/>
  <c r="F9"/>
  <c r="E9"/>
  <c r="D9"/>
  <c r="C9"/>
  <c r="B9"/>
  <c r="N8"/>
  <c r="J8"/>
  <c r="L8" s="1"/>
  <c r="G8"/>
  <c r="F8"/>
  <c r="E8"/>
  <c r="D8"/>
  <c r="C8"/>
  <c r="B8"/>
  <c r="N7"/>
  <c r="J7"/>
  <c r="L7" s="1"/>
  <c r="G7"/>
  <c r="F7"/>
  <c r="E7"/>
  <c r="D7"/>
  <c r="C7"/>
  <c r="B7"/>
  <c r="P14" l="1"/>
  <c r="Q14" s="1"/>
  <c r="P59"/>
  <c r="Q59" s="1"/>
  <c r="P60"/>
  <c r="Q60" s="1"/>
  <c r="P63"/>
  <c r="Q63" s="1"/>
  <c r="P67"/>
  <c r="Q67" s="1"/>
  <c r="P68"/>
  <c r="Q68" s="1"/>
  <c r="P71"/>
  <c r="Q71" s="1"/>
  <c r="P75"/>
  <c r="Q75" s="1"/>
  <c r="P95"/>
  <c r="Q95" s="1"/>
  <c r="P103"/>
  <c r="Q103" s="1"/>
  <c r="P111"/>
  <c r="Q111" s="1"/>
  <c r="P115"/>
  <c r="Q115" s="1"/>
  <c r="P119"/>
  <c r="Q119" s="1"/>
  <c r="P26"/>
  <c r="Q26" s="1"/>
  <c r="P55"/>
  <c r="Q55" s="1"/>
  <c r="P83"/>
  <c r="Q83" s="1"/>
  <c r="P84"/>
  <c r="Q84" s="1"/>
  <c r="P87"/>
  <c r="Q87" s="1"/>
  <c r="P30"/>
  <c r="Q30" s="1"/>
  <c r="P47"/>
  <c r="Q47" s="1"/>
  <c r="P76"/>
  <c r="Q76" s="1"/>
  <c r="P79"/>
  <c r="Q79" s="1"/>
  <c r="P93"/>
  <c r="Q93" s="1"/>
  <c r="P127"/>
  <c r="Q127" s="1"/>
  <c r="P131"/>
  <c r="Q131" s="1"/>
  <c r="P135"/>
  <c r="Q135" s="1"/>
  <c r="P143"/>
  <c r="Q143" s="1"/>
  <c r="P147"/>
  <c r="Q147" s="1"/>
  <c r="P151"/>
  <c r="Q151" s="1"/>
  <c r="P152"/>
  <c r="Q152" s="1"/>
  <c r="P155"/>
  <c r="Q155" s="1"/>
  <c r="P159"/>
  <c r="Q159" s="1"/>
  <c r="P163"/>
  <c r="Q163" s="1"/>
  <c r="P10"/>
  <c r="Q10" s="1"/>
  <c r="P54"/>
  <c r="Q54" s="1"/>
  <c r="P56"/>
  <c r="Q56" s="1"/>
  <c r="P72"/>
  <c r="Q72" s="1"/>
  <c r="P107"/>
  <c r="Q107" s="1"/>
  <c r="P123"/>
  <c r="Q123" s="1"/>
  <c r="P139"/>
  <c r="Q139" s="1"/>
  <c r="P167"/>
  <c r="Q167" s="1"/>
  <c r="P171"/>
  <c r="Q171" s="1"/>
  <c r="P64"/>
  <c r="Q64" s="1"/>
  <c r="P80"/>
  <c r="Q80" s="1"/>
  <c r="P99"/>
  <c r="Q99" s="1"/>
  <c r="P18"/>
  <c r="Q18" s="1"/>
  <c r="P22"/>
  <c r="Q22" s="1"/>
  <c r="P38"/>
  <c r="Q38" s="1"/>
  <c r="P39"/>
  <c r="Q39" s="1"/>
  <c r="P45"/>
  <c r="Q45" s="1"/>
  <c r="P46"/>
  <c r="Q46" s="1"/>
  <c r="P53"/>
  <c r="Q53" s="1"/>
  <c r="P100"/>
  <c r="Q100" s="1"/>
  <c r="P108"/>
  <c r="Q108" s="1"/>
  <c r="P116"/>
  <c r="Q116" s="1"/>
  <c r="P124"/>
  <c r="Q124" s="1"/>
  <c r="P132"/>
  <c r="Q132" s="1"/>
  <c r="P140"/>
  <c r="Q140" s="1"/>
  <c r="P148"/>
  <c r="Q148" s="1"/>
  <c r="P156"/>
  <c r="Q156" s="1"/>
  <c r="P164"/>
  <c r="Q164" s="1"/>
  <c r="P172"/>
  <c r="Q172" s="1"/>
  <c r="P37"/>
  <c r="Q37" s="1"/>
  <c r="P94"/>
  <c r="Q94" s="1"/>
  <c r="P96"/>
  <c r="Q96" s="1"/>
  <c r="P104"/>
  <c r="Q104" s="1"/>
  <c r="P112"/>
  <c r="Q112" s="1"/>
  <c r="P120"/>
  <c r="Q120" s="1"/>
  <c r="P128"/>
  <c r="Q128" s="1"/>
  <c r="P136"/>
  <c r="Q136" s="1"/>
  <c r="P144"/>
  <c r="Q144" s="1"/>
  <c r="P160"/>
  <c r="Q160" s="1"/>
  <c r="P168"/>
  <c r="Q168" s="1"/>
  <c r="E8" i="1"/>
  <c r="G8" s="1"/>
  <c r="P13" i="16"/>
  <c r="Q13" s="1"/>
  <c r="P21"/>
  <c r="Q21" s="1"/>
  <c r="P25"/>
  <c r="Q25" s="1"/>
  <c r="P40"/>
  <c r="Q40" s="1"/>
  <c r="P48"/>
  <c r="Q48" s="1"/>
  <c r="P58"/>
  <c r="Q58" s="1"/>
  <c r="P70"/>
  <c r="Q70" s="1"/>
  <c r="P86"/>
  <c r="Q86" s="1"/>
  <c r="P88"/>
  <c r="Q88" s="1"/>
  <c r="P102"/>
  <c r="Q102" s="1"/>
  <c r="P106"/>
  <c r="Q106" s="1"/>
  <c r="P110"/>
  <c r="Q110" s="1"/>
  <c r="P122"/>
  <c r="Q122" s="1"/>
  <c r="P126"/>
  <c r="Q126" s="1"/>
  <c r="P130"/>
  <c r="Q130" s="1"/>
  <c r="P134"/>
  <c r="Q134" s="1"/>
  <c r="P138"/>
  <c r="Q138" s="1"/>
  <c r="P146"/>
  <c r="Q146" s="1"/>
  <c r="P154"/>
  <c r="Q154" s="1"/>
  <c r="P158"/>
  <c r="Q158" s="1"/>
  <c r="P170"/>
  <c r="Q170" s="1"/>
  <c r="P7"/>
  <c r="Q7" s="1"/>
  <c r="P11"/>
  <c r="Q11" s="1"/>
  <c r="P15"/>
  <c r="Q15" s="1"/>
  <c r="P19"/>
  <c r="Q19" s="1"/>
  <c r="P23"/>
  <c r="Q23" s="1"/>
  <c r="P27"/>
  <c r="Q27" s="1"/>
  <c r="P31"/>
  <c r="Q31" s="1"/>
  <c r="P36"/>
  <c r="Q36" s="1"/>
  <c r="P44"/>
  <c r="Q44" s="1"/>
  <c r="P52"/>
  <c r="Q52" s="1"/>
  <c r="P92"/>
  <c r="Q92" s="1"/>
  <c r="P9"/>
  <c r="Q9" s="1"/>
  <c r="P17"/>
  <c r="Q17" s="1"/>
  <c r="P29"/>
  <c r="Q29" s="1"/>
  <c r="P33"/>
  <c r="Q33" s="1"/>
  <c r="P41"/>
  <c r="Q41" s="1"/>
  <c r="P49"/>
  <c r="Q49" s="1"/>
  <c r="P62"/>
  <c r="Q62" s="1"/>
  <c r="P66"/>
  <c r="Q66" s="1"/>
  <c r="P74"/>
  <c r="Q74" s="1"/>
  <c r="P78"/>
  <c r="Q78" s="1"/>
  <c r="P82"/>
  <c r="Q82" s="1"/>
  <c r="P89"/>
  <c r="Q89" s="1"/>
  <c r="P98"/>
  <c r="Q98" s="1"/>
  <c r="P114"/>
  <c r="Q114" s="1"/>
  <c r="P118"/>
  <c r="Q118" s="1"/>
  <c r="P142"/>
  <c r="Q142" s="1"/>
  <c r="P150"/>
  <c r="Q150" s="1"/>
  <c r="P162"/>
  <c r="Q162" s="1"/>
  <c r="P166"/>
  <c r="Q166" s="1"/>
  <c r="P174"/>
  <c r="Q174" s="1"/>
  <c r="P8"/>
  <c r="Q8" s="1"/>
  <c r="P12"/>
  <c r="Q12" s="1"/>
  <c r="P16"/>
  <c r="Q16" s="1"/>
  <c r="P20"/>
  <c r="Q20" s="1"/>
  <c r="P24"/>
  <c r="Q24" s="1"/>
  <c r="P28"/>
  <c r="Q28" s="1"/>
  <c r="P32"/>
  <c r="Q32" s="1"/>
  <c r="P34"/>
  <c r="Q34" s="1"/>
  <c r="P35"/>
  <c r="Q35" s="1"/>
  <c r="P42"/>
  <c r="Q42" s="1"/>
  <c r="P43"/>
  <c r="Q43" s="1"/>
  <c r="P50"/>
  <c r="Q50" s="1"/>
  <c r="P51"/>
  <c r="Q51" s="1"/>
  <c r="P57"/>
  <c r="Q57" s="1"/>
  <c r="P61"/>
  <c r="Q61" s="1"/>
  <c r="P65"/>
  <c r="Q65" s="1"/>
  <c r="P69"/>
  <c r="Q69" s="1"/>
  <c r="P73"/>
  <c r="Q73" s="1"/>
  <c r="P77"/>
  <c r="Q77" s="1"/>
  <c r="P81"/>
  <c r="Q81" s="1"/>
  <c r="P85"/>
  <c r="Q85" s="1"/>
  <c r="P90"/>
  <c r="Q90" s="1"/>
  <c r="P91"/>
  <c r="Q91" s="1"/>
  <c r="P97"/>
  <c r="Q97" s="1"/>
  <c r="P101"/>
  <c r="Q101" s="1"/>
  <c r="P105"/>
  <c r="Q105" s="1"/>
  <c r="P109"/>
  <c r="Q109" s="1"/>
  <c r="P113"/>
  <c r="Q113" s="1"/>
  <c r="P117"/>
  <c r="Q117" s="1"/>
  <c r="P121"/>
  <c r="Q121" s="1"/>
  <c r="P125"/>
  <c r="Q125" s="1"/>
  <c r="P129"/>
  <c r="Q129" s="1"/>
  <c r="P133"/>
  <c r="Q133" s="1"/>
  <c r="P137"/>
  <c r="Q137" s="1"/>
  <c r="P141"/>
  <c r="Q141" s="1"/>
  <c r="P145"/>
  <c r="Q145" s="1"/>
  <c r="P149"/>
  <c r="Q149" s="1"/>
  <c r="P153"/>
  <c r="Q153" s="1"/>
  <c r="P157"/>
  <c r="Q157" s="1"/>
  <c r="P161"/>
  <c r="Q161" s="1"/>
  <c r="P165"/>
  <c r="Q165" s="1"/>
  <c r="P169"/>
  <c r="Q169" s="1"/>
  <c r="P173"/>
  <c r="Q173" s="1"/>
  <c r="Q175" l="1"/>
  <c r="P175"/>
  <c r="E7" i="1" s="1"/>
  <c r="G7" s="1"/>
  <c r="G9" s="1"/>
</calcChain>
</file>

<file path=xl/sharedStrings.xml><?xml version="1.0" encoding="utf-8"?>
<sst xmlns="http://schemas.openxmlformats.org/spreadsheetml/2006/main" count="1009" uniqueCount="265">
  <si>
    <t>Processor</t>
  </si>
  <si>
    <t>Broker</t>
  </si>
  <si>
    <t>USDA Value</t>
  </si>
  <si>
    <t>Total Value</t>
  </si>
  <si>
    <t>Material</t>
  </si>
  <si>
    <t>Contact</t>
  </si>
  <si>
    <t>Pounds Requested</t>
  </si>
  <si>
    <t xml:space="preserve">Total Value: </t>
  </si>
  <si>
    <t>Elite Foodservice</t>
  </si>
  <si>
    <t>Linda Norton</t>
  </si>
  <si>
    <t>=</t>
  </si>
  <si>
    <t>X</t>
  </si>
  <si>
    <t>x</t>
  </si>
  <si>
    <t>Servings Per Case</t>
  </si>
  <si>
    <t>Enter Usage</t>
  </si>
  <si>
    <t>2013-14 School Year</t>
  </si>
  <si>
    <t>ò</t>
  </si>
  <si>
    <t xml:space="preserve">State of: </t>
  </si>
  <si>
    <t>Product Code and Description</t>
  </si>
  <si>
    <t>Serving Size (oz.)</t>
  </si>
  <si>
    <t>% Whole Grain</t>
  </si>
  <si>
    <t>M / MA Per Serv</t>
  </si>
  <si>
    <t>Grain Per Serv</t>
  </si>
  <si>
    <t>Veg per Serv</t>
  </si>
  <si>
    <t>2013-14 Estimated Servings</t>
  </si>
  <si>
    <t xml:space="preserve">÷ </t>
  </si>
  <si>
    <t>Total Cases Needed</t>
  </si>
  <si>
    <t>Tony's® 4" x 6" Thin Crust Pizza Whole Grain 4x6 Sausage</t>
  </si>
  <si>
    <t xml:space="preserve">Tony's® 7" Classic Wedge Slice Cheese </t>
  </si>
  <si>
    <t>Tony's® 7" Classic Wedge Slice Pepperoni Pizza</t>
  </si>
  <si>
    <t>Tony's® Right Angle Wedge Cheese</t>
  </si>
  <si>
    <t>Tony's® Right Angle Wedge Pepperoni</t>
  </si>
  <si>
    <t>Tony's® 5" Crispy Crust Pizza Cheese 50/50</t>
  </si>
  <si>
    <t>Tony's® 5" Crispy Crust Pizza Pepperoni 50/50</t>
  </si>
  <si>
    <t>Tony's® 5" Deep Dish Pizza Cheese 50/50</t>
  </si>
  <si>
    <t>Tony's® 5" Deep Dish Pizza Pepperoni 50/50</t>
  </si>
  <si>
    <t>Tony's® 5" Deep Dish Pizza Cheese 50/50 IW</t>
  </si>
  <si>
    <t>Tony's® 5" Deep Dish Pizza Pepperoni 50/50 IW</t>
  </si>
  <si>
    <t>Tony's® 4" Galaxy Pizza® Cheese 50/50</t>
  </si>
  <si>
    <t>Tony's® 4" Galaxy Pizza® Pepperoni 50/50</t>
  </si>
  <si>
    <t>Tony's® 4" Galaxy Pizza® Cheese 50/50 IW</t>
  </si>
  <si>
    <t>Tony's® 4" Galaxy Pizza® Pepperoni 50/50 IW</t>
  </si>
  <si>
    <t>Tony's™ Stuffed Sandwiche 51% Whole Grain Turkey Pepperoni</t>
  </si>
  <si>
    <t>Tony's™ Stuffed Sandwiche 51% Whole Grain Turkey Pepperoni IW</t>
  </si>
  <si>
    <t xml:space="preserve">Tony's™ Pizza Strips 51% Whole Grain Turkey Pepperoni </t>
  </si>
  <si>
    <t>Tony's™ Pizza Strips 51% Whole Grain Turkey Pepperoni IW</t>
  </si>
  <si>
    <t>Tony's® 51% WG 7" Stuffed Crust Slice Whole Grain 7" Wedge Cheese</t>
  </si>
  <si>
    <t>Tony's® 51% WG 7" Stuffed Crust Slice Whole Grain 7" Wedge Pepperoni</t>
  </si>
  <si>
    <t>Tony's® 51% WG 4" x 6" Stuffed Crust Pizza Cheese</t>
  </si>
  <si>
    <t>Tony's® 51% WG 4" x 6" Stuffed Crust Pizza Pepperoni</t>
  </si>
  <si>
    <t>School District: _____________________________________</t>
  </si>
  <si>
    <t>School Nutrition Director: ______________________________</t>
  </si>
  <si>
    <t>Recipient Agency#: ___________________________________</t>
  </si>
  <si>
    <t>Email: ___________________________________________</t>
  </si>
  <si>
    <t>Address: ____________________________________________</t>
  </si>
  <si>
    <t>Distributor: _____________________________________</t>
  </si>
  <si>
    <t>City, State, Zip: ______________________________________</t>
  </si>
  <si>
    <t>Schwan's Food Service, Inc.</t>
  </si>
  <si>
    <t>Phone: ______________________________________________</t>
  </si>
  <si>
    <t>Regional Sales Manager:</t>
  </si>
  <si>
    <t xml:space="preserve">Fax: </t>
  </si>
  <si>
    <t>Fax: _______________________________________________</t>
  </si>
  <si>
    <t xml:space="preserve">Phone: </t>
  </si>
  <si>
    <t xml:space="preserve">Email: </t>
  </si>
  <si>
    <t xml:space="preserve">INSTRUCTIONS: ENTER ANNUAL NUMBER OF SERVINGS IN HIGHLIGHTED COLUMN TO CALCULATE TOTAL POUNDS OF PASTE TO DIVERT TO SCHWAN'S </t>
  </si>
  <si>
    <t>100332 Tomato Paste Commodity Survey</t>
  </si>
  <si>
    <t>Paste Pounds per Case</t>
  </si>
  <si>
    <t>Total Pounds of Paste</t>
  </si>
  <si>
    <t>2013-2014             Paste Value $0.3612/lb.</t>
  </si>
  <si>
    <t>Tony's® Whole Grain 3.2x5 Cheese Pizza 50/50</t>
  </si>
  <si>
    <t>Tony's® 4" x 6" Thin Crust Cheese Pizza 100%</t>
  </si>
  <si>
    <t>Tony's® 4" x 6" Thin Crust Pepperoni Pizza 100%</t>
  </si>
  <si>
    <t>Tony's® Sausage Breakfast Bagel 50/50</t>
  </si>
  <si>
    <t>TOTAL 100332 Tomato Paste TO DIVERT TO SCHWAN'S FOOD SERVICE, INC.</t>
  </si>
  <si>
    <t>Red Gold</t>
  </si>
  <si>
    <t>Dana Saverino</t>
  </si>
  <si>
    <t>Redpack, Sacramento and Red Gold are the registered trademarks of Red Gold, LLC., Elwood, IN</t>
  </si>
  <si>
    <t>NOTE 1: The Donated Foods (DF) entity code is 100332 / Totes of Tomato Paste. The Pass Thru Value (PTV) or NOI (Net Off Invoice) discount amount has been determined based on the quantity of tomato paste in the products being offered under this program. 100332 values quoted for the SY 2013 / 2014 were provided by FNS via the 11/16/12 NMPA notification @ $.3612 per pound or $14,411.88 per truckload of paste. The corresponding Pass Through Value Discount per case for each product is indicated above.</t>
  </si>
  <si>
    <t>** For use with a dispenser, consult your local Red Gold representative.</t>
  </si>
  <si>
    <t>TOTAL ENTITLEMENT DOLLARS COMMITTED</t>
  </si>
  <si>
    <t>*100332 = Totes of Tomato Paste / 1 Tote = 2,850 lbs of Paste / 1 truckload of 100332 = 14 Totes or 39,900 lbs. of Paste</t>
  </si>
  <si>
    <t>TOTAL ALL BRANDS</t>
  </si>
  <si>
    <t>SACVA46</t>
  </si>
  <si>
    <t>72940-76002</t>
  </si>
  <si>
    <r>
      <t xml:space="preserve">Sacramento </t>
    </r>
    <r>
      <rPr>
        <sz val="12"/>
        <rFont val="Arial"/>
        <family val="2"/>
      </rPr>
      <t>Tomato Juice 12 / 46 oz. Cans</t>
    </r>
  </si>
  <si>
    <t>8.6 oz.</t>
  </si>
  <si>
    <t>36.86 lbs.</t>
  </si>
  <si>
    <t>46 oz.</t>
  </si>
  <si>
    <t>12 / 46 oz. Cans</t>
  </si>
  <si>
    <t>RPKH69X</t>
  </si>
  <si>
    <t>72940-81701</t>
  </si>
  <si>
    <r>
      <t>Redpack</t>
    </r>
    <r>
      <rPr>
        <sz val="12"/>
        <rFont val="Arial"/>
        <family val="2"/>
      </rPr>
      <t xml:space="preserve"> Tomato Puree (1.06 Specific Gravity) 6 / # 10 Cans</t>
    </r>
  </si>
  <si>
    <t>2.2 oz.</t>
  </si>
  <si>
    <t>39.75 lbs.</t>
  </si>
  <si>
    <t>106 oz.</t>
  </si>
  <si>
    <t xml:space="preserve">6 / #10 Cans </t>
  </si>
  <si>
    <t>RPKHA99</t>
  </si>
  <si>
    <t>72940-81800</t>
  </si>
  <si>
    <r>
      <t>Redpack</t>
    </r>
    <r>
      <rPr>
        <sz val="12"/>
        <rFont val="Arial"/>
        <family val="2"/>
      </rPr>
      <t xml:space="preserve"> Tomato Sauce 6 / # 10 Cans</t>
    </r>
  </si>
  <si>
    <t>RPKUA99</t>
  </si>
  <si>
    <t>72940-82300</t>
  </si>
  <si>
    <r>
      <t>Redpack</t>
    </r>
    <r>
      <rPr>
        <sz val="12"/>
        <rFont val="Arial"/>
        <family val="2"/>
      </rPr>
      <t xml:space="preserve"> Tomato Paste 6 / # 10 Cans</t>
    </r>
  </si>
  <si>
    <t>1.2 oz.</t>
  </si>
  <si>
    <t>41.63 lbs.</t>
  </si>
  <si>
    <t>111 oz.</t>
  </si>
  <si>
    <t>RPKDX99</t>
  </si>
  <si>
    <t>72940-81400</t>
  </si>
  <si>
    <r>
      <t>Redpack</t>
    </r>
    <r>
      <rPr>
        <sz val="12"/>
        <rFont val="Arial"/>
        <family val="2"/>
      </rPr>
      <t xml:space="preserve"> Concentrated &amp; Crushed All Purpose Tomatoes 6  # 10 Cans</t>
    </r>
  </si>
  <si>
    <t>39.38 lbs.</t>
  </si>
  <si>
    <t>105 oz.</t>
  </si>
  <si>
    <t>RPK1A99</t>
  </si>
  <si>
    <t>72940-74150</t>
  </si>
  <si>
    <r>
      <t>Redpack</t>
    </r>
    <r>
      <rPr>
        <sz val="12"/>
        <rFont val="Arial"/>
        <family val="2"/>
      </rPr>
      <t xml:space="preserve"> Sloppy Joe Sauce 6 / # 10 Cans</t>
    </r>
  </si>
  <si>
    <t>2.3 oz.</t>
  </si>
  <si>
    <t>40.50 lbs.</t>
  </si>
  <si>
    <t>108 oz.</t>
  </si>
  <si>
    <t>RPKIX99</t>
  </si>
  <si>
    <t>72940-81903</t>
  </si>
  <si>
    <r>
      <t>Redpack</t>
    </r>
    <r>
      <rPr>
        <sz val="12"/>
        <rFont val="Arial"/>
        <family val="2"/>
      </rPr>
      <t xml:space="preserve"> Extra Heavy Pizza Sauce w/ Basil 6 / # 10 Cans</t>
    </r>
  </si>
  <si>
    <t>RPKIL99</t>
  </si>
  <si>
    <t>72940-81907</t>
  </si>
  <si>
    <r>
      <t>Redpack</t>
    </r>
    <r>
      <rPr>
        <sz val="12"/>
        <rFont val="Arial"/>
        <family val="2"/>
      </rPr>
      <t xml:space="preserve"> Fully Prepared Pizza Sauce 6 / # 10 Cans</t>
    </r>
  </si>
  <si>
    <t>RPKIL9E</t>
  </si>
  <si>
    <t>72940-81909</t>
  </si>
  <si>
    <r>
      <t>Redpack</t>
    </r>
    <r>
      <rPr>
        <sz val="12"/>
        <rFont val="Arial"/>
        <family val="2"/>
      </rPr>
      <t xml:space="preserve"> Nutritionally Enhanced Fully Prepared Pizza Sauce 6 / # 10 Cans</t>
    </r>
  </si>
  <si>
    <t>RPKNA99</t>
  </si>
  <si>
    <t>72940-82200</t>
  </si>
  <si>
    <r>
      <t>Redpack</t>
    </r>
    <r>
      <rPr>
        <sz val="12"/>
        <rFont val="Arial"/>
        <family val="2"/>
      </rPr>
      <t xml:space="preserve"> Multi Purpose Marinara Sauce 6 / # 10 Cans</t>
    </r>
  </si>
  <si>
    <t>4.4 oz.</t>
  </si>
  <si>
    <t>RPKNA9E</t>
  </si>
  <si>
    <t>72940-82206</t>
  </si>
  <si>
    <r>
      <t>Redpack</t>
    </r>
    <r>
      <rPr>
        <sz val="12"/>
        <rFont val="Arial"/>
        <family val="2"/>
      </rPr>
      <t xml:space="preserve"> Nutritionally Enhanced Marinara Sauce 6 / # 10 Cans</t>
    </r>
  </si>
  <si>
    <t>4.5 oz.</t>
  </si>
  <si>
    <t>RPKMA9C</t>
  </si>
  <si>
    <t>72940-82100</t>
  </si>
  <si>
    <r>
      <t>Redpack</t>
    </r>
    <r>
      <rPr>
        <sz val="12"/>
        <rFont val="Arial"/>
        <family val="2"/>
      </rPr>
      <t xml:space="preserve"> Multi Purpose Spaghetti Sauce 6 / # 10 Cans</t>
    </r>
  </si>
  <si>
    <t>RPKMA9E</t>
  </si>
  <si>
    <t>72940-82107</t>
  </si>
  <si>
    <r>
      <t xml:space="preserve">Redpack </t>
    </r>
    <r>
      <rPr>
        <sz val="12"/>
        <rFont val="Arial"/>
        <family val="2"/>
      </rPr>
      <t>Nutritionally Enhanced Spaghetti Sauce 6 # 10 Cans</t>
    </r>
  </si>
  <si>
    <t>REDSC99</t>
  </si>
  <si>
    <t>72940-11005</t>
  </si>
  <si>
    <r>
      <t>Red Gold</t>
    </r>
    <r>
      <rPr>
        <sz val="12"/>
        <rFont val="Arial"/>
        <family val="2"/>
      </rPr>
      <t xml:space="preserve"> Nutritionally Enhanced Salsa  6 / #10 Cans</t>
    </r>
  </si>
  <si>
    <t>1.02 oz.</t>
  </si>
  <si>
    <t>38.63 lbs.</t>
  </si>
  <si>
    <t>103 oz.</t>
  </si>
  <si>
    <t>REDOA1Z</t>
  </si>
  <si>
    <t>72940-11580</t>
  </si>
  <si>
    <r>
      <t>Red Gold</t>
    </r>
    <r>
      <rPr>
        <sz val="12"/>
        <rFont val="Arial"/>
        <family val="2"/>
      </rPr>
      <t xml:space="preserve"> Bar-B-Que Sauce 250 / 1 oz. Plastic Dunk Cups </t>
    </r>
  </si>
  <si>
    <t>1.0 oz.</t>
  </si>
  <si>
    <t>15.63. lbs.</t>
  </si>
  <si>
    <t>1 oz.</t>
  </si>
  <si>
    <t>REDNA2Z96</t>
  </si>
  <si>
    <t>72940-82205</t>
  </si>
  <si>
    <r>
      <t>Red Gold</t>
    </r>
    <r>
      <rPr>
        <sz val="12"/>
        <rFont val="Arial"/>
        <family val="2"/>
      </rPr>
      <t xml:space="preserve"> Marinara Sauce 96 / 2 oz. Plastic Dipping Cups </t>
    </r>
  </si>
  <si>
    <t>2.0 oz.</t>
  </si>
  <si>
    <t>12.00 lbs.</t>
  </si>
  <si>
    <t>2 oz.</t>
  </si>
  <si>
    <t>REDNA1Z</t>
  </si>
  <si>
    <t>72940-11135</t>
  </si>
  <si>
    <r>
      <t>Red Gold</t>
    </r>
    <r>
      <rPr>
        <sz val="12"/>
        <rFont val="Arial"/>
        <family val="2"/>
      </rPr>
      <t xml:space="preserve"> Marinara Sauce 250 / 1 oz. Plastic Dunk Cups </t>
    </r>
  </si>
  <si>
    <t>15.63 lbs.</t>
  </si>
  <si>
    <t>REDSD4Z</t>
  </si>
  <si>
    <t>72940-11138</t>
  </si>
  <si>
    <r>
      <t>Red Gold</t>
    </r>
    <r>
      <rPr>
        <sz val="12"/>
        <rFont val="Arial"/>
        <family val="2"/>
      </rPr>
      <t xml:space="preserve"> Picante Sauce 408 / 14.2 Gram Packets</t>
    </r>
  </si>
  <si>
    <t>12.77 lbs.</t>
  </si>
  <si>
    <t>14.2 grams</t>
  </si>
  <si>
    <t>REDSC2Z</t>
  </si>
  <si>
    <t>72940-11137</t>
  </si>
  <si>
    <r>
      <t>Red Gold</t>
    </r>
    <r>
      <rPr>
        <sz val="12"/>
        <rFont val="Arial"/>
        <family val="2"/>
      </rPr>
      <t xml:space="preserve"> (Nutritionally Enhanced) Salsa 80  / 2 oz. Plastic Dipping Cups </t>
    </r>
  </si>
  <si>
    <t>10.00 lbs.</t>
  </si>
  <si>
    <t>REDY51Z</t>
  </si>
  <si>
    <t>72940-11579</t>
  </si>
  <si>
    <r>
      <t>Red Gold</t>
    </r>
    <r>
      <rPr>
        <sz val="12"/>
        <rFont val="Arial"/>
        <family val="2"/>
      </rPr>
      <t xml:space="preserve"> 33% Fancy Ketchup 250 / 1 oz. Plastic Dunk Cups </t>
    </r>
  </si>
  <si>
    <t>REDYL9G</t>
  </si>
  <si>
    <t>72940-11584</t>
  </si>
  <si>
    <r>
      <t>Red Gold</t>
    </r>
    <r>
      <rPr>
        <sz val="10"/>
        <rFont val="Arial"/>
        <family val="2"/>
      </rPr>
      <t xml:space="preserve"> 100% Natural Ketchup made w/Sugar Low Sodium 1,000 / 9 gm Foil Packets </t>
    </r>
  </si>
  <si>
    <t>.3 oz.</t>
  </si>
  <si>
    <t>19.84 lbs.</t>
  </si>
  <si>
    <t>9 grams</t>
  </si>
  <si>
    <t>REDY59G</t>
  </si>
  <si>
    <t>72940-11581</t>
  </si>
  <si>
    <r>
      <t>Red Gold</t>
    </r>
    <r>
      <rPr>
        <sz val="12"/>
        <rFont val="Arial"/>
        <family val="2"/>
      </rPr>
      <t xml:space="preserve"> Fancy Ketchup 1,000 / 9 gm Portion Control Foil Packets </t>
    </r>
  </si>
  <si>
    <t>1,000 / 9 gm Portion Control</t>
  </si>
  <si>
    <t>REDYL7D</t>
  </si>
  <si>
    <t>72940-11550</t>
  </si>
  <si>
    <r>
      <t>Red Gold</t>
    </r>
    <r>
      <rPr>
        <sz val="9"/>
        <rFont val="Arial"/>
        <family val="2"/>
      </rPr>
      <t xml:space="preserve"> 100% Natural Ketchup made w/Sugar Low Sodium  2 / 1.5 gal. Dispenser Pouch Pack** </t>
    </r>
  </si>
  <si>
    <t>.6 oz.</t>
  </si>
  <si>
    <t>28.50 lbs.</t>
  </si>
  <si>
    <t>14.5 lbs.</t>
  </si>
  <si>
    <t>2 / 1.5 gal.  Pouches</t>
  </si>
  <si>
    <t>REDY57D</t>
  </si>
  <si>
    <t>72940-11563</t>
  </si>
  <si>
    <r>
      <t>Red Gold</t>
    </r>
    <r>
      <rPr>
        <sz val="12"/>
        <rFont val="Arial"/>
        <family val="2"/>
      </rPr>
      <t xml:space="preserve"> 33% Fancy Ketchup 2 / 1.5 gal. Dispenser Pouch Pack** </t>
    </r>
  </si>
  <si>
    <t>29.00 lbs.</t>
  </si>
  <si>
    <t>REDY53H</t>
  </si>
  <si>
    <t>72940-11562</t>
  </si>
  <si>
    <r>
      <t>Red Gold</t>
    </r>
    <r>
      <rPr>
        <sz val="12"/>
        <rFont val="Arial"/>
        <family val="2"/>
      </rPr>
      <t xml:space="preserve"> 33% Fancy Ketchup 3 / 1.5 gal. Pouch Pack </t>
    </r>
  </si>
  <si>
    <t>43.50 lbs.</t>
  </si>
  <si>
    <t>REDYL3G</t>
  </si>
  <si>
    <t>72940-11577</t>
  </si>
  <si>
    <r>
      <t>Red Gold</t>
    </r>
    <r>
      <rPr>
        <sz val="10"/>
        <rFont val="Arial"/>
        <family val="2"/>
      </rPr>
      <t xml:space="preserve"> 100% Natural Ketchup made w/Sugar Low Sodium 1/3 gal. Bag-In-Box (Wall Rack**) </t>
    </r>
  </si>
  <si>
    <t>28.5 lbs.</t>
  </si>
  <si>
    <t>REDYA3GTH</t>
  </si>
  <si>
    <t>72940-11560</t>
  </si>
  <si>
    <r>
      <t>Red Gold</t>
    </r>
    <r>
      <rPr>
        <sz val="12"/>
        <rFont val="Arial"/>
        <family val="2"/>
      </rPr>
      <t xml:space="preserve"> 33% Fancy Ketchup 1 / 3 gal. Bag-In-Box for Wall Rack**</t>
    </r>
  </si>
  <si>
    <t>1 / 3 gal. Bag In Box</t>
  </si>
  <si>
    <t xml:space="preserve">REDYA64 </t>
  </si>
  <si>
    <t>72940-11564</t>
  </si>
  <si>
    <r>
      <t>Red Gold</t>
    </r>
    <r>
      <rPr>
        <sz val="12"/>
        <rFont val="Arial"/>
        <family val="2"/>
      </rPr>
      <t xml:space="preserve"> 33% Fancy Ketchup 9 / 64 oz. Plastic Squeeze Bottle </t>
    </r>
  </si>
  <si>
    <t xml:space="preserve">36.00 lbs. </t>
  </si>
  <si>
    <t>64 oz.</t>
  </si>
  <si>
    <r>
      <t>9</t>
    </r>
    <r>
      <rPr>
        <sz val="6"/>
        <rFont val="Arial"/>
        <family val="2"/>
      </rPr>
      <t xml:space="preserve"> </t>
    </r>
    <r>
      <rPr>
        <sz val="10"/>
        <rFont val="Arial"/>
        <family val="2"/>
      </rPr>
      <t>/</t>
    </r>
    <r>
      <rPr>
        <sz val="6"/>
        <rFont val="Arial"/>
        <family val="2"/>
      </rPr>
      <t xml:space="preserve"> </t>
    </r>
    <r>
      <rPr>
        <sz val="10"/>
        <rFont val="Arial"/>
        <family val="2"/>
      </rPr>
      <t>64 oz. Plastic</t>
    </r>
  </si>
  <si>
    <t>REDY59P</t>
  </si>
  <si>
    <t>72940-11574</t>
  </si>
  <si>
    <r>
      <t>Red Gold</t>
    </r>
    <r>
      <rPr>
        <sz val="12"/>
        <rFont val="Arial"/>
        <family val="2"/>
      </rPr>
      <t xml:space="preserve"> 33% Fancy Ketchup 6/ 114 oz. Jugs with Pump </t>
    </r>
  </si>
  <si>
    <t>42.75 lbs.</t>
  </si>
  <si>
    <t>114 oz.</t>
  </si>
  <si>
    <t>6/ #10 Jugs (6 /114 oz.)</t>
  </si>
  <si>
    <t>REDY572</t>
  </si>
  <si>
    <t>72940-11561</t>
  </si>
  <si>
    <r>
      <t>Red Gold</t>
    </r>
    <r>
      <rPr>
        <sz val="12"/>
        <rFont val="Arial"/>
        <family val="2"/>
      </rPr>
      <t xml:space="preserve"> 33% Fancy Ketchup 6 / 114 oz. Pouches (6 / 7 lb. 2 oz.) </t>
    </r>
  </si>
  <si>
    <t>6 / #10 Pouches (6 / 7 lb. 2 oz.)</t>
  </si>
  <si>
    <t>REDYL99</t>
  </si>
  <si>
    <t>72940-11583</t>
  </si>
  <si>
    <r>
      <t>Red Gold</t>
    </r>
    <r>
      <rPr>
        <sz val="12"/>
        <rFont val="Arial"/>
        <family val="2"/>
      </rPr>
      <t xml:space="preserve"> 100% Natural Ketchup made w/Sugar Low Sodium  6 / #10 Cans </t>
    </r>
  </si>
  <si>
    <t>REDY599</t>
  </si>
  <si>
    <t>72940-11002</t>
  </si>
  <si>
    <r>
      <t>Red Gold</t>
    </r>
    <r>
      <rPr>
        <sz val="12"/>
        <rFont val="Arial"/>
        <family val="2"/>
      </rPr>
      <t xml:space="preserve"> 33% Fancy Ketchup 6 / # 10 Cans </t>
    </r>
  </si>
  <si>
    <t>43.13 lbs.</t>
  </si>
  <si>
    <t>115 oz.</t>
  </si>
  <si>
    <t>COLUMN F       (E/A x B = F)</t>
  </si>
  <si>
    <t>COLUMN E</t>
  </si>
  <si>
    <t xml:space="preserve">  COLUMN D     (B x C = D)</t>
  </si>
  <si>
    <t>COLUMN C</t>
  </si>
  <si>
    <t>COLUMN B</t>
  </si>
  <si>
    <t>COLUMN A</t>
  </si>
  <si>
    <t>ESTIMATED TOTAL PASTE POUNDS NEEDED</t>
  </si>
  <si>
    <t>ESTIMATED             SERVINGS            NEEDED                  PER YEAR</t>
  </si>
  <si>
    <t>ESTIMATED  ANNUAL CASES NEEDED</t>
  </si>
  <si>
    <r>
      <t xml:space="preserve">PASS THRU VALUE </t>
    </r>
    <r>
      <rPr>
        <b/>
        <sz val="8"/>
        <rFont val="Arial"/>
        <family val="2"/>
      </rPr>
      <t>PER CASE</t>
    </r>
  </si>
  <si>
    <t>ESTIMATED FINISHED CASES PER TRUCK OF PASTE</t>
  </si>
  <si>
    <t xml:space="preserve">        AMOUNT DONATED FOOD PER CASE</t>
  </si>
  <si>
    <t xml:space="preserve">    RED GOLD           ITEM NUMBER</t>
  </si>
  <si>
    <t>UPC CODE</t>
  </si>
  <si>
    <t xml:space="preserve">        PRODUCT DESCRIPTION</t>
  </si>
  <si>
    <t xml:space="preserve">    SERVING    NET WEIGHT</t>
  </si>
  <si>
    <t xml:space="preserve">     SERVINGS    PER CASE</t>
  </si>
  <si>
    <t xml:space="preserve">          CASE                     NET               WEIGHT</t>
  </si>
  <si>
    <t>UNIT NET WEIGHT</t>
  </si>
  <si>
    <t xml:space="preserve">CASE SIZE  </t>
  </si>
  <si>
    <t>METHOD 2</t>
  </si>
  <si>
    <t>METHOD 1</t>
  </si>
  <si>
    <t xml:space="preserve"> </t>
  </si>
  <si>
    <t>MAY USE EITHER METHOD 1 OR METHOD 2</t>
  </si>
  <si>
    <t>RED GOLD BRANDS</t>
  </si>
  <si>
    <t xml:space="preserve">    </t>
  </si>
  <si>
    <t>USDA Material Number:  100332 Tomato Paste Totes</t>
  </si>
  <si>
    <t>Commodity Processing Calculator</t>
  </si>
  <si>
    <t>REVISED: 11/19/12</t>
  </si>
  <si>
    <r>
      <t>SCHOOL YEAR 2013</t>
    </r>
    <r>
      <rPr>
        <sz val="10"/>
        <rFont val="Arial Black"/>
        <family val="2"/>
      </rPr>
      <t xml:space="preserve"> </t>
    </r>
    <r>
      <rPr>
        <sz val="20"/>
        <rFont val="Arial Black"/>
        <family val="2"/>
      </rPr>
      <t>/</t>
    </r>
    <r>
      <rPr>
        <sz val="10"/>
        <rFont val="Arial Black"/>
        <family val="2"/>
      </rPr>
      <t xml:space="preserve"> </t>
    </r>
    <r>
      <rPr>
        <sz val="20"/>
        <rFont val="Arial Black"/>
        <family val="2"/>
      </rPr>
      <t xml:space="preserve">2014 </t>
    </r>
  </si>
  <si>
    <t>58. Schwans Foodservice</t>
  </si>
  <si>
    <t>59. Red Gold</t>
  </si>
  <si>
    <r>
      <t xml:space="preserve">Click on a processor name to access its calculator.  While calculator formats are different, each will help you estimate the number of pounds you will need by asking for your estimated number of servings, ect.   Note, each excel spreadsheet is restricted by food group.  While some processors offer multiple items on one calculator, your request will only populate on the </t>
    </r>
    <r>
      <rPr>
        <b/>
        <i/>
        <sz val="11"/>
        <color theme="1"/>
        <rFont val="Calibri"/>
        <family val="2"/>
        <scheme val="minor"/>
      </rPr>
      <t>Total Request</t>
    </r>
    <r>
      <rPr>
        <sz val="11"/>
        <color theme="1"/>
        <rFont val="Calibri"/>
        <family val="2"/>
        <scheme val="minor"/>
      </rPr>
      <t xml:space="preserve"> tab if it is within the food group listed on that spreadsheet.  You will need to pull up the beef spreadsheet to allocate beef pounds, the chicken calculator to allocate chicken pounds, ect.  </t>
    </r>
  </si>
  <si>
    <r>
      <t xml:space="preserve">The calculator will automatically calculate the number of pounds you will need for a specific item, and will input that number on the </t>
    </r>
    <r>
      <rPr>
        <b/>
        <i/>
        <sz val="11"/>
        <color theme="1"/>
        <rFont val="Calibri"/>
        <family val="2"/>
        <scheme val="minor"/>
      </rPr>
      <t>Total Request</t>
    </r>
    <r>
      <rPr>
        <sz val="11"/>
        <color theme="1"/>
        <rFont val="Calibri"/>
        <family val="2"/>
        <scheme val="minor"/>
      </rPr>
      <t xml:space="preserve"> tab.  Once finished, take the numbers in yellow and transfer them to your </t>
    </r>
    <r>
      <rPr>
        <b/>
        <i/>
        <sz val="11"/>
        <color theme="1"/>
        <rFont val="Calibri"/>
        <family val="2"/>
        <scheme val="minor"/>
      </rPr>
      <t>NOI Request Form</t>
    </r>
    <r>
      <rPr>
        <sz val="11"/>
        <color theme="1"/>
        <rFont val="Calibri"/>
        <family val="2"/>
        <scheme val="minor"/>
      </rPr>
      <t xml:space="preserve">.  Be sure you are inputting the correct number of pounds for each processor.  The processor number on this form should match the processor number on the </t>
    </r>
    <r>
      <rPr>
        <b/>
        <i/>
        <sz val="11"/>
        <color theme="1"/>
        <rFont val="Calibri"/>
        <family val="2"/>
        <scheme val="minor"/>
      </rPr>
      <t>NOI Request Form</t>
    </r>
    <r>
      <rPr>
        <sz val="11"/>
        <color theme="1"/>
        <rFont val="Calibri"/>
        <family val="2"/>
        <scheme val="minor"/>
      </rPr>
      <t xml:space="preserve">.  </t>
    </r>
  </si>
  <si>
    <t>Calculator Instructions:                                                                                                FOOD GROUP - TOMATOES</t>
  </si>
</sst>
</file>

<file path=xl/styles.xml><?xml version="1.0" encoding="utf-8"?>
<styleSheet xmlns="http://schemas.openxmlformats.org/spreadsheetml/2006/main">
  <numFmts count="13">
    <numFmt numFmtId="7" formatCode="&quot;$&quot;#,##0.00_);\(&quot;$&quot;#,##0.00\)"/>
    <numFmt numFmtId="8" formatCode="&quot;$&quot;#,##0.00_);[Red]\(&quot;$&quot;#,##0.00\)"/>
    <numFmt numFmtId="44" formatCode="_(&quot;$&quot;* #,##0.00_);_(&quot;$&quot;* \(#,##0.00\);_(&quot;$&quot;* &quot;-&quot;??_);_(@_)"/>
    <numFmt numFmtId="43" formatCode="_(* #,##0.00_);_(* \(#,##0.00\);_(* &quot;-&quot;??_);_(@_)"/>
    <numFmt numFmtId="164" formatCode="&quot;$&quot;#,##0.00000"/>
    <numFmt numFmtId="165" formatCode="&quot;$&quot;#,##0.0000"/>
    <numFmt numFmtId="166" formatCode="0.000"/>
    <numFmt numFmtId="167" formatCode="&quot;$&quot;#,##0.00"/>
    <numFmt numFmtId="168" formatCode="#,###"/>
    <numFmt numFmtId="169" formatCode="_(* #,##0_);_(* \(#,##0\);_(* &quot;-&quot;??_);_(@_)"/>
    <numFmt numFmtId="170" formatCode="0.0000"/>
    <numFmt numFmtId="171" formatCode="0.0"/>
    <numFmt numFmtId="172" formatCode="&quot;$&quot;#,##0.0000_);[Red]\(&quot;$&quot;#,##0.0000\)"/>
  </numFmts>
  <fonts count="49">
    <font>
      <sz val="11"/>
      <color theme="1"/>
      <name val="Calibri"/>
      <family val="2"/>
      <scheme val="minor"/>
    </font>
    <font>
      <b/>
      <sz val="11"/>
      <color theme="1"/>
      <name val="Calibri"/>
      <family val="2"/>
      <scheme val="minor"/>
    </font>
    <font>
      <sz val="10"/>
      <name val="Arial"/>
      <family val="2"/>
    </font>
    <font>
      <u/>
      <sz val="10"/>
      <color theme="10"/>
      <name val="Arial"/>
      <family val="2"/>
    </font>
    <font>
      <u/>
      <sz val="10"/>
      <color indexed="12"/>
      <name val="Arial"/>
      <family val="2"/>
    </font>
    <font>
      <sz val="10"/>
      <color theme="1"/>
      <name val="Arial"/>
      <family val="2"/>
    </font>
    <font>
      <sz val="12"/>
      <name val="Arial"/>
      <family val="2"/>
    </font>
    <font>
      <sz val="12"/>
      <color theme="1"/>
      <name val="Arial"/>
      <family val="2"/>
    </font>
    <font>
      <u/>
      <sz val="10.45"/>
      <color indexed="12"/>
      <name val="Arial"/>
      <family val="2"/>
    </font>
    <font>
      <sz val="10"/>
      <name val="Helv"/>
    </font>
    <font>
      <sz val="10"/>
      <name val="Arial"/>
      <family val="2"/>
    </font>
    <font>
      <sz val="11"/>
      <color theme="1"/>
      <name val="Calibri"/>
      <family val="2"/>
      <scheme val="minor"/>
    </font>
    <font>
      <b/>
      <sz val="8"/>
      <color theme="1"/>
      <name val="Arial"/>
      <family val="2"/>
    </font>
    <font>
      <b/>
      <sz val="14"/>
      <color theme="1"/>
      <name val="Arial"/>
      <family val="2"/>
    </font>
    <font>
      <b/>
      <sz val="10"/>
      <color theme="1"/>
      <name val="Arial"/>
      <family val="2"/>
    </font>
    <font>
      <b/>
      <sz val="16"/>
      <color theme="1"/>
      <name val="Calibri"/>
      <family val="2"/>
      <scheme val="minor"/>
    </font>
    <font>
      <b/>
      <sz val="16"/>
      <color theme="1"/>
      <name val="Wingdings"/>
      <charset val="2"/>
    </font>
    <font>
      <b/>
      <sz val="12"/>
      <color theme="1"/>
      <name val="Calibri"/>
      <family val="2"/>
      <scheme val="minor"/>
    </font>
    <font>
      <sz val="11"/>
      <color theme="1"/>
      <name val="Arial"/>
      <family val="2"/>
    </font>
    <font>
      <sz val="11"/>
      <name val="Calibri"/>
      <family val="2"/>
      <scheme val="minor"/>
    </font>
    <font>
      <b/>
      <sz val="11"/>
      <color theme="1"/>
      <name val="Arial"/>
      <family val="2"/>
    </font>
    <font>
      <b/>
      <sz val="11"/>
      <name val="Calibri"/>
      <family val="2"/>
      <scheme val="minor"/>
    </font>
    <font>
      <sz val="10"/>
      <color theme="1"/>
      <name val="Calibri"/>
      <family val="2"/>
      <scheme val="minor"/>
    </font>
    <font>
      <sz val="11"/>
      <color indexed="8"/>
      <name val="Calibri"/>
      <family val="2"/>
      <scheme val="minor"/>
    </font>
    <font>
      <sz val="10"/>
      <name val="Arial"/>
      <family val="2"/>
    </font>
    <font>
      <sz val="10"/>
      <color indexed="10"/>
      <name val="Arial"/>
      <family val="2"/>
    </font>
    <font>
      <sz val="10"/>
      <color indexed="55"/>
      <name val="Arial"/>
      <family val="2"/>
    </font>
    <font>
      <sz val="14"/>
      <name val="Arial"/>
      <family val="2"/>
    </font>
    <font>
      <sz val="10"/>
      <color indexed="22"/>
      <name val="Arial"/>
      <family val="2"/>
    </font>
    <font>
      <b/>
      <sz val="12"/>
      <name val="Arial"/>
      <family val="2"/>
    </font>
    <font>
      <u/>
      <sz val="12"/>
      <color indexed="12"/>
      <name val="Arial"/>
      <family val="2"/>
    </font>
    <font>
      <b/>
      <sz val="12"/>
      <color indexed="22"/>
      <name val="Arial"/>
      <family val="2"/>
    </font>
    <font>
      <b/>
      <sz val="10"/>
      <name val="Arial"/>
      <family val="2"/>
    </font>
    <font>
      <b/>
      <sz val="9"/>
      <name val="Arial"/>
      <family val="2"/>
    </font>
    <font>
      <sz val="9"/>
      <name val="Arial"/>
      <family val="2"/>
    </font>
    <font>
      <i/>
      <sz val="10"/>
      <name val="Arial"/>
      <family val="2"/>
    </font>
    <font>
      <sz val="6"/>
      <name val="Arial"/>
      <family val="2"/>
    </font>
    <font>
      <b/>
      <sz val="8"/>
      <name val="Arial"/>
      <family val="2"/>
    </font>
    <font>
      <sz val="16"/>
      <name val="Arial"/>
      <family val="2"/>
    </font>
    <font>
      <b/>
      <sz val="8"/>
      <color indexed="10"/>
      <name val="Arial"/>
      <family val="2"/>
    </font>
    <font>
      <b/>
      <i/>
      <sz val="8"/>
      <name val="Arial"/>
      <family val="2"/>
    </font>
    <font>
      <i/>
      <sz val="10"/>
      <color indexed="10"/>
      <name val="Arial"/>
      <family val="2"/>
    </font>
    <font>
      <b/>
      <i/>
      <sz val="10"/>
      <color indexed="10"/>
      <name val="Arial"/>
      <family val="2"/>
    </font>
    <font>
      <sz val="14"/>
      <name val="Arial Black"/>
      <family val="2"/>
    </font>
    <font>
      <sz val="18"/>
      <name val="Arial Black"/>
      <family val="2"/>
    </font>
    <font>
      <b/>
      <sz val="18"/>
      <name val="Arial"/>
      <family val="2"/>
    </font>
    <font>
      <sz val="20"/>
      <name val="Arial Black"/>
      <family val="2"/>
    </font>
    <font>
      <sz val="10"/>
      <name val="Arial Black"/>
      <family val="2"/>
    </font>
    <font>
      <b/>
      <i/>
      <sz val="11"/>
      <color theme="1"/>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indexed="9"/>
        <bgColor indexed="64"/>
      </patternFill>
    </fill>
    <fill>
      <patternFill patternType="solid">
        <fgColor indexed="43"/>
        <bgColor indexed="64"/>
      </patternFill>
    </fill>
    <fill>
      <patternFill patternType="solid">
        <fgColor rgb="FFFFFF00"/>
        <bgColor indexed="64"/>
      </patternFill>
    </fill>
    <fill>
      <patternFill patternType="solid">
        <fgColor rgb="FFFFFF99"/>
        <bgColor indexed="64"/>
      </patternFill>
    </fill>
    <fill>
      <patternFill patternType="solid">
        <fgColor theme="8" tint="0.59999389629810485"/>
        <bgColor indexed="64"/>
      </patternFill>
    </fill>
    <fill>
      <patternFill patternType="solid">
        <fgColor indexed="22"/>
        <bgColor indexed="64"/>
      </patternFill>
    </fill>
    <fill>
      <patternFill patternType="solid">
        <fgColor theme="0"/>
        <bgColor indexed="64"/>
      </patternFill>
    </fill>
    <fill>
      <patternFill patternType="solid">
        <fgColor indexed="13"/>
        <bgColor indexed="64"/>
      </patternFill>
    </fill>
  </fills>
  <borders count="3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s>
  <cellStyleXfs count="19">
    <xf numFmtId="0" fontId="0"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0" fontId="3"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44" fontId="5" fillId="0" borderId="0" applyFont="0" applyFill="0" applyBorder="0" applyAlignment="0" applyProtection="0"/>
    <xf numFmtId="0" fontId="2" fillId="0" borderId="0"/>
    <xf numFmtId="0" fontId="2" fillId="0" borderId="0"/>
    <xf numFmtId="0" fontId="8" fillId="0" borderId="0" applyNumberFormat="0" applyFill="0" applyBorder="0" applyAlignment="0" applyProtection="0">
      <alignment vertical="top"/>
      <protection locked="0"/>
    </xf>
    <xf numFmtId="0" fontId="9" fillId="0" borderId="0"/>
    <xf numFmtId="0" fontId="10" fillId="0" borderId="0"/>
    <xf numFmtId="44" fontId="10" fillId="0" borderId="0" applyFont="0" applyFill="0" applyBorder="0" applyAlignment="0" applyProtection="0"/>
    <xf numFmtId="9" fontId="5" fillId="0" borderId="0" applyFont="0" applyFill="0" applyBorder="0" applyAlignment="0" applyProtection="0"/>
    <xf numFmtId="0" fontId="24" fillId="0" borderId="0"/>
    <xf numFmtId="44" fontId="24" fillId="0" borderId="0" applyFont="0" applyFill="0" applyBorder="0" applyAlignment="0" applyProtection="0"/>
    <xf numFmtId="43" fontId="24" fillId="0" borderId="0" applyFont="0" applyFill="0" applyBorder="0" applyAlignment="0" applyProtection="0"/>
  </cellStyleXfs>
  <cellXfs count="293">
    <xf numFmtId="0" fontId="0" fillId="0" borderId="0" xfId="0"/>
    <xf numFmtId="164" fontId="0" fillId="0" borderId="0" xfId="0" applyNumberFormat="1"/>
    <xf numFmtId="165" fontId="0" fillId="0" borderId="0" xfId="0" applyNumberFormat="1"/>
    <xf numFmtId="0" fontId="0" fillId="0" borderId="0" xfId="0" applyAlignment="1">
      <alignment horizontal="center"/>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xf numFmtId="0" fontId="0" fillId="0" borderId="0" xfId="0" applyBorder="1" applyAlignment="1">
      <alignment wrapText="1"/>
    </xf>
    <xf numFmtId="167" fontId="0" fillId="0" borderId="0" xfId="0" applyNumberFormat="1"/>
    <xf numFmtId="166" fontId="0" fillId="5" borderId="1" xfId="0" applyNumberFormat="1" applyFill="1" applyBorder="1"/>
    <xf numFmtId="0" fontId="3" fillId="0" borderId="0" xfId="4" applyFill="1" applyBorder="1" applyAlignment="1" applyProtection="1"/>
    <xf numFmtId="0" fontId="0" fillId="0" borderId="0" xfId="0" applyFont="1"/>
    <xf numFmtId="0" fontId="0" fillId="0" borderId="0" xfId="0" applyFont="1" applyAlignment="1">
      <alignment horizontal="left" wrapText="1"/>
    </xf>
    <xf numFmtId="0" fontId="14" fillId="4" borderId="16" xfId="1" applyFont="1" applyFill="1" applyBorder="1" applyAlignment="1">
      <alignment horizontal="center" vertical="center" wrapText="1"/>
    </xf>
    <xf numFmtId="0" fontId="16" fillId="4" borderId="17" xfId="1" applyFont="1" applyFill="1" applyBorder="1" applyAlignment="1">
      <alignment horizontal="center" vertical="center" wrapText="1"/>
    </xf>
    <xf numFmtId="0" fontId="16" fillId="4" borderId="17" xfId="1" applyFont="1" applyFill="1" applyBorder="1" applyAlignment="1">
      <alignment horizontal="center"/>
    </xf>
    <xf numFmtId="9" fontId="0" fillId="0" borderId="0" xfId="0" applyNumberFormat="1" applyAlignment="1">
      <alignment horizontal="center"/>
    </xf>
    <xf numFmtId="0" fontId="0" fillId="0" borderId="5" xfId="0" applyFont="1" applyBorder="1" applyAlignment="1">
      <alignment horizontal="center" wrapText="1"/>
    </xf>
    <xf numFmtId="2" fontId="0" fillId="0" borderId="5" xfId="0" applyNumberFormat="1" applyFont="1" applyBorder="1" applyAlignment="1">
      <alignment horizontal="center"/>
    </xf>
    <xf numFmtId="9" fontId="0" fillId="0" borderId="5" xfId="0" applyNumberFormat="1" applyFont="1" applyBorder="1" applyAlignment="1">
      <alignment horizontal="center"/>
    </xf>
    <xf numFmtId="0" fontId="0" fillId="0" borderId="5" xfId="0" applyFont="1" applyBorder="1" applyAlignment="1">
      <alignment horizontal="center"/>
    </xf>
    <xf numFmtId="0" fontId="19" fillId="4" borderId="7" xfId="0" applyFont="1" applyFill="1" applyBorder="1" applyAlignment="1" applyProtection="1">
      <alignment horizontal="center"/>
      <protection locked="0"/>
    </xf>
    <xf numFmtId="0" fontId="7" fillId="0" borderId="5" xfId="1" applyFont="1" applyFill="1" applyBorder="1" applyAlignment="1">
      <alignment horizontal="center" vertical="center"/>
    </xf>
    <xf numFmtId="168" fontId="11" fillId="0" borderId="5" xfId="10" applyNumberFormat="1" applyFont="1" applyFill="1" applyBorder="1" applyAlignment="1" applyProtection="1">
      <alignment horizontal="center"/>
    </xf>
    <xf numFmtId="167" fontId="0" fillId="0" borderId="5" xfId="0" applyNumberFormat="1" applyFont="1" applyBorder="1" applyAlignment="1">
      <alignment horizontal="center"/>
    </xf>
    <xf numFmtId="0" fontId="0" fillId="0" borderId="5" xfId="0" applyFont="1" applyFill="1" applyBorder="1" applyAlignment="1">
      <alignment horizontal="center" wrapText="1"/>
    </xf>
    <xf numFmtId="2" fontId="18" fillId="7" borderId="15" xfId="10" applyNumberFormat="1" applyFont="1" applyFill="1" applyBorder="1" applyAlignment="1" applyProtection="1">
      <alignment horizontal="center"/>
    </xf>
    <xf numFmtId="0" fontId="18" fillId="7" borderId="15" xfId="10" applyFont="1" applyFill="1" applyBorder="1" applyAlignment="1">
      <alignment horizontal="center"/>
    </xf>
    <xf numFmtId="1" fontId="18" fillId="7" borderId="15" xfId="10" applyNumberFormat="1" applyFont="1" applyFill="1" applyBorder="1" applyAlignment="1" applyProtection="1">
      <alignment horizontal="center"/>
    </xf>
    <xf numFmtId="0" fontId="18" fillId="7" borderId="15" xfId="10" quotePrefix="1" applyFont="1" applyFill="1" applyBorder="1" applyAlignment="1" applyProtection="1">
      <alignment horizontal="center"/>
    </xf>
    <xf numFmtId="3" fontId="18" fillId="7" borderId="15" xfId="10" applyNumberFormat="1" applyFont="1" applyFill="1" applyBorder="1" applyAlignment="1" applyProtection="1">
      <alignment horizontal="center"/>
    </xf>
    <xf numFmtId="0" fontId="18" fillId="7" borderId="15" xfId="10" applyFont="1" applyFill="1" applyBorder="1" applyAlignment="1" applyProtection="1">
      <alignment horizontal="center"/>
    </xf>
    <xf numFmtId="0" fontId="18" fillId="7" borderId="18" xfId="10" quotePrefix="1" applyFont="1" applyFill="1" applyBorder="1" applyAlignment="1" applyProtection="1">
      <alignment horizontal="center"/>
    </xf>
    <xf numFmtId="4" fontId="1" fillId="6" borderId="18" xfId="10" applyNumberFormat="1" applyFont="1" applyFill="1" applyBorder="1" applyAlignment="1" applyProtection="1">
      <alignment horizontal="right"/>
    </xf>
    <xf numFmtId="0" fontId="20" fillId="0" borderId="0" xfId="10" applyFont="1" applyFill="1" applyBorder="1" applyAlignment="1" applyProtection="1">
      <alignment horizontal="left"/>
    </xf>
    <xf numFmtId="0" fontId="0" fillId="0" borderId="0" xfId="0" applyFill="1" applyBorder="1" applyAlignment="1"/>
    <xf numFmtId="2" fontId="18" fillId="0" borderId="0" xfId="10" applyNumberFormat="1" applyFont="1" applyFill="1" applyBorder="1" applyAlignment="1" applyProtection="1">
      <alignment horizontal="center"/>
    </xf>
    <xf numFmtId="0" fontId="18" fillId="0" borderId="0" xfId="10" applyFont="1" applyFill="1" applyBorder="1" applyAlignment="1">
      <alignment horizontal="center"/>
    </xf>
    <xf numFmtId="1" fontId="18" fillId="0" borderId="0" xfId="10" applyNumberFormat="1" applyFont="1" applyFill="1" applyBorder="1" applyAlignment="1" applyProtection="1">
      <alignment horizontal="center"/>
    </xf>
    <xf numFmtId="0" fontId="18" fillId="0" borderId="0" xfId="10" quotePrefix="1" applyFont="1" applyFill="1" applyBorder="1" applyAlignment="1" applyProtection="1">
      <alignment horizontal="center"/>
    </xf>
    <xf numFmtId="3" fontId="18" fillId="0" borderId="0" xfId="10" applyNumberFormat="1" applyFont="1" applyFill="1" applyBorder="1" applyAlignment="1" applyProtection="1">
      <alignment horizontal="center"/>
    </xf>
    <xf numFmtId="0" fontId="18" fillId="0" borderId="0" xfId="10" applyFont="1" applyFill="1" applyBorder="1" applyAlignment="1" applyProtection="1">
      <alignment horizontal="center"/>
    </xf>
    <xf numFmtId="4" fontId="1" fillId="0" borderId="0" xfId="10" applyNumberFormat="1" applyFont="1" applyFill="1" applyBorder="1" applyAlignment="1" applyProtection="1">
      <alignment horizontal="right"/>
    </xf>
    <xf numFmtId="0" fontId="0" fillId="0" borderId="0" xfId="0" applyFill="1"/>
    <xf numFmtId="0" fontId="19" fillId="0" borderId="0" xfId="10" applyFont="1" applyProtection="1">
      <protection locked="0"/>
    </xf>
    <xf numFmtId="0" fontId="6" fillId="0" borderId="0" xfId="10" applyFont="1" applyProtection="1">
      <protection locked="0"/>
    </xf>
    <xf numFmtId="0" fontId="0" fillId="0" borderId="0" xfId="0" applyAlignment="1" applyProtection="1">
      <alignment horizontal="center"/>
      <protection locked="0"/>
    </xf>
    <xf numFmtId="9" fontId="0" fillId="0" borderId="0" xfId="0" applyNumberFormat="1" applyAlignment="1" applyProtection="1">
      <alignment horizontal="center"/>
      <protection locked="0"/>
    </xf>
    <xf numFmtId="0" fontId="0" fillId="0" borderId="0" xfId="0" applyProtection="1">
      <protection locked="0"/>
    </xf>
    <xf numFmtId="0" fontId="19" fillId="0" borderId="0" xfId="10" applyFont="1" applyAlignment="1" applyProtection="1">
      <alignment horizontal="left"/>
      <protection locked="0"/>
    </xf>
    <xf numFmtId="0" fontId="19" fillId="0" borderId="0" xfId="10" applyFont="1" applyBorder="1" applyAlignment="1" applyProtection="1">
      <alignment horizontal="center"/>
      <protection locked="0"/>
    </xf>
    <xf numFmtId="0" fontId="11" fillId="0" borderId="0" xfId="0" applyFont="1" applyProtection="1">
      <protection locked="0"/>
    </xf>
    <xf numFmtId="0" fontId="19" fillId="0" borderId="0" xfId="10" applyFont="1" applyBorder="1" applyProtection="1">
      <protection locked="0"/>
    </xf>
    <xf numFmtId="0" fontId="21" fillId="0" borderId="0" xfId="10" applyFont="1" applyBorder="1" applyAlignment="1" applyProtection="1">
      <alignment horizontal="left"/>
      <protection locked="0"/>
    </xf>
    <xf numFmtId="0" fontId="21" fillId="0" borderId="0" xfId="10" applyFont="1" applyBorder="1" applyAlignment="1" applyProtection="1">
      <alignment horizontal="center"/>
      <protection locked="0"/>
    </xf>
    <xf numFmtId="9" fontId="1" fillId="0" borderId="0" xfId="0" applyNumberFormat="1" applyFont="1" applyBorder="1" applyAlignment="1" applyProtection="1">
      <alignment horizontal="left"/>
      <protection locked="0"/>
    </xf>
    <xf numFmtId="0" fontId="0" fillId="0" borderId="0" xfId="0" applyBorder="1" applyAlignment="1" applyProtection="1">
      <alignment horizontal="center"/>
      <protection locked="0"/>
    </xf>
    <xf numFmtId="0" fontId="0" fillId="0" borderId="0" xfId="0" applyBorder="1" applyProtection="1">
      <protection locked="0"/>
    </xf>
    <xf numFmtId="0" fontId="22" fillId="0" borderId="0" xfId="0" applyFont="1" applyProtection="1">
      <protection locked="0"/>
    </xf>
    <xf numFmtId="0" fontId="0" fillId="0" borderId="0" xfId="0" applyAlignment="1" applyProtection="1">
      <protection locked="0"/>
    </xf>
    <xf numFmtId="0" fontId="19" fillId="0" borderId="0" xfId="10" applyFont="1" applyFill="1" applyProtection="1">
      <protection locked="0"/>
    </xf>
    <xf numFmtId="0" fontId="0" fillId="0" borderId="0" xfId="0" applyFont="1" applyAlignment="1" applyProtection="1">
      <alignment horizontal="left" wrapText="1"/>
      <protection locked="0"/>
    </xf>
    <xf numFmtId="2" fontId="19" fillId="3" borderId="10" xfId="10" applyNumberFormat="1" applyFont="1" applyFill="1" applyBorder="1" applyAlignment="1" applyProtection="1">
      <protection locked="0"/>
    </xf>
    <xf numFmtId="0" fontId="23" fillId="3" borderId="11" xfId="10" applyNumberFormat="1" applyFont="1" applyFill="1" applyBorder="1" applyAlignment="1" applyProtection="1">
      <alignment horizontal="center"/>
      <protection locked="0"/>
    </xf>
    <xf numFmtId="0" fontId="19" fillId="3" borderId="11" xfId="10" applyNumberFormat="1" applyFont="1" applyFill="1" applyBorder="1" applyAlignment="1" applyProtection="1">
      <protection locked="0"/>
    </xf>
    <xf numFmtId="0" fontId="23" fillId="3" borderId="11" xfId="10" applyNumberFormat="1" applyFont="1" applyFill="1" applyBorder="1" applyAlignment="1" applyProtection="1">
      <protection locked="0"/>
    </xf>
    <xf numFmtId="0" fontId="19" fillId="3" borderId="12" xfId="10" applyNumberFormat="1" applyFont="1" applyFill="1" applyBorder="1" applyAlignment="1" applyProtection="1">
      <protection locked="0"/>
    </xf>
    <xf numFmtId="0" fontId="23" fillId="3" borderId="8" xfId="10" applyNumberFormat="1" applyFont="1" applyFill="1" applyBorder="1" applyAlignment="1" applyProtection="1">
      <alignment horizontal="left"/>
      <protection locked="0"/>
    </xf>
    <xf numFmtId="0" fontId="0" fillId="0" borderId="4" xfId="0" applyBorder="1" applyAlignment="1" applyProtection="1">
      <alignment horizontal="center"/>
      <protection locked="0"/>
    </xf>
    <xf numFmtId="0" fontId="23" fillId="3" borderId="4" xfId="10" applyNumberFormat="1" applyFont="1" applyFill="1" applyBorder="1" applyAlignment="1" applyProtection="1">
      <alignment horizontal="center"/>
      <protection locked="0"/>
    </xf>
    <xf numFmtId="0" fontId="19" fillId="3" borderId="4" xfId="10" applyNumberFormat="1" applyFont="1" applyFill="1" applyBorder="1" applyAlignment="1" applyProtection="1">
      <protection locked="0"/>
    </xf>
    <xf numFmtId="0" fontId="19" fillId="3" borderId="4" xfId="11" applyNumberFormat="1" applyFont="1" applyFill="1" applyBorder="1" applyAlignment="1" applyProtection="1">
      <protection locked="0"/>
    </xf>
    <xf numFmtId="0" fontId="19" fillId="3" borderId="9" xfId="10" applyNumberFormat="1" applyFont="1" applyFill="1" applyBorder="1" applyAlignment="1" applyProtection="1">
      <protection locked="0"/>
    </xf>
    <xf numFmtId="2" fontId="19" fillId="3" borderId="0" xfId="10" applyNumberFormat="1" applyFont="1" applyFill="1" applyBorder="1" applyAlignment="1" applyProtection="1">
      <protection locked="0"/>
    </xf>
    <xf numFmtId="0" fontId="19" fillId="3" borderId="0" xfId="10" applyNumberFormat="1" applyFont="1" applyFill="1" applyBorder="1" applyAlignment="1" applyProtection="1">
      <alignment horizontal="center"/>
      <protection locked="0"/>
    </xf>
    <xf numFmtId="0" fontId="19" fillId="3" borderId="0" xfId="10" applyNumberFormat="1" applyFont="1" applyFill="1" applyBorder="1" applyAlignment="1" applyProtection="1">
      <protection locked="0"/>
    </xf>
    <xf numFmtId="0" fontId="23" fillId="3" borderId="0" xfId="10" applyNumberFormat="1" applyFont="1" applyFill="1" applyBorder="1" applyAlignment="1" applyProtection="1">
      <alignment horizontal="center"/>
      <protection locked="0"/>
    </xf>
    <xf numFmtId="2" fontId="0" fillId="0" borderId="5" xfId="0" applyNumberFormat="1" applyFont="1" applyBorder="1" applyAlignment="1">
      <alignment horizontal="left" wrapText="1"/>
    </xf>
    <xf numFmtId="2" fontId="0" fillId="0" borderId="5" xfId="0" applyNumberFormat="1" applyFont="1" applyFill="1" applyBorder="1" applyAlignment="1">
      <alignment horizontal="left" wrapText="1"/>
    </xf>
    <xf numFmtId="2" fontId="0" fillId="0" borderId="5" xfId="0" applyNumberFormat="1" applyFont="1" applyFill="1" applyBorder="1" applyAlignment="1">
      <alignment wrapText="1"/>
    </xf>
    <xf numFmtId="0" fontId="0" fillId="0" borderId="0" xfId="0" applyFont="1" applyAlignment="1" applyProtection="1">
      <protection locked="0"/>
    </xf>
    <xf numFmtId="0" fontId="0" fillId="0" borderId="0" xfId="0" applyFont="1" applyAlignment="1" applyProtection="1">
      <alignment horizontal="left"/>
      <protection locked="0"/>
    </xf>
    <xf numFmtId="0" fontId="0" fillId="0" borderId="0" xfId="0" applyBorder="1" applyAlignment="1"/>
    <xf numFmtId="0" fontId="0" fillId="0" borderId="0" xfId="0" applyAlignment="1"/>
    <xf numFmtId="0" fontId="22" fillId="0" borderId="0" xfId="0" applyFont="1"/>
    <xf numFmtId="0" fontId="2" fillId="0" borderId="0" xfId="16" applyFont="1"/>
    <xf numFmtId="0" fontId="25" fillId="0" borderId="0" xfId="16" applyFont="1"/>
    <xf numFmtId="0" fontId="2" fillId="0" borderId="0" xfId="16" applyFont="1" applyAlignment="1">
      <alignment horizontal="left"/>
    </xf>
    <xf numFmtId="0" fontId="2" fillId="0" borderId="0" xfId="16" applyFont="1" applyAlignment="1">
      <alignment horizontal="right"/>
    </xf>
    <xf numFmtId="0" fontId="2" fillId="0" borderId="0" xfId="16" applyFont="1" applyAlignment="1">
      <alignment horizontal="left" wrapText="1"/>
    </xf>
    <xf numFmtId="0" fontId="2" fillId="8" borderId="0" xfId="16" applyFont="1" applyFill="1"/>
    <xf numFmtId="0" fontId="26" fillId="8" borderId="0" xfId="16" applyFont="1" applyFill="1"/>
    <xf numFmtId="0" fontId="2" fillId="8" borderId="0" xfId="16" applyFont="1" applyFill="1" applyAlignment="1">
      <alignment horizontal="left"/>
    </xf>
    <xf numFmtId="0" fontId="2" fillId="8" borderId="0" xfId="16" applyFont="1" applyFill="1" applyAlignment="1">
      <alignment horizontal="right"/>
    </xf>
    <xf numFmtId="0" fontId="27" fillId="8" borderId="0" xfId="16" applyFont="1" applyFill="1"/>
    <xf numFmtId="0" fontId="28" fillId="8" borderId="0" xfId="16" applyFont="1" applyFill="1" applyBorder="1"/>
    <xf numFmtId="0" fontId="2" fillId="3" borderId="0" xfId="16" applyFont="1" applyFill="1" applyBorder="1"/>
    <xf numFmtId="0" fontId="6" fillId="3" borderId="0" xfId="16" applyFont="1" applyFill="1" applyBorder="1"/>
    <xf numFmtId="0" fontId="6" fillId="3" borderId="0" xfId="16" applyFont="1" applyFill="1" applyBorder="1" applyAlignment="1">
      <alignment horizontal="right"/>
    </xf>
    <xf numFmtId="0" fontId="6" fillId="3" borderId="0" xfId="16" applyFont="1" applyFill="1"/>
    <xf numFmtId="0" fontId="29" fillId="3" borderId="0" xfId="16" applyFont="1" applyFill="1" applyBorder="1" applyAlignment="1">
      <alignment horizontal="left" wrapText="1"/>
    </xf>
    <xf numFmtId="0" fontId="30" fillId="3" borderId="0" xfId="5" applyFont="1" applyFill="1" applyAlignment="1" applyProtection="1"/>
    <xf numFmtId="0" fontId="2" fillId="3" borderId="0" xfId="16" applyFont="1" applyFill="1"/>
    <xf numFmtId="0" fontId="28" fillId="8" borderId="0" xfId="16" applyFont="1" applyFill="1"/>
    <xf numFmtId="0" fontId="31" fillId="8" borderId="0" xfId="16" applyFont="1" applyFill="1" applyBorder="1" applyAlignment="1">
      <alignment wrapText="1"/>
    </xf>
    <xf numFmtId="0" fontId="29" fillId="3" borderId="0" xfId="16" applyFont="1" applyFill="1" applyBorder="1" applyAlignment="1">
      <alignment wrapText="1"/>
    </xf>
    <xf numFmtId="44" fontId="28" fillId="8" borderId="0" xfId="16" applyNumberFormat="1" applyFont="1" applyFill="1"/>
    <xf numFmtId="44" fontId="29" fillId="3" borderId="0" xfId="17" applyFont="1" applyFill="1" applyBorder="1" applyAlignment="1">
      <alignment horizontal="right"/>
    </xf>
    <xf numFmtId="44" fontId="29" fillId="3" borderId="0" xfId="17" applyFont="1" applyFill="1" applyBorder="1" applyAlignment="1">
      <alignment horizontal="center"/>
    </xf>
    <xf numFmtId="0" fontId="29" fillId="3" borderId="0" xfId="16" applyFont="1" applyFill="1" applyBorder="1" applyAlignment="1">
      <alignment horizontal="center" wrapText="1"/>
    </xf>
    <xf numFmtId="0" fontId="29" fillId="3" borderId="0" xfId="17" applyNumberFormat="1" applyFont="1" applyFill="1" applyBorder="1" applyAlignment="1">
      <alignment wrapText="1"/>
    </xf>
    <xf numFmtId="0" fontId="29" fillId="3" borderId="0" xfId="16" applyFont="1" applyFill="1" applyBorder="1" applyAlignment="1">
      <alignment horizontal="right" wrapText="1"/>
    </xf>
    <xf numFmtId="0" fontId="6" fillId="3" borderId="0" xfId="16" applyFont="1" applyFill="1" applyBorder="1" applyAlignment="1">
      <alignment vertical="top"/>
    </xf>
    <xf numFmtId="0" fontId="6" fillId="0" borderId="0" xfId="16" applyFont="1" applyFill="1"/>
    <xf numFmtId="0" fontId="29" fillId="0" borderId="0" xfId="16" applyFont="1" applyFill="1" applyBorder="1" applyAlignment="1">
      <alignment wrapText="1"/>
    </xf>
    <xf numFmtId="0" fontId="29" fillId="0" borderId="0" xfId="16" applyFont="1" applyFill="1" applyBorder="1" applyAlignment="1">
      <alignment horizontal="right" wrapText="1"/>
    </xf>
    <xf numFmtId="0" fontId="6" fillId="3" borderId="0" xfId="16" applyFont="1" applyFill="1" applyBorder="1" applyAlignment="1"/>
    <xf numFmtId="0" fontId="2" fillId="10" borderId="0" xfId="16" applyFont="1" applyFill="1"/>
    <xf numFmtId="0" fontId="2" fillId="0" borderId="0" xfId="16" applyFont="1" applyFill="1"/>
    <xf numFmtId="7" fontId="2" fillId="0" borderId="0" xfId="16" applyNumberFormat="1" applyFont="1"/>
    <xf numFmtId="169" fontId="31" fillId="8" borderId="0" xfId="16" applyNumberFormat="1" applyFont="1" applyFill="1" applyBorder="1"/>
    <xf numFmtId="169" fontId="29" fillId="3" borderId="0" xfId="16" applyNumberFormat="1" applyFont="1" applyFill="1" applyBorder="1"/>
    <xf numFmtId="169" fontId="29" fillId="3" borderId="21" xfId="16" applyNumberFormat="1" applyFont="1" applyFill="1" applyBorder="1"/>
    <xf numFmtId="169" fontId="29" fillId="3" borderId="22" xfId="16" applyNumberFormat="1" applyFont="1" applyFill="1" applyBorder="1"/>
    <xf numFmtId="169" fontId="29" fillId="3" borderId="23" xfId="16" applyNumberFormat="1" applyFont="1" applyFill="1" applyBorder="1"/>
    <xf numFmtId="0" fontId="6" fillId="3" borderId="0" xfId="16" applyFont="1" applyFill="1" applyBorder="1" applyAlignment="1">
      <alignment vertical="center" wrapText="1"/>
    </xf>
    <xf numFmtId="0" fontId="6" fillId="3" borderId="0" xfId="16" applyFont="1" applyFill="1" applyBorder="1" applyAlignment="1">
      <alignment horizontal="right" vertical="center" wrapText="1"/>
    </xf>
    <xf numFmtId="0" fontId="2" fillId="3" borderId="0" xfId="16" applyFont="1" applyFill="1" applyAlignment="1">
      <alignment horizontal="right"/>
    </xf>
    <xf numFmtId="0" fontId="28" fillId="8" borderId="0" xfId="16" applyFont="1" applyFill="1" applyProtection="1">
      <protection hidden="1"/>
    </xf>
    <xf numFmtId="169" fontId="6" fillId="3" borderId="0" xfId="18" applyNumberFormat="1" applyFont="1" applyFill="1" applyBorder="1" applyAlignment="1">
      <alignment horizontal="center"/>
    </xf>
    <xf numFmtId="169" fontId="6" fillId="3" borderId="0" xfId="18" applyNumberFormat="1" applyFont="1" applyFill="1" applyBorder="1" applyAlignment="1" applyProtection="1">
      <alignment horizontal="center"/>
    </xf>
    <xf numFmtId="8" fontId="6" fillId="3" borderId="0" xfId="16" applyNumberFormat="1" applyFont="1" applyFill="1" applyBorder="1" applyAlignment="1">
      <alignment horizontal="center"/>
    </xf>
    <xf numFmtId="169" fontId="6" fillId="3" borderId="0" xfId="18" applyNumberFormat="1" applyFont="1" applyFill="1" applyBorder="1"/>
    <xf numFmtId="2" fontId="6" fillId="3" borderId="0" xfId="16" applyNumberFormat="1" applyFont="1" applyFill="1" applyBorder="1" applyAlignment="1">
      <alignment horizontal="center"/>
    </xf>
    <xf numFmtId="49" fontId="6" fillId="3" borderId="0" xfId="16" applyNumberFormat="1" applyFont="1" applyFill="1" applyBorder="1" applyAlignment="1" applyProtection="1">
      <alignment horizontal="left"/>
    </xf>
    <xf numFmtId="0" fontId="6" fillId="3" borderId="0" xfId="16" applyFont="1" applyFill="1" applyBorder="1" applyAlignment="1">
      <alignment horizontal="center"/>
    </xf>
    <xf numFmtId="0" fontId="6" fillId="3" borderId="0" xfId="16" applyFont="1" applyFill="1" applyBorder="1" applyAlignment="1">
      <alignment horizontal="left" wrapText="1"/>
    </xf>
    <xf numFmtId="49" fontId="29" fillId="3" borderId="0" xfId="16" applyNumberFormat="1" applyFont="1" applyFill="1" applyBorder="1" applyAlignment="1" applyProtection="1">
      <alignment horizontal="left" indent="1"/>
    </xf>
    <xf numFmtId="0" fontId="6" fillId="3" borderId="0" xfId="16" quotePrefix="1" applyFont="1" applyFill="1" applyBorder="1" applyAlignment="1">
      <alignment horizontal="right"/>
    </xf>
    <xf numFmtId="0" fontId="2" fillId="3" borderId="0" xfId="16" quotePrefix="1" applyFont="1" applyFill="1" applyBorder="1" applyAlignment="1">
      <alignment horizontal="left" wrapText="1"/>
    </xf>
    <xf numFmtId="8" fontId="6" fillId="0" borderId="0" xfId="16" applyNumberFormat="1" applyFont="1" applyFill="1" applyBorder="1" applyAlignment="1">
      <alignment horizontal="center"/>
    </xf>
    <xf numFmtId="44" fontId="28" fillId="8" borderId="0" xfId="17" applyFont="1" applyFill="1" applyProtection="1">
      <protection hidden="1"/>
    </xf>
    <xf numFmtId="169" fontId="6" fillId="3" borderId="21" xfId="18" applyNumberFormat="1" applyFont="1" applyFill="1" applyBorder="1" applyAlignment="1">
      <alignment horizontal="center"/>
    </xf>
    <xf numFmtId="169" fontId="6" fillId="3" borderId="22" xfId="18" applyNumberFormat="1" applyFont="1" applyFill="1" applyBorder="1" applyAlignment="1" applyProtection="1">
      <alignment horizontal="center"/>
      <protection locked="0"/>
    </xf>
    <xf numFmtId="169" fontId="6" fillId="3" borderId="22" xfId="18" applyNumberFormat="1" applyFont="1" applyFill="1" applyBorder="1" applyAlignment="1">
      <alignment horizontal="center"/>
    </xf>
    <xf numFmtId="169" fontId="6" fillId="3" borderId="23" xfId="18" applyNumberFormat="1" applyFont="1" applyFill="1" applyBorder="1" applyAlignment="1" applyProtection="1">
      <alignment horizontal="center"/>
      <protection locked="0"/>
    </xf>
    <xf numFmtId="44" fontId="2" fillId="0" borderId="0" xfId="17" applyFont="1"/>
    <xf numFmtId="170" fontId="28" fillId="8" borderId="0" xfId="16" applyNumberFormat="1" applyFont="1" applyFill="1" applyProtection="1">
      <protection hidden="1"/>
    </xf>
    <xf numFmtId="0" fontId="29" fillId="3" borderId="0" xfId="16" applyFont="1" applyFill="1" applyBorder="1" applyAlignment="1">
      <alignment horizontal="left" indent="1"/>
    </xf>
    <xf numFmtId="169" fontId="6" fillId="3" borderId="24" xfId="18" applyNumberFormat="1" applyFont="1" applyFill="1" applyBorder="1" applyAlignment="1">
      <alignment horizontal="center"/>
    </xf>
    <xf numFmtId="169" fontId="6" fillId="3" borderId="25" xfId="18" applyNumberFormat="1" applyFont="1" applyFill="1" applyBorder="1" applyAlignment="1" applyProtection="1">
      <alignment horizontal="center"/>
      <protection locked="0"/>
    </xf>
    <xf numFmtId="169" fontId="6" fillId="3" borderId="25" xfId="18" applyNumberFormat="1" applyFont="1" applyFill="1" applyBorder="1" applyAlignment="1">
      <alignment horizontal="center"/>
    </xf>
    <xf numFmtId="169" fontId="6" fillId="3" borderId="26" xfId="18" applyNumberFormat="1" applyFont="1" applyFill="1" applyBorder="1" applyAlignment="1" applyProtection="1">
      <alignment horizontal="center"/>
      <protection locked="0"/>
    </xf>
    <xf numFmtId="169" fontId="6" fillId="3" borderId="27" xfId="18" applyNumberFormat="1" applyFont="1" applyFill="1" applyBorder="1" applyAlignment="1">
      <alignment horizontal="center"/>
    </xf>
    <xf numFmtId="169" fontId="6" fillId="3" borderId="5" xfId="18" applyNumberFormat="1" applyFont="1" applyFill="1" applyBorder="1" applyAlignment="1" applyProtection="1">
      <alignment horizontal="center"/>
      <protection locked="0"/>
    </xf>
    <xf numFmtId="169" fontId="6" fillId="3" borderId="5" xfId="18" applyNumberFormat="1" applyFont="1" applyFill="1" applyBorder="1" applyAlignment="1">
      <alignment horizontal="center"/>
    </xf>
    <xf numFmtId="169" fontId="6" fillId="3" borderId="28" xfId="18" applyNumberFormat="1" applyFont="1" applyFill="1" applyBorder="1" applyAlignment="1" applyProtection="1">
      <alignment horizontal="center"/>
      <protection locked="0"/>
    </xf>
    <xf numFmtId="0" fontId="6" fillId="3" borderId="0" xfId="16" applyFont="1" applyFill="1" applyBorder="1" applyAlignment="1">
      <alignment wrapText="1"/>
    </xf>
    <xf numFmtId="0" fontId="6" fillId="0" borderId="0" xfId="16" applyFont="1" applyFill="1" applyBorder="1" applyAlignment="1">
      <alignment horizontal="right"/>
    </xf>
    <xf numFmtId="2" fontId="6" fillId="0" borderId="0" xfId="16" applyNumberFormat="1" applyFont="1" applyFill="1" applyBorder="1" applyAlignment="1">
      <alignment horizontal="center"/>
    </xf>
    <xf numFmtId="0" fontId="6" fillId="3" borderId="0" xfId="16" applyFont="1" applyFill="1" applyBorder="1" applyAlignment="1">
      <alignment horizontal="center" wrapText="1"/>
    </xf>
    <xf numFmtId="0" fontId="6" fillId="0" borderId="0" xfId="16" quotePrefix="1" applyFont="1" applyFill="1" applyBorder="1" applyAlignment="1">
      <alignment horizontal="right"/>
    </xf>
    <xf numFmtId="0" fontId="2" fillId="3" borderId="0" xfId="16" applyFont="1" applyFill="1" applyBorder="1" applyAlignment="1">
      <alignment horizontal="left" wrapText="1"/>
    </xf>
    <xf numFmtId="49" fontId="6" fillId="9" borderId="0" xfId="16" applyNumberFormat="1" applyFont="1" applyFill="1" applyBorder="1" applyAlignment="1" applyProtection="1">
      <alignment horizontal="left"/>
    </xf>
    <xf numFmtId="169" fontId="6" fillId="3" borderId="29" xfId="18" applyNumberFormat="1" applyFont="1" applyFill="1" applyBorder="1" applyAlignment="1">
      <alignment horizontal="center"/>
    </xf>
    <xf numFmtId="169" fontId="6" fillId="3" borderId="30" xfId="18" applyNumberFormat="1" applyFont="1" applyFill="1" applyBorder="1" applyAlignment="1" applyProtection="1">
      <alignment horizontal="center"/>
      <protection locked="0"/>
    </xf>
    <xf numFmtId="169" fontId="6" fillId="3" borderId="30" xfId="18" applyNumberFormat="1" applyFont="1" applyFill="1" applyBorder="1" applyAlignment="1">
      <alignment horizontal="center"/>
    </xf>
    <xf numFmtId="169" fontId="6" fillId="3" borderId="31" xfId="18" applyNumberFormat="1" applyFont="1" applyFill="1" applyBorder="1" applyAlignment="1" applyProtection="1">
      <alignment horizontal="center"/>
      <protection locked="0"/>
    </xf>
    <xf numFmtId="3" fontId="6" fillId="3" borderId="0" xfId="16" quotePrefix="1" applyNumberFormat="1" applyFont="1" applyFill="1" applyBorder="1" applyAlignment="1">
      <alignment horizontal="right"/>
    </xf>
    <xf numFmtId="169" fontId="6" fillId="3" borderId="0" xfId="18" applyNumberFormat="1" applyFont="1" applyFill="1" applyBorder="1" applyAlignment="1" applyProtection="1">
      <alignment horizontal="center"/>
      <protection locked="0"/>
    </xf>
    <xf numFmtId="0" fontId="6" fillId="3" borderId="0" xfId="16" applyFont="1" applyFill="1" applyBorder="1" applyAlignment="1" applyProtection="1">
      <alignment horizontal="left"/>
    </xf>
    <xf numFmtId="0" fontId="29" fillId="3" borderId="0" xfId="16" applyFont="1" applyFill="1" applyBorder="1" applyAlignment="1" applyProtection="1">
      <alignment horizontal="left" indent="1"/>
    </xf>
    <xf numFmtId="3" fontId="6" fillId="3" borderId="0" xfId="18" quotePrefix="1" applyNumberFormat="1" applyFont="1" applyFill="1" applyBorder="1" applyAlignment="1">
      <alignment horizontal="right"/>
    </xf>
    <xf numFmtId="0" fontId="6" fillId="0" borderId="0" xfId="16" applyFont="1"/>
    <xf numFmtId="0" fontId="6" fillId="3" borderId="0" xfId="16" applyFont="1" applyFill="1" applyAlignment="1">
      <alignment horizontal="center"/>
    </xf>
    <xf numFmtId="0" fontId="6" fillId="3" borderId="0" xfId="16" applyFont="1" applyFill="1" applyAlignment="1">
      <alignment horizontal="left"/>
    </xf>
    <xf numFmtId="0" fontId="6" fillId="0" borderId="0" xfId="16" applyFont="1" applyAlignment="1">
      <alignment horizontal="right"/>
    </xf>
    <xf numFmtId="0" fontId="6" fillId="3" borderId="0" xfId="16" applyFont="1" applyFill="1" applyAlignment="1">
      <alignment horizontal="right"/>
    </xf>
    <xf numFmtId="0" fontId="6" fillId="0" borderId="0" xfId="16" applyFont="1" applyAlignment="1">
      <alignment horizontal="left" wrapText="1"/>
    </xf>
    <xf numFmtId="0" fontId="6" fillId="9" borderId="0" xfId="16" applyFont="1" applyFill="1" applyAlignment="1">
      <alignment horizontal="left"/>
    </xf>
    <xf numFmtId="0" fontId="6" fillId="0" borderId="0" xfId="16" applyFont="1" applyFill="1" applyBorder="1" applyAlignment="1">
      <alignment wrapText="1"/>
    </xf>
    <xf numFmtId="49" fontId="29" fillId="0" borderId="0" xfId="16" applyNumberFormat="1" applyFont="1" applyFill="1" applyBorder="1" applyAlignment="1" applyProtection="1">
      <alignment horizontal="left" indent="1"/>
    </xf>
    <xf numFmtId="0" fontId="2" fillId="0" borderId="0" xfId="16" applyFont="1" applyFill="1" applyBorder="1" applyAlignment="1">
      <alignment wrapText="1"/>
    </xf>
    <xf numFmtId="0" fontId="32" fillId="0" borderId="0" xfId="16" applyFont="1" applyFill="1" applyBorder="1" applyAlignment="1" applyProtection="1">
      <alignment horizontal="left" indent="1"/>
    </xf>
    <xf numFmtId="0" fontId="6" fillId="9" borderId="0" xfId="16" applyFont="1" applyFill="1" applyBorder="1" applyAlignment="1" applyProtection="1">
      <alignment horizontal="left"/>
    </xf>
    <xf numFmtId="0" fontId="33" fillId="3" borderId="0" xfId="16" applyFont="1" applyFill="1" applyBorder="1" applyAlignment="1" applyProtection="1">
      <alignment horizontal="left" indent="1"/>
    </xf>
    <xf numFmtId="169" fontId="6" fillId="3" borderId="32" xfId="18" applyNumberFormat="1" applyFont="1" applyFill="1" applyBorder="1" applyAlignment="1">
      <alignment horizontal="center"/>
    </xf>
    <xf numFmtId="169" fontId="6" fillId="3" borderId="33" xfId="18" applyNumberFormat="1" applyFont="1" applyFill="1" applyBorder="1" applyAlignment="1" applyProtection="1">
      <alignment horizontal="center"/>
      <protection locked="0"/>
    </xf>
    <xf numFmtId="169" fontId="6" fillId="3" borderId="33" xfId="18" applyNumberFormat="1" applyFont="1" applyFill="1" applyBorder="1" applyAlignment="1">
      <alignment horizontal="center"/>
    </xf>
    <xf numFmtId="169" fontId="6" fillId="3" borderId="34" xfId="18" applyNumberFormat="1" applyFont="1" applyFill="1" applyBorder="1" applyAlignment="1" applyProtection="1">
      <alignment horizontal="center"/>
      <protection locked="0"/>
    </xf>
    <xf numFmtId="0" fontId="35" fillId="0" borderId="0" xfId="16" applyFont="1"/>
    <xf numFmtId="0" fontId="35" fillId="3" borderId="0" xfId="16" applyFont="1" applyFill="1"/>
    <xf numFmtId="0" fontId="6" fillId="0" borderId="0" xfId="16" applyFont="1" applyFill="1" applyBorder="1" applyAlignment="1" applyProtection="1">
      <alignment horizontal="left"/>
    </xf>
    <xf numFmtId="49" fontId="6" fillId="3" borderId="0" xfId="16" applyNumberFormat="1" applyFont="1" applyFill="1" applyBorder="1" applyAlignment="1">
      <alignment horizontal="center"/>
    </xf>
    <xf numFmtId="3" fontId="6" fillId="0" borderId="0" xfId="18" quotePrefix="1" applyNumberFormat="1" applyFont="1" applyFill="1" applyBorder="1" applyAlignment="1">
      <alignment horizontal="right"/>
    </xf>
    <xf numFmtId="0" fontId="29" fillId="0" borderId="0" xfId="16" applyFont="1" applyFill="1" applyBorder="1" applyAlignment="1" applyProtection="1">
      <alignment horizontal="left" indent="1"/>
    </xf>
    <xf numFmtId="3" fontId="6" fillId="9" borderId="0" xfId="18" quotePrefix="1" applyNumberFormat="1" applyFont="1" applyFill="1" applyBorder="1" applyAlignment="1">
      <alignment horizontal="right"/>
    </xf>
    <xf numFmtId="0" fontId="25" fillId="8" borderId="0" xfId="16" applyFont="1" applyFill="1"/>
    <xf numFmtId="0" fontId="37" fillId="3" borderId="0" xfId="16" applyFont="1" applyFill="1" applyBorder="1" applyAlignment="1">
      <alignment horizontal="center" vertical="center" wrapText="1"/>
    </xf>
    <xf numFmtId="171" fontId="37" fillId="3" borderId="0" xfId="16" applyNumberFormat="1" applyFont="1" applyFill="1" applyBorder="1" applyAlignment="1">
      <alignment horizontal="center" vertical="center" wrapText="1"/>
    </xf>
    <xf numFmtId="172" fontId="32" fillId="0" borderId="0" xfId="16" applyNumberFormat="1" applyFont="1" applyFill="1" applyBorder="1" applyAlignment="1">
      <alignment horizontal="center" vertical="center"/>
    </xf>
    <xf numFmtId="171" fontId="32" fillId="3" borderId="0" xfId="16" applyNumberFormat="1" applyFont="1" applyFill="1" applyBorder="1" applyAlignment="1">
      <alignment horizontal="center"/>
    </xf>
    <xf numFmtId="0" fontId="38" fillId="3" borderId="0" xfId="16" applyFont="1" applyFill="1" applyBorder="1" applyAlignment="1">
      <alignment horizontal="left"/>
    </xf>
    <xf numFmtId="0" fontId="38" fillId="3" borderId="0" xfId="16" applyFont="1" applyFill="1" applyBorder="1" applyAlignment="1">
      <alignment horizontal="center"/>
    </xf>
    <xf numFmtId="0" fontId="37" fillId="3" borderId="0" xfId="16" applyFont="1" applyFill="1" applyBorder="1" applyAlignment="1">
      <alignment horizontal="center" wrapText="1"/>
    </xf>
    <xf numFmtId="0" fontId="2" fillId="3" borderId="0" xfId="16" applyFont="1" applyFill="1" applyBorder="1" applyAlignment="1">
      <alignment horizontal="right"/>
    </xf>
    <xf numFmtId="0" fontId="37" fillId="0" borderId="0" xfId="16" applyFont="1"/>
    <xf numFmtId="0" fontId="37" fillId="8" borderId="0" xfId="16" applyFont="1" applyFill="1"/>
    <xf numFmtId="0" fontId="39" fillId="8" borderId="0" xfId="16" applyFont="1" applyFill="1"/>
    <xf numFmtId="0" fontId="37" fillId="3" borderId="0" xfId="16" applyFont="1" applyFill="1"/>
    <xf numFmtId="0" fontId="37" fillId="0" borderId="2" xfId="16" applyFont="1" applyBorder="1" applyAlignment="1">
      <alignment horizontal="center" wrapText="1"/>
    </xf>
    <xf numFmtId="0" fontId="37" fillId="3" borderId="19" xfId="16" applyFont="1" applyFill="1" applyBorder="1" applyAlignment="1">
      <alignment horizontal="center" wrapText="1"/>
    </xf>
    <xf numFmtId="0" fontId="37" fillId="3" borderId="20" xfId="16" applyFont="1" applyFill="1" applyBorder="1" applyAlignment="1">
      <alignment horizontal="center" wrapText="1"/>
    </xf>
    <xf numFmtId="0" fontId="40" fillId="3" borderId="2" xfId="16" applyFont="1" applyFill="1" applyBorder="1" applyAlignment="1">
      <alignment horizontal="center" wrapText="1"/>
    </xf>
    <xf numFmtId="0" fontId="37" fillId="3" borderId="19" xfId="16" applyFont="1" applyFill="1" applyBorder="1" applyAlignment="1">
      <alignment horizontal="left" wrapText="1"/>
    </xf>
    <xf numFmtId="0" fontId="37" fillId="3" borderId="20" xfId="16" applyFont="1" applyFill="1" applyBorder="1" applyAlignment="1">
      <alignment horizontal="left" wrapText="1"/>
    </xf>
    <xf numFmtId="0" fontId="35" fillId="8" borderId="0" xfId="16" applyFont="1" applyFill="1"/>
    <xf numFmtId="0" fontId="41" fillId="8" borderId="0" xfId="16" applyFont="1" applyFill="1"/>
    <xf numFmtId="0" fontId="35" fillId="3" borderId="0" xfId="16" applyFont="1" applyFill="1" applyAlignment="1">
      <alignment horizontal="left"/>
    </xf>
    <xf numFmtId="0" fontId="2" fillId="3" borderId="0" xfId="16" applyFont="1" applyFill="1" applyBorder="1" applyAlignment="1"/>
    <xf numFmtId="0" fontId="2" fillId="3" borderId="0" xfId="16" applyFont="1" applyFill="1" applyBorder="1" applyAlignment="1">
      <alignment horizontal="left"/>
    </xf>
    <xf numFmtId="0" fontId="35" fillId="3" borderId="0" xfId="16" applyFont="1" applyFill="1" applyBorder="1" applyAlignment="1">
      <alignment horizontal="left" wrapText="1"/>
    </xf>
    <xf numFmtId="0" fontId="2" fillId="3" borderId="0" xfId="16" applyFont="1" applyFill="1" applyAlignment="1">
      <alignment horizontal="left"/>
    </xf>
    <xf numFmtId="8" fontId="2" fillId="3" borderId="0" xfId="16" applyNumberFormat="1" applyFont="1" applyFill="1"/>
    <xf numFmtId="0" fontId="43" fillId="3" borderId="0" xfId="16" applyFont="1" applyFill="1"/>
    <xf numFmtId="0" fontId="2" fillId="3" borderId="0" xfId="16" applyFont="1" applyFill="1" applyAlignment="1">
      <alignment horizontal="left" wrapText="1"/>
    </xf>
    <xf numFmtId="0" fontId="2" fillId="3" borderId="0" xfId="16" applyFont="1" applyFill="1" applyProtection="1"/>
    <xf numFmtId="0" fontId="32" fillId="3" borderId="0" xfId="16" applyFont="1" applyFill="1"/>
    <xf numFmtId="0" fontId="44" fillId="3" borderId="0" xfId="16" applyFont="1" applyFill="1" applyAlignment="1">
      <alignment horizontal="left"/>
    </xf>
    <xf numFmtId="0" fontId="46" fillId="0" borderId="0" xfId="16" applyFont="1" applyFill="1" applyAlignment="1">
      <alignment horizontal="left"/>
    </xf>
    <xf numFmtId="0" fontId="2" fillId="9" borderId="0" xfId="16" applyFont="1" applyFill="1"/>
    <xf numFmtId="14" fontId="34" fillId="0" borderId="0" xfId="16" applyNumberFormat="1" applyFont="1" applyFill="1" applyAlignment="1">
      <alignment horizontal="right" vertical="center" wrapText="1"/>
    </xf>
    <xf numFmtId="0" fontId="3" fillId="0" borderId="0" xfId="4" applyAlignment="1" applyProtection="1"/>
    <xf numFmtId="0" fontId="1" fillId="0" borderId="0" xfId="0" applyFont="1" applyAlignment="1">
      <alignment vertical="top" wrapText="1"/>
    </xf>
    <xf numFmtId="0" fontId="0" fillId="0" borderId="0" xfId="0" applyBorder="1" applyAlignment="1">
      <alignment horizontal="center"/>
    </xf>
    <xf numFmtId="0" fontId="0" fillId="0" borderId="20" xfId="0" applyBorder="1" applyAlignment="1">
      <alignment vertical="top" wrapText="1"/>
    </xf>
    <xf numFmtId="0" fontId="0" fillId="0" borderId="19" xfId="0" applyBorder="1" applyAlignment="1">
      <alignment vertical="top" wrapText="1"/>
    </xf>
    <xf numFmtId="0" fontId="0" fillId="0" borderId="2" xfId="0" applyBorder="1" applyAlignment="1">
      <alignment vertical="top" wrapText="1"/>
    </xf>
    <xf numFmtId="0" fontId="0" fillId="0" borderId="20" xfId="0" applyBorder="1" applyAlignment="1">
      <alignment wrapText="1"/>
    </xf>
    <xf numFmtId="0" fontId="0" fillId="0" borderId="19" xfId="0" applyBorder="1" applyAlignment="1">
      <alignment wrapText="1"/>
    </xf>
    <xf numFmtId="0" fontId="0" fillId="0" borderId="2" xfId="0" applyBorder="1" applyAlignment="1">
      <alignment wrapText="1"/>
    </xf>
    <xf numFmtId="0" fontId="20" fillId="7" borderId="6" xfId="10" applyFont="1" applyFill="1" applyBorder="1" applyAlignment="1" applyProtection="1">
      <alignment horizontal="left"/>
    </xf>
    <xf numFmtId="0" fontId="20" fillId="7" borderId="3" xfId="10" applyFont="1" applyFill="1" applyBorder="1" applyAlignment="1" applyProtection="1">
      <alignment horizontal="left"/>
    </xf>
    <xf numFmtId="0" fontId="0" fillId="7" borderId="3" xfId="0" applyFill="1" applyBorder="1" applyAlignment="1"/>
    <xf numFmtId="0" fontId="1" fillId="4" borderId="5" xfId="1" applyFont="1" applyFill="1" applyBorder="1" applyAlignment="1">
      <alignment horizontal="center" vertical="center" wrapText="1"/>
    </xf>
    <xf numFmtId="0" fontId="1" fillId="0" borderId="5" xfId="0" applyFont="1" applyBorder="1" applyAlignment="1">
      <alignment horizontal="center" vertical="center" wrapText="1"/>
    </xf>
    <xf numFmtId="0" fontId="7" fillId="7" borderId="5" xfId="1" applyFont="1" applyFill="1" applyBorder="1" applyAlignment="1">
      <alignment horizontal="center" vertical="center"/>
    </xf>
    <xf numFmtId="0" fontId="5" fillId="7" borderId="5" xfId="1" applyFont="1" applyFill="1" applyBorder="1" applyAlignment="1">
      <alignment horizontal="center" vertical="center" wrapText="1"/>
    </xf>
    <xf numFmtId="0" fontId="12" fillId="4" borderId="10" xfId="9" applyFont="1" applyFill="1" applyBorder="1" applyAlignment="1">
      <alignment horizontal="center" vertical="center" wrapText="1"/>
    </xf>
    <xf numFmtId="0" fontId="13" fillId="4" borderId="11" xfId="9" applyFont="1" applyFill="1" applyBorder="1" applyAlignment="1">
      <alignment horizontal="center" vertical="center" wrapText="1"/>
    </xf>
    <xf numFmtId="0" fontId="0" fillId="0" borderId="11" xfId="0" applyBorder="1" applyAlignment="1">
      <alignment horizontal="center" wrapText="1"/>
    </xf>
    <xf numFmtId="0" fontId="0" fillId="0" borderId="12" xfId="0" applyBorder="1" applyAlignment="1">
      <alignment horizontal="center" wrapText="1"/>
    </xf>
    <xf numFmtId="0" fontId="13" fillId="4" borderId="13" xfId="9" applyFont="1" applyFill="1" applyBorder="1" applyAlignment="1">
      <alignment horizontal="center" vertical="center" wrapText="1"/>
    </xf>
    <xf numFmtId="0" fontId="13" fillId="4" borderId="0" xfId="9" applyFont="1" applyFill="1" applyBorder="1" applyAlignment="1">
      <alignment horizontal="center" vertical="center" wrapText="1"/>
    </xf>
    <xf numFmtId="0" fontId="0" fillId="0" borderId="0" xfId="0" applyBorder="1" applyAlignment="1">
      <alignment horizontal="center" wrapText="1"/>
    </xf>
    <xf numFmtId="0" fontId="0" fillId="0" borderId="14" xfId="0" applyBorder="1" applyAlignment="1">
      <alignment horizontal="center" wrapText="1"/>
    </xf>
    <xf numFmtId="0" fontId="13" fillId="4" borderId="8" xfId="9" applyFont="1" applyFill="1" applyBorder="1" applyAlignment="1">
      <alignment horizontal="center" vertical="center" wrapText="1"/>
    </xf>
    <xf numFmtId="0" fontId="13" fillId="4" borderId="4" xfId="9" applyFont="1" applyFill="1" applyBorder="1" applyAlignment="1">
      <alignment horizontal="center" vertical="center" wrapText="1"/>
    </xf>
    <xf numFmtId="0" fontId="0" fillId="0" borderId="4" xfId="0" applyBorder="1" applyAlignment="1">
      <alignment horizontal="center" wrapText="1"/>
    </xf>
    <xf numFmtId="0" fontId="0" fillId="0" borderId="9" xfId="0" applyBorder="1" applyAlignment="1">
      <alignment horizontal="center" wrapText="1"/>
    </xf>
    <xf numFmtId="0" fontId="15" fillId="0" borderId="10" xfId="0" applyFont="1" applyBorder="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15" fillId="0" borderId="8" xfId="0" applyFont="1" applyBorder="1" applyAlignment="1">
      <alignment horizontal="center" vertical="center"/>
    </xf>
    <xf numFmtId="0" fontId="15" fillId="0" borderId="4" xfId="0" applyFont="1" applyBorder="1" applyAlignment="1">
      <alignment horizontal="center" vertical="center"/>
    </xf>
    <xf numFmtId="0" fontId="15" fillId="0" borderId="9" xfId="0" applyFont="1" applyBorder="1" applyAlignment="1">
      <alignment horizontal="center" vertical="center"/>
    </xf>
    <xf numFmtId="0" fontId="17" fillId="0" borderId="20" xfId="0" applyFont="1" applyBorder="1" applyAlignment="1">
      <alignment horizontal="center" vertical="center"/>
    </xf>
    <xf numFmtId="0" fontId="17" fillId="0" borderId="19" xfId="0" applyFont="1" applyBorder="1" applyAlignment="1">
      <alignment horizontal="center" vertical="center"/>
    </xf>
    <xf numFmtId="0" fontId="17" fillId="0" borderId="2" xfId="0" applyFont="1" applyBorder="1" applyAlignment="1">
      <alignment horizontal="center" vertical="center"/>
    </xf>
    <xf numFmtId="0" fontId="15" fillId="6" borderId="10" xfId="0" applyFont="1" applyFill="1" applyBorder="1" applyAlignment="1" applyProtection="1">
      <protection locked="0"/>
    </xf>
    <xf numFmtId="0" fontId="15" fillId="6" borderId="11" xfId="0" applyFont="1" applyFill="1" applyBorder="1" applyAlignment="1" applyProtection="1">
      <protection locked="0"/>
    </xf>
    <xf numFmtId="0" fontId="15" fillId="6" borderId="12" xfId="0" applyFont="1" applyFill="1" applyBorder="1" applyAlignment="1" applyProtection="1">
      <protection locked="0"/>
    </xf>
    <xf numFmtId="2" fontId="5" fillId="7" borderId="5" xfId="1" applyNumberFormat="1" applyFont="1" applyFill="1" applyBorder="1" applyAlignment="1">
      <alignment horizontal="center" vertical="center" wrapText="1"/>
    </xf>
    <xf numFmtId="9" fontId="5" fillId="7" borderId="5" xfId="1" applyNumberFormat="1" applyFont="1" applyFill="1" applyBorder="1" applyAlignment="1">
      <alignment horizontal="center" vertical="center" wrapText="1"/>
    </xf>
    <xf numFmtId="0" fontId="18" fillId="7" borderId="5" xfId="1" quotePrefix="1" applyFont="1" applyFill="1" applyBorder="1" applyAlignment="1">
      <alignment horizontal="left" vertical="center" wrapText="1"/>
    </xf>
    <xf numFmtId="0" fontId="37" fillId="3" borderId="19" xfId="16" applyFont="1" applyFill="1" applyBorder="1" applyAlignment="1">
      <alignment horizontal="left" wrapText="1"/>
    </xf>
    <xf numFmtId="0" fontId="29" fillId="3" borderId="0" xfId="16" applyFont="1" applyFill="1" applyBorder="1" applyAlignment="1">
      <alignment horizontal="center" wrapText="1"/>
    </xf>
    <xf numFmtId="0" fontId="29" fillId="3" borderId="14" xfId="16" applyFont="1" applyFill="1" applyBorder="1" applyAlignment="1">
      <alignment horizontal="center" wrapText="1"/>
    </xf>
    <xf numFmtId="44" fontId="29" fillId="3" borderId="20" xfId="17" applyFont="1" applyFill="1" applyBorder="1" applyAlignment="1">
      <alignment horizontal="center"/>
    </xf>
    <xf numFmtId="44" fontId="29" fillId="3" borderId="2" xfId="17" applyFont="1" applyFill="1" applyBorder="1" applyAlignment="1">
      <alignment horizontal="center"/>
    </xf>
    <xf numFmtId="44" fontId="29" fillId="3" borderId="20" xfId="17" applyFont="1" applyFill="1" applyBorder="1" applyAlignment="1">
      <alignment horizontal="right"/>
    </xf>
    <xf numFmtId="44" fontId="29" fillId="3" borderId="2" xfId="17" applyFont="1" applyFill="1" applyBorder="1" applyAlignment="1">
      <alignment horizontal="right"/>
    </xf>
    <xf numFmtId="0" fontId="6" fillId="0" borderId="0" xfId="16" applyFont="1" applyFill="1" applyBorder="1" applyAlignment="1">
      <alignment horizontal="left" vertical="top" wrapText="1"/>
    </xf>
    <xf numFmtId="0" fontId="29" fillId="3" borderId="0" xfId="16" applyFont="1" applyFill="1" applyAlignment="1">
      <alignment horizontal="center" wrapText="1"/>
    </xf>
    <xf numFmtId="0" fontId="45" fillId="3" borderId="20" xfId="16" applyFont="1" applyFill="1" applyBorder="1" applyAlignment="1">
      <alignment horizontal="center"/>
    </xf>
    <xf numFmtId="0" fontId="45" fillId="0" borderId="2" xfId="16" applyFont="1" applyBorder="1" applyAlignment="1">
      <alignment horizontal="center"/>
    </xf>
    <xf numFmtId="0" fontId="32" fillId="3" borderId="20" xfId="16" applyFont="1" applyFill="1" applyBorder="1" applyAlignment="1">
      <alignment horizontal="center"/>
    </xf>
    <xf numFmtId="0" fontId="32" fillId="3" borderId="19" xfId="16" applyFont="1" applyFill="1" applyBorder="1" applyAlignment="1">
      <alignment horizontal="center"/>
    </xf>
    <xf numFmtId="0" fontId="32" fillId="3" borderId="2" xfId="16" applyFont="1" applyFill="1" applyBorder="1" applyAlignment="1">
      <alignment horizontal="center"/>
    </xf>
    <xf numFmtId="0" fontId="42" fillId="3" borderId="20" xfId="16" applyFont="1" applyFill="1" applyBorder="1" applyAlignment="1">
      <alignment horizontal="center" wrapText="1"/>
    </xf>
    <xf numFmtId="0" fontId="42" fillId="3" borderId="2" xfId="16" applyFont="1" applyFill="1" applyBorder="1" applyAlignment="1">
      <alignment horizontal="center" wrapText="1"/>
    </xf>
    <xf numFmtId="0" fontId="6" fillId="9" borderId="0" xfId="16" applyFont="1" applyFill="1" applyAlignment="1">
      <alignment horizontal="left"/>
    </xf>
  </cellXfs>
  <cellStyles count="19">
    <cellStyle name="Comma 2" xfId="2"/>
    <cellStyle name="Comma 3" xfId="7"/>
    <cellStyle name="Comma 4" xfId="18"/>
    <cellStyle name="Currency 2" xfId="3"/>
    <cellStyle name="Currency 3" xfId="8"/>
    <cellStyle name="Currency 4" xfId="14"/>
    <cellStyle name="Currency 5" xfId="17"/>
    <cellStyle name="Hyperlink" xfId="4" builtinId="8"/>
    <cellStyle name="Hyperlink 2" xfId="5"/>
    <cellStyle name="Hyperlink 3" xfId="11"/>
    <cellStyle name="Normal" xfId="0" builtinId="0"/>
    <cellStyle name="Normal 2" xfId="1"/>
    <cellStyle name="Normal 2 2" xfId="9"/>
    <cellStyle name="Normal 3" xfId="6"/>
    <cellStyle name="Normal 3 2" xfId="10"/>
    <cellStyle name="Normal 4" xfId="12"/>
    <cellStyle name="Normal 5" xfId="13"/>
    <cellStyle name="Normal 6" xfId="16"/>
    <cellStyle name="Percent 2" xfId="1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jpeg"/><Relationship Id="rId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2121354</xdr:colOff>
      <xdr:row>3</xdr:row>
      <xdr:rowOff>183424</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626179" cy="1021624"/>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514350</xdr:colOff>
      <xdr:row>1</xdr:row>
      <xdr:rowOff>85725</xdr:rowOff>
    </xdr:from>
    <xdr:to>
      <xdr:col>14</xdr:col>
      <xdr:colOff>409575</xdr:colOff>
      <xdr:row>3</xdr:row>
      <xdr:rowOff>85725</xdr:rowOff>
    </xdr:to>
    <xdr:pic>
      <xdr:nvPicPr>
        <xdr:cNvPr id="2" name="Picture 1" descr="new redpack logo - official - small siz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7829550" y="247650"/>
          <a:ext cx="1114425" cy="3238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10</xdr:col>
      <xdr:colOff>190500</xdr:colOff>
      <xdr:row>1</xdr:row>
      <xdr:rowOff>85725</xdr:rowOff>
    </xdr:from>
    <xdr:to>
      <xdr:col>12</xdr:col>
      <xdr:colOff>276225</xdr:colOff>
      <xdr:row>3</xdr:row>
      <xdr:rowOff>123825</xdr:rowOff>
    </xdr:to>
    <xdr:pic>
      <xdr:nvPicPr>
        <xdr:cNvPr id="3" name="Picture 2" descr="RG Ketchup Logo SMALL"/>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6286500" y="247650"/>
          <a:ext cx="1304925" cy="3619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15</xdr:col>
      <xdr:colOff>76200</xdr:colOff>
      <xdr:row>1</xdr:row>
      <xdr:rowOff>190500</xdr:rowOff>
    </xdr:from>
    <xdr:to>
      <xdr:col>16</xdr:col>
      <xdr:colOff>381000</xdr:colOff>
      <xdr:row>3</xdr:row>
      <xdr:rowOff>114300</xdr:rowOff>
    </xdr:to>
    <xdr:pic>
      <xdr:nvPicPr>
        <xdr:cNvPr id="4" name="Picture 3" descr="Sacramento logo - green"/>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xmlns="" val="0"/>
            </a:ext>
          </a:extLst>
        </a:blip>
        <a:srcRect/>
        <a:stretch>
          <a:fillRect/>
        </a:stretch>
      </xdr:blipFill>
      <xdr:spPr bwMode="auto">
        <a:xfrm>
          <a:off x="9220200" y="323850"/>
          <a:ext cx="914400" cy="27622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xdr:from>
      <xdr:col>2</xdr:col>
      <xdr:colOff>276225</xdr:colOff>
      <xdr:row>0</xdr:row>
      <xdr:rowOff>142875</xdr:rowOff>
    </xdr:from>
    <xdr:to>
      <xdr:col>5</xdr:col>
      <xdr:colOff>381000</xdr:colOff>
      <xdr:row>5</xdr:row>
      <xdr:rowOff>57150</xdr:rowOff>
    </xdr:to>
    <xdr:pic>
      <xdr:nvPicPr>
        <xdr:cNvPr id="5" name="Picture 4" descr="Red Gold FS Logo 300dpi 3 inch"/>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xmlns="" val="0"/>
            </a:ext>
          </a:extLst>
        </a:blip>
        <a:srcRect/>
        <a:stretch>
          <a:fillRect/>
        </a:stretch>
      </xdr:blipFill>
      <xdr:spPr bwMode="auto">
        <a:xfrm>
          <a:off x="1495425" y="142875"/>
          <a:ext cx="1933575" cy="72390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Food%20and%20Nutrition\Commodities\Calculators%20for%20SY%202014\Linda%20Calculators\Schwan's%20Commodity%20Calculator%20SY13-14%2011-21-20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10244 CHEESE"/>
      <sheetName val="100418 FLOUR"/>
      <sheetName val="100332 TOMATO PASTE"/>
      <sheetName val="110113 CHICKEN LEGS"/>
      <sheetName val="Sheet2"/>
      <sheetName val="Sheet3"/>
      <sheetName val="Sheet6"/>
      <sheetName val="Sheet8"/>
    </sheetNames>
    <sheetDataSet>
      <sheetData sheetId="0"/>
      <sheetData sheetId="1"/>
      <sheetData sheetId="2"/>
      <sheetData sheetId="3"/>
      <sheetData sheetId="4">
        <row r="8">
          <cell r="A8" t="str">
            <v>RISING CRUST PIZZA</v>
          </cell>
          <cell r="B8">
            <v>0</v>
          </cell>
          <cell r="C8">
            <v>0</v>
          </cell>
          <cell r="D8">
            <v>0</v>
          </cell>
          <cell r="E8">
            <v>0</v>
          </cell>
          <cell r="F8">
            <v>0</v>
          </cell>
          <cell r="G8">
            <v>0</v>
          </cell>
          <cell r="H8">
            <v>0</v>
          </cell>
          <cell r="I8">
            <v>0</v>
          </cell>
          <cell r="J8">
            <v>0</v>
          </cell>
        </row>
        <row r="9">
          <cell r="A9" t="str">
            <v>Code</v>
          </cell>
          <cell r="B9" t="str">
            <v>Variety</v>
          </cell>
          <cell r="C9" t="str">
            <v xml:space="preserve">  Serv./Case</v>
          </cell>
          <cell r="D9" t="str">
            <v>Serv. Size (oz.)</v>
          </cell>
          <cell r="E9" t="str">
            <v>M/MA (oz.)</v>
          </cell>
          <cell r="F9" t="str">
            <v>Grain</v>
          </cell>
          <cell r="G9" t="str">
            <v>Vegetable</v>
          </cell>
          <cell r="H9" t="str">
            <v>% Breakdown Cheese</v>
          </cell>
          <cell r="I9" t="str">
            <v>% Whole Grain</v>
          </cell>
          <cell r="J9">
            <v>0</v>
          </cell>
        </row>
        <row r="10">
          <cell r="A10" t="str">
            <v>Big Daddy's® 16" Harvest 51% Whole Grain Rolled Edge Pizza</v>
          </cell>
          <cell r="B10">
            <v>0</v>
          </cell>
          <cell r="C10">
            <v>0</v>
          </cell>
          <cell r="D10">
            <v>0</v>
          </cell>
          <cell r="E10">
            <v>0</v>
          </cell>
          <cell r="F10">
            <v>0</v>
          </cell>
          <cell r="G10">
            <v>0</v>
          </cell>
          <cell r="H10">
            <v>0</v>
          </cell>
          <cell r="I10">
            <v>0</v>
          </cell>
          <cell r="J10">
            <v>0</v>
          </cell>
        </row>
        <row r="11">
          <cell r="A11">
            <v>68543</v>
          </cell>
          <cell r="B11" t="str">
            <v>51 % Whole Grain Cheese (10-cut)</v>
          </cell>
          <cell r="C11">
            <v>90</v>
          </cell>
          <cell r="D11">
            <v>3.95</v>
          </cell>
          <cell r="E11" t="str">
            <v>1½</v>
          </cell>
          <cell r="F11" t="str">
            <v>1¾</v>
          </cell>
          <cell r="G11" t="str">
            <v>1⁄8</v>
          </cell>
          <cell r="H11" t="str">
            <v xml:space="preserve">100% Mozz </v>
          </cell>
          <cell r="I11">
            <v>0.51</v>
          </cell>
          <cell r="J11">
            <v>0</v>
          </cell>
        </row>
        <row r="12">
          <cell r="A12">
            <v>68543</v>
          </cell>
          <cell r="B12" t="str">
            <v>51% Whole Grain Cheese (8-cut)</v>
          </cell>
          <cell r="C12">
            <v>72</v>
          </cell>
          <cell r="D12">
            <v>4.9400000000000004</v>
          </cell>
          <cell r="E12">
            <v>2</v>
          </cell>
          <cell r="F12">
            <v>2</v>
          </cell>
          <cell r="G12" t="str">
            <v>1⁄8</v>
          </cell>
          <cell r="H12" t="str">
            <v>100% Mozz</v>
          </cell>
          <cell r="I12">
            <v>0.51</v>
          </cell>
          <cell r="J12">
            <v>0</v>
          </cell>
        </row>
        <row r="13">
          <cell r="A13">
            <v>68544</v>
          </cell>
          <cell r="B13" t="str">
            <v>51% Whole Grain Turkey Pepperoni(8-cut)</v>
          </cell>
          <cell r="C13">
            <v>72</v>
          </cell>
          <cell r="D13">
            <v>4.97</v>
          </cell>
          <cell r="E13">
            <v>2</v>
          </cell>
          <cell r="F13">
            <v>2</v>
          </cell>
          <cell r="G13" t="str">
            <v>1⁄8</v>
          </cell>
          <cell r="H13" t="str">
            <v>100% Mozz</v>
          </cell>
          <cell r="I13">
            <v>0.51</v>
          </cell>
          <cell r="J13">
            <v>0</v>
          </cell>
        </row>
        <row r="14">
          <cell r="A14">
            <v>68544</v>
          </cell>
          <cell r="B14" t="str">
            <v>51% Whole Grain Turkey Pepperoni(10-cut)</v>
          </cell>
          <cell r="C14">
            <v>90</v>
          </cell>
          <cell r="D14">
            <v>3.99</v>
          </cell>
          <cell r="E14" t="str">
            <v>1 ½</v>
          </cell>
          <cell r="F14" t="str">
            <v>1 ¾</v>
          </cell>
          <cell r="G14" t="str">
            <v>1⁄8</v>
          </cell>
          <cell r="H14" t="str">
            <v>100% Mozz</v>
          </cell>
          <cell r="I14">
            <v>0.51</v>
          </cell>
          <cell r="J14">
            <v>0</v>
          </cell>
        </row>
        <row r="15">
          <cell r="A15" t="str">
            <v>Big Daddy's® 16" Hand Tossed Pizza</v>
          </cell>
          <cell r="B15">
            <v>0</v>
          </cell>
          <cell r="C15">
            <v>0</v>
          </cell>
          <cell r="D15">
            <v>0</v>
          </cell>
          <cell r="E15">
            <v>0</v>
          </cell>
          <cell r="F15">
            <v>0</v>
          </cell>
          <cell r="G15">
            <v>0</v>
          </cell>
          <cell r="H15">
            <v>0</v>
          </cell>
          <cell r="I15">
            <v>0</v>
          </cell>
          <cell r="J15">
            <v>0</v>
          </cell>
        </row>
        <row r="16">
          <cell r="A16">
            <v>78398</v>
          </cell>
          <cell r="B16" t="str">
            <v>51% Whole Grain Cheese (8-cut)</v>
          </cell>
          <cell r="C16">
            <v>72</v>
          </cell>
          <cell r="D16">
            <v>4.97</v>
          </cell>
          <cell r="E16">
            <v>2</v>
          </cell>
          <cell r="F16">
            <v>2</v>
          </cell>
          <cell r="G16" t="str">
            <v>1⁄8</v>
          </cell>
          <cell r="H16" t="str">
            <v>100% Mozz</v>
          </cell>
          <cell r="I16">
            <v>0.51</v>
          </cell>
          <cell r="J16">
            <v>0</v>
          </cell>
        </row>
        <row r="17">
          <cell r="A17">
            <v>78398</v>
          </cell>
          <cell r="B17" t="str">
            <v>51% Whole Grain Cheese (10-cut)</v>
          </cell>
          <cell r="C17">
            <v>90</v>
          </cell>
          <cell r="D17">
            <v>3.98</v>
          </cell>
          <cell r="E17" t="str">
            <v>1 ½</v>
          </cell>
          <cell r="F17" t="str">
            <v>1 ¾</v>
          </cell>
          <cell r="G17">
            <v>0</v>
          </cell>
          <cell r="H17" t="str">
            <v>100% Mozz</v>
          </cell>
          <cell r="I17">
            <v>0.51</v>
          </cell>
          <cell r="J17">
            <v>0</v>
          </cell>
        </row>
        <row r="18">
          <cell r="A18">
            <v>78399</v>
          </cell>
          <cell r="B18" t="str">
            <v>51% Whole Grain Pepperoni (8-cut)</v>
          </cell>
          <cell r="C18">
            <v>72</v>
          </cell>
          <cell r="D18">
            <v>5</v>
          </cell>
          <cell r="E18">
            <v>2</v>
          </cell>
          <cell r="F18">
            <v>2</v>
          </cell>
          <cell r="G18" t="str">
            <v>1⁄8</v>
          </cell>
          <cell r="H18" t="str">
            <v xml:space="preserve">100% Mozz </v>
          </cell>
          <cell r="I18">
            <v>0.51</v>
          </cell>
          <cell r="J18">
            <v>0</v>
          </cell>
        </row>
        <row r="19">
          <cell r="A19">
            <v>78399</v>
          </cell>
          <cell r="B19" t="str">
            <v>51% Whole Grain Pepperoni (10-cut)</v>
          </cell>
          <cell r="C19">
            <v>90</v>
          </cell>
          <cell r="D19">
            <v>4</v>
          </cell>
          <cell r="E19" t="str">
            <v>1 ½</v>
          </cell>
          <cell r="F19" t="str">
            <v>1 ¾</v>
          </cell>
          <cell r="G19">
            <v>0</v>
          </cell>
          <cell r="H19" t="str">
            <v xml:space="preserve">100% Mozz </v>
          </cell>
          <cell r="I19">
            <v>0.51</v>
          </cell>
          <cell r="J19">
            <v>0</v>
          </cell>
        </row>
        <row r="20">
          <cell r="A20" t="str">
            <v>Big Daddy's® 16" Hand Tossed Pre-Sliced Pizza</v>
          </cell>
          <cell r="B20">
            <v>0</v>
          </cell>
          <cell r="C20">
            <v>0</v>
          </cell>
          <cell r="D20">
            <v>0</v>
          </cell>
          <cell r="E20">
            <v>0</v>
          </cell>
          <cell r="F20">
            <v>0</v>
          </cell>
          <cell r="G20">
            <v>0</v>
          </cell>
          <cell r="H20">
            <v>0</v>
          </cell>
          <cell r="I20">
            <v>0</v>
          </cell>
          <cell r="J20">
            <v>0</v>
          </cell>
        </row>
        <row r="21">
          <cell r="A21">
            <v>78397</v>
          </cell>
          <cell r="B21" t="str">
            <v>51% Whole Grain Cheese (8-cut)</v>
          </cell>
          <cell r="C21">
            <v>72</v>
          </cell>
          <cell r="D21">
            <v>4.97</v>
          </cell>
          <cell r="E21">
            <v>2</v>
          </cell>
          <cell r="F21">
            <v>2</v>
          </cell>
          <cell r="G21" t="str">
            <v>1⁄8</v>
          </cell>
          <cell r="H21" t="str">
            <v>100% Mozz</v>
          </cell>
          <cell r="I21">
            <v>0.51</v>
          </cell>
          <cell r="J21">
            <v>0</v>
          </cell>
        </row>
        <row r="22">
          <cell r="A22">
            <v>78392</v>
          </cell>
          <cell r="B22" t="str">
            <v>51% Whole Grain Pepperoni (8-cut)</v>
          </cell>
          <cell r="C22">
            <v>72</v>
          </cell>
          <cell r="D22">
            <v>5</v>
          </cell>
          <cell r="E22">
            <v>2</v>
          </cell>
          <cell r="F22">
            <v>2</v>
          </cell>
          <cell r="G22" t="str">
            <v>1⁄8</v>
          </cell>
          <cell r="H22" t="str">
            <v>100% Mozz</v>
          </cell>
          <cell r="I22">
            <v>0.51</v>
          </cell>
          <cell r="J22">
            <v>0</v>
          </cell>
        </row>
        <row r="23">
          <cell r="A23" t="str">
            <v>Big Daddy's® 16" LS 51% Whole Grain Rolled Edge Pizza</v>
          </cell>
          <cell r="B23">
            <v>0</v>
          </cell>
          <cell r="C23">
            <v>0</v>
          </cell>
          <cell r="D23">
            <v>0</v>
          </cell>
          <cell r="E23">
            <v>0</v>
          </cell>
          <cell r="F23">
            <v>0</v>
          </cell>
          <cell r="G23">
            <v>0</v>
          </cell>
          <cell r="H23">
            <v>0</v>
          </cell>
          <cell r="I23">
            <v>0</v>
          </cell>
          <cell r="J23">
            <v>0</v>
          </cell>
        </row>
        <row r="24">
          <cell r="A24">
            <v>78926</v>
          </cell>
          <cell r="B24" t="str">
            <v>51% Whole Grain Cheese (8-cut)</v>
          </cell>
          <cell r="C24">
            <v>72</v>
          </cell>
          <cell r="D24">
            <v>5.46</v>
          </cell>
          <cell r="E24" t="str">
            <v>2 ½</v>
          </cell>
          <cell r="F24">
            <v>3</v>
          </cell>
          <cell r="G24" t="str">
            <v>1⁄8</v>
          </cell>
          <cell r="H24" t="str">
            <v>100% Mozz</v>
          </cell>
          <cell r="I24">
            <v>0.51</v>
          </cell>
          <cell r="J24">
            <v>0</v>
          </cell>
        </row>
        <row r="25">
          <cell r="A25">
            <v>78926</v>
          </cell>
          <cell r="B25" t="str">
            <v>51% Whole Grain Cheese (10-cut)</v>
          </cell>
          <cell r="C25">
            <v>90</v>
          </cell>
          <cell r="D25">
            <v>4.38</v>
          </cell>
          <cell r="E25">
            <v>2</v>
          </cell>
          <cell r="F25">
            <v>2</v>
          </cell>
          <cell r="G25" t="str">
            <v>1⁄8</v>
          </cell>
          <cell r="H25" t="str">
            <v>100% Mozz</v>
          </cell>
          <cell r="I25">
            <v>0.51</v>
          </cell>
          <cell r="J25">
            <v>0</v>
          </cell>
        </row>
        <row r="26">
          <cell r="A26">
            <v>78927</v>
          </cell>
          <cell r="B26" t="str">
            <v>51% Whole Grain Turkey Pepperoni(8-cut)</v>
          </cell>
          <cell r="C26">
            <v>72</v>
          </cell>
          <cell r="D26">
            <v>5.5</v>
          </cell>
          <cell r="E26" t="str">
            <v>2 ½</v>
          </cell>
          <cell r="F26">
            <v>3</v>
          </cell>
          <cell r="G26" t="str">
            <v>1⁄8</v>
          </cell>
          <cell r="H26" t="str">
            <v>100% Mozz</v>
          </cell>
          <cell r="I26">
            <v>0.51</v>
          </cell>
          <cell r="J26">
            <v>0</v>
          </cell>
        </row>
        <row r="27">
          <cell r="A27">
            <v>78927</v>
          </cell>
          <cell r="B27" t="str">
            <v>51% Whole Grain Turkey Pepperoni(10-cut)</v>
          </cell>
          <cell r="C27">
            <v>90</v>
          </cell>
          <cell r="D27">
            <v>4.3899999999999997</v>
          </cell>
          <cell r="E27">
            <v>2</v>
          </cell>
          <cell r="F27">
            <v>2</v>
          </cell>
          <cell r="G27" t="str">
            <v>1⁄8</v>
          </cell>
          <cell r="H27" t="str">
            <v>100% Mozz</v>
          </cell>
          <cell r="I27">
            <v>0.51</v>
          </cell>
          <cell r="J27">
            <v>0</v>
          </cell>
        </row>
        <row r="28">
          <cell r="A28" t="str">
            <v>Big Daddy's® 16" 51% Whole Grain Rolled Edge Pre-Sliced Pizza</v>
          </cell>
          <cell r="B28">
            <v>0</v>
          </cell>
          <cell r="C28">
            <v>0</v>
          </cell>
          <cell r="D28">
            <v>0</v>
          </cell>
          <cell r="E28">
            <v>0</v>
          </cell>
          <cell r="F28">
            <v>0</v>
          </cell>
          <cell r="G28">
            <v>0</v>
          </cell>
          <cell r="H28">
            <v>0</v>
          </cell>
          <cell r="I28">
            <v>0</v>
          </cell>
          <cell r="J28">
            <v>0</v>
          </cell>
        </row>
        <row r="29">
          <cell r="A29">
            <v>78992</v>
          </cell>
          <cell r="B29" t="str">
            <v>51% Whole Grain Cheese (10-cut)</v>
          </cell>
          <cell r="C29">
            <v>90</v>
          </cell>
          <cell r="D29">
            <v>4.38</v>
          </cell>
          <cell r="E29">
            <v>2</v>
          </cell>
          <cell r="F29">
            <v>2</v>
          </cell>
          <cell r="G29" t="str">
            <v>1⁄8</v>
          </cell>
          <cell r="H29" t="str">
            <v>100% Mozz</v>
          </cell>
          <cell r="I29">
            <v>0.51</v>
          </cell>
          <cell r="J29">
            <v>0</v>
          </cell>
        </row>
        <row r="30">
          <cell r="A30">
            <v>78993</v>
          </cell>
          <cell r="B30" t="str">
            <v>51% Whole Grain Turkey Pepperoni</v>
          </cell>
          <cell r="C30">
            <v>90</v>
          </cell>
          <cell r="D30">
            <v>4.3899999999999997</v>
          </cell>
          <cell r="E30">
            <v>2</v>
          </cell>
          <cell r="F30">
            <v>2</v>
          </cell>
          <cell r="G30" t="str">
            <v>1⁄8</v>
          </cell>
          <cell r="H30" t="str">
            <v>100% Mozz</v>
          </cell>
          <cell r="I30">
            <v>0.51</v>
          </cell>
          <cell r="J30">
            <v>0</v>
          </cell>
        </row>
        <row r="31">
          <cell r="A31" t="str">
            <v>Big Daddy's® 16" Bold Pizza</v>
          </cell>
          <cell r="B31">
            <v>0</v>
          </cell>
          <cell r="C31">
            <v>0</v>
          </cell>
          <cell r="D31">
            <v>0</v>
          </cell>
          <cell r="E31">
            <v>0</v>
          </cell>
          <cell r="F31">
            <v>0</v>
          </cell>
          <cell r="G31">
            <v>0</v>
          </cell>
          <cell r="H31">
            <v>0</v>
          </cell>
          <cell r="I31">
            <v>0</v>
          </cell>
          <cell r="J31">
            <v>0</v>
          </cell>
        </row>
        <row r="32">
          <cell r="A32">
            <v>78985</v>
          </cell>
          <cell r="B32" t="str">
            <v>51% Whole Grain Cheese (8-cut)</v>
          </cell>
          <cell r="C32">
            <v>72</v>
          </cell>
          <cell r="D32">
            <v>5.56</v>
          </cell>
          <cell r="E32">
            <v>2</v>
          </cell>
          <cell r="F32">
            <v>3</v>
          </cell>
          <cell r="G32" t="str">
            <v>1⁄8</v>
          </cell>
          <cell r="H32" t="str">
            <v>100% Mozz</v>
          </cell>
          <cell r="I32">
            <v>0.51</v>
          </cell>
          <cell r="J32">
            <v>0</v>
          </cell>
        </row>
        <row r="33">
          <cell r="A33">
            <v>78985</v>
          </cell>
          <cell r="B33" t="str">
            <v>51% Whole Grain Cheese (10-cut)</v>
          </cell>
          <cell r="C33">
            <v>90</v>
          </cell>
          <cell r="D33">
            <v>4.45</v>
          </cell>
          <cell r="E33" t="str">
            <v>1 ½</v>
          </cell>
          <cell r="F33">
            <v>2</v>
          </cell>
          <cell r="G33">
            <v>0</v>
          </cell>
          <cell r="H33" t="str">
            <v>100% Mozz</v>
          </cell>
          <cell r="I33">
            <v>0.51</v>
          </cell>
          <cell r="J33">
            <v>0</v>
          </cell>
        </row>
        <row r="34">
          <cell r="A34">
            <v>78986</v>
          </cell>
          <cell r="B34" t="str">
            <v>51% Whole Grain Pepperoni (8-cut)</v>
          </cell>
          <cell r="C34">
            <v>72</v>
          </cell>
          <cell r="D34">
            <v>4.47</v>
          </cell>
          <cell r="E34">
            <v>2</v>
          </cell>
          <cell r="F34">
            <v>3</v>
          </cell>
          <cell r="G34" t="str">
            <v>1⁄8</v>
          </cell>
          <cell r="H34" t="str">
            <v>100% Mozz</v>
          </cell>
          <cell r="I34">
            <v>0.51</v>
          </cell>
          <cell r="J34">
            <v>0</v>
          </cell>
        </row>
        <row r="35">
          <cell r="A35">
            <v>78986</v>
          </cell>
          <cell r="B35" t="str">
            <v>51% Whole Grain Pepperoni (10-cut)</v>
          </cell>
          <cell r="C35">
            <v>90</v>
          </cell>
          <cell r="D35">
            <v>4.47</v>
          </cell>
          <cell r="E35" t="str">
            <v>1 ½</v>
          </cell>
          <cell r="F35">
            <v>2</v>
          </cell>
          <cell r="G35">
            <v>0</v>
          </cell>
          <cell r="H35" t="str">
            <v>100% Mozz</v>
          </cell>
          <cell r="I35">
            <v>0.51</v>
          </cell>
          <cell r="J35">
            <v>0</v>
          </cell>
        </row>
        <row r="36">
          <cell r="A36" t="str">
            <v>Big Daddy's® 16" Bold Pre-Sliced Pizza</v>
          </cell>
          <cell r="B36">
            <v>0</v>
          </cell>
          <cell r="C36">
            <v>0</v>
          </cell>
          <cell r="D36">
            <v>0</v>
          </cell>
          <cell r="E36">
            <v>0</v>
          </cell>
          <cell r="F36">
            <v>0</v>
          </cell>
          <cell r="G36">
            <v>0</v>
          </cell>
          <cell r="H36">
            <v>0</v>
          </cell>
          <cell r="I36">
            <v>0</v>
          </cell>
          <cell r="J36">
            <v>0</v>
          </cell>
        </row>
        <row r="37">
          <cell r="A37">
            <v>78987</v>
          </cell>
          <cell r="B37" t="str">
            <v>51% Whole Grain Cheese (10-cut)</v>
          </cell>
          <cell r="C37">
            <v>90</v>
          </cell>
          <cell r="D37">
            <v>4.45</v>
          </cell>
          <cell r="E37" t="str">
            <v>1 ½</v>
          </cell>
          <cell r="F37">
            <v>2</v>
          </cell>
          <cell r="G37">
            <v>0</v>
          </cell>
          <cell r="H37" t="str">
            <v>100% Mozz</v>
          </cell>
          <cell r="I37">
            <v>0.51</v>
          </cell>
          <cell r="J37">
            <v>0</v>
          </cell>
        </row>
        <row r="38">
          <cell r="A38">
            <v>78998</v>
          </cell>
          <cell r="B38" t="str">
            <v>51% Whole Grain Pepperoni (10-cut)</v>
          </cell>
          <cell r="C38">
            <v>90</v>
          </cell>
          <cell r="D38">
            <v>4.47</v>
          </cell>
          <cell r="E38" t="str">
            <v>1 ½</v>
          </cell>
          <cell r="F38">
            <v>2</v>
          </cell>
          <cell r="G38">
            <v>0</v>
          </cell>
          <cell r="H38" t="str">
            <v>100% Mozz</v>
          </cell>
          <cell r="I38">
            <v>0.51</v>
          </cell>
          <cell r="J38">
            <v>0</v>
          </cell>
        </row>
        <row r="39">
          <cell r="A39" t="str">
            <v>Big Daddy's® 16" Harvest Rolled Edge Pizza</v>
          </cell>
          <cell r="B39">
            <v>0</v>
          </cell>
          <cell r="C39">
            <v>0</v>
          </cell>
          <cell r="D39">
            <v>0</v>
          </cell>
          <cell r="E39">
            <v>0</v>
          </cell>
          <cell r="F39">
            <v>0</v>
          </cell>
          <cell r="G39">
            <v>0</v>
          </cell>
          <cell r="H39">
            <v>0</v>
          </cell>
          <cell r="I39">
            <v>0</v>
          </cell>
          <cell r="J39">
            <v>0</v>
          </cell>
        </row>
        <row r="40">
          <cell r="A40">
            <v>78942</v>
          </cell>
          <cell r="B40" t="str">
            <v>Cheese (8-cut)</v>
          </cell>
          <cell r="C40">
            <v>72</v>
          </cell>
          <cell r="D40">
            <v>5.18</v>
          </cell>
          <cell r="E40">
            <v>2</v>
          </cell>
          <cell r="F40">
            <v>3</v>
          </cell>
          <cell r="G40">
            <v>0</v>
          </cell>
          <cell r="H40" t="str">
            <v>100% Mozz</v>
          </cell>
          <cell r="I40">
            <v>0.15</v>
          </cell>
          <cell r="J40">
            <v>0</v>
          </cell>
        </row>
        <row r="41">
          <cell r="A41">
            <v>78942</v>
          </cell>
          <cell r="B41" t="str">
            <v>Cheese (10-cut)</v>
          </cell>
          <cell r="C41">
            <v>90</v>
          </cell>
          <cell r="D41">
            <v>4.16</v>
          </cell>
          <cell r="E41" t="str">
            <v>1 ½</v>
          </cell>
          <cell r="F41">
            <v>2</v>
          </cell>
          <cell r="G41">
            <v>0</v>
          </cell>
          <cell r="H41" t="str">
            <v>100% Mozz</v>
          </cell>
          <cell r="I41">
            <v>0.15</v>
          </cell>
          <cell r="J41">
            <v>0</v>
          </cell>
        </row>
        <row r="42">
          <cell r="A42">
            <v>78943</v>
          </cell>
          <cell r="B42" t="str">
            <v>Pepperoni (8-cut)</v>
          </cell>
          <cell r="C42">
            <v>72</v>
          </cell>
          <cell r="D42">
            <v>5.18</v>
          </cell>
          <cell r="E42">
            <v>2</v>
          </cell>
          <cell r="F42">
            <v>3</v>
          </cell>
          <cell r="G42">
            <v>0</v>
          </cell>
          <cell r="H42" t="str">
            <v>100% Mozz</v>
          </cell>
          <cell r="I42">
            <v>0.15</v>
          </cell>
          <cell r="J42">
            <v>0</v>
          </cell>
        </row>
        <row r="43">
          <cell r="A43">
            <v>78943</v>
          </cell>
          <cell r="B43" t="str">
            <v>Pepperoni (10-cut)</v>
          </cell>
          <cell r="C43">
            <v>90</v>
          </cell>
          <cell r="D43">
            <v>4.16</v>
          </cell>
          <cell r="E43" t="str">
            <v>1 ½</v>
          </cell>
          <cell r="F43">
            <v>2</v>
          </cell>
          <cell r="G43">
            <v>0</v>
          </cell>
          <cell r="H43" t="str">
            <v>100% Mozz</v>
          </cell>
          <cell r="I43">
            <v>0.15</v>
          </cell>
          <cell r="J43">
            <v>0</v>
          </cell>
        </row>
        <row r="44">
          <cell r="A44" t="str">
            <v>Big Daddy's® 16" Harvest Rolled Edge Pre-Sliced Pizza</v>
          </cell>
          <cell r="B44">
            <v>0</v>
          </cell>
          <cell r="C44">
            <v>0</v>
          </cell>
          <cell r="D44">
            <v>0</v>
          </cell>
          <cell r="E44">
            <v>0</v>
          </cell>
          <cell r="F44">
            <v>0</v>
          </cell>
          <cell r="G44">
            <v>0</v>
          </cell>
          <cell r="H44">
            <v>0</v>
          </cell>
          <cell r="I44">
            <v>0</v>
          </cell>
          <cell r="J44">
            <v>0</v>
          </cell>
        </row>
        <row r="45">
          <cell r="A45">
            <v>78944</v>
          </cell>
          <cell r="B45" t="str">
            <v>Cheese (10-cut)</v>
          </cell>
          <cell r="C45">
            <v>90</v>
          </cell>
          <cell r="D45">
            <v>4.1500000000000004</v>
          </cell>
          <cell r="E45" t="str">
            <v>1 ½</v>
          </cell>
          <cell r="F45">
            <v>2</v>
          </cell>
          <cell r="H45" t="str">
            <v>100% Mozz</v>
          </cell>
          <cell r="I45">
            <v>0.15</v>
          </cell>
          <cell r="J45">
            <v>0</v>
          </cell>
        </row>
        <row r="46">
          <cell r="A46">
            <v>78945</v>
          </cell>
          <cell r="B46" t="str">
            <v>Pepperoni (10-cut)</v>
          </cell>
          <cell r="C46">
            <v>90</v>
          </cell>
          <cell r="D46">
            <v>4.1500000000000004</v>
          </cell>
          <cell r="E46" t="str">
            <v>1 ½</v>
          </cell>
          <cell r="F46">
            <v>2</v>
          </cell>
          <cell r="H46" t="str">
            <v>100% Mozz</v>
          </cell>
          <cell r="I46">
            <v>0.15</v>
          </cell>
          <cell r="J46">
            <v>0</v>
          </cell>
        </row>
        <row r="47">
          <cell r="A47" t="str">
            <v>Big Daddy's® 16" Harvest Non-Rolled Edge Pizza</v>
          </cell>
          <cell r="B47">
            <v>0</v>
          </cell>
          <cell r="C47">
            <v>0</v>
          </cell>
          <cell r="D47">
            <v>0</v>
          </cell>
          <cell r="E47">
            <v>0</v>
          </cell>
          <cell r="F47">
            <v>0</v>
          </cell>
          <cell r="G47">
            <v>0</v>
          </cell>
          <cell r="H47">
            <v>0</v>
          </cell>
          <cell r="I47">
            <v>0</v>
          </cell>
          <cell r="J47">
            <v>0</v>
          </cell>
        </row>
        <row r="48">
          <cell r="A48">
            <v>78531</v>
          </cell>
          <cell r="B48" t="str">
            <v>Cheese      (8-cut)</v>
          </cell>
          <cell r="C48">
            <v>72</v>
          </cell>
          <cell r="D48">
            <v>5.25</v>
          </cell>
          <cell r="E48" t="str">
            <v>2 ½</v>
          </cell>
          <cell r="F48">
            <v>3</v>
          </cell>
          <cell r="G48">
            <v>0</v>
          </cell>
          <cell r="H48" t="str">
            <v>50/50</v>
          </cell>
          <cell r="I48">
            <v>0.15</v>
          </cell>
          <cell r="J48">
            <v>0</v>
          </cell>
        </row>
        <row r="49">
          <cell r="A49">
            <v>78531</v>
          </cell>
          <cell r="B49" t="str">
            <v>Cheese      (10-cut)</v>
          </cell>
          <cell r="C49">
            <v>90</v>
          </cell>
          <cell r="D49">
            <v>4.1900000000000004</v>
          </cell>
          <cell r="E49">
            <v>2</v>
          </cell>
          <cell r="F49">
            <v>2</v>
          </cell>
          <cell r="H49" t="str">
            <v>50/50</v>
          </cell>
          <cell r="I49">
            <v>0.15</v>
          </cell>
          <cell r="J49">
            <v>0</v>
          </cell>
        </row>
        <row r="50">
          <cell r="A50">
            <v>78533</v>
          </cell>
          <cell r="B50" t="str">
            <v>Pepperoni (8-cut)</v>
          </cell>
          <cell r="C50">
            <v>72</v>
          </cell>
          <cell r="D50">
            <v>5.29</v>
          </cell>
          <cell r="E50" t="str">
            <v>2 ½</v>
          </cell>
          <cell r="F50">
            <v>3</v>
          </cell>
          <cell r="H50" t="str">
            <v>50/50</v>
          </cell>
          <cell r="I50">
            <v>0.15</v>
          </cell>
          <cell r="J50">
            <v>0</v>
          </cell>
        </row>
        <row r="51">
          <cell r="A51">
            <v>78533</v>
          </cell>
          <cell r="B51" t="str">
            <v xml:space="preserve">Pepperoni (10-cut) </v>
          </cell>
          <cell r="C51">
            <v>90</v>
          </cell>
          <cell r="D51">
            <v>4.2300000000000004</v>
          </cell>
          <cell r="E51">
            <v>2</v>
          </cell>
          <cell r="F51">
            <v>2</v>
          </cell>
          <cell r="H51" t="str">
            <v>50/50</v>
          </cell>
          <cell r="I51">
            <v>0.15</v>
          </cell>
          <cell r="J51">
            <v>0</v>
          </cell>
        </row>
        <row r="52">
          <cell r="A52" t="str">
            <v>Big Daddy's® 16" Original Rolled Edge Pizza</v>
          </cell>
          <cell r="B52">
            <v>0</v>
          </cell>
          <cell r="C52">
            <v>0</v>
          </cell>
          <cell r="D52">
            <v>0</v>
          </cell>
          <cell r="E52">
            <v>0</v>
          </cell>
          <cell r="F52">
            <v>0</v>
          </cell>
          <cell r="G52">
            <v>0</v>
          </cell>
          <cell r="H52">
            <v>0</v>
          </cell>
          <cell r="I52">
            <v>0</v>
          </cell>
          <cell r="J52">
            <v>0</v>
          </cell>
        </row>
        <row r="53">
          <cell r="A53">
            <v>73142</v>
          </cell>
          <cell r="B53" t="str">
            <v>Cheese (8-cut)</v>
          </cell>
          <cell r="C53">
            <v>72</v>
          </cell>
          <cell r="D53">
            <v>5.39</v>
          </cell>
          <cell r="E53">
            <v>2</v>
          </cell>
          <cell r="F53">
            <v>3</v>
          </cell>
          <cell r="H53" t="str">
            <v>100% Mozz</v>
          </cell>
          <cell r="I53">
            <v>0</v>
          </cell>
          <cell r="J53">
            <v>0</v>
          </cell>
        </row>
        <row r="54">
          <cell r="A54">
            <v>73142</v>
          </cell>
          <cell r="B54" t="str">
            <v>Cheese (10-cut)</v>
          </cell>
          <cell r="C54">
            <v>90</v>
          </cell>
          <cell r="D54">
            <v>4.33</v>
          </cell>
          <cell r="E54" t="str">
            <v>1 ½</v>
          </cell>
          <cell r="F54">
            <v>2</v>
          </cell>
          <cell r="H54" t="str">
            <v>100% Mozz</v>
          </cell>
          <cell r="I54">
            <v>0</v>
          </cell>
          <cell r="J54">
            <v>0</v>
          </cell>
        </row>
        <row r="55">
          <cell r="A55">
            <v>73143</v>
          </cell>
          <cell r="B55" t="str">
            <v>Pepperoni (8-cut)</v>
          </cell>
          <cell r="C55">
            <v>72</v>
          </cell>
          <cell r="D55">
            <v>5.44</v>
          </cell>
          <cell r="E55">
            <v>2</v>
          </cell>
          <cell r="F55">
            <v>3</v>
          </cell>
          <cell r="H55" t="str">
            <v>100% Mozz</v>
          </cell>
          <cell r="I55">
            <v>0</v>
          </cell>
          <cell r="J55">
            <v>0</v>
          </cell>
        </row>
        <row r="56">
          <cell r="A56">
            <v>73143</v>
          </cell>
          <cell r="B56" t="str">
            <v>Pepperoni (10-cut)</v>
          </cell>
          <cell r="C56">
            <v>90</v>
          </cell>
          <cell r="D56">
            <v>4.34</v>
          </cell>
          <cell r="E56" t="str">
            <v>1 ½</v>
          </cell>
          <cell r="F56">
            <v>2</v>
          </cell>
          <cell r="G56">
            <v>0</v>
          </cell>
          <cell r="H56" t="str">
            <v>100% Mozz</v>
          </cell>
          <cell r="I56">
            <v>0</v>
          </cell>
          <cell r="J56">
            <v>0</v>
          </cell>
        </row>
        <row r="57">
          <cell r="A57" t="str">
            <v>Big Daddy's® Sicilian Style Pizza</v>
          </cell>
          <cell r="B57">
            <v>0</v>
          </cell>
          <cell r="C57">
            <v>0</v>
          </cell>
          <cell r="D57">
            <v>0</v>
          </cell>
          <cell r="E57">
            <v>0</v>
          </cell>
          <cell r="F57">
            <v>0</v>
          </cell>
          <cell r="G57">
            <v>0</v>
          </cell>
          <cell r="H57">
            <v>0</v>
          </cell>
          <cell r="I57">
            <v>0</v>
          </cell>
          <cell r="J57">
            <v>0</v>
          </cell>
        </row>
        <row r="58">
          <cell r="A58">
            <v>78388</v>
          </cell>
          <cell r="B58" t="str">
            <v>51% Whole Grain Cheese (8-cut)</v>
          </cell>
          <cell r="C58">
            <v>96</v>
          </cell>
          <cell r="D58">
            <v>5.01</v>
          </cell>
          <cell r="E58">
            <v>2</v>
          </cell>
          <cell r="F58">
            <v>2</v>
          </cell>
          <cell r="G58" t="str">
            <v>1⁄8</v>
          </cell>
          <cell r="H58" t="str">
            <v>100% Mozz</v>
          </cell>
          <cell r="I58">
            <v>0.51</v>
          </cell>
          <cell r="J58">
            <v>0</v>
          </cell>
        </row>
        <row r="59">
          <cell r="A59">
            <v>78388</v>
          </cell>
          <cell r="B59" t="str">
            <v>51% Whole Grain Cheese (16-cut)</v>
          </cell>
          <cell r="C59">
            <v>192</v>
          </cell>
          <cell r="D59">
            <v>2.5</v>
          </cell>
          <cell r="E59">
            <v>1</v>
          </cell>
          <cell r="F59">
            <v>1</v>
          </cell>
          <cell r="G59">
            <v>0</v>
          </cell>
          <cell r="H59" t="str">
            <v>100% Mozz</v>
          </cell>
          <cell r="I59">
            <v>0.51</v>
          </cell>
          <cell r="J59">
            <v>0</v>
          </cell>
        </row>
        <row r="60">
          <cell r="A60" t="str">
            <v>Red Baron® 15" Bake to Rise® Pizza</v>
          </cell>
          <cell r="B60">
            <v>0</v>
          </cell>
          <cell r="C60">
            <v>0</v>
          </cell>
          <cell r="D60">
            <v>0</v>
          </cell>
          <cell r="E60">
            <v>0</v>
          </cell>
          <cell r="F60">
            <v>0</v>
          </cell>
          <cell r="G60">
            <v>0</v>
          </cell>
          <cell r="H60">
            <v>0</v>
          </cell>
          <cell r="I60">
            <v>0</v>
          </cell>
          <cell r="J60">
            <v>0</v>
          </cell>
        </row>
        <row r="61">
          <cell r="A61">
            <v>78675</v>
          </cell>
          <cell r="B61" t="str">
            <v>Cheese</v>
          </cell>
          <cell r="C61">
            <v>96</v>
          </cell>
          <cell r="D61">
            <v>5.1100000000000003</v>
          </cell>
          <cell r="E61">
            <v>1</v>
          </cell>
          <cell r="F61">
            <v>3</v>
          </cell>
          <cell r="G61" t="str">
            <v>1⁄8</v>
          </cell>
          <cell r="H61" t="str">
            <v>100% Mozz</v>
          </cell>
          <cell r="I61">
            <v>0</v>
          </cell>
          <cell r="J61">
            <v>0</v>
          </cell>
        </row>
        <row r="62">
          <cell r="A62">
            <v>78676</v>
          </cell>
          <cell r="B62" t="str">
            <v>Pepperoni</v>
          </cell>
          <cell r="C62">
            <v>96</v>
          </cell>
          <cell r="D62">
            <v>5.38</v>
          </cell>
          <cell r="E62" t="str">
            <v>1¼</v>
          </cell>
          <cell r="F62" t="str">
            <v>3 ½</v>
          </cell>
          <cell r="G62" t="str">
            <v>1⁄8</v>
          </cell>
          <cell r="H62" t="str">
            <v>100% Mozz</v>
          </cell>
          <cell r="I62">
            <v>0</v>
          </cell>
          <cell r="J62">
            <v>0</v>
          </cell>
        </row>
        <row r="63">
          <cell r="A63" t="str">
            <v>Red Baron® 7" Solo Pizza with Boxes</v>
          </cell>
          <cell r="B63">
            <v>0</v>
          </cell>
          <cell r="C63">
            <v>0</v>
          </cell>
          <cell r="D63">
            <v>0</v>
          </cell>
          <cell r="E63">
            <v>0</v>
          </cell>
          <cell r="F63">
            <v>0</v>
          </cell>
          <cell r="G63">
            <v>0</v>
          </cell>
          <cell r="H63">
            <v>0</v>
          </cell>
          <cell r="I63">
            <v>0</v>
          </cell>
          <cell r="J63">
            <v>0</v>
          </cell>
        </row>
        <row r="64">
          <cell r="A64">
            <v>73162</v>
          </cell>
          <cell r="B64" t="str">
            <v>Cheese</v>
          </cell>
          <cell r="C64">
            <v>48</v>
          </cell>
          <cell r="D64">
            <v>7.91</v>
          </cell>
          <cell r="E64">
            <v>2</v>
          </cell>
          <cell r="F64">
            <v>5</v>
          </cell>
          <cell r="G64" t="str">
            <v>1⁄8</v>
          </cell>
          <cell r="H64" t="str">
            <v>100% Mozz</v>
          </cell>
          <cell r="I64">
            <v>0</v>
          </cell>
          <cell r="J64">
            <v>0</v>
          </cell>
        </row>
        <row r="65">
          <cell r="A65">
            <v>73163</v>
          </cell>
          <cell r="B65" t="str">
            <v>Pepperoni</v>
          </cell>
          <cell r="C65">
            <v>48</v>
          </cell>
          <cell r="D65">
            <v>7.91</v>
          </cell>
          <cell r="E65">
            <v>2</v>
          </cell>
          <cell r="F65">
            <v>5</v>
          </cell>
          <cell r="G65" t="str">
            <v>1⁄8</v>
          </cell>
          <cell r="H65" t="str">
            <v>100% Mozz</v>
          </cell>
          <cell r="I65">
            <v>0</v>
          </cell>
          <cell r="J65">
            <v>0</v>
          </cell>
        </row>
        <row r="66">
          <cell r="A66" t="str">
            <v>ROUND PIZZA</v>
          </cell>
          <cell r="B66">
            <v>0</v>
          </cell>
          <cell r="C66">
            <v>0</v>
          </cell>
          <cell r="D66">
            <v>0</v>
          </cell>
          <cell r="E66">
            <v>0</v>
          </cell>
          <cell r="F66">
            <v>0</v>
          </cell>
          <cell r="G66">
            <v>0</v>
          </cell>
          <cell r="H66">
            <v>0</v>
          </cell>
          <cell r="I66">
            <v>0</v>
          </cell>
          <cell r="J66">
            <v>0</v>
          </cell>
        </row>
        <row r="67">
          <cell r="A67" t="str">
            <v>Code</v>
          </cell>
          <cell r="B67" t="str">
            <v>Variety</v>
          </cell>
          <cell r="C67" t="str">
            <v xml:space="preserve">  Serv./Case</v>
          </cell>
          <cell r="D67" t="str">
            <v>Serv. Size (oz.)</v>
          </cell>
          <cell r="E67" t="str">
            <v>M/MA (oz.)</v>
          </cell>
          <cell r="F67" t="str">
            <v>Grain</v>
          </cell>
          <cell r="G67" t="str">
            <v>Vegetable</v>
          </cell>
          <cell r="H67" t="str">
            <v>% Breakdown Cheese</v>
          </cell>
          <cell r="I67" t="str">
            <v>% Whole Grain</v>
          </cell>
          <cell r="J67">
            <v>0</v>
          </cell>
        </row>
        <row r="68">
          <cell r="A68" t="str">
            <v>Red Baron® 5" Deep Dish Pizza</v>
          </cell>
          <cell r="B68">
            <v>0</v>
          </cell>
          <cell r="C68">
            <v>0</v>
          </cell>
          <cell r="D68">
            <v>0</v>
          </cell>
          <cell r="E68">
            <v>0</v>
          </cell>
          <cell r="F68">
            <v>0</v>
          </cell>
          <cell r="G68">
            <v>0</v>
          </cell>
          <cell r="H68">
            <v>0</v>
          </cell>
          <cell r="I68">
            <v>0</v>
          </cell>
          <cell r="J68">
            <v>0</v>
          </cell>
        </row>
        <row r="69">
          <cell r="A69">
            <v>78584</v>
          </cell>
          <cell r="B69" t="str">
            <v>Cheese</v>
          </cell>
          <cell r="C69">
            <v>60</v>
          </cell>
          <cell r="D69">
            <v>5.47</v>
          </cell>
          <cell r="E69">
            <v>2</v>
          </cell>
          <cell r="F69">
            <v>2</v>
          </cell>
          <cell r="G69" t="str">
            <v>1⁄8</v>
          </cell>
          <cell r="H69" t="str">
            <v>100% Mozz</v>
          </cell>
          <cell r="I69">
            <v>0</v>
          </cell>
          <cell r="J69">
            <v>0</v>
          </cell>
        </row>
        <row r="70">
          <cell r="A70">
            <v>78585</v>
          </cell>
          <cell r="B70" t="str">
            <v>Pepperoni</v>
          </cell>
          <cell r="C70">
            <v>60</v>
          </cell>
          <cell r="D70">
            <v>5.4</v>
          </cell>
          <cell r="E70">
            <v>2</v>
          </cell>
          <cell r="F70">
            <v>2</v>
          </cell>
          <cell r="G70" t="str">
            <v>1⁄4</v>
          </cell>
          <cell r="H70" t="str">
            <v>100% Mozz</v>
          </cell>
          <cell r="I70">
            <v>0</v>
          </cell>
          <cell r="J70">
            <v>0</v>
          </cell>
        </row>
        <row r="71">
          <cell r="A71" t="str">
            <v>Tony's® 5" Deep Dish Pizza</v>
          </cell>
          <cell r="B71">
            <v>0</v>
          </cell>
          <cell r="C71">
            <v>0</v>
          </cell>
          <cell r="D71">
            <v>0</v>
          </cell>
          <cell r="E71">
            <v>0</v>
          </cell>
          <cell r="F71">
            <v>0</v>
          </cell>
          <cell r="G71">
            <v>0</v>
          </cell>
          <cell r="H71">
            <v>0</v>
          </cell>
          <cell r="I71">
            <v>0</v>
          </cell>
          <cell r="J71">
            <v>0</v>
          </cell>
        </row>
        <row r="72">
          <cell r="A72">
            <v>72572</v>
          </cell>
          <cell r="B72" t="str">
            <v>51% Whole Grain Cheese*</v>
          </cell>
          <cell r="C72">
            <v>60</v>
          </cell>
          <cell r="D72">
            <v>4.9400000000000004</v>
          </cell>
          <cell r="E72">
            <v>2</v>
          </cell>
          <cell r="F72">
            <v>2</v>
          </cell>
          <cell r="G72" t="str">
            <v>1⁄8</v>
          </cell>
          <cell r="H72" t="str">
            <v>50/50</v>
          </cell>
          <cell r="I72">
            <v>0.51</v>
          </cell>
          <cell r="J72">
            <v>0</v>
          </cell>
        </row>
        <row r="73">
          <cell r="A73">
            <v>72573</v>
          </cell>
          <cell r="B73" t="str">
            <v>51% Whole Grain Pepperoni*</v>
          </cell>
          <cell r="C73">
            <v>60</v>
          </cell>
          <cell r="D73">
            <v>5.07</v>
          </cell>
          <cell r="E73">
            <v>2</v>
          </cell>
          <cell r="F73">
            <v>2</v>
          </cell>
          <cell r="G73" t="str">
            <v>1⁄8</v>
          </cell>
          <cell r="H73" t="str">
            <v>50/50</v>
          </cell>
          <cell r="I73">
            <v>0.51</v>
          </cell>
          <cell r="J73">
            <v>0</v>
          </cell>
        </row>
        <row r="74">
          <cell r="A74">
            <v>72574</v>
          </cell>
          <cell r="B74" t="str">
            <v>51% Whole Grain Cheese IW*</v>
          </cell>
          <cell r="C74">
            <v>60</v>
          </cell>
          <cell r="D74">
            <v>4.9400000000000004</v>
          </cell>
          <cell r="E74">
            <v>2</v>
          </cell>
          <cell r="F74">
            <v>2</v>
          </cell>
          <cell r="G74" t="str">
            <v>1⁄8</v>
          </cell>
          <cell r="H74" t="str">
            <v>50/50</v>
          </cell>
          <cell r="I74">
            <v>0.51</v>
          </cell>
          <cell r="J74">
            <v>0</v>
          </cell>
        </row>
        <row r="75">
          <cell r="A75">
            <v>72575</v>
          </cell>
          <cell r="B75" t="str">
            <v>51% Whole Grain Pepperoni IW*</v>
          </cell>
          <cell r="C75">
            <v>60</v>
          </cell>
          <cell r="D75">
            <v>5.03</v>
          </cell>
          <cell r="E75">
            <v>2</v>
          </cell>
          <cell r="F75">
            <v>2</v>
          </cell>
          <cell r="G75" t="str">
            <v>1⁄4</v>
          </cell>
          <cell r="H75" t="str">
            <v>50/50</v>
          </cell>
          <cell r="I75">
            <v>0.51</v>
          </cell>
          <cell r="J75">
            <v>0</v>
          </cell>
        </row>
        <row r="76">
          <cell r="A76">
            <v>78368</v>
          </cell>
          <cell r="B76" t="str">
            <v>51% Whole Grain Cheese</v>
          </cell>
          <cell r="C76">
            <v>60</v>
          </cell>
          <cell r="D76">
            <v>4.9800000000000004</v>
          </cell>
          <cell r="E76">
            <v>2</v>
          </cell>
          <cell r="F76">
            <v>2</v>
          </cell>
          <cell r="G76" t="str">
            <v>1⁄8</v>
          </cell>
          <cell r="H76" t="str">
            <v>100% Mozz</v>
          </cell>
          <cell r="I76">
            <v>0.51</v>
          </cell>
          <cell r="J76">
            <v>0</v>
          </cell>
        </row>
        <row r="77">
          <cell r="A77">
            <v>78369</v>
          </cell>
          <cell r="B77" t="str">
            <v>51% Whole Grain Pepperoni</v>
          </cell>
          <cell r="C77">
            <v>60</v>
          </cell>
          <cell r="D77">
            <v>4.9800000000000004</v>
          </cell>
          <cell r="E77">
            <v>2</v>
          </cell>
          <cell r="F77">
            <v>2</v>
          </cell>
          <cell r="G77" t="str">
            <v>1⁄8</v>
          </cell>
          <cell r="H77" t="str">
            <v>100% Mozz</v>
          </cell>
          <cell r="I77">
            <v>0.51</v>
          </cell>
          <cell r="J77">
            <v>0</v>
          </cell>
        </row>
        <row r="78">
          <cell r="A78">
            <v>78370</v>
          </cell>
          <cell r="B78" t="str">
            <v>51% Whole Grain Cheese IW</v>
          </cell>
          <cell r="C78">
            <v>60</v>
          </cell>
          <cell r="D78">
            <v>4.9800000000000004</v>
          </cell>
          <cell r="E78">
            <v>2</v>
          </cell>
          <cell r="F78">
            <v>2</v>
          </cell>
          <cell r="G78" t="str">
            <v>1⁄8</v>
          </cell>
          <cell r="H78" t="str">
            <v>100% Mozz</v>
          </cell>
          <cell r="I78">
            <v>0.51</v>
          </cell>
          <cell r="J78">
            <v>0</v>
          </cell>
        </row>
        <row r="79">
          <cell r="A79">
            <v>78371</v>
          </cell>
          <cell r="B79" t="str">
            <v>51% Whole Grain Pepperoni IW</v>
          </cell>
          <cell r="C79">
            <v>60</v>
          </cell>
          <cell r="D79">
            <v>4.9800000000000004</v>
          </cell>
          <cell r="E79">
            <v>2</v>
          </cell>
          <cell r="F79">
            <v>2</v>
          </cell>
          <cell r="G79" t="str">
            <v>1⁄8</v>
          </cell>
          <cell r="H79" t="str">
            <v>100% Mozz</v>
          </cell>
          <cell r="I79">
            <v>0.51</v>
          </cell>
          <cell r="J79">
            <v>0</v>
          </cell>
        </row>
        <row r="80">
          <cell r="A80">
            <v>63088</v>
          </cell>
          <cell r="B80" t="str">
            <v>Cheese</v>
          </cell>
          <cell r="C80">
            <v>60</v>
          </cell>
          <cell r="D80">
            <v>4.5</v>
          </cell>
          <cell r="E80" t="str">
            <v>1 ¼</v>
          </cell>
          <cell r="F80">
            <v>2</v>
          </cell>
          <cell r="G80" t="str">
            <v>1⁄8</v>
          </cell>
          <cell r="H80" t="str">
            <v>50/50</v>
          </cell>
          <cell r="I80">
            <v>0</v>
          </cell>
          <cell r="J80">
            <v>0</v>
          </cell>
        </row>
        <row r="81">
          <cell r="A81">
            <v>78589</v>
          </cell>
          <cell r="B81" t="str">
            <v>Pepperoni</v>
          </cell>
          <cell r="C81">
            <v>60</v>
          </cell>
          <cell r="D81">
            <v>4.9000000000000004</v>
          </cell>
          <cell r="E81" t="str">
            <v>1 ½</v>
          </cell>
          <cell r="F81">
            <v>2</v>
          </cell>
          <cell r="G81" t="str">
            <v>1⁄8</v>
          </cell>
          <cell r="H81" t="str">
            <v>50/50</v>
          </cell>
          <cell r="I81">
            <v>0</v>
          </cell>
          <cell r="J81">
            <v>0</v>
          </cell>
        </row>
        <row r="82">
          <cell r="A82">
            <v>78642</v>
          </cell>
          <cell r="B82" t="str">
            <v>Pepperoni IW</v>
          </cell>
          <cell r="C82">
            <v>60</v>
          </cell>
          <cell r="D82">
            <v>5.33</v>
          </cell>
          <cell r="E82">
            <v>2</v>
          </cell>
          <cell r="F82">
            <v>2</v>
          </cell>
          <cell r="G82" t="str">
            <v>1⁄4</v>
          </cell>
          <cell r="H82" t="str">
            <v>50/50</v>
          </cell>
          <cell r="I82">
            <v>0</v>
          </cell>
          <cell r="J82">
            <v>0</v>
          </cell>
        </row>
        <row r="83">
          <cell r="A83">
            <v>63091</v>
          </cell>
          <cell r="B83" t="str">
            <v>Sausage &amp; Pepperoni</v>
          </cell>
          <cell r="C83">
            <v>60</v>
          </cell>
          <cell r="D83">
            <v>4.8600000000000003</v>
          </cell>
          <cell r="E83" t="str">
            <v>1 ½</v>
          </cell>
          <cell r="F83">
            <v>2</v>
          </cell>
          <cell r="G83" t="str">
            <v>1⁄8</v>
          </cell>
          <cell r="H83" t="str">
            <v>50/50</v>
          </cell>
          <cell r="I83">
            <v>0</v>
          </cell>
          <cell r="J83">
            <v>0</v>
          </cell>
        </row>
        <row r="84">
          <cell r="A84" t="str">
            <v>Tony's® 5" Crispy Crust Pizza</v>
          </cell>
          <cell r="B84">
            <v>0</v>
          </cell>
          <cell r="C84">
            <v>0</v>
          </cell>
          <cell r="D84">
            <v>0</v>
          </cell>
          <cell r="E84">
            <v>0</v>
          </cell>
          <cell r="F84">
            <v>0</v>
          </cell>
          <cell r="G84">
            <v>0</v>
          </cell>
          <cell r="H84">
            <v>0</v>
          </cell>
          <cell r="I84">
            <v>0</v>
          </cell>
          <cell r="J84">
            <v>0</v>
          </cell>
        </row>
        <row r="85">
          <cell r="A85">
            <v>72570</v>
          </cell>
          <cell r="B85" t="str">
            <v>51% Whole Grain Cheese*</v>
          </cell>
          <cell r="C85">
            <v>80</v>
          </cell>
          <cell r="D85">
            <v>4.51</v>
          </cell>
          <cell r="E85">
            <v>2</v>
          </cell>
          <cell r="F85">
            <v>2</v>
          </cell>
          <cell r="G85" t="str">
            <v>1⁄8</v>
          </cell>
          <cell r="H85" t="str">
            <v>50/50</v>
          </cell>
          <cell r="I85">
            <v>0.51</v>
          </cell>
          <cell r="J85">
            <v>0</v>
          </cell>
        </row>
        <row r="86">
          <cell r="A86">
            <v>72571</v>
          </cell>
          <cell r="B86" t="str">
            <v>51% Whole Grain Pepperoni*</v>
          </cell>
          <cell r="C86">
            <v>80</v>
          </cell>
          <cell r="D86">
            <v>4.51</v>
          </cell>
          <cell r="E86">
            <v>2</v>
          </cell>
          <cell r="F86">
            <v>2</v>
          </cell>
          <cell r="G86" t="str">
            <v>1⁄8</v>
          </cell>
          <cell r="H86" t="str">
            <v>50/50</v>
          </cell>
          <cell r="I86">
            <v>0.51</v>
          </cell>
          <cell r="J86">
            <v>0</v>
          </cell>
        </row>
        <row r="87">
          <cell r="A87">
            <v>78803</v>
          </cell>
          <cell r="B87" t="str">
            <v>Cheese</v>
          </cell>
          <cell r="C87">
            <v>80</v>
          </cell>
          <cell r="D87">
            <v>4.53</v>
          </cell>
          <cell r="E87" t="str">
            <v>1 ¾</v>
          </cell>
          <cell r="F87" t="str">
            <v>1 ¾</v>
          </cell>
          <cell r="G87" t="str">
            <v>1⁄8</v>
          </cell>
          <cell r="H87" t="str">
            <v>50/50</v>
          </cell>
          <cell r="I87">
            <v>0</v>
          </cell>
          <cell r="J87">
            <v>0</v>
          </cell>
        </row>
        <row r="88">
          <cell r="A88">
            <v>78804</v>
          </cell>
          <cell r="B88" t="str">
            <v>Pepperoni</v>
          </cell>
          <cell r="C88">
            <v>80</v>
          </cell>
          <cell r="D88">
            <v>4.5199999999999996</v>
          </cell>
          <cell r="E88" t="str">
            <v>1 ¾</v>
          </cell>
          <cell r="F88" t="str">
            <v>1 ¾</v>
          </cell>
          <cell r="G88" t="str">
            <v>1⁄8</v>
          </cell>
          <cell r="H88" t="str">
            <v>50/50</v>
          </cell>
          <cell r="I88">
            <v>0</v>
          </cell>
          <cell r="J88">
            <v>0</v>
          </cell>
        </row>
        <row r="89">
          <cell r="A89" t="str">
            <v>Tony's® 4" Galaxy Pizza® Products</v>
          </cell>
          <cell r="B89">
            <v>0</v>
          </cell>
          <cell r="C89">
            <v>0</v>
          </cell>
          <cell r="D89">
            <v>0</v>
          </cell>
          <cell r="E89">
            <v>0</v>
          </cell>
          <cell r="F89">
            <v>0</v>
          </cell>
          <cell r="G89">
            <v>0</v>
          </cell>
          <cell r="H89">
            <v>0</v>
          </cell>
          <cell r="I89">
            <v>0</v>
          </cell>
          <cell r="J89">
            <v>0</v>
          </cell>
        </row>
        <row r="90">
          <cell r="A90">
            <v>72576</v>
          </cell>
          <cell r="B90" t="str">
            <v>51% Whole Grain Cheese*</v>
          </cell>
          <cell r="C90">
            <v>72</v>
          </cell>
          <cell r="D90">
            <v>4.4400000000000004</v>
          </cell>
          <cell r="E90">
            <v>2</v>
          </cell>
          <cell r="F90">
            <v>2</v>
          </cell>
          <cell r="G90" t="str">
            <v>1⁄8</v>
          </cell>
          <cell r="H90" t="str">
            <v>50/50</v>
          </cell>
          <cell r="I90">
            <v>0.51</v>
          </cell>
          <cell r="J90">
            <v>0</v>
          </cell>
        </row>
        <row r="91">
          <cell r="A91">
            <v>72577</v>
          </cell>
          <cell r="B91" t="str">
            <v>51% Whole Grain Pepperoni*</v>
          </cell>
          <cell r="C91">
            <v>72</v>
          </cell>
          <cell r="D91">
            <v>4.43</v>
          </cell>
          <cell r="E91">
            <v>2</v>
          </cell>
          <cell r="F91">
            <v>2</v>
          </cell>
          <cell r="G91" t="str">
            <v>1⁄8</v>
          </cell>
          <cell r="H91" t="str">
            <v>50/50</v>
          </cell>
          <cell r="I91">
            <v>0.51</v>
          </cell>
          <cell r="J91">
            <v>0</v>
          </cell>
        </row>
        <row r="92">
          <cell r="A92">
            <v>72578</v>
          </cell>
          <cell r="B92" t="str">
            <v>51% Whole Grain Cheese IW*</v>
          </cell>
          <cell r="C92">
            <v>72</v>
          </cell>
          <cell r="D92">
            <v>4.4400000000000004</v>
          </cell>
          <cell r="E92">
            <v>2</v>
          </cell>
          <cell r="F92">
            <v>2</v>
          </cell>
          <cell r="G92" t="str">
            <v>1⁄8</v>
          </cell>
          <cell r="H92" t="str">
            <v>50/50</v>
          </cell>
          <cell r="I92">
            <v>0.51</v>
          </cell>
          <cell r="J92">
            <v>0</v>
          </cell>
        </row>
        <row r="93">
          <cell r="A93">
            <v>72579</v>
          </cell>
          <cell r="B93" t="str">
            <v>51% Whole Grain Pepperoni IW*</v>
          </cell>
          <cell r="C93">
            <v>72</v>
          </cell>
          <cell r="D93">
            <v>4.43</v>
          </cell>
          <cell r="E93">
            <v>2</v>
          </cell>
          <cell r="F93">
            <v>2</v>
          </cell>
          <cell r="G93" t="str">
            <v>1⁄8</v>
          </cell>
          <cell r="H93" t="str">
            <v>50/50</v>
          </cell>
          <cell r="I93">
            <v>0.51</v>
          </cell>
          <cell r="J93">
            <v>0</v>
          </cell>
        </row>
        <row r="94">
          <cell r="A94">
            <v>78364</v>
          </cell>
          <cell r="B94" t="str">
            <v>51% Whole Grain Cheese</v>
          </cell>
          <cell r="C94">
            <v>72</v>
          </cell>
          <cell r="D94">
            <v>4.3499999999999996</v>
          </cell>
          <cell r="E94">
            <v>2</v>
          </cell>
          <cell r="F94">
            <v>2</v>
          </cell>
          <cell r="G94" t="str">
            <v>1⁄8</v>
          </cell>
          <cell r="H94" t="str">
            <v>100% Mozz</v>
          </cell>
          <cell r="I94">
            <v>0.51</v>
          </cell>
          <cell r="J94">
            <v>0</v>
          </cell>
        </row>
        <row r="95">
          <cell r="A95">
            <v>78365</v>
          </cell>
          <cell r="B95" t="str">
            <v>51% Whole Grain Pepperoni</v>
          </cell>
          <cell r="C95">
            <v>72</v>
          </cell>
          <cell r="D95">
            <v>4.3499999999999996</v>
          </cell>
          <cell r="E95">
            <v>2</v>
          </cell>
          <cell r="F95">
            <v>2</v>
          </cell>
          <cell r="G95" t="str">
            <v>1⁄8</v>
          </cell>
          <cell r="H95" t="str">
            <v>100% Mozz</v>
          </cell>
          <cell r="I95">
            <v>0.51</v>
          </cell>
          <cell r="J95">
            <v>0</v>
          </cell>
        </row>
        <row r="96">
          <cell r="A96">
            <v>78366</v>
          </cell>
          <cell r="B96" t="str">
            <v>51% Whole Grain Cheese IW</v>
          </cell>
          <cell r="C96">
            <v>72</v>
          </cell>
          <cell r="D96">
            <v>4.3499999999999996</v>
          </cell>
          <cell r="E96">
            <v>2</v>
          </cell>
          <cell r="F96">
            <v>2</v>
          </cell>
          <cell r="G96" t="str">
            <v>1⁄8</v>
          </cell>
          <cell r="H96" t="str">
            <v>100% Mozz</v>
          </cell>
          <cell r="I96">
            <v>0.51</v>
          </cell>
          <cell r="J96">
            <v>0</v>
          </cell>
        </row>
        <row r="97">
          <cell r="A97">
            <v>78367</v>
          </cell>
          <cell r="B97" t="str">
            <v>51% Whole Grain Pepperoni IW</v>
          </cell>
          <cell r="C97">
            <v>72</v>
          </cell>
          <cell r="D97">
            <v>4.3499999999999996</v>
          </cell>
          <cell r="E97">
            <v>2</v>
          </cell>
          <cell r="F97">
            <v>2</v>
          </cell>
          <cell r="G97" t="str">
            <v>1⁄8</v>
          </cell>
          <cell r="H97" t="str">
            <v>100% Mozz</v>
          </cell>
          <cell r="I97">
            <v>0.51</v>
          </cell>
          <cell r="J97">
            <v>0</v>
          </cell>
        </row>
        <row r="98">
          <cell r="A98">
            <v>78542</v>
          </cell>
          <cell r="B98" t="str">
            <v>Cheese</v>
          </cell>
          <cell r="C98">
            <v>72</v>
          </cell>
          <cell r="D98">
            <v>4.5599999999999996</v>
          </cell>
          <cell r="E98">
            <v>2</v>
          </cell>
          <cell r="F98">
            <v>2</v>
          </cell>
          <cell r="G98" t="str">
            <v>1⁄8</v>
          </cell>
          <cell r="H98" t="str">
            <v>50/50</v>
          </cell>
          <cell r="I98">
            <v>0</v>
          </cell>
          <cell r="J98">
            <v>0</v>
          </cell>
        </row>
        <row r="99">
          <cell r="A99">
            <v>78543</v>
          </cell>
          <cell r="B99" t="str">
            <v>Cheese IW</v>
          </cell>
          <cell r="C99">
            <v>72</v>
          </cell>
          <cell r="D99">
            <v>4.5599999999999996</v>
          </cell>
          <cell r="E99">
            <v>2</v>
          </cell>
          <cell r="F99">
            <v>2</v>
          </cell>
          <cell r="G99" t="str">
            <v>1⁄8</v>
          </cell>
          <cell r="H99" t="str">
            <v>50/50</v>
          </cell>
          <cell r="I99">
            <v>0</v>
          </cell>
          <cell r="J99">
            <v>0</v>
          </cell>
        </row>
        <row r="100">
          <cell r="A100">
            <v>78474</v>
          </cell>
          <cell r="B100" t="str">
            <v>Cheese</v>
          </cell>
          <cell r="C100">
            <v>72</v>
          </cell>
          <cell r="D100">
            <v>5</v>
          </cell>
          <cell r="E100">
            <v>2</v>
          </cell>
          <cell r="F100">
            <v>2</v>
          </cell>
          <cell r="G100" t="str">
            <v>1⁄8</v>
          </cell>
          <cell r="H100" t="str">
            <v>100% Mozz</v>
          </cell>
          <cell r="I100">
            <v>0</v>
          </cell>
          <cell r="J100">
            <v>0</v>
          </cell>
        </row>
        <row r="101">
          <cell r="A101">
            <v>78475</v>
          </cell>
          <cell r="B101" t="str">
            <v>Cheese IW</v>
          </cell>
          <cell r="C101">
            <v>72</v>
          </cell>
          <cell r="D101">
            <v>5</v>
          </cell>
          <cell r="E101">
            <v>2</v>
          </cell>
          <cell r="F101">
            <v>2</v>
          </cell>
          <cell r="G101" t="str">
            <v>1⁄8</v>
          </cell>
          <cell r="H101" t="str">
            <v>100% Mozz</v>
          </cell>
          <cell r="I101">
            <v>0</v>
          </cell>
          <cell r="J101">
            <v>0</v>
          </cell>
        </row>
        <row r="102">
          <cell r="A102">
            <v>78544</v>
          </cell>
          <cell r="B102" t="str">
            <v>Pepperoni</v>
          </cell>
          <cell r="C102">
            <v>72</v>
          </cell>
          <cell r="D102">
            <v>4.6500000000000004</v>
          </cell>
          <cell r="E102">
            <v>2</v>
          </cell>
          <cell r="F102">
            <v>2</v>
          </cell>
          <cell r="G102" t="str">
            <v>1⁄8</v>
          </cell>
          <cell r="H102" t="str">
            <v>50/50</v>
          </cell>
          <cell r="I102">
            <v>0</v>
          </cell>
          <cell r="J102">
            <v>0</v>
          </cell>
        </row>
        <row r="103">
          <cell r="A103">
            <v>78545</v>
          </cell>
          <cell r="B103" t="str">
            <v>Pepperoni IW</v>
          </cell>
          <cell r="C103">
            <v>72</v>
          </cell>
          <cell r="D103">
            <v>4.6500000000000004</v>
          </cell>
          <cell r="E103">
            <v>2</v>
          </cell>
          <cell r="F103">
            <v>2</v>
          </cell>
          <cell r="G103" t="str">
            <v>1⁄8</v>
          </cell>
          <cell r="H103" t="str">
            <v>50/50</v>
          </cell>
          <cell r="I103">
            <v>0</v>
          </cell>
          <cell r="J103">
            <v>0</v>
          </cell>
        </row>
        <row r="104">
          <cell r="A104">
            <v>78477</v>
          </cell>
          <cell r="B104" t="str">
            <v>Pepperoni IW</v>
          </cell>
          <cell r="C104">
            <v>72</v>
          </cell>
          <cell r="D104">
            <v>5</v>
          </cell>
          <cell r="E104">
            <v>2</v>
          </cell>
          <cell r="F104">
            <v>2</v>
          </cell>
          <cell r="G104" t="str">
            <v>1⁄8</v>
          </cell>
          <cell r="H104" t="str">
            <v>100% Mozz</v>
          </cell>
          <cell r="I104">
            <v>0</v>
          </cell>
          <cell r="J104">
            <v>0</v>
          </cell>
        </row>
        <row r="105">
          <cell r="A105" t="str">
            <v>FLATBREAD &amp; STUFFED CRUST PIZZ</v>
          </cell>
          <cell r="B105">
            <v>0</v>
          </cell>
          <cell r="C105">
            <v>0</v>
          </cell>
          <cell r="D105">
            <v>0</v>
          </cell>
          <cell r="E105">
            <v>0</v>
          </cell>
          <cell r="F105">
            <v>0</v>
          </cell>
          <cell r="G105">
            <v>0</v>
          </cell>
          <cell r="H105">
            <v>0</v>
          </cell>
          <cell r="I105">
            <v>0</v>
          </cell>
          <cell r="J105">
            <v>0</v>
          </cell>
        </row>
        <row r="106">
          <cell r="A106" t="str">
            <v>Code</v>
          </cell>
          <cell r="B106" t="str">
            <v>Variety</v>
          </cell>
          <cell r="C106" t="str">
            <v xml:space="preserve">  Serv./Case</v>
          </cell>
          <cell r="D106" t="str">
            <v>Serv. Size (oz.)</v>
          </cell>
          <cell r="E106" t="str">
            <v>M/MA (oz.)</v>
          </cell>
          <cell r="F106" t="str">
            <v>Grain</v>
          </cell>
          <cell r="G106" t="str">
            <v>Vegetable</v>
          </cell>
          <cell r="H106" t="str">
            <v>% Breakdown Cheese</v>
          </cell>
          <cell r="I106" t="str">
            <v>% Whole Grain</v>
          </cell>
          <cell r="J106">
            <v>0</v>
          </cell>
        </row>
        <row r="107">
          <cell r="A107" t="str">
            <v>Tony's™ Flatbread</v>
          </cell>
          <cell r="B107">
            <v>0</v>
          </cell>
          <cell r="C107">
            <v>0</v>
          </cell>
          <cell r="D107">
            <v>0</v>
          </cell>
          <cell r="E107">
            <v>0</v>
          </cell>
          <cell r="F107">
            <v>0</v>
          </cell>
          <cell r="G107">
            <v>0</v>
          </cell>
          <cell r="H107">
            <v>0</v>
          </cell>
          <cell r="I107">
            <v>0</v>
          </cell>
          <cell r="J107">
            <v>0</v>
          </cell>
        </row>
        <row r="108">
          <cell r="A108">
            <v>68503</v>
          </cell>
          <cell r="B108" t="str">
            <v>51% Whole Grain Cheese</v>
          </cell>
          <cell r="C108">
            <v>96</v>
          </cell>
          <cell r="D108">
            <v>5.28</v>
          </cell>
          <cell r="E108">
            <v>2</v>
          </cell>
          <cell r="F108">
            <v>2</v>
          </cell>
          <cell r="G108" t="str">
            <v>1⁄4</v>
          </cell>
          <cell r="H108" t="str">
            <v>100% Mozz</v>
          </cell>
          <cell r="I108">
            <v>0.51</v>
          </cell>
          <cell r="J108">
            <v>0</v>
          </cell>
        </row>
        <row r="109">
          <cell r="A109">
            <v>68504</v>
          </cell>
          <cell r="B109" t="str">
            <v>51% Whole Grain Turkey Pepperoni</v>
          </cell>
          <cell r="C109">
            <v>96</v>
          </cell>
          <cell r="D109">
            <v>5.3</v>
          </cell>
          <cell r="E109">
            <v>2</v>
          </cell>
          <cell r="F109">
            <v>2</v>
          </cell>
          <cell r="G109" t="str">
            <v>1⁄4</v>
          </cell>
          <cell r="H109" t="str">
            <v>100% Mozz</v>
          </cell>
          <cell r="I109">
            <v>0.51</v>
          </cell>
          <cell r="J109">
            <v>0</v>
          </cell>
        </row>
        <row r="110">
          <cell r="A110">
            <v>68568</v>
          </cell>
          <cell r="B110" t="str">
            <v>51% Whole Grain Italian Cheese IW</v>
          </cell>
          <cell r="C110">
            <v>96</v>
          </cell>
          <cell r="D110">
            <v>4.75</v>
          </cell>
          <cell r="E110">
            <v>2</v>
          </cell>
          <cell r="F110">
            <v>2</v>
          </cell>
          <cell r="G110" t="str">
            <v>1⁄4</v>
          </cell>
          <cell r="H110" t="str">
            <v>100% Mozz</v>
          </cell>
          <cell r="I110">
            <v>0.51</v>
          </cell>
          <cell r="J110">
            <v>0</v>
          </cell>
        </row>
        <row r="111">
          <cell r="A111">
            <v>72565</v>
          </cell>
          <cell r="B111" t="str">
            <v>51% Whole Grain Cheesy Garlic*</v>
          </cell>
          <cell r="C111">
            <v>96</v>
          </cell>
          <cell r="D111">
            <v>4.2300000000000004</v>
          </cell>
          <cell r="E111">
            <v>2</v>
          </cell>
          <cell r="F111">
            <v>2</v>
          </cell>
          <cell r="G111">
            <v>0</v>
          </cell>
          <cell r="H111" t="str">
            <v>50/50</v>
          </cell>
          <cell r="I111">
            <v>0.51</v>
          </cell>
          <cell r="J111">
            <v>0</v>
          </cell>
        </row>
        <row r="112">
          <cell r="A112">
            <v>73341</v>
          </cell>
          <cell r="B112" t="str">
            <v>Cheesy Garlic</v>
          </cell>
          <cell r="C112">
            <v>96</v>
          </cell>
          <cell r="D112">
            <v>4.28</v>
          </cell>
          <cell r="E112">
            <v>2</v>
          </cell>
          <cell r="F112">
            <v>2</v>
          </cell>
          <cell r="G112">
            <v>0</v>
          </cell>
          <cell r="H112" t="str">
            <v>50/50</v>
          </cell>
          <cell r="I112">
            <v>0</v>
          </cell>
          <cell r="J112">
            <v>0</v>
          </cell>
        </row>
        <row r="113">
          <cell r="A113" t="str">
            <v>Tony's® 7" Stuffed Crust Slice</v>
          </cell>
          <cell r="B113">
            <v>0</v>
          </cell>
          <cell r="C113">
            <v>0</v>
          </cell>
          <cell r="D113">
            <v>0</v>
          </cell>
          <cell r="E113">
            <v>0</v>
          </cell>
          <cell r="F113">
            <v>0</v>
          </cell>
          <cell r="G113">
            <v>0</v>
          </cell>
          <cell r="H113">
            <v>0</v>
          </cell>
          <cell r="I113">
            <v>0</v>
          </cell>
          <cell r="J113">
            <v>0</v>
          </cell>
        </row>
        <row r="114">
          <cell r="A114">
            <v>78380</v>
          </cell>
          <cell r="B114" t="str">
            <v>51% Whole Grain Cheese*</v>
          </cell>
          <cell r="C114">
            <v>96</v>
          </cell>
          <cell r="D114">
            <v>4.55</v>
          </cell>
          <cell r="E114">
            <v>2</v>
          </cell>
          <cell r="F114">
            <v>2</v>
          </cell>
          <cell r="G114" t="str">
            <v>1⁄8</v>
          </cell>
          <cell r="H114" t="str">
            <v>50/50</v>
          </cell>
          <cell r="I114">
            <v>0.51</v>
          </cell>
          <cell r="J114">
            <v>0</v>
          </cell>
        </row>
        <row r="115">
          <cell r="A115">
            <v>78381</v>
          </cell>
          <cell r="B115" t="str">
            <v>51% Whole Grain Pepperoni*</v>
          </cell>
          <cell r="C115">
            <v>96</v>
          </cell>
          <cell r="D115">
            <v>4.55</v>
          </cell>
          <cell r="E115">
            <v>2</v>
          </cell>
          <cell r="F115">
            <v>2</v>
          </cell>
          <cell r="G115" t="str">
            <v>1⁄8</v>
          </cell>
          <cell r="H115" t="str">
            <v>50/50</v>
          </cell>
          <cell r="I115">
            <v>0.51</v>
          </cell>
          <cell r="J115">
            <v>0</v>
          </cell>
        </row>
        <row r="116">
          <cell r="A116" t="str">
            <v>Red Baron® 7" Stuffed Crust Slice</v>
          </cell>
          <cell r="B116">
            <v>0</v>
          </cell>
          <cell r="C116">
            <v>0</v>
          </cell>
          <cell r="D116">
            <v>0</v>
          </cell>
          <cell r="E116">
            <v>0</v>
          </cell>
          <cell r="F116">
            <v>0</v>
          </cell>
          <cell r="G116">
            <v>0</v>
          </cell>
          <cell r="H116">
            <v>0</v>
          </cell>
          <cell r="I116">
            <v>0</v>
          </cell>
          <cell r="J116">
            <v>0</v>
          </cell>
        </row>
        <row r="117">
          <cell r="A117">
            <v>78794</v>
          </cell>
          <cell r="B117" t="str">
            <v>Cheese</v>
          </cell>
          <cell r="C117">
            <v>72</v>
          </cell>
          <cell r="D117">
            <v>4.93</v>
          </cell>
          <cell r="E117">
            <v>2</v>
          </cell>
          <cell r="F117">
            <v>2</v>
          </cell>
          <cell r="G117" t="str">
            <v>1⁄8</v>
          </cell>
          <cell r="H117" t="str">
            <v>50/50</v>
          </cell>
          <cell r="I117">
            <v>0</v>
          </cell>
          <cell r="J117">
            <v>0</v>
          </cell>
        </row>
        <row r="118">
          <cell r="A118">
            <v>78795</v>
          </cell>
          <cell r="B118" t="str">
            <v>Pepperoni</v>
          </cell>
          <cell r="C118">
            <v>72</v>
          </cell>
          <cell r="D118">
            <v>4.9400000000000004</v>
          </cell>
          <cell r="E118">
            <v>2</v>
          </cell>
          <cell r="F118">
            <v>2</v>
          </cell>
          <cell r="G118" t="str">
            <v>1⁄8</v>
          </cell>
          <cell r="H118" t="str">
            <v>50/50</v>
          </cell>
          <cell r="I118">
            <v>0</v>
          </cell>
          <cell r="J118">
            <v>0</v>
          </cell>
        </row>
        <row r="119">
          <cell r="A119" t="str">
            <v>Tony's® 4" x 6" Stuffed Crust Pizza</v>
          </cell>
          <cell r="B119">
            <v>0</v>
          </cell>
          <cell r="C119">
            <v>0</v>
          </cell>
          <cell r="D119">
            <v>0</v>
          </cell>
          <cell r="E119">
            <v>0</v>
          </cell>
          <cell r="F119">
            <v>0</v>
          </cell>
          <cell r="G119">
            <v>0</v>
          </cell>
          <cell r="H119">
            <v>0</v>
          </cell>
          <cell r="I119">
            <v>0</v>
          </cell>
          <cell r="J119">
            <v>0</v>
          </cell>
        </row>
        <row r="120">
          <cell r="A120">
            <v>78386</v>
          </cell>
          <cell r="B120" t="str">
            <v>51% Whole Grain Cheese*</v>
          </cell>
          <cell r="C120">
            <v>96</v>
          </cell>
          <cell r="D120">
            <v>4.4800000000000004</v>
          </cell>
          <cell r="E120">
            <v>2</v>
          </cell>
          <cell r="F120">
            <v>2</v>
          </cell>
          <cell r="G120" t="str">
            <v>1⁄8</v>
          </cell>
          <cell r="H120" t="str">
            <v>50/50</v>
          </cell>
          <cell r="I120">
            <v>0.51</v>
          </cell>
          <cell r="J120">
            <v>0</v>
          </cell>
        </row>
        <row r="121">
          <cell r="A121">
            <v>78387</v>
          </cell>
          <cell r="B121" t="str">
            <v>51% Whole Grain Pepperoni*</v>
          </cell>
          <cell r="C121">
            <v>96</v>
          </cell>
          <cell r="D121">
            <v>4.37</v>
          </cell>
          <cell r="E121">
            <v>2</v>
          </cell>
          <cell r="F121">
            <v>2</v>
          </cell>
          <cell r="G121" t="str">
            <v>1⁄8</v>
          </cell>
          <cell r="H121" t="str">
            <v>50/50</v>
          </cell>
          <cell r="I121">
            <v>0.51</v>
          </cell>
          <cell r="J121">
            <v>0</v>
          </cell>
        </row>
        <row r="122">
          <cell r="A122">
            <v>78783</v>
          </cell>
          <cell r="B122" t="str">
            <v>Cheese</v>
          </cell>
          <cell r="C122">
            <v>80</v>
          </cell>
          <cell r="D122">
            <v>4.87</v>
          </cell>
          <cell r="E122">
            <v>2</v>
          </cell>
          <cell r="F122">
            <v>2</v>
          </cell>
          <cell r="G122" t="str">
            <v>1⁄8</v>
          </cell>
          <cell r="H122" t="str">
            <v>50/50</v>
          </cell>
          <cell r="I122">
            <v>0</v>
          </cell>
          <cell r="J122">
            <v>0</v>
          </cell>
        </row>
        <row r="123">
          <cell r="A123">
            <v>78784</v>
          </cell>
          <cell r="B123" t="str">
            <v>Pepperoni</v>
          </cell>
          <cell r="C123">
            <v>80</v>
          </cell>
          <cell r="D123">
            <v>4.67</v>
          </cell>
          <cell r="E123">
            <v>2</v>
          </cell>
          <cell r="F123">
            <v>2</v>
          </cell>
          <cell r="G123" t="str">
            <v>1⁄8</v>
          </cell>
          <cell r="H123" t="str">
            <v>50/50</v>
          </cell>
          <cell r="I123">
            <v>0</v>
          </cell>
          <cell r="J123">
            <v>0</v>
          </cell>
        </row>
        <row r="124">
          <cell r="A124" t="str">
            <v>FRENCH BREAD PIZZA</v>
          </cell>
          <cell r="B124">
            <v>0</v>
          </cell>
          <cell r="C124">
            <v>0</v>
          </cell>
          <cell r="D124">
            <v>0</v>
          </cell>
          <cell r="E124">
            <v>0</v>
          </cell>
          <cell r="F124">
            <v>0</v>
          </cell>
          <cell r="G124">
            <v>0</v>
          </cell>
          <cell r="H124">
            <v>0</v>
          </cell>
          <cell r="I124">
            <v>0</v>
          </cell>
          <cell r="J124">
            <v>0</v>
          </cell>
        </row>
        <row r="125">
          <cell r="A125" t="str">
            <v>Code</v>
          </cell>
          <cell r="B125" t="str">
            <v>Variety</v>
          </cell>
          <cell r="C125" t="str">
            <v xml:space="preserve">  Serv./Case</v>
          </cell>
          <cell r="D125" t="str">
            <v>Serv. Size (oz.)</v>
          </cell>
          <cell r="E125" t="str">
            <v>M/MA (oz.)</v>
          </cell>
          <cell r="F125" t="str">
            <v>Grain</v>
          </cell>
          <cell r="G125" t="str">
            <v>Vegetable</v>
          </cell>
          <cell r="H125" t="str">
            <v>% Breakdown Cheese</v>
          </cell>
          <cell r="I125" t="str">
            <v>% Whole Grain</v>
          </cell>
          <cell r="J125">
            <v>0</v>
          </cell>
        </row>
        <row r="126">
          <cell r="A126" t="str">
            <v>Tony's® 6" French Bread Pizza</v>
          </cell>
          <cell r="B126">
            <v>0</v>
          </cell>
          <cell r="C126">
            <v>0</v>
          </cell>
          <cell r="D126">
            <v>0</v>
          </cell>
          <cell r="E126">
            <v>0</v>
          </cell>
          <cell r="F126">
            <v>0</v>
          </cell>
          <cell r="G126">
            <v>0</v>
          </cell>
          <cell r="H126">
            <v>0</v>
          </cell>
          <cell r="I126">
            <v>0</v>
          </cell>
          <cell r="J126">
            <v>0</v>
          </cell>
        </row>
        <row r="127">
          <cell r="A127">
            <v>78356</v>
          </cell>
          <cell r="B127" t="str">
            <v>51% Whole Grain Cheese</v>
          </cell>
          <cell r="C127">
            <v>60</v>
          </cell>
          <cell r="D127">
            <v>4.9400000000000004</v>
          </cell>
          <cell r="E127">
            <v>2</v>
          </cell>
          <cell r="F127">
            <v>2</v>
          </cell>
          <cell r="G127" t="str">
            <v>1⁄8</v>
          </cell>
          <cell r="H127" t="str">
            <v>50/50</v>
          </cell>
          <cell r="I127">
            <v>0.51</v>
          </cell>
          <cell r="J127">
            <v>0</v>
          </cell>
        </row>
        <row r="128">
          <cell r="A128">
            <v>78357</v>
          </cell>
          <cell r="B128" t="str">
            <v>51% Whole Grain Pepperoni</v>
          </cell>
          <cell r="C128">
            <v>60</v>
          </cell>
          <cell r="D128">
            <v>4.93</v>
          </cell>
          <cell r="E128">
            <v>2</v>
          </cell>
          <cell r="F128">
            <v>2</v>
          </cell>
          <cell r="G128" t="str">
            <v>1⁄8</v>
          </cell>
          <cell r="H128" t="str">
            <v>50/50</v>
          </cell>
          <cell r="I128">
            <v>0.51</v>
          </cell>
          <cell r="J128">
            <v>0</v>
          </cell>
        </row>
        <row r="129">
          <cell r="A129">
            <v>78358</v>
          </cell>
          <cell r="B129" t="str">
            <v>51% Whole Grain Sausage</v>
          </cell>
          <cell r="C129">
            <v>60</v>
          </cell>
          <cell r="D129">
            <v>5.03</v>
          </cell>
          <cell r="E129">
            <v>2</v>
          </cell>
          <cell r="F129">
            <v>2</v>
          </cell>
          <cell r="G129" t="str">
            <v>1⁄8</v>
          </cell>
          <cell r="H129" t="str">
            <v>50/50</v>
          </cell>
          <cell r="I129">
            <v>0.51</v>
          </cell>
          <cell r="J129">
            <v>0</v>
          </cell>
        </row>
        <row r="130">
          <cell r="A130">
            <v>78359</v>
          </cell>
          <cell r="B130" t="str">
            <v>51% Whole Grain Multi-Cheese &amp; Garlic</v>
          </cell>
          <cell r="C130">
            <v>60</v>
          </cell>
          <cell r="D130">
            <v>4.29</v>
          </cell>
          <cell r="E130">
            <v>2</v>
          </cell>
          <cell r="F130">
            <v>2</v>
          </cell>
          <cell r="G130">
            <v>0</v>
          </cell>
          <cell r="H130" t="str">
            <v>50/50</v>
          </cell>
          <cell r="I130">
            <v>0.51</v>
          </cell>
          <cell r="J130">
            <v>0</v>
          </cell>
        </row>
        <row r="131">
          <cell r="A131">
            <v>78360</v>
          </cell>
          <cell r="B131" t="str">
            <v>51% Whole Grain Pepperoni IW</v>
          </cell>
          <cell r="C131">
            <v>60</v>
          </cell>
          <cell r="D131">
            <v>4.93</v>
          </cell>
          <cell r="E131">
            <v>2</v>
          </cell>
          <cell r="F131">
            <v>2</v>
          </cell>
          <cell r="G131" t="str">
            <v>1⁄8</v>
          </cell>
          <cell r="H131" t="str">
            <v>50/50</v>
          </cell>
          <cell r="I131">
            <v>0.51</v>
          </cell>
          <cell r="J131">
            <v>0</v>
          </cell>
        </row>
        <row r="132">
          <cell r="A132">
            <v>78361</v>
          </cell>
          <cell r="B132" t="str">
            <v>51% Whole Grain Multi-Cheese &amp; Garlic IW</v>
          </cell>
          <cell r="C132">
            <v>60</v>
          </cell>
          <cell r="D132">
            <v>4.29</v>
          </cell>
          <cell r="E132">
            <v>2</v>
          </cell>
          <cell r="F132">
            <v>2</v>
          </cell>
          <cell r="G132">
            <v>0</v>
          </cell>
          <cell r="H132" t="str">
            <v>50/50</v>
          </cell>
          <cell r="I132">
            <v>0.51</v>
          </cell>
          <cell r="J132">
            <v>0</v>
          </cell>
        </row>
        <row r="133">
          <cell r="A133">
            <v>72671</v>
          </cell>
          <cell r="B133" t="str">
            <v>51% Whole Grain Cheese*</v>
          </cell>
          <cell r="C133">
            <v>60</v>
          </cell>
          <cell r="D133">
            <v>5.3</v>
          </cell>
          <cell r="E133">
            <v>2</v>
          </cell>
          <cell r="F133">
            <v>2</v>
          </cell>
          <cell r="G133" t="str">
            <v>1⁄8</v>
          </cell>
          <cell r="H133" t="str">
            <v>100% Mozz</v>
          </cell>
          <cell r="I133">
            <v>0.51</v>
          </cell>
          <cell r="J133">
            <v>0</v>
          </cell>
        </row>
        <row r="134">
          <cell r="A134">
            <v>72672</v>
          </cell>
          <cell r="B134" t="str">
            <v>51% Whole Grain Pepperoni*</v>
          </cell>
          <cell r="C134">
            <v>60</v>
          </cell>
          <cell r="D134">
            <v>5.2</v>
          </cell>
          <cell r="E134">
            <v>2</v>
          </cell>
          <cell r="F134">
            <v>2</v>
          </cell>
          <cell r="G134" t="str">
            <v>1⁄8</v>
          </cell>
          <cell r="H134" t="str">
            <v>100% Mozz</v>
          </cell>
          <cell r="I134">
            <v>0.51</v>
          </cell>
          <cell r="J134">
            <v>0</v>
          </cell>
        </row>
        <row r="135">
          <cell r="A135">
            <v>72673</v>
          </cell>
          <cell r="B135" t="str">
            <v>51% Whole Grain Cheese IW*</v>
          </cell>
          <cell r="C135">
            <v>60</v>
          </cell>
          <cell r="D135">
            <v>5.3</v>
          </cell>
          <cell r="E135">
            <v>2</v>
          </cell>
          <cell r="F135">
            <v>2</v>
          </cell>
          <cell r="G135" t="str">
            <v>1⁄8</v>
          </cell>
          <cell r="H135" t="str">
            <v>100% Mozz</v>
          </cell>
          <cell r="I135">
            <v>0.51</v>
          </cell>
          <cell r="J135">
            <v>0</v>
          </cell>
        </row>
        <row r="136">
          <cell r="A136">
            <v>72674</v>
          </cell>
          <cell r="B136" t="str">
            <v>51% Whole Grain Pepperoni IW *</v>
          </cell>
          <cell r="C136">
            <v>60</v>
          </cell>
          <cell r="D136">
            <v>5.2</v>
          </cell>
          <cell r="E136">
            <v>2</v>
          </cell>
          <cell r="F136">
            <v>2</v>
          </cell>
          <cell r="G136" t="str">
            <v>1⁄8</v>
          </cell>
          <cell r="H136" t="str">
            <v>100% Mozz</v>
          </cell>
          <cell r="I136">
            <v>0.51</v>
          </cell>
          <cell r="J136">
            <v>0</v>
          </cell>
        </row>
        <row r="137">
          <cell r="A137">
            <v>78622</v>
          </cell>
          <cell r="B137" t="str">
            <v>Cheese</v>
          </cell>
          <cell r="C137">
            <v>60</v>
          </cell>
          <cell r="D137">
            <v>4.78</v>
          </cell>
          <cell r="E137">
            <v>2</v>
          </cell>
          <cell r="F137">
            <v>2</v>
          </cell>
          <cell r="G137" t="str">
            <v>1⁄8</v>
          </cell>
          <cell r="H137" t="str">
            <v>50/50</v>
          </cell>
          <cell r="I137">
            <v>0.2</v>
          </cell>
          <cell r="J137">
            <v>0</v>
          </cell>
        </row>
        <row r="138">
          <cell r="A138">
            <v>78623</v>
          </cell>
          <cell r="B138" t="str">
            <v>Pepperoni</v>
          </cell>
          <cell r="C138">
            <v>60</v>
          </cell>
          <cell r="D138">
            <v>4.7300000000000004</v>
          </cell>
          <cell r="E138">
            <v>2</v>
          </cell>
          <cell r="F138">
            <v>2</v>
          </cell>
          <cell r="G138" t="str">
            <v>1⁄8</v>
          </cell>
          <cell r="H138" t="str">
            <v>50/50</v>
          </cell>
          <cell r="I138">
            <v>0.2</v>
          </cell>
          <cell r="J138">
            <v>0</v>
          </cell>
        </row>
        <row r="139">
          <cell r="A139">
            <v>78624</v>
          </cell>
          <cell r="B139" t="str">
            <v>Multi-Cheese &amp; Garlic</v>
          </cell>
          <cell r="C139">
            <v>60</v>
          </cell>
          <cell r="D139">
            <v>4.08</v>
          </cell>
          <cell r="E139">
            <v>2</v>
          </cell>
          <cell r="F139">
            <v>2</v>
          </cell>
          <cell r="G139">
            <v>0</v>
          </cell>
          <cell r="H139" t="str">
            <v>50/50</v>
          </cell>
          <cell r="I139">
            <v>0.2</v>
          </cell>
          <cell r="J139">
            <v>0</v>
          </cell>
        </row>
        <row r="140">
          <cell r="A140">
            <v>78516</v>
          </cell>
          <cell r="B140" t="str">
            <v>Multi-Cheese &amp; Garlic IW</v>
          </cell>
          <cell r="C140">
            <v>60</v>
          </cell>
          <cell r="D140">
            <v>4.08</v>
          </cell>
          <cell r="E140">
            <v>2</v>
          </cell>
          <cell r="F140">
            <v>2</v>
          </cell>
          <cell r="G140">
            <v>0</v>
          </cell>
          <cell r="H140" t="str">
            <v>50/50</v>
          </cell>
          <cell r="I140">
            <v>0.2</v>
          </cell>
          <cell r="J140">
            <v>0</v>
          </cell>
        </row>
        <row r="141">
          <cell r="A141">
            <v>78822</v>
          </cell>
          <cell r="B141" t="str">
            <v>Sausage</v>
          </cell>
          <cell r="C141">
            <v>60</v>
          </cell>
          <cell r="D141">
            <v>4.8600000000000003</v>
          </cell>
          <cell r="E141">
            <v>2</v>
          </cell>
          <cell r="F141">
            <v>2</v>
          </cell>
          <cell r="G141" t="str">
            <v>1⁄8</v>
          </cell>
          <cell r="H141" t="str">
            <v>50/50</v>
          </cell>
          <cell r="I141">
            <v>0.2</v>
          </cell>
          <cell r="J141">
            <v>0</v>
          </cell>
        </row>
        <row r="142">
          <cell r="A142" t="str">
            <v>Red Baron® 6" French Bread Pizza</v>
          </cell>
          <cell r="B142">
            <v>0</v>
          </cell>
          <cell r="C142">
            <v>0</v>
          </cell>
          <cell r="D142">
            <v>0</v>
          </cell>
          <cell r="E142">
            <v>0</v>
          </cell>
          <cell r="F142">
            <v>0</v>
          </cell>
          <cell r="G142">
            <v>0</v>
          </cell>
          <cell r="H142">
            <v>0</v>
          </cell>
          <cell r="I142">
            <v>0</v>
          </cell>
          <cell r="J142">
            <v>0</v>
          </cell>
        </row>
        <row r="143">
          <cell r="A143">
            <v>78511</v>
          </cell>
          <cell r="B143" t="str">
            <v>Cheese</v>
          </cell>
          <cell r="C143">
            <v>60</v>
          </cell>
          <cell r="D143">
            <v>4.95</v>
          </cell>
          <cell r="E143">
            <v>2</v>
          </cell>
          <cell r="F143">
            <v>2</v>
          </cell>
          <cell r="G143" t="str">
            <v>1⁄8</v>
          </cell>
          <cell r="H143" t="str">
            <v>50/50</v>
          </cell>
          <cell r="I143">
            <v>0</v>
          </cell>
          <cell r="J143">
            <v>0</v>
          </cell>
        </row>
        <row r="144">
          <cell r="A144">
            <v>78504</v>
          </cell>
          <cell r="B144" t="str">
            <v>Cheese</v>
          </cell>
          <cell r="C144">
            <v>60</v>
          </cell>
          <cell r="D144">
            <v>5.3</v>
          </cell>
          <cell r="E144">
            <v>2</v>
          </cell>
          <cell r="F144">
            <v>2</v>
          </cell>
          <cell r="G144" t="str">
            <v>1⁄8</v>
          </cell>
          <cell r="H144" t="str">
            <v>100% Mozz</v>
          </cell>
          <cell r="I144">
            <v>0</v>
          </cell>
          <cell r="J144">
            <v>0</v>
          </cell>
        </row>
        <row r="145">
          <cell r="A145">
            <v>78505</v>
          </cell>
          <cell r="B145" t="str">
            <v>Pepperoni</v>
          </cell>
          <cell r="C145">
            <v>60</v>
          </cell>
          <cell r="D145">
            <v>5.2</v>
          </cell>
          <cell r="E145">
            <v>2</v>
          </cell>
          <cell r="F145">
            <v>2</v>
          </cell>
          <cell r="G145" t="str">
            <v>1⁄8</v>
          </cell>
          <cell r="H145" t="str">
            <v>100% Mozz</v>
          </cell>
          <cell r="I145">
            <v>0</v>
          </cell>
          <cell r="J145">
            <v>0</v>
          </cell>
        </row>
        <row r="146">
          <cell r="A146">
            <v>78626</v>
          </cell>
          <cell r="B146" t="str">
            <v>Pepperoni IW</v>
          </cell>
          <cell r="C146">
            <v>60</v>
          </cell>
          <cell r="D146">
            <v>5.2</v>
          </cell>
          <cell r="E146">
            <v>2</v>
          </cell>
          <cell r="F146">
            <v>2</v>
          </cell>
          <cell r="G146" t="str">
            <v>1⁄8</v>
          </cell>
          <cell r="H146" t="str">
            <v>100% Mozz</v>
          </cell>
          <cell r="I146">
            <v>0</v>
          </cell>
          <cell r="J146">
            <v>0</v>
          </cell>
        </row>
        <row r="147">
          <cell r="A147" t="str">
            <v>Red Baron® 8" French Bread Pizza</v>
          </cell>
          <cell r="B147">
            <v>0</v>
          </cell>
          <cell r="C147">
            <v>0</v>
          </cell>
          <cell r="D147">
            <v>0</v>
          </cell>
          <cell r="E147">
            <v>0</v>
          </cell>
          <cell r="F147">
            <v>0</v>
          </cell>
          <cell r="G147">
            <v>0</v>
          </cell>
          <cell r="H147">
            <v>0</v>
          </cell>
          <cell r="I147">
            <v>0</v>
          </cell>
          <cell r="J147">
            <v>0</v>
          </cell>
        </row>
        <row r="148">
          <cell r="A148">
            <v>78525</v>
          </cell>
          <cell r="B148" t="str">
            <v>Cheese</v>
          </cell>
          <cell r="C148">
            <v>72</v>
          </cell>
          <cell r="D148">
            <v>5.75</v>
          </cell>
          <cell r="E148">
            <v>2</v>
          </cell>
          <cell r="F148" t="str">
            <v>2 ¼</v>
          </cell>
          <cell r="G148" t="str">
            <v>1⁄8</v>
          </cell>
          <cell r="H148" t="str">
            <v>50/50</v>
          </cell>
          <cell r="I148">
            <v>0</v>
          </cell>
          <cell r="J148">
            <v>0</v>
          </cell>
        </row>
        <row r="149">
          <cell r="A149">
            <v>78518</v>
          </cell>
          <cell r="B149" t="str">
            <v>Pepperoni</v>
          </cell>
          <cell r="C149">
            <v>60</v>
          </cell>
          <cell r="D149">
            <v>6.1</v>
          </cell>
          <cell r="E149">
            <v>2</v>
          </cell>
          <cell r="F149">
            <v>3</v>
          </cell>
          <cell r="G149" t="str">
            <v>1⁄8</v>
          </cell>
          <cell r="H149" t="str">
            <v>100% Mozz</v>
          </cell>
          <cell r="I149">
            <v>0</v>
          </cell>
          <cell r="J149">
            <v>0</v>
          </cell>
        </row>
        <row r="150">
          <cell r="A150" t="str">
            <v>SHEETED WEDGE PIZZA</v>
          </cell>
          <cell r="B150">
            <v>0</v>
          </cell>
          <cell r="C150">
            <v>0</v>
          </cell>
          <cell r="D150">
            <v>0</v>
          </cell>
          <cell r="E150">
            <v>0</v>
          </cell>
          <cell r="F150">
            <v>0</v>
          </cell>
          <cell r="G150">
            <v>0</v>
          </cell>
          <cell r="H150">
            <v>0</v>
          </cell>
          <cell r="I150">
            <v>0</v>
          </cell>
          <cell r="J150">
            <v>0</v>
          </cell>
        </row>
        <row r="151">
          <cell r="A151" t="str">
            <v>Code</v>
          </cell>
          <cell r="B151" t="str">
            <v>Variety</v>
          </cell>
          <cell r="C151" t="str">
            <v xml:space="preserve">  Serv./Case</v>
          </cell>
          <cell r="D151" t="str">
            <v>Serv. Size (oz.)</v>
          </cell>
          <cell r="E151" t="str">
            <v>M/MA (oz.)</v>
          </cell>
          <cell r="F151" t="str">
            <v>Grain</v>
          </cell>
          <cell r="G151" t="str">
            <v>Vegetable</v>
          </cell>
          <cell r="H151" t="str">
            <v>% Breakdown Cheese</v>
          </cell>
          <cell r="I151" t="str">
            <v>% Whole Grain</v>
          </cell>
          <cell r="J151">
            <v>0</v>
          </cell>
        </row>
        <row r="152">
          <cell r="A152" t="str">
            <v>Tony's® Right Angle Wedge</v>
          </cell>
          <cell r="B152">
            <v>0</v>
          </cell>
          <cell r="C152">
            <v>0</v>
          </cell>
          <cell r="D152">
            <v>0</v>
          </cell>
          <cell r="E152">
            <v>0</v>
          </cell>
          <cell r="F152">
            <v>0</v>
          </cell>
          <cell r="G152">
            <v>0</v>
          </cell>
          <cell r="H152">
            <v>0</v>
          </cell>
          <cell r="I152">
            <v>0</v>
          </cell>
          <cell r="J152">
            <v>0</v>
          </cell>
        </row>
        <row r="153">
          <cell r="A153">
            <v>72561</v>
          </cell>
          <cell r="B153" t="str">
            <v>51% Whole Grain Cheese*</v>
          </cell>
          <cell r="C153">
            <v>96</v>
          </cell>
          <cell r="D153">
            <v>4.5999999999999996</v>
          </cell>
          <cell r="E153">
            <v>2</v>
          </cell>
          <cell r="F153">
            <v>2</v>
          </cell>
          <cell r="G153" t="str">
            <v>1⁄8</v>
          </cell>
          <cell r="H153" t="str">
            <v>50/50</v>
          </cell>
          <cell r="I153">
            <v>0.51</v>
          </cell>
          <cell r="J153">
            <v>0</v>
          </cell>
        </row>
        <row r="154">
          <cell r="A154">
            <v>72562</v>
          </cell>
          <cell r="B154" t="str">
            <v>51% Whole Grain Pepperoni*</v>
          </cell>
          <cell r="C154">
            <v>96</v>
          </cell>
          <cell r="D154">
            <v>4.4800000000000004</v>
          </cell>
          <cell r="E154">
            <v>2</v>
          </cell>
          <cell r="F154">
            <v>2</v>
          </cell>
          <cell r="G154" t="str">
            <v>1⁄8</v>
          </cell>
          <cell r="H154" t="str">
            <v>50/50</v>
          </cell>
          <cell r="I154">
            <v>0.51</v>
          </cell>
          <cell r="J154">
            <v>0</v>
          </cell>
        </row>
        <row r="155">
          <cell r="A155">
            <v>72563</v>
          </cell>
          <cell r="B155" t="str">
            <v>51% Whole Grain Cheese*</v>
          </cell>
          <cell r="C155">
            <v>96</v>
          </cell>
          <cell r="D155">
            <v>4.5999999999999996</v>
          </cell>
          <cell r="E155">
            <v>2</v>
          </cell>
          <cell r="F155">
            <v>2</v>
          </cell>
          <cell r="G155" t="str">
            <v>1⁄8</v>
          </cell>
          <cell r="H155" t="str">
            <v>100% Mozz</v>
          </cell>
          <cell r="I155">
            <v>0.51</v>
          </cell>
          <cell r="J155">
            <v>0</v>
          </cell>
        </row>
        <row r="156">
          <cell r="A156">
            <v>72564</v>
          </cell>
          <cell r="B156" t="str">
            <v>51% Whole Grain Pepperoni*</v>
          </cell>
          <cell r="C156">
            <v>96</v>
          </cell>
          <cell r="D156">
            <v>4.4800000000000004</v>
          </cell>
          <cell r="E156">
            <v>2</v>
          </cell>
          <cell r="F156">
            <v>2</v>
          </cell>
          <cell r="G156" t="str">
            <v>1⁄8</v>
          </cell>
          <cell r="H156" t="str">
            <v>100% Mozz</v>
          </cell>
          <cell r="I156">
            <v>0.51</v>
          </cell>
          <cell r="J156">
            <v>0</v>
          </cell>
        </row>
        <row r="157">
          <cell r="A157">
            <v>74711</v>
          </cell>
          <cell r="B157" t="str">
            <v>Cheese</v>
          </cell>
          <cell r="C157">
            <v>96</v>
          </cell>
          <cell r="D157">
            <v>4.7</v>
          </cell>
          <cell r="E157">
            <v>2</v>
          </cell>
          <cell r="F157">
            <v>2</v>
          </cell>
          <cell r="G157" t="str">
            <v>1⁄8</v>
          </cell>
          <cell r="H157" t="str">
            <v>50/50</v>
          </cell>
          <cell r="I157">
            <v>0</v>
          </cell>
          <cell r="J157">
            <v>0</v>
          </cell>
        </row>
        <row r="158">
          <cell r="A158">
            <v>63500</v>
          </cell>
          <cell r="B158" t="str">
            <v>Cheese</v>
          </cell>
          <cell r="C158">
            <v>96</v>
          </cell>
          <cell r="D158">
            <v>4.6900000000000004</v>
          </cell>
          <cell r="E158">
            <v>2</v>
          </cell>
          <cell r="F158">
            <v>2</v>
          </cell>
          <cell r="G158" t="str">
            <v>1⁄8</v>
          </cell>
          <cell r="H158" t="str">
            <v>100% Mozz</v>
          </cell>
          <cell r="I158">
            <v>0</v>
          </cell>
          <cell r="J158">
            <v>0</v>
          </cell>
        </row>
        <row r="159">
          <cell r="A159">
            <v>74712</v>
          </cell>
          <cell r="B159" t="str">
            <v>Pepperoni</v>
          </cell>
          <cell r="C159">
            <v>96</v>
          </cell>
          <cell r="D159">
            <v>4.79</v>
          </cell>
          <cell r="E159">
            <v>2</v>
          </cell>
          <cell r="F159">
            <v>2</v>
          </cell>
          <cell r="G159" t="str">
            <v>1⁄8</v>
          </cell>
          <cell r="H159" t="str">
            <v>50/50</v>
          </cell>
          <cell r="I159">
            <v>0</v>
          </cell>
          <cell r="J159">
            <v>0</v>
          </cell>
        </row>
        <row r="160">
          <cell r="A160">
            <v>63624</v>
          </cell>
          <cell r="B160" t="str">
            <v>Pepperoni</v>
          </cell>
          <cell r="C160">
            <v>96</v>
          </cell>
          <cell r="D160">
            <v>4.58</v>
          </cell>
          <cell r="E160" t="str">
            <v>1 ¾</v>
          </cell>
          <cell r="F160">
            <v>2</v>
          </cell>
          <cell r="G160" t="str">
            <v>1⁄8</v>
          </cell>
          <cell r="H160" t="str">
            <v>100% Mozz</v>
          </cell>
          <cell r="I160">
            <v>0</v>
          </cell>
          <cell r="J160">
            <v>0</v>
          </cell>
        </row>
        <row r="161">
          <cell r="A161">
            <v>63835</v>
          </cell>
          <cell r="B161" t="str">
            <v>Sausage</v>
          </cell>
          <cell r="C161">
            <v>96</v>
          </cell>
          <cell r="D161">
            <v>4.6900000000000004</v>
          </cell>
          <cell r="E161">
            <v>2</v>
          </cell>
          <cell r="F161">
            <v>2</v>
          </cell>
          <cell r="G161" t="str">
            <v>1⁄8</v>
          </cell>
          <cell r="H161" t="str">
            <v>50/50</v>
          </cell>
          <cell r="I161">
            <v>0</v>
          </cell>
          <cell r="J161">
            <v>0</v>
          </cell>
        </row>
        <row r="162">
          <cell r="A162" t="str">
            <v>Tony's® 7" Classic Wedge Slice</v>
          </cell>
          <cell r="B162">
            <v>0</v>
          </cell>
          <cell r="C162">
            <v>0</v>
          </cell>
          <cell r="D162">
            <v>0</v>
          </cell>
          <cell r="E162">
            <v>0</v>
          </cell>
          <cell r="F162">
            <v>0</v>
          </cell>
          <cell r="G162">
            <v>0</v>
          </cell>
          <cell r="H162">
            <v>0</v>
          </cell>
          <cell r="I162">
            <v>0</v>
          </cell>
          <cell r="J162">
            <v>0</v>
          </cell>
        </row>
        <row r="163">
          <cell r="A163">
            <v>78906</v>
          </cell>
          <cell r="B163" t="str">
            <v>51% Whole Grain Cheese</v>
          </cell>
          <cell r="C163">
            <v>80</v>
          </cell>
          <cell r="D163">
            <v>4.8</v>
          </cell>
          <cell r="E163">
            <v>2</v>
          </cell>
          <cell r="F163">
            <v>2</v>
          </cell>
          <cell r="G163" t="str">
            <v>1⁄8</v>
          </cell>
          <cell r="H163" t="str">
            <v>50/50</v>
          </cell>
          <cell r="I163">
            <v>0.51</v>
          </cell>
          <cell r="J163">
            <v>0</v>
          </cell>
        </row>
        <row r="164">
          <cell r="A164">
            <v>73158</v>
          </cell>
          <cell r="B164" t="str">
            <v>51% Whole Grain Cheese</v>
          </cell>
          <cell r="C164">
            <v>96</v>
          </cell>
          <cell r="D164">
            <v>4.5999999999999996</v>
          </cell>
          <cell r="E164">
            <v>2</v>
          </cell>
          <cell r="F164">
            <v>2</v>
          </cell>
          <cell r="G164" t="str">
            <v>1⁄8</v>
          </cell>
          <cell r="H164" t="str">
            <v>50/50</v>
          </cell>
          <cell r="I164">
            <v>0.51</v>
          </cell>
          <cell r="J164">
            <v>0</v>
          </cell>
        </row>
        <row r="165">
          <cell r="A165">
            <v>73034</v>
          </cell>
          <cell r="B165" t="str">
            <v>51% Whole Grain Cheese</v>
          </cell>
          <cell r="C165">
            <v>96</v>
          </cell>
          <cell r="D165">
            <v>4.5999999999999996</v>
          </cell>
          <cell r="E165">
            <v>2</v>
          </cell>
          <cell r="F165" t="str">
            <v>1 ¾</v>
          </cell>
          <cell r="G165" t="str">
            <v>1⁄8</v>
          </cell>
          <cell r="H165" t="str">
            <v>50/50</v>
          </cell>
          <cell r="I165">
            <v>0.51</v>
          </cell>
          <cell r="J165">
            <v>0</v>
          </cell>
        </row>
        <row r="166">
          <cell r="A166">
            <v>78909</v>
          </cell>
          <cell r="B166" t="str">
            <v>51% Whole Grain Cheese</v>
          </cell>
          <cell r="C166">
            <v>80</v>
          </cell>
          <cell r="D166">
            <v>4.7</v>
          </cell>
          <cell r="E166">
            <v>2</v>
          </cell>
          <cell r="F166">
            <v>2</v>
          </cell>
          <cell r="G166" t="str">
            <v>1⁄8</v>
          </cell>
          <cell r="H166" t="str">
            <v>100% Mozz</v>
          </cell>
          <cell r="I166">
            <v>0.51</v>
          </cell>
          <cell r="J166">
            <v>0</v>
          </cell>
        </row>
        <row r="167">
          <cell r="A167">
            <v>72558</v>
          </cell>
          <cell r="B167" t="str">
            <v>51% Whole Grain Cheese*</v>
          </cell>
          <cell r="C167">
            <v>96</v>
          </cell>
          <cell r="D167">
            <v>4.59</v>
          </cell>
          <cell r="E167">
            <v>2</v>
          </cell>
          <cell r="F167">
            <v>2</v>
          </cell>
          <cell r="G167" t="str">
            <v>1⁄8</v>
          </cell>
          <cell r="H167" t="str">
            <v>100% Mozz</v>
          </cell>
          <cell r="I167">
            <v>0.51</v>
          </cell>
          <cell r="J167">
            <v>0</v>
          </cell>
        </row>
        <row r="168">
          <cell r="A168">
            <v>78907</v>
          </cell>
          <cell r="B168" t="str">
            <v>51% Whole Grain Pepperoni</v>
          </cell>
          <cell r="C168">
            <v>80</v>
          </cell>
          <cell r="D168">
            <v>4.68</v>
          </cell>
          <cell r="E168">
            <v>2</v>
          </cell>
          <cell r="F168">
            <v>2</v>
          </cell>
          <cell r="G168" t="str">
            <v>1⁄8</v>
          </cell>
          <cell r="H168" t="str">
            <v>50/50</v>
          </cell>
          <cell r="I168">
            <v>0.51</v>
          </cell>
          <cell r="J168">
            <v>0</v>
          </cell>
        </row>
        <row r="169">
          <cell r="A169">
            <v>73159</v>
          </cell>
          <cell r="B169" t="str">
            <v>51% Whole Grain Pepperoni (Diced)</v>
          </cell>
          <cell r="C169">
            <v>96</v>
          </cell>
          <cell r="D169">
            <v>4.4800000000000004</v>
          </cell>
          <cell r="E169">
            <v>2</v>
          </cell>
          <cell r="F169">
            <v>2</v>
          </cell>
          <cell r="G169" t="str">
            <v>1⁄8</v>
          </cell>
          <cell r="H169" t="str">
            <v>50/50</v>
          </cell>
          <cell r="I169">
            <v>0.51</v>
          </cell>
          <cell r="J169">
            <v>0</v>
          </cell>
        </row>
        <row r="170">
          <cell r="A170">
            <v>73039</v>
          </cell>
          <cell r="B170" t="str">
            <v>51% Whole Grain Pepperoni (Diced)</v>
          </cell>
          <cell r="C170">
            <v>96</v>
          </cell>
          <cell r="D170">
            <v>4.5599999999999996</v>
          </cell>
          <cell r="E170">
            <v>2</v>
          </cell>
          <cell r="F170" t="str">
            <v>1 ¾</v>
          </cell>
          <cell r="G170" t="str">
            <v>1⁄8</v>
          </cell>
          <cell r="H170" t="str">
            <v>50/50</v>
          </cell>
          <cell r="I170">
            <v>0.51</v>
          </cell>
          <cell r="J170">
            <v>0</v>
          </cell>
        </row>
        <row r="171">
          <cell r="A171">
            <v>72559</v>
          </cell>
          <cell r="B171" t="str">
            <v>51% Whole Grain Pepperoni*</v>
          </cell>
          <cell r="C171">
            <v>96</v>
          </cell>
          <cell r="D171">
            <v>4.4800000000000004</v>
          </cell>
          <cell r="E171">
            <v>2</v>
          </cell>
          <cell r="F171">
            <v>2</v>
          </cell>
          <cell r="G171" t="str">
            <v>1⁄8</v>
          </cell>
          <cell r="H171" t="str">
            <v>50/50</v>
          </cell>
          <cell r="I171">
            <v>0.51</v>
          </cell>
          <cell r="J171">
            <v>0</v>
          </cell>
        </row>
        <row r="172">
          <cell r="A172">
            <v>72560</v>
          </cell>
          <cell r="B172" t="str">
            <v>51% Whole Grain Pepperoni*</v>
          </cell>
          <cell r="C172">
            <v>96</v>
          </cell>
          <cell r="D172">
            <v>4.4800000000000004</v>
          </cell>
          <cell r="E172">
            <v>2</v>
          </cell>
          <cell r="F172">
            <v>2</v>
          </cell>
          <cell r="G172" t="str">
            <v>1⁄8</v>
          </cell>
          <cell r="H172" t="str">
            <v>100% Mozz</v>
          </cell>
          <cell r="I172">
            <v>0.51</v>
          </cell>
          <cell r="J172">
            <v>0</v>
          </cell>
        </row>
        <row r="173">
          <cell r="A173">
            <v>73160</v>
          </cell>
          <cell r="B173" t="str">
            <v>51% Whole Grain Turkey Sausage</v>
          </cell>
          <cell r="C173">
            <v>96</v>
          </cell>
          <cell r="D173">
            <v>4.6900000000000004</v>
          </cell>
          <cell r="E173">
            <v>2</v>
          </cell>
          <cell r="F173">
            <v>2</v>
          </cell>
          <cell r="G173" t="str">
            <v>1⁄8</v>
          </cell>
          <cell r="H173" t="str">
            <v>50/50</v>
          </cell>
          <cell r="I173">
            <v>0.51</v>
          </cell>
          <cell r="J173">
            <v>0</v>
          </cell>
        </row>
        <row r="174">
          <cell r="A174">
            <v>78910</v>
          </cell>
          <cell r="B174" t="str">
            <v>51% Whole Grain Pepperoni</v>
          </cell>
          <cell r="C174">
            <v>80</v>
          </cell>
          <cell r="D174">
            <v>4.68</v>
          </cell>
          <cell r="E174">
            <v>2</v>
          </cell>
          <cell r="F174">
            <v>2</v>
          </cell>
          <cell r="G174" t="str">
            <v>1⁄8</v>
          </cell>
          <cell r="H174" t="str">
            <v>100% Mozz</v>
          </cell>
          <cell r="I174">
            <v>0.51</v>
          </cell>
          <cell r="J174">
            <v>0</v>
          </cell>
        </row>
        <row r="175">
          <cell r="A175">
            <v>74709</v>
          </cell>
          <cell r="B175" t="str">
            <v>Cheese</v>
          </cell>
          <cell r="C175">
            <v>80</v>
          </cell>
          <cell r="D175">
            <v>4.6100000000000003</v>
          </cell>
          <cell r="E175">
            <v>2</v>
          </cell>
          <cell r="F175" t="str">
            <v>1 ¾</v>
          </cell>
          <cell r="G175" t="str">
            <v>1⁄8</v>
          </cell>
          <cell r="H175" t="str">
            <v>50/50</v>
          </cell>
          <cell r="I175">
            <v>0</v>
          </cell>
          <cell r="J175">
            <v>0</v>
          </cell>
        </row>
        <row r="176">
          <cell r="A176">
            <v>74710</v>
          </cell>
          <cell r="B176" t="str">
            <v>Pepperoni</v>
          </cell>
          <cell r="C176">
            <v>80</v>
          </cell>
          <cell r="D176">
            <v>4.7</v>
          </cell>
          <cell r="E176">
            <v>2</v>
          </cell>
          <cell r="F176" t="str">
            <v>1 ¾</v>
          </cell>
          <cell r="G176" t="str">
            <v>1⁄8</v>
          </cell>
          <cell r="H176" t="str">
            <v>50/50</v>
          </cell>
          <cell r="I176">
            <v>0</v>
          </cell>
          <cell r="J176">
            <v>0</v>
          </cell>
        </row>
        <row r="177">
          <cell r="A177">
            <v>78908</v>
          </cell>
          <cell r="B177" t="str">
            <v>Turkey Sausage</v>
          </cell>
          <cell r="C177">
            <v>80</v>
          </cell>
          <cell r="D177">
            <v>4.76</v>
          </cell>
          <cell r="E177">
            <v>2</v>
          </cell>
          <cell r="F177" t="str">
            <v>1 ¾</v>
          </cell>
          <cell r="G177" t="str">
            <v>1⁄8</v>
          </cell>
          <cell r="H177" t="str">
            <v>50/50</v>
          </cell>
          <cell r="I177">
            <v>0</v>
          </cell>
          <cell r="J177">
            <v>0</v>
          </cell>
        </row>
        <row r="178">
          <cell r="A178" t="str">
            <v>SHEETED 4"x 6" PIZZA</v>
          </cell>
          <cell r="B178">
            <v>0</v>
          </cell>
          <cell r="C178">
            <v>0</v>
          </cell>
          <cell r="D178">
            <v>0</v>
          </cell>
          <cell r="E178">
            <v>0</v>
          </cell>
          <cell r="F178">
            <v>0</v>
          </cell>
          <cell r="G178">
            <v>0</v>
          </cell>
          <cell r="H178">
            <v>0</v>
          </cell>
          <cell r="I178">
            <v>0</v>
          </cell>
          <cell r="J178">
            <v>0</v>
          </cell>
        </row>
        <row r="179">
          <cell r="A179" t="str">
            <v>Code</v>
          </cell>
          <cell r="B179" t="str">
            <v>Variety</v>
          </cell>
          <cell r="C179" t="str">
            <v xml:space="preserve">  Serv./Case</v>
          </cell>
          <cell r="D179" t="str">
            <v>Serv. Size (oz.)</v>
          </cell>
          <cell r="E179" t="str">
            <v>M/MA (oz.)</v>
          </cell>
          <cell r="F179" t="str">
            <v>Grain</v>
          </cell>
          <cell r="G179" t="str">
            <v>Vegetable</v>
          </cell>
          <cell r="H179" t="str">
            <v>% Breakdown Cheese</v>
          </cell>
          <cell r="I179" t="str">
            <v>% Whole Grain</v>
          </cell>
          <cell r="J179">
            <v>0</v>
          </cell>
        </row>
        <row r="180">
          <cell r="A180" t="str">
            <v>Tony's® 4" x 6" Thin Crust Pizza</v>
          </cell>
          <cell r="B180">
            <v>0</v>
          </cell>
          <cell r="C180">
            <v>0</v>
          </cell>
          <cell r="D180">
            <v>0</v>
          </cell>
          <cell r="E180">
            <v>0</v>
          </cell>
          <cell r="F180">
            <v>0</v>
          </cell>
          <cell r="G180">
            <v>0</v>
          </cell>
          <cell r="H180">
            <v>0</v>
          </cell>
          <cell r="I180">
            <v>0</v>
          </cell>
          <cell r="J180">
            <v>0</v>
          </cell>
        </row>
        <row r="181">
          <cell r="A181">
            <v>78673</v>
          </cell>
          <cell r="B181" t="str">
            <v xml:space="preserve">51% Whole Grain Cheese </v>
          </cell>
          <cell r="C181">
            <v>96</v>
          </cell>
          <cell r="D181">
            <v>4.5999999999999996</v>
          </cell>
          <cell r="E181">
            <v>2</v>
          </cell>
          <cell r="F181">
            <v>2</v>
          </cell>
          <cell r="G181" t="str">
            <v>1⁄8</v>
          </cell>
          <cell r="H181" t="str">
            <v xml:space="preserve">50/50 </v>
          </cell>
          <cell r="I181">
            <v>0.51</v>
          </cell>
          <cell r="J181">
            <v>0</v>
          </cell>
        </row>
        <row r="182">
          <cell r="A182">
            <v>78697</v>
          </cell>
          <cell r="B182" t="str">
            <v xml:space="preserve">51% Whole Grain Cheese </v>
          </cell>
          <cell r="C182">
            <v>96</v>
          </cell>
          <cell r="D182">
            <v>4.5</v>
          </cell>
          <cell r="E182">
            <v>2</v>
          </cell>
          <cell r="F182">
            <v>2</v>
          </cell>
          <cell r="G182" t="str">
            <v>1⁄8</v>
          </cell>
          <cell r="H182" t="str">
            <v xml:space="preserve">100% Mozz </v>
          </cell>
          <cell r="I182">
            <v>0.51</v>
          </cell>
          <cell r="J182">
            <v>0</v>
          </cell>
        </row>
        <row r="183">
          <cell r="A183">
            <v>72708</v>
          </cell>
          <cell r="B183" t="str">
            <v>51% Whole Grain Cheese IW*</v>
          </cell>
          <cell r="C183">
            <v>72</v>
          </cell>
          <cell r="D183">
            <v>5</v>
          </cell>
          <cell r="E183">
            <v>2</v>
          </cell>
          <cell r="F183">
            <v>2</v>
          </cell>
          <cell r="G183" t="str">
            <v>1⁄8</v>
          </cell>
          <cell r="H183" t="str">
            <v xml:space="preserve">100% Mozz </v>
          </cell>
          <cell r="I183">
            <v>0.51</v>
          </cell>
          <cell r="J183">
            <v>0</v>
          </cell>
        </row>
        <row r="184">
          <cell r="A184">
            <v>78674</v>
          </cell>
          <cell r="B184" t="str">
            <v xml:space="preserve">51% Whole Grain Pepperoni </v>
          </cell>
          <cell r="C184">
            <v>96</v>
          </cell>
          <cell r="D184">
            <v>4.4800000000000004</v>
          </cell>
          <cell r="E184">
            <v>2</v>
          </cell>
          <cell r="F184">
            <v>2</v>
          </cell>
          <cell r="G184" t="str">
            <v>1⁄8</v>
          </cell>
          <cell r="H184" t="str">
            <v xml:space="preserve">50/50 </v>
          </cell>
          <cell r="I184">
            <v>0.51</v>
          </cell>
          <cell r="J184">
            <v>0</v>
          </cell>
        </row>
        <row r="185">
          <cell r="A185">
            <v>78698</v>
          </cell>
          <cell r="B185" t="str">
            <v xml:space="preserve">51% Whole Grain Pepperoni </v>
          </cell>
          <cell r="C185">
            <v>96</v>
          </cell>
          <cell r="D185">
            <v>4.4800000000000004</v>
          </cell>
          <cell r="E185">
            <v>2</v>
          </cell>
          <cell r="F185">
            <v>2</v>
          </cell>
          <cell r="G185" t="str">
            <v>1⁄8</v>
          </cell>
          <cell r="H185" t="str">
            <v xml:space="preserve">100% Mozz </v>
          </cell>
          <cell r="I185">
            <v>0.51</v>
          </cell>
          <cell r="J185">
            <v>0</v>
          </cell>
        </row>
        <row r="186">
          <cell r="A186">
            <v>72709</v>
          </cell>
          <cell r="B186" t="str">
            <v>51% Whole Grain Pepperoni IW*</v>
          </cell>
          <cell r="C186">
            <v>72</v>
          </cell>
          <cell r="D186">
            <v>5.0199999999999996</v>
          </cell>
          <cell r="E186">
            <v>2</v>
          </cell>
          <cell r="F186">
            <v>2</v>
          </cell>
          <cell r="G186" t="str">
            <v>1⁄8</v>
          </cell>
          <cell r="H186" t="str">
            <v xml:space="preserve">100% Mozz </v>
          </cell>
          <cell r="I186">
            <v>0.51</v>
          </cell>
          <cell r="J186">
            <v>0</v>
          </cell>
        </row>
        <row r="187">
          <cell r="A187">
            <v>72557</v>
          </cell>
          <cell r="B187" t="str">
            <v>51% Whole Grain Turkey Sausage*</v>
          </cell>
          <cell r="C187">
            <v>96</v>
          </cell>
          <cell r="D187">
            <v>4.6900000000000004</v>
          </cell>
          <cell r="E187">
            <v>2</v>
          </cell>
          <cell r="F187">
            <v>2</v>
          </cell>
          <cell r="G187" t="str">
            <v>1⁄8</v>
          </cell>
          <cell r="H187" t="str">
            <v xml:space="preserve">50/50 </v>
          </cell>
          <cell r="I187">
            <v>0.51</v>
          </cell>
          <cell r="J187">
            <v>0</v>
          </cell>
        </row>
        <row r="188">
          <cell r="A188">
            <v>78771</v>
          </cell>
          <cell r="B188" t="str">
            <v>51% Whole Grain Turkey Sausage</v>
          </cell>
          <cell r="C188">
            <v>96</v>
          </cell>
          <cell r="D188">
            <v>4.6900000000000004</v>
          </cell>
          <cell r="E188">
            <v>2</v>
          </cell>
          <cell r="F188">
            <v>2</v>
          </cell>
          <cell r="G188" t="str">
            <v>1⁄8</v>
          </cell>
          <cell r="H188" t="str">
            <v>100% Mozz</v>
          </cell>
          <cell r="I188">
            <v>0.51</v>
          </cell>
          <cell r="J188">
            <v>0</v>
          </cell>
        </row>
        <row r="189">
          <cell r="A189">
            <v>78454</v>
          </cell>
          <cell r="B189" t="str">
            <v xml:space="preserve">Cheese </v>
          </cell>
          <cell r="C189">
            <v>96</v>
          </cell>
          <cell r="D189">
            <v>4.5599999999999996</v>
          </cell>
          <cell r="E189">
            <v>2</v>
          </cell>
          <cell r="F189" t="str">
            <v>1 ¾</v>
          </cell>
          <cell r="G189" t="str">
            <v>1⁄8</v>
          </cell>
          <cell r="H189" t="str">
            <v xml:space="preserve">50/50 </v>
          </cell>
          <cell r="I189">
            <v>0</v>
          </cell>
          <cell r="J189">
            <v>0</v>
          </cell>
        </row>
        <row r="190">
          <cell r="A190">
            <v>63572</v>
          </cell>
          <cell r="B190" t="str">
            <v xml:space="preserve">Cheese </v>
          </cell>
          <cell r="C190">
            <v>96</v>
          </cell>
          <cell r="D190">
            <v>4.43</v>
          </cell>
          <cell r="E190" t="str">
            <v xml:space="preserve">1 ¾ </v>
          </cell>
          <cell r="F190" t="str">
            <v>1 ¾</v>
          </cell>
          <cell r="G190" t="str">
            <v>1⁄8</v>
          </cell>
          <cell r="H190" t="str">
            <v xml:space="preserve">100% Mozz </v>
          </cell>
          <cell r="I190">
            <v>0</v>
          </cell>
          <cell r="J190">
            <v>0</v>
          </cell>
        </row>
        <row r="191">
          <cell r="A191">
            <v>63496</v>
          </cell>
          <cell r="B191" t="str">
            <v xml:space="preserve">Cheese Bag Pack </v>
          </cell>
          <cell r="C191">
            <v>96</v>
          </cell>
          <cell r="D191">
            <v>4.07</v>
          </cell>
          <cell r="E191" t="str">
            <v xml:space="preserve">1 ½ </v>
          </cell>
          <cell r="F191" t="str">
            <v>1 ¾</v>
          </cell>
          <cell r="G191" t="str">
            <v>1⁄8</v>
          </cell>
          <cell r="H191" t="str">
            <v xml:space="preserve">100% Mozz </v>
          </cell>
          <cell r="I191">
            <v>0</v>
          </cell>
          <cell r="J191">
            <v>0</v>
          </cell>
        </row>
        <row r="192">
          <cell r="A192">
            <v>78817</v>
          </cell>
          <cell r="B192" t="str">
            <v xml:space="preserve">Cheese IW </v>
          </cell>
          <cell r="C192">
            <v>72</v>
          </cell>
          <cell r="D192">
            <v>4.8</v>
          </cell>
          <cell r="E192">
            <v>2</v>
          </cell>
          <cell r="F192">
            <v>2</v>
          </cell>
          <cell r="G192" t="str">
            <v>1⁄8</v>
          </cell>
          <cell r="H192" t="str">
            <v xml:space="preserve">100% Mozz </v>
          </cell>
          <cell r="I192">
            <v>0</v>
          </cell>
          <cell r="J192">
            <v>0</v>
          </cell>
        </row>
        <row r="193">
          <cell r="A193">
            <v>78455</v>
          </cell>
          <cell r="B193" t="str">
            <v>Pepperoni</v>
          </cell>
          <cell r="C193">
            <v>96</v>
          </cell>
          <cell r="D193">
            <v>4.6500000000000004</v>
          </cell>
          <cell r="E193">
            <v>2</v>
          </cell>
          <cell r="F193" t="str">
            <v>1 ¾</v>
          </cell>
          <cell r="G193" t="str">
            <v>1⁄8</v>
          </cell>
          <cell r="H193" t="str">
            <v>50/50</v>
          </cell>
          <cell r="I193">
            <v>0</v>
          </cell>
          <cell r="J193">
            <v>0</v>
          </cell>
        </row>
        <row r="194">
          <cell r="A194">
            <v>63495</v>
          </cell>
          <cell r="B194" t="str">
            <v>Pepperoni</v>
          </cell>
          <cell r="C194">
            <v>96</v>
          </cell>
          <cell r="D194">
            <v>4.43</v>
          </cell>
          <cell r="E194" t="str">
            <v>1 ¾</v>
          </cell>
          <cell r="F194" t="str">
            <v>1 ¾</v>
          </cell>
          <cell r="G194" t="str">
            <v>1⁄8</v>
          </cell>
          <cell r="H194" t="str">
            <v>100% Mozz</v>
          </cell>
          <cell r="I194">
            <v>0</v>
          </cell>
          <cell r="J194">
            <v>0</v>
          </cell>
        </row>
        <row r="195">
          <cell r="A195">
            <v>63494</v>
          </cell>
          <cell r="B195" t="str">
            <v>Pepperoni Bag Pack</v>
          </cell>
          <cell r="C195">
            <v>96</v>
          </cell>
          <cell r="D195">
            <v>4.24</v>
          </cell>
          <cell r="E195" t="str">
            <v>1 ½</v>
          </cell>
          <cell r="F195" t="str">
            <v>1 ¾</v>
          </cell>
          <cell r="G195" t="str">
            <v>1⁄8</v>
          </cell>
          <cell r="H195" t="str">
            <v>50/50</v>
          </cell>
          <cell r="I195">
            <v>0</v>
          </cell>
          <cell r="J195">
            <v>0</v>
          </cell>
        </row>
        <row r="196">
          <cell r="A196">
            <v>78818</v>
          </cell>
          <cell r="B196" t="str">
            <v xml:space="preserve">Pepperoni IW </v>
          </cell>
          <cell r="C196">
            <v>72</v>
          </cell>
          <cell r="D196">
            <v>4.82</v>
          </cell>
          <cell r="E196">
            <v>2</v>
          </cell>
          <cell r="F196">
            <v>2</v>
          </cell>
          <cell r="G196" t="str">
            <v>1⁄8</v>
          </cell>
          <cell r="H196" t="str">
            <v>100% Mozz</v>
          </cell>
          <cell r="I196">
            <v>0</v>
          </cell>
          <cell r="J196">
            <v>0</v>
          </cell>
        </row>
        <row r="197">
          <cell r="A197">
            <v>78456</v>
          </cell>
          <cell r="B197" t="str">
            <v>Turkey Sausage</v>
          </cell>
          <cell r="C197">
            <v>96</v>
          </cell>
          <cell r="D197">
            <v>4.6500000000000004</v>
          </cell>
          <cell r="E197">
            <v>2</v>
          </cell>
          <cell r="F197" t="str">
            <v>1 ¾</v>
          </cell>
          <cell r="G197" t="str">
            <v>1⁄8</v>
          </cell>
          <cell r="H197" t="str">
            <v>50/50</v>
          </cell>
          <cell r="I197">
            <v>0</v>
          </cell>
          <cell r="J197">
            <v>0</v>
          </cell>
        </row>
        <row r="198">
          <cell r="A198">
            <v>63490</v>
          </cell>
          <cell r="B198" t="str">
            <v>Turkey Sausage Bag Pack</v>
          </cell>
          <cell r="C198">
            <v>96</v>
          </cell>
          <cell r="D198">
            <v>4.5599999999999996</v>
          </cell>
          <cell r="E198" t="str">
            <v>1 ¾</v>
          </cell>
          <cell r="F198" t="str">
            <v>1 ¾</v>
          </cell>
          <cell r="G198" t="str">
            <v>1⁄8</v>
          </cell>
          <cell r="H198" t="str">
            <v>50/50</v>
          </cell>
          <cell r="I198">
            <v>0</v>
          </cell>
          <cell r="J198">
            <v>0</v>
          </cell>
        </row>
        <row r="199">
          <cell r="A199" t="str">
            <v>Tony's® 4" x 6" Thick Crust Pizza</v>
          </cell>
          <cell r="B199">
            <v>0</v>
          </cell>
          <cell r="C199">
            <v>0</v>
          </cell>
          <cell r="D199">
            <v>0</v>
          </cell>
          <cell r="E199">
            <v>0</v>
          </cell>
          <cell r="F199">
            <v>0</v>
          </cell>
          <cell r="G199">
            <v>0</v>
          </cell>
          <cell r="H199">
            <v>0</v>
          </cell>
          <cell r="I199">
            <v>0</v>
          </cell>
          <cell r="J199">
            <v>0</v>
          </cell>
        </row>
        <row r="200">
          <cell r="A200">
            <v>68521</v>
          </cell>
          <cell r="B200" t="str">
            <v>51% Whole Grain Cheese</v>
          </cell>
          <cell r="C200">
            <v>96</v>
          </cell>
          <cell r="D200">
            <v>5.0999999999999996</v>
          </cell>
          <cell r="E200">
            <v>2</v>
          </cell>
          <cell r="F200">
            <v>2</v>
          </cell>
          <cell r="G200" t="str">
            <v>1⁄8</v>
          </cell>
          <cell r="H200" t="str">
            <v>100% Mozz</v>
          </cell>
          <cell r="I200">
            <v>0.51</v>
          </cell>
          <cell r="J200">
            <v>0</v>
          </cell>
        </row>
        <row r="201">
          <cell r="A201">
            <v>63743</v>
          </cell>
          <cell r="B201" t="str">
            <v>Cheese</v>
          </cell>
          <cell r="C201">
            <v>96</v>
          </cell>
          <cell r="D201">
            <v>5.53</v>
          </cell>
          <cell r="E201" t="str">
            <v>2 ¼</v>
          </cell>
          <cell r="F201" t="str">
            <v xml:space="preserve">2 ¾    </v>
          </cell>
          <cell r="G201" t="str">
            <v>1⁄8</v>
          </cell>
          <cell r="H201" t="str">
            <v>50/50</v>
          </cell>
          <cell r="I201">
            <v>0</v>
          </cell>
          <cell r="J201">
            <v>0</v>
          </cell>
        </row>
        <row r="202">
          <cell r="A202">
            <v>63501</v>
          </cell>
          <cell r="B202" t="str">
            <v>Cheese</v>
          </cell>
          <cell r="C202">
            <v>96</v>
          </cell>
          <cell r="D202">
            <v>5.52</v>
          </cell>
          <cell r="E202" t="str">
            <v>2 ¼</v>
          </cell>
          <cell r="F202" t="str">
            <v xml:space="preserve">2 ¾    </v>
          </cell>
          <cell r="G202" t="str">
            <v>1⁄8</v>
          </cell>
          <cell r="H202" t="str">
            <v>100% Mozz</v>
          </cell>
          <cell r="I202">
            <v>0</v>
          </cell>
          <cell r="J202">
            <v>0</v>
          </cell>
        </row>
        <row r="203">
          <cell r="A203">
            <v>63748</v>
          </cell>
          <cell r="B203" t="str">
            <v>Pepperoni</v>
          </cell>
          <cell r="C203">
            <v>96</v>
          </cell>
          <cell r="D203">
            <v>5.62</v>
          </cell>
          <cell r="E203" t="str">
            <v>2 ¼</v>
          </cell>
          <cell r="F203" t="str">
            <v xml:space="preserve">2 ¾    </v>
          </cell>
          <cell r="G203" t="str">
            <v>1⁄8</v>
          </cell>
          <cell r="H203" t="str">
            <v>50/50</v>
          </cell>
          <cell r="I203">
            <v>0</v>
          </cell>
          <cell r="J203">
            <v>0</v>
          </cell>
        </row>
        <row r="204">
          <cell r="A204" t="str">
            <v>PIZZA BAGELS</v>
          </cell>
          <cell r="B204">
            <v>0</v>
          </cell>
          <cell r="C204">
            <v>0</v>
          </cell>
          <cell r="D204">
            <v>0</v>
          </cell>
          <cell r="E204">
            <v>0</v>
          </cell>
          <cell r="F204">
            <v>0</v>
          </cell>
          <cell r="G204">
            <v>0</v>
          </cell>
          <cell r="H204">
            <v>0</v>
          </cell>
          <cell r="I204">
            <v>0</v>
          </cell>
          <cell r="J204">
            <v>0</v>
          </cell>
        </row>
        <row r="205">
          <cell r="A205" t="str">
            <v>Code</v>
          </cell>
          <cell r="B205" t="str">
            <v>Variety</v>
          </cell>
          <cell r="C205" t="str">
            <v xml:space="preserve">  Serv./Case</v>
          </cell>
          <cell r="D205" t="str">
            <v>Serv. Size (oz.)</v>
          </cell>
          <cell r="E205" t="str">
            <v>M/MA (oz.)</v>
          </cell>
          <cell r="F205" t="str">
            <v>Grain</v>
          </cell>
          <cell r="G205" t="str">
            <v>Vegetable</v>
          </cell>
          <cell r="H205" t="str">
            <v>% Breakdown Cheese</v>
          </cell>
          <cell r="I205" t="str">
            <v>% Whole Grain</v>
          </cell>
          <cell r="J205">
            <v>0</v>
          </cell>
        </row>
        <row r="206">
          <cell r="A206" t="str">
            <v>Tony's® Pizza Bagels</v>
          </cell>
          <cell r="B206">
            <v>0</v>
          </cell>
          <cell r="C206">
            <v>0</v>
          </cell>
          <cell r="D206">
            <v>0</v>
          </cell>
          <cell r="E206">
            <v>0</v>
          </cell>
          <cell r="F206">
            <v>0</v>
          </cell>
          <cell r="G206">
            <v>0</v>
          </cell>
          <cell r="H206">
            <v>0</v>
          </cell>
          <cell r="I206">
            <v>0</v>
          </cell>
          <cell r="J206">
            <v>0</v>
          </cell>
        </row>
        <row r="207">
          <cell r="A207">
            <v>78391</v>
          </cell>
          <cell r="B207" t="str">
            <v>51% Whole Grain Cheese</v>
          </cell>
          <cell r="C207">
            <v>96</v>
          </cell>
          <cell r="D207">
            <v>5</v>
          </cell>
          <cell r="E207">
            <v>2</v>
          </cell>
          <cell r="F207">
            <v>2</v>
          </cell>
          <cell r="G207">
            <v>0</v>
          </cell>
          <cell r="H207" t="str">
            <v>100% Mozz</v>
          </cell>
          <cell r="I207">
            <v>0.51</v>
          </cell>
          <cell r="J207">
            <v>0</v>
          </cell>
        </row>
        <row r="208">
          <cell r="A208">
            <v>72815</v>
          </cell>
          <cell r="B208" t="str">
            <v>51% Whole Grain Pepperoni*</v>
          </cell>
          <cell r="C208">
            <v>72</v>
          </cell>
          <cell r="D208">
            <v>5.25</v>
          </cell>
          <cell r="E208">
            <v>2</v>
          </cell>
          <cell r="F208">
            <v>2</v>
          </cell>
          <cell r="G208" t="str">
            <v>1⁄8</v>
          </cell>
          <cell r="H208" t="str">
            <v>100% Mozz</v>
          </cell>
          <cell r="I208">
            <v>0.51</v>
          </cell>
          <cell r="J208">
            <v>0</v>
          </cell>
        </row>
        <row r="209">
          <cell r="A209">
            <v>78706</v>
          </cell>
          <cell r="B209" t="str">
            <v>Pepperoni</v>
          </cell>
          <cell r="C209">
            <v>72</v>
          </cell>
          <cell r="D209">
            <v>5.25</v>
          </cell>
          <cell r="E209">
            <v>2</v>
          </cell>
          <cell r="F209">
            <v>2</v>
          </cell>
          <cell r="G209" t="str">
            <v>1⁄8</v>
          </cell>
          <cell r="H209" t="str">
            <v>100% Mozz</v>
          </cell>
          <cell r="I209">
            <v>0</v>
          </cell>
          <cell r="J209">
            <v>0</v>
          </cell>
        </row>
        <row r="210">
          <cell r="A210" t="str">
            <v>SANDWICHES</v>
          </cell>
          <cell r="B210">
            <v>0</v>
          </cell>
          <cell r="C210">
            <v>0</v>
          </cell>
          <cell r="D210">
            <v>0</v>
          </cell>
          <cell r="E210">
            <v>0</v>
          </cell>
          <cell r="F210">
            <v>0</v>
          </cell>
          <cell r="G210">
            <v>0</v>
          </cell>
          <cell r="H210">
            <v>0</v>
          </cell>
          <cell r="I210">
            <v>0</v>
          </cell>
          <cell r="J210">
            <v>0</v>
          </cell>
        </row>
        <row r="211">
          <cell r="A211" t="str">
            <v>Code</v>
          </cell>
          <cell r="B211" t="str">
            <v>Variety</v>
          </cell>
          <cell r="C211" t="str">
            <v xml:space="preserve">  Serv./Case</v>
          </cell>
          <cell r="D211" t="str">
            <v>Serv. Size (oz.)</v>
          </cell>
          <cell r="E211" t="str">
            <v>M/MA (oz.)</v>
          </cell>
          <cell r="F211" t="str">
            <v>Grain</v>
          </cell>
          <cell r="G211" t="str">
            <v>Vegetable</v>
          </cell>
          <cell r="H211" t="str">
            <v>% Breakdown Cheese</v>
          </cell>
          <cell r="I211" t="str">
            <v>% Whole Grain</v>
          </cell>
          <cell r="J211">
            <v>0</v>
          </cell>
        </row>
        <row r="212">
          <cell r="A212" t="str">
            <v>Big Daddy's® Flatbread Sandwiches</v>
          </cell>
          <cell r="B212">
            <v>0</v>
          </cell>
          <cell r="C212">
            <v>0</v>
          </cell>
          <cell r="D212">
            <v>0</v>
          </cell>
          <cell r="E212">
            <v>0</v>
          </cell>
          <cell r="F212">
            <v>0</v>
          </cell>
          <cell r="G212">
            <v>0</v>
          </cell>
          <cell r="H212">
            <v>0</v>
          </cell>
          <cell r="I212">
            <v>0</v>
          </cell>
          <cell r="J212">
            <v>0</v>
          </cell>
        </row>
        <row r="213">
          <cell r="A213">
            <v>78995</v>
          </cell>
          <cell r="B213" t="str">
            <v>51% Whole Grain Cheese</v>
          </cell>
          <cell r="C213">
            <v>72</v>
          </cell>
          <cell r="D213">
            <v>4.76</v>
          </cell>
          <cell r="E213">
            <v>2</v>
          </cell>
          <cell r="F213">
            <v>2</v>
          </cell>
          <cell r="G213">
            <v>0</v>
          </cell>
          <cell r="H213" t="str">
            <v>100% Mozz &amp; Monterey Jack</v>
          </cell>
          <cell r="I213">
            <v>0.51</v>
          </cell>
          <cell r="J213">
            <v>0</v>
          </cell>
        </row>
        <row r="214">
          <cell r="A214">
            <v>78996</v>
          </cell>
          <cell r="B214" t="str">
            <v>51% Whole Grain Southwest Chicken</v>
          </cell>
          <cell r="C214">
            <v>72</v>
          </cell>
          <cell r="D214">
            <v>4.9000000000000004</v>
          </cell>
          <cell r="E214">
            <v>2</v>
          </cell>
          <cell r="F214">
            <v>2</v>
          </cell>
          <cell r="G214">
            <v>0</v>
          </cell>
          <cell r="H214" t="str">
            <v>100% Mozz &amp; Cheddar</v>
          </cell>
          <cell r="I214">
            <v>0.51</v>
          </cell>
          <cell r="J214">
            <v>0</v>
          </cell>
        </row>
        <row r="215">
          <cell r="A215">
            <v>78997</v>
          </cell>
          <cell r="B215" t="str">
            <v>51% Whole Grain BBQ Chicken</v>
          </cell>
          <cell r="C215">
            <v>72</v>
          </cell>
          <cell r="D215">
            <v>4.76</v>
          </cell>
          <cell r="E215">
            <v>2</v>
          </cell>
          <cell r="F215">
            <v>2</v>
          </cell>
          <cell r="G215">
            <v>0</v>
          </cell>
          <cell r="H215" t="str">
            <v>100% Mozz</v>
          </cell>
          <cell r="I215">
            <v>0.51</v>
          </cell>
          <cell r="J215">
            <v>0</v>
          </cell>
        </row>
        <row r="216">
          <cell r="A216" t="str">
            <v>Tony's™ Stuffed Sandwiches</v>
          </cell>
          <cell r="B216">
            <v>0</v>
          </cell>
          <cell r="C216">
            <v>0</v>
          </cell>
          <cell r="D216">
            <v>0</v>
          </cell>
          <cell r="E216">
            <v>0</v>
          </cell>
          <cell r="F216">
            <v>0</v>
          </cell>
          <cell r="G216">
            <v>0</v>
          </cell>
          <cell r="H216">
            <v>0</v>
          </cell>
          <cell r="I216">
            <v>0</v>
          </cell>
          <cell r="J216">
            <v>0</v>
          </cell>
        </row>
        <row r="217">
          <cell r="A217">
            <v>78376</v>
          </cell>
          <cell r="B217" t="str">
            <v>51% Whole Grain Turkey Pepperoni*</v>
          </cell>
          <cell r="C217">
            <v>48</v>
          </cell>
          <cell r="D217">
            <v>4.4400000000000004</v>
          </cell>
          <cell r="E217">
            <v>2</v>
          </cell>
          <cell r="F217">
            <v>2</v>
          </cell>
          <cell r="G217" t="str">
            <v>1⁄8</v>
          </cell>
          <cell r="H217" t="str">
            <v>100% Mozz</v>
          </cell>
          <cell r="I217">
            <v>0.51</v>
          </cell>
          <cell r="J217">
            <v>0</v>
          </cell>
        </row>
        <row r="218">
          <cell r="A218">
            <v>78377</v>
          </cell>
          <cell r="B218" t="str">
            <v>51% Whole Grain Turkey Pepperoni IW*</v>
          </cell>
          <cell r="C218">
            <v>24</v>
          </cell>
          <cell r="D218">
            <v>4.4400000000000004</v>
          </cell>
          <cell r="E218">
            <v>2</v>
          </cell>
          <cell r="F218">
            <v>2</v>
          </cell>
          <cell r="G218" t="str">
            <v>1⁄8</v>
          </cell>
          <cell r="H218" t="str">
            <v>100% Mozz</v>
          </cell>
          <cell r="I218">
            <v>0.51</v>
          </cell>
          <cell r="J218">
            <v>0</v>
          </cell>
        </row>
        <row r="219">
          <cell r="A219">
            <v>73218</v>
          </cell>
          <cell r="B219" t="str">
            <v>Ham &amp; Cheese IW</v>
          </cell>
          <cell r="C219">
            <v>24</v>
          </cell>
          <cell r="D219">
            <v>4.5</v>
          </cell>
          <cell r="E219">
            <v>0</v>
          </cell>
          <cell r="F219" t="str">
            <v>2 ¼</v>
          </cell>
          <cell r="G219">
            <v>0</v>
          </cell>
          <cell r="H219" t="str">
            <v>Sub-Cheddar</v>
          </cell>
          <cell r="I219">
            <v>0</v>
          </cell>
          <cell r="J219">
            <v>0</v>
          </cell>
        </row>
        <row r="220">
          <cell r="A220">
            <v>73217</v>
          </cell>
          <cell r="B220" t="str">
            <v>Pepperoni IW</v>
          </cell>
          <cell r="C220">
            <v>24</v>
          </cell>
          <cell r="D220">
            <v>4.5</v>
          </cell>
          <cell r="E220" t="str">
            <v>1⁄4</v>
          </cell>
          <cell r="F220" t="str">
            <v>2 ¼</v>
          </cell>
          <cell r="G220">
            <v>0</v>
          </cell>
          <cell r="H220" t="str">
            <v>90/10</v>
          </cell>
          <cell r="I220">
            <v>0</v>
          </cell>
          <cell r="J220">
            <v>0</v>
          </cell>
        </row>
        <row r="221">
          <cell r="A221">
            <v>74837</v>
          </cell>
          <cell r="B221" t="str">
            <v>Turkey Pepperoni</v>
          </cell>
          <cell r="C221">
            <v>48</v>
          </cell>
          <cell r="D221">
            <v>4.46</v>
          </cell>
          <cell r="E221">
            <v>2</v>
          </cell>
          <cell r="F221">
            <v>2</v>
          </cell>
          <cell r="G221" t="str">
            <v>1⁄8</v>
          </cell>
          <cell r="H221" t="str">
            <v>100% Mozz</v>
          </cell>
          <cell r="I221">
            <v>0</v>
          </cell>
          <cell r="J221">
            <v>0</v>
          </cell>
        </row>
        <row r="222">
          <cell r="A222">
            <v>74838</v>
          </cell>
          <cell r="B222" t="str">
            <v>Turkey Pepperoni IW</v>
          </cell>
          <cell r="C222">
            <v>24</v>
          </cell>
          <cell r="D222">
            <v>4.46</v>
          </cell>
          <cell r="E222">
            <v>2</v>
          </cell>
          <cell r="F222">
            <v>2</v>
          </cell>
          <cell r="G222" t="str">
            <v>1⁄8</v>
          </cell>
          <cell r="H222" t="str">
            <v>100% Mozz</v>
          </cell>
          <cell r="I222">
            <v>0</v>
          </cell>
          <cell r="J222">
            <v>0</v>
          </cell>
        </row>
        <row r="223">
          <cell r="A223" t="str">
            <v>Tony's™ Grilled Cheese Sandwiches</v>
          </cell>
          <cell r="B223">
            <v>0</v>
          </cell>
          <cell r="C223">
            <v>0</v>
          </cell>
          <cell r="D223">
            <v>0</v>
          </cell>
          <cell r="E223">
            <v>0</v>
          </cell>
          <cell r="F223">
            <v>0</v>
          </cell>
          <cell r="G223">
            <v>0</v>
          </cell>
          <cell r="H223">
            <v>0</v>
          </cell>
          <cell r="I223">
            <v>0</v>
          </cell>
          <cell r="J223">
            <v>0</v>
          </cell>
        </row>
        <row r="224">
          <cell r="A224">
            <v>55220</v>
          </cell>
          <cell r="B224" t="str">
            <v>51% Whole Grain 1.5 oz Grilled Cheese IW</v>
          </cell>
          <cell r="C224">
            <v>72</v>
          </cell>
          <cell r="D224">
            <v>3.78</v>
          </cell>
          <cell r="E224" t="str">
            <v>1 ½</v>
          </cell>
          <cell r="F224">
            <v>2</v>
          </cell>
          <cell r="G224">
            <v>0</v>
          </cell>
          <cell r="H224" t="str">
            <v>50/50 Cheddar</v>
          </cell>
          <cell r="I224">
            <v>0.51</v>
          </cell>
          <cell r="J224">
            <v>0</v>
          </cell>
        </row>
        <row r="225">
          <cell r="A225">
            <v>55221</v>
          </cell>
          <cell r="B225" t="str">
            <v>51% Whole Grain 1.5 oz American Grilled Cheese IW</v>
          </cell>
          <cell r="C225">
            <v>72</v>
          </cell>
          <cell r="D225">
            <v>3.78</v>
          </cell>
          <cell r="E225" t="str">
            <v>1 ½</v>
          </cell>
          <cell r="F225">
            <v>2</v>
          </cell>
          <cell r="G225">
            <v>0</v>
          </cell>
          <cell r="H225" t="str">
            <v>50/50 American</v>
          </cell>
          <cell r="I225">
            <v>0.51</v>
          </cell>
          <cell r="J225">
            <v>0</v>
          </cell>
        </row>
        <row r="226">
          <cell r="A226">
            <v>55224</v>
          </cell>
          <cell r="B226" t="str">
            <v>51% Whole Grain 2.0 oz Grilled Cheese</v>
          </cell>
          <cell r="C226">
            <v>48</v>
          </cell>
          <cell r="D226">
            <v>4.3</v>
          </cell>
          <cell r="E226">
            <v>2</v>
          </cell>
          <cell r="F226">
            <v>2</v>
          </cell>
          <cell r="G226">
            <v>0</v>
          </cell>
          <cell r="H226" t="str">
            <v>50/50 Cheddar</v>
          </cell>
          <cell r="I226">
            <v>0.51</v>
          </cell>
          <cell r="J226">
            <v>0</v>
          </cell>
        </row>
        <row r="227">
          <cell r="A227">
            <v>55225</v>
          </cell>
          <cell r="B227" t="str">
            <v>51% Whole Grain 2.0 oz Grilled Cheese IW</v>
          </cell>
          <cell r="C227">
            <v>48</v>
          </cell>
          <cell r="D227">
            <v>4.3</v>
          </cell>
          <cell r="E227">
            <v>2</v>
          </cell>
          <cell r="F227">
            <v>2</v>
          </cell>
          <cell r="G227">
            <v>0</v>
          </cell>
          <cell r="H227" t="str">
            <v>50/50 Cheddar</v>
          </cell>
          <cell r="I227">
            <v>0.51</v>
          </cell>
          <cell r="J227">
            <v>0</v>
          </cell>
        </row>
        <row r="228">
          <cell r="A228" t="str">
            <v>BREADSTICKS &amp; STRIPS</v>
          </cell>
          <cell r="B228">
            <v>0</v>
          </cell>
          <cell r="C228">
            <v>0</v>
          </cell>
          <cell r="D228">
            <v>0</v>
          </cell>
          <cell r="E228">
            <v>0</v>
          </cell>
          <cell r="F228">
            <v>0</v>
          </cell>
          <cell r="G228">
            <v>0</v>
          </cell>
          <cell r="H228">
            <v>0</v>
          </cell>
          <cell r="I228">
            <v>0</v>
          </cell>
          <cell r="J228">
            <v>0</v>
          </cell>
        </row>
        <row r="229">
          <cell r="A229" t="str">
            <v>Code</v>
          </cell>
          <cell r="B229" t="str">
            <v>Variety</v>
          </cell>
          <cell r="C229" t="str">
            <v xml:space="preserve">  Serv./Case</v>
          </cell>
          <cell r="D229" t="str">
            <v>Serv. Size (oz.)</v>
          </cell>
          <cell r="E229" t="str">
            <v>M/MA (oz.)</v>
          </cell>
          <cell r="F229" t="str">
            <v>Grain</v>
          </cell>
          <cell r="G229" t="str">
            <v>Vegetable</v>
          </cell>
          <cell r="H229" t="str">
            <v>% Breakdown Cheese</v>
          </cell>
          <cell r="I229" t="str">
            <v>% Whole Grain</v>
          </cell>
          <cell r="J229">
            <v>0</v>
          </cell>
        </row>
        <row r="230">
          <cell r="A230" t="str">
            <v>Big Daddy's® Cheese Sticks</v>
          </cell>
          <cell r="B230">
            <v>0</v>
          </cell>
          <cell r="C230">
            <v>0</v>
          </cell>
          <cell r="D230">
            <v>0</v>
          </cell>
          <cell r="E230">
            <v>0</v>
          </cell>
          <cell r="F230">
            <v>0</v>
          </cell>
          <cell r="G230">
            <v>0</v>
          </cell>
          <cell r="H230">
            <v>0</v>
          </cell>
          <cell r="I230">
            <v>0</v>
          </cell>
          <cell r="J230">
            <v>0</v>
          </cell>
        </row>
        <row r="231">
          <cell r="A231">
            <v>68765</v>
          </cell>
          <cell r="B231" t="str">
            <v>51% Whole Grain</v>
          </cell>
          <cell r="C231">
            <v>108</v>
          </cell>
          <cell r="D231">
            <v>3</v>
          </cell>
          <cell r="E231">
            <v>1</v>
          </cell>
          <cell r="F231">
            <v>2</v>
          </cell>
          <cell r="G231">
            <v>0</v>
          </cell>
          <cell r="H231" t="str">
            <v>100% Mozz</v>
          </cell>
          <cell r="I231">
            <v>0.51</v>
          </cell>
          <cell r="J231">
            <v>0</v>
          </cell>
        </row>
        <row r="232">
          <cell r="A232">
            <v>68766</v>
          </cell>
          <cell r="B232" t="str">
            <v>51% Whole Grain IW</v>
          </cell>
          <cell r="C232">
            <v>108</v>
          </cell>
          <cell r="D232">
            <v>3</v>
          </cell>
          <cell r="E232">
            <v>1</v>
          </cell>
          <cell r="F232">
            <v>2</v>
          </cell>
          <cell r="G232">
            <v>0</v>
          </cell>
          <cell r="H232" t="str">
            <v>100% Mozz</v>
          </cell>
          <cell r="I232">
            <v>0.51</v>
          </cell>
          <cell r="J232">
            <v>0</v>
          </cell>
        </row>
        <row r="233">
          <cell r="A233" t="str">
            <v>Tony's™ Stuffed Sticks</v>
          </cell>
          <cell r="B233">
            <v>0</v>
          </cell>
          <cell r="C233">
            <v>0</v>
          </cell>
          <cell r="D233">
            <v>0</v>
          </cell>
          <cell r="E233">
            <v>0</v>
          </cell>
          <cell r="F233">
            <v>0</v>
          </cell>
          <cell r="G233">
            <v>0</v>
          </cell>
          <cell r="H233">
            <v>0</v>
          </cell>
          <cell r="I233">
            <v>0</v>
          </cell>
          <cell r="J233">
            <v>0</v>
          </cell>
        </row>
        <row r="234">
          <cell r="A234">
            <v>78375</v>
          </cell>
          <cell r="B234" t="str">
            <v>51% Whole Grain Stuffed Stick</v>
          </cell>
          <cell r="C234">
            <v>100</v>
          </cell>
          <cell r="D234">
            <v>4.2</v>
          </cell>
          <cell r="E234">
            <v>2</v>
          </cell>
          <cell r="F234">
            <v>2</v>
          </cell>
          <cell r="G234">
            <v>0</v>
          </cell>
          <cell r="H234" t="str">
            <v>100% Mozz</v>
          </cell>
          <cell r="I234">
            <v>0.51</v>
          </cell>
          <cell r="J234">
            <v>0</v>
          </cell>
        </row>
        <row r="235">
          <cell r="A235">
            <v>73318</v>
          </cell>
          <cell r="B235" t="str">
            <v>51% Whole Grain Stuffed Stick</v>
          </cell>
          <cell r="C235">
            <v>100</v>
          </cell>
          <cell r="D235">
            <v>4.2</v>
          </cell>
          <cell r="E235">
            <v>2</v>
          </cell>
          <cell r="F235">
            <v>2</v>
          </cell>
          <cell r="G235">
            <v>0</v>
          </cell>
          <cell r="H235" t="str">
            <v>50/50</v>
          </cell>
          <cell r="I235">
            <v>0.51</v>
          </cell>
          <cell r="J235">
            <v>0</v>
          </cell>
        </row>
        <row r="236">
          <cell r="A236">
            <v>73338</v>
          </cell>
          <cell r="B236" t="str">
            <v>51% Whole Grain Stuffed Stick</v>
          </cell>
          <cell r="C236">
            <v>100</v>
          </cell>
          <cell r="D236">
            <v>4.2</v>
          </cell>
          <cell r="E236">
            <v>2</v>
          </cell>
          <cell r="F236">
            <v>2</v>
          </cell>
          <cell r="G236">
            <v>0</v>
          </cell>
          <cell r="H236" t="str">
            <v>100% Mozz</v>
          </cell>
          <cell r="I236">
            <v>0.51</v>
          </cell>
          <cell r="J236">
            <v>0</v>
          </cell>
        </row>
        <row r="237">
          <cell r="A237">
            <v>73328</v>
          </cell>
          <cell r="B237" t="str">
            <v>Stuffed Stick</v>
          </cell>
          <cell r="C237">
            <v>100</v>
          </cell>
          <cell r="D237">
            <v>4.2</v>
          </cell>
          <cell r="E237">
            <v>2</v>
          </cell>
          <cell r="F237">
            <v>2</v>
          </cell>
          <cell r="G237">
            <v>0</v>
          </cell>
          <cell r="H237" t="str">
            <v>100% Mozz</v>
          </cell>
          <cell r="I237">
            <v>0</v>
          </cell>
          <cell r="J237">
            <v>0</v>
          </cell>
        </row>
        <row r="238">
          <cell r="A238">
            <v>73329</v>
          </cell>
          <cell r="B238" t="str">
            <v>Stuffed Stick</v>
          </cell>
          <cell r="C238">
            <v>100</v>
          </cell>
          <cell r="D238">
            <v>4.2</v>
          </cell>
          <cell r="E238">
            <v>2</v>
          </cell>
          <cell r="F238">
            <v>2</v>
          </cell>
          <cell r="G238">
            <v>0</v>
          </cell>
          <cell r="H238" t="str">
            <v>50/50</v>
          </cell>
          <cell r="I238">
            <v>0</v>
          </cell>
          <cell r="J238">
            <v>0</v>
          </cell>
        </row>
        <row r="239">
          <cell r="A239" t="str">
            <v>Tony's™ Breadsticks</v>
          </cell>
          <cell r="B239">
            <v>0</v>
          </cell>
          <cell r="C239">
            <v>0</v>
          </cell>
          <cell r="D239">
            <v>0</v>
          </cell>
          <cell r="E239">
            <v>0</v>
          </cell>
          <cell r="F239">
            <v>0</v>
          </cell>
          <cell r="G239">
            <v>0</v>
          </cell>
          <cell r="H239">
            <v>0</v>
          </cell>
          <cell r="I239">
            <v>0</v>
          </cell>
          <cell r="J239">
            <v>0</v>
          </cell>
        </row>
        <row r="240">
          <cell r="A240">
            <v>72569</v>
          </cell>
          <cell r="B240" t="str">
            <v xml:space="preserve">51% Whole Grain </v>
          </cell>
          <cell r="C240">
            <v>240</v>
          </cell>
          <cell r="D240">
            <v>1.17</v>
          </cell>
          <cell r="E240">
            <v>0</v>
          </cell>
          <cell r="F240">
            <v>1</v>
          </cell>
          <cell r="G240">
            <v>0</v>
          </cell>
          <cell r="H240">
            <v>0</v>
          </cell>
          <cell r="I240">
            <v>0.51</v>
          </cell>
          <cell r="J240">
            <v>0</v>
          </cell>
        </row>
        <row r="241">
          <cell r="A241" t="str">
            <v>Tony's™ Pizza Strips</v>
          </cell>
          <cell r="B241">
            <v>0</v>
          </cell>
          <cell r="C241">
            <v>0</v>
          </cell>
          <cell r="D241">
            <v>0</v>
          </cell>
          <cell r="E241">
            <v>0</v>
          </cell>
          <cell r="F241">
            <v>0</v>
          </cell>
          <cell r="G241">
            <v>0</v>
          </cell>
          <cell r="H241">
            <v>0</v>
          </cell>
          <cell r="I241">
            <v>0</v>
          </cell>
          <cell r="J241">
            <v>0</v>
          </cell>
        </row>
        <row r="242">
          <cell r="A242">
            <v>78378</v>
          </cell>
          <cell r="B242" t="str">
            <v>51% Whole Grain Turkey Pepperoni*</v>
          </cell>
          <cell r="C242">
            <v>48</v>
          </cell>
          <cell r="D242">
            <v>3.07</v>
          </cell>
          <cell r="E242">
            <v>1</v>
          </cell>
          <cell r="F242">
            <v>2</v>
          </cell>
          <cell r="G242">
            <v>0</v>
          </cell>
          <cell r="H242" t="str">
            <v>100% Mozz</v>
          </cell>
          <cell r="I242">
            <v>0.51</v>
          </cell>
          <cell r="J242">
            <v>0</v>
          </cell>
        </row>
        <row r="243">
          <cell r="A243">
            <v>78379</v>
          </cell>
          <cell r="B243" t="str">
            <v>51% Whole Grain Turkey Pepperoni IW*</v>
          </cell>
          <cell r="C243">
            <v>48</v>
          </cell>
          <cell r="D243">
            <v>3.07</v>
          </cell>
          <cell r="E243">
            <v>1</v>
          </cell>
          <cell r="F243">
            <v>2</v>
          </cell>
          <cell r="G243">
            <v>0</v>
          </cell>
          <cell r="H243" t="str">
            <v>100% Mozz</v>
          </cell>
          <cell r="I243">
            <v>0.51</v>
          </cell>
          <cell r="J243">
            <v>0</v>
          </cell>
        </row>
        <row r="244">
          <cell r="A244">
            <v>74835</v>
          </cell>
          <cell r="B244" t="str">
            <v>Pepperoni</v>
          </cell>
          <cell r="C244">
            <v>48</v>
          </cell>
          <cell r="D244">
            <v>3.1</v>
          </cell>
          <cell r="E244">
            <v>1</v>
          </cell>
          <cell r="F244">
            <v>2</v>
          </cell>
          <cell r="G244">
            <v>0</v>
          </cell>
          <cell r="H244" t="str">
            <v>100% Mozz</v>
          </cell>
          <cell r="I244">
            <v>0</v>
          </cell>
          <cell r="J244">
            <v>0</v>
          </cell>
        </row>
        <row r="245">
          <cell r="A245">
            <v>74836</v>
          </cell>
          <cell r="B245" t="str">
            <v>Pepperoni IW</v>
          </cell>
          <cell r="C245">
            <v>48</v>
          </cell>
          <cell r="D245">
            <v>3.1</v>
          </cell>
          <cell r="E245">
            <v>1</v>
          </cell>
          <cell r="F245">
            <v>2</v>
          </cell>
          <cell r="G245">
            <v>0</v>
          </cell>
          <cell r="H245" t="str">
            <v>100% Mozz</v>
          </cell>
          <cell r="I245">
            <v>0</v>
          </cell>
          <cell r="J245">
            <v>0</v>
          </cell>
        </row>
        <row r="246">
          <cell r="A246" t="str">
            <v>FIESTADA® PIZZA  •  IQF 3.2" x 5" PIZZA</v>
          </cell>
          <cell r="B246">
            <v>0</v>
          </cell>
          <cell r="C246">
            <v>0</v>
          </cell>
          <cell r="D246">
            <v>0</v>
          </cell>
          <cell r="E246">
            <v>0</v>
          </cell>
          <cell r="F246">
            <v>0</v>
          </cell>
          <cell r="G246">
            <v>0</v>
          </cell>
          <cell r="H246">
            <v>0</v>
          </cell>
          <cell r="I246">
            <v>0</v>
          </cell>
          <cell r="J246">
            <v>0</v>
          </cell>
        </row>
        <row r="247">
          <cell r="A247" t="str">
            <v>Code</v>
          </cell>
          <cell r="B247" t="str">
            <v>Variety</v>
          </cell>
          <cell r="C247" t="str">
            <v xml:space="preserve">  Serv./Case</v>
          </cell>
          <cell r="D247" t="str">
            <v>Serv. Size (oz.)</v>
          </cell>
          <cell r="E247" t="str">
            <v>M/MA (oz.)</v>
          </cell>
          <cell r="F247" t="str">
            <v>Grain</v>
          </cell>
          <cell r="G247" t="str">
            <v>Vegetable</v>
          </cell>
          <cell r="H247" t="str">
            <v>% Breakdown Cheese</v>
          </cell>
          <cell r="I247" t="str">
            <v>% Whole Grain</v>
          </cell>
          <cell r="J247">
            <v>0</v>
          </cell>
        </row>
        <row r="248">
          <cell r="A248" t="str">
            <v>Tony's® Fiestada®  Pizza</v>
          </cell>
          <cell r="B248">
            <v>0</v>
          </cell>
          <cell r="C248">
            <v>0</v>
          </cell>
          <cell r="D248">
            <v>0</v>
          </cell>
          <cell r="E248">
            <v>0</v>
          </cell>
          <cell r="F248">
            <v>0</v>
          </cell>
          <cell r="G248">
            <v>0</v>
          </cell>
          <cell r="H248">
            <v>0</v>
          </cell>
          <cell r="I248">
            <v>0</v>
          </cell>
          <cell r="J248">
            <v>0</v>
          </cell>
        </row>
        <row r="249">
          <cell r="A249">
            <v>68516</v>
          </cell>
          <cell r="B249" t="str">
            <v>51% Whole Grain Beef*</v>
          </cell>
          <cell r="C249">
            <v>96</v>
          </cell>
          <cell r="D249">
            <v>5.43</v>
          </cell>
          <cell r="E249">
            <v>2</v>
          </cell>
          <cell r="F249">
            <v>2</v>
          </cell>
          <cell r="G249" t="str">
            <v>1⁄8</v>
          </cell>
          <cell r="H249" t="str">
            <v>50/50</v>
          </cell>
          <cell r="I249">
            <v>0.51</v>
          </cell>
          <cell r="J249">
            <v>0</v>
          </cell>
        </row>
        <row r="250">
          <cell r="A250">
            <v>62050</v>
          </cell>
          <cell r="B250" t="str">
            <v>Beef</v>
          </cell>
          <cell r="C250">
            <v>96</v>
          </cell>
          <cell r="D250">
            <v>5.3</v>
          </cell>
          <cell r="E250">
            <v>2</v>
          </cell>
          <cell r="F250">
            <v>2</v>
          </cell>
          <cell r="G250" t="str">
            <v>1⁄8</v>
          </cell>
          <cell r="H250" t="str">
            <v>50/50</v>
          </cell>
          <cell r="I250">
            <v>0</v>
          </cell>
          <cell r="J250">
            <v>0</v>
          </cell>
        </row>
        <row r="251">
          <cell r="A251" t="str">
            <v>Tony's® 3.25” x 5” IQF Pizza</v>
          </cell>
          <cell r="B251">
            <v>0</v>
          </cell>
          <cell r="C251">
            <v>0</v>
          </cell>
          <cell r="D251">
            <v>0</v>
          </cell>
          <cell r="E251">
            <v>0</v>
          </cell>
          <cell r="F251">
            <v>0</v>
          </cell>
          <cell r="G251">
            <v>0</v>
          </cell>
          <cell r="H251">
            <v>0</v>
          </cell>
          <cell r="I251">
            <v>0</v>
          </cell>
          <cell r="J251">
            <v>0</v>
          </cell>
        </row>
        <row r="252">
          <cell r="A252">
            <v>78668</v>
          </cell>
          <cell r="B252" t="str">
            <v>51% Whole Grain Cheese</v>
          </cell>
          <cell r="C252">
            <v>100</v>
          </cell>
          <cell r="D252">
            <v>4.8</v>
          </cell>
          <cell r="E252">
            <v>2</v>
          </cell>
          <cell r="F252">
            <v>2</v>
          </cell>
          <cell r="G252" t="str">
            <v>1⁄8</v>
          </cell>
          <cell r="H252" t="str">
            <v>100% Mozz</v>
          </cell>
          <cell r="I252">
            <v>0.51</v>
          </cell>
          <cell r="J252">
            <v>0</v>
          </cell>
        </row>
        <row r="253">
          <cell r="A253">
            <v>78669</v>
          </cell>
          <cell r="B253" t="str">
            <v>51% Whole Grain Pepperoni</v>
          </cell>
          <cell r="C253">
            <v>100</v>
          </cell>
          <cell r="D253">
            <v>4.8</v>
          </cell>
          <cell r="E253">
            <v>2</v>
          </cell>
          <cell r="F253">
            <v>2</v>
          </cell>
          <cell r="G253" t="str">
            <v>1⁄8</v>
          </cell>
          <cell r="H253" t="str">
            <v>100% Mozz</v>
          </cell>
          <cell r="I253">
            <v>0.51</v>
          </cell>
          <cell r="J253">
            <v>0</v>
          </cell>
        </row>
        <row r="254">
          <cell r="A254">
            <v>72691</v>
          </cell>
          <cell r="B254" t="str">
            <v>51% Whole Grain Cheese*</v>
          </cell>
          <cell r="C254">
            <v>100</v>
          </cell>
          <cell r="D254">
            <v>4.8</v>
          </cell>
          <cell r="E254">
            <v>2</v>
          </cell>
          <cell r="F254">
            <v>2</v>
          </cell>
          <cell r="G254" t="str">
            <v>1⁄8</v>
          </cell>
          <cell r="H254" t="str">
            <v>50/50</v>
          </cell>
          <cell r="I254">
            <v>0.51</v>
          </cell>
          <cell r="J254">
            <v>0</v>
          </cell>
        </row>
        <row r="255">
          <cell r="A255">
            <v>63999</v>
          </cell>
          <cell r="B255" t="str">
            <v>Cheese</v>
          </cell>
          <cell r="C255">
            <v>100</v>
          </cell>
          <cell r="D255">
            <v>4.8</v>
          </cell>
          <cell r="E255">
            <v>2</v>
          </cell>
          <cell r="F255">
            <v>2</v>
          </cell>
          <cell r="G255" t="str">
            <v>1⁄8</v>
          </cell>
          <cell r="H255" t="str">
            <v>50/50</v>
          </cell>
          <cell r="I255">
            <v>0</v>
          </cell>
          <cell r="J255">
            <v>0</v>
          </cell>
        </row>
        <row r="256">
          <cell r="A256">
            <v>63276</v>
          </cell>
          <cell r="B256" t="str">
            <v>Cheese</v>
          </cell>
          <cell r="C256">
            <v>60</v>
          </cell>
          <cell r="D256">
            <v>3.25</v>
          </cell>
          <cell r="E256">
            <v>1</v>
          </cell>
          <cell r="F256" t="str">
            <v>1 ¼</v>
          </cell>
          <cell r="G256" t="str">
            <v>1⁄8</v>
          </cell>
          <cell r="H256" t="str">
            <v>100% Mozz</v>
          </cell>
          <cell r="I256">
            <v>0</v>
          </cell>
          <cell r="J256">
            <v>0</v>
          </cell>
        </row>
        <row r="257">
          <cell r="A257" t="str">
            <v>QUESADILLAS</v>
          </cell>
          <cell r="B257">
            <v>0</v>
          </cell>
          <cell r="C257">
            <v>0</v>
          </cell>
          <cell r="D257">
            <v>0</v>
          </cell>
          <cell r="E257">
            <v>0</v>
          </cell>
          <cell r="F257">
            <v>0</v>
          </cell>
          <cell r="G257">
            <v>0</v>
          </cell>
          <cell r="H257">
            <v>0</v>
          </cell>
          <cell r="I257">
            <v>0</v>
          </cell>
          <cell r="J257">
            <v>0</v>
          </cell>
        </row>
        <row r="258">
          <cell r="A258" t="str">
            <v>Code</v>
          </cell>
          <cell r="B258" t="str">
            <v>Variety</v>
          </cell>
          <cell r="C258" t="str">
            <v xml:space="preserve">  Serv./Case</v>
          </cell>
          <cell r="D258" t="str">
            <v>Serv. Size (oz.)</v>
          </cell>
          <cell r="E258" t="str">
            <v>M/MA (oz.)</v>
          </cell>
          <cell r="F258" t="str">
            <v>Grain</v>
          </cell>
          <cell r="G258" t="str">
            <v>Vegetable</v>
          </cell>
          <cell r="H258" t="str">
            <v>% Breakdown Cheese</v>
          </cell>
          <cell r="I258" t="str">
            <v>% Whole Grain</v>
          </cell>
          <cell r="J258">
            <v>0</v>
          </cell>
        </row>
        <row r="259">
          <cell r="A259" t="str">
            <v>Coyote Grill® Quesadillas</v>
          </cell>
          <cell r="B259">
            <v>0</v>
          </cell>
          <cell r="C259">
            <v>0</v>
          </cell>
          <cell r="D259">
            <v>0</v>
          </cell>
          <cell r="E259">
            <v>0</v>
          </cell>
          <cell r="F259">
            <v>0</v>
          </cell>
          <cell r="G259">
            <v>0</v>
          </cell>
          <cell r="H259">
            <v>0</v>
          </cell>
          <cell r="I259">
            <v>0</v>
          </cell>
          <cell r="J259">
            <v>0</v>
          </cell>
        </row>
        <row r="260">
          <cell r="A260">
            <v>78372</v>
          </cell>
          <cell r="B260" t="str">
            <v>51% Whole Grain Cheese</v>
          </cell>
          <cell r="C260">
            <v>96</v>
          </cell>
          <cell r="D260">
            <v>4.4000000000000004</v>
          </cell>
          <cell r="E260">
            <v>2</v>
          </cell>
          <cell r="F260">
            <v>2</v>
          </cell>
          <cell r="G260">
            <v>0</v>
          </cell>
          <cell r="H260" t="str">
            <v>100% Mozz</v>
          </cell>
          <cell r="I260">
            <v>0.51</v>
          </cell>
          <cell r="J260">
            <v>0</v>
          </cell>
        </row>
        <row r="261">
          <cell r="A261">
            <v>78373</v>
          </cell>
          <cell r="B261" t="str">
            <v>51% Whole Grain Chicken &amp; Cheese</v>
          </cell>
          <cell r="C261">
            <v>96</v>
          </cell>
          <cell r="D261">
            <v>4.4000000000000004</v>
          </cell>
          <cell r="E261">
            <v>2</v>
          </cell>
          <cell r="F261">
            <v>2</v>
          </cell>
          <cell r="G261">
            <v>0</v>
          </cell>
          <cell r="H261" t="str">
            <v>100% Mozz</v>
          </cell>
          <cell r="I261">
            <v>0.51</v>
          </cell>
          <cell r="J261">
            <v>0</v>
          </cell>
        </row>
        <row r="262">
          <cell r="A262">
            <v>78374</v>
          </cell>
          <cell r="B262" t="str">
            <v>51% Whole Grain Chili &amp; Cheese</v>
          </cell>
          <cell r="C262">
            <v>96</v>
          </cell>
          <cell r="D262">
            <v>4.4000000000000004</v>
          </cell>
          <cell r="E262">
            <v>2</v>
          </cell>
          <cell r="F262">
            <v>2</v>
          </cell>
          <cell r="G262">
            <v>0</v>
          </cell>
          <cell r="H262" t="str">
            <v>100% Mozz</v>
          </cell>
          <cell r="I262">
            <v>0.51</v>
          </cell>
          <cell r="J262">
            <v>0</v>
          </cell>
        </row>
        <row r="263">
          <cell r="A263">
            <v>88007</v>
          </cell>
          <cell r="B263" t="str">
            <v>Cheese</v>
          </cell>
          <cell r="C263">
            <v>96</v>
          </cell>
          <cell r="D263">
            <v>4.4000000000000004</v>
          </cell>
          <cell r="E263">
            <v>2</v>
          </cell>
          <cell r="F263">
            <v>2</v>
          </cell>
          <cell r="G263">
            <v>0</v>
          </cell>
          <cell r="H263" t="str">
            <v>100% Mozz</v>
          </cell>
          <cell r="I263">
            <v>0</v>
          </cell>
          <cell r="J263">
            <v>0</v>
          </cell>
        </row>
        <row r="264">
          <cell r="A264">
            <v>88005</v>
          </cell>
          <cell r="B264" t="str">
            <v>Chicken &amp; Cheese</v>
          </cell>
          <cell r="C264">
            <v>96</v>
          </cell>
          <cell r="D264">
            <v>4.4000000000000004</v>
          </cell>
          <cell r="E264">
            <v>2</v>
          </cell>
          <cell r="F264">
            <v>2</v>
          </cell>
          <cell r="G264">
            <v>0</v>
          </cell>
          <cell r="H264" t="str">
            <v>100% Mozz</v>
          </cell>
          <cell r="I264">
            <v>0</v>
          </cell>
          <cell r="J264">
            <v>0</v>
          </cell>
        </row>
        <row r="265">
          <cell r="A265">
            <v>0</v>
          </cell>
          <cell r="B265">
            <v>0</v>
          </cell>
          <cell r="C265">
            <v>0</v>
          </cell>
          <cell r="D265">
            <v>0</v>
          </cell>
          <cell r="E265">
            <v>0</v>
          </cell>
          <cell r="F265">
            <v>0</v>
          </cell>
          <cell r="G265">
            <v>0</v>
          </cell>
          <cell r="H265">
            <v>0</v>
          </cell>
          <cell r="I265">
            <v>0</v>
          </cell>
          <cell r="J265">
            <v>0</v>
          </cell>
        </row>
        <row r="266">
          <cell r="A266" t="str">
            <v>BREAKFAST PIZZA</v>
          </cell>
          <cell r="B266">
            <v>0</v>
          </cell>
          <cell r="C266">
            <v>0</v>
          </cell>
          <cell r="D266">
            <v>0</v>
          </cell>
          <cell r="E266">
            <v>0</v>
          </cell>
          <cell r="F266">
            <v>0</v>
          </cell>
          <cell r="G266">
            <v>0</v>
          </cell>
          <cell r="H266">
            <v>0</v>
          </cell>
          <cell r="I266">
            <v>0</v>
          </cell>
          <cell r="J266">
            <v>0</v>
          </cell>
        </row>
        <row r="267">
          <cell r="A267" t="str">
            <v>Code</v>
          </cell>
          <cell r="B267" t="str">
            <v>Variety</v>
          </cell>
          <cell r="C267" t="str">
            <v xml:space="preserve">  Serv./Case</v>
          </cell>
          <cell r="D267" t="str">
            <v>Serv. Size (oz.)</v>
          </cell>
          <cell r="E267" t="str">
            <v>M/MA (oz.)</v>
          </cell>
          <cell r="F267" t="str">
            <v>Grain</v>
          </cell>
          <cell r="G267" t="str">
            <v>Vegetable</v>
          </cell>
          <cell r="H267" t="str">
            <v>% Breakdown Cheese</v>
          </cell>
          <cell r="I267" t="str">
            <v>% Whole Grain</v>
          </cell>
          <cell r="J267">
            <v>0</v>
          </cell>
        </row>
        <row r="268">
          <cell r="A268" t="str">
            <v>Tony's® Breakfast Squares</v>
          </cell>
          <cell r="B268">
            <v>0</v>
          </cell>
          <cell r="C268">
            <v>0</v>
          </cell>
          <cell r="D268">
            <v>0</v>
          </cell>
          <cell r="E268">
            <v>0</v>
          </cell>
          <cell r="F268">
            <v>0</v>
          </cell>
          <cell r="G268">
            <v>0</v>
          </cell>
          <cell r="H268">
            <v>0</v>
          </cell>
          <cell r="I268">
            <v>0</v>
          </cell>
          <cell r="J268">
            <v>0</v>
          </cell>
        </row>
        <row r="269">
          <cell r="A269">
            <v>63912</v>
          </cell>
          <cell r="B269" t="str">
            <v>51% Whole Grain Turkey Sausage (red sauce)</v>
          </cell>
          <cell r="C269">
            <v>128</v>
          </cell>
          <cell r="D269">
            <v>3.31</v>
          </cell>
          <cell r="E269">
            <v>1</v>
          </cell>
          <cell r="F269" t="str">
            <v>1 ½</v>
          </cell>
          <cell r="G269">
            <v>0</v>
          </cell>
          <cell r="H269" t="str">
            <v>50/50</v>
          </cell>
          <cell r="I269">
            <v>0.51</v>
          </cell>
          <cell r="J269">
            <v>0</v>
          </cell>
        </row>
        <row r="270">
          <cell r="A270">
            <v>78352</v>
          </cell>
          <cell r="B270" t="str">
            <v>51% Whole Grain Turkey Sausage (white sauce)</v>
          </cell>
          <cell r="C270">
            <v>128</v>
          </cell>
          <cell r="D270">
            <v>3</v>
          </cell>
          <cell r="E270">
            <v>1</v>
          </cell>
          <cell r="F270" t="str">
            <v>1 ½</v>
          </cell>
          <cell r="G270">
            <v>0</v>
          </cell>
          <cell r="H270" t="str">
            <v>50/50</v>
          </cell>
          <cell r="I270">
            <v>0.51</v>
          </cell>
          <cell r="J270">
            <v>0</v>
          </cell>
        </row>
        <row r="271">
          <cell r="A271">
            <v>78353</v>
          </cell>
          <cell r="B271" t="str">
            <v>51% Whole Grain Turkey Bacon Scramble</v>
          </cell>
          <cell r="C271">
            <v>128</v>
          </cell>
          <cell r="D271">
            <v>2.95</v>
          </cell>
          <cell r="E271">
            <v>1</v>
          </cell>
          <cell r="F271" t="str">
            <v>1 ½</v>
          </cell>
          <cell r="G271">
            <v>0</v>
          </cell>
          <cell r="H271" t="str">
            <v>100% Mozz</v>
          </cell>
          <cell r="I271">
            <v>0.51</v>
          </cell>
          <cell r="J271">
            <v>0</v>
          </cell>
        </row>
        <row r="272">
          <cell r="A272">
            <v>61840</v>
          </cell>
          <cell r="B272" t="str">
            <v>51% Whole Grain Cinnamon Tastries®*</v>
          </cell>
          <cell r="C272">
            <v>128</v>
          </cell>
          <cell r="D272">
            <v>2.54</v>
          </cell>
          <cell r="E272">
            <v>0</v>
          </cell>
          <cell r="F272">
            <v>1</v>
          </cell>
          <cell r="G272">
            <v>0</v>
          </cell>
          <cell r="H272">
            <v>0</v>
          </cell>
          <cell r="I272">
            <v>0.51</v>
          </cell>
          <cell r="J272">
            <v>0</v>
          </cell>
        </row>
        <row r="273">
          <cell r="A273">
            <v>63904</v>
          </cell>
          <cell r="B273" t="str">
            <v>Turkey Sausage (red sauce)</v>
          </cell>
          <cell r="C273">
            <v>128</v>
          </cell>
          <cell r="D273">
            <v>3.2</v>
          </cell>
          <cell r="E273">
            <v>1</v>
          </cell>
          <cell r="F273" t="str">
            <v>1 ½</v>
          </cell>
          <cell r="G273">
            <v>0</v>
          </cell>
          <cell r="H273" t="str">
            <v>50/50</v>
          </cell>
          <cell r="I273">
            <v>0</v>
          </cell>
          <cell r="J273">
            <v>0</v>
          </cell>
        </row>
        <row r="274">
          <cell r="A274">
            <v>63164</v>
          </cell>
          <cell r="B274" t="str">
            <v>Turkey Sausage (white sauce)</v>
          </cell>
          <cell r="C274">
            <v>128</v>
          </cell>
          <cell r="D274">
            <v>3</v>
          </cell>
          <cell r="E274">
            <v>1</v>
          </cell>
          <cell r="F274" t="str">
            <v>1 ½</v>
          </cell>
          <cell r="G274">
            <v>0</v>
          </cell>
          <cell r="H274" t="str">
            <v>50/50</v>
          </cell>
          <cell r="I274">
            <v>0</v>
          </cell>
          <cell r="J274">
            <v>0</v>
          </cell>
        </row>
        <row r="275">
          <cell r="A275">
            <v>63564</v>
          </cell>
          <cell r="B275" t="str">
            <v>Bacon Scramble </v>
          </cell>
          <cell r="C275">
            <v>128</v>
          </cell>
          <cell r="D275">
            <v>2.94</v>
          </cell>
          <cell r="E275">
            <v>1</v>
          </cell>
          <cell r="F275" t="str">
            <v>1 ½</v>
          </cell>
          <cell r="G275">
            <v>0</v>
          </cell>
          <cell r="H275" t="str">
            <v>100% Mozz</v>
          </cell>
          <cell r="I275">
            <v>0</v>
          </cell>
          <cell r="J275">
            <v>0</v>
          </cell>
        </row>
        <row r="276">
          <cell r="A276">
            <v>61545</v>
          </cell>
          <cell r="B276" t="str">
            <v>Cinnamon Tastries®</v>
          </cell>
          <cell r="C276">
            <v>128</v>
          </cell>
          <cell r="D276">
            <v>2.5299999999999998</v>
          </cell>
          <cell r="E276">
            <v>0</v>
          </cell>
          <cell r="F276">
            <v>1</v>
          </cell>
          <cell r="G276">
            <v>0</v>
          </cell>
          <cell r="H276">
            <v>0</v>
          </cell>
          <cell r="I276">
            <v>0</v>
          </cell>
          <cell r="J276">
            <v>0</v>
          </cell>
        </row>
        <row r="277">
          <cell r="A277" t="str">
            <v>Tony's® Breakfast Bagels</v>
          </cell>
          <cell r="B277">
            <v>0</v>
          </cell>
          <cell r="C277">
            <v>0</v>
          </cell>
          <cell r="D277">
            <v>0</v>
          </cell>
          <cell r="E277">
            <v>0</v>
          </cell>
          <cell r="F277">
            <v>0</v>
          </cell>
          <cell r="G277">
            <v>0</v>
          </cell>
          <cell r="H277">
            <v>0</v>
          </cell>
          <cell r="I277">
            <v>0</v>
          </cell>
          <cell r="J277">
            <v>0</v>
          </cell>
        </row>
        <row r="278">
          <cell r="A278">
            <v>72813</v>
          </cell>
          <cell r="B278" t="str">
            <v>51% Whole Grain Turkey Sausage (red sauce) IW*</v>
          </cell>
          <cell r="C278">
            <v>96</v>
          </cell>
          <cell r="D278">
            <v>2.75</v>
          </cell>
          <cell r="E278">
            <v>1</v>
          </cell>
          <cell r="F278">
            <v>1</v>
          </cell>
          <cell r="G278">
            <v>0</v>
          </cell>
          <cell r="H278" t="str">
            <v>50/50</v>
          </cell>
          <cell r="I278">
            <v>0.51</v>
          </cell>
          <cell r="J278">
            <v>0</v>
          </cell>
        </row>
        <row r="279">
          <cell r="A279">
            <v>78362</v>
          </cell>
          <cell r="B279" t="str">
            <v>51% Whole Grain Turkey Sausage (red sauce) IW</v>
          </cell>
          <cell r="C279">
            <v>96</v>
          </cell>
          <cell r="D279">
            <v>2.65</v>
          </cell>
          <cell r="E279">
            <v>1</v>
          </cell>
          <cell r="F279">
            <v>1</v>
          </cell>
          <cell r="G279">
            <v>0</v>
          </cell>
          <cell r="H279" t="str">
            <v>100% Mozz</v>
          </cell>
          <cell r="I279">
            <v>0.51</v>
          </cell>
          <cell r="J279">
            <v>0</v>
          </cell>
        </row>
        <row r="280">
          <cell r="A280">
            <v>72814</v>
          </cell>
          <cell r="B280" t="str">
            <v>51% Whole Grain Turkey Sausage (white sauce)*</v>
          </cell>
          <cell r="C280">
            <v>96</v>
          </cell>
          <cell r="D280">
            <v>2.75</v>
          </cell>
          <cell r="E280">
            <v>1</v>
          </cell>
          <cell r="F280">
            <v>1</v>
          </cell>
          <cell r="G280">
            <v>0</v>
          </cell>
          <cell r="H280" t="str">
            <v>50/50</v>
          </cell>
          <cell r="I280">
            <v>0.51</v>
          </cell>
          <cell r="J280">
            <v>0</v>
          </cell>
        </row>
        <row r="281">
          <cell r="A281">
            <v>78363</v>
          </cell>
          <cell r="B281" t="str">
            <v>51% Whole Grain Turkey Sausage (white sauce) IW</v>
          </cell>
          <cell r="C281">
            <v>96</v>
          </cell>
          <cell r="D281">
            <v>2.61</v>
          </cell>
          <cell r="E281">
            <v>1</v>
          </cell>
          <cell r="F281">
            <v>1</v>
          </cell>
          <cell r="G281">
            <v>0</v>
          </cell>
          <cell r="H281" t="str">
            <v>100% Mozz</v>
          </cell>
          <cell r="I281">
            <v>0.51</v>
          </cell>
          <cell r="J281">
            <v>0</v>
          </cell>
        </row>
        <row r="282">
          <cell r="A282">
            <v>78710</v>
          </cell>
          <cell r="B282" t="str">
            <v>Sausage (red sauce) IW</v>
          </cell>
          <cell r="C282">
            <v>96</v>
          </cell>
          <cell r="D282">
            <v>2.6</v>
          </cell>
          <cell r="E282">
            <v>1</v>
          </cell>
          <cell r="F282">
            <v>1</v>
          </cell>
          <cell r="G282">
            <v>0</v>
          </cell>
          <cell r="H282" t="str">
            <v>50/50</v>
          </cell>
          <cell r="I282">
            <v>0</v>
          </cell>
          <cell r="J282">
            <v>0</v>
          </cell>
        </row>
        <row r="283">
          <cell r="A283">
            <v>78700</v>
          </cell>
          <cell r="B283" t="str">
            <v>Sausage (white sauce)</v>
          </cell>
          <cell r="C283">
            <v>96</v>
          </cell>
          <cell r="D283">
            <v>2.6</v>
          </cell>
          <cell r="E283">
            <v>1</v>
          </cell>
          <cell r="F283">
            <v>1</v>
          </cell>
          <cell r="G283">
            <v>0</v>
          </cell>
          <cell r="H283" t="str">
            <v>50/50</v>
          </cell>
          <cell r="I283">
            <v>0</v>
          </cell>
          <cell r="J283">
            <v>0</v>
          </cell>
        </row>
        <row r="284">
          <cell r="A284" t="str">
            <v>ASIAN</v>
          </cell>
          <cell r="B284">
            <v>0</v>
          </cell>
          <cell r="C284">
            <v>0</v>
          </cell>
          <cell r="D284">
            <v>0</v>
          </cell>
          <cell r="E284">
            <v>0</v>
          </cell>
          <cell r="F284">
            <v>0</v>
          </cell>
          <cell r="G284">
            <v>0</v>
          </cell>
          <cell r="H284">
            <v>0</v>
          </cell>
          <cell r="I284">
            <v>0</v>
          </cell>
          <cell r="J284">
            <v>0</v>
          </cell>
        </row>
        <row r="285">
          <cell r="A285" t="str">
            <v>Code</v>
          </cell>
          <cell r="B285" t="str">
            <v>Variety</v>
          </cell>
          <cell r="C285" t="str">
            <v xml:space="preserve">  Serv./Case</v>
          </cell>
          <cell r="D285" t="str">
            <v>Serv. Size (oz.)</v>
          </cell>
          <cell r="E285" t="str">
            <v>M/MA (oz.)</v>
          </cell>
          <cell r="F285" t="str">
            <v>Grain</v>
          </cell>
          <cell r="G285" t="str">
            <v>Vegetable</v>
          </cell>
          <cell r="H285" t="str">
            <v>% Breakdown Cheese</v>
          </cell>
          <cell r="I285" t="str">
            <v>% Whole Grain</v>
          </cell>
          <cell r="J285">
            <v>0</v>
          </cell>
        </row>
        <row r="286">
          <cell r="A286" t="str">
            <v>Minh® Stir Fry Kits</v>
          </cell>
          <cell r="B286">
            <v>0</v>
          </cell>
          <cell r="C286">
            <v>0</v>
          </cell>
          <cell r="D286">
            <v>0</v>
          </cell>
          <cell r="E286">
            <v>0</v>
          </cell>
          <cell r="F286">
            <v>0</v>
          </cell>
          <cell r="G286">
            <v>0</v>
          </cell>
          <cell r="H286">
            <v>0</v>
          </cell>
          <cell r="I286">
            <v>0</v>
          </cell>
          <cell r="J286">
            <v>0</v>
          </cell>
        </row>
        <row r="287">
          <cell r="A287">
            <v>69063</v>
          </cell>
          <cell r="B287" t="str">
            <v>Sweet &amp; Sour Chicken</v>
          </cell>
          <cell r="C287">
            <v>142</v>
          </cell>
          <cell r="D287">
            <v>4.5999999999999996</v>
          </cell>
          <cell r="E287">
            <v>2</v>
          </cell>
          <cell r="F287">
            <v>1</v>
          </cell>
          <cell r="G287">
            <v>0</v>
          </cell>
          <cell r="H287">
            <v>0</v>
          </cell>
          <cell r="I287">
            <v>0</v>
          </cell>
          <cell r="J287">
            <v>0</v>
          </cell>
        </row>
        <row r="288">
          <cell r="A288">
            <v>69064</v>
          </cell>
          <cell r="B288" t="str">
            <v>Teriyaki Chicken</v>
          </cell>
          <cell r="C288">
            <v>200</v>
          </cell>
          <cell r="D288">
            <v>3.2</v>
          </cell>
          <cell r="E288">
            <v>2</v>
          </cell>
          <cell r="F288">
            <v>0</v>
          </cell>
          <cell r="G288">
            <v>0</v>
          </cell>
          <cell r="H288">
            <v>0</v>
          </cell>
          <cell r="I288">
            <v>0</v>
          </cell>
          <cell r="J288">
            <v>0</v>
          </cell>
        </row>
        <row r="289">
          <cell r="A289">
            <v>69065</v>
          </cell>
          <cell r="B289" t="str">
            <v>General Tso's Chicken</v>
          </cell>
          <cell r="C289">
            <v>200</v>
          </cell>
          <cell r="D289">
            <v>3.2</v>
          </cell>
          <cell r="E289">
            <v>2</v>
          </cell>
          <cell r="F289">
            <v>0</v>
          </cell>
          <cell r="G289">
            <v>0</v>
          </cell>
        </row>
        <row r="290">
          <cell r="A290">
            <v>69066</v>
          </cell>
          <cell r="B290" t="str">
            <v>Orange Chicken</v>
          </cell>
          <cell r="C290">
            <v>142</v>
          </cell>
          <cell r="D290">
            <v>3.92</v>
          </cell>
          <cell r="E290">
            <v>2</v>
          </cell>
          <cell r="F290">
            <v>1</v>
          </cell>
          <cell r="G290">
            <v>0</v>
          </cell>
        </row>
      </sheetData>
      <sheetData sheetId="5">
        <row r="1">
          <cell r="A1" t="str">
            <v>Product Code and Description</v>
          </cell>
          <cell r="B1">
            <v>0</v>
          </cell>
        </row>
        <row r="2">
          <cell r="A2">
            <v>0</v>
          </cell>
          <cell r="B2">
            <v>0</v>
          </cell>
        </row>
        <row r="3">
          <cell r="A3">
            <v>55220</v>
          </cell>
          <cell r="B3" t="str">
            <v>Tony's™  1.5oz Grilled Cheese Sandwich - IW</v>
          </cell>
        </row>
        <row r="4">
          <cell r="A4">
            <v>55221</v>
          </cell>
          <cell r="B4" t="str">
            <v>Tony's™ 51% Whole Grain 1.5oz American Grilled Cheese Sandwich IW</v>
          </cell>
        </row>
        <row r="5">
          <cell r="A5">
            <v>55224</v>
          </cell>
          <cell r="B5" t="str">
            <v>Tony's™ Whole Grain Grilled Cheese Sandwich</v>
          </cell>
        </row>
        <row r="6">
          <cell r="A6">
            <v>55225</v>
          </cell>
          <cell r="B6" t="str">
            <v>Tony's™ Whole Grain Grilled Cheese Sandwich IW</v>
          </cell>
        </row>
        <row r="7">
          <cell r="A7">
            <v>62050</v>
          </cell>
          <cell r="B7" t="str">
            <v>Tony's® Fiestada® Beef Pizza</v>
          </cell>
        </row>
        <row r="8">
          <cell r="A8">
            <v>63088</v>
          </cell>
          <cell r="B8" t="str">
            <v>Tony's® Deep Dish 5" 50/50 Cheese Pizza</v>
          </cell>
        </row>
        <row r="9">
          <cell r="A9">
            <v>63091</v>
          </cell>
          <cell r="B9" t="str">
            <v>Tony's® 5" Sausage/Pepperoni Pizza Bulk CN 1.5 m/ma</v>
          </cell>
        </row>
        <row r="10">
          <cell r="A10">
            <v>63164</v>
          </cell>
          <cell r="B10" t="str">
            <v>Tony's® Breakfast Pizza Sausage &amp; Gravy</v>
          </cell>
        </row>
        <row r="11">
          <cell r="A11">
            <v>63266</v>
          </cell>
          <cell r="B11" t="str">
            <v>Tony's® 3.2x5 IQF Pizza Pepperoni 100% Mozz/Cheddar</v>
          </cell>
        </row>
        <row r="12">
          <cell r="A12">
            <v>63276</v>
          </cell>
          <cell r="B12" t="str">
            <v>Tony's® 3.2x5 IQF Pizza Cheese 100% Mozz</v>
          </cell>
        </row>
        <row r="13">
          <cell r="A13">
            <v>63490</v>
          </cell>
          <cell r="B13" t="str">
            <v>Tony's® Thin Crust 4x6 Pizza Sausage 50/50 Mozz./Sub Mozz. Bag Pack</v>
          </cell>
        </row>
        <row r="14">
          <cell r="A14">
            <v>63494</v>
          </cell>
          <cell r="B14" t="str">
            <v>Tony's® Thin Crust 4x6 Pizza Red. Fat Pepp 50/50 Mozz/Sub Mozz Bag Pack</v>
          </cell>
        </row>
        <row r="15">
          <cell r="A15">
            <v>63495</v>
          </cell>
          <cell r="B15" t="str">
            <v>Tony's® 4x6 Pepperoni 100% Mozzarella</v>
          </cell>
        </row>
        <row r="16">
          <cell r="A16">
            <v>63496</v>
          </cell>
          <cell r="B16" t="str">
            <v>Tony's® Thin Crust 4x6 Pizza Cheese 100% Mozzarella Bag Pack</v>
          </cell>
        </row>
        <row r="17">
          <cell r="A17">
            <v>63500</v>
          </cell>
          <cell r="B17" t="str">
            <v>Tony's® SmartPizza™ Right Angle Wedge Pizza Cheese 100% Mozz with Pan Mate®</v>
          </cell>
        </row>
        <row r="18">
          <cell r="A18">
            <v>63501</v>
          </cell>
          <cell r="B18" t="str">
            <v>Tony's® SmartPizza® Thick Crust 4x6 Pizza Cheese 100% Mozz with Pan Mates®</v>
          </cell>
        </row>
        <row r="19">
          <cell r="A19">
            <v>63519</v>
          </cell>
          <cell r="B19" t="str">
            <v>Tony's® 5" Pizza Bulk Cheese</v>
          </cell>
        </row>
        <row r="20">
          <cell r="A20">
            <v>63520</v>
          </cell>
          <cell r="B20" t="str">
            <v>Tony's® 5" Pizza Bulk Pepperoni</v>
          </cell>
        </row>
        <row r="21">
          <cell r="A21">
            <v>63564</v>
          </cell>
          <cell r="B21" t="str">
            <v>Tony's® Breakfast Pizza Bacon Scramble</v>
          </cell>
        </row>
        <row r="22">
          <cell r="A22">
            <v>63572</v>
          </cell>
          <cell r="B22" t="str">
            <v>Tony's® Thin Crust 4x6 Pizza Cheese 100% Mozz with Pan Mates®</v>
          </cell>
        </row>
        <row r="23">
          <cell r="A23">
            <v>63582</v>
          </cell>
          <cell r="B23" t="str">
            <v>Tony's® Personal Round 6.25"/6.5" Pizza 4 Cheese</v>
          </cell>
        </row>
        <row r="24">
          <cell r="A24">
            <v>63584</v>
          </cell>
          <cell r="B24" t="str">
            <v>Tony's® Personal Round 6.25"/6.5" Pizza Pepperoni</v>
          </cell>
        </row>
        <row r="25">
          <cell r="A25">
            <v>63624</v>
          </cell>
          <cell r="B25" t="str">
            <v>Tony's® SmartPizza™ Reduced Fat Pepp Pizza</v>
          </cell>
        </row>
        <row r="26">
          <cell r="A26">
            <v>63743</v>
          </cell>
          <cell r="B26" t="str">
            <v>Tony's® SmartPizza® 4x6 Pizza Thk Cheese 50/50 Mozz.</v>
          </cell>
        </row>
        <row r="27">
          <cell r="A27">
            <v>63748</v>
          </cell>
          <cell r="B27" t="str">
            <v>Tony's® SmartPizza® 4x6 Thk Crust Fat Red Pepp Pizza</v>
          </cell>
        </row>
        <row r="28">
          <cell r="A28">
            <v>63835</v>
          </cell>
          <cell r="B28" t="str">
            <v>Tony's® SmartPizza™ Sausage/TVP Pizza 50/50 Moz</v>
          </cell>
        </row>
        <row r="29">
          <cell r="A29">
            <v>63904</v>
          </cell>
          <cell r="B29" t="str">
            <v>Tony's® Breakfast Pizza Sausage</v>
          </cell>
        </row>
        <row r="30">
          <cell r="A30">
            <v>63912</v>
          </cell>
          <cell r="B30" t="str">
            <v>Tony's® LiveSmart™ Schools Turkey Sausage Breakfast Pizza</v>
          </cell>
        </row>
        <row r="31">
          <cell r="A31">
            <v>63999</v>
          </cell>
          <cell r="B31" t="str">
            <v>Tony's® 3.2x5 IQF Pizza Cheese 50/50 Mozz</v>
          </cell>
        </row>
        <row r="32">
          <cell r="A32">
            <v>66230</v>
          </cell>
          <cell r="B32" t="str">
            <v>Whole Grain Pizza Bagel Bulk</v>
          </cell>
        </row>
        <row r="33">
          <cell r="A33">
            <v>66231</v>
          </cell>
          <cell r="B33" t="str">
            <v>Whole Grain Cheese Pizza Bagel Wrapped</v>
          </cell>
        </row>
        <row r="34">
          <cell r="A34">
            <v>66232</v>
          </cell>
          <cell r="B34" t="str">
            <v>Whole Grain Pepp Pizza Bagel Bulk</v>
          </cell>
        </row>
        <row r="35">
          <cell r="A35">
            <v>66233</v>
          </cell>
          <cell r="B35" t="str">
            <v>Whole Grain Pepp Pizza Bagel Wrapped</v>
          </cell>
        </row>
        <row r="36">
          <cell r="A36">
            <v>66234</v>
          </cell>
          <cell r="B36" t="str">
            <v>Whole Grain French Bread Cheese Bulk</v>
          </cell>
        </row>
        <row r="37">
          <cell r="A37">
            <v>66235</v>
          </cell>
          <cell r="B37" t="str">
            <v>Whole Grain French Bread Cheese Wrapped</v>
          </cell>
        </row>
        <row r="38">
          <cell r="A38">
            <v>66236</v>
          </cell>
          <cell r="B38" t="str">
            <v>Whole Grain French Bread Pepp Bulk</v>
          </cell>
        </row>
        <row r="39">
          <cell r="A39">
            <v>66237</v>
          </cell>
          <cell r="B39" t="str">
            <v>Whole Grain French Bread Pepp Wrapped</v>
          </cell>
        </row>
        <row r="40">
          <cell r="A40">
            <v>66238</v>
          </cell>
          <cell r="B40" t="str">
            <v>Whole Grain 4x6 Cheese Pizza Bulk</v>
          </cell>
        </row>
        <row r="41">
          <cell r="A41">
            <v>66239</v>
          </cell>
          <cell r="B41" t="str">
            <v>Whole Grain 4x6 Cheese Pizza Wrapped</v>
          </cell>
        </row>
        <row r="42">
          <cell r="A42">
            <v>66240</v>
          </cell>
          <cell r="B42" t="str">
            <v>Whole Grain 8" Garlic Cheese Toast Bulk</v>
          </cell>
        </row>
        <row r="43">
          <cell r="A43">
            <v>66241</v>
          </cell>
          <cell r="B43" t="str">
            <v>Whole Grain 8" Garlic Cheese Toast Wrapped</v>
          </cell>
        </row>
        <row r="44">
          <cell r="A44">
            <v>66242</v>
          </cell>
          <cell r="B44" t="str">
            <v>Whole Grain 6" Garlic Cheese Toast Bulk</v>
          </cell>
        </row>
        <row r="45">
          <cell r="A45">
            <v>66243</v>
          </cell>
          <cell r="B45" t="str">
            <v>Whole Grain 6" Garlic Cheese Toast Wrapped</v>
          </cell>
        </row>
        <row r="46">
          <cell r="A46">
            <v>68503</v>
          </cell>
          <cell r="B46" t="str">
            <v>Tony's® 3x8" Ultimate Flatbread, 100% Mozz</v>
          </cell>
        </row>
        <row r="47">
          <cell r="A47">
            <v>68504</v>
          </cell>
          <cell r="B47" t="str">
            <v>Tony's® 3x8 Ultimate Flatbread, Pepperoni</v>
          </cell>
        </row>
        <row r="48">
          <cell r="A48">
            <v>68509</v>
          </cell>
          <cell r="B48" t="str">
            <v>Tony's® Breakfast Sausage Pizza</v>
          </cell>
        </row>
        <row r="49">
          <cell r="A49">
            <v>68510</v>
          </cell>
          <cell r="B49" t="str">
            <v>Tony's® Breakfast Sausage &amp; Country Gravy Pizza</v>
          </cell>
        </row>
        <row r="50">
          <cell r="A50">
            <v>68516</v>
          </cell>
          <cell r="B50" t="str">
            <v>Tony's® Fiestada® 51% Whole Grain Pizza</v>
          </cell>
        </row>
        <row r="51">
          <cell r="A51">
            <v>68521</v>
          </cell>
          <cell r="B51" t="str">
            <v>Tony's® Whole Grain Cheese Pizza</v>
          </cell>
        </row>
        <row r="52">
          <cell r="A52">
            <v>68543</v>
          </cell>
          <cell r="B52" t="str">
            <v>Big Daddy's® Harvest™ 51% Whole Grain Cheese Pizza</v>
          </cell>
        </row>
        <row r="53">
          <cell r="A53">
            <v>68544</v>
          </cell>
          <cell r="B53" t="str">
            <v>Big Daddy's® Harvest™ 51% Whole Grain Pepperoni Pizza</v>
          </cell>
        </row>
        <row r="54">
          <cell r="A54">
            <v>68563</v>
          </cell>
          <cell r="B54" t="str">
            <v>TN Cheese 5% WG Flatbread-Bulk</v>
          </cell>
        </row>
        <row r="55">
          <cell r="A55">
            <v>68568</v>
          </cell>
          <cell r="B55" t="str">
            <v>Tony's® Italian Cheese Flatbread IW - CN</v>
          </cell>
        </row>
        <row r="56">
          <cell r="A56">
            <v>68571</v>
          </cell>
          <cell r="B56" t="str">
            <v>Tony's 51% WG Turkey Sausage Bagel</v>
          </cell>
        </row>
        <row r="57">
          <cell r="A57">
            <v>68765</v>
          </cell>
          <cell r="B57" t="str">
            <v>Big Daddy's® Cheese Filled Whole Grain Breadsticks</v>
          </cell>
        </row>
        <row r="58">
          <cell r="A58">
            <v>68766</v>
          </cell>
          <cell r="B58" t="str">
            <v>Big Daddy's® Cheese Filled Whole Grain Breadstick IW</v>
          </cell>
        </row>
        <row r="59">
          <cell r="A59">
            <v>72557</v>
          </cell>
          <cell r="B59" t="str">
            <v>Whole Grain 4x6 Sausage Pizza 50/50</v>
          </cell>
        </row>
        <row r="60">
          <cell r="A60">
            <v>72558</v>
          </cell>
          <cell r="B60" t="str">
            <v>Whole Grain Wedge Cheese Pizza 100%</v>
          </cell>
        </row>
        <row r="61">
          <cell r="A61">
            <v>72559</v>
          </cell>
          <cell r="B61" t="str">
            <v>Whole Grain Wedge Pepperoni Pizza 50/50</v>
          </cell>
        </row>
        <row r="62">
          <cell r="A62">
            <v>72560</v>
          </cell>
          <cell r="B62" t="str">
            <v>Whole Grain Wedge Pepperoni Pizza 100%</v>
          </cell>
        </row>
        <row r="63">
          <cell r="A63">
            <v>72561</v>
          </cell>
          <cell r="B63" t="str">
            <v>Whole Grain Right Angle Wedge Cheese 50/50</v>
          </cell>
        </row>
        <row r="64">
          <cell r="A64">
            <v>72562</v>
          </cell>
          <cell r="B64" t="str">
            <v>Whole Grain Right Angle Wedge Pepp 50/50</v>
          </cell>
        </row>
        <row r="65">
          <cell r="A65">
            <v>72563</v>
          </cell>
          <cell r="B65" t="str">
            <v>Whole Grain Right Angle Wedge Cheese Pizza 100%</v>
          </cell>
        </row>
        <row r="66">
          <cell r="A66">
            <v>72564</v>
          </cell>
          <cell r="B66" t="str">
            <v>Whole Grain Right Angle Wedge Pepp Pizza 100%</v>
          </cell>
        </row>
        <row r="67">
          <cell r="A67">
            <v>72565</v>
          </cell>
          <cell r="B67" t="str">
            <v>Whole Grain 3x8 Garlic Cheese Flatbread 50/50</v>
          </cell>
        </row>
        <row r="68">
          <cell r="A68">
            <v>72570</v>
          </cell>
          <cell r="B68" t="str">
            <v>Whole Grain  5" CC Cheese 50/50</v>
          </cell>
        </row>
        <row r="69">
          <cell r="A69">
            <v>72571</v>
          </cell>
          <cell r="B69" t="str">
            <v>Whole Grain 5" CC Pepp 50/50</v>
          </cell>
        </row>
        <row r="70">
          <cell r="A70">
            <v>72572</v>
          </cell>
          <cell r="B70" t="str">
            <v>Whole Grain 5" Deep Dish Cheese Pizza 50/50</v>
          </cell>
        </row>
        <row r="71">
          <cell r="A71">
            <v>72573</v>
          </cell>
          <cell r="B71" t="str">
            <v>Whole Grain 5" Deep Dish Pepp Pizza 50/50</v>
          </cell>
        </row>
        <row r="72">
          <cell r="A72">
            <v>72574</v>
          </cell>
          <cell r="B72" t="str">
            <v>Whole Grain 5" Deep Dish Cheese Pizza IW</v>
          </cell>
        </row>
        <row r="73">
          <cell r="A73">
            <v>72575</v>
          </cell>
          <cell r="B73" t="str">
            <v>Whole Grain 5" Deep Dish Pepp Pizza IW</v>
          </cell>
        </row>
        <row r="74">
          <cell r="A74">
            <v>72576</v>
          </cell>
          <cell r="B74" t="str">
            <v>Whole Grain Galaxy Cheese Pizza 50/50</v>
          </cell>
        </row>
        <row r="75">
          <cell r="A75">
            <v>72577</v>
          </cell>
          <cell r="B75" t="str">
            <v>Whole Grain Galaxy Pepp Pizza 50/50</v>
          </cell>
        </row>
        <row r="76">
          <cell r="A76">
            <v>72578</v>
          </cell>
          <cell r="B76" t="str">
            <v>Whole Grain Galaxy Cheese Pizza 50/50 IW</v>
          </cell>
        </row>
        <row r="77">
          <cell r="A77">
            <v>72579</v>
          </cell>
          <cell r="B77" t="str">
            <v>Whole Grain Galaxy Pepp Pizza 50/50 IW</v>
          </cell>
        </row>
        <row r="78">
          <cell r="A78">
            <v>72691</v>
          </cell>
          <cell r="B78" t="str">
            <v>Whole Grain 3.2x5 Cheese Pizza 50/50</v>
          </cell>
        </row>
        <row r="79">
          <cell r="A79">
            <v>72708</v>
          </cell>
          <cell r="B79" t="str">
            <v>Whole Grain 4x6 Cheese Pizza 100%</v>
          </cell>
        </row>
        <row r="80">
          <cell r="A80">
            <v>72709</v>
          </cell>
          <cell r="B80" t="str">
            <v>Whole Grain 4x6 Pepp Pizza 100%</v>
          </cell>
        </row>
        <row r="81">
          <cell r="A81">
            <v>72813</v>
          </cell>
          <cell r="B81" t="str">
            <v>Whole Grain Saus Bkft Bagel 50/50</v>
          </cell>
        </row>
        <row r="82">
          <cell r="A82">
            <v>72814</v>
          </cell>
          <cell r="B82" t="str">
            <v>Whole Grain Saus Bkft Bagel 50/50</v>
          </cell>
        </row>
        <row r="83">
          <cell r="A83">
            <v>72815</v>
          </cell>
          <cell r="B83" t="str">
            <v>Whole Grain Pepp Bagel 100%</v>
          </cell>
        </row>
        <row r="84">
          <cell r="A84">
            <v>73034</v>
          </cell>
          <cell r="B84" t="str">
            <v>Tony's® Classic Wedge Whole Grain Cheese Pizza 50/50</v>
          </cell>
        </row>
        <row r="85">
          <cell r="A85">
            <v>73039</v>
          </cell>
          <cell r="B85" t="str">
            <v>Tony's® Whole Grain Classic Wedge Pepperoni 50/50</v>
          </cell>
        </row>
        <row r="86">
          <cell r="A86">
            <v>73142</v>
          </cell>
          <cell r="B86" t="str">
            <v>Big Daddy's® Original™ 16" Rolled Edge Cheese Pizza</v>
          </cell>
        </row>
        <row r="87">
          <cell r="A87">
            <v>73143</v>
          </cell>
          <cell r="B87" t="str">
            <v>Big Daddy's™ Original 16" Rolled Edge Pepperoni Pizza</v>
          </cell>
        </row>
        <row r="88">
          <cell r="A88">
            <v>73158</v>
          </cell>
          <cell r="B88" t="str">
            <v>Tony's® Classic Wedge Whole Grain Cheese Pizza 50/50</v>
          </cell>
        </row>
        <row r="89">
          <cell r="A89">
            <v>73159</v>
          </cell>
          <cell r="B89" t="str">
            <v>Tony's® Whole Grain Classic Wedge Pepperoni 50/50</v>
          </cell>
        </row>
        <row r="90">
          <cell r="A90">
            <v>73160</v>
          </cell>
          <cell r="B90" t="str">
            <v>Tony's® SmartPizza® 51% Whole Grain Classic Wedge 50/50 Sausage Pizza</v>
          </cell>
        </row>
        <row r="91">
          <cell r="A91">
            <v>73162</v>
          </cell>
          <cell r="B91" t="str">
            <v>Red Baron® Proof Perfect® Solo 7" Cheese Pizza</v>
          </cell>
        </row>
        <row r="92">
          <cell r="A92">
            <v>73163</v>
          </cell>
          <cell r="B92" t="str">
            <v>Red Baron® Proof Perfect® Solo 7" Pepperoni Pizza</v>
          </cell>
        </row>
        <row r="93">
          <cell r="A93">
            <v>73217</v>
          </cell>
          <cell r="B93" t="str">
            <v>Tony's® Pepperoni Stuffed Sandwiches</v>
          </cell>
        </row>
        <row r="94">
          <cell r="A94">
            <v>73318</v>
          </cell>
          <cell r="B94" t="str">
            <v>Tony's® 51% Whole Grain 50/50 Cheese Stuffed Sticks CN</v>
          </cell>
        </row>
        <row r="95">
          <cell r="A95">
            <v>73328</v>
          </cell>
          <cell r="B95" t="str">
            <v>Tony's® Stuffed Sticks 100% Mozzarella</v>
          </cell>
        </row>
        <row r="96">
          <cell r="A96">
            <v>73329</v>
          </cell>
          <cell r="B96" t="str">
            <v>Tony's® Cheese Stuffed Sticks</v>
          </cell>
        </row>
        <row r="97">
          <cell r="A97">
            <v>73338</v>
          </cell>
          <cell r="B97" t="str">
            <v>Tony's® Cheese Stuffed Sticks made with Whole Grain</v>
          </cell>
        </row>
        <row r="98">
          <cell r="A98">
            <v>73341</v>
          </cell>
          <cell r="B98" t="str">
            <v>Tony's® Cheesy Garlic Flatbread</v>
          </cell>
        </row>
        <row r="99">
          <cell r="A99">
            <v>74709</v>
          </cell>
          <cell r="B99" t="str">
            <v>Tony's® SmartPizza™ Classic Wedge Cheese Mozz/Sub Mozz</v>
          </cell>
        </row>
        <row r="100">
          <cell r="A100">
            <v>74710</v>
          </cell>
          <cell r="B100" t="str">
            <v>Tony's® SmartPizza™ Classic Wedge Pepperoni Mozz/Sub Mozz</v>
          </cell>
        </row>
        <row r="101">
          <cell r="A101">
            <v>74711</v>
          </cell>
          <cell r="B101" t="str">
            <v>Tony's® SmartPizza™ Right Angle Wedge Cheese/Sub Cheese Pizza</v>
          </cell>
        </row>
        <row r="102">
          <cell r="A102">
            <v>74712</v>
          </cell>
          <cell r="B102" t="str">
            <v>Tony's® SmartPizza™ Right Angle Wedge Pepperoni Pizza</v>
          </cell>
        </row>
        <row r="103">
          <cell r="A103">
            <v>74716</v>
          </cell>
          <cell r="B103" t="str">
            <v>Tony's SEW Sausage 100% Mozz</v>
          </cell>
        </row>
        <row r="104">
          <cell r="A104">
            <v>74817</v>
          </cell>
          <cell r="B104" t="str">
            <v>Pepperoni Pizza Bagel</v>
          </cell>
        </row>
        <row r="105">
          <cell r="A105">
            <v>74835</v>
          </cell>
          <cell r="B105" t="str">
            <v>Tony's® Pizza Strips - Pepperoni</v>
          </cell>
        </row>
        <row r="106">
          <cell r="A106">
            <v>74836</v>
          </cell>
          <cell r="B106" t="str">
            <v>Tony's® Pizza Strips - Pepperoni (IW)</v>
          </cell>
        </row>
        <row r="107">
          <cell r="A107">
            <v>74837</v>
          </cell>
          <cell r="B107" t="str">
            <v>Tony's® Stuffed Sandwiches Pepperoni Bulk 48ct</v>
          </cell>
        </row>
        <row r="108">
          <cell r="A108">
            <v>74838</v>
          </cell>
          <cell r="B108" t="str">
            <v>Tony's® Stuffed Sandwich Pepperoni IW 24ct</v>
          </cell>
        </row>
        <row r="109">
          <cell r="A109">
            <v>78329</v>
          </cell>
          <cell r="B109" t="str">
            <v>Tony's WG 4x6 Thin Crust 4x6 Pepp IW</v>
          </cell>
        </row>
        <row r="110">
          <cell r="A110">
            <v>78330</v>
          </cell>
          <cell r="B110" t="str">
            <v>Tony's WG Classic Wedge WG Pepp IW</v>
          </cell>
        </row>
        <row r="111">
          <cell r="A111">
            <v>78331</v>
          </cell>
          <cell r="B111" t="str">
            <v>Tony's WG 6" French Bread Cheese</v>
          </cell>
        </row>
        <row r="112">
          <cell r="A112">
            <v>78352</v>
          </cell>
          <cell r="B112" t="str">
            <v>Tony's® LiveSmart™ Schools Whole Grain Breakfast Squares with Country Gravy</v>
          </cell>
        </row>
        <row r="113">
          <cell r="A113">
            <v>78353</v>
          </cell>
          <cell r="B113" t="str">
            <v>Tony's® Whole Grain Bacon Scramble Breakfast Squares</v>
          </cell>
        </row>
        <row r="114">
          <cell r="A114">
            <v>78356</v>
          </cell>
          <cell r="B114" t="str">
            <v>Tony's® French Bread 6" French Bread Cheese Pizza</v>
          </cell>
        </row>
        <row r="115">
          <cell r="A115">
            <v>78357</v>
          </cell>
          <cell r="B115" t="str">
            <v>Tony's® French Bread 6" Pepperoni Pizza</v>
          </cell>
        </row>
        <row r="116">
          <cell r="A116">
            <v>78358</v>
          </cell>
          <cell r="B116" t="str">
            <v>Tony's® French Bread 6" French Bread Sausage Pizza</v>
          </cell>
        </row>
        <row r="117">
          <cell r="A117">
            <v>78359</v>
          </cell>
          <cell r="B117" t="str">
            <v>Tony's® French Bread 6" Multi Cheese Garlic French Bread</v>
          </cell>
        </row>
        <row r="118">
          <cell r="A118">
            <v>78360</v>
          </cell>
          <cell r="B118" t="str">
            <v>Tony's® French Bread 6" French Bread Pepp Pizza IW</v>
          </cell>
        </row>
        <row r="119">
          <cell r="A119">
            <v>78361</v>
          </cell>
          <cell r="B119" t="str">
            <v>Tony's® French Bread 6" French Bread Multi Cheese Pizza</v>
          </cell>
        </row>
        <row r="120">
          <cell r="A120">
            <v>78362</v>
          </cell>
          <cell r="B120" t="str">
            <v>Tony's® Sausage Breakfast Bagel (Red Sauce) IW</v>
          </cell>
        </row>
        <row r="121">
          <cell r="A121">
            <v>78363</v>
          </cell>
          <cell r="B121" t="str">
            <v>Tony's® LiveSmart™ Schools Sausage Breakfast Bagel (White Sauce) IW</v>
          </cell>
        </row>
        <row r="122">
          <cell r="A122">
            <v>78364</v>
          </cell>
          <cell r="B122" t="str">
            <v>Tony's® 4" Round Galaxy Cheese Pizza</v>
          </cell>
        </row>
        <row r="123">
          <cell r="A123">
            <v>78365</v>
          </cell>
          <cell r="B123" t="str">
            <v>Tony's® 4" Round Galaxy Pepperoni Pizza</v>
          </cell>
        </row>
        <row r="124">
          <cell r="A124">
            <v>78366</v>
          </cell>
          <cell r="B124" t="str">
            <v>Tony's® 4" Round Galaxy Cheese Pizza IW</v>
          </cell>
        </row>
        <row r="125">
          <cell r="A125">
            <v>78367</v>
          </cell>
          <cell r="B125" t="str">
            <v>Tony's® 4" Round Galaxy Pepp Pizza IW</v>
          </cell>
        </row>
        <row r="126">
          <cell r="A126">
            <v>78368</v>
          </cell>
          <cell r="B126" t="str">
            <v>Tony's® Deep Dish 5" 51% Whole Grain 100% Mozz Cheese Pizza</v>
          </cell>
        </row>
        <row r="127">
          <cell r="A127">
            <v>78369</v>
          </cell>
          <cell r="B127" t="str">
            <v>Tony's® Deep Dish 5" 51% Whole Grain 100% Mozz Pepperoni Pizza</v>
          </cell>
        </row>
        <row r="128">
          <cell r="A128">
            <v>78370</v>
          </cell>
          <cell r="B128" t="str">
            <v>Tony's® Deep Dish 5" 51% Whole Grain 100% Mozz Cheese Pizza IW</v>
          </cell>
        </row>
        <row r="129">
          <cell r="A129">
            <v>78371</v>
          </cell>
          <cell r="B129" t="str">
            <v>Tony's® Deep Dish 5" 51% Whole Grain 100% Mozz Pepperoni Pizza IW</v>
          </cell>
        </row>
        <row r="130">
          <cell r="A130">
            <v>78372</v>
          </cell>
          <cell r="B130" t="str">
            <v>Coyote Grill® 51% Whole Grain Cheese Quesadilla</v>
          </cell>
        </row>
        <row r="131">
          <cell r="A131">
            <v>78373</v>
          </cell>
          <cell r="B131" t="str">
            <v>Coyote Grill® LiveSmart™ Schools 51% Whole Grain Chicken &amp; Cheese Quesadilla</v>
          </cell>
        </row>
        <row r="132">
          <cell r="A132">
            <v>78374</v>
          </cell>
          <cell r="B132" t="str">
            <v>Coyote Grill® LiveSmart™ Schools 51% Whole Grain Chili &amp; Cheese Quesadilla</v>
          </cell>
        </row>
        <row r="133">
          <cell r="A133">
            <v>78375</v>
          </cell>
          <cell r="B133" t="str">
            <v>Tony's® LiveSmart™ Schools 51% Whole Grain Stuffed Cheese Stick</v>
          </cell>
        </row>
        <row r="134">
          <cell r="A134">
            <v>78380</v>
          </cell>
          <cell r="B134" t="str">
            <v>WG 7" Stuffed Crust Wedge Cheese</v>
          </cell>
        </row>
        <row r="135">
          <cell r="A135">
            <v>78381</v>
          </cell>
          <cell r="B135" t="str">
            <v>WG 7" Stuffed Crust Wedge Pepp</v>
          </cell>
        </row>
        <row r="136">
          <cell r="A136">
            <v>78386</v>
          </cell>
          <cell r="B136" t="str">
            <v>WG 4x6 Stuffed Crust Cheese</v>
          </cell>
        </row>
        <row r="137">
          <cell r="A137">
            <v>78387</v>
          </cell>
          <cell r="B137" t="str">
            <v>WG 4x6 Stuffed Crust Pepperoni</v>
          </cell>
        </row>
        <row r="138">
          <cell r="A138">
            <v>78388</v>
          </cell>
          <cell r="B138" t="str">
            <v>Big Daddy's® Sicilian Pizza</v>
          </cell>
        </row>
        <row r="139">
          <cell r="A139">
            <v>78391</v>
          </cell>
          <cell r="B139" t="str">
            <v>Tony's® Whole Grain Cheese Bagel 4.8oz</v>
          </cell>
        </row>
        <row r="140">
          <cell r="A140">
            <v>78392</v>
          </cell>
          <cell r="B140" t="str">
            <v>Big Daddy's® Harvest™ Hand Tossed 16" Pepperoni Pre-Sliced Pizza</v>
          </cell>
        </row>
        <row r="141">
          <cell r="A141">
            <v>78397</v>
          </cell>
          <cell r="B141" t="str">
            <v>Big Daddy's® Hand Tossed Style 16" 51% Whole Grain Pre-Sliced(8-cut) Cheese CN Pizza</v>
          </cell>
        </row>
        <row r="142">
          <cell r="A142">
            <v>78398</v>
          </cell>
          <cell r="B142" t="str">
            <v>Big Daddy's® Hand Tossed Style 16" 51% Whole Grain Cheese - CN</v>
          </cell>
        </row>
        <row r="143">
          <cell r="A143">
            <v>78399</v>
          </cell>
          <cell r="B143" t="str">
            <v>Big Daddy's® Hand Tossed Style 16" 51% Whole Grain Pepperoni Pizza-CN</v>
          </cell>
        </row>
        <row r="144">
          <cell r="A144">
            <v>78454</v>
          </cell>
          <cell r="B144" t="str">
            <v>Tony's® SmartPizza™ 4x6 Cheese Mozz/Sub Mozz with Pan Mates®</v>
          </cell>
        </row>
        <row r="145">
          <cell r="A145">
            <v>78455</v>
          </cell>
          <cell r="B145" t="str">
            <v>Tony's® SmartPizza™  4x6 Reduced Fat Pepperoni Mozz/Sub Mozz with Pan Mates®</v>
          </cell>
        </row>
        <row r="146">
          <cell r="A146">
            <v>78456</v>
          </cell>
          <cell r="B146" t="str">
            <v>Tony's® SmartPizza™  4x6 Sausage Mozz/Sub Mozz with Pan Mates®</v>
          </cell>
        </row>
        <row r="147">
          <cell r="A147">
            <v>78474</v>
          </cell>
          <cell r="B147" t="str">
            <v>Tony's® Galaxy Pizza Cheese 100% Mozz</v>
          </cell>
        </row>
        <row r="148">
          <cell r="A148">
            <v>78475</v>
          </cell>
          <cell r="B148" t="str">
            <v>Tony's® Galaxy Pizza Cheese 100% Mozz IW</v>
          </cell>
        </row>
        <row r="149">
          <cell r="A149">
            <v>78477</v>
          </cell>
          <cell r="B149" t="str">
            <v>Tony's® Galaxy Pizza Pepperoni 100% Mozz IW</v>
          </cell>
        </row>
        <row r="150">
          <cell r="A150">
            <v>78504</v>
          </cell>
          <cell r="B150" t="str">
            <v>Red Baron® French Bread 6" Cheese Bulk 100% Mozz</v>
          </cell>
        </row>
        <row r="151">
          <cell r="A151">
            <v>78505</v>
          </cell>
          <cell r="B151" t="str">
            <v>Red Baron® French Bread 6" Pepperoni Bulk 100% Mozz</v>
          </cell>
        </row>
        <row r="152">
          <cell r="A152">
            <v>78511</v>
          </cell>
          <cell r="B152" t="str">
            <v>Red Baron® French Bread 6" Bulk Pizza Cheese</v>
          </cell>
        </row>
        <row r="153">
          <cell r="A153">
            <v>78516</v>
          </cell>
          <cell r="B153" t="str">
            <v>Tony's® French Bread French Bread 6" Multi Cheese - IW 60ct</v>
          </cell>
        </row>
        <row r="154">
          <cell r="A154">
            <v>78518</v>
          </cell>
          <cell r="B154" t="str">
            <v>Red Baron® French Bread 8" Bulk Pizza Pepperoni MZ/CHD</v>
          </cell>
        </row>
        <row r="155">
          <cell r="A155">
            <v>78525</v>
          </cell>
          <cell r="B155" t="str">
            <v>Red Baron® French Bread 8" Bulk Cheese 50/50</v>
          </cell>
        </row>
        <row r="156">
          <cell r="A156">
            <v>78530</v>
          </cell>
          <cell r="B156" t="str">
            <v>Red Baron Breakfast Bacon Scramble</v>
          </cell>
        </row>
        <row r="157">
          <cell r="A157">
            <v>78531</v>
          </cell>
          <cell r="B157" t="str">
            <v>Big Daddy's® Harvest™ 16" Cheese Pizza CN</v>
          </cell>
        </row>
        <row r="158">
          <cell r="A158">
            <v>78532</v>
          </cell>
          <cell r="B158" t="str">
            <v>Tony's® Breakfast 5" Pizza Bacon Scramble IW</v>
          </cell>
        </row>
        <row r="159">
          <cell r="A159">
            <v>78533</v>
          </cell>
          <cell r="B159" t="str">
            <v>Big Daddy's® Harvest™  16" Pepperoni Pizza CN</v>
          </cell>
        </row>
        <row r="160">
          <cell r="A160">
            <v>78542</v>
          </cell>
          <cell r="B160" t="str">
            <v>Tony's® SmartPizza® Galaxy Cheese 50/50 Mozz/Sub Mozz</v>
          </cell>
        </row>
        <row r="161">
          <cell r="A161">
            <v>78543</v>
          </cell>
          <cell r="B161" t="str">
            <v>Tony's® SmartPizza® Galaxy Cheese 50/50 Mozz/Sub Mozz IW</v>
          </cell>
        </row>
        <row r="162">
          <cell r="A162">
            <v>78544</v>
          </cell>
          <cell r="B162" t="str">
            <v>Tony's® SmartPizza™  Galaxy Fat Reduced Pepperoni 50/50 Mozz/Sub Mozz</v>
          </cell>
        </row>
        <row r="163">
          <cell r="A163">
            <v>78545</v>
          </cell>
          <cell r="B163" t="str">
            <v>Tony's® SmartPizza™ Galaxy Fat Red. Pepperoni 50/50 Mozz/Sub Mozz IW</v>
          </cell>
        </row>
        <row r="164">
          <cell r="A164">
            <v>78571</v>
          </cell>
          <cell r="B164" t="str">
            <v>Tony's® Pepperoni and TVP Pizza - 4x6 Vend.</v>
          </cell>
        </row>
        <row r="165">
          <cell r="A165">
            <v>78584</v>
          </cell>
          <cell r="B165" t="str">
            <v>Red Baron® Deep Dish 5" 100% Mozz Cheese Pizza</v>
          </cell>
        </row>
        <row r="166">
          <cell r="A166">
            <v>78585</v>
          </cell>
          <cell r="B166" t="str">
            <v>Red Baron® 5" Deep Dish Pizza Bulk Pepperoni</v>
          </cell>
        </row>
        <row r="167">
          <cell r="A167">
            <v>78589</v>
          </cell>
          <cell r="B167" t="str">
            <v>Tony's® Deep Dish 5" 50/50 Pepperoni Pizza</v>
          </cell>
        </row>
        <row r="168">
          <cell r="A168">
            <v>78622</v>
          </cell>
          <cell r="B168" t="str">
            <v>Tony's® French Bread French Bread Pizza with 50/50 Cheese</v>
          </cell>
        </row>
        <row r="169">
          <cell r="A169">
            <v>78623</v>
          </cell>
          <cell r="B169" t="str">
            <v>Tony's® French Bread Pepperoni Pizza</v>
          </cell>
        </row>
        <row r="170">
          <cell r="A170">
            <v>78624</v>
          </cell>
          <cell r="B170" t="str">
            <v>Tony's® French Bread Multi Cheese Garlic</v>
          </cell>
        </row>
        <row r="171">
          <cell r="A171">
            <v>78626</v>
          </cell>
          <cell r="B171" t="str">
            <v>Red Baron® French Bread 6" Pepperoni Pizza 100% Mozz/Ched IW</v>
          </cell>
        </row>
        <row r="172">
          <cell r="A172">
            <v>78642</v>
          </cell>
          <cell r="B172" t="str">
            <v>Tony's® Deep Dish Pizza 5" Pepperoni Pizza IW 60ct</v>
          </cell>
        </row>
        <row r="173">
          <cell r="A173">
            <v>78668</v>
          </cell>
          <cell r="B173" t="str">
            <v>Tony's® 3.2x5 Whole Grain IQF Cheese Pizza</v>
          </cell>
        </row>
        <row r="174">
          <cell r="A174">
            <v>78669</v>
          </cell>
          <cell r="B174" t="str">
            <v>Tony's® 3.2x5 51% Whole Grain IQF Pepperoni Pizza</v>
          </cell>
        </row>
        <row r="175">
          <cell r="A175">
            <v>78673</v>
          </cell>
          <cell r="B175" t="str">
            <v>Tony's® SmartPizza™ Whole Grain 4x6 Cheese Pizza 50/50</v>
          </cell>
        </row>
        <row r="176">
          <cell r="A176">
            <v>78674</v>
          </cell>
          <cell r="B176" t="str">
            <v>Tony's® SmartPizza™Whole Grain 4x6 Pepperoni Pizza 50/50 Cheese</v>
          </cell>
        </row>
        <row r="177">
          <cell r="A177">
            <v>78675</v>
          </cell>
          <cell r="B177" t="str">
            <v>Red Baron® Bake to Rise® 15" Cheese Pizza</v>
          </cell>
        </row>
        <row r="178">
          <cell r="A178">
            <v>78676</v>
          </cell>
          <cell r="B178" t="str">
            <v>Red Baron® Bake to Rise® 15" Pepperoni Pizza</v>
          </cell>
        </row>
        <row r="179">
          <cell r="A179">
            <v>78697</v>
          </cell>
          <cell r="B179" t="str">
            <v>Tony's® SmartPizza™ Whole Grain Cheese Pizza 100% Mozz</v>
          </cell>
        </row>
        <row r="180">
          <cell r="A180">
            <v>78698</v>
          </cell>
          <cell r="B180" t="str">
            <v>Tony's® SmartPizza® Whole Grain 4x6 Pepperoni Pizza 100%</v>
          </cell>
        </row>
        <row r="181">
          <cell r="A181">
            <v>78700</v>
          </cell>
          <cell r="B181" t="str">
            <v>Tony's® Turkey Sausage &amp; Country Gravy Breakfast Bagel</v>
          </cell>
        </row>
        <row r="182">
          <cell r="A182">
            <v>78706</v>
          </cell>
          <cell r="B182" t="str">
            <v>Tony's® Pepperoni Pizza Bagel 100% Mozzarella Bulk</v>
          </cell>
        </row>
        <row r="183">
          <cell r="A183">
            <v>78710</v>
          </cell>
          <cell r="B183" t="str">
            <v>Tony's® Turkey Sausage Breakfast Bagel IW</v>
          </cell>
        </row>
        <row r="184">
          <cell r="A184">
            <v>78771</v>
          </cell>
          <cell r="B184" t="str">
            <v>Tony's® SmartPizza® 4x6 Sausage\TVP Pizza 100% Mozz</v>
          </cell>
        </row>
        <row r="185">
          <cell r="A185">
            <v>78783</v>
          </cell>
          <cell r="B185" t="str">
            <v>Tony's® Outer Stuff Cheese Stuffed Crust Pan Pizza - Cheese with Pan Mates®</v>
          </cell>
        </row>
        <row r="186">
          <cell r="A186">
            <v>78784</v>
          </cell>
          <cell r="B186" t="str">
            <v>Tony's® Outer Stuff Cheese Stuffed Crust Pan Pizza - Pepperoni with Pan Mates®</v>
          </cell>
        </row>
        <row r="187">
          <cell r="A187">
            <v>78794</v>
          </cell>
          <cell r="B187" t="str">
            <v>Red Baron® 7" Cheese Stuffed Crust Pizza 50/50 Cheese</v>
          </cell>
        </row>
        <row r="188">
          <cell r="A188">
            <v>78795</v>
          </cell>
          <cell r="B188" t="str">
            <v>Red Baron® 7" Cheese Stuffed Crust Pizza w/Pepperoni</v>
          </cell>
        </row>
        <row r="189">
          <cell r="A189">
            <v>78803</v>
          </cell>
          <cell r="B189" t="str">
            <v>Tony's® SmartPizza® 5" Crispy Crust Cheese Pizza</v>
          </cell>
        </row>
        <row r="190">
          <cell r="A190">
            <v>78804</v>
          </cell>
          <cell r="B190" t="str">
            <v>Tony's® 5" Crispy Crust Pepperoni Pizza</v>
          </cell>
        </row>
        <row r="191">
          <cell r="A191">
            <v>78817</v>
          </cell>
          <cell r="B191" t="str">
            <v>Tony's® 4x6 Cheese 100% Mozz IW</v>
          </cell>
        </row>
        <row r="192">
          <cell r="A192">
            <v>78818</v>
          </cell>
          <cell r="B192" t="str">
            <v>Tony's® 4x6 Pepperoni 100% Mozz IW</v>
          </cell>
        </row>
        <row r="193">
          <cell r="A193">
            <v>78822</v>
          </cell>
          <cell r="B193" t="str">
            <v>Tony's® French Bread Sausage 50/50 Mozz/sub Mozz</v>
          </cell>
        </row>
        <row r="194">
          <cell r="A194">
            <v>78906</v>
          </cell>
          <cell r="B194" t="str">
            <v>Tony's® SmartPizza™ Classic Wedge Whole Grain Cheese Pizza 50/50</v>
          </cell>
        </row>
        <row r="195">
          <cell r="A195">
            <v>78907</v>
          </cell>
          <cell r="B195" t="str">
            <v>Tony's® SmartPizza® Classic Wedge Whole Grain Pepperoni Pizza 50/50</v>
          </cell>
        </row>
        <row r="196">
          <cell r="A196">
            <v>78908</v>
          </cell>
          <cell r="B196" t="str">
            <v>Tony's® SmartPizza™ Wedge with Sausage</v>
          </cell>
        </row>
        <row r="197">
          <cell r="A197">
            <v>78909</v>
          </cell>
          <cell r="B197" t="str">
            <v>Tony's® SmartPizza™ Classic Wedge with Whole Grain, Cheese, 100% Mozz</v>
          </cell>
        </row>
        <row r="198">
          <cell r="A198">
            <v>78910</v>
          </cell>
          <cell r="B198" t="str">
            <v>Tony's® SmartPizza® Classic Wedge with Whole Grain, Pepperoni, 100% Mozz</v>
          </cell>
        </row>
        <row r="199">
          <cell r="A199">
            <v>78913</v>
          </cell>
          <cell r="B199" t="str">
            <v>Freschetta® FlatBread 6" 3 Meat Italian Sandwich 48ct</v>
          </cell>
        </row>
        <row r="200">
          <cell r="A200">
            <v>78914</v>
          </cell>
          <cell r="B200" t="str">
            <v>Freschetta® FlatBread Buffalo Chicken Flatbread Sandwich 6" 6" Buffalo Chicken Sandwich</v>
          </cell>
        </row>
        <row r="201">
          <cell r="A201">
            <v>78926</v>
          </cell>
          <cell r="B201" t="str">
            <v>Big Daddy's® LS 51% Whole Grain 16" Rolled Edge Cheese Pizza CN</v>
          </cell>
        </row>
        <row r="202">
          <cell r="A202">
            <v>78927</v>
          </cell>
          <cell r="B202" t="str">
            <v>Big Daddy's® LS Whole Grain Pizza w/ Turkey &amp; Beef Pepperoni CN</v>
          </cell>
        </row>
        <row r="203">
          <cell r="A203">
            <v>78942</v>
          </cell>
          <cell r="B203" t="str">
            <v>Big Daddy's® Harvest(TM) 16" Rolled Edge Cheese Pizza</v>
          </cell>
        </row>
        <row r="204">
          <cell r="A204">
            <v>78943</v>
          </cell>
          <cell r="B204" t="str">
            <v>Big Daddy's® Harvest(TM) 16" Rolled Edge Pepperoni Pizza</v>
          </cell>
        </row>
        <row r="205">
          <cell r="A205">
            <v>78944</v>
          </cell>
          <cell r="B205" t="str">
            <v>Big Daddy's® Harvest(TM) 16" Rolled Edge Pre-Sliced Cheese Pizza</v>
          </cell>
        </row>
        <row r="206">
          <cell r="A206">
            <v>78945</v>
          </cell>
          <cell r="B206" t="str">
            <v>Big Daddy's® Harvest(TM) 16" Rolled Edge Pre-Sliced Pepperoni Pizza</v>
          </cell>
        </row>
        <row r="207">
          <cell r="A207">
            <v>78985</v>
          </cell>
          <cell r="B207" t="str">
            <v>Big Daddy's® Original(TM) Bold 16" Rolled Edge Cheese Pizza</v>
          </cell>
        </row>
        <row r="208">
          <cell r="A208">
            <v>78986</v>
          </cell>
          <cell r="B208" t="str">
            <v>Big Daddy's® Original(TM) Bold 16" Rolled Edge Pepperoni Pizza</v>
          </cell>
        </row>
        <row r="209">
          <cell r="A209">
            <v>78987</v>
          </cell>
          <cell r="B209" t="str">
            <v>Big Daddy's® Bold 16" Rolled Edge Pre-Sliced (10-cut) Cheese Pizza - CN</v>
          </cell>
        </row>
        <row r="210">
          <cell r="A210">
            <v>78992</v>
          </cell>
          <cell r="B210" t="str">
            <v>Big Daddy's® Pre-Sliced LS Whole Grain Cheese Pizza CN</v>
          </cell>
        </row>
        <row r="211">
          <cell r="A211">
            <v>78993</v>
          </cell>
          <cell r="B211" t="str">
            <v>Big Daddy's® Pre-Sliced Whole Grain Pizza w/ Turkey &amp; Beef Pepperoni</v>
          </cell>
        </row>
        <row r="212">
          <cell r="A212">
            <v>78995</v>
          </cell>
          <cell r="B212" t="str">
            <v>Big Daddy's(TM) Cheese Flatbread Sandwich</v>
          </cell>
        </row>
        <row r="213">
          <cell r="A213">
            <v>78996</v>
          </cell>
          <cell r="B213" t="str">
            <v>Big Daddy's(TM) Southwestern Chicken Flatbread</v>
          </cell>
        </row>
        <row r="214">
          <cell r="A214">
            <v>78997</v>
          </cell>
          <cell r="B214" t="str">
            <v>Big Daddy's(TM) BBQ Chicken Flatbread</v>
          </cell>
        </row>
        <row r="215">
          <cell r="A215">
            <v>78998</v>
          </cell>
          <cell r="B215" t="str">
            <v>Big Daddy's® 16" Bold Pepperoni Pre-Sliced Pizza-CN</v>
          </cell>
        </row>
        <row r="216">
          <cell r="A216">
            <v>88005</v>
          </cell>
          <cell r="B216" t="str">
            <v>Coyote Grill® Quesadilla Chicken 100% Cheese</v>
          </cell>
        </row>
        <row r="217">
          <cell r="A217">
            <v>88007</v>
          </cell>
          <cell r="B217" t="str">
            <v>Coyote Grill® Quesadilla Cheese 100% Mozzarella</v>
          </cell>
        </row>
        <row r="218">
          <cell r="A218" t="str">
            <v>Product Code and Description</v>
          </cell>
          <cell r="B218">
            <v>0</v>
          </cell>
        </row>
        <row r="219">
          <cell r="A219">
            <v>0</v>
          </cell>
          <cell r="B219">
            <v>0</v>
          </cell>
        </row>
        <row r="220">
          <cell r="A220" t="str">
            <v>69063 Sweet &amp; Sour Chicken Stir Fry</v>
          </cell>
          <cell r="B220">
            <v>0</v>
          </cell>
        </row>
        <row r="221">
          <cell r="A221" t="str">
            <v>69064 Teriyaki Chicken Stir Fry</v>
          </cell>
          <cell r="B221">
            <v>0</v>
          </cell>
        </row>
        <row r="222">
          <cell r="A222" t="str">
            <v>69065 General TSO Chicken Stir Fry</v>
          </cell>
          <cell r="B222">
            <v>0</v>
          </cell>
        </row>
        <row r="223">
          <cell r="A223" t="str">
            <v>69066 Orange Chicken Stir Fry</v>
          </cell>
          <cell r="B223">
            <v>0</v>
          </cell>
        </row>
      </sheetData>
      <sheetData sheetId="6"/>
      <sheetData sheetId="7">
        <row r="1">
          <cell r="A1">
            <v>55208</v>
          </cell>
          <cell r="B1" t="str">
            <v>Tony's Grilled Cheese Sandwich (Bulk)</v>
          </cell>
          <cell r="C1">
            <v>25</v>
          </cell>
          <cell r="D1">
            <v>80</v>
          </cell>
          <cell r="E1">
            <v>5</v>
          </cell>
          <cell r="F1" t="str">
            <v>B077</v>
          </cell>
          <cell r="G1" t="str">
            <v>100042/110244</v>
          </cell>
          <cell r="H1" t="str">
            <v>CHEESE MOZZ LM PART SKIM
UNFZ PROCESSR PK</v>
          </cell>
          <cell r="I1">
            <v>10</v>
          </cell>
        </row>
        <row r="2">
          <cell r="A2">
            <v>55220</v>
          </cell>
          <cell r="B2" t="str">
            <v>Tony's Whole Grain 1.5 oz Grilled Cheese</v>
          </cell>
          <cell r="C2">
            <v>16.34</v>
          </cell>
          <cell r="D2">
            <v>72</v>
          </cell>
          <cell r="E2">
            <v>3.63</v>
          </cell>
          <cell r="F2" t="str">
            <v>B077</v>
          </cell>
          <cell r="G2" t="str">
            <v>100042/110244</v>
          </cell>
          <cell r="H2" t="str">
            <v>CHEESE MOZZ LM PART SKIM
UNFZ PROCESSR PK</v>
          </cell>
          <cell r="I2">
            <v>3.38</v>
          </cell>
        </row>
        <row r="3">
          <cell r="A3">
            <v>55221</v>
          </cell>
          <cell r="B3" t="str">
            <v>Tony's Whole Grain 1.5 oz Grilled Cheese Am Style</v>
          </cell>
          <cell r="C3">
            <v>16.34</v>
          </cell>
          <cell r="D3">
            <v>72</v>
          </cell>
          <cell r="E3">
            <v>3.63</v>
          </cell>
          <cell r="F3" t="str">
            <v>B077</v>
          </cell>
          <cell r="G3" t="str">
            <v>100042/110244</v>
          </cell>
          <cell r="H3" t="str">
            <v>CHEESE MOZZ LM PART SKIM
UNFZ PROCESSR PK</v>
          </cell>
          <cell r="I3">
            <v>2.97</v>
          </cell>
        </row>
        <row r="4">
          <cell r="A4">
            <v>55222</v>
          </cell>
          <cell r="B4" t="str">
            <v>SFS TN Whole Grain  Grilled Cheese (ARAMARK)</v>
          </cell>
          <cell r="C4">
            <v>19.350000000000001</v>
          </cell>
          <cell r="D4">
            <v>72</v>
          </cell>
          <cell r="E4">
            <v>4.3</v>
          </cell>
          <cell r="F4" t="str">
            <v>B077</v>
          </cell>
          <cell r="G4" t="str">
            <v>100042/110244</v>
          </cell>
          <cell r="H4" t="str">
            <v>CHEESE MOZZ LM PART SKIM
UNFZ PROCESSR PK</v>
          </cell>
          <cell r="I4">
            <v>3.96</v>
          </cell>
        </row>
        <row r="5">
          <cell r="A5">
            <v>55223</v>
          </cell>
          <cell r="B5" t="str">
            <v>Tony's Whole Grain Spicy Grilled Cheese (Aramark)approved need to set up BOM</v>
          </cell>
          <cell r="C5">
            <v>12.9</v>
          </cell>
          <cell r="D5">
            <v>48</v>
          </cell>
          <cell r="E5">
            <v>4.3</v>
          </cell>
          <cell r="F5" t="str">
            <v>B077</v>
          </cell>
          <cell r="G5" t="str">
            <v>100042/110244</v>
          </cell>
          <cell r="H5" t="str">
            <v>CHEESE MOZZ LM PART SKIM
UNFZ PROCESSR PK</v>
          </cell>
          <cell r="I5">
            <v>3</v>
          </cell>
        </row>
        <row r="6">
          <cell r="A6">
            <v>55224</v>
          </cell>
          <cell r="B6" t="str">
            <v>Tony's Whole Grain Grilled Chs Sand Bulk</v>
          </cell>
          <cell r="C6">
            <v>12.9</v>
          </cell>
          <cell r="D6">
            <v>48</v>
          </cell>
          <cell r="E6">
            <v>4.3</v>
          </cell>
          <cell r="F6" t="str">
            <v>B077</v>
          </cell>
          <cell r="G6" t="str">
            <v>100042/110244</v>
          </cell>
          <cell r="H6" t="str">
            <v>CHEESE MOZZ LM PART SKIM
UNFZ PROCESSR PK</v>
          </cell>
          <cell r="I6">
            <v>3</v>
          </cell>
        </row>
        <row r="7">
          <cell r="A7">
            <v>55225</v>
          </cell>
          <cell r="B7" t="str">
            <v>Tony's Whole Grain Cheese Sandwich IW</v>
          </cell>
          <cell r="C7">
            <v>12.9</v>
          </cell>
          <cell r="D7">
            <v>48</v>
          </cell>
          <cell r="E7">
            <v>4.3</v>
          </cell>
          <cell r="F7" t="str">
            <v>B077</v>
          </cell>
          <cell r="G7" t="str">
            <v>100042/110244</v>
          </cell>
          <cell r="H7" t="str">
            <v>CHEESE MOZZ LM PART SKIM
UNFZ PROCESSR PK</v>
          </cell>
          <cell r="I7">
            <v>3</v>
          </cell>
        </row>
        <row r="8">
          <cell r="A8">
            <v>62009</v>
          </cell>
          <cell r="B8" t="str">
            <v>Chili &amp; Cheese Quesadilla</v>
          </cell>
          <cell r="C8">
            <v>26.4</v>
          </cell>
          <cell r="D8">
            <v>96</v>
          </cell>
          <cell r="E8">
            <v>4.4000000000000004</v>
          </cell>
          <cell r="F8" t="str">
            <v>B077</v>
          </cell>
          <cell r="G8" t="str">
            <v>100042/110244</v>
          </cell>
          <cell r="H8" t="str">
            <v>CHEESE MOZZ LM PART SKIM
UNFZ PROCESSR PK</v>
          </cell>
          <cell r="I8">
            <v>6</v>
          </cell>
        </row>
        <row r="9">
          <cell r="A9">
            <v>62050</v>
          </cell>
          <cell r="B9" t="str">
            <v>Beef Fiestada</v>
          </cell>
          <cell r="C9">
            <v>31.8</v>
          </cell>
          <cell r="D9">
            <v>96</v>
          </cell>
          <cell r="E9">
            <v>5.3</v>
          </cell>
          <cell r="F9" t="str">
            <v>B077</v>
          </cell>
          <cell r="G9" t="str">
            <v>100042/110244</v>
          </cell>
          <cell r="H9" t="str">
            <v>CHEESE MOZZ LM PART SKIM
UNFZ PROCESSR PK</v>
          </cell>
          <cell r="I9">
            <v>2.1</v>
          </cell>
        </row>
        <row r="10">
          <cell r="A10">
            <v>63088</v>
          </cell>
          <cell r="B10" t="str">
            <v>Tony's Cheese/Sub Cheese 5" DD Pizza</v>
          </cell>
          <cell r="C10">
            <v>18.75</v>
          </cell>
          <cell r="D10">
            <v>60</v>
          </cell>
          <cell r="E10">
            <v>5</v>
          </cell>
          <cell r="F10" t="str">
            <v>B077</v>
          </cell>
          <cell r="G10" t="str">
            <v>100042/110244</v>
          </cell>
          <cell r="H10" t="str">
            <v>CHEESE MOZZ LM PART SKIM
UNFZ PROCESSR PK</v>
          </cell>
          <cell r="I10">
            <v>2.34</v>
          </cell>
        </row>
        <row r="11">
          <cell r="A11">
            <v>63091</v>
          </cell>
          <cell r="B11" t="str">
            <v>Tony's Deluxe 5" DD Pizza/IW</v>
          </cell>
          <cell r="C11">
            <v>19.91</v>
          </cell>
          <cell r="D11">
            <v>60</v>
          </cell>
          <cell r="E11">
            <v>5.31</v>
          </cell>
          <cell r="F11" t="str">
            <v>B077</v>
          </cell>
          <cell r="G11" t="str">
            <v>100042/110244</v>
          </cell>
          <cell r="H11" t="str">
            <v>CHEESE MOZZ LM PART SKIM
UNFZ PROCESSR PK</v>
          </cell>
          <cell r="I11">
            <v>1.97</v>
          </cell>
        </row>
        <row r="12">
          <cell r="A12">
            <v>63164</v>
          </cell>
          <cell r="B12" t="str">
            <v>Tony's Breakfast Sq Sausage &amp; Gravy</v>
          </cell>
          <cell r="C12">
            <v>24</v>
          </cell>
          <cell r="D12">
            <v>128</v>
          </cell>
          <cell r="E12">
            <v>3</v>
          </cell>
          <cell r="F12" t="str">
            <v>B077</v>
          </cell>
          <cell r="G12" t="str">
            <v>100042/110244</v>
          </cell>
          <cell r="H12" t="str">
            <v>CHEESE MOZZ LM PART SKIM
UNFZ PROCESSR PK</v>
          </cell>
          <cell r="I12">
            <v>2.36</v>
          </cell>
        </row>
        <row r="13">
          <cell r="A13">
            <v>63266</v>
          </cell>
          <cell r="B13" t="str">
            <v>3.2x5 Pepperoni Pizza</v>
          </cell>
          <cell r="C13">
            <v>30.31</v>
          </cell>
          <cell r="D13">
            <v>100</v>
          </cell>
          <cell r="E13">
            <v>4.8499999999999996</v>
          </cell>
          <cell r="F13" t="str">
            <v>B077</v>
          </cell>
          <cell r="G13" t="str">
            <v>100042/110244</v>
          </cell>
          <cell r="H13" t="str">
            <v>CHEESE MOZZ LM PART SKIM
UNFZ PROCESSR PK</v>
          </cell>
          <cell r="I13">
            <v>9.56</v>
          </cell>
        </row>
        <row r="14">
          <cell r="A14">
            <v>63276</v>
          </cell>
          <cell r="B14" t="str">
            <v>Red Baron 3x5 Cheese Pizza</v>
          </cell>
          <cell r="C14">
            <v>12.19</v>
          </cell>
          <cell r="D14">
            <v>60</v>
          </cell>
          <cell r="E14">
            <v>3.25</v>
          </cell>
          <cell r="F14" t="str">
            <v>B077</v>
          </cell>
          <cell r="G14" t="str">
            <v>100042/110244</v>
          </cell>
          <cell r="H14" t="str">
            <v>CHEESE MOZZ LM PART SKIM
UNFZ PROCESSR PK</v>
          </cell>
          <cell r="I14">
            <v>3.75</v>
          </cell>
        </row>
        <row r="15">
          <cell r="A15">
            <v>63490</v>
          </cell>
          <cell r="B15" t="str">
            <v>Tony's Thin Crust 4 x 6 Sausage Pizza</v>
          </cell>
          <cell r="C15">
            <v>27.35</v>
          </cell>
          <cell r="D15">
            <v>96</v>
          </cell>
          <cell r="E15">
            <v>4.5599999999999996</v>
          </cell>
          <cell r="F15" t="str">
            <v>B077</v>
          </cell>
          <cell r="G15" t="str">
            <v>100042/110244</v>
          </cell>
          <cell r="H15" t="str">
            <v>CHEESE MOZZ LM PART SKIM
UNFZ PROCESSR PK</v>
          </cell>
          <cell r="I15">
            <v>2.52</v>
          </cell>
        </row>
        <row r="16">
          <cell r="A16">
            <v>63494</v>
          </cell>
          <cell r="B16" t="str">
            <v>4x6 Pepperoni 50/50</v>
          </cell>
          <cell r="C16">
            <v>25.45</v>
          </cell>
          <cell r="D16">
            <v>96</v>
          </cell>
          <cell r="E16">
            <v>4.24</v>
          </cell>
          <cell r="F16" t="str">
            <v>B077</v>
          </cell>
          <cell r="G16" t="str">
            <v>100042/110244</v>
          </cell>
          <cell r="H16" t="str">
            <v>CHEESE MOZZ LM PART SKIM
UNFZ PROCESSR PK</v>
          </cell>
          <cell r="I16">
            <v>2.0099999999999998</v>
          </cell>
        </row>
        <row r="17">
          <cell r="A17">
            <v>63495</v>
          </cell>
          <cell r="B17" t="str">
            <v>4x6 Pepperoni</v>
          </cell>
          <cell r="C17">
            <v>26.58</v>
          </cell>
          <cell r="D17">
            <v>96</v>
          </cell>
          <cell r="E17">
            <v>4.43</v>
          </cell>
          <cell r="F17" t="str">
            <v>B077</v>
          </cell>
          <cell r="G17" t="str">
            <v>100042/110244</v>
          </cell>
          <cell r="H17" t="str">
            <v>CHEESE MOZZ LM PART SKIM
UNFZ PROCESSR PK</v>
          </cell>
          <cell r="I17">
            <v>5.88</v>
          </cell>
        </row>
        <row r="18">
          <cell r="A18">
            <v>63496</v>
          </cell>
          <cell r="B18" t="str">
            <v>4x6 Cheese Pizza</v>
          </cell>
          <cell r="C18">
            <v>24.4</v>
          </cell>
          <cell r="D18">
            <v>96</v>
          </cell>
          <cell r="E18">
            <v>4.07</v>
          </cell>
          <cell r="F18" t="str">
            <v>B077</v>
          </cell>
          <cell r="G18" t="str">
            <v>100042/110244</v>
          </cell>
          <cell r="H18" t="str">
            <v>CHEESE MOZZ LM PART SKIM
UNFZ PROCESSR PK</v>
          </cell>
          <cell r="I18">
            <v>6.12</v>
          </cell>
        </row>
        <row r="19">
          <cell r="A19">
            <v>63500</v>
          </cell>
          <cell r="B19" t="str">
            <v>Tony's Wedge Pizza Cheese</v>
          </cell>
          <cell r="C19">
            <v>28.14</v>
          </cell>
          <cell r="D19">
            <v>96</v>
          </cell>
          <cell r="E19">
            <v>4.6900000000000004</v>
          </cell>
          <cell r="F19" t="str">
            <v>B077</v>
          </cell>
          <cell r="G19" t="str">
            <v>100042/110244</v>
          </cell>
          <cell r="H19" t="str">
            <v>CHEESE MOZZ LM PART SKIM
UNFZ PROCESSR PK</v>
          </cell>
          <cell r="I19">
            <v>9</v>
          </cell>
        </row>
        <row r="20">
          <cell r="A20">
            <v>63501</v>
          </cell>
          <cell r="B20" t="str">
            <v>4x6 Thick Crust Cheese Pizza</v>
          </cell>
          <cell r="C20">
            <v>33.119999999999997</v>
          </cell>
          <cell r="D20">
            <v>96</v>
          </cell>
          <cell r="E20">
            <v>5.52</v>
          </cell>
          <cell r="F20" t="str">
            <v>B077</v>
          </cell>
          <cell r="G20" t="str">
            <v>100042/110244</v>
          </cell>
          <cell r="H20" t="str">
            <v>CHEESE MOZZ LM PART SKIM
UNFZ PROCESSR PK</v>
          </cell>
          <cell r="I20">
            <v>9</v>
          </cell>
        </row>
        <row r="21">
          <cell r="A21">
            <v>63510</v>
          </cell>
          <cell r="B21" t="str">
            <v>Tony's 4x6 Thick Crust Cheese 100% 2 oz</v>
          </cell>
          <cell r="C21">
            <v>32.4</v>
          </cell>
          <cell r="D21">
            <v>96</v>
          </cell>
          <cell r="E21">
            <v>5.4</v>
          </cell>
          <cell r="F21" t="str">
            <v>B077</v>
          </cell>
          <cell r="G21" t="str">
            <v>100042/110244</v>
          </cell>
          <cell r="H21" t="str">
            <v>CHEESE MOZZ LM PART SKIM
UNFZ PROCESSR PK</v>
          </cell>
          <cell r="I21">
            <v>12</v>
          </cell>
        </row>
        <row r="22">
          <cell r="A22">
            <v>63511</v>
          </cell>
          <cell r="B22" t="str">
            <v>Tony's Thick Crust Pepp 100%</v>
          </cell>
          <cell r="C22">
            <v>32.520000000000003</v>
          </cell>
          <cell r="D22">
            <v>96</v>
          </cell>
          <cell r="E22">
            <v>5.42</v>
          </cell>
          <cell r="F22" t="str">
            <v>B077</v>
          </cell>
          <cell r="G22" t="str">
            <v>100042/110244</v>
          </cell>
          <cell r="H22" t="str">
            <v>CHEESE MOZZ LM PART SKIM
UNFZ PROCESSR PK</v>
          </cell>
          <cell r="I22">
            <v>8.82</v>
          </cell>
        </row>
        <row r="23">
          <cell r="A23">
            <v>63516</v>
          </cell>
          <cell r="B23" t="str">
            <v>Tony's 4x6 Thick Crust Cheese 50/50 2 oz</v>
          </cell>
          <cell r="C23">
            <v>32.4</v>
          </cell>
          <cell r="D23">
            <v>96</v>
          </cell>
          <cell r="E23">
            <v>5.4</v>
          </cell>
          <cell r="F23" t="str">
            <v>B077</v>
          </cell>
          <cell r="G23" t="str">
            <v>100042/110244</v>
          </cell>
          <cell r="H23" t="str">
            <v>CHEESE MOZZ LM PART SKIM
UNFZ PROCESSR PK</v>
          </cell>
          <cell r="I23">
            <v>6</v>
          </cell>
        </row>
        <row r="24">
          <cell r="A24">
            <v>63519</v>
          </cell>
          <cell r="B24" t="str">
            <v>Tony's 5" Pizza Bulk Cheese</v>
          </cell>
          <cell r="C24">
            <v>18.559999999999999</v>
          </cell>
          <cell r="D24">
            <v>54</v>
          </cell>
          <cell r="E24">
            <v>5.5</v>
          </cell>
          <cell r="F24" t="str">
            <v>B077</v>
          </cell>
          <cell r="G24" t="str">
            <v>100042/110244</v>
          </cell>
          <cell r="H24" t="str">
            <v>CHEESE MOZZ LM PART SKIM
UNFZ PROCESSR PK</v>
          </cell>
          <cell r="I24">
            <v>3.78</v>
          </cell>
        </row>
        <row r="25">
          <cell r="A25">
            <v>63520</v>
          </cell>
          <cell r="B25" t="str">
            <v>Tony's 5" Pizza Bulk Peppeorni</v>
          </cell>
          <cell r="C25">
            <v>21.09</v>
          </cell>
          <cell r="D25">
            <v>54</v>
          </cell>
          <cell r="E25">
            <v>6.25</v>
          </cell>
          <cell r="F25" t="str">
            <v>B077</v>
          </cell>
          <cell r="G25" t="str">
            <v>100042/110244</v>
          </cell>
          <cell r="H25" t="str">
            <v>CHEESE MOZZ LM PART SKIM
UNFZ PROCESSR PK</v>
          </cell>
          <cell r="I25">
            <v>0.36</v>
          </cell>
        </row>
        <row r="26">
          <cell r="A26">
            <v>63564</v>
          </cell>
          <cell r="B26" t="str">
            <v>Tony's Breakfast Sq Bacon Scramble</v>
          </cell>
          <cell r="C26">
            <v>23.52</v>
          </cell>
          <cell r="D26">
            <v>128</v>
          </cell>
          <cell r="E26">
            <v>2.94</v>
          </cell>
          <cell r="F26" t="str">
            <v>B077</v>
          </cell>
          <cell r="G26" t="str">
            <v>100042/110244</v>
          </cell>
          <cell r="H26" t="str">
            <v>CHEESE MOZZ LM PART SKIM
UNFZ PROCESSR PK</v>
          </cell>
          <cell r="I26">
            <v>5.2</v>
          </cell>
        </row>
        <row r="27">
          <cell r="A27">
            <v>63570</v>
          </cell>
          <cell r="B27" t="str">
            <v>Sausage &amp; TVP Pizza</v>
          </cell>
          <cell r="C27">
            <v>27.06</v>
          </cell>
          <cell r="D27">
            <v>96</v>
          </cell>
          <cell r="E27">
            <v>4.51</v>
          </cell>
          <cell r="F27" t="str">
            <v>B077</v>
          </cell>
          <cell r="G27" t="str">
            <v>100042/110244</v>
          </cell>
          <cell r="H27" t="str">
            <v>CHEESE MOZZ LM PART SKIM
UNFZ PROCESSR PK</v>
          </cell>
          <cell r="I27">
            <v>6.36</v>
          </cell>
        </row>
        <row r="28">
          <cell r="A28">
            <v>63572</v>
          </cell>
          <cell r="B28" t="str">
            <v>4x6 Cheese Pizza</v>
          </cell>
          <cell r="C28">
            <v>26.58</v>
          </cell>
          <cell r="D28">
            <v>96</v>
          </cell>
          <cell r="E28">
            <v>4.43</v>
          </cell>
          <cell r="F28" t="str">
            <v>B077</v>
          </cell>
          <cell r="G28" t="str">
            <v>100042/110244</v>
          </cell>
          <cell r="H28" t="str">
            <v>CHEESE MOZZ LM PART SKIM
UNFZ PROCESSR PK</v>
          </cell>
          <cell r="I28">
            <v>8.2799999999999994</v>
          </cell>
        </row>
        <row r="29">
          <cell r="A29">
            <v>63582</v>
          </cell>
          <cell r="B29" t="str">
            <v>Red Baron Premio 6.5" 4 Cheese</v>
          </cell>
          <cell r="C29">
            <v>20.76</v>
          </cell>
          <cell r="D29">
            <v>54</v>
          </cell>
          <cell r="E29">
            <v>6.15</v>
          </cell>
          <cell r="F29" t="str">
            <v>B077</v>
          </cell>
          <cell r="G29" t="str">
            <v>100042/110244</v>
          </cell>
          <cell r="H29" t="str">
            <v>CHEESE MOZZ LM PART SKIM
UNFZ PROCESSR PK</v>
          </cell>
          <cell r="I29">
            <v>2.85</v>
          </cell>
        </row>
        <row r="30">
          <cell r="A30">
            <v>63584</v>
          </cell>
          <cell r="B30" t="str">
            <v>Red Baron Personal Round 6.5"</v>
          </cell>
          <cell r="C30">
            <v>20.76</v>
          </cell>
          <cell r="D30">
            <v>54</v>
          </cell>
          <cell r="E30">
            <v>6.15</v>
          </cell>
          <cell r="F30" t="str">
            <v>B077</v>
          </cell>
          <cell r="G30" t="str">
            <v>100042/110244</v>
          </cell>
          <cell r="H30" t="str">
            <v>CHEESE MOZZ LM PART SKIM
UNFZ PROCESSR PK</v>
          </cell>
          <cell r="I30">
            <v>1.1599999999999999</v>
          </cell>
        </row>
        <row r="31">
          <cell r="A31">
            <v>63624</v>
          </cell>
          <cell r="B31" t="str">
            <v>Tony's Wedge Pepp. (CN) 100% Mozz</v>
          </cell>
          <cell r="C31">
            <v>27.48</v>
          </cell>
          <cell r="D31">
            <v>96</v>
          </cell>
          <cell r="E31">
            <v>4.58</v>
          </cell>
          <cell r="F31" t="str">
            <v>B077</v>
          </cell>
          <cell r="G31" t="str">
            <v>100042/110244</v>
          </cell>
          <cell r="H31" t="str">
            <v>CHEESE MOZZ LM PART SKIM
UNFZ PROCESSR PK</v>
          </cell>
          <cell r="I31">
            <v>5.94</v>
          </cell>
        </row>
        <row r="32">
          <cell r="A32">
            <v>63743</v>
          </cell>
          <cell r="B32" t="str">
            <v>Tony's SmartPizza Cheese/Sub Cheese Pizza</v>
          </cell>
          <cell r="C32">
            <v>33.18</v>
          </cell>
          <cell r="D32">
            <v>96</v>
          </cell>
          <cell r="E32">
            <v>5.53</v>
          </cell>
          <cell r="F32" t="str">
            <v>B077</v>
          </cell>
          <cell r="G32" t="str">
            <v>100042/110244</v>
          </cell>
          <cell r="H32" t="str">
            <v>CHEESE MOZZ LM PART SKIM
UNFZ PROCESSR PK</v>
          </cell>
          <cell r="I32">
            <v>4.5</v>
          </cell>
        </row>
        <row r="33">
          <cell r="A33">
            <v>63748</v>
          </cell>
          <cell r="B33" t="str">
            <v>Tony's SmartPizza Chs/Sub Chs Red Fat Pepp</v>
          </cell>
          <cell r="C33">
            <v>33.72</v>
          </cell>
          <cell r="D33">
            <v>96</v>
          </cell>
          <cell r="E33">
            <v>5.62</v>
          </cell>
          <cell r="F33" t="str">
            <v>B077</v>
          </cell>
          <cell r="G33" t="str">
            <v>100042/110244</v>
          </cell>
          <cell r="H33" t="str">
            <v>CHEESE MOZZ LM PART SKIM
UNFZ PROCESSR PK</v>
          </cell>
          <cell r="I33">
            <v>3.9</v>
          </cell>
        </row>
        <row r="34">
          <cell r="A34">
            <v>63835</v>
          </cell>
          <cell r="B34" t="str">
            <v>Wedge Sausage &amp; TVP Pizza</v>
          </cell>
          <cell r="C34">
            <v>28.14</v>
          </cell>
          <cell r="D34">
            <v>96</v>
          </cell>
          <cell r="E34">
            <v>4.6900000000000004</v>
          </cell>
          <cell r="F34" t="str">
            <v>B077</v>
          </cell>
          <cell r="G34" t="str">
            <v>100042/110244</v>
          </cell>
          <cell r="H34" t="str">
            <v>CHEESE MOZZ LM PART SKIM
UNFZ PROCESSR PK</v>
          </cell>
          <cell r="I34">
            <v>3.3</v>
          </cell>
        </row>
        <row r="35">
          <cell r="A35">
            <v>63904</v>
          </cell>
          <cell r="B35" t="str">
            <v>3x4 Breakfast Sausage  Turkey</v>
          </cell>
          <cell r="C35">
            <v>25.6</v>
          </cell>
          <cell r="D35">
            <v>128</v>
          </cell>
          <cell r="E35">
            <v>3.2</v>
          </cell>
          <cell r="F35" t="str">
            <v>B077</v>
          </cell>
          <cell r="G35" t="str">
            <v>100042/110244</v>
          </cell>
          <cell r="H35" t="str">
            <v>CHEESE MOZZ LM PART SKIM
UNFZ PROCESSR PK</v>
          </cell>
          <cell r="I35">
            <v>2.56</v>
          </cell>
        </row>
        <row r="36">
          <cell r="A36">
            <v>63912</v>
          </cell>
          <cell r="B36" t="str">
            <v>Sausage Breakfast Pizza</v>
          </cell>
          <cell r="C36">
            <v>26.57</v>
          </cell>
          <cell r="D36">
            <v>128</v>
          </cell>
          <cell r="E36">
            <v>3.32</v>
          </cell>
          <cell r="F36" t="str">
            <v>B077</v>
          </cell>
          <cell r="G36" t="str">
            <v>100042/110244</v>
          </cell>
          <cell r="H36" t="str">
            <v>CHEESE MOZZ LM PART SKIM
UNFZ PROCESSR PK</v>
          </cell>
          <cell r="I36">
            <v>2.56</v>
          </cell>
        </row>
        <row r="37">
          <cell r="A37">
            <v>63999</v>
          </cell>
          <cell r="B37" t="str">
            <v>3.2x5 IQF Cheese 50/50</v>
          </cell>
          <cell r="C37">
            <v>30</v>
          </cell>
          <cell r="D37">
            <v>100</v>
          </cell>
          <cell r="E37">
            <v>4.8</v>
          </cell>
          <cell r="F37" t="str">
            <v>B077</v>
          </cell>
          <cell r="G37" t="str">
            <v>100042/110244</v>
          </cell>
          <cell r="H37" t="str">
            <v>CHEESE MOZZ LM PART SKIM
UNFZ PROCESSR PK</v>
          </cell>
          <cell r="I37">
            <v>6.25</v>
          </cell>
        </row>
        <row r="38">
          <cell r="A38">
            <v>66230</v>
          </cell>
          <cell r="B38" t="str">
            <v>Whole Grain Pizza Bagel Bulk</v>
          </cell>
          <cell r="C38">
            <v>26.25</v>
          </cell>
          <cell r="D38">
            <v>84</v>
          </cell>
          <cell r="E38">
            <v>5</v>
          </cell>
          <cell r="F38" t="str">
            <v>B077</v>
          </cell>
          <cell r="G38" t="str">
            <v>100042/110244</v>
          </cell>
          <cell r="H38" t="str">
            <v>CHEESE MOZZ LM PART SKIM
UNFZ PROCESSR PK</v>
          </cell>
          <cell r="I38">
            <v>7.88</v>
          </cell>
        </row>
        <row r="39">
          <cell r="A39">
            <v>66231</v>
          </cell>
          <cell r="B39" t="str">
            <v>Whole Grain Cheese Pizza Bagel Wrapped</v>
          </cell>
          <cell r="C39">
            <v>26.25</v>
          </cell>
          <cell r="D39">
            <v>84</v>
          </cell>
          <cell r="E39">
            <v>5</v>
          </cell>
          <cell r="F39" t="str">
            <v>B077</v>
          </cell>
          <cell r="G39" t="str">
            <v>100042/110244</v>
          </cell>
          <cell r="H39" t="str">
            <v>CHEESE MOZZ LM PART SKIM
UNFZ PROCESSR PK</v>
          </cell>
          <cell r="I39">
            <v>7.88</v>
          </cell>
        </row>
        <row r="40">
          <cell r="A40">
            <v>66232</v>
          </cell>
          <cell r="B40" t="str">
            <v>Whole Grain Pepp Pizza Bagel Bulk</v>
          </cell>
          <cell r="C40">
            <v>26.25</v>
          </cell>
          <cell r="D40">
            <v>84</v>
          </cell>
          <cell r="E40">
            <v>5</v>
          </cell>
          <cell r="F40" t="str">
            <v>B077</v>
          </cell>
          <cell r="G40" t="str">
            <v>100042/110244</v>
          </cell>
          <cell r="H40" t="str">
            <v>CHEESE MOZZ LM PART SKIM
UNFZ PROCESSR PK</v>
          </cell>
          <cell r="I40">
            <v>6.56</v>
          </cell>
        </row>
        <row r="41">
          <cell r="A41">
            <v>66233</v>
          </cell>
          <cell r="B41" t="str">
            <v>Whole Grain Pepp Pizza Bagel Wrapped</v>
          </cell>
          <cell r="C41">
            <v>26.25</v>
          </cell>
          <cell r="D41">
            <v>84</v>
          </cell>
          <cell r="E41">
            <v>5</v>
          </cell>
          <cell r="F41" t="str">
            <v>B077</v>
          </cell>
          <cell r="G41" t="str">
            <v>100042/110244</v>
          </cell>
          <cell r="H41" t="str">
            <v>CHEESE MOZZ LM PART SKIM
UNFZ PROCESSR PK</v>
          </cell>
          <cell r="I41">
            <v>6.56</v>
          </cell>
        </row>
        <row r="42">
          <cell r="A42">
            <v>66234</v>
          </cell>
          <cell r="B42" t="str">
            <v>Whole Grain French Bread Cheese Bulk</v>
          </cell>
          <cell r="C42">
            <v>16.88</v>
          </cell>
          <cell r="D42">
            <v>60</v>
          </cell>
          <cell r="E42">
            <v>4.5</v>
          </cell>
          <cell r="F42" t="str">
            <v>B077</v>
          </cell>
          <cell r="G42" t="str">
            <v>100042/110244</v>
          </cell>
          <cell r="H42" t="str">
            <v>CHEESE MOZZ LM PART SKIM
UNFZ PROCESSR PK</v>
          </cell>
          <cell r="I42">
            <v>5.63</v>
          </cell>
        </row>
        <row r="43">
          <cell r="A43">
            <v>66235</v>
          </cell>
          <cell r="B43" t="str">
            <v>Whole Grain French Bread Cheese Wrapped</v>
          </cell>
          <cell r="C43">
            <v>16.88</v>
          </cell>
          <cell r="D43">
            <v>60</v>
          </cell>
          <cell r="E43">
            <v>4.5</v>
          </cell>
          <cell r="F43" t="str">
            <v>B077</v>
          </cell>
          <cell r="G43" t="str">
            <v>100042/110244</v>
          </cell>
          <cell r="H43" t="str">
            <v>CHEESE MOZZ LM PART SKIM
UNFZ PROCESSR PK</v>
          </cell>
          <cell r="I43">
            <v>5.63</v>
          </cell>
        </row>
        <row r="44">
          <cell r="A44">
            <v>66236</v>
          </cell>
          <cell r="B44" t="str">
            <v>Whole Grain French Bread Pepp Bulk</v>
          </cell>
          <cell r="C44">
            <v>16.88</v>
          </cell>
          <cell r="D44">
            <v>60</v>
          </cell>
          <cell r="E44">
            <v>4.5</v>
          </cell>
          <cell r="F44" t="str">
            <v>B077</v>
          </cell>
          <cell r="G44" t="str">
            <v>100042/110244</v>
          </cell>
          <cell r="H44" t="str">
            <v>CHEESE MOZZ LM PART SKIM
UNFZ PROCESSR PK</v>
          </cell>
          <cell r="I44">
            <v>4.6900000000000004</v>
          </cell>
        </row>
        <row r="45">
          <cell r="A45">
            <v>66237</v>
          </cell>
          <cell r="B45" t="str">
            <v>Whole Grain French Bread Pepp Wrapped</v>
          </cell>
          <cell r="C45">
            <v>16.88</v>
          </cell>
          <cell r="D45">
            <v>60</v>
          </cell>
          <cell r="E45">
            <v>4.5</v>
          </cell>
          <cell r="F45" t="str">
            <v>B077</v>
          </cell>
          <cell r="G45" t="str">
            <v>100042/110244</v>
          </cell>
          <cell r="H45" t="str">
            <v>CHEESE MOZZ LM PART SKIM
UNFZ PROCESSR PK</v>
          </cell>
          <cell r="I45">
            <v>4.6900000000000004</v>
          </cell>
        </row>
        <row r="46">
          <cell r="A46">
            <v>66238</v>
          </cell>
          <cell r="B46" t="str">
            <v>Whole Grain 4x6 Cheese Pizza Bulk</v>
          </cell>
          <cell r="C46">
            <v>30</v>
          </cell>
          <cell r="D46">
            <v>96</v>
          </cell>
          <cell r="E46">
            <v>5</v>
          </cell>
          <cell r="F46" t="str">
            <v>B077</v>
          </cell>
          <cell r="G46" t="str">
            <v>100042/110244</v>
          </cell>
          <cell r="H46" t="str">
            <v>CHEESE MOZZ LM PART SKIM
UNFZ PROCESSR PK</v>
          </cell>
          <cell r="I46">
            <v>9</v>
          </cell>
        </row>
        <row r="47">
          <cell r="A47">
            <v>66239</v>
          </cell>
          <cell r="B47" t="str">
            <v>Whole Grain 4x6 Cheese Pizza Wrapped</v>
          </cell>
          <cell r="C47">
            <v>30</v>
          </cell>
          <cell r="D47">
            <v>96</v>
          </cell>
          <cell r="E47">
            <v>5</v>
          </cell>
          <cell r="F47" t="str">
            <v>B077</v>
          </cell>
          <cell r="G47" t="str">
            <v>100042/110244</v>
          </cell>
          <cell r="H47" t="str">
            <v>CHEESE MOZZ LM PART SKIM
UNFZ PROCESSR PK</v>
          </cell>
          <cell r="I47">
            <v>9</v>
          </cell>
        </row>
        <row r="48">
          <cell r="A48">
            <v>66240</v>
          </cell>
          <cell r="B48" t="str">
            <v>Whole Grain 8" Garlic Cheese Toast Bulk</v>
          </cell>
          <cell r="C48">
            <v>14.55</v>
          </cell>
          <cell r="D48">
            <v>48</v>
          </cell>
          <cell r="E48">
            <v>4.8499999999999996</v>
          </cell>
          <cell r="F48" t="str">
            <v>B077</v>
          </cell>
          <cell r="G48" t="str">
            <v>100042/110244</v>
          </cell>
          <cell r="H48" t="str">
            <v>CHEESE MOZZ LM PART SKIM
UNFZ PROCESSR PK</v>
          </cell>
          <cell r="I48">
            <v>4.5</v>
          </cell>
        </row>
        <row r="49">
          <cell r="A49">
            <v>66241</v>
          </cell>
          <cell r="B49" t="str">
            <v>Whole Grain 8" Garlic Cheese Toast Wrapped</v>
          </cell>
          <cell r="C49">
            <v>14.55</v>
          </cell>
          <cell r="D49">
            <v>48</v>
          </cell>
          <cell r="E49">
            <v>4.8499999999999996</v>
          </cell>
          <cell r="F49" t="str">
            <v>B077</v>
          </cell>
          <cell r="G49" t="str">
            <v>100042/110244</v>
          </cell>
          <cell r="H49" t="str">
            <v>CHEESE MOZZ LM PART SKIM
UNFZ PROCESSR PK</v>
          </cell>
          <cell r="I49">
            <v>4.5</v>
          </cell>
        </row>
        <row r="50">
          <cell r="A50">
            <v>66242</v>
          </cell>
          <cell r="B50" t="str">
            <v>Whole Grain 6" Garlic Cheese Toast Bulk</v>
          </cell>
          <cell r="C50">
            <v>14.06</v>
          </cell>
          <cell r="D50">
            <v>60</v>
          </cell>
          <cell r="E50">
            <v>3.75</v>
          </cell>
          <cell r="F50" t="str">
            <v>B077</v>
          </cell>
          <cell r="G50" t="str">
            <v>100042/110244</v>
          </cell>
          <cell r="H50" t="str">
            <v>CHEESE MOZZ LM PART SKIM
UNFZ PROCESSR PK</v>
          </cell>
          <cell r="I50">
            <v>5.63</v>
          </cell>
        </row>
        <row r="51">
          <cell r="A51">
            <v>66243</v>
          </cell>
          <cell r="B51" t="str">
            <v>Whole Grain 6" Garlic Cheese Toast Wrapped</v>
          </cell>
          <cell r="C51">
            <v>14.06</v>
          </cell>
          <cell r="D51">
            <v>60</v>
          </cell>
          <cell r="E51">
            <v>3.75</v>
          </cell>
          <cell r="F51" t="str">
            <v>B077</v>
          </cell>
          <cell r="G51" t="str">
            <v>100042/110244</v>
          </cell>
          <cell r="H51" t="str">
            <v>CHEESE MOZZ LM PART SKIM
UNFZ PROCESSR PK</v>
          </cell>
          <cell r="I51">
            <v>5.63</v>
          </cell>
        </row>
        <row r="52">
          <cell r="A52">
            <v>68503</v>
          </cell>
          <cell r="B52" t="str">
            <v>Tony's 3x8 Ultimate Flatbread 100% Mozz</v>
          </cell>
          <cell r="C52">
            <v>35.700000000000003</v>
          </cell>
          <cell r="D52">
            <v>96</v>
          </cell>
          <cell r="E52">
            <v>5.95</v>
          </cell>
          <cell r="F52" t="str">
            <v>B077</v>
          </cell>
          <cell r="G52" t="str">
            <v>100042/110244</v>
          </cell>
          <cell r="H52" t="str">
            <v>CHEESE MOZZ LM PART SKIM
UNFZ PROCESSR PK</v>
          </cell>
          <cell r="I52">
            <v>12</v>
          </cell>
        </row>
        <row r="53">
          <cell r="A53">
            <v>68504</v>
          </cell>
          <cell r="B53" t="str">
            <v>Tony's 3x8 Ultimate Flatbread Pepperoni</v>
          </cell>
          <cell r="C53">
            <v>35.82</v>
          </cell>
          <cell r="D53">
            <v>96</v>
          </cell>
          <cell r="E53">
            <v>5.97</v>
          </cell>
          <cell r="F53" t="str">
            <v>B077</v>
          </cell>
          <cell r="G53" t="str">
            <v>100042/110244</v>
          </cell>
          <cell r="H53" t="str">
            <v>CHEESE MOZZ LM PART SKIM
UNFZ PROCESSR PK</v>
          </cell>
          <cell r="I53">
            <v>10.5</v>
          </cell>
        </row>
        <row r="54">
          <cell r="A54">
            <v>68505</v>
          </cell>
          <cell r="B54" t="str">
            <v>Breakfast Bagel Sausage (pork)</v>
          </cell>
          <cell r="C54">
            <v>15.6</v>
          </cell>
          <cell r="D54">
            <v>96</v>
          </cell>
          <cell r="E54">
            <v>2.6</v>
          </cell>
          <cell r="F54" t="str">
            <v>B077</v>
          </cell>
          <cell r="G54" t="str">
            <v>100042/110244</v>
          </cell>
          <cell r="H54" t="str">
            <v>CHEESE MOZZ LM PART SKIM
UNFZ PROCESSR PK</v>
          </cell>
          <cell r="I54">
            <v>1.98</v>
          </cell>
        </row>
        <row r="55">
          <cell r="A55">
            <v>68509</v>
          </cell>
          <cell r="B55" t="str">
            <v>3x4 Breakfast Sausage (pork)</v>
          </cell>
          <cell r="C55">
            <v>25.6</v>
          </cell>
          <cell r="D55">
            <v>128</v>
          </cell>
          <cell r="E55">
            <v>3.2</v>
          </cell>
          <cell r="F55" t="str">
            <v>B077</v>
          </cell>
          <cell r="G55" t="str">
            <v>100042/110244</v>
          </cell>
          <cell r="H55" t="str">
            <v>CHEESE MOZZ LM PART SKIM
UNFZ PROCESSR PK</v>
          </cell>
          <cell r="I55">
            <v>2.56</v>
          </cell>
        </row>
        <row r="56">
          <cell r="A56">
            <v>68510</v>
          </cell>
          <cell r="B56" t="str">
            <v>Breakfast Sausage &amp; TVP w/creamy gravy (pork)</v>
          </cell>
          <cell r="C56">
            <v>24</v>
          </cell>
          <cell r="D56">
            <v>128</v>
          </cell>
          <cell r="E56">
            <v>3</v>
          </cell>
          <cell r="F56" t="str">
            <v>B077</v>
          </cell>
          <cell r="G56" t="str">
            <v>100042/110244</v>
          </cell>
          <cell r="H56" t="str">
            <v>CHEESE MOZZ LM PART SKIM
UNFZ PROCESSR PK</v>
          </cell>
          <cell r="I56">
            <v>2.35</v>
          </cell>
        </row>
        <row r="57">
          <cell r="A57">
            <v>68516</v>
          </cell>
          <cell r="B57" t="str">
            <v>Whole Grain Fiestada</v>
          </cell>
          <cell r="C57">
            <v>32.64</v>
          </cell>
          <cell r="D57">
            <v>96</v>
          </cell>
          <cell r="E57">
            <v>5.44</v>
          </cell>
          <cell r="F57" t="str">
            <v>B077</v>
          </cell>
          <cell r="G57" t="str">
            <v>100042/110244</v>
          </cell>
          <cell r="H57" t="str">
            <v>CHEESE MOZZ LM PART SKIM
UNFZ PROCESSR PK</v>
          </cell>
          <cell r="I57">
            <v>4.5599999999999996</v>
          </cell>
        </row>
        <row r="58">
          <cell r="A58">
            <v>68521</v>
          </cell>
          <cell r="B58" t="str">
            <v>Whole Grain Thick Crust Cheese Pizza</v>
          </cell>
          <cell r="C58">
            <v>31.34</v>
          </cell>
          <cell r="D58">
            <v>96</v>
          </cell>
          <cell r="E58">
            <v>5.22</v>
          </cell>
          <cell r="F58" t="str">
            <v>B077</v>
          </cell>
          <cell r="G58" t="str">
            <v>100042/110244</v>
          </cell>
          <cell r="H58" t="str">
            <v>CHEESE MOZZ LM PART SKIM
UNFZ PROCESSR PK</v>
          </cell>
          <cell r="I58">
            <v>12</v>
          </cell>
        </row>
        <row r="59">
          <cell r="A59">
            <v>68533</v>
          </cell>
          <cell r="B59" t="str">
            <v>Gluten Free 5" Cheese Pizza</v>
          </cell>
          <cell r="C59">
            <v>7.88</v>
          </cell>
          <cell r="D59">
            <v>24</v>
          </cell>
          <cell r="E59">
            <v>5.25</v>
          </cell>
          <cell r="F59" t="str">
            <v>B077</v>
          </cell>
          <cell r="G59" t="str">
            <v>100042/110244</v>
          </cell>
          <cell r="H59" t="str">
            <v>CHEESE MOZZ LM PART SKIM
UNFZ PROCESSR PK</v>
          </cell>
          <cell r="I59">
            <v>2.25</v>
          </cell>
        </row>
        <row r="60">
          <cell r="A60">
            <v>68543</v>
          </cell>
          <cell r="B60" t="str">
            <v>Big Daddy's WG 16" Cheese 2 BC</v>
          </cell>
          <cell r="C60">
            <v>22.24</v>
          </cell>
          <cell r="D60">
            <v>72</v>
          </cell>
          <cell r="E60">
            <v>4.9400000000000004</v>
          </cell>
          <cell r="F60" t="str">
            <v>B077</v>
          </cell>
          <cell r="G60" t="str">
            <v>100042/110244</v>
          </cell>
          <cell r="H60" t="str">
            <v>CHEESE MOZZ LM PART SKIM
UNFZ PROCESSR PK</v>
          </cell>
          <cell r="I60">
            <v>6.86</v>
          </cell>
        </row>
        <row r="61">
          <cell r="A61">
            <v>68544</v>
          </cell>
          <cell r="B61" t="str">
            <v>Big Daddy's WG 16" RE Pepp 2 BC</v>
          </cell>
          <cell r="C61">
            <v>22.46</v>
          </cell>
          <cell r="D61">
            <v>72</v>
          </cell>
          <cell r="E61">
            <v>4.99</v>
          </cell>
          <cell r="F61" t="str">
            <v>B077</v>
          </cell>
          <cell r="G61" t="str">
            <v>100042/110244</v>
          </cell>
          <cell r="H61" t="str">
            <v>CHEESE MOZZ LM PART SKIM
UNFZ PROCESSR PK</v>
          </cell>
          <cell r="I61">
            <v>5.96</v>
          </cell>
        </row>
        <row r="62">
          <cell r="A62">
            <v>68563</v>
          </cell>
          <cell r="B62" t="str">
            <v>TN Cheese 5% WG Flatbread-Bulk</v>
          </cell>
          <cell r="C62">
            <v>27.02</v>
          </cell>
          <cell r="D62">
            <v>96</v>
          </cell>
          <cell r="E62">
            <v>4.5</v>
          </cell>
          <cell r="F62" t="str">
            <v>B077</v>
          </cell>
          <cell r="G62" t="str">
            <v>100042/110244</v>
          </cell>
          <cell r="H62" t="str">
            <v>CHEESE MOZZ LM PART SKIM
UNFZ PROCESSR PK</v>
          </cell>
          <cell r="I62">
            <v>7.8</v>
          </cell>
        </row>
        <row r="63">
          <cell r="A63">
            <v>68568</v>
          </cell>
          <cell r="B63" t="str">
            <v>TN IT Cheese 51% WG Flatbread</v>
          </cell>
          <cell r="C63">
            <v>27.02</v>
          </cell>
          <cell r="D63">
            <v>96</v>
          </cell>
          <cell r="E63">
            <v>4.5</v>
          </cell>
          <cell r="F63" t="str">
            <v>B077</v>
          </cell>
          <cell r="G63" t="str">
            <v>100042/110244</v>
          </cell>
          <cell r="H63" t="str">
            <v>CHEESE MOZZ LM PART SKIM
UNFZ PROCESSR PK</v>
          </cell>
          <cell r="I63">
            <v>7.8</v>
          </cell>
        </row>
        <row r="64">
          <cell r="A64">
            <v>68571</v>
          </cell>
          <cell r="B64" t="str">
            <v>Tony's 51% WG Turkey Sausage Bagel</v>
          </cell>
          <cell r="C64">
            <v>15.72</v>
          </cell>
          <cell r="D64">
            <v>96</v>
          </cell>
          <cell r="E64">
            <v>2.62</v>
          </cell>
          <cell r="F64" t="str">
            <v>B077</v>
          </cell>
          <cell r="G64" t="str">
            <v>100042/110244</v>
          </cell>
          <cell r="H64" t="str">
            <v>CHEESE MOZZ LM PART SKIM
UNFZ PROCESSR PK</v>
          </cell>
          <cell r="I64">
            <v>4.08</v>
          </cell>
        </row>
        <row r="65">
          <cell r="A65">
            <v>68708</v>
          </cell>
          <cell r="B65" t="str">
            <v>Whole Grain Cheese French Bread Pizza</v>
          </cell>
          <cell r="C65">
            <v>20.63</v>
          </cell>
          <cell r="D65">
            <v>60</v>
          </cell>
          <cell r="E65">
            <v>5.5</v>
          </cell>
          <cell r="F65" t="str">
            <v>B077</v>
          </cell>
          <cell r="G65" t="str">
            <v>100042/110244</v>
          </cell>
          <cell r="H65" t="str">
            <v>CHEESE MOZZ LM PART SKIM
UNFZ PROCESSR PK</v>
          </cell>
          <cell r="I65">
            <v>7.5</v>
          </cell>
        </row>
        <row r="66">
          <cell r="A66">
            <v>68709</v>
          </cell>
          <cell r="B66" t="str">
            <v xml:space="preserve">Whole Grain Cheese Pizza Bagel </v>
          </cell>
          <cell r="C66">
            <v>28.8</v>
          </cell>
          <cell r="D66">
            <v>96</v>
          </cell>
          <cell r="E66">
            <v>4.8</v>
          </cell>
          <cell r="F66" t="str">
            <v>B077</v>
          </cell>
          <cell r="G66" t="str">
            <v>100042/110244</v>
          </cell>
          <cell r="H66" t="str">
            <v>CHEESE MOZZ LM PART SKIM
UNFZ PROCESSR PK</v>
          </cell>
          <cell r="I66">
            <v>12</v>
          </cell>
        </row>
        <row r="67">
          <cell r="A67">
            <v>68711</v>
          </cell>
          <cell r="B67" t="str">
            <v>SFS Tony's Whole Grain Wedge Pizza 100%</v>
          </cell>
          <cell r="C67">
            <v>20</v>
          </cell>
          <cell r="D67">
            <v>64</v>
          </cell>
          <cell r="E67">
            <v>5</v>
          </cell>
          <cell r="F67" t="str">
            <v>B077</v>
          </cell>
          <cell r="G67" t="str">
            <v>100042/110244</v>
          </cell>
          <cell r="H67" t="str">
            <v>CHEESE MOZZ LM PART SKIM
UNFZ PROCESSR PK</v>
          </cell>
          <cell r="I67">
            <v>8</v>
          </cell>
        </row>
        <row r="68">
          <cell r="A68">
            <v>68764</v>
          </cell>
          <cell r="B68" t="str">
            <v>SFS Big Daddy's Or Chese Fill Brdstck</v>
          </cell>
          <cell r="C68">
            <v>20.25</v>
          </cell>
          <cell r="D68">
            <v>108</v>
          </cell>
          <cell r="E68">
            <v>3</v>
          </cell>
          <cell r="F68" t="str">
            <v>B077</v>
          </cell>
          <cell r="G68" t="str">
            <v>100042/110244</v>
          </cell>
          <cell r="H68" t="str">
            <v>CHEESE MOZZ LM PART SKIM
UNFZ PROCESSR PK</v>
          </cell>
          <cell r="I68">
            <v>6.75</v>
          </cell>
        </row>
        <row r="69">
          <cell r="A69">
            <v>68765</v>
          </cell>
          <cell r="B69" t="str">
            <v>SFS Big Daddy's WG Chese Fill Brdstck Blk</v>
          </cell>
          <cell r="C69">
            <v>20.25</v>
          </cell>
          <cell r="D69">
            <v>108</v>
          </cell>
          <cell r="E69">
            <v>3</v>
          </cell>
          <cell r="F69" t="str">
            <v>B077</v>
          </cell>
          <cell r="G69" t="str">
            <v>100042/110244</v>
          </cell>
          <cell r="H69" t="str">
            <v>CHEESE MOZZ LM PART SKIM
UNFZ PROCESSR PK</v>
          </cell>
          <cell r="I69">
            <v>6.75</v>
          </cell>
        </row>
        <row r="70">
          <cell r="A70">
            <v>68766</v>
          </cell>
          <cell r="B70" t="str">
            <v>SFS Big Daddy's WG Chese Fill Brdstck IW</v>
          </cell>
          <cell r="C70">
            <v>20.25</v>
          </cell>
          <cell r="D70">
            <v>108</v>
          </cell>
          <cell r="E70">
            <v>3</v>
          </cell>
          <cell r="F70" t="str">
            <v>B077</v>
          </cell>
          <cell r="G70" t="str">
            <v>100042/110244</v>
          </cell>
          <cell r="H70" t="str">
            <v>CHEESE MOZZ LM PART SKIM
UNFZ PROCESSR PK</v>
          </cell>
          <cell r="I70">
            <v>6.75</v>
          </cell>
        </row>
        <row r="71">
          <cell r="A71">
            <v>72557</v>
          </cell>
          <cell r="B71" t="str">
            <v>Whole Grain 4x6 Sausage Pizza 50/50</v>
          </cell>
          <cell r="C71">
            <v>28.14</v>
          </cell>
          <cell r="D71">
            <v>96</v>
          </cell>
          <cell r="E71">
            <v>4.6900000000000004</v>
          </cell>
          <cell r="F71" t="str">
            <v>B077</v>
          </cell>
          <cell r="G71" t="str">
            <v>100042/110244</v>
          </cell>
          <cell r="H71" t="str">
            <v>CHEESE MOZZ LM PART SKIM
UNFZ PROCESSR PK</v>
          </cell>
          <cell r="I71">
            <v>2.85</v>
          </cell>
        </row>
        <row r="72">
          <cell r="A72">
            <v>72558</v>
          </cell>
          <cell r="B72" t="str">
            <v>Whole Grain Wedge Cheese Pizza 100%</v>
          </cell>
          <cell r="C72">
            <v>27.6</v>
          </cell>
          <cell r="D72">
            <v>96</v>
          </cell>
          <cell r="E72">
            <v>4.5999999999999996</v>
          </cell>
          <cell r="F72" t="str">
            <v>B077</v>
          </cell>
          <cell r="G72" t="str">
            <v>100042/110244</v>
          </cell>
          <cell r="H72" t="str">
            <v>CHEESE MOZZ LM PART SKIM
UNFZ PROCESSR PK</v>
          </cell>
          <cell r="I72">
            <v>9</v>
          </cell>
        </row>
        <row r="73">
          <cell r="A73">
            <v>72559</v>
          </cell>
          <cell r="B73" t="str">
            <v>Whole Grain Wedge Pepperoni Pizza 50/50</v>
          </cell>
          <cell r="C73">
            <v>26.88</v>
          </cell>
          <cell r="D73">
            <v>96</v>
          </cell>
          <cell r="E73">
            <v>4.4800000000000004</v>
          </cell>
          <cell r="F73" t="str">
            <v>B077</v>
          </cell>
          <cell r="G73" t="str">
            <v>100042/110244</v>
          </cell>
          <cell r="H73" t="str">
            <v>CHEESE MOZZ LM PART SKIM
UNFZ PROCESSR PK</v>
          </cell>
          <cell r="I73">
            <v>3.33</v>
          </cell>
        </row>
        <row r="74">
          <cell r="A74">
            <v>72560</v>
          </cell>
          <cell r="B74" t="str">
            <v>Whole Grain Wedge Pepperoni Pizza 100%</v>
          </cell>
          <cell r="C74">
            <v>26.88</v>
          </cell>
          <cell r="D74">
            <v>96</v>
          </cell>
          <cell r="E74">
            <v>4.4800000000000004</v>
          </cell>
          <cell r="F74" t="str">
            <v>B077</v>
          </cell>
          <cell r="G74" t="str">
            <v>100042/110244</v>
          </cell>
          <cell r="H74" t="str">
            <v>CHEESE MOZZ LM PART SKIM
UNFZ PROCESSR PK</v>
          </cell>
          <cell r="I74">
            <v>6.66</v>
          </cell>
        </row>
        <row r="75">
          <cell r="A75">
            <v>72561</v>
          </cell>
          <cell r="B75" t="str">
            <v>Whole Grain Right Angle Wedge Cheese 50/50</v>
          </cell>
          <cell r="C75">
            <v>27.6</v>
          </cell>
          <cell r="D75">
            <v>96</v>
          </cell>
          <cell r="E75">
            <v>4.5999999999999996</v>
          </cell>
          <cell r="F75" t="str">
            <v>B077</v>
          </cell>
          <cell r="G75" t="str">
            <v>100042/110244</v>
          </cell>
          <cell r="H75" t="str">
            <v>CHEESE MOZZ LM PART SKIM
UNFZ PROCESSR PK</v>
          </cell>
          <cell r="I75">
            <v>4.5</v>
          </cell>
        </row>
        <row r="76">
          <cell r="A76">
            <v>72562</v>
          </cell>
          <cell r="B76" t="str">
            <v>Whole Grain Right Angle Wedge Pepp 50/50</v>
          </cell>
          <cell r="C76">
            <v>26.88</v>
          </cell>
          <cell r="D76">
            <v>96</v>
          </cell>
          <cell r="E76">
            <v>4.4800000000000004</v>
          </cell>
          <cell r="F76" t="str">
            <v>B077</v>
          </cell>
          <cell r="G76" t="str">
            <v>100042/110244</v>
          </cell>
          <cell r="H76" t="str">
            <v>CHEESE MOZZ LM PART SKIM
UNFZ PROCESSR PK</v>
          </cell>
          <cell r="I76">
            <v>3.33</v>
          </cell>
        </row>
        <row r="77">
          <cell r="A77">
            <v>72563</v>
          </cell>
          <cell r="B77" t="str">
            <v>Whole Grain Right Angle Wedge Cheese Pizza 100%</v>
          </cell>
          <cell r="C77">
            <v>27.6</v>
          </cell>
          <cell r="D77">
            <v>96</v>
          </cell>
          <cell r="E77">
            <v>4.5999999999999996</v>
          </cell>
          <cell r="F77" t="str">
            <v>B077</v>
          </cell>
          <cell r="G77" t="str">
            <v>100042/110244</v>
          </cell>
          <cell r="H77" t="str">
            <v>CHEESE MOZZ LM PART SKIM
UNFZ PROCESSR PK</v>
          </cell>
          <cell r="I77">
            <v>9</v>
          </cell>
        </row>
        <row r="78">
          <cell r="A78">
            <v>72564</v>
          </cell>
          <cell r="B78" t="str">
            <v>Whole Grain Right Angle Wedge Pepp Pizza 100%</v>
          </cell>
          <cell r="C78">
            <v>26.88</v>
          </cell>
          <cell r="D78">
            <v>96</v>
          </cell>
          <cell r="E78">
            <v>4.4800000000000004</v>
          </cell>
          <cell r="F78" t="str">
            <v>B077</v>
          </cell>
          <cell r="G78" t="str">
            <v>100042/110244</v>
          </cell>
          <cell r="H78" t="str">
            <v>CHEESE MOZZ LM PART SKIM
UNFZ PROCESSR PK</v>
          </cell>
          <cell r="I78">
            <v>6.66</v>
          </cell>
        </row>
        <row r="79">
          <cell r="A79">
            <v>72565</v>
          </cell>
          <cell r="B79" t="str">
            <v>Whole Grain 3x8 Garlic Cheese Flatbread 50/50</v>
          </cell>
          <cell r="C79">
            <v>25.44</v>
          </cell>
          <cell r="D79">
            <v>96</v>
          </cell>
          <cell r="E79">
            <v>4.24</v>
          </cell>
          <cell r="F79" t="str">
            <v>B077</v>
          </cell>
          <cell r="G79" t="str">
            <v>100042/110244</v>
          </cell>
          <cell r="H79" t="str">
            <v>CHEESE MOZZ LM PART SKIM
UNFZ PROCESSR PK</v>
          </cell>
          <cell r="I79">
            <v>4.5</v>
          </cell>
        </row>
        <row r="80">
          <cell r="A80">
            <v>72570</v>
          </cell>
          <cell r="B80" t="str">
            <v>Whole Grain  5" CC Cheese 50/50</v>
          </cell>
          <cell r="C80">
            <v>22.5</v>
          </cell>
          <cell r="D80">
            <v>80</v>
          </cell>
          <cell r="E80">
            <v>4.5</v>
          </cell>
          <cell r="F80" t="str">
            <v>B077</v>
          </cell>
          <cell r="G80" t="str">
            <v>100042/110244</v>
          </cell>
          <cell r="H80" t="str">
            <v>CHEESE MOZZ LM PART SKIM
UNFZ PROCESSR PK</v>
          </cell>
          <cell r="I80">
            <v>3.5</v>
          </cell>
        </row>
        <row r="81">
          <cell r="A81">
            <v>72571</v>
          </cell>
          <cell r="B81" t="str">
            <v>Whole Grain 5" CC Pepp 50/50</v>
          </cell>
          <cell r="C81">
            <v>22.5</v>
          </cell>
          <cell r="D81">
            <v>80</v>
          </cell>
          <cell r="E81">
            <v>4.5</v>
          </cell>
          <cell r="F81" t="str">
            <v>B077</v>
          </cell>
          <cell r="G81" t="str">
            <v>100042/110244</v>
          </cell>
          <cell r="H81" t="str">
            <v>CHEESE MOZZ LM PART SKIM
UNFZ PROCESSR PK</v>
          </cell>
          <cell r="I81">
            <v>2.75</v>
          </cell>
        </row>
        <row r="82">
          <cell r="A82">
            <v>72572</v>
          </cell>
          <cell r="B82" t="str">
            <v>Whole Grain 5" Deep Dish Cheese Pizza 50/50</v>
          </cell>
          <cell r="C82">
            <v>18.53</v>
          </cell>
          <cell r="D82">
            <v>60</v>
          </cell>
          <cell r="E82">
            <v>4.9400000000000004</v>
          </cell>
          <cell r="F82" t="str">
            <v>B077</v>
          </cell>
          <cell r="G82" t="str">
            <v>100042/110244</v>
          </cell>
          <cell r="H82" t="str">
            <v>CHEESE MOZZ LM PART SKIM
UNFZ PROCESSR PK</v>
          </cell>
          <cell r="I82">
            <v>2.89</v>
          </cell>
        </row>
        <row r="83">
          <cell r="A83">
            <v>72573</v>
          </cell>
          <cell r="B83" t="str">
            <v>Whole Grain 5" Deep Dish Pepp Pizza 50/50</v>
          </cell>
          <cell r="C83">
            <v>19.010000000000002</v>
          </cell>
          <cell r="D83">
            <v>60</v>
          </cell>
          <cell r="E83">
            <v>5.07</v>
          </cell>
          <cell r="F83" t="str">
            <v>B077</v>
          </cell>
          <cell r="G83" t="str">
            <v>100042/110244</v>
          </cell>
          <cell r="H83" t="str">
            <v>CHEESE MOZZ LM PART SKIM
UNFZ PROCESSR PK</v>
          </cell>
          <cell r="I83">
            <v>1.91</v>
          </cell>
        </row>
        <row r="84">
          <cell r="A84">
            <v>72574</v>
          </cell>
          <cell r="B84" t="str">
            <v>Whole Grain 5" Deep Dish Cheese Pizza IW</v>
          </cell>
          <cell r="C84">
            <v>18.53</v>
          </cell>
          <cell r="D84">
            <v>60</v>
          </cell>
          <cell r="E84">
            <v>4.9400000000000004</v>
          </cell>
          <cell r="F84" t="str">
            <v>B077</v>
          </cell>
          <cell r="G84" t="str">
            <v>100042/110244</v>
          </cell>
          <cell r="H84" t="str">
            <v>CHEESE MOZZ LM PART SKIM
UNFZ PROCESSR PK</v>
          </cell>
          <cell r="I84">
            <v>2.89</v>
          </cell>
        </row>
        <row r="85">
          <cell r="A85">
            <v>72575</v>
          </cell>
          <cell r="B85" t="str">
            <v>Whole Grain 5" Deep Dish Pepp Pizza IW</v>
          </cell>
          <cell r="C85">
            <v>18.86</v>
          </cell>
          <cell r="D85">
            <v>60</v>
          </cell>
          <cell r="E85">
            <v>5.03</v>
          </cell>
          <cell r="F85" t="str">
            <v>B077</v>
          </cell>
          <cell r="G85" t="str">
            <v>100042/110244</v>
          </cell>
          <cell r="H85" t="str">
            <v>CHEESE MOZZ LM PART SKIM
UNFZ PROCESSR PK</v>
          </cell>
          <cell r="I85">
            <v>1.95</v>
          </cell>
        </row>
        <row r="86">
          <cell r="A86">
            <v>72576</v>
          </cell>
          <cell r="B86" t="str">
            <v>Whole Grain Galaxy Cheese Pizza 50/50</v>
          </cell>
          <cell r="C86">
            <v>19.98</v>
          </cell>
          <cell r="D86">
            <v>72</v>
          </cell>
          <cell r="E86">
            <v>4.4400000000000004</v>
          </cell>
          <cell r="F86" t="str">
            <v>B077</v>
          </cell>
          <cell r="G86" t="str">
            <v>100042/110244</v>
          </cell>
          <cell r="H86" t="str">
            <v>CHEESE MOZZ LM PART SKIM
UNFZ PROCESSR PK</v>
          </cell>
          <cell r="I86">
            <v>3.51</v>
          </cell>
        </row>
        <row r="87">
          <cell r="A87">
            <v>72577</v>
          </cell>
          <cell r="B87" t="str">
            <v>Whole Grain Galaxy Pepp Pizza 50/50</v>
          </cell>
          <cell r="C87">
            <v>19.940000000000001</v>
          </cell>
          <cell r="D87">
            <v>72</v>
          </cell>
          <cell r="E87">
            <v>4.43</v>
          </cell>
          <cell r="F87" t="str">
            <v>B077</v>
          </cell>
          <cell r="G87" t="str">
            <v>100042/110244</v>
          </cell>
          <cell r="H87" t="str">
            <v>CHEESE MOZZ LM PART SKIM
UNFZ PROCESSR PK</v>
          </cell>
          <cell r="I87">
            <v>2.4300000000000002</v>
          </cell>
        </row>
        <row r="88">
          <cell r="A88">
            <v>72578</v>
          </cell>
          <cell r="B88" t="str">
            <v>Whole Grain Galaxy Cheese Pizza 50/50 IW</v>
          </cell>
          <cell r="C88">
            <v>19.98</v>
          </cell>
          <cell r="D88">
            <v>72</v>
          </cell>
          <cell r="E88">
            <v>4.4400000000000004</v>
          </cell>
          <cell r="F88" t="str">
            <v>B077</v>
          </cell>
          <cell r="G88" t="str">
            <v>100042/110244</v>
          </cell>
          <cell r="H88" t="str">
            <v>CHEESE MOZZ LM PART SKIM
UNFZ PROCESSR PK</v>
          </cell>
          <cell r="I88">
            <v>3.51</v>
          </cell>
        </row>
        <row r="89">
          <cell r="A89">
            <v>72579</v>
          </cell>
          <cell r="B89" t="str">
            <v>Whole Grain Galaxy Pepp Pizza 50/50 IW</v>
          </cell>
          <cell r="C89">
            <v>19.940000000000001</v>
          </cell>
          <cell r="D89">
            <v>72</v>
          </cell>
          <cell r="E89">
            <v>4.43</v>
          </cell>
          <cell r="F89" t="str">
            <v>B077</v>
          </cell>
          <cell r="G89" t="str">
            <v>100042/110244</v>
          </cell>
          <cell r="H89" t="str">
            <v>CHEESE MOZZ LM PART SKIM
UNFZ PROCESSR PK</v>
          </cell>
          <cell r="I89">
            <v>2.4300000000000002</v>
          </cell>
        </row>
        <row r="90">
          <cell r="A90">
            <v>72691</v>
          </cell>
          <cell r="B90" t="str">
            <v>Whole Grain 3.2x5 Cheese Pizza 50/50</v>
          </cell>
          <cell r="C90">
            <v>31.25</v>
          </cell>
          <cell r="D90">
            <v>100</v>
          </cell>
          <cell r="E90">
            <v>5</v>
          </cell>
          <cell r="F90" t="str">
            <v>B077</v>
          </cell>
          <cell r="G90" t="str">
            <v>100042/110244</v>
          </cell>
          <cell r="H90" t="str">
            <v>CHEESE MOZZ LM PART SKIM
UNFZ PROCESSR PK</v>
          </cell>
          <cell r="I90">
            <v>6.25</v>
          </cell>
        </row>
        <row r="91">
          <cell r="A91">
            <v>72708</v>
          </cell>
          <cell r="B91" t="str">
            <v>Whole Grain 4x6 Cheese Pizza 100%</v>
          </cell>
          <cell r="C91">
            <v>22.5</v>
          </cell>
          <cell r="D91">
            <v>72</v>
          </cell>
          <cell r="E91">
            <v>5</v>
          </cell>
          <cell r="F91" t="str">
            <v>B077</v>
          </cell>
          <cell r="G91" t="str">
            <v>100042/110244</v>
          </cell>
          <cell r="H91" t="str">
            <v>CHEESE MOZZ LM PART SKIM
UNFZ PROCESSR PK</v>
          </cell>
          <cell r="I91">
            <v>9</v>
          </cell>
        </row>
        <row r="92">
          <cell r="A92">
            <v>72709</v>
          </cell>
          <cell r="B92" t="str">
            <v>Whole Grain 4x6 Pepp Pizza 100%</v>
          </cell>
          <cell r="C92">
            <v>22.59</v>
          </cell>
          <cell r="D92">
            <v>72</v>
          </cell>
          <cell r="E92">
            <v>5.0199999999999996</v>
          </cell>
          <cell r="F92" t="str">
            <v>B077</v>
          </cell>
          <cell r="G92" t="str">
            <v>100042/110244</v>
          </cell>
          <cell r="H92" t="str">
            <v>CHEESE MOZZ LM PART SKIM
UNFZ PROCESSR PK</v>
          </cell>
          <cell r="I92">
            <v>6.84</v>
          </cell>
        </row>
        <row r="93">
          <cell r="A93">
            <v>72813</v>
          </cell>
          <cell r="B93" t="str">
            <v>Whole Grain Saus Bkft Bagel 50/50</v>
          </cell>
          <cell r="C93">
            <v>16.5</v>
          </cell>
          <cell r="D93">
            <v>96</v>
          </cell>
          <cell r="E93">
            <v>2.75</v>
          </cell>
          <cell r="F93" t="str">
            <v>B077</v>
          </cell>
          <cell r="G93" t="str">
            <v>100042/110244</v>
          </cell>
          <cell r="H93" t="str">
            <v>CHEESE MOZZ LM PART SKIM
UNFZ PROCESSR PK</v>
          </cell>
          <cell r="I93">
            <v>1.98</v>
          </cell>
        </row>
        <row r="94">
          <cell r="A94">
            <v>72814</v>
          </cell>
          <cell r="B94" t="str">
            <v>Whole Grain Saus Bkft Bagel 50/50</v>
          </cell>
          <cell r="C94">
            <v>16.5</v>
          </cell>
          <cell r="D94">
            <v>96</v>
          </cell>
          <cell r="E94">
            <v>2.75</v>
          </cell>
          <cell r="F94" t="str">
            <v>B077</v>
          </cell>
          <cell r="G94" t="str">
            <v>100042/110244</v>
          </cell>
          <cell r="H94" t="str">
            <v>CHEESE MOZZ LM PART SKIM
UNFZ PROCESSR PK</v>
          </cell>
          <cell r="I94">
            <v>1.98</v>
          </cell>
        </row>
        <row r="95">
          <cell r="A95">
            <v>72815</v>
          </cell>
          <cell r="B95" t="str">
            <v>Whole Grain Pepp Bagel 100%</v>
          </cell>
          <cell r="C95">
            <v>23.63</v>
          </cell>
          <cell r="D95">
            <v>72</v>
          </cell>
          <cell r="E95">
            <v>5.25</v>
          </cell>
          <cell r="F95" t="str">
            <v>B077</v>
          </cell>
          <cell r="G95" t="str">
            <v>100042/110244</v>
          </cell>
          <cell r="H95" t="str">
            <v>CHEESE MOZZ LM PART SKIM
UNFZ PROCESSR PK</v>
          </cell>
          <cell r="I95">
            <v>7.12</v>
          </cell>
        </row>
        <row r="96">
          <cell r="A96">
            <v>73034</v>
          </cell>
          <cell r="B96" t="str">
            <v>SFS TN WG CL Wdg Cheese 50/50 NR</v>
          </cell>
          <cell r="C96">
            <v>27.6</v>
          </cell>
          <cell r="D96">
            <v>96</v>
          </cell>
          <cell r="E96">
            <v>4.5999999999999996</v>
          </cell>
          <cell r="F96" t="str">
            <v>B077</v>
          </cell>
          <cell r="G96" t="str">
            <v>100042/110244</v>
          </cell>
          <cell r="H96" t="str">
            <v>CHEESE MOZZ LM PART SKIM
UNFZ PROCESSR PK</v>
          </cell>
          <cell r="I96">
            <v>4.5</v>
          </cell>
        </row>
        <row r="97">
          <cell r="A97">
            <v>73037</v>
          </cell>
          <cell r="B97" t="str">
            <v>Freschetta 16" Sheeted Dough</v>
          </cell>
          <cell r="C97">
            <v>29.25</v>
          </cell>
          <cell r="D97">
            <v>144</v>
          </cell>
          <cell r="E97">
            <v>3.25</v>
          </cell>
          <cell r="F97" t="str">
            <v>B077</v>
          </cell>
          <cell r="G97" t="str">
            <v>100042/110244</v>
          </cell>
          <cell r="H97" t="str">
            <v>CHEESE MOZZ LM PART SKIM
UNFZ PROCESSR PK</v>
          </cell>
          <cell r="I97">
            <v>0</v>
          </cell>
        </row>
        <row r="98">
          <cell r="A98">
            <v>73039</v>
          </cell>
          <cell r="B98" t="str">
            <v>SFS TN WG CL Wdg Pepp 50/50 NR</v>
          </cell>
          <cell r="C98">
            <v>27.36</v>
          </cell>
          <cell r="D98">
            <v>96</v>
          </cell>
          <cell r="E98">
            <v>4.5599999999999996</v>
          </cell>
          <cell r="F98" t="str">
            <v>B077</v>
          </cell>
          <cell r="G98" t="str">
            <v>100042/110244</v>
          </cell>
          <cell r="H98" t="str">
            <v>CHEESE MOZZ LM PART SKIM
UNFZ PROCESSR PK</v>
          </cell>
          <cell r="I98">
            <v>3.57</v>
          </cell>
        </row>
        <row r="99">
          <cell r="A99">
            <v>73087</v>
          </cell>
          <cell r="B99" t="str">
            <v>Freschetta 16" Rolled Edge Sheeted Dough</v>
          </cell>
          <cell r="C99">
            <v>21.75</v>
          </cell>
          <cell r="D99">
            <v>96</v>
          </cell>
          <cell r="E99">
            <v>3.63</v>
          </cell>
          <cell r="F99" t="str">
            <v>B077</v>
          </cell>
          <cell r="G99" t="str">
            <v>100042/110244</v>
          </cell>
          <cell r="H99" t="str">
            <v>CHEESE MOZZ LM PART SKIM
UNFZ PROCESSR PK</v>
          </cell>
          <cell r="I99">
            <v>0</v>
          </cell>
        </row>
        <row r="100">
          <cell r="A100">
            <v>73142</v>
          </cell>
          <cell r="B100" t="str">
            <v>Big Daddy's Cheese Pizza Revised</v>
          </cell>
          <cell r="C100">
            <v>24.35</v>
          </cell>
          <cell r="D100">
            <v>72</v>
          </cell>
          <cell r="E100">
            <v>5.41</v>
          </cell>
          <cell r="F100" t="str">
            <v>B077</v>
          </cell>
          <cell r="G100" t="str">
            <v>100042/110244</v>
          </cell>
          <cell r="H100" t="str">
            <v>CHEESE MOZZ LM PART SKIM
UNFZ PROCESSR PK</v>
          </cell>
          <cell r="I100">
            <v>9</v>
          </cell>
        </row>
        <row r="101">
          <cell r="A101">
            <v>73143</v>
          </cell>
          <cell r="B101" t="str">
            <v>Big Daddy's Pepperoni Pizza Revised</v>
          </cell>
          <cell r="C101">
            <v>24.49</v>
          </cell>
          <cell r="D101">
            <v>72</v>
          </cell>
          <cell r="E101">
            <v>5.44</v>
          </cell>
          <cell r="F101" t="str">
            <v>B077</v>
          </cell>
          <cell r="G101" t="str">
            <v>100042/110244</v>
          </cell>
          <cell r="H101" t="str">
            <v>CHEESE MOZZ LM PART SKIM
UNFZ PROCESSR PK</v>
          </cell>
          <cell r="I101">
            <v>6.89</v>
          </cell>
        </row>
        <row r="102">
          <cell r="A102">
            <v>73150</v>
          </cell>
          <cell r="B102" t="str">
            <v>Big Daddy's SelfRising Breadstick</v>
          </cell>
          <cell r="C102">
            <v>22.5</v>
          </cell>
          <cell r="D102">
            <v>80</v>
          </cell>
          <cell r="E102">
            <v>4.5</v>
          </cell>
          <cell r="F102" t="str">
            <v>B077</v>
          </cell>
          <cell r="G102" t="str">
            <v>100042/110244</v>
          </cell>
          <cell r="H102" t="str">
            <v>CHEESE MOZZ LM PART SKIM
UNFZ PROCESSR PK</v>
          </cell>
          <cell r="I102">
            <v>0</v>
          </cell>
        </row>
        <row r="103">
          <cell r="A103">
            <v>73158</v>
          </cell>
          <cell r="B103" t="str">
            <v>Tony's Smart Whole Grain Cheese 50/50-submit to usda with mz changing on approved sepds</v>
          </cell>
          <cell r="C103">
            <v>27.6</v>
          </cell>
          <cell r="D103">
            <v>96</v>
          </cell>
          <cell r="E103">
            <v>4.5999999999999996</v>
          </cell>
          <cell r="F103" t="str">
            <v>B077</v>
          </cell>
          <cell r="G103" t="str">
            <v>100042/110244</v>
          </cell>
          <cell r="H103" t="str">
            <v>CHEESE MOZZ LM PART SKIM
UNFZ PROCESSR PK</v>
          </cell>
          <cell r="I103">
            <v>4.5</v>
          </cell>
        </row>
        <row r="104">
          <cell r="A104">
            <v>73159</v>
          </cell>
          <cell r="B104" t="str">
            <v>Tony's Smart Whole Grain Pepp 50/50-set up bom</v>
          </cell>
          <cell r="C104">
            <v>26.88</v>
          </cell>
          <cell r="D104">
            <v>96</v>
          </cell>
          <cell r="E104">
            <v>4.4800000000000004</v>
          </cell>
          <cell r="F104" t="str">
            <v>B077</v>
          </cell>
          <cell r="G104" t="str">
            <v>100042/110244</v>
          </cell>
          <cell r="H104" t="str">
            <v>CHEESE MOZZ LM PART SKIM
UNFZ PROCESSR PK</v>
          </cell>
          <cell r="I104">
            <v>3.33</v>
          </cell>
        </row>
        <row r="105">
          <cell r="A105">
            <v>73160</v>
          </cell>
          <cell r="B105" t="str">
            <v>Tony's Classic Wedge WG Sausage 50/50</v>
          </cell>
          <cell r="C105">
            <v>28.14</v>
          </cell>
          <cell r="D105">
            <v>96</v>
          </cell>
          <cell r="E105">
            <v>4.6900000000000004</v>
          </cell>
          <cell r="F105" t="str">
            <v>B077</v>
          </cell>
          <cell r="G105" t="str">
            <v>100042/110244</v>
          </cell>
          <cell r="H105" t="str">
            <v>CHEESE MOZZ LM PART SKIM
UNFZ PROCESSR PK</v>
          </cell>
          <cell r="I105">
            <v>2.85</v>
          </cell>
        </row>
        <row r="106">
          <cell r="A106">
            <v>73162</v>
          </cell>
          <cell r="B106" t="str">
            <v>Red Baron Proof Perfect 7" Cheese w/boxes</v>
          </cell>
          <cell r="C106">
            <v>23.74</v>
          </cell>
          <cell r="D106">
            <v>48</v>
          </cell>
          <cell r="E106">
            <v>7.91</v>
          </cell>
          <cell r="F106" t="str">
            <v>B077</v>
          </cell>
          <cell r="G106" t="str">
            <v>100042/110244</v>
          </cell>
          <cell r="H106" t="str">
            <v>CHEESE MOZZ LM PART SKIM
UNFZ PROCESSR PK</v>
          </cell>
          <cell r="I106">
            <v>6</v>
          </cell>
        </row>
        <row r="107">
          <cell r="A107">
            <v>73163</v>
          </cell>
          <cell r="B107" t="str">
            <v>Red Baron Proof Perfect 7" Pepperoni w/boxes</v>
          </cell>
          <cell r="C107">
            <v>23.74</v>
          </cell>
          <cell r="D107">
            <v>48</v>
          </cell>
          <cell r="E107">
            <v>7.91</v>
          </cell>
          <cell r="F107" t="str">
            <v>B077</v>
          </cell>
          <cell r="G107" t="str">
            <v>100042/110244</v>
          </cell>
          <cell r="H107" t="str">
            <v>CHEESE MOZZ LM PART SKIM
UNFZ PROCESSR PK</v>
          </cell>
          <cell r="I107">
            <v>4.3499999999999996</v>
          </cell>
        </row>
        <row r="108">
          <cell r="A108">
            <v>73217</v>
          </cell>
          <cell r="B108" t="str">
            <v>Tony's Pepperoni Stuffed SandIW</v>
          </cell>
          <cell r="C108">
            <v>6.75</v>
          </cell>
          <cell r="D108">
            <v>24</v>
          </cell>
          <cell r="E108">
            <v>4.5</v>
          </cell>
          <cell r="F108" t="str">
            <v>B077</v>
          </cell>
          <cell r="G108" t="str">
            <v>100042/110244</v>
          </cell>
          <cell r="H108" t="str">
            <v>CHEESE MOZZ LM PART SKIM
UNFZ PROCESSR PK</v>
          </cell>
          <cell r="I108">
            <v>0.1</v>
          </cell>
        </row>
        <row r="109">
          <cell r="A109">
            <v>73316</v>
          </cell>
          <cell r="B109" t="str">
            <v>Tony's Whole Grain Stuffed Sticks 50/50 revised fl</v>
          </cell>
          <cell r="C109">
            <v>26.25</v>
          </cell>
          <cell r="D109">
            <v>100</v>
          </cell>
          <cell r="E109">
            <v>4.2</v>
          </cell>
          <cell r="F109" t="str">
            <v>B077</v>
          </cell>
          <cell r="G109" t="str">
            <v>100042/110244</v>
          </cell>
          <cell r="H109" t="str">
            <v>CHEESE MOZZ LM PART SKIM
UNFZ PROCESSR PK</v>
          </cell>
          <cell r="I109">
            <v>5.63</v>
          </cell>
        </row>
        <row r="110">
          <cell r="A110">
            <v>73318</v>
          </cell>
          <cell r="B110" t="str">
            <v>Tony's 51% Whole Grain 50/50 Cheese Stick</v>
          </cell>
          <cell r="C110">
            <v>26.44</v>
          </cell>
          <cell r="D110">
            <v>100</v>
          </cell>
          <cell r="E110">
            <v>4.2300000000000004</v>
          </cell>
          <cell r="F110" t="str">
            <v>B077</v>
          </cell>
          <cell r="G110" t="str">
            <v>100042/110244</v>
          </cell>
          <cell r="H110" t="str">
            <v>CHEESE MOZZ LM PART SKIM
UNFZ PROCESSR PK</v>
          </cell>
          <cell r="I110">
            <v>6.88</v>
          </cell>
        </row>
        <row r="111">
          <cell r="A111">
            <v>73325</v>
          </cell>
          <cell r="B111" t="str">
            <v>Tony's Whole Grain Stuffed Sticks 50/50</v>
          </cell>
          <cell r="C111">
            <v>26.25</v>
          </cell>
          <cell r="D111">
            <v>100</v>
          </cell>
          <cell r="E111">
            <v>4.2</v>
          </cell>
          <cell r="F111" t="str">
            <v>B077</v>
          </cell>
          <cell r="G111" t="str">
            <v>100042/110244</v>
          </cell>
          <cell r="H111" t="str">
            <v>CHEESE MOZZ LM PART SKIM
UNFZ PROCESSR PK</v>
          </cell>
          <cell r="I111">
            <v>5.63</v>
          </cell>
        </row>
        <row r="112">
          <cell r="A112">
            <v>73328</v>
          </cell>
          <cell r="B112" t="str">
            <v>Tony's Stuffed Sticks  100%</v>
          </cell>
          <cell r="C112">
            <v>26.25</v>
          </cell>
          <cell r="D112">
            <v>200</v>
          </cell>
          <cell r="E112">
            <v>2.1</v>
          </cell>
          <cell r="F112" t="str">
            <v>B077</v>
          </cell>
          <cell r="G112" t="str">
            <v>100042/110244</v>
          </cell>
          <cell r="H112" t="str">
            <v>CHEESE MOZZ LM PART SKIM
UNFZ PROCESSR PK</v>
          </cell>
          <cell r="I112">
            <v>10</v>
          </cell>
        </row>
        <row r="113">
          <cell r="A113">
            <v>73329</v>
          </cell>
          <cell r="B113" t="str">
            <v>Tony's Stuffed Sticks 50/50</v>
          </cell>
          <cell r="C113">
            <v>26.25</v>
          </cell>
          <cell r="D113">
            <v>200</v>
          </cell>
          <cell r="E113">
            <v>2.1</v>
          </cell>
          <cell r="F113" t="str">
            <v>B077</v>
          </cell>
          <cell r="G113" t="str">
            <v>100042/110244</v>
          </cell>
          <cell r="H113" t="str">
            <v>CHEESE MOZZ LM PART SKIM
UNFZ PROCESSR PK</v>
          </cell>
          <cell r="I113">
            <v>6</v>
          </cell>
        </row>
        <row r="114">
          <cell r="A114">
            <v>73336</v>
          </cell>
          <cell r="B114" t="str">
            <v>Tony's Cheese Filled Breadstick</v>
          </cell>
          <cell r="C114">
            <v>18</v>
          </cell>
          <cell r="D114">
            <v>96</v>
          </cell>
          <cell r="E114">
            <v>3</v>
          </cell>
          <cell r="F114" t="str">
            <v>B077</v>
          </cell>
          <cell r="G114" t="str">
            <v>100042/110244</v>
          </cell>
          <cell r="H114" t="str">
            <v>CHEESE MOZZ LM PART SKIM
UNFZ PROCESSR PK</v>
          </cell>
          <cell r="I114">
            <v>6</v>
          </cell>
        </row>
        <row r="115">
          <cell r="A115">
            <v>73338</v>
          </cell>
          <cell r="B115" t="str">
            <v>Tony's Whole Grain Stuffed Sticks 100%</v>
          </cell>
          <cell r="C115">
            <v>26.25</v>
          </cell>
          <cell r="D115">
            <v>100</v>
          </cell>
          <cell r="E115">
            <v>4.2</v>
          </cell>
          <cell r="F115" t="str">
            <v>B077</v>
          </cell>
          <cell r="G115" t="str">
            <v>100042/110244</v>
          </cell>
          <cell r="H115" t="str">
            <v>CHEESE MOZZ LM PART SKIM
UNFZ PROCESSR PK</v>
          </cell>
          <cell r="I115">
            <v>10</v>
          </cell>
        </row>
        <row r="116">
          <cell r="A116">
            <v>73339</v>
          </cell>
          <cell r="B116" t="str">
            <v>Tony's Whole Grain Stuffed Sticks 100%</v>
          </cell>
          <cell r="C116">
            <v>26.25</v>
          </cell>
          <cell r="D116">
            <v>100</v>
          </cell>
          <cell r="E116">
            <v>4.2</v>
          </cell>
          <cell r="F116" t="str">
            <v>B077</v>
          </cell>
          <cell r="G116" t="str">
            <v>100042/110244</v>
          </cell>
          <cell r="H116" t="str">
            <v>CHEESE MOZZ LM PART SKIM
UNFZ PROCESSR PK</v>
          </cell>
          <cell r="I116">
            <v>10</v>
          </cell>
        </row>
        <row r="117">
          <cell r="A117">
            <v>73341</v>
          </cell>
          <cell r="B117" t="str">
            <v>Tony's 3x8 Garlic Cheese Bread Pizza</v>
          </cell>
          <cell r="C117">
            <v>27.12</v>
          </cell>
          <cell r="D117">
            <v>96</v>
          </cell>
          <cell r="E117">
            <v>4.5199999999999996</v>
          </cell>
          <cell r="F117" t="str">
            <v>B077</v>
          </cell>
          <cell r="G117" t="str">
            <v>100042/110244</v>
          </cell>
          <cell r="H117" t="str">
            <v>CHEESE MOZZ LM PART SKIM
UNFZ PROCESSR PK</v>
          </cell>
          <cell r="I117">
            <v>4.2</v>
          </cell>
        </row>
        <row r="118">
          <cell r="A118">
            <v>74709</v>
          </cell>
          <cell r="B118" t="str">
            <v>Tony's Smart Classic Wedge 4 Block Cheese</v>
          </cell>
          <cell r="C118">
            <v>23.05</v>
          </cell>
          <cell r="D118">
            <v>80</v>
          </cell>
          <cell r="E118">
            <v>4.6100000000000003</v>
          </cell>
          <cell r="F118" t="str">
            <v>B077</v>
          </cell>
          <cell r="G118" t="str">
            <v>100042/110244</v>
          </cell>
          <cell r="H118" t="str">
            <v>CHEESE MOZZ LM PART SKIM
UNFZ PROCESSR PK</v>
          </cell>
          <cell r="I118">
            <v>3.75</v>
          </cell>
        </row>
        <row r="119">
          <cell r="A119">
            <v>74710</v>
          </cell>
          <cell r="B119" t="str">
            <v>Tony's Smart Classic Wedge 4 Block Pepp</v>
          </cell>
          <cell r="C119">
            <v>23.5</v>
          </cell>
          <cell r="D119">
            <v>80</v>
          </cell>
          <cell r="E119">
            <v>4.7</v>
          </cell>
          <cell r="F119" t="str">
            <v>B077</v>
          </cell>
          <cell r="G119" t="str">
            <v>100042/110244</v>
          </cell>
          <cell r="H119" t="str">
            <v>CHEESE MOZZ LM PART SKIM
UNFZ PROCESSR PK</v>
          </cell>
          <cell r="I119">
            <v>3.25</v>
          </cell>
        </row>
        <row r="120">
          <cell r="A120">
            <v>74711</v>
          </cell>
          <cell r="B120" t="str">
            <v>Tony's Smart Right Angle Wedge Cheese/Sub</v>
          </cell>
          <cell r="C120">
            <v>28.2</v>
          </cell>
          <cell r="D120">
            <v>96</v>
          </cell>
          <cell r="E120">
            <v>4.7</v>
          </cell>
          <cell r="F120" t="str">
            <v>B077</v>
          </cell>
          <cell r="G120" t="str">
            <v>100042/110244</v>
          </cell>
          <cell r="H120" t="str">
            <v>CHEESE MOZZ LM PART SKIM
UNFZ PROCESSR PK</v>
          </cell>
          <cell r="I120">
            <v>4.5</v>
          </cell>
        </row>
        <row r="121">
          <cell r="A121">
            <v>74712</v>
          </cell>
          <cell r="B121" t="str">
            <v>Tony's Smart Right Angle Wedge Pepp</v>
          </cell>
          <cell r="C121">
            <v>28.74</v>
          </cell>
          <cell r="D121">
            <v>96</v>
          </cell>
          <cell r="E121">
            <v>4.79</v>
          </cell>
          <cell r="F121" t="str">
            <v>B077</v>
          </cell>
          <cell r="G121" t="str">
            <v>100042/110244</v>
          </cell>
          <cell r="H121" t="str">
            <v>CHEESE MOZZ LM PART SKIM
UNFZ PROCESSR PK</v>
          </cell>
          <cell r="I121">
            <v>3.9</v>
          </cell>
        </row>
        <row r="122">
          <cell r="A122">
            <v>74716</v>
          </cell>
          <cell r="B122" t="str">
            <v>Tony's SEW Sausage 100% Mozz</v>
          </cell>
          <cell r="C122">
            <v>23.5</v>
          </cell>
          <cell r="D122">
            <v>80</v>
          </cell>
          <cell r="E122">
            <v>4.7</v>
          </cell>
          <cell r="F122" t="str">
            <v>B077</v>
          </cell>
          <cell r="G122" t="str">
            <v>100042/110244</v>
          </cell>
          <cell r="H122" t="str">
            <v>CHEESE MOZZ LM PART SKIM
UNFZ PROCESSR PK</v>
          </cell>
          <cell r="I122">
            <v>5.7</v>
          </cell>
        </row>
        <row r="123">
          <cell r="A123">
            <v>74793</v>
          </cell>
          <cell r="B123" t="str">
            <v>4x6 Cheese IW</v>
          </cell>
          <cell r="C123">
            <v>27</v>
          </cell>
          <cell r="D123">
            <v>96</v>
          </cell>
          <cell r="E123">
            <v>4.5</v>
          </cell>
          <cell r="F123" t="str">
            <v>B077</v>
          </cell>
          <cell r="G123" t="str">
            <v>100042/110244</v>
          </cell>
          <cell r="H123" t="str">
            <v>CHEESE MOZZ LM PART SKIM
UNFZ PROCESSR PK</v>
          </cell>
          <cell r="I123">
            <v>7.5</v>
          </cell>
        </row>
        <row r="124">
          <cell r="A124">
            <v>74794</v>
          </cell>
          <cell r="B124" t="str">
            <v>4x6 Cheese Bulk</v>
          </cell>
          <cell r="C124">
            <v>27</v>
          </cell>
          <cell r="D124">
            <v>96</v>
          </cell>
          <cell r="E124">
            <v>4.5</v>
          </cell>
          <cell r="F124" t="str">
            <v>B077</v>
          </cell>
          <cell r="G124" t="str">
            <v>100042/110244</v>
          </cell>
          <cell r="H124" t="str">
            <v>CHEESE MOZZ LM PART SKIM
UNFZ PROCESSR PK</v>
          </cell>
          <cell r="I124">
            <v>7.5</v>
          </cell>
        </row>
        <row r="125">
          <cell r="A125">
            <v>74801</v>
          </cell>
          <cell r="B125" t="str">
            <v>Whole Grain Deep Dish Pepp Pizza (TR)</v>
          </cell>
          <cell r="C125">
            <v>22.5</v>
          </cell>
          <cell r="D125">
            <v>60</v>
          </cell>
          <cell r="E125">
            <v>6</v>
          </cell>
          <cell r="F125" t="str">
            <v>B077</v>
          </cell>
          <cell r="G125" t="str">
            <v>100042/110244</v>
          </cell>
          <cell r="H125" t="str">
            <v>CHEESE MOZZ LM PART SKIM
UNFZ PROCESSR PK</v>
          </cell>
          <cell r="I125">
            <v>5.7</v>
          </cell>
        </row>
        <row r="126">
          <cell r="A126">
            <v>74802</v>
          </cell>
          <cell r="B126" t="str">
            <v>Whole Grain Deep Dish Pepp Pizza Wraped (TR)</v>
          </cell>
          <cell r="C126">
            <v>22.5</v>
          </cell>
          <cell r="D126">
            <v>60</v>
          </cell>
          <cell r="E126">
            <v>6</v>
          </cell>
          <cell r="F126" t="str">
            <v>B077</v>
          </cell>
          <cell r="G126" t="str">
            <v>100042/110244</v>
          </cell>
          <cell r="H126" t="str">
            <v>CHEESE MOZZ LM PART SKIM
UNFZ PROCESSR PK</v>
          </cell>
          <cell r="I126">
            <v>5.7</v>
          </cell>
        </row>
        <row r="127">
          <cell r="A127">
            <v>74803</v>
          </cell>
          <cell r="B127" t="str">
            <v>Whole Grain Deep Dish Chs Pizza  (TR)</v>
          </cell>
          <cell r="C127">
            <v>22.5</v>
          </cell>
          <cell r="D127">
            <v>60</v>
          </cell>
          <cell r="E127">
            <v>6</v>
          </cell>
          <cell r="F127" t="str">
            <v>B077</v>
          </cell>
          <cell r="G127" t="str">
            <v>100042/110244</v>
          </cell>
          <cell r="H127" t="str">
            <v>CHEESE MOZZ LM PART SKIM
UNFZ PROCESSR PK</v>
          </cell>
          <cell r="I127">
            <v>7.5</v>
          </cell>
        </row>
        <row r="128">
          <cell r="A128">
            <v>74804</v>
          </cell>
          <cell r="B128" t="str">
            <v>Whole Grain Deep Dish Chs Pizza Wrapd (TR)</v>
          </cell>
          <cell r="C128">
            <v>22.5</v>
          </cell>
          <cell r="D128">
            <v>60</v>
          </cell>
          <cell r="E128">
            <v>6</v>
          </cell>
          <cell r="F128" t="str">
            <v>B077</v>
          </cell>
          <cell r="G128" t="str">
            <v>100042/110244</v>
          </cell>
          <cell r="H128" t="str">
            <v>CHEESE MOZZ LM PART SKIM
UNFZ PROCESSR PK</v>
          </cell>
          <cell r="I128">
            <v>7.5</v>
          </cell>
        </row>
        <row r="129">
          <cell r="A129">
            <v>74805</v>
          </cell>
          <cell r="B129" t="str">
            <v>Rounded Edge Cheese Pizza (TR)</v>
          </cell>
          <cell r="C129">
            <v>26.25</v>
          </cell>
          <cell r="D129">
            <v>84</v>
          </cell>
          <cell r="E129">
            <v>5</v>
          </cell>
          <cell r="F129" t="str">
            <v>B077</v>
          </cell>
          <cell r="G129" t="str">
            <v>100042/110244</v>
          </cell>
          <cell r="H129" t="str">
            <v>CHEESE MOZZ LM PART SKIM
UNFZ PROCESSR PK</v>
          </cell>
          <cell r="I129">
            <v>10.5</v>
          </cell>
        </row>
        <row r="130">
          <cell r="A130">
            <v>74806</v>
          </cell>
          <cell r="B130" t="str">
            <v>Rounded Edge Wedge Chs Pizza Wrapped (TR)</v>
          </cell>
          <cell r="C130">
            <v>26.25</v>
          </cell>
          <cell r="D130">
            <v>84</v>
          </cell>
          <cell r="E130">
            <v>5</v>
          </cell>
          <cell r="F130" t="str">
            <v>B077</v>
          </cell>
          <cell r="G130" t="str">
            <v>100042/110244</v>
          </cell>
          <cell r="H130" t="str">
            <v>CHEESE MOZZ LM PART SKIM
UNFZ PROCESSR PK</v>
          </cell>
          <cell r="I130">
            <v>10.5</v>
          </cell>
        </row>
        <row r="131">
          <cell r="A131">
            <v>74807</v>
          </cell>
          <cell r="B131" t="str">
            <v>Rounded Edge Wedge Pepp Pizza (TR)</v>
          </cell>
          <cell r="C131">
            <v>26.25</v>
          </cell>
          <cell r="D131">
            <v>84</v>
          </cell>
          <cell r="E131">
            <v>5</v>
          </cell>
          <cell r="F131" t="str">
            <v>B077</v>
          </cell>
          <cell r="G131" t="str">
            <v>100042/110244</v>
          </cell>
          <cell r="H131" t="str">
            <v>CHEESE MOZZ LM PART SKIM
UNFZ PROCESSR PK</v>
          </cell>
          <cell r="I131">
            <v>8.98</v>
          </cell>
        </row>
        <row r="132">
          <cell r="A132">
            <v>74808</v>
          </cell>
          <cell r="B132" t="str">
            <v>Rounded Edge Wedge Pepp Pizza Wrapd (TR)</v>
          </cell>
          <cell r="C132">
            <v>26.25</v>
          </cell>
          <cell r="D132">
            <v>84</v>
          </cell>
          <cell r="E132">
            <v>5</v>
          </cell>
          <cell r="F132" t="str">
            <v>B077</v>
          </cell>
          <cell r="G132" t="str">
            <v>100042/110244</v>
          </cell>
          <cell r="H132" t="str">
            <v>CHEESE MOZZ LM PART SKIM
UNFZ PROCESSR PK</v>
          </cell>
          <cell r="I132">
            <v>8.98</v>
          </cell>
        </row>
        <row r="133">
          <cell r="A133">
            <v>74809</v>
          </cell>
          <cell r="B133" t="str">
            <v>Turkey Sausage Pizza (TR)</v>
          </cell>
          <cell r="C133">
            <v>19.75</v>
          </cell>
          <cell r="D133">
            <v>100</v>
          </cell>
          <cell r="E133">
            <v>3.16</v>
          </cell>
          <cell r="F133" t="str">
            <v>B077</v>
          </cell>
          <cell r="G133" t="str">
            <v>100042/110244</v>
          </cell>
          <cell r="H133" t="str">
            <v>CHEESE MOZZ LM PART SKIM
UNFZ PROCESSR PK</v>
          </cell>
          <cell r="I133">
            <v>3.81</v>
          </cell>
        </row>
        <row r="134">
          <cell r="A134">
            <v>74810</v>
          </cell>
          <cell r="B134" t="str">
            <v>Turkey Sausage Pizza Wrapd (TR)</v>
          </cell>
          <cell r="C134">
            <v>19.75</v>
          </cell>
          <cell r="D134">
            <v>100</v>
          </cell>
          <cell r="E134">
            <v>3.16</v>
          </cell>
          <cell r="F134" t="str">
            <v>B077</v>
          </cell>
          <cell r="G134" t="str">
            <v>100042/110244</v>
          </cell>
          <cell r="H134" t="str">
            <v>CHEESE MOZZ LM PART SKIM
UNFZ PROCESSR PK</v>
          </cell>
          <cell r="I134">
            <v>3.81</v>
          </cell>
        </row>
        <row r="135">
          <cell r="A135">
            <v>74811</v>
          </cell>
          <cell r="B135" t="str">
            <v>3x8 Garlic Cheese Toast (TR)</v>
          </cell>
          <cell r="C135">
            <v>16.05</v>
          </cell>
          <cell r="D135">
            <v>48</v>
          </cell>
          <cell r="E135">
            <v>5.35</v>
          </cell>
          <cell r="F135" t="str">
            <v>B077</v>
          </cell>
          <cell r="G135" t="str">
            <v>100042/110244</v>
          </cell>
          <cell r="H135" t="str">
            <v>CHEESE MOZZ LM PART SKIM
UNFZ PROCESSR PK</v>
          </cell>
          <cell r="I135">
            <v>6</v>
          </cell>
        </row>
        <row r="136">
          <cell r="A136">
            <v>74812</v>
          </cell>
          <cell r="B136" t="str">
            <v>3x8 Garlic Cheese Toast Wrapped (TR)</v>
          </cell>
          <cell r="C136">
            <v>16.05</v>
          </cell>
          <cell r="D136">
            <v>48</v>
          </cell>
          <cell r="E136">
            <v>5.35</v>
          </cell>
          <cell r="F136" t="str">
            <v>B077</v>
          </cell>
          <cell r="G136" t="str">
            <v>100042/110244</v>
          </cell>
          <cell r="H136" t="str">
            <v>CHEESE MOZZ LM PART SKIM
UNFZ PROCESSR PK</v>
          </cell>
          <cell r="I136">
            <v>6</v>
          </cell>
        </row>
        <row r="137">
          <cell r="A137">
            <v>74813</v>
          </cell>
          <cell r="B137" t="str">
            <v>3x5 Garlic Cheese Toast (TR)</v>
          </cell>
          <cell r="C137">
            <v>15.19</v>
          </cell>
          <cell r="D137">
            <v>90</v>
          </cell>
          <cell r="E137">
            <v>2.7</v>
          </cell>
          <cell r="F137" t="str">
            <v>B077</v>
          </cell>
          <cell r="G137" t="str">
            <v>100042/110244</v>
          </cell>
          <cell r="H137" t="str">
            <v>CHEESE MOZZ LM PART SKIM
UNFZ PROCESSR PK</v>
          </cell>
          <cell r="I137">
            <v>5.63</v>
          </cell>
        </row>
        <row r="138">
          <cell r="A138">
            <v>74814</v>
          </cell>
          <cell r="B138" t="str">
            <v>3x5 Garlic Cheese Toast Wrapped (TR)</v>
          </cell>
          <cell r="C138">
            <v>15.19</v>
          </cell>
          <cell r="D138">
            <v>90</v>
          </cell>
          <cell r="E138">
            <v>2.7</v>
          </cell>
          <cell r="F138" t="str">
            <v>B077</v>
          </cell>
          <cell r="G138" t="str">
            <v>100042/110244</v>
          </cell>
          <cell r="H138" t="str">
            <v>CHEESE MOZZ LM PART SKIM
UNFZ PROCESSR PK</v>
          </cell>
          <cell r="I138">
            <v>5.63</v>
          </cell>
        </row>
        <row r="139">
          <cell r="A139">
            <v>74815</v>
          </cell>
          <cell r="B139" t="str">
            <v>French Bread Pepp Pizza Wrapped (TR)</v>
          </cell>
          <cell r="C139">
            <v>18.75</v>
          </cell>
          <cell r="D139">
            <v>60</v>
          </cell>
          <cell r="E139">
            <v>5</v>
          </cell>
          <cell r="F139" t="str">
            <v>B077</v>
          </cell>
          <cell r="G139" t="str">
            <v>100042/110244</v>
          </cell>
          <cell r="H139" t="str">
            <v>CHEESE MOZZ LM PART SKIM
UNFZ PROCESSR PK</v>
          </cell>
          <cell r="I139">
            <v>5.7</v>
          </cell>
        </row>
        <row r="140">
          <cell r="A140">
            <v>74816</v>
          </cell>
          <cell r="B140" t="str">
            <v>4x6 Cheese Pizza Wrapped (TR)</v>
          </cell>
          <cell r="C140">
            <v>30</v>
          </cell>
          <cell r="D140">
            <v>96</v>
          </cell>
          <cell r="E140">
            <v>5</v>
          </cell>
          <cell r="F140" t="str">
            <v>B077</v>
          </cell>
          <cell r="G140" t="str">
            <v>100042/110244</v>
          </cell>
          <cell r="H140" t="str">
            <v>CHEESE MOZZ LM PART SKIM
UNFZ PROCESSR PK</v>
          </cell>
          <cell r="I140">
            <v>12</v>
          </cell>
        </row>
        <row r="141">
          <cell r="A141">
            <v>74817</v>
          </cell>
          <cell r="B141" t="str">
            <v>Pepperoni Pizza Bagel</v>
          </cell>
          <cell r="C141">
            <v>28.61</v>
          </cell>
          <cell r="D141">
            <v>84</v>
          </cell>
          <cell r="E141">
            <v>5.45</v>
          </cell>
          <cell r="F141" t="str">
            <v>B077</v>
          </cell>
          <cell r="G141" t="str">
            <v>100042/110244</v>
          </cell>
          <cell r="H141" t="str">
            <v>CHEESE MOZZ LM PART SKIM
UNFZ PROCESSR PK</v>
          </cell>
          <cell r="I141">
            <v>7.98</v>
          </cell>
        </row>
        <row r="142">
          <cell r="A142">
            <v>74833</v>
          </cell>
          <cell r="B142" t="str">
            <v>4x6 Cheese Pizza Wrapped (TR)</v>
          </cell>
          <cell r="C142">
            <v>30</v>
          </cell>
          <cell r="D142">
            <v>96</v>
          </cell>
          <cell r="E142">
            <v>5</v>
          </cell>
          <cell r="F142" t="str">
            <v>B077</v>
          </cell>
          <cell r="G142" t="str">
            <v>100042/110244</v>
          </cell>
          <cell r="H142" t="str">
            <v>CHEESE MOZZ LM PART SKIM
UNFZ PROCESSR PK</v>
          </cell>
          <cell r="I142">
            <v>12</v>
          </cell>
        </row>
        <row r="143">
          <cell r="A143">
            <v>74834</v>
          </cell>
          <cell r="B143" t="str">
            <v>Cheese Wedge Pizza (TR)</v>
          </cell>
          <cell r="C143">
            <v>27</v>
          </cell>
          <cell r="D143">
            <v>96</v>
          </cell>
          <cell r="E143">
            <v>4.5</v>
          </cell>
          <cell r="F143" t="str">
            <v>B077</v>
          </cell>
          <cell r="G143" t="str">
            <v>100042/110244</v>
          </cell>
          <cell r="H143" t="str">
            <v>CHEESE MOZZ LM PART SKIM
UNFZ PROCESSR PK</v>
          </cell>
          <cell r="I143">
            <v>9</v>
          </cell>
        </row>
        <row r="144">
          <cell r="A144">
            <v>74835</v>
          </cell>
          <cell r="B144" t="str">
            <v>Tony's Pizza Strip 3.1 oz Pepp Bulk</v>
          </cell>
          <cell r="C144">
            <v>9.3000000000000007</v>
          </cell>
          <cell r="D144">
            <v>48</v>
          </cell>
          <cell r="E144">
            <v>3.1</v>
          </cell>
          <cell r="F144" t="str">
            <v>B077</v>
          </cell>
          <cell r="G144" t="str">
            <v>100042/110244</v>
          </cell>
          <cell r="H144" t="str">
            <v>CHEESE MOZZ LM PART SKIM
UNFZ PROCESSR PK</v>
          </cell>
          <cell r="I144">
            <v>1.26</v>
          </cell>
        </row>
        <row r="145">
          <cell r="A145">
            <v>74836</v>
          </cell>
          <cell r="B145" t="str">
            <v>Tony's Pizza Strip 3.1 oz Pepp IW</v>
          </cell>
          <cell r="C145">
            <v>9.3000000000000007</v>
          </cell>
          <cell r="D145">
            <v>48</v>
          </cell>
          <cell r="E145">
            <v>3.1</v>
          </cell>
          <cell r="F145" t="str">
            <v>B077</v>
          </cell>
          <cell r="G145" t="str">
            <v>100042/110244</v>
          </cell>
          <cell r="H145" t="str">
            <v>CHEESE MOZZ LM PART SKIM
UNFZ PROCESSR PK</v>
          </cell>
          <cell r="I145">
            <v>1.26</v>
          </cell>
        </row>
        <row r="146">
          <cell r="A146">
            <v>74837</v>
          </cell>
          <cell r="B146" t="str">
            <v>Tony's Stuffed Sandwich turkey Pepp Bulk-revised</v>
          </cell>
          <cell r="C146">
            <v>13.38</v>
          </cell>
          <cell r="D146">
            <v>48</v>
          </cell>
          <cell r="E146">
            <v>4.46</v>
          </cell>
          <cell r="F146" t="str">
            <v>B077</v>
          </cell>
          <cell r="G146" t="str">
            <v>100042/110244</v>
          </cell>
          <cell r="H146" t="str">
            <v>CHEESE MOZZ LM PART SKIM
UNFZ PROCESSR PK</v>
          </cell>
          <cell r="I146">
            <v>2.65</v>
          </cell>
        </row>
        <row r="147">
          <cell r="A147">
            <v>74838</v>
          </cell>
          <cell r="B147" t="str">
            <v>Tony's Stuff Sandwich Turkey Pepp IW-revised</v>
          </cell>
          <cell r="C147">
            <v>6.69</v>
          </cell>
          <cell r="D147">
            <v>24</v>
          </cell>
          <cell r="E147">
            <v>4.46</v>
          </cell>
          <cell r="F147" t="str">
            <v>B077</v>
          </cell>
          <cell r="G147" t="str">
            <v>100042/110244</v>
          </cell>
          <cell r="H147" t="str">
            <v>CHEESE MOZZ LM PART SKIM
UNFZ PROCESSR PK</v>
          </cell>
          <cell r="I147">
            <v>1.32</v>
          </cell>
        </row>
        <row r="148">
          <cell r="A148">
            <v>78329</v>
          </cell>
          <cell r="B148" t="str">
            <v>Tony's WG 4x6 Thin Crust 4x6 Pepp IW</v>
          </cell>
          <cell r="C148">
            <v>30</v>
          </cell>
          <cell r="D148">
            <v>96</v>
          </cell>
          <cell r="E148">
            <v>5</v>
          </cell>
          <cell r="F148" t="str">
            <v>B077</v>
          </cell>
          <cell r="G148" t="str">
            <v>100042/110244</v>
          </cell>
          <cell r="H148" t="str">
            <v>CHEESE MOZZ LM PART SKIM
UNFZ PROCESSR PK</v>
          </cell>
          <cell r="I148">
            <v>10.26</v>
          </cell>
        </row>
        <row r="149">
          <cell r="A149">
            <v>78330</v>
          </cell>
          <cell r="B149" t="str">
            <v>Tony's WG Classic Wedge WG Pepp IW</v>
          </cell>
          <cell r="C149">
            <v>30.06</v>
          </cell>
          <cell r="D149">
            <v>96</v>
          </cell>
          <cell r="E149">
            <v>5.01</v>
          </cell>
          <cell r="F149" t="str">
            <v>B077</v>
          </cell>
          <cell r="G149" t="str">
            <v>100042/110244</v>
          </cell>
          <cell r="H149" t="str">
            <v>CHEESE MOZZ LM PART SKIM
UNFZ PROCESSR PK</v>
          </cell>
          <cell r="I149">
            <v>10.26</v>
          </cell>
        </row>
        <row r="150">
          <cell r="A150">
            <v>78331</v>
          </cell>
          <cell r="B150" t="str">
            <v>Tony's WG 6" French Bread Cheese</v>
          </cell>
          <cell r="C150">
            <v>18.75</v>
          </cell>
          <cell r="D150">
            <v>60</v>
          </cell>
          <cell r="E150">
            <v>5</v>
          </cell>
          <cell r="F150" t="str">
            <v>B077</v>
          </cell>
          <cell r="G150" t="str">
            <v>100042/110244</v>
          </cell>
          <cell r="H150" t="str">
            <v>CHEESE MOZZ LM PART SKIM
UNFZ PROCESSR PK</v>
          </cell>
          <cell r="I150">
            <v>7.69</v>
          </cell>
        </row>
        <row r="151">
          <cell r="A151">
            <v>78352</v>
          </cell>
          <cell r="B151" t="str">
            <v>3x4 Turkey Sausage Breakfast Squares</v>
          </cell>
          <cell r="C151">
            <v>24.05</v>
          </cell>
          <cell r="D151">
            <v>128</v>
          </cell>
          <cell r="E151">
            <v>3.01</v>
          </cell>
          <cell r="F151" t="str">
            <v>B077</v>
          </cell>
          <cell r="G151" t="str">
            <v>100042/110244</v>
          </cell>
          <cell r="H151" t="str">
            <v>CHEESE MOZZ LM PART SKIM
UNFZ PROCESSR PK</v>
          </cell>
          <cell r="I151">
            <v>2.36</v>
          </cell>
        </row>
        <row r="152">
          <cell r="A152">
            <v>78353</v>
          </cell>
          <cell r="B152" t="str">
            <v>3x4 LS Bacon Scramble Squares</v>
          </cell>
          <cell r="C152">
            <v>23.6</v>
          </cell>
          <cell r="D152">
            <v>128</v>
          </cell>
          <cell r="E152">
            <v>2.95</v>
          </cell>
          <cell r="F152" t="str">
            <v>B077</v>
          </cell>
          <cell r="G152" t="str">
            <v>100042/110244</v>
          </cell>
          <cell r="H152" t="str">
            <v>CHEESE MOZZ LM PART SKIM
UNFZ PROCESSR PK</v>
          </cell>
          <cell r="I152">
            <v>5.23</v>
          </cell>
        </row>
        <row r="153">
          <cell r="A153">
            <v>78354</v>
          </cell>
          <cell r="B153" t="str">
            <v>7" 51% WG Rising Crust Cheese- update bom</v>
          </cell>
          <cell r="C153">
            <v>21.81</v>
          </cell>
          <cell r="D153">
            <v>48</v>
          </cell>
          <cell r="E153">
            <v>7.27</v>
          </cell>
          <cell r="F153" t="str">
            <v>B077</v>
          </cell>
          <cell r="G153" t="str">
            <v>100042/110244</v>
          </cell>
          <cell r="H153" t="str">
            <v>CHEESE MOZZ LM PART SKIM
UNFZ PROCESSR PK</v>
          </cell>
          <cell r="I153">
            <v>6</v>
          </cell>
        </row>
        <row r="154">
          <cell r="A154">
            <v>78355</v>
          </cell>
          <cell r="B154" t="str">
            <v>7" 51% WG Rising Crust Pepp-update bom</v>
          </cell>
          <cell r="C154">
            <v>21.9</v>
          </cell>
          <cell r="D154">
            <v>48</v>
          </cell>
          <cell r="E154">
            <v>7.3</v>
          </cell>
          <cell r="F154" t="str">
            <v>B077</v>
          </cell>
          <cell r="G154" t="str">
            <v>100042/110244</v>
          </cell>
          <cell r="H154" t="str">
            <v>CHEESE MOZZ LM PART SKIM
UNFZ PROCESSR PK</v>
          </cell>
          <cell r="I154">
            <v>5.25</v>
          </cell>
        </row>
        <row r="155">
          <cell r="A155">
            <v>78356</v>
          </cell>
          <cell r="B155" t="str">
            <v>6" Cheese 51% Whole Grain</v>
          </cell>
          <cell r="C155">
            <v>18.41</v>
          </cell>
          <cell r="D155">
            <v>60</v>
          </cell>
          <cell r="E155">
            <v>4.91</v>
          </cell>
          <cell r="F155" t="str">
            <v>B077</v>
          </cell>
          <cell r="G155" t="str">
            <v>100042/110244</v>
          </cell>
          <cell r="H155" t="str">
            <v>CHEESE MOZZ LM PART SKIM
UNFZ PROCESSR PK</v>
          </cell>
          <cell r="I155">
            <v>4.0199999999999996</v>
          </cell>
        </row>
        <row r="156">
          <cell r="A156">
            <v>78357</v>
          </cell>
          <cell r="B156" t="str">
            <v>6" Pepperoni 51% Whole Grain</v>
          </cell>
          <cell r="C156">
            <v>18.38</v>
          </cell>
          <cell r="D156">
            <v>60</v>
          </cell>
          <cell r="E156">
            <v>4.9000000000000004</v>
          </cell>
          <cell r="F156" t="str">
            <v>B077</v>
          </cell>
          <cell r="G156" t="str">
            <v>100042/110244</v>
          </cell>
          <cell r="H156" t="str">
            <v>CHEESE MOZZ LM PART SKIM
UNFZ PROCESSR PK</v>
          </cell>
          <cell r="I156">
            <v>4.2699999999999996</v>
          </cell>
        </row>
        <row r="157">
          <cell r="A157">
            <v>78358</v>
          </cell>
          <cell r="B157" t="str">
            <v>6" Sausage 51% Whole Grain</v>
          </cell>
          <cell r="C157">
            <v>18.75</v>
          </cell>
          <cell r="D157">
            <v>60</v>
          </cell>
          <cell r="E157">
            <v>5</v>
          </cell>
          <cell r="F157" t="str">
            <v>B077</v>
          </cell>
          <cell r="G157" t="str">
            <v>100042/110244</v>
          </cell>
          <cell r="H157" t="str">
            <v>CHEESE MOZZ LM PART SKIM
UNFZ PROCESSR PK</v>
          </cell>
          <cell r="I157">
            <v>2.5299999999999998</v>
          </cell>
        </row>
        <row r="158">
          <cell r="A158">
            <v>78359</v>
          </cell>
          <cell r="B158" t="str">
            <v>6" MultiCheese 51% Whole Grain</v>
          </cell>
          <cell r="C158">
            <v>15.98</v>
          </cell>
          <cell r="D158">
            <v>60</v>
          </cell>
          <cell r="E158">
            <v>4.26</v>
          </cell>
          <cell r="F158" t="str">
            <v>B077</v>
          </cell>
          <cell r="G158" t="str">
            <v>100042/110244</v>
          </cell>
          <cell r="H158" t="str">
            <v>CHEESE MOZZ LM PART SKIM
UNFZ PROCESSR PK</v>
          </cell>
          <cell r="I158">
            <v>4.96</v>
          </cell>
        </row>
        <row r="159">
          <cell r="A159">
            <v>78360</v>
          </cell>
          <cell r="B159" t="str">
            <v>6" Pepp 51% Whole Grain IW</v>
          </cell>
          <cell r="C159">
            <v>18.38</v>
          </cell>
          <cell r="D159">
            <v>60</v>
          </cell>
          <cell r="E159">
            <v>4.9000000000000004</v>
          </cell>
          <cell r="F159" t="str">
            <v>B077</v>
          </cell>
          <cell r="G159" t="str">
            <v>100042/110244</v>
          </cell>
          <cell r="H159" t="str">
            <v>CHEESE MOZZ LM PART SKIM
UNFZ PROCESSR PK</v>
          </cell>
          <cell r="I159">
            <v>4.2699999999999996</v>
          </cell>
        </row>
        <row r="160">
          <cell r="A160">
            <v>78361</v>
          </cell>
          <cell r="B160" t="str">
            <v>6" MultiCheese 51% Whole Grain IW</v>
          </cell>
          <cell r="C160">
            <v>15.98</v>
          </cell>
          <cell r="D160">
            <v>60</v>
          </cell>
          <cell r="E160">
            <v>4.26</v>
          </cell>
          <cell r="F160" t="str">
            <v>B077</v>
          </cell>
          <cell r="G160" t="str">
            <v>100042/110244</v>
          </cell>
          <cell r="H160" t="str">
            <v>CHEESE MOZZ LM PART SKIM
UNFZ PROCESSR PK</v>
          </cell>
          <cell r="I160">
            <v>4.96</v>
          </cell>
        </row>
        <row r="161">
          <cell r="A161">
            <v>78362</v>
          </cell>
          <cell r="B161" t="str">
            <v>Turkey Sausage Bagel (Red Sauce)</v>
          </cell>
          <cell r="C161">
            <v>15.9</v>
          </cell>
          <cell r="D161">
            <v>96</v>
          </cell>
          <cell r="E161">
            <v>2.65</v>
          </cell>
          <cell r="F161" t="str">
            <v>B077</v>
          </cell>
          <cell r="G161" t="str">
            <v>100042/110244</v>
          </cell>
          <cell r="H161" t="str">
            <v>CHEESE MOZZ LM PART SKIM
UNFZ PROCESSR PK</v>
          </cell>
          <cell r="I161">
            <v>3.96</v>
          </cell>
        </row>
        <row r="162">
          <cell r="A162">
            <v>78363</v>
          </cell>
          <cell r="B162" t="str">
            <v>Turkey Sausage Bagel (White Sauce)</v>
          </cell>
          <cell r="C162">
            <v>15.72</v>
          </cell>
          <cell r="D162">
            <v>96</v>
          </cell>
          <cell r="E162">
            <v>2.62</v>
          </cell>
          <cell r="F162" t="str">
            <v>B077</v>
          </cell>
          <cell r="G162" t="str">
            <v>100042/110244</v>
          </cell>
          <cell r="H162" t="str">
            <v>CHEESE MOZZ LM PART SKIM
UNFZ PROCESSR PK</v>
          </cell>
          <cell r="I162">
            <v>4.08</v>
          </cell>
        </row>
        <row r="163">
          <cell r="A163">
            <v>78364</v>
          </cell>
          <cell r="B163" t="str">
            <v>4" Galaxy Cheese Bulk</v>
          </cell>
          <cell r="C163">
            <v>20.48</v>
          </cell>
          <cell r="D163">
            <v>72</v>
          </cell>
          <cell r="E163">
            <v>4.55</v>
          </cell>
          <cell r="F163" t="str">
            <v>B077</v>
          </cell>
          <cell r="G163" t="str">
            <v>100042/110244</v>
          </cell>
          <cell r="H163" t="str">
            <v>CHEESE MOZZ LM PART SKIM
UNFZ PROCESSR PK</v>
          </cell>
          <cell r="I163">
            <v>6.75</v>
          </cell>
        </row>
        <row r="164">
          <cell r="A164">
            <v>78365</v>
          </cell>
          <cell r="B164" t="str">
            <v>4" Galaxy Pepperoni Bulk</v>
          </cell>
          <cell r="C164">
            <v>20.48</v>
          </cell>
          <cell r="D164">
            <v>72</v>
          </cell>
          <cell r="E164">
            <v>4.55</v>
          </cell>
          <cell r="F164" t="str">
            <v>B077</v>
          </cell>
          <cell r="G164" t="str">
            <v>100042/110244</v>
          </cell>
          <cell r="H164" t="str">
            <v>CHEESE MOZZ LM PART SKIM
UNFZ PROCESSR PK</v>
          </cell>
          <cell r="I164">
            <v>5.4</v>
          </cell>
        </row>
        <row r="165">
          <cell r="A165">
            <v>78366</v>
          </cell>
          <cell r="B165" t="str">
            <v>4" Galaxy Cheese IW</v>
          </cell>
          <cell r="C165">
            <v>20.48</v>
          </cell>
          <cell r="D165">
            <v>72</v>
          </cell>
          <cell r="E165">
            <v>4.55</v>
          </cell>
          <cell r="F165" t="str">
            <v>B077</v>
          </cell>
          <cell r="G165" t="str">
            <v>100042/110244</v>
          </cell>
          <cell r="H165" t="str">
            <v>CHEESE MOZZ LM PART SKIM
UNFZ PROCESSR PK</v>
          </cell>
          <cell r="I165">
            <v>6.75</v>
          </cell>
        </row>
        <row r="166">
          <cell r="A166">
            <v>78367</v>
          </cell>
          <cell r="B166" t="str">
            <v>4" Galaxy Pepperoni IW</v>
          </cell>
          <cell r="C166">
            <v>20.48</v>
          </cell>
          <cell r="D166">
            <v>72</v>
          </cell>
          <cell r="E166">
            <v>4.55</v>
          </cell>
          <cell r="F166" t="str">
            <v>B077</v>
          </cell>
          <cell r="G166" t="str">
            <v>100042/110244</v>
          </cell>
          <cell r="H166" t="str">
            <v>CHEESE MOZZ LM PART SKIM
UNFZ PROCESSR PK</v>
          </cell>
          <cell r="I166">
            <v>5.4</v>
          </cell>
        </row>
        <row r="167">
          <cell r="A167">
            <v>78368</v>
          </cell>
          <cell r="B167" t="str">
            <v>5" Deep Dish Cheese Bulk</v>
          </cell>
          <cell r="C167">
            <v>21.94</v>
          </cell>
          <cell r="D167">
            <v>60</v>
          </cell>
          <cell r="E167">
            <v>5.85</v>
          </cell>
          <cell r="F167" t="str">
            <v>B077</v>
          </cell>
          <cell r="G167" t="str">
            <v>100042/110244</v>
          </cell>
          <cell r="H167" t="str">
            <v>CHEESE MOZZ LM PART SKIM
UNFZ PROCESSR PK</v>
          </cell>
          <cell r="I167">
            <v>5.63</v>
          </cell>
        </row>
        <row r="168">
          <cell r="A168">
            <v>78369</v>
          </cell>
          <cell r="B168" t="str">
            <v>5" Deep Dish Pepp Bulk</v>
          </cell>
          <cell r="C168">
            <v>21.94</v>
          </cell>
          <cell r="D168">
            <v>60</v>
          </cell>
          <cell r="E168">
            <v>5.85</v>
          </cell>
          <cell r="F168" t="str">
            <v>B077</v>
          </cell>
          <cell r="G168" t="str">
            <v>100042/110244</v>
          </cell>
          <cell r="H168" t="str">
            <v>CHEESE MOZZ LM PART SKIM
UNFZ PROCESSR PK</v>
          </cell>
          <cell r="I168">
            <v>4.3099999999999996</v>
          </cell>
        </row>
        <row r="169">
          <cell r="A169">
            <v>78370</v>
          </cell>
          <cell r="B169" t="str">
            <v>5" Deep Dish Cheese IW</v>
          </cell>
          <cell r="C169">
            <v>21.94</v>
          </cell>
          <cell r="D169">
            <v>60</v>
          </cell>
          <cell r="E169">
            <v>5.85</v>
          </cell>
          <cell r="F169" t="str">
            <v>B077</v>
          </cell>
          <cell r="G169" t="str">
            <v>100042/110244</v>
          </cell>
          <cell r="H169" t="str">
            <v>CHEESE MOZZ LM PART SKIM
UNFZ PROCESSR PK</v>
          </cell>
          <cell r="I169">
            <v>5.63</v>
          </cell>
        </row>
        <row r="170">
          <cell r="A170">
            <v>78371</v>
          </cell>
          <cell r="B170" t="str">
            <v>5" Deep Dish Pepperoni IW</v>
          </cell>
          <cell r="C170">
            <v>21.94</v>
          </cell>
          <cell r="D170">
            <v>60</v>
          </cell>
          <cell r="E170">
            <v>5.85</v>
          </cell>
          <cell r="F170" t="str">
            <v>B077</v>
          </cell>
          <cell r="G170" t="str">
            <v>100042/110244</v>
          </cell>
          <cell r="H170" t="str">
            <v>CHEESE MOZZ LM PART SKIM
UNFZ PROCESSR PK</v>
          </cell>
          <cell r="I170">
            <v>4.3099999999999996</v>
          </cell>
        </row>
        <row r="171">
          <cell r="A171">
            <v>78372</v>
          </cell>
          <cell r="B171" t="str">
            <v>Cheese Quesadilla</v>
          </cell>
          <cell r="C171">
            <v>26.63</v>
          </cell>
          <cell r="D171">
            <v>96</v>
          </cell>
          <cell r="E171">
            <v>4.4400000000000004</v>
          </cell>
          <cell r="F171" t="str">
            <v>B077</v>
          </cell>
          <cell r="G171" t="str">
            <v>100042/110244</v>
          </cell>
          <cell r="H171" t="str">
            <v>CHEESE MOZZ LM PART SKIM
UNFZ PROCESSR PK</v>
          </cell>
          <cell r="I171">
            <v>9.34</v>
          </cell>
        </row>
        <row r="172">
          <cell r="A172">
            <v>78373</v>
          </cell>
          <cell r="B172" t="str">
            <v>Chicken Quesadilla</v>
          </cell>
          <cell r="C172">
            <v>26.63</v>
          </cell>
          <cell r="D172">
            <v>96</v>
          </cell>
          <cell r="E172">
            <v>4.4400000000000004</v>
          </cell>
          <cell r="F172" t="str">
            <v>B077</v>
          </cell>
          <cell r="G172" t="str">
            <v>100042/110244</v>
          </cell>
          <cell r="H172" t="str">
            <v>CHEESE MOZZ LM PART SKIM
UNFZ PROCESSR PK</v>
          </cell>
          <cell r="I172">
            <v>6.88</v>
          </cell>
        </row>
        <row r="173">
          <cell r="A173">
            <v>78374</v>
          </cell>
          <cell r="B173" t="str">
            <v>Chili and Cheese Quesadilla</v>
          </cell>
          <cell r="C173">
            <v>27</v>
          </cell>
          <cell r="D173">
            <v>96</v>
          </cell>
          <cell r="E173">
            <v>4.4000000000000004</v>
          </cell>
          <cell r="F173" t="str">
            <v>B077</v>
          </cell>
          <cell r="G173" t="str">
            <v>100042/110244</v>
          </cell>
          <cell r="H173" t="str">
            <v>CHEESE MOZZ LM PART SKIM
UNFZ PROCESSR PK</v>
          </cell>
          <cell r="I173">
            <v>5.98</v>
          </cell>
        </row>
        <row r="174">
          <cell r="A174">
            <v>78375</v>
          </cell>
          <cell r="B174" t="str">
            <v>Tony's Stuffed  Stick Whole Grain</v>
          </cell>
          <cell r="C174">
            <v>26.43</v>
          </cell>
          <cell r="D174">
            <v>100</v>
          </cell>
          <cell r="E174">
            <v>4.2300000000000004</v>
          </cell>
          <cell r="F174" t="str">
            <v>B077</v>
          </cell>
          <cell r="G174" t="str">
            <v>100042/110244</v>
          </cell>
          <cell r="H174" t="str">
            <v>CHEESE MOZZ LM PART SKIM
UNFZ PROCESSR PK</v>
          </cell>
          <cell r="I174">
            <v>9.3699999999999992</v>
          </cell>
        </row>
        <row r="175">
          <cell r="A175">
            <v>78376</v>
          </cell>
          <cell r="B175" t="str">
            <v>Whole Grain Stuffed Sandwich Pepp</v>
          </cell>
          <cell r="C175">
            <v>13.59</v>
          </cell>
          <cell r="D175">
            <v>48</v>
          </cell>
          <cell r="E175">
            <v>4.53</v>
          </cell>
          <cell r="F175" t="str">
            <v>B077</v>
          </cell>
          <cell r="G175" t="str">
            <v>100042/110244</v>
          </cell>
          <cell r="H175" t="str">
            <v>CHEESE MOZZ LM PART SKIM
UNFZ PROCESSR PK</v>
          </cell>
          <cell r="I175">
            <v>2.71</v>
          </cell>
        </row>
        <row r="176">
          <cell r="A176">
            <v>78377</v>
          </cell>
          <cell r="B176" t="str">
            <v>Whole Grain Stuffed Sand Pepp IW</v>
          </cell>
          <cell r="C176">
            <v>6.8</v>
          </cell>
          <cell r="D176">
            <v>24</v>
          </cell>
          <cell r="E176">
            <v>4.53</v>
          </cell>
          <cell r="F176" t="str">
            <v>B077</v>
          </cell>
          <cell r="G176" t="str">
            <v>100042/110244</v>
          </cell>
          <cell r="H176" t="str">
            <v>CHEESE MOZZ LM PART SKIM
UNFZ PROCESSR PK</v>
          </cell>
          <cell r="I176">
            <v>1.36</v>
          </cell>
        </row>
        <row r="177">
          <cell r="A177">
            <v>78378</v>
          </cell>
          <cell r="B177" t="str">
            <v>Whole Grain Pepperoni Pizza Strip</v>
          </cell>
          <cell r="C177">
            <v>9.3000000000000007</v>
          </cell>
          <cell r="D177">
            <v>48</v>
          </cell>
          <cell r="E177">
            <v>3.1</v>
          </cell>
          <cell r="F177" t="str">
            <v>B077</v>
          </cell>
          <cell r="G177" t="str">
            <v>100042/110244</v>
          </cell>
          <cell r="H177" t="str">
            <v>CHEESE MOZZ LM PART SKIM
UNFZ PROCESSR PK</v>
          </cell>
          <cell r="I177">
            <v>1.32</v>
          </cell>
        </row>
        <row r="178">
          <cell r="A178">
            <v>78379</v>
          </cell>
          <cell r="B178" t="str">
            <v>Whole Grain Pepp Pizza Strip  IW</v>
          </cell>
          <cell r="C178">
            <v>9.3000000000000007</v>
          </cell>
          <cell r="D178">
            <v>48</v>
          </cell>
          <cell r="E178">
            <v>3.1</v>
          </cell>
          <cell r="F178" t="str">
            <v>B077</v>
          </cell>
          <cell r="G178" t="str">
            <v>100042/110244</v>
          </cell>
          <cell r="H178" t="str">
            <v>CHEESE MOZZ LM PART SKIM
UNFZ PROCESSR PK</v>
          </cell>
          <cell r="I178">
            <v>1.32</v>
          </cell>
        </row>
        <row r="179">
          <cell r="A179">
            <v>78380</v>
          </cell>
          <cell r="B179" t="str">
            <v>WG 7" Stuffed Crust Wedge Cheese</v>
          </cell>
          <cell r="C179">
            <v>27.24</v>
          </cell>
          <cell r="D179">
            <v>96</v>
          </cell>
          <cell r="E179">
            <v>4.54</v>
          </cell>
          <cell r="F179" t="str">
            <v>B077</v>
          </cell>
          <cell r="G179" t="str">
            <v>100042/110244</v>
          </cell>
          <cell r="H179" t="str">
            <v>CHEESE MOZZ LM PART SKIM
UNFZ PROCESSR PK</v>
          </cell>
          <cell r="I179">
            <v>6</v>
          </cell>
        </row>
        <row r="180">
          <cell r="A180">
            <v>78381</v>
          </cell>
          <cell r="B180" t="str">
            <v>WG 7" Stuffed Crust Wedge Pepp</v>
          </cell>
          <cell r="C180">
            <v>27.3</v>
          </cell>
          <cell r="D180">
            <v>96</v>
          </cell>
          <cell r="E180">
            <v>4.55</v>
          </cell>
          <cell r="F180" t="str">
            <v>B077</v>
          </cell>
          <cell r="G180" t="str">
            <v>100042/110244</v>
          </cell>
          <cell r="H180" t="str">
            <v>CHEESE MOZZ LM PART SKIM
UNFZ PROCESSR PK</v>
          </cell>
          <cell r="I180">
            <v>4.8899999999999997</v>
          </cell>
        </row>
        <row r="181">
          <cell r="A181">
            <v>78382</v>
          </cell>
          <cell r="B181" t="str">
            <v>51% WG SEW Cheese</v>
          </cell>
          <cell r="C181">
            <v>35.700000000000003</v>
          </cell>
          <cell r="D181">
            <v>96</v>
          </cell>
          <cell r="E181">
            <v>5.95</v>
          </cell>
          <cell r="F181" t="str">
            <v>B077</v>
          </cell>
          <cell r="G181" t="str">
            <v>100042/110244</v>
          </cell>
          <cell r="H181" t="str">
            <v>CHEESE MOZZ LM PART SKIM
UNFZ PROCESSR PK</v>
          </cell>
          <cell r="I181">
            <v>12</v>
          </cell>
        </row>
        <row r="182">
          <cell r="A182">
            <v>78383</v>
          </cell>
          <cell r="B182" t="str">
            <v>51% WG SEW Pepperoni Pizza</v>
          </cell>
          <cell r="C182">
            <v>35.82</v>
          </cell>
          <cell r="D182">
            <v>96</v>
          </cell>
          <cell r="E182">
            <v>5.97</v>
          </cell>
          <cell r="F182" t="str">
            <v>B077</v>
          </cell>
          <cell r="G182" t="str">
            <v>100042/110244</v>
          </cell>
          <cell r="H182" t="str">
            <v>CHEESE MOZZ LM PART SKIM
UNFZ PROCESSR PK</v>
          </cell>
          <cell r="I182">
            <v>10.5</v>
          </cell>
        </row>
        <row r="183">
          <cell r="A183">
            <v>78384</v>
          </cell>
          <cell r="B183" t="str">
            <v>51% WG SEW Cheese Pizza</v>
          </cell>
          <cell r="C183">
            <v>29.75</v>
          </cell>
          <cell r="D183">
            <v>80</v>
          </cell>
          <cell r="E183">
            <v>5.95</v>
          </cell>
          <cell r="F183" t="str">
            <v>B077</v>
          </cell>
          <cell r="G183" t="str">
            <v>100042/110244</v>
          </cell>
          <cell r="H183" t="str">
            <v>CHEESE MOZZ LM PART SKIM
UNFZ PROCESSR PK</v>
          </cell>
          <cell r="I183">
            <v>10</v>
          </cell>
        </row>
        <row r="184">
          <cell r="A184">
            <v>78385</v>
          </cell>
          <cell r="B184" t="str">
            <v>51% WG SEW Pepp Pizza</v>
          </cell>
          <cell r="C184">
            <v>29.85</v>
          </cell>
          <cell r="D184">
            <v>80</v>
          </cell>
          <cell r="E184">
            <v>5.97</v>
          </cell>
          <cell r="F184" t="str">
            <v>B077</v>
          </cell>
          <cell r="G184" t="str">
            <v>100042/110244</v>
          </cell>
          <cell r="H184" t="str">
            <v>CHEESE MOZZ LM PART SKIM
UNFZ PROCESSR PK</v>
          </cell>
          <cell r="I184">
            <v>8.75</v>
          </cell>
        </row>
        <row r="185">
          <cell r="A185">
            <v>78386</v>
          </cell>
          <cell r="B185" t="str">
            <v>WG 4x6 Stuffed Crust Cheese</v>
          </cell>
          <cell r="C185">
            <v>26.94</v>
          </cell>
          <cell r="D185">
            <v>96</v>
          </cell>
          <cell r="E185">
            <v>4.49</v>
          </cell>
          <cell r="F185" t="str">
            <v>B077</v>
          </cell>
          <cell r="G185" t="str">
            <v>100042/110244</v>
          </cell>
          <cell r="H185" t="str">
            <v>CHEESE MOZZ LM PART SKIM
UNFZ PROCESSR PK</v>
          </cell>
          <cell r="I185">
            <v>6</v>
          </cell>
        </row>
        <row r="186">
          <cell r="A186">
            <v>78387</v>
          </cell>
          <cell r="B186" t="str">
            <v>WG 4x6 Stuffed Crust Pepperoni</v>
          </cell>
          <cell r="C186">
            <v>26.34</v>
          </cell>
          <cell r="D186">
            <v>96</v>
          </cell>
          <cell r="E186">
            <v>4.3899999999999997</v>
          </cell>
          <cell r="F186" t="str">
            <v>B077</v>
          </cell>
          <cell r="G186" t="str">
            <v>100042/110244</v>
          </cell>
          <cell r="H186" t="str">
            <v>CHEESE MOZZ LM PART SKIM
UNFZ PROCESSR PK</v>
          </cell>
          <cell r="I186">
            <v>4.95</v>
          </cell>
        </row>
        <row r="187">
          <cell r="A187">
            <v>78388</v>
          </cell>
          <cell r="B187" t="str">
            <v>Big Daddy's Sicilian</v>
          </cell>
          <cell r="C187">
            <v>30.1</v>
          </cell>
          <cell r="D187">
            <v>96</v>
          </cell>
          <cell r="E187">
            <v>5.0199999999999996</v>
          </cell>
          <cell r="F187" t="str">
            <v>B077</v>
          </cell>
          <cell r="G187" t="str">
            <v>100042/110244</v>
          </cell>
          <cell r="H187" t="str">
            <v>CHEESE MOZZ LM PART SKIM
UNFZ PROCESSR PK</v>
          </cell>
          <cell r="I187">
            <v>9</v>
          </cell>
        </row>
        <row r="188">
          <cell r="A188">
            <v>78391</v>
          </cell>
          <cell r="B188" t="str">
            <v>Whole Grain Pizza Bagel Cheese</v>
          </cell>
          <cell r="C188">
            <v>28.8</v>
          </cell>
          <cell r="D188">
            <v>96</v>
          </cell>
          <cell r="E188">
            <v>4.8</v>
          </cell>
          <cell r="F188" t="str">
            <v>B077</v>
          </cell>
          <cell r="G188" t="str">
            <v>100042/110244</v>
          </cell>
          <cell r="H188" t="str">
            <v>CHEESE MOZZ LM PART SKIM
UNFZ PROCESSR PK</v>
          </cell>
          <cell r="I188">
            <v>12</v>
          </cell>
        </row>
        <row r="189">
          <cell r="A189">
            <v>78392</v>
          </cell>
          <cell r="B189" t="str">
            <v>Big Daddy's Hand Tossed Pepperoni Pre-Sliced 8-Cut</v>
          </cell>
          <cell r="C189">
            <v>23.4</v>
          </cell>
          <cell r="D189">
            <v>72</v>
          </cell>
          <cell r="E189">
            <v>5.2</v>
          </cell>
          <cell r="F189" t="str">
            <v>B077</v>
          </cell>
          <cell r="G189" t="str">
            <v>100042/110244</v>
          </cell>
          <cell r="H189" t="str">
            <v>CHEESE MOZZ LM PART SKIM
UNFZ PROCESSR PK</v>
          </cell>
          <cell r="I189">
            <v>7.27</v>
          </cell>
        </row>
        <row r="190">
          <cell r="A190">
            <v>78397</v>
          </cell>
          <cell r="B190" t="str">
            <v>Big Daddy's Hand Tossed Cheese Pre-Sliced</v>
          </cell>
          <cell r="C190">
            <v>23.26</v>
          </cell>
          <cell r="D190">
            <v>72</v>
          </cell>
          <cell r="E190">
            <v>5.17</v>
          </cell>
          <cell r="F190" t="str">
            <v>B077</v>
          </cell>
          <cell r="G190" t="str">
            <v>100042/110244</v>
          </cell>
          <cell r="H190" t="str">
            <v>CHEESE MOZZ LM PART SKIM
UNFZ PROCESSR PK</v>
          </cell>
          <cell r="I190">
            <v>9</v>
          </cell>
        </row>
        <row r="191">
          <cell r="A191">
            <v>78398</v>
          </cell>
          <cell r="B191" t="str">
            <v>Big Daddy's Hand Tossed Cheese</v>
          </cell>
          <cell r="C191">
            <v>23.26</v>
          </cell>
          <cell r="D191">
            <v>72</v>
          </cell>
          <cell r="E191">
            <v>5.17</v>
          </cell>
          <cell r="F191" t="str">
            <v>B077</v>
          </cell>
          <cell r="G191" t="str">
            <v>100042/110244</v>
          </cell>
          <cell r="H191" t="str">
            <v>CHEESE MOZZ LM PART SKIM
UNFZ PROCESSR PK</v>
          </cell>
          <cell r="I191">
            <v>9</v>
          </cell>
        </row>
        <row r="192">
          <cell r="A192">
            <v>78399</v>
          </cell>
          <cell r="B192" t="str">
            <v>Big Daddy's Hand tossed Pepperoni</v>
          </cell>
          <cell r="C192">
            <v>23.4</v>
          </cell>
          <cell r="D192">
            <v>72</v>
          </cell>
          <cell r="E192">
            <v>5.2</v>
          </cell>
          <cell r="F192" t="str">
            <v>B077</v>
          </cell>
          <cell r="G192" t="str">
            <v>100042/110244</v>
          </cell>
          <cell r="H192" t="str">
            <v>CHEESE MOZZ LM PART SKIM
UNFZ PROCESSR PK</v>
          </cell>
          <cell r="I192">
            <v>7.27</v>
          </cell>
        </row>
        <row r="193">
          <cell r="A193">
            <v>78448</v>
          </cell>
          <cell r="B193" t="str">
            <v>Tony's Smart Pizza 4x6 100% Cheese</v>
          </cell>
          <cell r="C193">
            <v>27.6</v>
          </cell>
          <cell r="D193">
            <v>96</v>
          </cell>
          <cell r="E193">
            <v>4.5999999999999996</v>
          </cell>
          <cell r="F193" t="str">
            <v>B077</v>
          </cell>
          <cell r="G193" t="str">
            <v>100042/110244</v>
          </cell>
          <cell r="H193" t="str">
            <v>CHEESE MOZZ LM PART SKIM
UNFZ PROCESSR PK</v>
          </cell>
          <cell r="I193">
            <v>8.4</v>
          </cell>
        </row>
        <row r="194">
          <cell r="A194">
            <v>78449</v>
          </cell>
          <cell r="B194" t="str">
            <v>Tony's Smart Pizza 4x6 100% Pepp</v>
          </cell>
          <cell r="C194">
            <v>27</v>
          </cell>
          <cell r="D194">
            <v>96</v>
          </cell>
          <cell r="E194">
            <v>4.5</v>
          </cell>
          <cell r="F194" t="str">
            <v>B077</v>
          </cell>
          <cell r="G194" t="str">
            <v>100042/110244</v>
          </cell>
          <cell r="H194" t="str">
            <v>CHEESE MOZZ LM PART SKIM
UNFZ PROCESSR PK</v>
          </cell>
          <cell r="I194">
            <v>6.96</v>
          </cell>
        </row>
        <row r="195">
          <cell r="A195">
            <v>78454</v>
          </cell>
          <cell r="B195" t="str">
            <v>Tony's 4x6 Cheese/Sub Cheese Smart Pizza</v>
          </cell>
          <cell r="C195">
            <v>27.36</v>
          </cell>
          <cell r="D195">
            <v>96</v>
          </cell>
          <cell r="E195">
            <v>4.5599999999999996</v>
          </cell>
          <cell r="F195" t="str">
            <v>B077</v>
          </cell>
          <cell r="G195" t="str">
            <v>100042/110244</v>
          </cell>
          <cell r="H195" t="str">
            <v>CHEESE MOZZ LM PART SKIM
UNFZ PROCESSR PK</v>
          </cell>
          <cell r="I195">
            <v>4.5</v>
          </cell>
        </row>
        <row r="196">
          <cell r="A196">
            <v>78455</v>
          </cell>
          <cell r="B196" t="str">
            <v>Tony's 4x6 Pepp</v>
          </cell>
          <cell r="C196">
            <v>27.9</v>
          </cell>
          <cell r="D196">
            <v>96</v>
          </cell>
          <cell r="E196">
            <v>4.6500000000000004</v>
          </cell>
          <cell r="F196" t="str">
            <v>B077</v>
          </cell>
          <cell r="G196" t="str">
            <v>100042/110244</v>
          </cell>
          <cell r="H196" t="str">
            <v>CHEESE MOZZ LM PART SKIM
UNFZ PROCESSR PK</v>
          </cell>
          <cell r="I196">
            <v>3.9</v>
          </cell>
        </row>
        <row r="197">
          <cell r="A197">
            <v>78456</v>
          </cell>
          <cell r="B197" t="str">
            <v>Tony's 4x6 Saus</v>
          </cell>
          <cell r="C197">
            <v>27.87</v>
          </cell>
          <cell r="D197">
            <v>96</v>
          </cell>
          <cell r="E197">
            <v>4.6500000000000004</v>
          </cell>
          <cell r="F197" t="str">
            <v>B077</v>
          </cell>
          <cell r="G197" t="str">
            <v>100042/110244</v>
          </cell>
          <cell r="H197" t="str">
            <v>CHEESE MOZZ LM PART SKIM
UNFZ PROCESSR PK</v>
          </cell>
          <cell r="I197">
            <v>2.85</v>
          </cell>
        </row>
        <row r="198">
          <cell r="A198">
            <v>78474</v>
          </cell>
          <cell r="B198" t="str">
            <v>4" Cheese 100%BULK</v>
          </cell>
          <cell r="C198">
            <v>22.5</v>
          </cell>
          <cell r="D198">
            <v>72</v>
          </cell>
          <cell r="E198">
            <v>5</v>
          </cell>
          <cell r="F198" t="str">
            <v>B077</v>
          </cell>
          <cell r="G198" t="str">
            <v>100042/110244</v>
          </cell>
          <cell r="H198" t="str">
            <v>CHEESE MOZZ LM PART SKIM
UNFZ PROCESSR PK</v>
          </cell>
          <cell r="I198">
            <v>9.0500000000000007</v>
          </cell>
        </row>
        <row r="199">
          <cell r="A199">
            <v>78475</v>
          </cell>
          <cell r="B199" t="str">
            <v>4" Cheese 100% IW</v>
          </cell>
          <cell r="C199">
            <v>22.5</v>
          </cell>
          <cell r="D199">
            <v>72</v>
          </cell>
          <cell r="E199">
            <v>5</v>
          </cell>
          <cell r="F199" t="str">
            <v>B077</v>
          </cell>
          <cell r="G199" t="str">
            <v>100042/110244</v>
          </cell>
          <cell r="H199" t="str">
            <v>CHEESE MOZZ LM PART SKIM
UNFZ PROCESSR PK</v>
          </cell>
          <cell r="I199">
            <v>9.0500000000000007</v>
          </cell>
        </row>
        <row r="200">
          <cell r="A200">
            <v>78477</v>
          </cell>
          <cell r="B200" t="str">
            <v>4" Red Fat Pepp 100% Cheese IW</v>
          </cell>
          <cell r="C200">
            <v>22.5</v>
          </cell>
          <cell r="D200">
            <v>72</v>
          </cell>
          <cell r="E200">
            <v>5</v>
          </cell>
          <cell r="F200" t="str">
            <v>B077</v>
          </cell>
          <cell r="G200" t="str">
            <v>100042/110244</v>
          </cell>
          <cell r="H200" t="str">
            <v>CHEESE MOZZ LM PART SKIM
UNFZ PROCESSR PK</v>
          </cell>
          <cell r="I200">
            <v>6.8</v>
          </cell>
        </row>
        <row r="201">
          <cell r="A201">
            <v>78504</v>
          </cell>
          <cell r="B201" t="str">
            <v>6" French Bread Cheese Pizza</v>
          </cell>
          <cell r="C201">
            <v>19.88</v>
          </cell>
          <cell r="D201">
            <v>60</v>
          </cell>
          <cell r="E201">
            <v>5.3</v>
          </cell>
          <cell r="F201" t="str">
            <v>B077</v>
          </cell>
          <cell r="G201" t="str">
            <v>100042/110244</v>
          </cell>
          <cell r="H201" t="str">
            <v>CHEESE MOZZ LM PART SKIM
UNFZ PROCESSR PK</v>
          </cell>
          <cell r="I201">
            <v>7.5</v>
          </cell>
        </row>
        <row r="202">
          <cell r="A202">
            <v>78505</v>
          </cell>
          <cell r="B202" t="str">
            <v>6" French Bread Pepp Pizza</v>
          </cell>
          <cell r="C202">
            <v>19.5</v>
          </cell>
          <cell r="D202">
            <v>60</v>
          </cell>
          <cell r="E202">
            <v>5.2</v>
          </cell>
          <cell r="F202" t="str">
            <v>B077</v>
          </cell>
          <cell r="G202" t="str">
            <v>100042/110244</v>
          </cell>
          <cell r="H202" t="str">
            <v>CHEESE MOZZ LM PART SKIM
UNFZ PROCESSR PK</v>
          </cell>
          <cell r="I202">
            <v>5.62</v>
          </cell>
        </row>
        <row r="203">
          <cell r="A203">
            <v>78511</v>
          </cell>
          <cell r="B203" t="str">
            <v>6" French Bread Cheese/Sub Cheese</v>
          </cell>
          <cell r="C203">
            <v>18.559999999999999</v>
          </cell>
          <cell r="D203">
            <v>60</v>
          </cell>
          <cell r="E203">
            <v>4.95</v>
          </cell>
          <cell r="F203" t="str">
            <v>B077</v>
          </cell>
          <cell r="G203" t="str">
            <v>100042/110244</v>
          </cell>
          <cell r="H203" t="str">
            <v>CHEESE MOZZ LM PART SKIM
UNFZ PROCESSR PK</v>
          </cell>
          <cell r="I203">
            <v>3.75</v>
          </cell>
        </row>
        <row r="204">
          <cell r="A204">
            <v>78516</v>
          </cell>
          <cell r="B204" t="str">
            <v>6" French Bread Pizza Cheesy Garlic</v>
          </cell>
          <cell r="C204">
            <v>16.760000000000002</v>
          </cell>
          <cell r="D204">
            <v>60</v>
          </cell>
          <cell r="E204">
            <v>4.47</v>
          </cell>
          <cell r="F204" t="str">
            <v>B077</v>
          </cell>
          <cell r="G204" t="str">
            <v>100042/110244</v>
          </cell>
          <cell r="H204" t="str">
            <v>CHEESE MOZZ LM PART SKIM
UNFZ PROCESSR PK</v>
          </cell>
          <cell r="I204">
            <v>1.82</v>
          </cell>
        </row>
        <row r="205">
          <cell r="A205">
            <v>78518</v>
          </cell>
          <cell r="B205" t="str">
            <v>8" French Bread Pepp Mozz/Ched</v>
          </cell>
          <cell r="C205">
            <v>23.25</v>
          </cell>
          <cell r="D205">
            <v>60</v>
          </cell>
          <cell r="E205">
            <v>6.2</v>
          </cell>
          <cell r="F205" t="str">
            <v>B077</v>
          </cell>
          <cell r="G205" t="str">
            <v>100042/110244</v>
          </cell>
          <cell r="H205" t="str">
            <v>CHEESE MOZZ LM PART SKIM
UNFZ PROCESSR PK</v>
          </cell>
          <cell r="I205">
            <v>5.56</v>
          </cell>
        </row>
        <row r="206">
          <cell r="A206">
            <v>78525</v>
          </cell>
          <cell r="B206" t="str">
            <v>8" French Bread Cheese/Sub Cheese</v>
          </cell>
          <cell r="C206">
            <v>25.88</v>
          </cell>
          <cell r="D206">
            <v>72</v>
          </cell>
          <cell r="E206">
            <v>5.75</v>
          </cell>
          <cell r="F206" t="str">
            <v>B077</v>
          </cell>
          <cell r="G206" t="str">
            <v>100042/110244</v>
          </cell>
          <cell r="H206" t="str">
            <v>CHEESE MOZZ LM PART SKIM
UNFZ PROCESSR PK</v>
          </cell>
          <cell r="I206">
            <v>4.5</v>
          </cell>
        </row>
        <row r="207">
          <cell r="A207">
            <v>78530</v>
          </cell>
          <cell r="B207" t="str">
            <v>Red Baron Breakfast Bacon Scramble</v>
          </cell>
          <cell r="C207">
            <v>16.88</v>
          </cell>
          <cell r="D207">
            <v>54</v>
          </cell>
          <cell r="E207">
            <v>5</v>
          </cell>
          <cell r="F207" t="str">
            <v>B077</v>
          </cell>
          <cell r="G207" t="str">
            <v>100042/110244</v>
          </cell>
          <cell r="H207" t="str">
            <v>CHEESE MOZZ LM PART SKIM
UNFZ PROCESSR PK</v>
          </cell>
          <cell r="I207">
            <v>1.01</v>
          </cell>
        </row>
        <row r="208">
          <cell r="A208">
            <v>78531</v>
          </cell>
          <cell r="B208" t="str">
            <v>Big Daddy's 16" Harvest Cheese Pizza</v>
          </cell>
          <cell r="C208">
            <v>24.88</v>
          </cell>
          <cell r="D208">
            <v>72</v>
          </cell>
          <cell r="E208">
            <v>5.53</v>
          </cell>
          <cell r="F208" t="str">
            <v>B077</v>
          </cell>
          <cell r="G208" t="str">
            <v>100042/110244</v>
          </cell>
          <cell r="H208" t="str">
            <v>CHEESE MOZZ LM PART SKIM
UNFZ PROCESSR PK</v>
          </cell>
          <cell r="I208">
            <v>6.19</v>
          </cell>
        </row>
        <row r="209">
          <cell r="A209">
            <v>78532</v>
          </cell>
          <cell r="B209" t="str">
            <v>Red Baron 5" Bacon Scramble IW</v>
          </cell>
          <cell r="C209">
            <v>8.0399999999999991</v>
          </cell>
          <cell r="D209">
            <v>24</v>
          </cell>
          <cell r="E209">
            <v>5.36</v>
          </cell>
          <cell r="F209" t="str">
            <v>B077</v>
          </cell>
          <cell r="G209" t="str">
            <v>100042/110244</v>
          </cell>
          <cell r="H209" t="str">
            <v>CHEESE MOZZ LM PART SKIM
UNFZ PROCESSR PK</v>
          </cell>
          <cell r="I209">
            <v>0.45</v>
          </cell>
        </row>
        <row r="210">
          <cell r="A210">
            <v>78533</v>
          </cell>
          <cell r="B210" t="str">
            <v>Big Daddy's 16" Harvest Pepperoni Pizza</v>
          </cell>
          <cell r="C210">
            <v>24.93</v>
          </cell>
          <cell r="D210">
            <v>72</v>
          </cell>
          <cell r="E210">
            <v>5.54</v>
          </cell>
          <cell r="F210" t="str">
            <v>B077</v>
          </cell>
          <cell r="G210" t="str">
            <v>100042/110244</v>
          </cell>
          <cell r="H210" t="str">
            <v>CHEESE MOZZ LM PART SKIM
UNFZ PROCESSR PK</v>
          </cell>
          <cell r="I210">
            <v>4.08</v>
          </cell>
        </row>
        <row r="211">
          <cell r="A211">
            <v>78542</v>
          </cell>
          <cell r="B211" t="str">
            <v>Galaxy Smart Pizza Cheese
Mozz/Sub Mozz 50/50 BULK</v>
          </cell>
          <cell r="C211">
            <v>20.52</v>
          </cell>
          <cell r="D211">
            <v>72</v>
          </cell>
          <cell r="E211">
            <v>4.5599999999999996</v>
          </cell>
          <cell r="F211" t="str">
            <v>B077</v>
          </cell>
          <cell r="G211" t="str">
            <v>100042/110244</v>
          </cell>
          <cell r="H211" t="str">
            <v>CHEESE MOZZ LM PART SKIM
UNFZ PROCESSR PK</v>
          </cell>
          <cell r="I211">
            <v>3.38</v>
          </cell>
        </row>
        <row r="212">
          <cell r="A212">
            <v>78543</v>
          </cell>
          <cell r="B212" t="str">
            <v>Galaxy Smart Pizza Cheese
 Mozz/Sub Mozz 50/50 IW</v>
          </cell>
          <cell r="C212">
            <v>20.52</v>
          </cell>
          <cell r="D212">
            <v>72</v>
          </cell>
          <cell r="E212">
            <v>4.5599999999999996</v>
          </cell>
          <cell r="F212" t="str">
            <v>B077</v>
          </cell>
          <cell r="G212" t="str">
            <v>100042/110244</v>
          </cell>
          <cell r="H212" t="str">
            <v>CHEESE MOZZ LM PART SKIM
UNFZ PROCESSR PK</v>
          </cell>
          <cell r="I212">
            <v>3.38</v>
          </cell>
        </row>
        <row r="213">
          <cell r="A213">
            <v>78544</v>
          </cell>
          <cell r="B213" t="str">
            <v>Galaxy Smart Piz Red Fat Pepp
50/50 BULK</v>
          </cell>
          <cell r="C213">
            <v>20.92</v>
          </cell>
          <cell r="D213">
            <v>72</v>
          </cell>
          <cell r="E213">
            <v>4.6500000000000004</v>
          </cell>
          <cell r="F213" t="str">
            <v>B077</v>
          </cell>
          <cell r="G213" t="str">
            <v>100042/110244</v>
          </cell>
          <cell r="H213" t="str">
            <v>CHEESE MOZZ LM PART SKIM
UNFZ PROCESSR PK</v>
          </cell>
          <cell r="I213">
            <v>2.52</v>
          </cell>
        </row>
        <row r="214">
          <cell r="A214">
            <v>78545</v>
          </cell>
          <cell r="B214" t="str">
            <v>Galaxy Smart Piz Red Fat Pepp 
50/50 IW</v>
          </cell>
          <cell r="C214">
            <v>20.92</v>
          </cell>
          <cell r="D214">
            <v>72</v>
          </cell>
          <cell r="E214">
            <v>4.6500000000000004</v>
          </cell>
          <cell r="F214" t="str">
            <v>B077</v>
          </cell>
          <cell r="G214" t="str">
            <v>100042/110244</v>
          </cell>
          <cell r="H214" t="str">
            <v>CHEESE MOZZ LM PART SKIM
UNFZ PROCESSR PK</v>
          </cell>
          <cell r="I214">
            <v>2.52</v>
          </cell>
        </row>
        <row r="215">
          <cell r="A215">
            <v>78571</v>
          </cell>
          <cell r="B215" t="str">
            <v>4x6 Pepperoni Pizza Wrapped</v>
          </cell>
          <cell r="C215">
            <v>6.84</v>
          </cell>
          <cell r="D215">
            <v>24</v>
          </cell>
          <cell r="E215">
            <v>4.5599999999999996</v>
          </cell>
          <cell r="F215" t="str">
            <v>B077</v>
          </cell>
          <cell r="G215" t="str">
            <v>100042/110244</v>
          </cell>
          <cell r="H215" t="str">
            <v>CHEESE MOZZ LM PART SKIM
UNFZ PROCESSR PK</v>
          </cell>
          <cell r="I215">
            <v>0.38</v>
          </cell>
        </row>
        <row r="216">
          <cell r="A216">
            <v>78584</v>
          </cell>
          <cell r="B216" t="str">
            <v>5 inch DD Cheese Pizza</v>
          </cell>
          <cell r="C216">
            <v>21.94</v>
          </cell>
          <cell r="D216">
            <v>60</v>
          </cell>
          <cell r="E216">
            <v>5.85</v>
          </cell>
          <cell r="F216" t="str">
            <v>B077</v>
          </cell>
          <cell r="G216" t="str">
            <v>100042/110244</v>
          </cell>
          <cell r="H216" t="str">
            <v>CHEESE MOZZ LM PART SKIM
UNFZ PROCESSR PK</v>
          </cell>
          <cell r="I216">
            <v>7.5</v>
          </cell>
        </row>
        <row r="217">
          <cell r="A217">
            <v>78585</v>
          </cell>
          <cell r="B217" t="str">
            <v>5" Cheese Pizza w/Pepperoni</v>
          </cell>
          <cell r="C217">
            <v>22.13</v>
          </cell>
          <cell r="D217">
            <v>60</v>
          </cell>
          <cell r="E217">
            <v>5.9</v>
          </cell>
          <cell r="F217" t="str">
            <v>B077</v>
          </cell>
          <cell r="G217" t="str">
            <v>100042/110244</v>
          </cell>
          <cell r="H217" t="str">
            <v>CHEESE MOZZ LM PART SKIM
UNFZ PROCESSR PK</v>
          </cell>
          <cell r="I217">
            <v>6.11</v>
          </cell>
        </row>
        <row r="218">
          <cell r="A218">
            <v>78589</v>
          </cell>
          <cell r="B218" t="str">
            <v>Tony's 5" Lite DD Pepp Pizza</v>
          </cell>
          <cell r="C218">
            <v>19.649999999999999</v>
          </cell>
          <cell r="D218">
            <v>60</v>
          </cell>
          <cell r="E218">
            <v>5.24</v>
          </cell>
          <cell r="F218" t="str">
            <v>B077</v>
          </cell>
          <cell r="G218" t="str">
            <v>100042/110244</v>
          </cell>
          <cell r="H218" t="str">
            <v>CHEESE MOZZ LM PART SKIM
UNFZ PROCESSR PK</v>
          </cell>
          <cell r="I218">
            <v>1.86</v>
          </cell>
        </row>
        <row r="219">
          <cell r="A219">
            <v>78598</v>
          </cell>
          <cell r="B219" t="str">
            <v>11" Pepperoni Slice</v>
          </cell>
          <cell r="C219">
            <v>19.8</v>
          </cell>
          <cell r="D219">
            <v>48</v>
          </cell>
          <cell r="E219">
            <v>6.6</v>
          </cell>
          <cell r="F219" t="str">
            <v>B077</v>
          </cell>
          <cell r="G219" t="str">
            <v>100042/110244</v>
          </cell>
          <cell r="H219" t="str">
            <v>CHEESE MOZZ LM PART SKIM
UNFZ PROCESSR PK</v>
          </cell>
          <cell r="I219">
            <v>2.16</v>
          </cell>
        </row>
        <row r="220">
          <cell r="A220">
            <v>78622</v>
          </cell>
          <cell r="B220" t="str">
            <v>6" French Bread Pizza  Cheese</v>
          </cell>
          <cell r="C220">
            <v>19.39</v>
          </cell>
          <cell r="D220">
            <v>60</v>
          </cell>
          <cell r="E220">
            <v>5.17</v>
          </cell>
          <cell r="F220" t="str">
            <v>B077</v>
          </cell>
          <cell r="G220" t="str">
            <v>100042/110244</v>
          </cell>
          <cell r="H220" t="str">
            <v>CHEESE MOZZ LM PART SKIM
UNFZ PROCESSR PK</v>
          </cell>
          <cell r="I220">
            <v>3.13</v>
          </cell>
        </row>
        <row r="221">
          <cell r="A221">
            <v>78623</v>
          </cell>
          <cell r="B221" t="str">
            <v>6" French Bread Pizza  Pepperoni</v>
          </cell>
          <cell r="C221">
            <v>19.2</v>
          </cell>
          <cell r="D221">
            <v>60</v>
          </cell>
          <cell r="E221">
            <v>5.12</v>
          </cell>
          <cell r="F221" t="str">
            <v>B077</v>
          </cell>
          <cell r="G221" t="str">
            <v>100042/110244</v>
          </cell>
          <cell r="H221" t="str">
            <v>CHEESE MOZZ LM PART SKIM
UNFZ PROCESSR PK</v>
          </cell>
          <cell r="I221">
            <v>2.29</v>
          </cell>
        </row>
        <row r="222">
          <cell r="A222">
            <v>78624</v>
          </cell>
          <cell r="B222" t="str">
            <v>6" French Bread Pizza   Cheesy Garlic</v>
          </cell>
          <cell r="C222">
            <v>16.760000000000002</v>
          </cell>
          <cell r="D222">
            <v>60</v>
          </cell>
          <cell r="E222">
            <v>4.47</v>
          </cell>
          <cell r="F222" t="str">
            <v>B077</v>
          </cell>
          <cell r="G222" t="str">
            <v>100042/110244</v>
          </cell>
          <cell r="H222" t="str">
            <v>CHEESE MOZZ LM PART SKIM
UNFZ PROCESSR PK</v>
          </cell>
          <cell r="I222">
            <v>1.82</v>
          </cell>
        </row>
        <row r="223">
          <cell r="A223">
            <v>78626</v>
          </cell>
          <cell r="B223" t="str">
            <v>6" French Bread Pepperoni Pizza IW</v>
          </cell>
          <cell r="C223">
            <v>19.88</v>
          </cell>
          <cell r="D223">
            <v>60</v>
          </cell>
          <cell r="E223">
            <v>5.3</v>
          </cell>
          <cell r="F223" t="str">
            <v>B077</v>
          </cell>
          <cell r="G223" t="str">
            <v>100042/110244</v>
          </cell>
          <cell r="H223" t="str">
            <v>CHEESE MOZZ LM PART SKIM
UNFZ PROCESSR PK</v>
          </cell>
          <cell r="I223">
            <v>5.62</v>
          </cell>
        </row>
        <row r="224">
          <cell r="A224">
            <v>78642</v>
          </cell>
          <cell r="B224" t="str">
            <v>5" Pepp DD Pizza</v>
          </cell>
          <cell r="C224">
            <v>21.41</v>
          </cell>
          <cell r="D224">
            <v>60</v>
          </cell>
          <cell r="E224">
            <v>5.71</v>
          </cell>
          <cell r="F224" t="str">
            <v>B077</v>
          </cell>
          <cell r="G224" t="str">
            <v>100042/110244</v>
          </cell>
          <cell r="H224" t="str">
            <v>CHEESE MOZZ LM PART SKIM
UNFZ PROCESSR PK</v>
          </cell>
          <cell r="I224">
            <v>2.7</v>
          </cell>
        </row>
        <row r="225">
          <cell r="A225">
            <v>78660</v>
          </cell>
          <cell r="B225" t="str">
            <v>Whole Grain 5" Deep Dish 100% Cheese IW</v>
          </cell>
          <cell r="C225">
            <v>22.13</v>
          </cell>
          <cell r="D225">
            <v>60</v>
          </cell>
          <cell r="E225">
            <v>5.9</v>
          </cell>
          <cell r="F225" t="str">
            <v>B077</v>
          </cell>
          <cell r="G225" t="str">
            <v>100042/110244</v>
          </cell>
          <cell r="H225" t="str">
            <v>CHEESE MOZZ LM PART SKIM
UNFZ PROCESSR PK</v>
          </cell>
          <cell r="I225">
            <v>7.5</v>
          </cell>
        </row>
        <row r="226">
          <cell r="A226">
            <v>78661</v>
          </cell>
          <cell r="B226" t="str">
            <v>Whole Grain 5" Deep Dish Cheese IW</v>
          </cell>
          <cell r="C226">
            <v>22.13</v>
          </cell>
          <cell r="D226">
            <v>60</v>
          </cell>
          <cell r="E226">
            <v>5.9</v>
          </cell>
          <cell r="F226" t="str">
            <v>B077</v>
          </cell>
          <cell r="G226" t="str">
            <v>100042/110244</v>
          </cell>
          <cell r="H226" t="str">
            <v>CHEESE MOZZ LM PART SKIM
UNFZ PROCESSR PK</v>
          </cell>
          <cell r="I226">
            <v>3.75</v>
          </cell>
        </row>
        <row r="227">
          <cell r="A227">
            <v>78668</v>
          </cell>
          <cell r="B227" t="str">
            <v>Tony's Smart Pizza 3.2x5 100% Cheese</v>
          </cell>
          <cell r="C227">
            <v>30</v>
          </cell>
          <cell r="D227">
            <v>100</v>
          </cell>
          <cell r="E227">
            <v>4.8</v>
          </cell>
          <cell r="F227" t="str">
            <v>B077</v>
          </cell>
          <cell r="G227" t="str">
            <v>100042/110244</v>
          </cell>
          <cell r="H227" t="str">
            <v>CHEESE MOZZ LM PART SKIM
UNFZ PROCESSR PK</v>
          </cell>
          <cell r="I227">
            <v>12.5</v>
          </cell>
        </row>
        <row r="228">
          <cell r="A228">
            <v>78669</v>
          </cell>
          <cell r="B228" t="str">
            <v>Tony's Smart Pizza 3.2x5 100% Pepp</v>
          </cell>
          <cell r="C228">
            <v>30</v>
          </cell>
          <cell r="D228">
            <v>100</v>
          </cell>
          <cell r="E228">
            <v>4.8</v>
          </cell>
          <cell r="F228" t="str">
            <v>B077</v>
          </cell>
          <cell r="G228" t="str">
            <v>100042/110244</v>
          </cell>
          <cell r="H228" t="str">
            <v>CHEESE MOZZ LM PART SKIM
UNFZ PROCESSR PK</v>
          </cell>
          <cell r="I228">
            <v>10.63</v>
          </cell>
        </row>
        <row r="229">
          <cell r="A229">
            <v>78672</v>
          </cell>
          <cell r="B229" t="str">
            <v>4x6 Whole Grain 50/50 Sausage</v>
          </cell>
          <cell r="C229">
            <v>27.36</v>
          </cell>
          <cell r="D229">
            <v>96</v>
          </cell>
          <cell r="E229">
            <v>4.5599999999999996</v>
          </cell>
          <cell r="F229" t="str">
            <v>B077</v>
          </cell>
          <cell r="G229" t="str">
            <v>100042/110244</v>
          </cell>
          <cell r="H229" t="str">
            <v>CHEESE MOZZ LM PART SKIM
UNFZ PROCESSR PK</v>
          </cell>
          <cell r="I229">
            <v>3.33</v>
          </cell>
        </row>
        <row r="230">
          <cell r="A230">
            <v>78673</v>
          </cell>
          <cell r="B230" t="str">
            <v>4x6 Whole Grain 50/50 Cheese</v>
          </cell>
          <cell r="C230">
            <v>27.6</v>
          </cell>
          <cell r="D230">
            <v>96</v>
          </cell>
          <cell r="E230">
            <v>4.5999999999999996</v>
          </cell>
          <cell r="F230" t="str">
            <v>B077</v>
          </cell>
          <cell r="G230" t="str">
            <v>100042/110244</v>
          </cell>
          <cell r="H230" t="str">
            <v>CHEESE MOZZ LM PART SKIM
UNFZ PROCESSR PK</v>
          </cell>
          <cell r="I230">
            <v>4.5</v>
          </cell>
        </row>
        <row r="231">
          <cell r="A231">
            <v>78674</v>
          </cell>
          <cell r="B231" t="str">
            <v>4x6 Whole Grain 50/50 Pepp</v>
          </cell>
          <cell r="C231">
            <v>26.88</v>
          </cell>
          <cell r="D231">
            <v>96</v>
          </cell>
          <cell r="E231">
            <v>4.4800000000000004</v>
          </cell>
          <cell r="F231" t="str">
            <v>B077</v>
          </cell>
          <cell r="G231" t="str">
            <v>100042/110244</v>
          </cell>
          <cell r="H231" t="str">
            <v>CHEESE MOZZ LM PART SKIM
UNFZ PROCESSR PK</v>
          </cell>
          <cell r="I231">
            <v>3.33</v>
          </cell>
        </row>
        <row r="232">
          <cell r="A232">
            <v>78675</v>
          </cell>
          <cell r="B232" t="str">
            <v>15" Bake to Rise Cheese Pizza</v>
          </cell>
          <cell r="C232">
            <v>30.68</v>
          </cell>
          <cell r="D232">
            <v>96</v>
          </cell>
          <cell r="E232">
            <v>5.1100000000000003</v>
          </cell>
          <cell r="F232" t="str">
            <v>B077</v>
          </cell>
          <cell r="G232" t="str">
            <v>100042/110244</v>
          </cell>
          <cell r="H232" t="str">
            <v>CHEESE MOZZ LM PART SKIM
UNFZ PROCESSR PK</v>
          </cell>
          <cell r="I232">
            <v>6</v>
          </cell>
        </row>
        <row r="233">
          <cell r="A233">
            <v>78676</v>
          </cell>
          <cell r="B233" t="str">
            <v>15" Bake to Rise Pepp Pizza</v>
          </cell>
          <cell r="C233">
            <v>32.29</v>
          </cell>
          <cell r="D233">
            <v>96</v>
          </cell>
          <cell r="E233">
            <v>5.38</v>
          </cell>
          <cell r="F233" t="str">
            <v>B077</v>
          </cell>
          <cell r="G233" t="str">
            <v>100042/110244</v>
          </cell>
          <cell r="H233" t="str">
            <v>CHEESE MOZZ LM PART SKIM
UNFZ PROCESSR PK</v>
          </cell>
          <cell r="I233">
            <v>6</v>
          </cell>
        </row>
        <row r="234">
          <cell r="A234">
            <v>78682</v>
          </cell>
          <cell r="B234" t="str">
            <v>Cheese Pizza Bagel (TR)</v>
          </cell>
          <cell r="C234">
            <v>18.3</v>
          </cell>
          <cell r="D234">
            <v>96</v>
          </cell>
          <cell r="E234">
            <v>3.05</v>
          </cell>
          <cell r="F234" t="str">
            <v>B077</v>
          </cell>
          <cell r="G234" t="str">
            <v>100042/110244</v>
          </cell>
          <cell r="H234" t="str">
            <v>CHEESE MOZZ LM PART SKIM
UNFZ PROCESSR PK</v>
          </cell>
          <cell r="I234">
            <v>6</v>
          </cell>
        </row>
        <row r="235">
          <cell r="A235">
            <v>78684</v>
          </cell>
          <cell r="B235" t="str">
            <v>5" Deep Dish Whole Grain Cheese 50/50</v>
          </cell>
          <cell r="C235">
            <v>22.13</v>
          </cell>
          <cell r="D235">
            <v>60</v>
          </cell>
          <cell r="E235">
            <v>5.9</v>
          </cell>
          <cell r="F235" t="str">
            <v>B077</v>
          </cell>
          <cell r="G235" t="str">
            <v>100042/110244</v>
          </cell>
          <cell r="H235" t="str">
            <v>CHEESE MOZZ LM PART SKIM
UNFZ PROCESSR PK</v>
          </cell>
          <cell r="I235">
            <v>3.75</v>
          </cell>
        </row>
        <row r="236">
          <cell r="A236">
            <v>78688</v>
          </cell>
          <cell r="B236" t="str">
            <v>Whole Grain 5" DD Cheese IW</v>
          </cell>
          <cell r="C236">
            <v>20.59</v>
          </cell>
          <cell r="D236">
            <v>60</v>
          </cell>
          <cell r="E236">
            <v>5.49</v>
          </cell>
          <cell r="F236" t="str">
            <v>B077</v>
          </cell>
          <cell r="G236" t="str">
            <v>100042/110244</v>
          </cell>
          <cell r="H236" t="str">
            <v>CHEESE MOZZ LM PART SKIM
UNFZ PROCESSR PK</v>
          </cell>
          <cell r="I236">
            <v>5.25</v>
          </cell>
        </row>
        <row r="237">
          <cell r="A237">
            <v>78689</v>
          </cell>
          <cell r="B237" t="str">
            <v>Whole Grain 5" DD Pepperoni IW</v>
          </cell>
          <cell r="C237">
            <v>20.59</v>
          </cell>
          <cell r="D237">
            <v>60</v>
          </cell>
          <cell r="E237">
            <v>5.49</v>
          </cell>
          <cell r="F237" t="str">
            <v>B077</v>
          </cell>
          <cell r="G237" t="str">
            <v>100042/110244</v>
          </cell>
          <cell r="H237" t="str">
            <v>CHEESE MOZZ LM PART SKIM
UNFZ PROCESSR PK</v>
          </cell>
          <cell r="I237">
            <v>3.38</v>
          </cell>
        </row>
        <row r="238">
          <cell r="A238">
            <v>78697</v>
          </cell>
          <cell r="B238" t="str">
            <v>4x6 Pizza with Whole
Grain Cheese 100% Mozz</v>
          </cell>
          <cell r="C238">
            <v>27</v>
          </cell>
          <cell r="D238">
            <v>96</v>
          </cell>
          <cell r="E238">
            <v>4.5</v>
          </cell>
          <cell r="F238" t="str">
            <v>B077</v>
          </cell>
          <cell r="G238" t="str">
            <v>100042/110244</v>
          </cell>
          <cell r="H238" t="str">
            <v>CHEESE MOZZ LM PART SKIM
UNFZ PROCESSR PK</v>
          </cell>
          <cell r="I238">
            <v>8.4</v>
          </cell>
        </row>
        <row r="239">
          <cell r="A239">
            <v>78698</v>
          </cell>
          <cell r="B239" t="str">
            <v>4x6 with Whole
Grain Pepp 100% Mozz</v>
          </cell>
          <cell r="C239">
            <v>26.88</v>
          </cell>
          <cell r="D239">
            <v>96</v>
          </cell>
          <cell r="E239">
            <v>4.4800000000000004</v>
          </cell>
          <cell r="F239" t="str">
            <v>B077</v>
          </cell>
          <cell r="G239" t="str">
            <v>100042/110244</v>
          </cell>
          <cell r="H239" t="str">
            <v>CHEESE MOZZ LM PART SKIM
UNFZ PROCESSR PK</v>
          </cell>
          <cell r="I239">
            <v>6.66</v>
          </cell>
        </row>
        <row r="240">
          <cell r="A240">
            <v>78699</v>
          </cell>
          <cell r="B240" t="str">
            <v>4x6 with Whole
Grain Sausage 100% Mozz</v>
          </cell>
          <cell r="C240">
            <v>27.36</v>
          </cell>
          <cell r="D240">
            <v>96</v>
          </cell>
          <cell r="E240">
            <v>4.5599999999999996</v>
          </cell>
          <cell r="F240" t="str">
            <v>B077</v>
          </cell>
          <cell r="G240" t="str">
            <v>100042/110244</v>
          </cell>
          <cell r="H240" t="str">
            <v>CHEESE MOZZ LM PART SKIM
UNFZ PROCESSR PK</v>
          </cell>
          <cell r="I240">
            <v>6.66</v>
          </cell>
        </row>
        <row r="241">
          <cell r="A241">
            <v>78700</v>
          </cell>
          <cell r="B241" t="str">
            <v>Breakfast Bagel Sausage (Turkey)</v>
          </cell>
          <cell r="C241">
            <v>15.6</v>
          </cell>
          <cell r="D241">
            <v>96</v>
          </cell>
          <cell r="E241">
            <v>2.6</v>
          </cell>
          <cell r="F241" t="str">
            <v>B077</v>
          </cell>
          <cell r="G241" t="str">
            <v>100042/110244</v>
          </cell>
          <cell r="H241" t="str">
            <v>CHEESE MOZZ LM PART SKIM
UNFZ PROCESSR PK</v>
          </cell>
          <cell r="I241">
            <v>1.98</v>
          </cell>
        </row>
        <row r="242">
          <cell r="A242">
            <v>78706</v>
          </cell>
          <cell r="B242" t="str">
            <v>4.5" Pepp Pizza BagelBULK</v>
          </cell>
          <cell r="C242">
            <v>24.75</v>
          </cell>
          <cell r="D242">
            <v>72</v>
          </cell>
          <cell r="E242">
            <v>5.5</v>
          </cell>
          <cell r="F242" t="str">
            <v>B077</v>
          </cell>
          <cell r="G242" t="str">
            <v>100042/110244</v>
          </cell>
          <cell r="H242" t="str">
            <v>CHEESE MOZZ LM PART SKIM
UNFZ PROCESSR PK</v>
          </cell>
          <cell r="I242">
            <v>7.12</v>
          </cell>
        </row>
        <row r="243">
          <cell r="A243">
            <v>78708</v>
          </cell>
          <cell r="B243" t="str">
            <v>Cheese French Bread Pizza</v>
          </cell>
          <cell r="C243">
            <v>25.35</v>
          </cell>
          <cell r="D243">
            <v>72</v>
          </cell>
          <cell r="E243">
            <v>5.63</v>
          </cell>
          <cell r="F243" t="str">
            <v>B077</v>
          </cell>
          <cell r="G243" t="str">
            <v>100042/110244</v>
          </cell>
          <cell r="H243" t="str">
            <v>CHEESE MOZZ LM PART SKIM
UNFZ PROCESSR PK</v>
          </cell>
          <cell r="I243">
            <v>6.21</v>
          </cell>
        </row>
        <row r="244">
          <cell r="A244">
            <v>78709</v>
          </cell>
          <cell r="B244" t="str">
            <v>5" Pizza with Turkey Pepp</v>
          </cell>
          <cell r="C244">
            <v>19.05</v>
          </cell>
          <cell r="D244">
            <v>60</v>
          </cell>
          <cell r="E244">
            <v>5.08</v>
          </cell>
          <cell r="F244" t="str">
            <v>B077</v>
          </cell>
          <cell r="G244" t="str">
            <v>100042/110244</v>
          </cell>
          <cell r="H244" t="str">
            <v>CHEESE MOZZ LM PART SKIM
UNFZ PROCESSR PK</v>
          </cell>
          <cell r="I244">
            <v>2.98</v>
          </cell>
        </row>
        <row r="245">
          <cell r="A245">
            <v>78710</v>
          </cell>
          <cell r="B245" t="str">
            <v>Tony's Turkey Sausage Breakfast Bagel 50/50 IW</v>
          </cell>
          <cell r="C245">
            <v>15.6</v>
          </cell>
          <cell r="D245">
            <v>96</v>
          </cell>
          <cell r="E245">
            <v>2.6</v>
          </cell>
          <cell r="F245" t="str">
            <v>B077</v>
          </cell>
          <cell r="G245" t="str">
            <v>100042/110244</v>
          </cell>
          <cell r="H245" t="str">
            <v>CHEESE MOZZ LM PART SKIM
UNFZ PROCESSR PK</v>
          </cell>
          <cell r="I245">
            <v>1.98</v>
          </cell>
        </row>
        <row r="246">
          <cell r="A246">
            <v>78734</v>
          </cell>
          <cell r="B246" t="str">
            <v>4x6 Pepperoni Pizza (TR)</v>
          </cell>
          <cell r="C246">
            <v>30</v>
          </cell>
          <cell r="D246">
            <v>96</v>
          </cell>
          <cell r="E246">
            <v>5</v>
          </cell>
          <cell r="F246" t="str">
            <v>B077</v>
          </cell>
          <cell r="G246" t="str">
            <v>100042/110244</v>
          </cell>
          <cell r="H246" t="str">
            <v>CHEESE MOZZ LM PART SKIM
UNFZ PROCESSR PK</v>
          </cell>
          <cell r="I246">
            <v>10.26</v>
          </cell>
        </row>
        <row r="247">
          <cell r="A247">
            <v>78770</v>
          </cell>
          <cell r="B247" t="str">
            <v>Breakfast Bagel Sausage (Turkey)</v>
          </cell>
          <cell r="C247">
            <v>15.6</v>
          </cell>
          <cell r="D247">
            <v>96</v>
          </cell>
          <cell r="E247">
            <v>2.6</v>
          </cell>
          <cell r="F247" t="str">
            <v>B077</v>
          </cell>
          <cell r="G247" t="str">
            <v>100042/110244</v>
          </cell>
          <cell r="H247" t="str">
            <v>CHEESE MOZZ LM PART SKIM
UNFZ PROCESSR PK</v>
          </cell>
          <cell r="I247">
            <v>1.98</v>
          </cell>
        </row>
        <row r="248">
          <cell r="A248">
            <v>78771</v>
          </cell>
          <cell r="B248" t="str">
            <v>Tony's Whole Grain 4x6 Sausage 100%</v>
          </cell>
          <cell r="C248">
            <v>28.14</v>
          </cell>
          <cell r="D248">
            <v>96</v>
          </cell>
          <cell r="E248">
            <v>4.6900000000000004</v>
          </cell>
          <cell r="F248" t="str">
            <v>B077</v>
          </cell>
          <cell r="G248" t="str">
            <v>100042/110244</v>
          </cell>
          <cell r="H248" t="str">
            <v>CHEESE MOZZ LM PART SKIM
UNFZ PROCESSR PK</v>
          </cell>
          <cell r="I248">
            <v>5.7</v>
          </cell>
        </row>
        <row r="249">
          <cell r="A249">
            <v>78783</v>
          </cell>
          <cell r="B249" t="str">
            <v>4x6 Cheese Stuffed Crust 
Cheese/Sub Cheese</v>
          </cell>
          <cell r="C249">
            <v>26.95</v>
          </cell>
          <cell r="D249">
            <v>80</v>
          </cell>
          <cell r="E249">
            <v>5.39</v>
          </cell>
          <cell r="F249" t="str">
            <v>B077</v>
          </cell>
          <cell r="G249" t="str">
            <v>100042/110244</v>
          </cell>
          <cell r="H249" t="str">
            <v>CHEESE MOZZ LM PART SKIM
UNFZ PROCESSR PK</v>
          </cell>
          <cell r="I249">
            <v>5.4</v>
          </cell>
        </row>
        <row r="250">
          <cell r="A250">
            <v>78784</v>
          </cell>
          <cell r="B250" t="str">
            <v>4x6 Cheese Stuffed Crust Pepp</v>
          </cell>
          <cell r="C250">
            <v>26.45</v>
          </cell>
          <cell r="D250">
            <v>80</v>
          </cell>
          <cell r="E250">
            <v>5.29</v>
          </cell>
          <cell r="F250" t="str">
            <v>B077</v>
          </cell>
          <cell r="G250" t="str">
            <v>100042/110244</v>
          </cell>
          <cell r="H250" t="str">
            <v>CHEESE MOZZ LM PART SKIM
UNFZ PROCESSR PK</v>
          </cell>
          <cell r="I250">
            <v>4.4000000000000004</v>
          </cell>
        </row>
        <row r="251">
          <cell r="A251">
            <v>78794</v>
          </cell>
          <cell r="B251" t="str">
            <v>7" Cheese Stuffed Wedge Crust 
Cheese/Sub Cheese</v>
          </cell>
          <cell r="C251">
            <v>26.01</v>
          </cell>
          <cell r="D251">
            <v>72</v>
          </cell>
          <cell r="E251">
            <v>5.78</v>
          </cell>
          <cell r="F251" t="str">
            <v>B077</v>
          </cell>
          <cell r="G251" t="str">
            <v>100042/110244</v>
          </cell>
          <cell r="H251" t="str">
            <v>CHEESE MOZZ LM PART SKIM
UNFZ PROCESSR PK</v>
          </cell>
          <cell r="I251">
            <v>6.03</v>
          </cell>
        </row>
        <row r="252">
          <cell r="A252">
            <v>78795</v>
          </cell>
          <cell r="B252" t="str">
            <v>7" Cheese Stuffed Wedge Crust Pepp</v>
          </cell>
          <cell r="C252">
            <v>26.9</v>
          </cell>
          <cell r="D252">
            <v>72</v>
          </cell>
          <cell r="E252">
            <v>5.98</v>
          </cell>
          <cell r="F252" t="str">
            <v>B077</v>
          </cell>
          <cell r="G252" t="str">
            <v>100042/110244</v>
          </cell>
          <cell r="H252" t="str">
            <v>CHEESE MOZZ LM PART SKIM
UNFZ PROCESSR PK</v>
          </cell>
          <cell r="I252">
            <v>5.1100000000000003</v>
          </cell>
        </row>
        <row r="253">
          <cell r="A253">
            <v>78803</v>
          </cell>
          <cell r="B253" t="str">
            <v>Tony's 5" Cheese Crispy Crust Pizza</v>
          </cell>
          <cell r="C253">
            <v>22.65</v>
          </cell>
          <cell r="D253">
            <v>80</v>
          </cell>
          <cell r="E253">
            <v>4.53</v>
          </cell>
          <cell r="F253" t="str">
            <v>B077</v>
          </cell>
          <cell r="G253" t="str">
            <v>100042/110244</v>
          </cell>
          <cell r="H253" t="str">
            <v>CHEESE MOZZ LM PART SKIM
UNFZ PROCESSR PK</v>
          </cell>
          <cell r="I253">
            <v>3.5</v>
          </cell>
        </row>
        <row r="254">
          <cell r="A254">
            <v>78804</v>
          </cell>
          <cell r="B254" t="str">
            <v>Tony's 5" Pepp Crispy Crust Pizza</v>
          </cell>
          <cell r="C254">
            <v>22.6</v>
          </cell>
          <cell r="D254">
            <v>80</v>
          </cell>
          <cell r="E254">
            <v>4.5199999999999996</v>
          </cell>
          <cell r="F254" t="str">
            <v>B077</v>
          </cell>
          <cell r="G254" t="str">
            <v>100042/110244</v>
          </cell>
          <cell r="H254" t="str">
            <v>CHEESE MOZZ LM PART SKIM
UNFZ PROCESSR PK</v>
          </cell>
          <cell r="I254">
            <v>2.73</v>
          </cell>
        </row>
        <row r="255">
          <cell r="A255">
            <v>78817</v>
          </cell>
          <cell r="B255" t="str">
            <v>4x6 Cheese Pizza IW 100% Mozz</v>
          </cell>
          <cell r="C255">
            <v>21.6</v>
          </cell>
          <cell r="D255">
            <v>72</v>
          </cell>
          <cell r="E255">
            <v>4.8</v>
          </cell>
          <cell r="F255" t="str">
            <v>B077</v>
          </cell>
          <cell r="G255" t="str">
            <v>100042/110244</v>
          </cell>
          <cell r="H255" t="str">
            <v>CHEESE MOZZ LM PART SKIM
UNFZ PROCESSR PK</v>
          </cell>
          <cell r="I255">
            <v>9</v>
          </cell>
        </row>
        <row r="256">
          <cell r="A256">
            <v>78818</v>
          </cell>
          <cell r="B256" t="str">
            <v>4x6 Pepp Pizza IW 100% Mozz</v>
          </cell>
          <cell r="C256">
            <v>21.69</v>
          </cell>
          <cell r="D256">
            <v>72</v>
          </cell>
          <cell r="E256">
            <v>4.82</v>
          </cell>
          <cell r="F256" t="str">
            <v>B077</v>
          </cell>
          <cell r="G256" t="str">
            <v>100042/110244</v>
          </cell>
          <cell r="H256" t="str">
            <v>CHEESE MOZZ LM PART SKIM
UNFZ PROCESSR PK</v>
          </cell>
          <cell r="I256">
            <v>6.75</v>
          </cell>
        </row>
        <row r="257">
          <cell r="A257">
            <v>78822</v>
          </cell>
          <cell r="B257" t="str">
            <v>Smart French Bread Sausage</v>
          </cell>
          <cell r="C257">
            <v>19.87</v>
          </cell>
          <cell r="D257">
            <v>60</v>
          </cell>
          <cell r="E257">
            <v>5.3</v>
          </cell>
          <cell r="F257" t="str">
            <v>B077</v>
          </cell>
          <cell r="G257" t="str">
            <v>100042/110244</v>
          </cell>
          <cell r="H257" t="str">
            <v>CHEESE MOZZ LM PART SKIM
UNFZ PROCESSR PK</v>
          </cell>
          <cell r="I257">
            <v>1.89</v>
          </cell>
        </row>
        <row r="258">
          <cell r="A258">
            <v>78862</v>
          </cell>
          <cell r="B258" t="str">
            <v>School Lunch Pepp Pizza Super Wedge</v>
          </cell>
          <cell r="C258">
            <v>28.8</v>
          </cell>
          <cell r="D258">
            <v>72</v>
          </cell>
          <cell r="E258">
            <v>6.4</v>
          </cell>
          <cell r="F258" t="str">
            <v>B077</v>
          </cell>
          <cell r="G258" t="str">
            <v>100042/110244</v>
          </cell>
          <cell r="H258" t="str">
            <v>CHEESE MOZZ LM PART SKIM
UNFZ PROCESSR PK</v>
          </cell>
          <cell r="I258">
            <v>6.98</v>
          </cell>
        </row>
        <row r="259">
          <cell r="A259">
            <v>78868</v>
          </cell>
          <cell r="B259" t="str">
            <v>School Lunch 3 3/4" Cheese Bagel Piz</v>
          </cell>
          <cell r="C259">
            <v>16.2</v>
          </cell>
          <cell r="D259">
            <v>96</v>
          </cell>
          <cell r="E259">
            <v>2.7</v>
          </cell>
          <cell r="F259" t="str">
            <v>B077</v>
          </cell>
          <cell r="G259" t="str">
            <v>100042/110244</v>
          </cell>
          <cell r="H259" t="str">
            <v>CHEESE MOZZ LM PART SKIM
UNFZ PROCESSR PK</v>
          </cell>
          <cell r="I259">
            <v>7.2</v>
          </cell>
        </row>
        <row r="260">
          <cell r="A260">
            <v>78869</v>
          </cell>
          <cell r="B260" t="str">
            <v>School Lunch 3.2x5 Bkfst Saus Crumble Piz</v>
          </cell>
          <cell r="C260">
            <v>19.13</v>
          </cell>
          <cell r="D260">
            <v>100</v>
          </cell>
          <cell r="E260">
            <v>3.06</v>
          </cell>
          <cell r="F260" t="str">
            <v>B077</v>
          </cell>
          <cell r="G260" t="str">
            <v>100042/110244</v>
          </cell>
          <cell r="H260" t="str">
            <v>CHEESE MOZZ LM PART SKIM
UNFZ PROCESSR PK</v>
          </cell>
          <cell r="I260">
            <v>3.75</v>
          </cell>
        </row>
        <row r="261">
          <cell r="A261">
            <v>78870</v>
          </cell>
          <cell r="B261" t="str">
            <v>School Lunch Rounded Wedge Pepp</v>
          </cell>
          <cell r="C261">
            <v>28.8</v>
          </cell>
          <cell r="D261">
            <v>72</v>
          </cell>
          <cell r="E261">
            <v>6.4</v>
          </cell>
          <cell r="F261" t="str">
            <v>B077</v>
          </cell>
          <cell r="G261" t="str">
            <v>100042/110244</v>
          </cell>
          <cell r="H261" t="str">
            <v>CHEESE MOZZ LM PART SKIM
UNFZ PROCESSR PK</v>
          </cell>
          <cell r="I261">
            <v>6.98</v>
          </cell>
        </row>
        <row r="262">
          <cell r="A262">
            <v>78906</v>
          </cell>
          <cell r="B262" t="str">
            <v>Classic Wedge with Whole Grain
50/50 Cheese</v>
          </cell>
          <cell r="C262">
            <v>24</v>
          </cell>
          <cell r="D262">
            <v>80</v>
          </cell>
          <cell r="E262">
            <v>4.8</v>
          </cell>
          <cell r="F262" t="str">
            <v>B077</v>
          </cell>
          <cell r="G262" t="str">
            <v>100042/110244</v>
          </cell>
          <cell r="H262" t="str">
            <v>CHEESE MOZZ LM PART SKIM
UNFZ PROCESSR PK</v>
          </cell>
          <cell r="I262">
            <v>3.75</v>
          </cell>
        </row>
        <row r="263">
          <cell r="A263">
            <v>78907</v>
          </cell>
          <cell r="B263" t="str">
            <v>Classic Wedge with Whole Grain
 Pepp 50/50</v>
          </cell>
          <cell r="C263">
            <v>23.4</v>
          </cell>
          <cell r="D263">
            <v>80</v>
          </cell>
          <cell r="E263">
            <v>4.68</v>
          </cell>
          <cell r="F263" t="str">
            <v>B077</v>
          </cell>
          <cell r="G263" t="str">
            <v>100042/110244</v>
          </cell>
          <cell r="H263" t="str">
            <v>CHEESE MOZZ LM PART SKIM
UNFZ PROCESSR PK</v>
          </cell>
          <cell r="I263">
            <v>2.78</v>
          </cell>
        </row>
        <row r="264">
          <cell r="A264">
            <v>78908</v>
          </cell>
          <cell r="B264" t="str">
            <v>Tony's Smart Wedge Sausage</v>
          </cell>
          <cell r="C264">
            <v>23.8</v>
          </cell>
          <cell r="D264">
            <v>80</v>
          </cell>
          <cell r="E264">
            <v>4.76</v>
          </cell>
          <cell r="F264" t="str">
            <v>B077</v>
          </cell>
          <cell r="G264" t="str">
            <v>100042/110244</v>
          </cell>
          <cell r="H264" t="str">
            <v>CHEESE MOZZ LM PART SKIM
UNFZ PROCESSR PK</v>
          </cell>
          <cell r="I264">
            <v>3.25</v>
          </cell>
        </row>
        <row r="265">
          <cell r="A265">
            <v>78909</v>
          </cell>
          <cell r="B265" t="str">
            <v>Classic Wedge with Whole Grain Cheese</v>
          </cell>
          <cell r="C265">
            <v>23.5</v>
          </cell>
          <cell r="D265">
            <v>80</v>
          </cell>
          <cell r="E265">
            <v>4.7</v>
          </cell>
          <cell r="F265" t="str">
            <v>B077</v>
          </cell>
          <cell r="G265" t="str">
            <v>100042/110244</v>
          </cell>
          <cell r="H265" t="str">
            <v>CHEESE MOZZ LM PART SKIM
UNFZ PROCESSR PK</v>
          </cell>
          <cell r="I265">
            <v>7</v>
          </cell>
        </row>
        <row r="266">
          <cell r="A266">
            <v>78910</v>
          </cell>
          <cell r="B266" t="str">
            <v>Classic Wedge with Whole Grain Pepp</v>
          </cell>
          <cell r="C266">
            <v>23.4</v>
          </cell>
          <cell r="D266">
            <v>80</v>
          </cell>
          <cell r="E266">
            <v>4.68</v>
          </cell>
          <cell r="F266" t="str">
            <v>B077</v>
          </cell>
          <cell r="G266" t="str">
            <v>100042/110244</v>
          </cell>
          <cell r="H266" t="str">
            <v>CHEESE MOZZ LM PART SKIM
UNFZ PROCESSR PK</v>
          </cell>
          <cell r="I266">
            <v>5.55</v>
          </cell>
        </row>
        <row r="267">
          <cell r="A267">
            <v>78913</v>
          </cell>
          <cell r="B267" t="str">
            <v>Freschetta Flatz  3 Meat Italian</v>
          </cell>
          <cell r="C267">
            <v>13.68</v>
          </cell>
          <cell r="D267">
            <v>48</v>
          </cell>
          <cell r="E267">
            <v>4.5599999999999996</v>
          </cell>
          <cell r="F267" t="str">
            <v>B077</v>
          </cell>
          <cell r="G267" t="str">
            <v>100042/110244</v>
          </cell>
          <cell r="H267" t="str">
            <v>CHEESE MOZZ LM PART SKIM
UNFZ PROCESSR PK</v>
          </cell>
          <cell r="I267">
            <v>2.31</v>
          </cell>
        </row>
        <row r="268">
          <cell r="A268">
            <v>78914</v>
          </cell>
          <cell r="B268" t="str">
            <v>Freschetta Flatz  Buffalo Chicken</v>
          </cell>
          <cell r="C268">
            <v>13.65</v>
          </cell>
          <cell r="D268">
            <v>48</v>
          </cell>
          <cell r="E268">
            <v>4.55</v>
          </cell>
          <cell r="F268" t="str">
            <v>B077</v>
          </cell>
          <cell r="G268" t="str">
            <v>100042/110244</v>
          </cell>
          <cell r="H268" t="str">
            <v>CHEESE MOZZ LM PART SKIM
UNFZ PROCESSR PK</v>
          </cell>
          <cell r="I268">
            <v>3.45</v>
          </cell>
        </row>
        <row r="269">
          <cell r="A269">
            <v>78917</v>
          </cell>
          <cell r="B269" t="str">
            <v>Big Daddy's 16" Harvest Rolled Edge Cheese</v>
          </cell>
          <cell r="C269">
            <v>25.88</v>
          </cell>
          <cell r="D269">
            <v>72</v>
          </cell>
          <cell r="E269">
            <v>5.75</v>
          </cell>
          <cell r="F269" t="str">
            <v>B077</v>
          </cell>
          <cell r="G269" t="str">
            <v>100042/110244</v>
          </cell>
          <cell r="H269" t="str">
            <v>CHEESE MOZZ LM PART SKIM
UNFZ PROCESSR PK</v>
          </cell>
          <cell r="I269">
            <v>6.75</v>
          </cell>
        </row>
        <row r="270">
          <cell r="A270">
            <v>78918</v>
          </cell>
          <cell r="B270" t="str">
            <v>Big Daddy's 16" Harvest Rolled Edge Pepp</v>
          </cell>
          <cell r="C270">
            <v>25.88</v>
          </cell>
          <cell r="D270">
            <v>72</v>
          </cell>
          <cell r="E270">
            <v>5.75</v>
          </cell>
          <cell r="F270" t="str">
            <v>B077</v>
          </cell>
          <cell r="G270" t="str">
            <v>100042/110244</v>
          </cell>
          <cell r="H270" t="str">
            <v>CHEESE MOZZ LM PART SKIM
UNFZ PROCESSR PK</v>
          </cell>
          <cell r="I270">
            <v>5.18</v>
          </cell>
        </row>
        <row r="271">
          <cell r="A271">
            <v>78922</v>
          </cell>
          <cell r="B271" t="str">
            <v>Big Daddy's Whole Grain Cheese Pizza</v>
          </cell>
          <cell r="C271">
            <v>26.72</v>
          </cell>
          <cell r="D271">
            <v>90</v>
          </cell>
          <cell r="E271">
            <v>4.75</v>
          </cell>
          <cell r="F271" t="str">
            <v>B077</v>
          </cell>
          <cell r="G271" t="str">
            <v>100042/110244</v>
          </cell>
          <cell r="H271" t="str">
            <v>CHEESE MOZZ LM PART SKIM
UNFZ PROCESSR PK</v>
          </cell>
          <cell r="I271">
            <v>6.75</v>
          </cell>
        </row>
        <row r="272">
          <cell r="A272">
            <v>78926</v>
          </cell>
          <cell r="B272" t="str">
            <v>Big Daddy's Whole Grain Cheese Pizza</v>
          </cell>
          <cell r="C272">
            <v>24.65</v>
          </cell>
          <cell r="D272">
            <v>72</v>
          </cell>
          <cell r="E272">
            <v>5.48</v>
          </cell>
          <cell r="F272" t="str">
            <v>B077</v>
          </cell>
          <cell r="G272" t="str">
            <v>100042/110244</v>
          </cell>
          <cell r="H272" t="str">
            <v>CHEESE MOZZ LM PART SKIM
UNFZ PROCESSR PK</v>
          </cell>
          <cell r="I272">
            <v>7.48</v>
          </cell>
        </row>
        <row r="273">
          <cell r="A273">
            <v>78927</v>
          </cell>
          <cell r="B273" t="str">
            <v>Big Daddy's Whole Grain Pepperoni Pizza</v>
          </cell>
          <cell r="C273">
            <v>24.7</v>
          </cell>
          <cell r="D273">
            <v>72</v>
          </cell>
          <cell r="E273">
            <v>5.49</v>
          </cell>
          <cell r="F273" t="str">
            <v>B077</v>
          </cell>
          <cell r="G273" t="str">
            <v>100042/110244</v>
          </cell>
          <cell r="H273" t="str">
            <v>CHEESE MOZZ LM PART SKIM
UNFZ PROCESSR PK</v>
          </cell>
          <cell r="I273">
            <v>5.96</v>
          </cell>
        </row>
        <row r="274">
          <cell r="A274">
            <v>78939</v>
          </cell>
          <cell r="B274" t="str">
            <v>Sodexo 16" 51% WG Cheese Pizza</v>
          </cell>
          <cell r="C274">
            <v>26.44</v>
          </cell>
          <cell r="D274">
            <v>90</v>
          </cell>
          <cell r="E274">
            <v>4.7</v>
          </cell>
          <cell r="F274" t="str">
            <v>B077</v>
          </cell>
          <cell r="G274" t="str">
            <v>100042/110244</v>
          </cell>
          <cell r="H274" t="str">
            <v>CHEESE MOZZ LM PART SKIM
UNFZ PROCESSR PK</v>
          </cell>
          <cell r="I274">
            <v>6.75</v>
          </cell>
        </row>
        <row r="275">
          <cell r="A275">
            <v>78942</v>
          </cell>
          <cell r="B275" t="str">
            <v>Big Daddy's 16" Harvest Rolled Edge Cheese</v>
          </cell>
          <cell r="C275">
            <v>25.88</v>
          </cell>
          <cell r="D275">
            <v>90</v>
          </cell>
          <cell r="E275">
            <v>4.5999999999999996</v>
          </cell>
          <cell r="F275" t="str">
            <v>B077</v>
          </cell>
          <cell r="G275" t="str">
            <v>100042/110244</v>
          </cell>
          <cell r="H275" t="str">
            <v>CHEESE MOZZ LM PART SKIM
UNFZ PROCESSR PK</v>
          </cell>
          <cell r="I275">
            <v>6.75</v>
          </cell>
        </row>
        <row r="276">
          <cell r="A276">
            <v>78943</v>
          </cell>
          <cell r="B276" t="str">
            <v>Big Daddy's 16" Harvest Rolled Edge Pepp</v>
          </cell>
          <cell r="C276">
            <v>25.88</v>
          </cell>
          <cell r="D276">
            <v>90</v>
          </cell>
          <cell r="E276">
            <v>4.5999999999999996</v>
          </cell>
          <cell r="F276" t="str">
            <v>B077</v>
          </cell>
          <cell r="G276" t="str">
            <v>100042/110244</v>
          </cell>
          <cell r="H276" t="str">
            <v>CHEESE MOZZ LM PART SKIM
UNFZ PROCESSR PK</v>
          </cell>
          <cell r="I276">
            <v>5.18</v>
          </cell>
        </row>
        <row r="277">
          <cell r="A277">
            <v>78944</v>
          </cell>
          <cell r="B277" t="str">
            <v>Big Daddy's 16" Harvest Rolled Edge Cheese</v>
          </cell>
          <cell r="C277">
            <v>25.88</v>
          </cell>
          <cell r="D277">
            <v>90</v>
          </cell>
          <cell r="E277">
            <v>4.5999999999999996</v>
          </cell>
          <cell r="F277" t="str">
            <v>B077</v>
          </cell>
          <cell r="G277" t="str">
            <v>100042/110244</v>
          </cell>
          <cell r="H277" t="str">
            <v>CHEESE MOZZ LM PART SKIM
UNFZ PROCESSR PK</v>
          </cell>
          <cell r="I277">
            <v>6.75</v>
          </cell>
        </row>
        <row r="278">
          <cell r="A278">
            <v>78945</v>
          </cell>
          <cell r="B278" t="str">
            <v>Big Daddy's 16" Harvest Rolled Edge Pepp</v>
          </cell>
          <cell r="C278">
            <v>25.88</v>
          </cell>
          <cell r="D278">
            <v>90</v>
          </cell>
          <cell r="E278">
            <v>4.5999999999999996</v>
          </cell>
          <cell r="F278" t="str">
            <v>B077</v>
          </cell>
          <cell r="G278" t="str">
            <v>100042/110244</v>
          </cell>
          <cell r="H278" t="str">
            <v>CHEESE MOZZ LM PART SKIM
UNFZ PROCESSR PK</v>
          </cell>
          <cell r="I278">
            <v>5.18</v>
          </cell>
        </row>
        <row r="279">
          <cell r="A279">
            <v>78948</v>
          </cell>
          <cell r="B279" t="str">
            <v>French Bread Pepp</v>
          </cell>
          <cell r="C279">
            <v>18.75</v>
          </cell>
          <cell r="D279">
            <v>60</v>
          </cell>
          <cell r="E279">
            <v>5</v>
          </cell>
          <cell r="F279" t="str">
            <v>B077</v>
          </cell>
          <cell r="G279" t="str">
            <v>100042/110244</v>
          </cell>
          <cell r="H279" t="str">
            <v>CHEESE MOZZ LM PART SKIM
UNFZ PROCESSR PK</v>
          </cell>
          <cell r="I279">
            <v>5.81</v>
          </cell>
        </row>
        <row r="280">
          <cell r="A280">
            <v>78951</v>
          </cell>
          <cell r="B280" t="str">
            <v>Cheese Pizza Bagel I.W.</v>
          </cell>
          <cell r="C280">
            <v>28.61</v>
          </cell>
          <cell r="D280">
            <v>84</v>
          </cell>
          <cell r="E280">
            <v>5.45</v>
          </cell>
          <cell r="F280" t="str">
            <v>B077</v>
          </cell>
          <cell r="G280" t="str">
            <v>100042/110244</v>
          </cell>
          <cell r="H280" t="str">
            <v>CHEESE MOZZ LM PART SKIM
UNFZ PROCESSR PK</v>
          </cell>
          <cell r="I280">
            <v>10.47</v>
          </cell>
        </row>
        <row r="281">
          <cell r="A281">
            <v>78952</v>
          </cell>
          <cell r="B281" t="str">
            <v>Cheese Pizza Bagel I.W.</v>
          </cell>
          <cell r="C281">
            <v>28.61</v>
          </cell>
          <cell r="D281">
            <v>84</v>
          </cell>
          <cell r="E281">
            <v>5.45</v>
          </cell>
          <cell r="F281" t="str">
            <v>B077</v>
          </cell>
          <cell r="G281" t="str">
            <v>100042/110244</v>
          </cell>
          <cell r="H281" t="str">
            <v>CHEESE MOZZ LM PART SKIM
UNFZ PROCESSR PK</v>
          </cell>
          <cell r="I281">
            <v>10.47</v>
          </cell>
        </row>
        <row r="282">
          <cell r="A282">
            <v>78955</v>
          </cell>
          <cell r="B282" t="str">
            <v>French Bread Cheese Pizza</v>
          </cell>
          <cell r="C282">
            <v>18.75</v>
          </cell>
          <cell r="D282">
            <v>60</v>
          </cell>
          <cell r="E282">
            <v>5</v>
          </cell>
          <cell r="F282" t="str">
            <v>B077</v>
          </cell>
          <cell r="G282" t="str">
            <v>100042/110244</v>
          </cell>
          <cell r="H282" t="str">
            <v>CHEESE MOZZ LM PART SKIM
UNFZ PROCESSR PK</v>
          </cell>
          <cell r="I282">
            <v>7.59</v>
          </cell>
        </row>
        <row r="283">
          <cell r="A283">
            <v>78956</v>
          </cell>
          <cell r="B283" t="str">
            <v>French Bread Cheese Pizza I.W.</v>
          </cell>
          <cell r="C283">
            <v>18.75</v>
          </cell>
          <cell r="D283">
            <v>60</v>
          </cell>
          <cell r="E283">
            <v>5</v>
          </cell>
          <cell r="F283" t="str">
            <v>B077</v>
          </cell>
          <cell r="G283" t="str">
            <v>100042/110244</v>
          </cell>
          <cell r="H283" t="str">
            <v>CHEESE MOZZ LM PART SKIM
UNFZ PROCESSR PK</v>
          </cell>
          <cell r="I283">
            <v>7.59</v>
          </cell>
        </row>
        <row r="284">
          <cell r="A284">
            <v>78964</v>
          </cell>
          <cell r="B284" t="str">
            <v>Breakfast Sausage Crumble Pizza I.W.</v>
          </cell>
          <cell r="C284">
            <v>19.440000000000001</v>
          </cell>
          <cell r="D284">
            <v>100</v>
          </cell>
          <cell r="E284">
            <v>3.11</v>
          </cell>
          <cell r="F284" t="str">
            <v>B077</v>
          </cell>
          <cell r="G284" t="str">
            <v>100042/110244</v>
          </cell>
          <cell r="H284" t="str">
            <v>CHEESE MOZZ LM PART SKIM
UNFZ PROCESSR PK</v>
          </cell>
          <cell r="I284">
            <v>1.84</v>
          </cell>
        </row>
        <row r="285">
          <cell r="A285">
            <v>78965</v>
          </cell>
          <cell r="B285" t="str">
            <v>Breakfast Sausage Crumble Pizza</v>
          </cell>
          <cell r="C285">
            <v>19.440000000000001</v>
          </cell>
          <cell r="D285">
            <v>100</v>
          </cell>
          <cell r="E285">
            <v>3.11</v>
          </cell>
          <cell r="F285" t="str">
            <v>B077</v>
          </cell>
          <cell r="G285" t="str">
            <v>100042/110244</v>
          </cell>
          <cell r="H285" t="str">
            <v>CHEESE MOZZ LM PART SKIM
UNFZ PROCESSR PK</v>
          </cell>
          <cell r="I285">
            <v>1.84</v>
          </cell>
        </row>
        <row r="286">
          <cell r="A286">
            <v>78972</v>
          </cell>
          <cell r="B286" t="str">
            <v>Lunch Pepperoni Pizza Bagel</v>
          </cell>
          <cell r="C286">
            <v>28.61</v>
          </cell>
          <cell r="D286">
            <v>84</v>
          </cell>
          <cell r="E286">
            <v>5.45</v>
          </cell>
          <cell r="F286" t="str">
            <v>B077</v>
          </cell>
          <cell r="G286" t="str">
            <v>100042/110244</v>
          </cell>
          <cell r="H286" t="str">
            <v>CHEESE MOZZ LM PART SKIM
UNFZ PROCESSR PK</v>
          </cell>
          <cell r="I286">
            <v>3.82</v>
          </cell>
        </row>
        <row r="287">
          <cell r="A287">
            <v>78973</v>
          </cell>
          <cell r="B287" t="str">
            <v>Lunch Pepperoni Pizza Bagel I.W.</v>
          </cell>
          <cell r="C287">
            <v>28.61</v>
          </cell>
          <cell r="D287">
            <v>84</v>
          </cell>
          <cell r="E287">
            <v>5.45</v>
          </cell>
          <cell r="F287" t="str">
            <v>B077</v>
          </cell>
          <cell r="G287" t="str">
            <v>100042/110244</v>
          </cell>
          <cell r="H287" t="str">
            <v>CHEESE MOZZ LM PART SKIM
UNFZ PROCESSR PK</v>
          </cell>
          <cell r="I287">
            <v>3.82</v>
          </cell>
        </row>
        <row r="288">
          <cell r="A288">
            <v>78976</v>
          </cell>
          <cell r="B288" t="str">
            <v>School Lunch 3 3/4" Bkfst Bagel</v>
          </cell>
          <cell r="C288">
            <v>18.66</v>
          </cell>
          <cell r="D288">
            <v>96</v>
          </cell>
          <cell r="E288">
            <v>3.11</v>
          </cell>
          <cell r="F288" t="str">
            <v>B077</v>
          </cell>
          <cell r="G288" t="str">
            <v>100042/110244</v>
          </cell>
          <cell r="H288" t="str">
            <v>CHEESE MOZZ LM PART SKIM
UNFZ PROCESSR PK</v>
          </cell>
          <cell r="I288">
            <v>6</v>
          </cell>
        </row>
        <row r="289">
          <cell r="A289">
            <v>78977</v>
          </cell>
          <cell r="B289" t="str">
            <v>Breakfast Bagel I.W.</v>
          </cell>
          <cell r="C289">
            <v>18.66</v>
          </cell>
          <cell r="D289">
            <v>96</v>
          </cell>
          <cell r="E289">
            <v>3.11</v>
          </cell>
          <cell r="F289" t="str">
            <v>B077</v>
          </cell>
          <cell r="G289" t="str">
            <v>100042/110244</v>
          </cell>
          <cell r="H289" t="str">
            <v>CHEESE MOZZ LM PART SKIM
UNFZ PROCESSR PK</v>
          </cell>
          <cell r="I289">
            <v>5.99</v>
          </cell>
        </row>
        <row r="290">
          <cell r="A290">
            <v>78978</v>
          </cell>
          <cell r="B290" t="str">
            <v>3 3/4" Breakfast Bagel 100% Mozz</v>
          </cell>
          <cell r="C290">
            <v>18.66</v>
          </cell>
          <cell r="D290">
            <v>96</v>
          </cell>
          <cell r="E290">
            <v>3.11</v>
          </cell>
          <cell r="F290" t="str">
            <v>B077</v>
          </cell>
          <cell r="G290" t="str">
            <v>100042/110244</v>
          </cell>
          <cell r="H290" t="str">
            <v>CHEESE MOZZ LM PART SKIM
UNFZ PROCESSR PK</v>
          </cell>
          <cell r="I290">
            <v>6</v>
          </cell>
        </row>
        <row r="291">
          <cell r="A291">
            <v>78985</v>
          </cell>
          <cell r="B291" t="str">
            <v>Big Daddy's Bold Cheese</v>
          </cell>
          <cell r="C291">
            <v>25.05</v>
          </cell>
          <cell r="D291">
            <v>72</v>
          </cell>
          <cell r="E291">
            <v>5.57</v>
          </cell>
          <cell r="F291" t="str">
            <v>B077</v>
          </cell>
          <cell r="G291" t="str">
            <v>100042/110244</v>
          </cell>
          <cell r="H291" t="str">
            <v>CHEESE MOZZ LM PART SKIM
UNFZ PROCESSR PK</v>
          </cell>
          <cell r="I291">
            <v>9</v>
          </cell>
        </row>
        <row r="292">
          <cell r="A292">
            <v>78986</v>
          </cell>
          <cell r="B292" t="str">
            <v>Big Daddy's Bold Pepp</v>
          </cell>
          <cell r="C292">
            <v>25.05</v>
          </cell>
          <cell r="D292">
            <v>72</v>
          </cell>
          <cell r="E292">
            <v>5.57</v>
          </cell>
          <cell r="F292" t="str">
            <v>B077</v>
          </cell>
          <cell r="G292" t="str">
            <v>100042/110244</v>
          </cell>
          <cell r="H292" t="str">
            <v>CHEESE MOZZ LM PART SKIM
UNFZ PROCESSR PK</v>
          </cell>
          <cell r="I292">
            <v>6.89</v>
          </cell>
        </row>
        <row r="293">
          <cell r="A293">
            <v>78987</v>
          </cell>
          <cell r="B293" t="str">
            <v>Big Daddy's Bold Cheese Pre-Sliced</v>
          </cell>
          <cell r="C293">
            <v>25.05</v>
          </cell>
          <cell r="D293">
            <v>90</v>
          </cell>
          <cell r="E293">
            <v>4.45</v>
          </cell>
          <cell r="F293" t="str">
            <v>B077</v>
          </cell>
          <cell r="G293" t="str">
            <v>100042/110244</v>
          </cell>
          <cell r="H293" t="str">
            <v>CHEESE MOZZ LM PART SKIM
UNFZ PROCESSR PK</v>
          </cell>
          <cell r="I293">
            <v>9</v>
          </cell>
        </row>
        <row r="294">
          <cell r="A294">
            <v>78992</v>
          </cell>
          <cell r="B294" t="str">
            <v>Big Daddy's 51% WG Cheese Cheese Pizza Presliced</v>
          </cell>
          <cell r="C294">
            <v>24.37</v>
          </cell>
          <cell r="D294">
            <v>90</v>
          </cell>
          <cell r="E294">
            <v>4.33</v>
          </cell>
          <cell r="F294" t="str">
            <v>B077</v>
          </cell>
          <cell r="G294" t="str">
            <v>100042/110244</v>
          </cell>
          <cell r="H294" t="str">
            <v>CHEESE MOZZ LM PART SKIM
UNFZ PROCESSR PK</v>
          </cell>
          <cell r="I294">
            <v>7.48</v>
          </cell>
        </row>
        <row r="295">
          <cell r="A295">
            <v>78993</v>
          </cell>
          <cell r="B295" t="str">
            <v>Big Daddy's 51% WG Pepp Pizza Presliced</v>
          </cell>
          <cell r="C295">
            <v>24.37</v>
          </cell>
          <cell r="D295">
            <v>90</v>
          </cell>
          <cell r="E295">
            <v>4.33</v>
          </cell>
          <cell r="F295" t="str">
            <v>B077</v>
          </cell>
          <cell r="G295" t="str">
            <v>100042/110244</v>
          </cell>
          <cell r="H295" t="str">
            <v>CHEESE MOZZ LM PART SKIM
UNFZ PROCESSR PK</v>
          </cell>
          <cell r="I295">
            <v>5.96</v>
          </cell>
        </row>
        <row r="296">
          <cell r="A296">
            <v>78995</v>
          </cell>
          <cell r="B296" t="str">
            <v>Big Daddy's Cheese Flatbread Sandwich</v>
          </cell>
          <cell r="C296">
            <v>18.045000000000002</v>
          </cell>
          <cell r="D296">
            <v>72</v>
          </cell>
          <cell r="E296">
            <v>4.01</v>
          </cell>
          <cell r="F296" t="str">
            <v>B077</v>
          </cell>
          <cell r="G296" t="str">
            <v>100042/110244</v>
          </cell>
          <cell r="H296" t="str">
            <v>CHEESE MOZZ LM PART SKIM
UNFZ PROCESSR PK</v>
          </cell>
          <cell r="I296">
            <v>6.39</v>
          </cell>
        </row>
        <row r="297">
          <cell r="A297">
            <v>78996</v>
          </cell>
          <cell r="B297" t="str">
            <v>Big Daddy's Southwest Chicken Flatbread Sandwich</v>
          </cell>
          <cell r="C297">
            <v>19.079999999999998</v>
          </cell>
          <cell r="D297">
            <v>72</v>
          </cell>
          <cell r="E297">
            <v>4.24</v>
          </cell>
          <cell r="F297" t="str">
            <v>B077</v>
          </cell>
          <cell r="G297" t="str">
            <v>100042/110244</v>
          </cell>
          <cell r="H297" t="str">
            <v>CHEESE MOZZ LM PART SKIM
UNFZ PROCESSR PK</v>
          </cell>
          <cell r="I297">
            <v>4.09</v>
          </cell>
        </row>
        <row r="298">
          <cell r="A298">
            <v>78997</v>
          </cell>
          <cell r="B298" t="str">
            <v>Big Daddy's BBQ Chicken Flatbread Sandwich</v>
          </cell>
          <cell r="C298">
            <v>18.27</v>
          </cell>
          <cell r="D298">
            <v>72</v>
          </cell>
          <cell r="E298">
            <v>4.0599999999999996</v>
          </cell>
          <cell r="F298" t="str">
            <v>B077</v>
          </cell>
          <cell r="G298" t="str">
            <v>100042/110244</v>
          </cell>
          <cell r="H298" t="str">
            <v>CHEESE MOZZ LM PART SKIM
UNFZ PROCESSR PK</v>
          </cell>
          <cell r="I298">
            <v>5</v>
          </cell>
        </row>
        <row r="299">
          <cell r="A299">
            <v>78998</v>
          </cell>
          <cell r="B299" t="str">
            <v>Big Daddy's Bold Pepperoni Pre-Sliced 10 Cut</v>
          </cell>
          <cell r="C299">
            <v>25.19</v>
          </cell>
          <cell r="D299">
            <v>90</v>
          </cell>
          <cell r="E299">
            <v>4.4800000000000004</v>
          </cell>
          <cell r="F299" t="str">
            <v>B077</v>
          </cell>
          <cell r="G299" t="str">
            <v>100042/110244</v>
          </cell>
          <cell r="H299" t="str">
            <v>CHEESE MOZZ LM PART SKIM
UNFZ PROCESSR PK</v>
          </cell>
          <cell r="I299">
            <v>6.89</v>
          </cell>
        </row>
        <row r="300">
          <cell r="A300">
            <v>88005</v>
          </cell>
          <cell r="B300" t="str">
            <v>Chicken Quesadilla</v>
          </cell>
          <cell r="C300">
            <v>26.4</v>
          </cell>
          <cell r="D300">
            <v>96</v>
          </cell>
          <cell r="E300">
            <v>4.4000000000000004</v>
          </cell>
          <cell r="F300" t="str">
            <v>B077</v>
          </cell>
          <cell r="G300" t="str">
            <v>100042/110244</v>
          </cell>
          <cell r="H300" t="str">
            <v>CHEESE MOZZ LM PART SKIM
UNFZ PROCESSR PK</v>
          </cell>
          <cell r="I300">
            <v>6.57</v>
          </cell>
        </row>
        <row r="301">
          <cell r="A301">
            <v>88007</v>
          </cell>
          <cell r="B301" t="str">
            <v>Cheese Quesadilla</v>
          </cell>
          <cell r="C301">
            <v>26.4</v>
          </cell>
          <cell r="D301">
            <v>96</v>
          </cell>
          <cell r="E301">
            <v>4.4000000000000004</v>
          </cell>
          <cell r="F301" t="str">
            <v>B077</v>
          </cell>
          <cell r="G301" t="str">
            <v>100042/110244</v>
          </cell>
          <cell r="H301" t="str">
            <v>CHEESE MOZZ LM PART SKIM
UNFZ PROCESSR PK</v>
          </cell>
          <cell r="I301">
            <v>8.91</v>
          </cell>
        </row>
        <row r="302">
          <cell r="A302">
            <v>69034</v>
          </cell>
          <cell r="B302" t="str">
            <v>Chicken Fried Rice</v>
          </cell>
          <cell r="C302">
            <v>24</v>
          </cell>
          <cell r="D302">
            <v>64</v>
          </cell>
          <cell r="E302">
            <v>6</v>
          </cell>
          <cell r="F302" t="str">
            <v>A518</v>
          </cell>
          <cell r="G302">
            <v>100113</v>
          </cell>
          <cell r="H302" t="str">
            <v>CHICKEN LEGS CHILLEDBULK</v>
          </cell>
          <cell r="I302">
            <v>5.26</v>
          </cell>
        </row>
        <row r="303">
          <cell r="A303">
            <v>69063</v>
          </cell>
          <cell r="B303" t="str">
            <v>Sweet &amp;  Sour Chicken Stir Fry</v>
          </cell>
          <cell r="C303">
            <v>35</v>
          </cell>
          <cell r="D303">
            <v>142</v>
          </cell>
          <cell r="E303">
            <v>3.92</v>
          </cell>
          <cell r="F303" t="str">
            <v>A518</v>
          </cell>
          <cell r="G303">
            <v>100113</v>
          </cell>
          <cell r="H303" t="str">
            <v>CHICKEN LEGS CHILLEDBULK</v>
          </cell>
          <cell r="I303">
            <v>30.56</v>
          </cell>
        </row>
        <row r="304">
          <cell r="A304">
            <v>69064</v>
          </cell>
          <cell r="B304" t="str">
            <v>Teriyaki Chicken Stir Fry</v>
          </cell>
          <cell r="C304">
            <v>40</v>
          </cell>
          <cell r="D304">
            <v>200</v>
          </cell>
          <cell r="E304">
            <v>3.2</v>
          </cell>
          <cell r="F304" t="str">
            <v>A518</v>
          </cell>
          <cell r="G304">
            <v>100113</v>
          </cell>
          <cell r="H304" t="str">
            <v>CHICKEN LEGS CHILLEDBULK</v>
          </cell>
          <cell r="I304">
            <v>39.17</v>
          </cell>
        </row>
        <row r="305">
          <cell r="A305">
            <v>69065</v>
          </cell>
          <cell r="B305" t="str">
            <v>General TSO Chicken Stir Fry</v>
          </cell>
          <cell r="C305">
            <v>40</v>
          </cell>
          <cell r="D305">
            <v>200</v>
          </cell>
          <cell r="E305">
            <v>3.2</v>
          </cell>
          <cell r="F305" t="str">
            <v>A518</v>
          </cell>
          <cell r="G305">
            <v>100113</v>
          </cell>
          <cell r="H305" t="str">
            <v>CHICKEN LEGS CHILLEDBULK</v>
          </cell>
          <cell r="I305">
            <v>39.17</v>
          </cell>
        </row>
        <row r="306">
          <cell r="A306">
            <v>69066</v>
          </cell>
          <cell r="B306" t="str">
            <v>Orange Chicken Stir Fry</v>
          </cell>
          <cell r="C306">
            <v>35</v>
          </cell>
          <cell r="D306">
            <v>142</v>
          </cell>
          <cell r="E306">
            <v>3.92</v>
          </cell>
          <cell r="F306" t="str">
            <v>A518</v>
          </cell>
          <cell r="G306">
            <v>100113</v>
          </cell>
          <cell r="H306" t="str">
            <v>CHICKEN LEGS CHILLEDBULK</v>
          </cell>
          <cell r="I306">
            <v>30.56</v>
          </cell>
        </row>
        <row r="309">
          <cell r="A309">
            <v>55208</v>
          </cell>
          <cell r="B309" t="str">
            <v>Tony's Grilled Cheese Sandwich (Bulk)</v>
          </cell>
          <cell r="C309">
            <v>25</v>
          </cell>
          <cell r="D309">
            <v>80</v>
          </cell>
          <cell r="E309">
            <v>5</v>
          </cell>
          <cell r="F309" t="str">
            <v>B286</v>
          </cell>
          <cell r="G309">
            <v>100418</v>
          </cell>
          <cell r="H309" t="str">
            <v>FLOUR BAKER 
HARD WHT UNBLCH BULK</v>
          </cell>
          <cell r="I309">
            <v>8.8000000000000007</v>
          </cell>
        </row>
        <row r="310">
          <cell r="A310">
            <v>55220</v>
          </cell>
          <cell r="B310" t="str">
            <v>Tony's Whole Grain 1.5 oz Grilled Cheese</v>
          </cell>
          <cell r="C310">
            <v>16.34</v>
          </cell>
          <cell r="D310">
            <v>72</v>
          </cell>
          <cell r="E310">
            <v>3.63</v>
          </cell>
          <cell r="F310" t="str">
            <v>B286</v>
          </cell>
          <cell r="G310">
            <v>100418</v>
          </cell>
          <cell r="H310" t="str">
            <v>FLOUR BAKER 
HARD WHT UNBLCH BULK</v>
          </cell>
          <cell r="I310">
            <v>0</v>
          </cell>
        </row>
        <row r="311">
          <cell r="A311">
            <v>55221</v>
          </cell>
          <cell r="B311" t="str">
            <v>Tony's Whole Grain 1.5 oz Grilled Cheese Am Style</v>
          </cell>
          <cell r="C311">
            <v>16.34</v>
          </cell>
          <cell r="D311">
            <v>72</v>
          </cell>
          <cell r="E311">
            <v>3.63</v>
          </cell>
          <cell r="F311" t="str">
            <v>B286</v>
          </cell>
          <cell r="G311">
            <v>100418</v>
          </cell>
          <cell r="H311" t="str">
            <v>FLOUR BAKER 
HARD WHT UNBLCH BULK</v>
          </cell>
          <cell r="I311">
            <v>0</v>
          </cell>
        </row>
        <row r="312">
          <cell r="A312">
            <v>55222</v>
          </cell>
          <cell r="B312" t="str">
            <v>SFS TN Whole Grain  Grilled Cheese (ARAMARK)</v>
          </cell>
          <cell r="C312">
            <v>19.350000000000001</v>
          </cell>
          <cell r="D312">
            <v>72</v>
          </cell>
          <cell r="E312">
            <v>4.3</v>
          </cell>
          <cell r="F312" t="str">
            <v>B286</v>
          </cell>
          <cell r="G312">
            <v>100418</v>
          </cell>
          <cell r="H312" t="str">
            <v>FLOUR BAKER 
HARD WHT UNBLCH BULK</v>
          </cell>
          <cell r="I312">
            <v>0</v>
          </cell>
        </row>
        <row r="313">
          <cell r="A313">
            <v>55223</v>
          </cell>
          <cell r="B313" t="str">
            <v>Tony's Whole Grain Spicy Grilled Cheese (Aramark)approved need to set up BOM</v>
          </cell>
          <cell r="C313">
            <v>12.9</v>
          </cell>
          <cell r="D313">
            <v>48</v>
          </cell>
          <cell r="E313">
            <v>4.3</v>
          </cell>
          <cell r="F313" t="str">
            <v>B286</v>
          </cell>
          <cell r="G313">
            <v>100418</v>
          </cell>
          <cell r="H313" t="str">
            <v>FLOUR BAKER 
HARD WHT UNBLCH BULK</v>
          </cell>
          <cell r="I313">
            <v>0</v>
          </cell>
        </row>
        <row r="314">
          <cell r="A314">
            <v>55224</v>
          </cell>
          <cell r="B314" t="str">
            <v>Tony's Whole Grain Grilled Chs Sand Bulk</v>
          </cell>
          <cell r="C314">
            <v>12.9</v>
          </cell>
          <cell r="D314">
            <v>48</v>
          </cell>
          <cell r="E314">
            <v>4.3</v>
          </cell>
          <cell r="F314" t="str">
            <v>B286</v>
          </cell>
          <cell r="G314">
            <v>100418</v>
          </cell>
          <cell r="H314" t="str">
            <v>FLOUR BAKER 
HARD WHT UNBLCH BULK</v>
          </cell>
          <cell r="I314">
            <v>0</v>
          </cell>
        </row>
        <row r="315">
          <cell r="A315">
            <v>55225</v>
          </cell>
          <cell r="B315" t="str">
            <v>Tony's Whole Grain Cheese Sandwich IW</v>
          </cell>
          <cell r="C315">
            <v>12.9</v>
          </cell>
          <cell r="D315">
            <v>48</v>
          </cell>
          <cell r="E315">
            <v>4.3</v>
          </cell>
          <cell r="F315" t="str">
            <v>B286</v>
          </cell>
          <cell r="G315">
            <v>100418</v>
          </cell>
          <cell r="H315" t="str">
            <v>FLOUR BAKER 
HARD WHT UNBLCH BULK</v>
          </cell>
          <cell r="I315">
            <v>0</v>
          </cell>
        </row>
        <row r="316">
          <cell r="A316">
            <v>61545</v>
          </cell>
          <cell r="B316" t="str">
            <v>Tony's Cinnamon Breakfast Biscuit</v>
          </cell>
          <cell r="C316">
            <v>20.239999999999998</v>
          </cell>
          <cell r="D316">
            <v>128</v>
          </cell>
          <cell r="E316">
            <v>2.5299999999999998</v>
          </cell>
          <cell r="F316" t="str">
            <v>B286</v>
          </cell>
          <cell r="G316">
            <v>100418</v>
          </cell>
          <cell r="H316" t="str">
            <v>FLOUR BAKER 
HARD WHT UNBLCH BULK</v>
          </cell>
          <cell r="I316">
            <v>8.25</v>
          </cell>
        </row>
        <row r="317">
          <cell r="A317">
            <v>62009</v>
          </cell>
          <cell r="B317" t="str">
            <v>Chili &amp; Cheese Quesadilla</v>
          </cell>
          <cell r="C317">
            <v>26.4</v>
          </cell>
          <cell r="D317">
            <v>96</v>
          </cell>
          <cell r="E317">
            <v>4.4000000000000004</v>
          </cell>
          <cell r="F317" t="str">
            <v>B286</v>
          </cell>
          <cell r="G317">
            <v>100418</v>
          </cell>
          <cell r="H317" t="str">
            <v>FLOUR BAKER 
HARD WHT UNBLCH BULK</v>
          </cell>
          <cell r="I317">
            <v>7.19</v>
          </cell>
        </row>
        <row r="318">
          <cell r="A318">
            <v>62050</v>
          </cell>
          <cell r="B318" t="str">
            <v>Beef Fiestada</v>
          </cell>
          <cell r="C318">
            <v>31.8</v>
          </cell>
          <cell r="D318">
            <v>96</v>
          </cell>
          <cell r="E318">
            <v>5.3</v>
          </cell>
          <cell r="F318" t="str">
            <v>B286</v>
          </cell>
          <cell r="G318">
            <v>100418</v>
          </cell>
          <cell r="H318" t="str">
            <v>FLOUR BAKER 
HARD WHT UNBLCH BULK</v>
          </cell>
          <cell r="I318">
            <v>7.22</v>
          </cell>
        </row>
        <row r="319">
          <cell r="A319">
            <v>63088</v>
          </cell>
          <cell r="B319" t="str">
            <v>Tony's Cheese/Sub Cheese 5" DD Pizza</v>
          </cell>
          <cell r="C319">
            <v>18.75</v>
          </cell>
          <cell r="D319">
            <v>60</v>
          </cell>
          <cell r="E319">
            <v>5</v>
          </cell>
          <cell r="F319" t="str">
            <v>B286</v>
          </cell>
          <cell r="G319">
            <v>100418</v>
          </cell>
          <cell r="H319" t="str">
            <v>FLOUR BAKER 
HARD WHT UNBLCH BULK</v>
          </cell>
          <cell r="I319">
            <v>6.71</v>
          </cell>
        </row>
        <row r="320">
          <cell r="A320">
            <v>63091</v>
          </cell>
          <cell r="B320" t="str">
            <v>Tony's Deluxe 5" DD Pizza/IW</v>
          </cell>
          <cell r="C320">
            <v>19.91</v>
          </cell>
          <cell r="D320">
            <v>60</v>
          </cell>
          <cell r="E320">
            <v>5.31</v>
          </cell>
          <cell r="F320" t="str">
            <v>B286</v>
          </cell>
          <cell r="G320">
            <v>100418</v>
          </cell>
          <cell r="H320" t="str">
            <v>FLOUR BAKER 
HARD WHT UNBLCH BULK</v>
          </cell>
          <cell r="I320">
            <v>6.71</v>
          </cell>
        </row>
        <row r="321">
          <cell r="A321">
            <v>63164</v>
          </cell>
          <cell r="B321" t="str">
            <v>Tony's Breakfast Sq Sausage &amp; Gravy</v>
          </cell>
          <cell r="C321">
            <v>24</v>
          </cell>
          <cell r="D321">
            <v>128</v>
          </cell>
          <cell r="E321">
            <v>3</v>
          </cell>
          <cell r="F321" t="str">
            <v>B286</v>
          </cell>
          <cell r="G321">
            <v>100418</v>
          </cell>
          <cell r="H321" t="str">
            <v>FLOUR BAKER 
HARD WHT UNBLCH BULK</v>
          </cell>
          <cell r="I321">
            <v>8.1</v>
          </cell>
        </row>
        <row r="322">
          <cell r="A322">
            <v>63266</v>
          </cell>
          <cell r="B322" t="str">
            <v>3.2x5 Pepperoni Pizza</v>
          </cell>
          <cell r="C322">
            <v>30.31</v>
          </cell>
          <cell r="D322">
            <v>100</v>
          </cell>
          <cell r="E322">
            <v>4.8499999999999996</v>
          </cell>
          <cell r="F322" t="str">
            <v>B286</v>
          </cell>
          <cell r="G322">
            <v>100418</v>
          </cell>
          <cell r="H322" t="str">
            <v>FLOUR BAKER 
HARD WHT UNBLCH BULK</v>
          </cell>
          <cell r="I322">
            <v>6.65</v>
          </cell>
        </row>
        <row r="323">
          <cell r="A323">
            <v>63276</v>
          </cell>
          <cell r="B323" t="str">
            <v>Red Baron 3x5 Cheese Pizza</v>
          </cell>
          <cell r="C323">
            <v>12.19</v>
          </cell>
          <cell r="D323">
            <v>60</v>
          </cell>
          <cell r="E323">
            <v>3.25</v>
          </cell>
          <cell r="F323" t="str">
            <v>B286</v>
          </cell>
          <cell r="G323">
            <v>100418</v>
          </cell>
          <cell r="H323" t="str">
            <v>FLOUR BAKER 
HARD WHT UNBLCH BULK</v>
          </cell>
          <cell r="I323">
            <v>2.5499999999999998</v>
          </cell>
        </row>
        <row r="324">
          <cell r="A324">
            <v>63490</v>
          </cell>
          <cell r="B324" t="str">
            <v>Tony's Thin Crust 4 x 6 Sausage Pizza</v>
          </cell>
          <cell r="C324">
            <v>27.35</v>
          </cell>
          <cell r="D324">
            <v>96</v>
          </cell>
          <cell r="E324">
            <v>4.5599999999999996</v>
          </cell>
          <cell r="F324" t="str">
            <v>B286</v>
          </cell>
          <cell r="G324">
            <v>100418</v>
          </cell>
          <cell r="H324" t="str">
            <v>FLOUR BAKER 
HARD WHT UNBLCH BULK</v>
          </cell>
          <cell r="I324">
            <v>6.63</v>
          </cell>
        </row>
        <row r="325">
          <cell r="A325">
            <v>63494</v>
          </cell>
          <cell r="B325" t="str">
            <v>4x6 Pepperoni 50/50</v>
          </cell>
          <cell r="C325">
            <v>25.45</v>
          </cell>
          <cell r="D325">
            <v>96</v>
          </cell>
          <cell r="E325">
            <v>4.24</v>
          </cell>
          <cell r="F325" t="str">
            <v>B286</v>
          </cell>
          <cell r="G325">
            <v>100418</v>
          </cell>
          <cell r="H325" t="str">
            <v>FLOUR BAKER 
HARD WHT UNBLCH BULK</v>
          </cell>
          <cell r="I325">
            <v>6.56</v>
          </cell>
        </row>
        <row r="326">
          <cell r="A326">
            <v>63495</v>
          </cell>
          <cell r="B326" t="str">
            <v>4x6 Pepperoni</v>
          </cell>
          <cell r="C326">
            <v>26.58</v>
          </cell>
          <cell r="D326">
            <v>96</v>
          </cell>
          <cell r="E326">
            <v>4.43</v>
          </cell>
          <cell r="F326" t="str">
            <v>B286</v>
          </cell>
          <cell r="G326">
            <v>100418</v>
          </cell>
          <cell r="H326" t="str">
            <v>FLOUR BAKER 
HARD WHT UNBLCH BULK</v>
          </cell>
          <cell r="I326">
            <v>6.54</v>
          </cell>
        </row>
        <row r="327">
          <cell r="A327">
            <v>63496</v>
          </cell>
          <cell r="B327" t="str">
            <v>4x6 Cheese Pizza</v>
          </cell>
          <cell r="C327">
            <v>24.4</v>
          </cell>
          <cell r="D327">
            <v>96</v>
          </cell>
          <cell r="E327">
            <v>4.07</v>
          </cell>
          <cell r="F327" t="str">
            <v>B286</v>
          </cell>
          <cell r="G327">
            <v>100418</v>
          </cell>
          <cell r="H327" t="str">
            <v>FLOUR BAKER 
HARD WHT UNBLCH BULK</v>
          </cell>
          <cell r="I327">
            <v>6.63</v>
          </cell>
        </row>
        <row r="328">
          <cell r="A328">
            <v>63500</v>
          </cell>
          <cell r="B328" t="str">
            <v>Tony's Wedge Pizza Cheese</v>
          </cell>
          <cell r="C328">
            <v>28.14</v>
          </cell>
          <cell r="D328">
            <v>96</v>
          </cell>
          <cell r="E328">
            <v>4.6900000000000004</v>
          </cell>
          <cell r="F328" t="str">
            <v>B286</v>
          </cell>
          <cell r="G328">
            <v>100418</v>
          </cell>
          <cell r="H328" t="str">
            <v>FLOUR BAKER 
HARD WHT UNBLCH BULK</v>
          </cell>
          <cell r="I328">
            <v>6.99</v>
          </cell>
        </row>
        <row r="329">
          <cell r="A329">
            <v>63501</v>
          </cell>
          <cell r="B329" t="str">
            <v>4x6 Thick Crust Cheese Pizza</v>
          </cell>
          <cell r="C329">
            <v>33.119999999999997</v>
          </cell>
          <cell r="D329">
            <v>96</v>
          </cell>
          <cell r="E329">
            <v>5.52</v>
          </cell>
          <cell r="F329" t="str">
            <v>B286</v>
          </cell>
          <cell r="G329">
            <v>100418</v>
          </cell>
          <cell r="H329" t="str">
            <v>FLOUR BAKER 
HARD WHT UNBLCH BULK</v>
          </cell>
          <cell r="I329">
            <v>6.54</v>
          </cell>
        </row>
        <row r="330">
          <cell r="A330">
            <v>63510</v>
          </cell>
          <cell r="B330" t="str">
            <v>Tony's 4x6 Thick Crust Cheese 100% 2 oz</v>
          </cell>
          <cell r="C330">
            <v>32.4</v>
          </cell>
          <cell r="D330">
            <v>96</v>
          </cell>
          <cell r="E330">
            <v>5.4</v>
          </cell>
          <cell r="F330" t="str">
            <v>B286</v>
          </cell>
          <cell r="G330">
            <v>100418</v>
          </cell>
          <cell r="H330" t="str">
            <v>FLOUR BAKER 
HARD WHT UNBLCH BULK</v>
          </cell>
          <cell r="I330">
            <v>8.68</v>
          </cell>
        </row>
        <row r="331">
          <cell r="A331">
            <v>63511</v>
          </cell>
          <cell r="B331" t="str">
            <v>Tony's Thick Crust Pepp 100%</v>
          </cell>
          <cell r="C331">
            <v>32.520000000000003</v>
          </cell>
          <cell r="D331">
            <v>96</v>
          </cell>
          <cell r="E331">
            <v>5.42</v>
          </cell>
          <cell r="F331" t="str">
            <v>B286</v>
          </cell>
          <cell r="G331">
            <v>100418</v>
          </cell>
          <cell r="H331" t="str">
            <v>FLOUR BAKER 
HARD WHT UNBLCH BULK</v>
          </cell>
          <cell r="I331">
            <v>8.68</v>
          </cell>
        </row>
        <row r="332">
          <cell r="A332">
            <v>63516</v>
          </cell>
          <cell r="B332" t="str">
            <v>Tony's 4x6 Thick Crust Cheese 50/50 2 oz</v>
          </cell>
          <cell r="C332">
            <v>32.4</v>
          </cell>
          <cell r="D332">
            <v>96</v>
          </cell>
          <cell r="E332">
            <v>5.4</v>
          </cell>
          <cell r="F332" t="str">
            <v>B286</v>
          </cell>
          <cell r="G332">
            <v>100418</v>
          </cell>
          <cell r="H332" t="str">
            <v>FLOUR BAKER 
HARD WHT UNBLCH BULK</v>
          </cell>
          <cell r="I332">
            <v>8.68</v>
          </cell>
        </row>
        <row r="333">
          <cell r="A333">
            <v>63519</v>
          </cell>
          <cell r="B333" t="str">
            <v>Tony's 5" Pizza Bulk Cheese</v>
          </cell>
          <cell r="C333">
            <v>18.559999999999999</v>
          </cell>
          <cell r="D333">
            <v>54</v>
          </cell>
          <cell r="E333">
            <v>5.5</v>
          </cell>
          <cell r="F333" t="str">
            <v>B286</v>
          </cell>
          <cell r="G333">
            <v>100418</v>
          </cell>
          <cell r="H333" t="str">
            <v>FLOUR BAKER 
HARD WHT UNBLCH BULK</v>
          </cell>
          <cell r="I333">
            <v>6.21</v>
          </cell>
        </row>
        <row r="334">
          <cell r="A334">
            <v>63520</v>
          </cell>
          <cell r="B334" t="str">
            <v>Tony's 5" Pizza Bulk Peppeorni</v>
          </cell>
          <cell r="C334">
            <v>21.09</v>
          </cell>
          <cell r="D334">
            <v>54</v>
          </cell>
          <cell r="E334">
            <v>6.25</v>
          </cell>
          <cell r="F334" t="str">
            <v>B286</v>
          </cell>
          <cell r="G334">
            <v>100418</v>
          </cell>
          <cell r="H334" t="str">
            <v>FLOUR BAKER 
HARD WHT UNBLCH BULK</v>
          </cell>
          <cell r="I334">
            <v>6.21</v>
          </cell>
        </row>
        <row r="335">
          <cell r="A335">
            <v>63564</v>
          </cell>
          <cell r="B335" t="str">
            <v>Tony's Breakfast Sq Bacon Scramble</v>
          </cell>
          <cell r="C335">
            <v>23.52</v>
          </cell>
          <cell r="D335">
            <v>128</v>
          </cell>
          <cell r="E335">
            <v>2.94</v>
          </cell>
          <cell r="F335" t="str">
            <v>B286</v>
          </cell>
          <cell r="G335">
            <v>100418</v>
          </cell>
          <cell r="H335" t="str">
            <v>FLOUR BAKER 
HARD WHT UNBLCH BULK</v>
          </cell>
          <cell r="I335">
            <v>6.83</v>
          </cell>
        </row>
        <row r="336">
          <cell r="A336">
            <v>63570</v>
          </cell>
          <cell r="B336" t="str">
            <v>Sausage &amp; TVP Pizza</v>
          </cell>
          <cell r="C336">
            <v>27.06</v>
          </cell>
          <cell r="D336">
            <v>96</v>
          </cell>
          <cell r="E336">
            <v>4.51</v>
          </cell>
          <cell r="F336" t="str">
            <v>B286</v>
          </cell>
          <cell r="G336">
            <v>100418</v>
          </cell>
          <cell r="H336" t="str">
            <v>FLOUR BAKER 
HARD WHT UNBLCH BULK</v>
          </cell>
          <cell r="I336">
            <v>6.54</v>
          </cell>
        </row>
        <row r="337">
          <cell r="A337">
            <v>63572</v>
          </cell>
          <cell r="B337" t="str">
            <v>4x6 Cheese Pizza</v>
          </cell>
          <cell r="C337">
            <v>26.58</v>
          </cell>
          <cell r="D337">
            <v>96</v>
          </cell>
          <cell r="E337">
            <v>4.43</v>
          </cell>
          <cell r="F337" t="str">
            <v>B286</v>
          </cell>
          <cell r="G337">
            <v>100418</v>
          </cell>
          <cell r="H337" t="str">
            <v>FLOUR BAKER 
HARD WHT UNBLCH BULK</v>
          </cell>
          <cell r="I337">
            <v>6.54</v>
          </cell>
        </row>
        <row r="338">
          <cell r="A338">
            <v>63582</v>
          </cell>
          <cell r="B338" t="str">
            <v>Red Baron Premio 6.5" 4 Cheese</v>
          </cell>
          <cell r="C338">
            <v>20.76</v>
          </cell>
          <cell r="D338">
            <v>54</v>
          </cell>
          <cell r="E338">
            <v>6.15</v>
          </cell>
          <cell r="F338" t="str">
            <v>B286</v>
          </cell>
          <cell r="G338">
            <v>100418</v>
          </cell>
          <cell r="H338" t="str">
            <v>FLOUR BAKER 
HARD WHT UNBLCH BULK</v>
          </cell>
          <cell r="I338">
            <v>7.41</v>
          </cell>
        </row>
        <row r="339">
          <cell r="A339">
            <v>63584</v>
          </cell>
          <cell r="B339" t="str">
            <v>Red Baron Personal Round 6.5"</v>
          </cell>
          <cell r="C339">
            <v>20.76</v>
          </cell>
          <cell r="D339">
            <v>54</v>
          </cell>
          <cell r="E339">
            <v>6.15</v>
          </cell>
          <cell r="F339" t="str">
            <v>B286</v>
          </cell>
          <cell r="G339">
            <v>100418</v>
          </cell>
          <cell r="H339" t="str">
            <v>FLOUR BAKER 
HARD WHT UNBLCH BULK</v>
          </cell>
          <cell r="I339">
            <v>7.41</v>
          </cell>
        </row>
        <row r="340">
          <cell r="A340">
            <v>63624</v>
          </cell>
          <cell r="B340" t="str">
            <v>Tony's Wedge Pepp. (CN) 100% Mozz</v>
          </cell>
          <cell r="C340">
            <v>27.48</v>
          </cell>
          <cell r="D340">
            <v>96</v>
          </cell>
          <cell r="E340">
            <v>4.58</v>
          </cell>
          <cell r="F340" t="str">
            <v>B286</v>
          </cell>
          <cell r="G340">
            <v>100418</v>
          </cell>
          <cell r="H340" t="str">
            <v>FLOUR BAKER 
HARD WHT UNBLCH BULK</v>
          </cell>
          <cell r="I340">
            <v>6.99</v>
          </cell>
        </row>
        <row r="341">
          <cell r="A341">
            <v>63743</v>
          </cell>
          <cell r="B341" t="str">
            <v>Tony's SmartPizza Cheese/Sub Cheese Pizza</v>
          </cell>
          <cell r="C341">
            <v>33.18</v>
          </cell>
          <cell r="D341">
            <v>96</v>
          </cell>
          <cell r="E341">
            <v>5.53</v>
          </cell>
          <cell r="F341" t="str">
            <v>B286</v>
          </cell>
          <cell r="G341">
            <v>100418</v>
          </cell>
          <cell r="H341" t="str">
            <v>FLOUR BAKER 
HARD WHT UNBLCH BULK</v>
          </cell>
          <cell r="I341">
            <v>9.64</v>
          </cell>
        </row>
        <row r="342">
          <cell r="A342">
            <v>63748</v>
          </cell>
          <cell r="B342" t="str">
            <v>Tony's SmartPizza Chs/Sub Chs Red Fat Pepp</v>
          </cell>
          <cell r="C342">
            <v>33.72</v>
          </cell>
          <cell r="D342">
            <v>96</v>
          </cell>
          <cell r="E342">
            <v>5.62</v>
          </cell>
          <cell r="F342" t="str">
            <v>B286</v>
          </cell>
          <cell r="G342">
            <v>100418</v>
          </cell>
          <cell r="H342" t="str">
            <v>FLOUR BAKER 
HARD WHT UNBLCH BULK</v>
          </cell>
          <cell r="I342">
            <v>9.64</v>
          </cell>
        </row>
        <row r="343">
          <cell r="A343">
            <v>63835</v>
          </cell>
          <cell r="B343" t="str">
            <v>Wedge Sausage &amp; TVP Pizza</v>
          </cell>
          <cell r="C343">
            <v>28.14</v>
          </cell>
          <cell r="D343">
            <v>96</v>
          </cell>
          <cell r="E343">
            <v>4.6900000000000004</v>
          </cell>
          <cell r="F343" t="str">
            <v>B286</v>
          </cell>
          <cell r="G343">
            <v>100418</v>
          </cell>
          <cell r="H343" t="str">
            <v>FLOUR BAKER 
HARD WHT UNBLCH BULK</v>
          </cell>
          <cell r="I343">
            <v>6.99</v>
          </cell>
        </row>
        <row r="344">
          <cell r="A344">
            <v>63904</v>
          </cell>
          <cell r="B344" t="str">
            <v>3x4 Breakfast Sausage  Turkey</v>
          </cell>
          <cell r="C344">
            <v>25.6</v>
          </cell>
          <cell r="D344">
            <v>128</v>
          </cell>
          <cell r="E344">
            <v>3.2</v>
          </cell>
          <cell r="F344" t="str">
            <v>B286</v>
          </cell>
          <cell r="G344">
            <v>100418</v>
          </cell>
          <cell r="H344" t="str">
            <v>FLOUR BAKER 
HARD WHT UNBLCH BULK</v>
          </cell>
          <cell r="I344">
            <v>7.62</v>
          </cell>
        </row>
        <row r="345">
          <cell r="A345">
            <v>63912</v>
          </cell>
          <cell r="B345" t="str">
            <v>Sausage Breakfast Pizza</v>
          </cell>
          <cell r="C345">
            <v>26.57</v>
          </cell>
          <cell r="D345">
            <v>128</v>
          </cell>
          <cell r="E345">
            <v>3.32</v>
          </cell>
          <cell r="F345" t="str">
            <v>B286</v>
          </cell>
          <cell r="G345">
            <v>100418</v>
          </cell>
          <cell r="H345" t="str">
            <v>FLOUR BAKER 
HARD WHT UNBLCH BULK</v>
          </cell>
          <cell r="I345">
            <v>6.57</v>
          </cell>
        </row>
        <row r="346">
          <cell r="A346">
            <v>63999</v>
          </cell>
          <cell r="B346" t="str">
            <v>3.2x5 IQF Cheese 50/50</v>
          </cell>
          <cell r="C346">
            <v>30</v>
          </cell>
          <cell r="D346">
            <v>100</v>
          </cell>
          <cell r="E346">
            <v>4.8</v>
          </cell>
          <cell r="F346" t="str">
            <v>B286</v>
          </cell>
          <cell r="G346">
            <v>100418</v>
          </cell>
          <cell r="H346" t="str">
            <v>FLOUR BAKER 
HARD WHT UNBLCH BULK</v>
          </cell>
          <cell r="I346">
            <v>6.65</v>
          </cell>
        </row>
        <row r="347">
          <cell r="A347">
            <v>66230</v>
          </cell>
          <cell r="B347" t="str">
            <v>Whole Grain Pizza Bagel Bulk</v>
          </cell>
          <cell r="C347">
            <v>26.25</v>
          </cell>
          <cell r="D347">
            <v>84</v>
          </cell>
          <cell r="E347">
            <v>5</v>
          </cell>
          <cell r="F347" t="str">
            <v>B286</v>
          </cell>
          <cell r="G347">
            <v>100418</v>
          </cell>
          <cell r="H347" t="str">
            <v>FLOUR BAKER 
HARD WHT UNBLCH BULK</v>
          </cell>
          <cell r="I347">
            <v>0</v>
          </cell>
        </row>
        <row r="348">
          <cell r="A348">
            <v>66231</v>
          </cell>
          <cell r="B348" t="str">
            <v>Whole Grain Cheese Pizza Bagel Wrapped</v>
          </cell>
          <cell r="C348">
            <v>26.25</v>
          </cell>
          <cell r="D348">
            <v>84</v>
          </cell>
          <cell r="E348">
            <v>5</v>
          </cell>
          <cell r="F348" t="str">
            <v>B286</v>
          </cell>
          <cell r="G348">
            <v>100418</v>
          </cell>
          <cell r="H348" t="str">
            <v>FLOUR BAKER 
HARD WHT UNBLCH BULK</v>
          </cell>
          <cell r="I348">
            <v>0</v>
          </cell>
        </row>
        <row r="349">
          <cell r="A349">
            <v>66232</v>
          </cell>
          <cell r="B349" t="str">
            <v>Whole Grain Pepp Pizza Bagel Bulk</v>
          </cell>
          <cell r="C349">
            <v>26.25</v>
          </cell>
          <cell r="D349">
            <v>84</v>
          </cell>
          <cell r="E349">
            <v>5</v>
          </cell>
          <cell r="F349" t="str">
            <v>B286</v>
          </cell>
          <cell r="G349">
            <v>100418</v>
          </cell>
          <cell r="H349" t="str">
            <v>FLOUR BAKER 
HARD WHT UNBLCH BULK</v>
          </cell>
          <cell r="I349">
            <v>0</v>
          </cell>
        </row>
        <row r="350">
          <cell r="A350">
            <v>66233</v>
          </cell>
          <cell r="B350" t="str">
            <v>Whole Grain Pepp Pizza Bagel Wrapped</v>
          </cell>
          <cell r="C350">
            <v>26.25</v>
          </cell>
          <cell r="D350">
            <v>84</v>
          </cell>
          <cell r="E350">
            <v>5</v>
          </cell>
          <cell r="F350" t="str">
            <v>B286</v>
          </cell>
          <cell r="G350">
            <v>100418</v>
          </cell>
          <cell r="H350" t="str">
            <v>FLOUR BAKER 
HARD WHT UNBLCH BULK</v>
          </cell>
          <cell r="I350">
            <v>0</v>
          </cell>
        </row>
        <row r="351">
          <cell r="A351">
            <v>66234</v>
          </cell>
          <cell r="B351" t="str">
            <v>Whole Grain French Bread Cheese Bulk</v>
          </cell>
          <cell r="C351">
            <v>16.88</v>
          </cell>
          <cell r="D351">
            <v>60</v>
          </cell>
          <cell r="E351">
            <v>4.5</v>
          </cell>
          <cell r="F351" t="str">
            <v>B286</v>
          </cell>
          <cell r="G351">
            <v>100418</v>
          </cell>
          <cell r="H351" t="str">
            <v>FLOUR BAKER 
HARD WHT UNBLCH BULK</v>
          </cell>
          <cell r="I351">
            <v>0</v>
          </cell>
        </row>
        <row r="352">
          <cell r="A352">
            <v>66235</v>
          </cell>
          <cell r="B352" t="str">
            <v>Whole Grain French Bread Cheese Wrapped</v>
          </cell>
          <cell r="C352">
            <v>16.88</v>
          </cell>
          <cell r="D352">
            <v>60</v>
          </cell>
          <cell r="E352">
            <v>4.5</v>
          </cell>
          <cell r="F352" t="str">
            <v>B286</v>
          </cell>
          <cell r="G352">
            <v>100418</v>
          </cell>
          <cell r="H352" t="str">
            <v>FLOUR BAKER 
HARD WHT UNBLCH BULK</v>
          </cell>
          <cell r="I352">
            <v>0</v>
          </cell>
        </row>
        <row r="353">
          <cell r="A353">
            <v>66236</v>
          </cell>
          <cell r="B353" t="str">
            <v>Whole Grain French Bread Pepp Bulk</v>
          </cell>
          <cell r="C353">
            <v>16.88</v>
          </cell>
          <cell r="D353">
            <v>60</v>
          </cell>
          <cell r="E353">
            <v>4.5</v>
          </cell>
          <cell r="F353" t="str">
            <v>B286</v>
          </cell>
          <cell r="G353">
            <v>100418</v>
          </cell>
          <cell r="H353" t="str">
            <v>FLOUR BAKER 
HARD WHT UNBLCH BULK</v>
          </cell>
          <cell r="I353">
            <v>0</v>
          </cell>
        </row>
        <row r="354">
          <cell r="A354">
            <v>66237</v>
          </cell>
          <cell r="B354" t="str">
            <v>Whole Grain French Bread Pepp Wrapped</v>
          </cell>
          <cell r="C354">
            <v>16.88</v>
          </cell>
          <cell r="D354">
            <v>60</v>
          </cell>
          <cell r="E354">
            <v>4.5</v>
          </cell>
          <cell r="F354" t="str">
            <v>B286</v>
          </cell>
          <cell r="G354">
            <v>100418</v>
          </cell>
          <cell r="H354" t="str">
            <v>FLOUR BAKER 
HARD WHT UNBLCH BULK</v>
          </cell>
          <cell r="I354">
            <v>0</v>
          </cell>
        </row>
        <row r="355">
          <cell r="A355">
            <v>66238</v>
          </cell>
          <cell r="B355" t="str">
            <v>Whole Grain 4x6 Cheese Pizza Bulk</v>
          </cell>
          <cell r="C355">
            <v>30</v>
          </cell>
          <cell r="D355">
            <v>96</v>
          </cell>
          <cell r="E355">
            <v>5</v>
          </cell>
          <cell r="F355" t="str">
            <v>B286</v>
          </cell>
          <cell r="G355">
            <v>100418</v>
          </cell>
          <cell r="H355" t="str">
            <v>FLOUR BAKER 
HARD WHT UNBLCH BULK</v>
          </cell>
          <cell r="I355">
            <v>0</v>
          </cell>
        </row>
        <row r="356">
          <cell r="A356">
            <v>66239</v>
          </cell>
          <cell r="B356" t="str">
            <v>Whole Grain 4x6 Cheese Pizza Wrapped</v>
          </cell>
          <cell r="C356">
            <v>30</v>
          </cell>
          <cell r="D356">
            <v>96</v>
          </cell>
          <cell r="E356">
            <v>5</v>
          </cell>
          <cell r="F356" t="str">
            <v>B286</v>
          </cell>
          <cell r="G356">
            <v>100418</v>
          </cell>
          <cell r="H356" t="str">
            <v>FLOUR BAKER 
HARD WHT UNBLCH BULK</v>
          </cell>
          <cell r="I356">
            <v>0</v>
          </cell>
        </row>
        <row r="357">
          <cell r="A357">
            <v>66240</v>
          </cell>
          <cell r="B357" t="str">
            <v>Whole Grain 8" Garlic Cheese Toast Bulk</v>
          </cell>
          <cell r="C357">
            <v>14.55</v>
          </cell>
          <cell r="D357">
            <v>48</v>
          </cell>
          <cell r="E357">
            <v>4.8499999999999996</v>
          </cell>
          <cell r="F357" t="str">
            <v>B286</v>
          </cell>
          <cell r="G357">
            <v>100418</v>
          </cell>
          <cell r="H357" t="str">
            <v>FLOUR BAKER 
HARD WHT UNBLCH BULK</v>
          </cell>
          <cell r="I357">
            <v>0</v>
          </cell>
        </row>
        <row r="358">
          <cell r="A358">
            <v>66241</v>
          </cell>
          <cell r="B358" t="str">
            <v>Whole Grain 8" Garlic Cheese Toast Wrapped</v>
          </cell>
          <cell r="C358">
            <v>14.55</v>
          </cell>
          <cell r="D358">
            <v>48</v>
          </cell>
          <cell r="E358">
            <v>4.8499999999999996</v>
          </cell>
          <cell r="F358" t="str">
            <v>B286</v>
          </cell>
          <cell r="G358">
            <v>100418</v>
          </cell>
          <cell r="H358" t="str">
            <v>FLOUR BAKER 
HARD WHT UNBLCH BULK</v>
          </cell>
          <cell r="I358">
            <v>0</v>
          </cell>
        </row>
        <row r="359">
          <cell r="A359">
            <v>66242</v>
          </cell>
          <cell r="B359" t="str">
            <v>Whole Grain 6" Garlic Cheese Toast Bulk</v>
          </cell>
          <cell r="C359">
            <v>14.06</v>
          </cell>
          <cell r="D359">
            <v>60</v>
          </cell>
          <cell r="E359">
            <v>3.75</v>
          </cell>
          <cell r="F359" t="str">
            <v>B286</v>
          </cell>
          <cell r="G359">
            <v>100418</v>
          </cell>
          <cell r="H359" t="str">
            <v>FLOUR BAKER 
HARD WHT UNBLCH BULK</v>
          </cell>
          <cell r="I359">
            <v>0</v>
          </cell>
        </row>
        <row r="360">
          <cell r="A360">
            <v>66243</v>
          </cell>
          <cell r="B360" t="str">
            <v>Whole Grain 6" Garlic Cheese Toast Wrapped</v>
          </cell>
          <cell r="C360">
            <v>14.06</v>
          </cell>
          <cell r="D360">
            <v>60</v>
          </cell>
          <cell r="E360">
            <v>3.75</v>
          </cell>
          <cell r="F360" t="str">
            <v>B286</v>
          </cell>
          <cell r="G360">
            <v>100418</v>
          </cell>
          <cell r="H360" t="str">
            <v>FLOUR BAKER 
HARD WHT UNBLCH BULK</v>
          </cell>
          <cell r="I360">
            <v>0</v>
          </cell>
        </row>
        <row r="361">
          <cell r="A361">
            <v>68503</v>
          </cell>
          <cell r="B361" t="str">
            <v>Tony's 3x8 Ultimate Flatbread 100% Mozz</v>
          </cell>
          <cell r="C361">
            <v>35.700000000000003</v>
          </cell>
          <cell r="D361">
            <v>96</v>
          </cell>
          <cell r="E361">
            <v>5.95</v>
          </cell>
          <cell r="F361" t="str">
            <v>B286</v>
          </cell>
          <cell r="G361">
            <v>100418</v>
          </cell>
          <cell r="H361" t="str">
            <v>FLOUR BAKER 
HARD WHT UNBLCH BULK</v>
          </cell>
          <cell r="I361">
            <v>9.92</v>
          </cell>
        </row>
        <row r="362">
          <cell r="A362">
            <v>68504</v>
          </cell>
          <cell r="B362" t="str">
            <v>Tony's 3x8 Ultimate Flatbread Pepperoni</v>
          </cell>
          <cell r="C362">
            <v>35.82</v>
          </cell>
          <cell r="D362">
            <v>96</v>
          </cell>
          <cell r="E362">
            <v>5.97</v>
          </cell>
          <cell r="F362" t="str">
            <v>B286</v>
          </cell>
          <cell r="G362">
            <v>100418</v>
          </cell>
          <cell r="H362" t="str">
            <v>FLOUR BAKER 
HARD WHT UNBLCH BULK</v>
          </cell>
          <cell r="I362">
            <v>9.92</v>
          </cell>
        </row>
        <row r="363">
          <cell r="A363">
            <v>68509</v>
          </cell>
          <cell r="B363" t="str">
            <v>3x4 Breakfast Sausage (pork)</v>
          </cell>
          <cell r="C363">
            <v>25.6</v>
          </cell>
          <cell r="D363">
            <v>128</v>
          </cell>
          <cell r="E363">
            <v>3.2</v>
          </cell>
          <cell r="F363" t="str">
            <v>B286</v>
          </cell>
          <cell r="G363">
            <v>100418</v>
          </cell>
          <cell r="H363" t="str">
            <v>FLOUR BAKER 
HARD WHT UNBLCH BULK</v>
          </cell>
          <cell r="I363">
            <v>6.4</v>
          </cell>
        </row>
        <row r="364">
          <cell r="A364">
            <v>68510</v>
          </cell>
          <cell r="B364" t="str">
            <v>Breakfast Sausage &amp; TVP w/creamy gravy (pork)</v>
          </cell>
          <cell r="C364">
            <v>24</v>
          </cell>
          <cell r="D364">
            <v>128</v>
          </cell>
          <cell r="E364">
            <v>3</v>
          </cell>
          <cell r="F364" t="str">
            <v>B286</v>
          </cell>
          <cell r="G364">
            <v>100418</v>
          </cell>
          <cell r="H364" t="str">
            <v>FLOUR BAKER 
HARD WHT UNBLCH BULK</v>
          </cell>
          <cell r="I364">
            <v>6.4</v>
          </cell>
        </row>
        <row r="365">
          <cell r="A365">
            <v>68516</v>
          </cell>
          <cell r="B365" t="str">
            <v>Whole Grain Fiestada</v>
          </cell>
          <cell r="C365">
            <v>32.64</v>
          </cell>
          <cell r="D365">
            <v>96</v>
          </cell>
          <cell r="E365">
            <v>5.44</v>
          </cell>
          <cell r="F365" t="str">
            <v>B286</v>
          </cell>
          <cell r="G365">
            <v>100418</v>
          </cell>
          <cell r="H365" t="str">
            <v>FLOUR BAKER 
HARD WHT UNBLCH BULK</v>
          </cell>
          <cell r="I365">
            <v>7.28</v>
          </cell>
        </row>
        <row r="366">
          <cell r="A366">
            <v>68521</v>
          </cell>
          <cell r="B366" t="str">
            <v>Whole Grain Thick Crust Cheese Pizza</v>
          </cell>
          <cell r="C366">
            <v>31.34</v>
          </cell>
          <cell r="D366">
            <v>96</v>
          </cell>
          <cell r="E366">
            <v>5.22</v>
          </cell>
          <cell r="F366" t="str">
            <v>B286</v>
          </cell>
          <cell r="G366">
            <v>100418</v>
          </cell>
          <cell r="H366" t="str">
            <v>FLOUR BAKER 
HARD WHT UNBLCH BULK</v>
          </cell>
          <cell r="I366">
            <v>7.72</v>
          </cell>
        </row>
        <row r="367">
          <cell r="A367">
            <v>68533</v>
          </cell>
          <cell r="B367" t="str">
            <v>Gluten Free 5" Cheese Pizza</v>
          </cell>
          <cell r="C367">
            <v>7.88</v>
          </cell>
          <cell r="D367">
            <v>24</v>
          </cell>
          <cell r="E367">
            <v>5.25</v>
          </cell>
          <cell r="F367" t="str">
            <v>B286</v>
          </cell>
          <cell r="G367">
            <v>100418</v>
          </cell>
          <cell r="H367" t="str">
            <v>FLOUR BAKER 
HARD WHT UNBLCH BULK</v>
          </cell>
          <cell r="I367">
            <v>0</v>
          </cell>
        </row>
        <row r="368">
          <cell r="A368">
            <v>68543</v>
          </cell>
          <cell r="B368" t="str">
            <v>Big Daddy's WG 16" Cheese 2 BC</v>
          </cell>
          <cell r="C368">
            <v>22.24</v>
          </cell>
          <cell r="D368">
            <v>72</v>
          </cell>
          <cell r="E368">
            <v>4.9400000000000004</v>
          </cell>
          <cell r="F368" t="str">
            <v>B286</v>
          </cell>
          <cell r="G368">
            <v>100418</v>
          </cell>
          <cell r="H368" t="str">
            <v>FLOUR BAKER 
HARD WHT UNBLCH BULK</v>
          </cell>
          <cell r="I368">
            <v>5.41</v>
          </cell>
        </row>
        <row r="369">
          <cell r="A369">
            <v>68544</v>
          </cell>
          <cell r="B369" t="str">
            <v>Big Daddy's WG 16" RE Pepp 2 BC</v>
          </cell>
          <cell r="C369">
            <v>22.46</v>
          </cell>
          <cell r="D369">
            <v>72</v>
          </cell>
          <cell r="E369">
            <v>4.99</v>
          </cell>
          <cell r="F369" t="str">
            <v>B286</v>
          </cell>
          <cell r="G369">
            <v>100418</v>
          </cell>
          <cell r="H369" t="str">
            <v>FLOUR BAKER 
HARD WHT UNBLCH BULK</v>
          </cell>
          <cell r="I369">
            <v>5.41</v>
          </cell>
        </row>
        <row r="370">
          <cell r="A370">
            <v>68563</v>
          </cell>
          <cell r="B370" t="str">
            <v>TN Cheese 5% WG Flatbread-Bulk</v>
          </cell>
          <cell r="C370">
            <v>27.02</v>
          </cell>
          <cell r="D370">
            <v>96</v>
          </cell>
          <cell r="E370">
            <v>4.5</v>
          </cell>
          <cell r="F370" t="str">
            <v>B286</v>
          </cell>
          <cell r="G370">
            <v>100418</v>
          </cell>
          <cell r="H370" t="str">
            <v>FLOUR BAKER 
HARD WHT UNBLCH BULK</v>
          </cell>
          <cell r="I370">
            <v>6.91</v>
          </cell>
        </row>
        <row r="371">
          <cell r="A371">
            <v>68568</v>
          </cell>
          <cell r="B371" t="str">
            <v>TN IT Cheese 51% WG Flatbread</v>
          </cell>
          <cell r="C371">
            <v>27.02</v>
          </cell>
          <cell r="D371">
            <v>96</v>
          </cell>
          <cell r="E371">
            <v>4.5</v>
          </cell>
          <cell r="F371" t="str">
            <v>B286</v>
          </cell>
          <cell r="G371">
            <v>100418</v>
          </cell>
          <cell r="H371" t="str">
            <v>FLOUR BAKER 
HARD WHT UNBLCH BULK</v>
          </cell>
          <cell r="I371">
            <v>6.91</v>
          </cell>
        </row>
        <row r="372">
          <cell r="A372">
            <v>68571</v>
          </cell>
          <cell r="B372" t="str">
            <v>Tony's 51% WG Turkey Sausage Bagel</v>
          </cell>
          <cell r="C372">
            <v>15.72</v>
          </cell>
          <cell r="D372">
            <v>96</v>
          </cell>
          <cell r="E372">
            <v>2.62</v>
          </cell>
          <cell r="F372" t="str">
            <v>B286</v>
          </cell>
          <cell r="G372">
            <v>100418</v>
          </cell>
          <cell r="H372" t="str">
            <v>FLOUR BAKER 
HARD WHT UNBLCH BULK</v>
          </cell>
          <cell r="I372">
            <v>3</v>
          </cell>
        </row>
        <row r="373">
          <cell r="A373">
            <v>68711</v>
          </cell>
          <cell r="B373" t="str">
            <v>SFS Tony's Whole Grain Wedge Pizza 100%</v>
          </cell>
          <cell r="C373">
            <v>20</v>
          </cell>
          <cell r="D373">
            <v>64</v>
          </cell>
          <cell r="E373">
            <v>5</v>
          </cell>
          <cell r="F373" t="str">
            <v>B286</v>
          </cell>
          <cell r="G373">
            <v>100418</v>
          </cell>
          <cell r="H373" t="str">
            <v>FLOUR BAKER 
HARD WHT UNBLCH BULK</v>
          </cell>
          <cell r="I373">
            <v>4.7699999999999996</v>
          </cell>
        </row>
        <row r="374">
          <cell r="A374">
            <v>68764</v>
          </cell>
          <cell r="B374" t="str">
            <v>SFS Big Daddy's Or Chese Fill Brdstck</v>
          </cell>
          <cell r="C374">
            <v>20.25</v>
          </cell>
          <cell r="D374">
            <v>108</v>
          </cell>
          <cell r="E374">
            <v>3</v>
          </cell>
          <cell r="F374" t="str">
            <v>B286</v>
          </cell>
          <cell r="G374">
            <v>100418</v>
          </cell>
          <cell r="H374" t="str">
            <v>FLOUR BAKER 
HARD WHT UNBLCH BULK</v>
          </cell>
          <cell r="I374">
            <v>8.5399999999999991</v>
          </cell>
        </row>
        <row r="375">
          <cell r="A375">
            <v>68765</v>
          </cell>
          <cell r="B375" t="str">
            <v>SFS Big Daddy's WG Chese Fill Brdstck Blk</v>
          </cell>
          <cell r="C375">
            <v>20.25</v>
          </cell>
          <cell r="D375">
            <v>108</v>
          </cell>
          <cell r="E375">
            <v>3</v>
          </cell>
          <cell r="F375" t="str">
            <v>B286</v>
          </cell>
          <cell r="G375">
            <v>100418</v>
          </cell>
          <cell r="H375" t="str">
            <v>FLOUR BAKER 
HARD WHT UNBLCH BULK</v>
          </cell>
          <cell r="I375">
            <v>7.64</v>
          </cell>
        </row>
        <row r="376">
          <cell r="A376">
            <v>68766</v>
          </cell>
          <cell r="B376" t="str">
            <v>SFS Big Daddy's WG Chese Fill Brdstck IW</v>
          </cell>
          <cell r="C376">
            <v>20.25</v>
          </cell>
          <cell r="D376">
            <v>108</v>
          </cell>
          <cell r="E376">
            <v>3</v>
          </cell>
          <cell r="F376" t="str">
            <v>B286</v>
          </cell>
          <cell r="G376">
            <v>100418</v>
          </cell>
          <cell r="H376" t="str">
            <v>FLOUR BAKER 
HARD WHT UNBLCH BULK</v>
          </cell>
          <cell r="I376">
            <v>7.64</v>
          </cell>
        </row>
        <row r="377">
          <cell r="A377">
            <v>69063</v>
          </cell>
          <cell r="B377" t="str">
            <v>Sweet &amp;  Sour Chicken Stir Fry</v>
          </cell>
          <cell r="C377">
            <v>35</v>
          </cell>
          <cell r="D377">
            <v>142</v>
          </cell>
          <cell r="E377">
            <v>3.92</v>
          </cell>
          <cell r="F377" t="str">
            <v>B286</v>
          </cell>
          <cell r="G377">
            <v>100418</v>
          </cell>
          <cell r="H377" t="str">
            <v>FLOUR BAKER 
HARD WHT UNBLCH BULK</v>
          </cell>
          <cell r="I377">
            <v>10.92</v>
          </cell>
        </row>
        <row r="378">
          <cell r="A378">
            <v>69066</v>
          </cell>
          <cell r="B378" t="str">
            <v>Orange Chicken Stir Fry</v>
          </cell>
          <cell r="C378">
            <v>35</v>
          </cell>
          <cell r="D378">
            <v>142</v>
          </cell>
          <cell r="E378">
            <v>3.92</v>
          </cell>
          <cell r="F378" t="str">
            <v>B286</v>
          </cell>
          <cell r="G378">
            <v>100418</v>
          </cell>
          <cell r="H378" t="str">
            <v>FLOUR BAKER 
HARD WHT UNBLCH BULK</v>
          </cell>
          <cell r="I378">
            <v>10.92</v>
          </cell>
        </row>
        <row r="379">
          <cell r="A379">
            <v>72557</v>
          </cell>
          <cell r="B379" t="str">
            <v>Whole Grain 4x6 Sausage Pizza 50/50</v>
          </cell>
          <cell r="C379">
            <v>28.14</v>
          </cell>
          <cell r="D379">
            <v>96</v>
          </cell>
          <cell r="E379">
            <v>4.6900000000000004</v>
          </cell>
          <cell r="F379" t="str">
            <v>B286</v>
          </cell>
          <cell r="G379">
            <v>100418</v>
          </cell>
          <cell r="H379" t="str">
            <v>FLOUR BAKER 
HARD WHT UNBLCH BULK</v>
          </cell>
          <cell r="I379">
            <v>6.3</v>
          </cell>
        </row>
        <row r="380">
          <cell r="A380">
            <v>72558</v>
          </cell>
          <cell r="B380" t="str">
            <v>Whole Grain Wedge Cheese Pizza 100%</v>
          </cell>
          <cell r="C380">
            <v>27.6</v>
          </cell>
          <cell r="D380">
            <v>96</v>
          </cell>
          <cell r="E380">
            <v>4.5999999999999996</v>
          </cell>
          <cell r="F380" t="str">
            <v>B286</v>
          </cell>
          <cell r="G380">
            <v>100418</v>
          </cell>
          <cell r="H380" t="str">
            <v>FLOUR BAKER 
HARD WHT UNBLCH BULK</v>
          </cell>
          <cell r="I380">
            <v>6.3</v>
          </cell>
        </row>
        <row r="381">
          <cell r="A381">
            <v>72559</v>
          </cell>
          <cell r="B381" t="str">
            <v>Whole Grain Wedge Pepperoni Pizza 50/50</v>
          </cell>
          <cell r="C381">
            <v>26.88</v>
          </cell>
          <cell r="D381">
            <v>96</v>
          </cell>
          <cell r="E381">
            <v>4.4800000000000004</v>
          </cell>
          <cell r="F381" t="str">
            <v>B286</v>
          </cell>
          <cell r="G381">
            <v>100418</v>
          </cell>
          <cell r="H381" t="str">
            <v>FLOUR BAKER 
HARD WHT UNBLCH BULK</v>
          </cell>
          <cell r="I381">
            <v>6.3</v>
          </cell>
        </row>
        <row r="382">
          <cell r="A382">
            <v>72560</v>
          </cell>
          <cell r="B382" t="str">
            <v>Whole Grain Wedge Pepperoni Pizza 100%</v>
          </cell>
          <cell r="C382">
            <v>26.88</v>
          </cell>
          <cell r="D382">
            <v>96</v>
          </cell>
          <cell r="E382">
            <v>4.4800000000000004</v>
          </cell>
          <cell r="F382" t="str">
            <v>B286</v>
          </cell>
          <cell r="G382">
            <v>100418</v>
          </cell>
          <cell r="H382" t="str">
            <v>FLOUR BAKER 
HARD WHT UNBLCH BULK</v>
          </cell>
          <cell r="I382">
            <v>6.3</v>
          </cell>
        </row>
        <row r="383">
          <cell r="A383">
            <v>72561</v>
          </cell>
          <cell r="B383" t="str">
            <v>Whole Grain Right Angle Wedge Cheese 50/50</v>
          </cell>
          <cell r="C383">
            <v>27.6</v>
          </cell>
          <cell r="D383">
            <v>96</v>
          </cell>
          <cell r="E383">
            <v>4.5999999999999996</v>
          </cell>
          <cell r="F383" t="str">
            <v>B286</v>
          </cell>
          <cell r="G383">
            <v>100418</v>
          </cell>
          <cell r="H383" t="str">
            <v>FLOUR BAKER 
HARD WHT UNBLCH BULK</v>
          </cell>
          <cell r="I383">
            <v>6.3</v>
          </cell>
        </row>
        <row r="384">
          <cell r="A384">
            <v>72562</v>
          </cell>
          <cell r="B384" t="str">
            <v>Whole Grain Right Angle Wedge Pepp 50/50</v>
          </cell>
          <cell r="C384">
            <v>26.88</v>
          </cell>
          <cell r="D384">
            <v>96</v>
          </cell>
          <cell r="E384">
            <v>4.4800000000000004</v>
          </cell>
          <cell r="F384" t="str">
            <v>B286</v>
          </cell>
          <cell r="G384">
            <v>100418</v>
          </cell>
          <cell r="H384" t="str">
            <v>FLOUR BAKER 
HARD WHT UNBLCH BULK</v>
          </cell>
          <cell r="I384">
            <v>6.3</v>
          </cell>
        </row>
        <row r="385">
          <cell r="A385">
            <v>72563</v>
          </cell>
          <cell r="B385" t="str">
            <v>Whole Grain Right Angle Wedge Cheese Pizza 100%</v>
          </cell>
          <cell r="C385">
            <v>27.6</v>
          </cell>
          <cell r="D385">
            <v>96</v>
          </cell>
          <cell r="E385">
            <v>4.5999999999999996</v>
          </cell>
          <cell r="F385" t="str">
            <v>B286</v>
          </cell>
          <cell r="G385">
            <v>100418</v>
          </cell>
          <cell r="H385" t="str">
            <v>FLOUR BAKER 
HARD WHT UNBLCH BULK</v>
          </cell>
          <cell r="I385">
            <v>6.3</v>
          </cell>
        </row>
        <row r="386">
          <cell r="A386">
            <v>72564</v>
          </cell>
          <cell r="B386" t="str">
            <v>Whole Grain Right Angle Wedge Pepp Pizza 100%</v>
          </cell>
          <cell r="C386">
            <v>26.88</v>
          </cell>
          <cell r="D386">
            <v>96</v>
          </cell>
          <cell r="E386">
            <v>4.4800000000000004</v>
          </cell>
          <cell r="F386" t="str">
            <v>B286</v>
          </cell>
          <cell r="G386">
            <v>100418</v>
          </cell>
          <cell r="H386" t="str">
            <v>FLOUR BAKER 
HARD WHT UNBLCH BULK</v>
          </cell>
          <cell r="I386">
            <v>6.3</v>
          </cell>
        </row>
        <row r="387">
          <cell r="A387">
            <v>72565</v>
          </cell>
          <cell r="B387" t="str">
            <v>Whole Grain 3x8 Garlic Cheese Flatbread 50/50</v>
          </cell>
          <cell r="C387">
            <v>25.44</v>
          </cell>
          <cell r="D387">
            <v>96</v>
          </cell>
          <cell r="E387">
            <v>4.24</v>
          </cell>
          <cell r="F387" t="str">
            <v>B286</v>
          </cell>
          <cell r="G387">
            <v>100418</v>
          </cell>
          <cell r="H387" t="str">
            <v>FLOUR BAKER 
HARD WHT UNBLCH BULK</v>
          </cell>
          <cell r="I387">
            <v>6.3</v>
          </cell>
        </row>
        <row r="388">
          <cell r="A388">
            <v>72570</v>
          </cell>
          <cell r="B388" t="str">
            <v>Whole Grain  5" CC Cheese 50/50</v>
          </cell>
          <cell r="C388">
            <v>22.5</v>
          </cell>
          <cell r="D388">
            <v>80</v>
          </cell>
          <cell r="E388">
            <v>4.5</v>
          </cell>
          <cell r="F388" t="str">
            <v>B286</v>
          </cell>
          <cell r="G388">
            <v>100418</v>
          </cell>
          <cell r="H388" t="str">
            <v>FLOUR BAKER 
HARD WHT UNBLCH BULK</v>
          </cell>
          <cell r="I388">
            <v>5.25</v>
          </cell>
        </row>
        <row r="389">
          <cell r="A389">
            <v>72571</v>
          </cell>
          <cell r="B389" t="str">
            <v>Whole Grain 5" CC Pepp 50/50</v>
          </cell>
          <cell r="C389">
            <v>22.5</v>
          </cell>
          <cell r="D389">
            <v>80</v>
          </cell>
          <cell r="E389">
            <v>4.5</v>
          </cell>
          <cell r="F389" t="str">
            <v>B286</v>
          </cell>
          <cell r="G389">
            <v>100418</v>
          </cell>
          <cell r="H389" t="str">
            <v>FLOUR BAKER 
HARD WHT UNBLCH BULK</v>
          </cell>
          <cell r="I389">
            <v>5.25</v>
          </cell>
        </row>
        <row r="390">
          <cell r="A390">
            <v>72572</v>
          </cell>
          <cell r="B390" t="str">
            <v>Whole Grain 5" Deep Dish Cheese Pizza 50/50</v>
          </cell>
          <cell r="C390">
            <v>18.53</v>
          </cell>
          <cell r="D390">
            <v>60</v>
          </cell>
          <cell r="E390">
            <v>4.9400000000000004</v>
          </cell>
          <cell r="F390" t="str">
            <v>B286</v>
          </cell>
          <cell r="G390">
            <v>100418</v>
          </cell>
          <cell r="H390" t="str">
            <v>FLOUR BAKER 
HARD WHT UNBLCH BULK</v>
          </cell>
          <cell r="I390">
            <v>4.5199999999999996</v>
          </cell>
        </row>
        <row r="391">
          <cell r="A391">
            <v>72573</v>
          </cell>
          <cell r="B391" t="str">
            <v>Whole Grain 5" Deep Dish Pepp Pizza 50/50</v>
          </cell>
          <cell r="C391">
            <v>19.010000000000002</v>
          </cell>
          <cell r="D391">
            <v>60</v>
          </cell>
          <cell r="E391">
            <v>5.07</v>
          </cell>
          <cell r="F391" t="str">
            <v>B286</v>
          </cell>
          <cell r="G391">
            <v>100418</v>
          </cell>
          <cell r="H391" t="str">
            <v>FLOUR BAKER 
HARD WHT UNBLCH BULK</v>
          </cell>
          <cell r="I391">
            <v>4.5199999999999996</v>
          </cell>
        </row>
        <row r="392">
          <cell r="A392">
            <v>72574</v>
          </cell>
          <cell r="B392" t="str">
            <v>Whole Grain 5" Deep Dish Cheese Pizza IW</v>
          </cell>
          <cell r="C392">
            <v>18.53</v>
          </cell>
          <cell r="D392">
            <v>60</v>
          </cell>
          <cell r="E392">
            <v>4.9400000000000004</v>
          </cell>
          <cell r="F392" t="str">
            <v>B286</v>
          </cell>
          <cell r="G392">
            <v>100418</v>
          </cell>
          <cell r="H392" t="str">
            <v>FLOUR BAKER 
HARD WHT UNBLCH BULK</v>
          </cell>
          <cell r="I392">
            <v>4.5199999999999996</v>
          </cell>
        </row>
        <row r="393">
          <cell r="A393">
            <v>72575</v>
          </cell>
          <cell r="B393" t="str">
            <v>Whole Grain 5" Deep Dish Pepp Pizza IW</v>
          </cell>
          <cell r="C393">
            <v>18.86</v>
          </cell>
          <cell r="D393">
            <v>60</v>
          </cell>
          <cell r="E393">
            <v>5.03</v>
          </cell>
          <cell r="F393" t="str">
            <v>B286</v>
          </cell>
          <cell r="G393">
            <v>100418</v>
          </cell>
          <cell r="H393" t="str">
            <v>FLOUR BAKER 
HARD WHT UNBLCH BULK</v>
          </cell>
          <cell r="I393">
            <v>4.5199999999999996</v>
          </cell>
        </row>
        <row r="394">
          <cell r="A394">
            <v>72576</v>
          </cell>
          <cell r="B394" t="str">
            <v>Whole Grain Galaxy Cheese Pizza 50/50</v>
          </cell>
          <cell r="C394">
            <v>19.98</v>
          </cell>
          <cell r="D394">
            <v>72</v>
          </cell>
          <cell r="E394">
            <v>4.4400000000000004</v>
          </cell>
          <cell r="F394" t="str">
            <v>B286</v>
          </cell>
          <cell r="G394">
            <v>100418</v>
          </cell>
          <cell r="H394" t="str">
            <v>FLOUR BAKER 
HARD WHT UNBLCH BULK</v>
          </cell>
          <cell r="I394">
            <v>4.42</v>
          </cell>
        </row>
        <row r="395">
          <cell r="A395">
            <v>72577</v>
          </cell>
          <cell r="B395" t="str">
            <v>Whole Grain Galaxy Pepp Pizza 50/50</v>
          </cell>
          <cell r="C395">
            <v>19.940000000000001</v>
          </cell>
          <cell r="D395">
            <v>72</v>
          </cell>
          <cell r="E395">
            <v>4.43</v>
          </cell>
          <cell r="F395" t="str">
            <v>B286</v>
          </cell>
          <cell r="G395">
            <v>100418</v>
          </cell>
          <cell r="H395" t="str">
            <v>FLOUR BAKER 
HARD WHT UNBLCH BULK</v>
          </cell>
          <cell r="I395">
            <v>4.42</v>
          </cell>
        </row>
        <row r="396">
          <cell r="A396">
            <v>72578</v>
          </cell>
          <cell r="B396" t="str">
            <v>Whole Grain Galaxy Cheese Pizza 50/50 IW</v>
          </cell>
          <cell r="C396">
            <v>19.98</v>
          </cell>
          <cell r="D396">
            <v>72</v>
          </cell>
          <cell r="E396">
            <v>4.4400000000000004</v>
          </cell>
          <cell r="F396" t="str">
            <v>B286</v>
          </cell>
          <cell r="G396">
            <v>100418</v>
          </cell>
          <cell r="H396" t="str">
            <v>FLOUR BAKER 
HARD WHT UNBLCH BULK</v>
          </cell>
          <cell r="I396">
            <v>4.42</v>
          </cell>
        </row>
        <row r="397">
          <cell r="A397">
            <v>72579</v>
          </cell>
          <cell r="B397" t="str">
            <v>Whole Grain Galaxy Pepp Pizza 50/50 IW</v>
          </cell>
          <cell r="C397">
            <v>19.940000000000001</v>
          </cell>
          <cell r="D397">
            <v>72</v>
          </cell>
          <cell r="E397">
            <v>4.43</v>
          </cell>
          <cell r="F397" t="str">
            <v>B286</v>
          </cell>
          <cell r="G397">
            <v>100418</v>
          </cell>
          <cell r="H397" t="str">
            <v>FLOUR BAKER 
HARD WHT UNBLCH BULK</v>
          </cell>
          <cell r="I397">
            <v>4.42</v>
          </cell>
        </row>
        <row r="398">
          <cell r="A398">
            <v>73034</v>
          </cell>
          <cell r="B398" t="str">
            <v>SFS TN WG CL Wdg Cheese 50/50 NR</v>
          </cell>
          <cell r="C398">
            <v>27.6</v>
          </cell>
          <cell r="D398">
            <v>96</v>
          </cell>
          <cell r="E398">
            <v>4.5999999999999996</v>
          </cell>
          <cell r="F398" t="str">
            <v>B286</v>
          </cell>
          <cell r="G398">
            <v>100418</v>
          </cell>
          <cell r="H398" t="str">
            <v>FLOUR BAKER 
HARD WHT UNBLCH BULK</v>
          </cell>
          <cell r="I398">
            <v>6.3</v>
          </cell>
        </row>
        <row r="399">
          <cell r="A399">
            <v>73037</v>
          </cell>
          <cell r="B399" t="str">
            <v>Freschetta 16" Sheeted Dough</v>
          </cell>
          <cell r="C399">
            <v>29.25</v>
          </cell>
          <cell r="D399">
            <v>144</v>
          </cell>
          <cell r="E399">
            <v>3.25</v>
          </cell>
          <cell r="F399" t="str">
            <v>B286</v>
          </cell>
          <cell r="G399">
            <v>100418</v>
          </cell>
          <cell r="H399" t="str">
            <v>FLOUR BAKER 
HARD WHT UNBLCH BULK</v>
          </cell>
          <cell r="I399">
            <v>17.45</v>
          </cell>
        </row>
        <row r="400">
          <cell r="A400">
            <v>73039</v>
          </cell>
          <cell r="B400" t="str">
            <v>SFS TN WG CL Wdg Pepp 50/50 NR</v>
          </cell>
          <cell r="C400">
            <v>27.36</v>
          </cell>
          <cell r="D400">
            <v>96</v>
          </cell>
          <cell r="E400">
            <v>4.5599999999999996</v>
          </cell>
          <cell r="F400" t="str">
            <v>B286</v>
          </cell>
          <cell r="G400">
            <v>100418</v>
          </cell>
          <cell r="H400" t="str">
            <v>FLOUR BAKER 
HARD WHT UNBLCH BULK</v>
          </cell>
          <cell r="I400">
            <v>6.3</v>
          </cell>
        </row>
        <row r="401">
          <cell r="A401">
            <v>73087</v>
          </cell>
          <cell r="B401" t="str">
            <v>Freschetta 16" Rolled Edge Sheeted Dough</v>
          </cell>
          <cell r="C401">
            <v>21.75</v>
          </cell>
          <cell r="D401">
            <v>96</v>
          </cell>
          <cell r="E401">
            <v>3.63</v>
          </cell>
          <cell r="F401" t="str">
            <v>B286</v>
          </cell>
          <cell r="G401">
            <v>100418</v>
          </cell>
          <cell r="H401" t="str">
            <v>FLOUR BAKER 
HARD WHT UNBLCH BULK</v>
          </cell>
          <cell r="I401">
            <v>13.6</v>
          </cell>
        </row>
        <row r="402">
          <cell r="A402">
            <v>73142</v>
          </cell>
          <cell r="B402" t="str">
            <v>Big Daddy's Cheese Pizza Revised</v>
          </cell>
          <cell r="C402">
            <v>24.35</v>
          </cell>
          <cell r="D402">
            <v>72</v>
          </cell>
          <cell r="E402">
            <v>5.41</v>
          </cell>
          <cell r="F402" t="str">
            <v>B286</v>
          </cell>
          <cell r="G402">
            <v>100418</v>
          </cell>
          <cell r="H402" t="str">
            <v>FLOUR BAKER 
HARD WHT UNBLCH BULK</v>
          </cell>
          <cell r="I402">
            <v>6.87</v>
          </cell>
        </row>
        <row r="403">
          <cell r="A403">
            <v>73143</v>
          </cell>
          <cell r="B403" t="str">
            <v>Big Daddy's Pepperoni Pizza Revised</v>
          </cell>
          <cell r="C403">
            <v>24.49</v>
          </cell>
          <cell r="D403">
            <v>72</v>
          </cell>
          <cell r="E403">
            <v>5.44</v>
          </cell>
          <cell r="F403" t="str">
            <v>B286</v>
          </cell>
          <cell r="G403">
            <v>100418</v>
          </cell>
          <cell r="H403" t="str">
            <v>FLOUR BAKER 
HARD WHT UNBLCH BULK</v>
          </cell>
          <cell r="I403">
            <v>6.87</v>
          </cell>
        </row>
        <row r="404">
          <cell r="A404">
            <v>73150</v>
          </cell>
          <cell r="B404" t="str">
            <v>Big Daddy's SelfRising Breadstick</v>
          </cell>
          <cell r="C404">
            <v>22.5</v>
          </cell>
          <cell r="D404">
            <v>80</v>
          </cell>
          <cell r="E404">
            <v>4.5</v>
          </cell>
          <cell r="F404" t="str">
            <v>B286</v>
          </cell>
          <cell r="G404">
            <v>100418</v>
          </cell>
          <cell r="H404" t="str">
            <v>FLOUR BAKER 
HARD WHT UNBLCH BULK</v>
          </cell>
          <cell r="I404">
            <v>13.2</v>
          </cell>
        </row>
        <row r="405">
          <cell r="A405">
            <v>73158</v>
          </cell>
          <cell r="B405" t="str">
            <v>Tony's Smart Whole Grain Cheese 50/50-submit to usda with mz changing on approved sepds</v>
          </cell>
          <cell r="C405">
            <v>27.6</v>
          </cell>
          <cell r="D405">
            <v>96</v>
          </cell>
          <cell r="E405">
            <v>4.5999999999999996</v>
          </cell>
          <cell r="F405" t="str">
            <v>B286</v>
          </cell>
          <cell r="G405">
            <v>100418</v>
          </cell>
          <cell r="H405" t="str">
            <v>FLOUR BAKER 
HARD WHT UNBLCH BULK</v>
          </cell>
          <cell r="I405">
            <v>6.3</v>
          </cell>
        </row>
        <row r="406">
          <cell r="A406">
            <v>73159</v>
          </cell>
          <cell r="B406" t="str">
            <v>Tony's Smart Whole Grain Pepp 50/50-set up bom</v>
          </cell>
          <cell r="C406">
            <v>26.88</v>
          </cell>
          <cell r="D406">
            <v>96</v>
          </cell>
          <cell r="E406">
            <v>4.4800000000000004</v>
          </cell>
          <cell r="F406" t="str">
            <v>B286</v>
          </cell>
          <cell r="G406">
            <v>100418</v>
          </cell>
          <cell r="H406" t="str">
            <v>FLOUR BAKER 
HARD WHT UNBLCH BULK</v>
          </cell>
          <cell r="I406">
            <v>6.3</v>
          </cell>
        </row>
        <row r="407">
          <cell r="A407">
            <v>73160</v>
          </cell>
          <cell r="B407" t="str">
            <v>Tony's Classic Wedge WG Sausage 50/50</v>
          </cell>
          <cell r="C407">
            <v>28.14</v>
          </cell>
          <cell r="D407">
            <v>96</v>
          </cell>
          <cell r="E407">
            <v>4.6900000000000004</v>
          </cell>
          <cell r="F407" t="str">
            <v>B286</v>
          </cell>
          <cell r="G407">
            <v>100418</v>
          </cell>
          <cell r="H407" t="str">
            <v>FLOUR BAKER 
HARD WHT UNBLCH BULK</v>
          </cell>
          <cell r="I407">
            <v>6.3</v>
          </cell>
        </row>
        <row r="408">
          <cell r="A408">
            <v>73162</v>
          </cell>
          <cell r="B408" t="str">
            <v>Red Baron Proof Perfect 7" Cheese w/boxes</v>
          </cell>
          <cell r="C408">
            <v>23.74</v>
          </cell>
          <cell r="D408">
            <v>48</v>
          </cell>
          <cell r="E408">
            <v>7.91</v>
          </cell>
          <cell r="F408" t="str">
            <v>B286</v>
          </cell>
          <cell r="G408">
            <v>100418</v>
          </cell>
          <cell r="H408" t="str">
            <v>FLOUR BAKER 
HARD WHT UNBLCH BULK</v>
          </cell>
          <cell r="I408">
            <v>8.31</v>
          </cell>
        </row>
        <row r="409">
          <cell r="A409">
            <v>73163</v>
          </cell>
          <cell r="B409" t="str">
            <v>Red Baron Proof Perfect 7" Pepperoni w/boxes</v>
          </cell>
          <cell r="C409">
            <v>23.74</v>
          </cell>
          <cell r="D409">
            <v>48</v>
          </cell>
          <cell r="E409">
            <v>7.91</v>
          </cell>
          <cell r="F409" t="str">
            <v>B286</v>
          </cell>
          <cell r="G409">
            <v>100418</v>
          </cell>
          <cell r="H409" t="str">
            <v>FLOUR BAKER 
HARD WHT UNBLCH BULK</v>
          </cell>
          <cell r="I409">
            <v>8.31</v>
          </cell>
        </row>
        <row r="410">
          <cell r="A410">
            <v>73218</v>
          </cell>
          <cell r="B410" t="str">
            <v>Tony's Ham &amp; Cheese Stuffed SandIW</v>
          </cell>
          <cell r="C410">
            <v>6.75</v>
          </cell>
          <cell r="D410">
            <v>24</v>
          </cell>
          <cell r="E410">
            <v>4.5</v>
          </cell>
          <cell r="F410" t="str">
            <v>B286</v>
          </cell>
          <cell r="G410">
            <v>100418</v>
          </cell>
          <cell r="H410" t="str">
            <v>FLOUR BAKER 
HARD WHT UNBLCH BULK</v>
          </cell>
          <cell r="I410">
            <v>1.91</v>
          </cell>
        </row>
        <row r="411">
          <cell r="A411">
            <v>73316</v>
          </cell>
          <cell r="B411" t="str">
            <v>Tony's Whole Grain Stuffed Sticks 50/50 revised fl</v>
          </cell>
          <cell r="C411">
            <v>26.25</v>
          </cell>
          <cell r="D411">
            <v>100</v>
          </cell>
          <cell r="E411">
            <v>4.2</v>
          </cell>
          <cell r="F411" t="str">
            <v>B286</v>
          </cell>
          <cell r="G411">
            <v>100418</v>
          </cell>
          <cell r="H411" t="str">
            <v>FLOUR BAKER 
HARD WHT UNBLCH BULK</v>
          </cell>
          <cell r="I411">
            <v>7.11</v>
          </cell>
        </row>
        <row r="412">
          <cell r="A412">
            <v>73318</v>
          </cell>
          <cell r="B412" t="str">
            <v>Tony's 51% Whole Grain 50/50 Cheese Stick</v>
          </cell>
          <cell r="C412">
            <v>26.44</v>
          </cell>
          <cell r="D412">
            <v>100</v>
          </cell>
          <cell r="E412">
            <v>4.2300000000000004</v>
          </cell>
          <cell r="F412" t="str">
            <v>B286</v>
          </cell>
          <cell r="G412">
            <v>100418</v>
          </cell>
          <cell r="H412" t="str">
            <v>FLOUR BAKER 
HARD WHT UNBLCH BULK</v>
          </cell>
          <cell r="I412">
            <v>7.42</v>
          </cell>
        </row>
        <row r="413">
          <cell r="A413">
            <v>73325</v>
          </cell>
          <cell r="B413" t="str">
            <v>Tony's Whole Grain Stuffed Sticks 50/50</v>
          </cell>
          <cell r="C413">
            <v>26.25</v>
          </cell>
          <cell r="D413">
            <v>100</v>
          </cell>
          <cell r="E413">
            <v>4.2</v>
          </cell>
          <cell r="F413" t="str">
            <v>B286</v>
          </cell>
          <cell r="G413">
            <v>100418</v>
          </cell>
          <cell r="H413" t="str">
            <v>FLOUR BAKER 
HARD WHT UNBLCH BULK</v>
          </cell>
          <cell r="I413">
            <v>7.4</v>
          </cell>
        </row>
        <row r="414">
          <cell r="A414">
            <v>73328</v>
          </cell>
          <cell r="B414" t="str">
            <v>Tony's Stuffed Sticks  100%</v>
          </cell>
          <cell r="C414">
            <v>26.25</v>
          </cell>
          <cell r="D414">
            <v>200</v>
          </cell>
          <cell r="E414">
            <v>2.1</v>
          </cell>
          <cell r="F414" t="str">
            <v>B286</v>
          </cell>
          <cell r="G414">
            <v>100418</v>
          </cell>
          <cell r="H414" t="str">
            <v>FLOUR BAKER 
HARD WHT UNBLCH BULK</v>
          </cell>
          <cell r="I414">
            <v>0</v>
          </cell>
        </row>
        <row r="415">
          <cell r="A415">
            <v>73329</v>
          </cell>
          <cell r="B415" t="str">
            <v>Tony's Stuffed Sticks 50/50</v>
          </cell>
          <cell r="C415">
            <v>26.25</v>
          </cell>
          <cell r="D415">
            <v>200</v>
          </cell>
          <cell r="E415">
            <v>2.1</v>
          </cell>
          <cell r="F415" t="str">
            <v>B286</v>
          </cell>
          <cell r="G415">
            <v>100418</v>
          </cell>
          <cell r="H415" t="str">
            <v>FLOUR BAKER 
HARD WHT UNBLCH BULK</v>
          </cell>
          <cell r="I415">
            <v>0</v>
          </cell>
        </row>
        <row r="416">
          <cell r="A416">
            <v>73336</v>
          </cell>
          <cell r="B416" t="str">
            <v>Tony's Cheese Filled Breadstick</v>
          </cell>
          <cell r="C416">
            <v>18</v>
          </cell>
          <cell r="D416">
            <v>96</v>
          </cell>
          <cell r="E416">
            <v>3</v>
          </cell>
          <cell r="F416" t="str">
            <v>B286</v>
          </cell>
          <cell r="G416">
            <v>100418</v>
          </cell>
          <cell r="H416" t="str">
            <v>FLOUR BAKER 
HARD WHT UNBLCH BULK</v>
          </cell>
          <cell r="I416">
            <v>7.38</v>
          </cell>
        </row>
        <row r="417">
          <cell r="A417">
            <v>73338</v>
          </cell>
          <cell r="B417" t="str">
            <v>Tony's Whole Grain Stuffed Sticks 100%</v>
          </cell>
          <cell r="C417">
            <v>26.25</v>
          </cell>
          <cell r="D417">
            <v>100</v>
          </cell>
          <cell r="E417">
            <v>4.2</v>
          </cell>
          <cell r="F417" t="str">
            <v>B286</v>
          </cell>
          <cell r="G417">
            <v>100418</v>
          </cell>
          <cell r="H417" t="str">
            <v>FLOUR BAKER 
HARD WHT UNBLCH BULK</v>
          </cell>
          <cell r="I417">
            <v>7.11</v>
          </cell>
        </row>
        <row r="418">
          <cell r="A418">
            <v>73339</v>
          </cell>
          <cell r="B418" t="str">
            <v>Tony's Whole Grain Stuffed Sticks 100%</v>
          </cell>
          <cell r="C418">
            <v>26.25</v>
          </cell>
          <cell r="D418">
            <v>100</v>
          </cell>
          <cell r="E418">
            <v>4.2</v>
          </cell>
          <cell r="F418" t="str">
            <v>B286</v>
          </cell>
          <cell r="G418">
            <v>100418</v>
          </cell>
          <cell r="H418" t="str">
            <v>FLOUR BAKER 
HARD WHT UNBLCH BULK</v>
          </cell>
          <cell r="I418">
            <v>7.4</v>
          </cell>
        </row>
        <row r="419">
          <cell r="A419">
            <v>73341</v>
          </cell>
          <cell r="B419" t="str">
            <v>Tony's 3x8 Garlic Cheese Bread Pizza</v>
          </cell>
          <cell r="C419">
            <v>27.12</v>
          </cell>
          <cell r="D419">
            <v>96</v>
          </cell>
          <cell r="E419">
            <v>4.5199999999999996</v>
          </cell>
          <cell r="F419" t="str">
            <v>B286</v>
          </cell>
          <cell r="G419">
            <v>100418</v>
          </cell>
          <cell r="H419" t="str">
            <v>FLOUR BAKER 
HARD WHT UNBLCH BULK</v>
          </cell>
          <cell r="I419">
            <v>7.92</v>
          </cell>
        </row>
        <row r="420">
          <cell r="A420">
            <v>74709</v>
          </cell>
          <cell r="B420" t="str">
            <v>Tony's Smart Classic Wedge 4 Block Cheese</v>
          </cell>
          <cell r="C420">
            <v>23.05</v>
          </cell>
          <cell r="D420">
            <v>80</v>
          </cell>
          <cell r="E420">
            <v>4.6100000000000003</v>
          </cell>
          <cell r="F420" t="str">
            <v>B286</v>
          </cell>
          <cell r="G420">
            <v>100418</v>
          </cell>
          <cell r="H420" t="str">
            <v>FLOUR BAKER 
HARD WHT UNBLCH BULK</v>
          </cell>
          <cell r="I420">
            <v>5.59</v>
          </cell>
        </row>
        <row r="421">
          <cell r="A421">
            <v>74710</v>
          </cell>
          <cell r="B421" t="str">
            <v>Tony's Smart Classic Wedge 4 Block Pepp</v>
          </cell>
          <cell r="C421">
            <v>23.5</v>
          </cell>
          <cell r="D421">
            <v>80</v>
          </cell>
          <cell r="E421">
            <v>4.7</v>
          </cell>
          <cell r="F421" t="str">
            <v>B286</v>
          </cell>
          <cell r="G421">
            <v>100418</v>
          </cell>
          <cell r="H421" t="str">
            <v>FLOUR BAKER 
HARD WHT UNBLCH BULK</v>
          </cell>
          <cell r="I421">
            <v>5.59</v>
          </cell>
        </row>
        <row r="422">
          <cell r="A422">
            <v>74711</v>
          </cell>
          <cell r="B422" t="str">
            <v>Tony's Smart Right Angle Wedge Cheese/Sub</v>
          </cell>
          <cell r="C422">
            <v>28.2</v>
          </cell>
          <cell r="D422">
            <v>96</v>
          </cell>
          <cell r="E422">
            <v>4.7</v>
          </cell>
          <cell r="F422" t="str">
            <v>B286</v>
          </cell>
          <cell r="G422">
            <v>100418</v>
          </cell>
          <cell r="H422" t="str">
            <v>FLOUR BAKER 
HARD WHT UNBLCH BULK</v>
          </cell>
          <cell r="I422">
            <v>6.99</v>
          </cell>
        </row>
        <row r="423">
          <cell r="A423">
            <v>74712</v>
          </cell>
          <cell r="B423" t="str">
            <v>Tony's Smart Right Angle Wedge Pepp</v>
          </cell>
          <cell r="C423">
            <v>28.74</v>
          </cell>
          <cell r="D423">
            <v>96</v>
          </cell>
          <cell r="E423">
            <v>4.79</v>
          </cell>
          <cell r="F423" t="str">
            <v>B286</v>
          </cell>
          <cell r="G423">
            <v>100418</v>
          </cell>
          <cell r="H423" t="str">
            <v>FLOUR BAKER 
HARD WHT UNBLCH BULK</v>
          </cell>
          <cell r="I423">
            <v>6.99</v>
          </cell>
        </row>
        <row r="424">
          <cell r="A424">
            <v>74716</v>
          </cell>
          <cell r="B424" t="str">
            <v>Tony's SEW Sausage 100% Mozz</v>
          </cell>
          <cell r="C424">
            <v>23.5</v>
          </cell>
          <cell r="D424">
            <v>80</v>
          </cell>
          <cell r="E424">
            <v>4.7</v>
          </cell>
          <cell r="F424" t="str">
            <v>B286</v>
          </cell>
          <cell r="G424">
            <v>100418</v>
          </cell>
          <cell r="H424" t="str">
            <v>FLOUR BAKER 
HARD WHT UNBLCH BULK</v>
          </cell>
          <cell r="I424">
            <v>5.37</v>
          </cell>
        </row>
        <row r="425">
          <cell r="A425">
            <v>74793</v>
          </cell>
          <cell r="B425" t="str">
            <v>4x6 Cheese IW</v>
          </cell>
          <cell r="C425">
            <v>27</v>
          </cell>
          <cell r="D425">
            <v>96</v>
          </cell>
          <cell r="E425">
            <v>4.5</v>
          </cell>
          <cell r="F425" t="str">
            <v>B286</v>
          </cell>
          <cell r="G425">
            <v>100418</v>
          </cell>
          <cell r="H425" t="str">
            <v>FLOUR BAKER 
HARD WHT UNBLCH BULK</v>
          </cell>
          <cell r="I425">
            <v>0</v>
          </cell>
        </row>
        <row r="426">
          <cell r="A426">
            <v>74794</v>
          </cell>
          <cell r="B426" t="str">
            <v>4x6 Cheese Bulk</v>
          </cell>
          <cell r="C426">
            <v>27</v>
          </cell>
          <cell r="D426">
            <v>96</v>
          </cell>
          <cell r="E426">
            <v>4.5</v>
          </cell>
          <cell r="F426" t="str">
            <v>B286</v>
          </cell>
          <cell r="G426">
            <v>100418</v>
          </cell>
          <cell r="H426" t="str">
            <v>FLOUR BAKER 
HARD WHT UNBLCH BULK</v>
          </cell>
          <cell r="I426">
            <v>0</v>
          </cell>
        </row>
        <row r="427">
          <cell r="A427">
            <v>74801</v>
          </cell>
          <cell r="B427" t="str">
            <v>Whole Grain Deep Dish Pepp Pizza (TR)</v>
          </cell>
          <cell r="C427">
            <v>22.5</v>
          </cell>
          <cell r="D427">
            <v>60</v>
          </cell>
          <cell r="E427">
            <v>6</v>
          </cell>
          <cell r="F427" t="str">
            <v>B286</v>
          </cell>
          <cell r="G427">
            <v>100418</v>
          </cell>
          <cell r="H427" t="str">
            <v>FLOUR BAKER 
HARD WHT UNBLCH BULK</v>
          </cell>
          <cell r="I427">
            <v>0</v>
          </cell>
        </row>
        <row r="428">
          <cell r="A428">
            <v>74802</v>
          </cell>
          <cell r="B428" t="str">
            <v>Whole Grain Deep Dish Pepp Pizza Wraped (TR)</v>
          </cell>
          <cell r="C428">
            <v>22.5</v>
          </cell>
          <cell r="D428">
            <v>60</v>
          </cell>
          <cell r="E428">
            <v>6</v>
          </cell>
          <cell r="F428" t="str">
            <v>B286</v>
          </cell>
          <cell r="G428">
            <v>100418</v>
          </cell>
          <cell r="H428" t="str">
            <v>FLOUR BAKER 
HARD WHT UNBLCH BULK</v>
          </cell>
          <cell r="I428">
            <v>0</v>
          </cell>
        </row>
        <row r="429">
          <cell r="A429">
            <v>74803</v>
          </cell>
          <cell r="B429" t="str">
            <v>Whole Grain Deep Dish Chs Pizza  (TR)</v>
          </cell>
          <cell r="C429">
            <v>22.5</v>
          </cell>
          <cell r="D429">
            <v>60</v>
          </cell>
          <cell r="E429">
            <v>6</v>
          </cell>
          <cell r="F429" t="str">
            <v>B286</v>
          </cell>
          <cell r="G429">
            <v>100418</v>
          </cell>
          <cell r="H429" t="str">
            <v>FLOUR BAKER 
HARD WHT UNBLCH BULK</v>
          </cell>
          <cell r="I429">
            <v>0</v>
          </cell>
        </row>
        <row r="430">
          <cell r="A430">
            <v>74804</v>
          </cell>
          <cell r="B430" t="str">
            <v>Whole Grain Deep Dish Chs Pizza Wrapd (TR)</v>
          </cell>
          <cell r="C430">
            <v>22.5</v>
          </cell>
          <cell r="D430">
            <v>60</v>
          </cell>
          <cell r="E430">
            <v>6</v>
          </cell>
          <cell r="F430" t="str">
            <v>B286</v>
          </cell>
          <cell r="G430">
            <v>100418</v>
          </cell>
          <cell r="H430" t="str">
            <v>FLOUR BAKER 
HARD WHT UNBLCH BULK</v>
          </cell>
          <cell r="I430">
            <v>0</v>
          </cell>
        </row>
        <row r="431">
          <cell r="A431">
            <v>74805</v>
          </cell>
          <cell r="B431" t="str">
            <v>Rounded Edge Cheese Pizza (TR)</v>
          </cell>
          <cell r="C431">
            <v>26.25</v>
          </cell>
          <cell r="D431">
            <v>84</v>
          </cell>
          <cell r="E431">
            <v>5</v>
          </cell>
          <cell r="F431" t="str">
            <v>B286</v>
          </cell>
          <cell r="G431">
            <v>100418</v>
          </cell>
          <cell r="H431" t="str">
            <v>FLOUR BAKER 
HARD WHT UNBLCH BULK</v>
          </cell>
          <cell r="I431">
            <v>0</v>
          </cell>
        </row>
        <row r="432">
          <cell r="A432">
            <v>74806</v>
          </cell>
          <cell r="B432" t="str">
            <v>Rounded Edge Wedge Chs Pizza Wrapped (TR)</v>
          </cell>
          <cell r="C432">
            <v>26.25</v>
          </cell>
          <cell r="D432">
            <v>84</v>
          </cell>
          <cell r="E432">
            <v>5</v>
          </cell>
          <cell r="F432" t="str">
            <v>B286</v>
          </cell>
          <cell r="G432">
            <v>100418</v>
          </cell>
          <cell r="H432" t="str">
            <v>FLOUR BAKER 
HARD WHT UNBLCH BULK</v>
          </cell>
          <cell r="I432">
            <v>0</v>
          </cell>
        </row>
        <row r="433">
          <cell r="A433">
            <v>74807</v>
          </cell>
          <cell r="B433" t="str">
            <v>Rounded Edge Wedge Pepp Pizza (TR)</v>
          </cell>
          <cell r="C433">
            <v>26.25</v>
          </cell>
          <cell r="D433">
            <v>84</v>
          </cell>
          <cell r="E433">
            <v>5</v>
          </cell>
          <cell r="F433" t="str">
            <v>B286</v>
          </cell>
          <cell r="G433">
            <v>100418</v>
          </cell>
          <cell r="H433" t="str">
            <v>FLOUR BAKER 
HARD WHT UNBLCH BULK</v>
          </cell>
          <cell r="I433">
            <v>0</v>
          </cell>
        </row>
        <row r="434">
          <cell r="A434">
            <v>74808</v>
          </cell>
          <cell r="B434" t="str">
            <v>Rounded Edge Wedge Pepp Pizza Wrapd (TR)</v>
          </cell>
          <cell r="C434">
            <v>26.25</v>
          </cell>
          <cell r="D434">
            <v>84</v>
          </cell>
          <cell r="E434">
            <v>5</v>
          </cell>
          <cell r="F434" t="str">
            <v>B286</v>
          </cell>
          <cell r="G434">
            <v>100418</v>
          </cell>
          <cell r="H434" t="str">
            <v>FLOUR BAKER 
HARD WHT UNBLCH BULK</v>
          </cell>
          <cell r="I434">
            <v>0</v>
          </cell>
        </row>
        <row r="435">
          <cell r="A435">
            <v>74809</v>
          </cell>
          <cell r="B435" t="str">
            <v>Turkey Sausage Pizza (TR)</v>
          </cell>
          <cell r="C435">
            <v>19.75</v>
          </cell>
          <cell r="D435">
            <v>100</v>
          </cell>
          <cell r="E435">
            <v>3.16</v>
          </cell>
          <cell r="F435" t="str">
            <v>B286</v>
          </cell>
          <cell r="G435">
            <v>100418</v>
          </cell>
          <cell r="H435" t="str">
            <v>FLOUR BAKER 
HARD WHT UNBLCH BULK</v>
          </cell>
          <cell r="I435">
            <v>0</v>
          </cell>
        </row>
        <row r="436">
          <cell r="A436">
            <v>74810</v>
          </cell>
          <cell r="B436" t="str">
            <v>Turkey Sausage Pizza Wrapd (TR)</v>
          </cell>
          <cell r="C436">
            <v>19.75</v>
          </cell>
          <cell r="D436">
            <v>100</v>
          </cell>
          <cell r="E436">
            <v>3.16</v>
          </cell>
          <cell r="F436" t="str">
            <v>B286</v>
          </cell>
          <cell r="G436">
            <v>100418</v>
          </cell>
          <cell r="H436" t="str">
            <v>FLOUR BAKER 
HARD WHT UNBLCH BULK</v>
          </cell>
          <cell r="I436">
            <v>0</v>
          </cell>
        </row>
        <row r="437">
          <cell r="A437">
            <v>74811</v>
          </cell>
          <cell r="B437" t="str">
            <v>3x8 Garlic Cheese Toast (TR)</v>
          </cell>
          <cell r="C437">
            <v>16.05</v>
          </cell>
          <cell r="D437">
            <v>48</v>
          </cell>
          <cell r="E437">
            <v>5.35</v>
          </cell>
          <cell r="F437" t="str">
            <v>B286</v>
          </cell>
          <cell r="G437">
            <v>100418</v>
          </cell>
          <cell r="H437" t="str">
            <v>FLOUR BAKER 
HARD WHT UNBLCH BULK</v>
          </cell>
          <cell r="I437">
            <v>0</v>
          </cell>
        </row>
        <row r="438">
          <cell r="A438">
            <v>74812</v>
          </cell>
          <cell r="B438" t="str">
            <v>3x8 Garlic Cheese Toast Wrapped (TR)</v>
          </cell>
          <cell r="C438">
            <v>16.05</v>
          </cell>
          <cell r="D438">
            <v>48</v>
          </cell>
          <cell r="E438">
            <v>5.35</v>
          </cell>
          <cell r="F438" t="str">
            <v>B286</v>
          </cell>
          <cell r="G438">
            <v>100418</v>
          </cell>
          <cell r="H438" t="str">
            <v>FLOUR BAKER 
HARD WHT UNBLCH BULK</v>
          </cell>
          <cell r="I438">
            <v>0</v>
          </cell>
        </row>
        <row r="439">
          <cell r="A439">
            <v>74813</v>
          </cell>
          <cell r="B439" t="str">
            <v>3x5 Garlic Cheese Toast (TR)</v>
          </cell>
          <cell r="C439">
            <v>15.19</v>
          </cell>
          <cell r="D439">
            <v>90</v>
          </cell>
          <cell r="E439">
            <v>2.7</v>
          </cell>
          <cell r="F439" t="str">
            <v>B286</v>
          </cell>
          <cell r="G439">
            <v>100418</v>
          </cell>
          <cell r="H439" t="str">
            <v>FLOUR BAKER 
HARD WHT UNBLCH BULK</v>
          </cell>
          <cell r="I439">
            <v>0</v>
          </cell>
        </row>
        <row r="440">
          <cell r="A440">
            <v>74814</v>
          </cell>
          <cell r="B440" t="str">
            <v>3x5 Garlic Cheese Toast Wrapped (TR)</v>
          </cell>
          <cell r="C440">
            <v>15.19</v>
          </cell>
          <cell r="D440">
            <v>90</v>
          </cell>
          <cell r="E440">
            <v>2.7</v>
          </cell>
          <cell r="F440" t="str">
            <v>B286</v>
          </cell>
          <cell r="G440">
            <v>100418</v>
          </cell>
          <cell r="H440" t="str">
            <v>FLOUR BAKER 
HARD WHT UNBLCH BULK</v>
          </cell>
          <cell r="I440">
            <v>0</v>
          </cell>
        </row>
        <row r="441">
          <cell r="A441">
            <v>74815</v>
          </cell>
          <cell r="B441" t="str">
            <v>French Bread Pepp Pizza Wrapped (TR)</v>
          </cell>
          <cell r="C441">
            <v>18.75</v>
          </cell>
          <cell r="D441">
            <v>60</v>
          </cell>
          <cell r="E441">
            <v>5</v>
          </cell>
          <cell r="F441" t="str">
            <v>B286</v>
          </cell>
          <cell r="G441">
            <v>100418</v>
          </cell>
          <cell r="H441" t="str">
            <v>FLOUR BAKER 
HARD WHT UNBLCH BULK</v>
          </cell>
          <cell r="I441">
            <v>0</v>
          </cell>
        </row>
        <row r="442">
          <cell r="A442">
            <v>74816</v>
          </cell>
          <cell r="B442" t="str">
            <v>4x6 Cheese Pizza Wrapped (TR)</v>
          </cell>
          <cell r="C442">
            <v>30</v>
          </cell>
          <cell r="D442">
            <v>96</v>
          </cell>
          <cell r="E442">
            <v>5</v>
          </cell>
          <cell r="F442" t="str">
            <v>B286</v>
          </cell>
          <cell r="G442">
            <v>100418</v>
          </cell>
          <cell r="H442" t="str">
            <v>FLOUR BAKER 
HARD WHT UNBLCH BULK</v>
          </cell>
          <cell r="I442">
            <v>0</v>
          </cell>
        </row>
        <row r="443">
          <cell r="A443">
            <v>74817</v>
          </cell>
          <cell r="B443" t="str">
            <v>Pepperoni Pizza Bagel</v>
          </cell>
          <cell r="C443">
            <v>28.61</v>
          </cell>
          <cell r="D443">
            <v>84</v>
          </cell>
          <cell r="E443">
            <v>5.45</v>
          </cell>
          <cell r="F443" t="str">
            <v>B286</v>
          </cell>
          <cell r="G443">
            <v>100418</v>
          </cell>
          <cell r="H443" t="str">
            <v>FLOUR BAKER 
HARD WHT UNBLCH BULK</v>
          </cell>
          <cell r="I443">
            <v>0</v>
          </cell>
        </row>
        <row r="444">
          <cell r="A444">
            <v>74833</v>
          </cell>
          <cell r="B444" t="str">
            <v>4x6 Cheese Pizza Wrapped (TR)</v>
          </cell>
          <cell r="C444">
            <v>30</v>
          </cell>
          <cell r="D444">
            <v>96</v>
          </cell>
          <cell r="E444">
            <v>5</v>
          </cell>
          <cell r="F444" t="str">
            <v>B286</v>
          </cell>
          <cell r="G444">
            <v>100418</v>
          </cell>
          <cell r="H444" t="str">
            <v>FLOUR BAKER 
HARD WHT UNBLCH BULK</v>
          </cell>
          <cell r="I444">
            <v>0</v>
          </cell>
        </row>
        <row r="445">
          <cell r="A445">
            <v>74834</v>
          </cell>
          <cell r="B445" t="str">
            <v>Cheese Wedge Pizza (TR)</v>
          </cell>
          <cell r="C445">
            <v>27</v>
          </cell>
          <cell r="D445">
            <v>96</v>
          </cell>
          <cell r="E445">
            <v>4.5</v>
          </cell>
          <cell r="F445" t="str">
            <v>B286</v>
          </cell>
          <cell r="G445">
            <v>100418</v>
          </cell>
          <cell r="H445" t="str">
            <v>FLOUR BAKER 
HARD WHT UNBLCH BULK</v>
          </cell>
          <cell r="I445">
            <v>0</v>
          </cell>
        </row>
        <row r="446">
          <cell r="A446">
            <v>74835</v>
          </cell>
          <cell r="B446" t="str">
            <v>Tony's Pizza Strip 3.1 oz Pepp Bulk</v>
          </cell>
          <cell r="C446">
            <v>9.3000000000000007</v>
          </cell>
          <cell r="D446">
            <v>48</v>
          </cell>
          <cell r="E446">
            <v>3.1</v>
          </cell>
          <cell r="F446" t="str">
            <v>B286</v>
          </cell>
          <cell r="G446">
            <v>100418</v>
          </cell>
          <cell r="H446" t="str">
            <v>FLOUR BAKER 
HARD WHT UNBLCH BULK</v>
          </cell>
          <cell r="I446">
            <v>3.28</v>
          </cell>
        </row>
        <row r="447">
          <cell r="A447">
            <v>74836</v>
          </cell>
          <cell r="B447" t="str">
            <v>Tony's Pizza Strip 3.1 oz Pepp IW</v>
          </cell>
          <cell r="C447">
            <v>9.3000000000000007</v>
          </cell>
          <cell r="D447">
            <v>48</v>
          </cell>
          <cell r="E447">
            <v>3.1</v>
          </cell>
          <cell r="F447" t="str">
            <v>B286</v>
          </cell>
          <cell r="G447">
            <v>100418</v>
          </cell>
          <cell r="H447" t="str">
            <v>FLOUR BAKER 
HARD WHT UNBLCH BULK</v>
          </cell>
          <cell r="I447">
            <v>3.28</v>
          </cell>
        </row>
        <row r="448">
          <cell r="A448">
            <v>74837</v>
          </cell>
          <cell r="B448" t="str">
            <v>Tony's Stuffed Sandwich turkey Pepp Bulk-revised</v>
          </cell>
          <cell r="C448">
            <v>13.38</v>
          </cell>
          <cell r="D448">
            <v>48</v>
          </cell>
          <cell r="E448">
            <v>4.46</v>
          </cell>
          <cell r="F448" t="str">
            <v>B286</v>
          </cell>
          <cell r="G448">
            <v>100418</v>
          </cell>
          <cell r="H448" t="str">
            <v>FLOUR BAKER 
HARD WHT UNBLCH BULK</v>
          </cell>
          <cell r="I448">
            <v>3.71</v>
          </cell>
        </row>
        <row r="449">
          <cell r="A449">
            <v>74838</v>
          </cell>
          <cell r="B449" t="str">
            <v>Tony's Stuff Sandwich Turkey Pepp IW-revised</v>
          </cell>
          <cell r="C449">
            <v>6.69</v>
          </cell>
          <cell r="D449">
            <v>24</v>
          </cell>
          <cell r="E449">
            <v>4.46</v>
          </cell>
          <cell r="F449" t="str">
            <v>B286</v>
          </cell>
          <cell r="G449">
            <v>100418</v>
          </cell>
          <cell r="H449" t="str">
            <v>FLOUR BAKER 
HARD WHT UNBLCH BULK</v>
          </cell>
          <cell r="I449">
            <v>1.86</v>
          </cell>
        </row>
        <row r="450">
          <cell r="A450">
            <v>78329</v>
          </cell>
          <cell r="B450" t="str">
            <v>Tony's WG 4x6 Thin Crust 4x6 Pepp IW</v>
          </cell>
          <cell r="C450">
            <v>30</v>
          </cell>
          <cell r="D450">
            <v>96</v>
          </cell>
          <cell r="E450">
            <v>5</v>
          </cell>
          <cell r="F450" t="str">
            <v>B286</v>
          </cell>
          <cell r="G450">
            <v>100418</v>
          </cell>
          <cell r="H450" t="str">
            <v>FLOUR BAKER 
HARD WHT UNBLCH BULK</v>
          </cell>
          <cell r="I450">
            <v>0</v>
          </cell>
        </row>
        <row r="451">
          <cell r="A451">
            <v>78330</v>
          </cell>
          <cell r="B451" t="str">
            <v>Tony's WG Classic Wedge WG Pepp IW</v>
          </cell>
          <cell r="C451">
            <v>30.06</v>
          </cell>
          <cell r="D451">
            <v>96</v>
          </cell>
          <cell r="E451">
            <v>5.01</v>
          </cell>
          <cell r="F451" t="str">
            <v>B286</v>
          </cell>
          <cell r="G451">
            <v>100418</v>
          </cell>
          <cell r="H451" t="str">
            <v>FLOUR BAKER 
HARD WHT UNBLCH BULK</v>
          </cell>
          <cell r="I451">
            <v>0</v>
          </cell>
        </row>
        <row r="452">
          <cell r="A452">
            <v>78331</v>
          </cell>
          <cell r="B452" t="str">
            <v>Tony's WG 6" French Bread Cheese</v>
          </cell>
          <cell r="C452">
            <v>18.75</v>
          </cell>
          <cell r="D452">
            <v>60</v>
          </cell>
          <cell r="E452">
            <v>5</v>
          </cell>
          <cell r="F452" t="str">
            <v>B286</v>
          </cell>
          <cell r="G452">
            <v>100418</v>
          </cell>
          <cell r="H452" t="str">
            <v>FLOUR BAKER 
HARD WHT UNBLCH BULK</v>
          </cell>
          <cell r="I452">
            <v>0</v>
          </cell>
        </row>
        <row r="453">
          <cell r="A453">
            <v>78352</v>
          </cell>
          <cell r="B453" t="str">
            <v>3x4 Turkey Sausage Breakfast Squares</v>
          </cell>
          <cell r="C453">
            <v>24.05</v>
          </cell>
          <cell r="D453">
            <v>128</v>
          </cell>
          <cell r="E453">
            <v>3.01</v>
          </cell>
          <cell r="F453" t="str">
            <v>B286</v>
          </cell>
          <cell r="G453">
            <v>100418</v>
          </cell>
          <cell r="H453" t="str">
            <v>FLOUR BAKER 
HARD WHT UNBLCH BULK</v>
          </cell>
          <cell r="I453">
            <v>6.71</v>
          </cell>
        </row>
        <row r="454">
          <cell r="A454">
            <v>78353</v>
          </cell>
          <cell r="B454" t="str">
            <v>3x4 LS Bacon Scramble Squares</v>
          </cell>
          <cell r="C454">
            <v>23.6</v>
          </cell>
          <cell r="D454">
            <v>128</v>
          </cell>
          <cell r="E454">
            <v>2.95</v>
          </cell>
          <cell r="F454" t="str">
            <v>B286</v>
          </cell>
          <cell r="G454">
            <v>100418</v>
          </cell>
          <cell r="H454" t="str">
            <v>FLOUR BAKER 
HARD WHT UNBLCH BULK</v>
          </cell>
          <cell r="I454">
            <v>6.71</v>
          </cell>
        </row>
        <row r="455">
          <cell r="A455">
            <v>78354</v>
          </cell>
          <cell r="B455" t="str">
            <v>7" 51% WG Rising Crust Cheese- update bom</v>
          </cell>
          <cell r="C455">
            <v>21.81</v>
          </cell>
          <cell r="D455">
            <v>48</v>
          </cell>
          <cell r="E455">
            <v>7.27</v>
          </cell>
          <cell r="F455" t="str">
            <v>B286</v>
          </cell>
          <cell r="G455">
            <v>100418</v>
          </cell>
          <cell r="H455" t="str">
            <v>FLOUR BAKER 
HARD WHT UNBLCH BULK</v>
          </cell>
          <cell r="I455">
            <v>7.26</v>
          </cell>
        </row>
        <row r="456">
          <cell r="A456">
            <v>78355</v>
          </cell>
          <cell r="B456" t="str">
            <v>7" 51% WG Rising Crust Pepp-update bom</v>
          </cell>
          <cell r="C456">
            <v>21.9</v>
          </cell>
          <cell r="D456">
            <v>48</v>
          </cell>
          <cell r="E456">
            <v>7.3</v>
          </cell>
          <cell r="F456" t="str">
            <v>B286</v>
          </cell>
          <cell r="G456">
            <v>100418</v>
          </cell>
          <cell r="H456" t="str">
            <v>FLOUR BAKER 
HARD WHT UNBLCH BULK</v>
          </cell>
          <cell r="I456">
            <v>7.26</v>
          </cell>
        </row>
        <row r="457">
          <cell r="A457">
            <v>78356</v>
          </cell>
          <cell r="B457" t="str">
            <v>6" Cheese 51% Whole Grain</v>
          </cell>
          <cell r="C457">
            <v>18.41</v>
          </cell>
          <cell r="D457">
            <v>60</v>
          </cell>
          <cell r="E457">
            <v>4.91</v>
          </cell>
          <cell r="F457" t="str">
            <v>B286</v>
          </cell>
          <cell r="G457">
            <v>100418</v>
          </cell>
          <cell r="H457" t="str">
            <v>FLOUR BAKER 
HARD WHT UNBLCH BULK</v>
          </cell>
          <cell r="I457">
            <v>1.9</v>
          </cell>
        </row>
        <row r="458">
          <cell r="A458">
            <v>78357</v>
          </cell>
          <cell r="B458" t="str">
            <v>6" Pepperoni 51% Whole Grain</v>
          </cell>
          <cell r="C458">
            <v>18.38</v>
          </cell>
          <cell r="D458">
            <v>60</v>
          </cell>
          <cell r="E458">
            <v>4.9000000000000004</v>
          </cell>
          <cell r="F458" t="str">
            <v>B286</v>
          </cell>
          <cell r="G458">
            <v>100418</v>
          </cell>
          <cell r="H458" t="str">
            <v>FLOUR BAKER 
HARD WHT UNBLCH BULK</v>
          </cell>
          <cell r="I458">
            <v>1.9</v>
          </cell>
        </row>
        <row r="459">
          <cell r="A459">
            <v>78358</v>
          </cell>
          <cell r="B459" t="str">
            <v>6" Sausage 51% Whole Grain</v>
          </cell>
          <cell r="C459">
            <v>18.75</v>
          </cell>
          <cell r="D459">
            <v>60</v>
          </cell>
          <cell r="E459">
            <v>5</v>
          </cell>
          <cell r="F459" t="str">
            <v>B286</v>
          </cell>
          <cell r="G459">
            <v>100418</v>
          </cell>
          <cell r="H459" t="str">
            <v>FLOUR BAKER 
HARD WHT UNBLCH BULK</v>
          </cell>
          <cell r="I459">
            <v>1.9</v>
          </cell>
        </row>
        <row r="460">
          <cell r="A460">
            <v>78359</v>
          </cell>
          <cell r="B460" t="str">
            <v>6" MultiCheese 51% Whole Grain</v>
          </cell>
          <cell r="C460">
            <v>15.98</v>
          </cell>
          <cell r="D460">
            <v>60</v>
          </cell>
          <cell r="E460">
            <v>4.26</v>
          </cell>
          <cell r="F460" t="str">
            <v>B286</v>
          </cell>
          <cell r="G460">
            <v>100418</v>
          </cell>
          <cell r="H460" t="str">
            <v>FLOUR BAKER 
HARD WHT UNBLCH BULK</v>
          </cell>
          <cell r="I460">
            <v>1.9</v>
          </cell>
        </row>
        <row r="461">
          <cell r="A461">
            <v>78360</v>
          </cell>
          <cell r="B461" t="str">
            <v>6" Pepp 51% Whole Grain IW</v>
          </cell>
          <cell r="C461">
            <v>18.38</v>
          </cell>
          <cell r="D461">
            <v>60</v>
          </cell>
          <cell r="E461">
            <v>4.9000000000000004</v>
          </cell>
          <cell r="F461" t="str">
            <v>B286</v>
          </cell>
          <cell r="G461">
            <v>100418</v>
          </cell>
          <cell r="H461" t="str">
            <v>FLOUR BAKER 
HARD WHT UNBLCH BULK</v>
          </cell>
          <cell r="I461">
            <v>1.9</v>
          </cell>
        </row>
        <row r="462">
          <cell r="A462">
            <v>78361</v>
          </cell>
          <cell r="B462" t="str">
            <v>6" MultiCheese 51% Whole Grain IW</v>
          </cell>
          <cell r="C462">
            <v>15.98</v>
          </cell>
          <cell r="D462">
            <v>60</v>
          </cell>
          <cell r="E462">
            <v>4.26</v>
          </cell>
          <cell r="F462" t="str">
            <v>B286</v>
          </cell>
          <cell r="G462">
            <v>100418</v>
          </cell>
          <cell r="H462" t="str">
            <v>FLOUR BAKER 
HARD WHT UNBLCH BULK</v>
          </cell>
          <cell r="I462">
            <v>1.9</v>
          </cell>
        </row>
        <row r="463">
          <cell r="A463">
            <v>78362</v>
          </cell>
          <cell r="B463" t="str">
            <v>Turkey Sausage Bagel (Red Sauce)</v>
          </cell>
          <cell r="C463">
            <v>15.9</v>
          </cell>
          <cell r="D463">
            <v>96</v>
          </cell>
          <cell r="E463">
            <v>2.65</v>
          </cell>
          <cell r="F463" t="str">
            <v>B286</v>
          </cell>
          <cell r="G463">
            <v>100418</v>
          </cell>
          <cell r="H463" t="str">
            <v>FLOUR BAKER 
HARD WHT UNBLCH BULK</v>
          </cell>
          <cell r="I463">
            <v>3</v>
          </cell>
        </row>
        <row r="464">
          <cell r="A464">
            <v>78363</v>
          </cell>
          <cell r="B464" t="str">
            <v>Turkey Sausage Bagel (White Sauce)</v>
          </cell>
          <cell r="C464">
            <v>15.72</v>
          </cell>
          <cell r="D464">
            <v>96</v>
          </cell>
          <cell r="E464">
            <v>2.62</v>
          </cell>
          <cell r="F464" t="str">
            <v>B286</v>
          </cell>
          <cell r="G464">
            <v>100418</v>
          </cell>
          <cell r="H464" t="str">
            <v>FLOUR BAKER 
HARD WHT UNBLCH BULK</v>
          </cell>
          <cell r="I464">
            <v>3</v>
          </cell>
        </row>
        <row r="465">
          <cell r="A465">
            <v>78364</v>
          </cell>
          <cell r="B465" t="str">
            <v>4" Galaxy Cheese Bulk</v>
          </cell>
          <cell r="C465">
            <v>20.48</v>
          </cell>
          <cell r="D465">
            <v>72</v>
          </cell>
          <cell r="E465">
            <v>4.55</v>
          </cell>
          <cell r="F465" t="str">
            <v>B286</v>
          </cell>
          <cell r="G465">
            <v>100418</v>
          </cell>
          <cell r="H465" t="str">
            <v>FLOUR BAKER 
HARD WHT UNBLCH BULK</v>
          </cell>
          <cell r="I465">
            <v>4.8600000000000003</v>
          </cell>
        </row>
        <row r="466">
          <cell r="A466">
            <v>78365</v>
          </cell>
          <cell r="B466" t="str">
            <v>4" Galaxy Pepperoni Bulk</v>
          </cell>
          <cell r="C466">
            <v>20.48</v>
          </cell>
          <cell r="D466">
            <v>72</v>
          </cell>
          <cell r="E466">
            <v>4.55</v>
          </cell>
          <cell r="F466" t="str">
            <v>B286</v>
          </cell>
          <cell r="G466">
            <v>100418</v>
          </cell>
          <cell r="H466" t="str">
            <v>FLOUR BAKER 
HARD WHT UNBLCH BULK</v>
          </cell>
          <cell r="I466">
            <v>4.8600000000000003</v>
          </cell>
        </row>
        <row r="467">
          <cell r="A467">
            <v>78366</v>
          </cell>
          <cell r="B467" t="str">
            <v>4" Galaxy Cheese IW</v>
          </cell>
          <cell r="C467">
            <v>20.48</v>
          </cell>
          <cell r="D467">
            <v>72</v>
          </cell>
          <cell r="E467">
            <v>4.55</v>
          </cell>
          <cell r="F467" t="str">
            <v>B286</v>
          </cell>
          <cell r="G467">
            <v>100418</v>
          </cell>
          <cell r="H467" t="str">
            <v>FLOUR BAKER 
HARD WHT UNBLCH BULK</v>
          </cell>
          <cell r="I467">
            <v>4.8600000000000003</v>
          </cell>
        </row>
        <row r="468">
          <cell r="A468">
            <v>78367</v>
          </cell>
          <cell r="B468" t="str">
            <v>4" Galaxy Pepperoni IW</v>
          </cell>
          <cell r="C468">
            <v>20.48</v>
          </cell>
          <cell r="D468">
            <v>72</v>
          </cell>
          <cell r="E468">
            <v>4.55</v>
          </cell>
          <cell r="F468" t="str">
            <v>B286</v>
          </cell>
          <cell r="G468">
            <v>100418</v>
          </cell>
          <cell r="H468" t="str">
            <v>FLOUR BAKER 
HARD WHT UNBLCH BULK</v>
          </cell>
          <cell r="I468">
            <v>4.8600000000000003</v>
          </cell>
        </row>
        <row r="469">
          <cell r="A469">
            <v>78368</v>
          </cell>
          <cell r="B469" t="str">
            <v>5" Deep Dish Cheese Bulk</v>
          </cell>
          <cell r="C469">
            <v>21.94</v>
          </cell>
          <cell r="D469">
            <v>60</v>
          </cell>
          <cell r="E469">
            <v>5.85</v>
          </cell>
          <cell r="F469" t="str">
            <v>B286</v>
          </cell>
          <cell r="G469">
            <v>100418</v>
          </cell>
          <cell r="H469" t="str">
            <v>FLOUR BAKER 
HARD WHT UNBLCH BULK</v>
          </cell>
          <cell r="I469">
            <v>6.01</v>
          </cell>
        </row>
        <row r="470">
          <cell r="A470">
            <v>78369</v>
          </cell>
          <cell r="B470" t="str">
            <v>5" Deep Dish Pepp Bulk</v>
          </cell>
          <cell r="C470">
            <v>21.94</v>
          </cell>
          <cell r="D470">
            <v>60</v>
          </cell>
          <cell r="E470">
            <v>5.85</v>
          </cell>
          <cell r="F470" t="str">
            <v>B286</v>
          </cell>
          <cell r="G470">
            <v>100418</v>
          </cell>
          <cell r="H470" t="str">
            <v>FLOUR BAKER 
HARD WHT UNBLCH BULK</v>
          </cell>
          <cell r="I470">
            <v>6.01</v>
          </cell>
        </row>
        <row r="471">
          <cell r="A471">
            <v>78370</v>
          </cell>
          <cell r="B471" t="str">
            <v>5" Deep Dish Cheese IW</v>
          </cell>
          <cell r="C471">
            <v>21.94</v>
          </cell>
          <cell r="D471">
            <v>60</v>
          </cell>
          <cell r="E471">
            <v>5.85</v>
          </cell>
          <cell r="F471" t="str">
            <v>B286</v>
          </cell>
          <cell r="G471">
            <v>100418</v>
          </cell>
          <cell r="H471" t="str">
            <v>FLOUR BAKER 
HARD WHT UNBLCH BULK</v>
          </cell>
          <cell r="I471">
            <v>6.01</v>
          </cell>
        </row>
        <row r="472">
          <cell r="A472">
            <v>78371</v>
          </cell>
          <cell r="B472" t="str">
            <v>5" Deep Dish Pepperoni IW</v>
          </cell>
          <cell r="C472">
            <v>21.94</v>
          </cell>
          <cell r="D472">
            <v>60</v>
          </cell>
          <cell r="E472">
            <v>5.85</v>
          </cell>
          <cell r="F472" t="str">
            <v>B286</v>
          </cell>
          <cell r="G472">
            <v>100418</v>
          </cell>
          <cell r="H472" t="str">
            <v>FLOUR BAKER 
HARD WHT UNBLCH BULK</v>
          </cell>
          <cell r="I472">
            <v>6.01</v>
          </cell>
        </row>
        <row r="473">
          <cell r="A473">
            <v>78372</v>
          </cell>
          <cell r="B473" t="str">
            <v>Cheese Quesadilla</v>
          </cell>
          <cell r="C473">
            <v>26.63</v>
          </cell>
          <cell r="D473">
            <v>96</v>
          </cell>
          <cell r="E473">
            <v>4.4400000000000004</v>
          </cell>
          <cell r="F473" t="str">
            <v>B286</v>
          </cell>
          <cell r="G473">
            <v>100418</v>
          </cell>
          <cell r="H473" t="str">
            <v>FLOUR BAKER 
HARD WHT UNBLCH BULK</v>
          </cell>
          <cell r="I473">
            <v>7.35</v>
          </cell>
        </row>
        <row r="474">
          <cell r="A474">
            <v>78373</v>
          </cell>
          <cell r="B474" t="str">
            <v>Chicken Quesadilla</v>
          </cell>
          <cell r="C474">
            <v>26.63</v>
          </cell>
          <cell r="D474">
            <v>96</v>
          </cell>
          <cell r="E474">
            <v>4.4400000000000004</v>
          </cell>
          <cell r="F474" t="str">
            <v>B286</v>
          </cell>
          <cell r="G474">
            <v>100418</v>
          </cell>
          <cell r="H474" t="str">
            <v>FLOUR BAKER 
HARD WHT UNBLCH BULK</v>
          </cell>
          <cell r="I474">
            <v>7.35</v>
          </cell>
        </row>
        <row r="475">
          <cell r="A475">
            <v>78374</v>
          </cell>
          <cell r="B475" t="str">
            <v>Chili and Cheese Quesadilla</v>
          </cell>
          <cell r="C475">
            <v>27</v>
          </cell>
          <cell r="D475">
            <v>96</v>
          </cell>
          <cell r="E475">
            <v>4.4000000000000004</v>
          </cell>
          <cell r="F475" t="str">
            <v>B286</v>
          </cell>
          <cell r="G475">
            <v>100418</v>
          </cell>
          <cell r="H475" t="str">
            <v>FLOUR BAKER 
HARD WHT UNBLCH BULK</v>
          </cell>
          <cell r="I475">
            <v>7.35</v>
          </cell>
        </row>
        <row r="476">
          <cell r="A476">
            <v>78375</v>
          </cell>
          <cell r="B476" t="str">
            <v>Tony's Stuffed  Stick Whole Grain</v>
          </cell>
          <cell r="C476">
            <v>26.43</v>
          </cell>
          <cell r="D476">
            <v>100</v>
          </cell>
          <cell r="E476">
            <v>4.2300000000000004</v>
          </cell>
          <cell r="F476" t="str">
            <v>B286</v>
          </cell>
          <cell r="G476">
            <v>100418</v>
          </cell>
          <cell r="H476" t="str">
            <v>FLOUR BAKER 
HARD WHT UNBLCH BULK</v>
          </cell>
          <cell r="I476">
            <v>7.32</v>
          </cell>
        </row>
        <row r="477">
          <cell r="A477">
            <v>78376</v>
          </cell>
          <cell r="B477" t="str">
            <v>Whole Grain Stuffed Sandwich Pepp</v>
          </cell>
          <cell r="C477">
            <v>13.59</v>
          </cell>
          <cell r="D477">
            <v>48</v>
          </cell>
          <cell r="E477">
            <v>4.53</v>
          </cell>
          <cell r="F477" t="str">
            <v>B286</v>
          </cell>
          <cell r="G477">
            <v>100418</v>
          </cell>
          <cell r="H477" t="str">
            <v>FLOUR BAKER 
HARD WHT UNBLCH BULK</v>
          </cell>
          <cell r="I477">
            <v>3.63</v>
          </cell>
        </row>
        <row r="478">
          <cell r="A478">
            <v>78377</v>
          </cell>
          <cell r="B478" t="str">
            <v>Whole Grain Stuffed Sand Pepp IW</v>
          </cell>
          <cell r="C478">
            <v>6.8</v>
          </cell>
          <cell r="D478">
            <v>24</v>
          </cell>
          <cell r="E478">
            <v>4.53</v>
          </cell>
          <cell r="F478" t="str">
            <v>B286</v>
          </cell>
          <cell r="G478">
            <v>100418</v>
          </cell>
          <cell r="H478" t="str">
            <v>FLOUR BAKER 
HARD WHT UNBLCH BULK</v>
          </cell>
          <cell r="I478">
            <v>1.81</v>
          </cell>
        </row>
        <row r="479">
          <cell r="A479">
            <v>78378</v>
          </cell>
          <cell r="B479" t="str">
            <v>Whole Grain Pepperoni Pizza Strip</v>
          </cell>
          <cell r="C479">
            <v>9.3000000000000007</v>
          </cell>
          <cell r="D479">
            <v>48</v>
          </cell>
          <cell r="E479">
            <v>3.1</v>
          </cell>
          <cell r="F479" t="str">
            <v>B286</v>
          </cell>
          <cell r="G479">
            <v>100418</v>
          </cell>
          <cell r="H479" t="str">
            <v>FLOUR BAKER 
HARD WHT UNBLCH BULK</v>
          </cell>
          <cell r="I479">
            <v>3.37</v>
          </cell>
        </row>
        <row r="480">
          <cell r="A480">
            <v>78379</v>
          </cell>
          <cell r="B480" t="str">
            <v>Whole Grain Pepp Pizza Strip  IW</v>
          </cell>
          <cell r="C480">
            <v>9.3000000000000007</v>
          </cell>
          <cell r="D480">
            <v>48</v>
          </cell>
          <cell r="E480">
            <v>3.1</v>
          </cell>
          <cell r="F480" t="str">
            <v>B286</v>
          </cell>
          <cell r="G480">
            <v>100418</v>
          </cell>
          <cell r="H480" t="str">
            <v>FLOUR BAKER 
HARD WHT UNBLCH BULK</v>
          </cell>
          <cell r="I480">
            <v>3.37</v>
          </cell>
        </row>
        <row r="481">
          <cell r="A481">
            <v>78380</v>
          </cell>
          <cell r="B481" t="str">
            <v>WG 7" Stuffed Crust Wedge Cheese</v>
          </cell>
          <cell r="C481">
            <v>27.24</v>
          </cell>
          <cell r="D481">
            <v>96</v>
          </cell>
          <cell r="E481">
            <v>4.54</v>
          </cell>
          <cell r="F481" t="str">
            <v>B286</v>
          </cell>
          <cell r="G481">
            <v>100418</v>
          </cell>
          <cell r="H481" t="str">
            <v>FLOUR BAKER 
HARD WHT UNBLCH BULK</v>
          </cell>
          <cell r="I481">
            <v>5.84</v>
          </cell>
        </row>
        <row r="482">
          <cell r="A482">
            <v>78381</v>
          </cell>
          <cell r="B482" t="str">
            <v>WG 7" Stuffed Crust Wedge Pepp</v>
          </cell>
          <cell r="C482">
            <v>27.3</v>
          </cell>
          <cell r="D482">
            <v>96</v>
          </cell>
          <cell r="E482">
            <v>4.55</v>
          </cell>
          <cell r="F482" t="str">
            <v>B286</v>
          </cell>
          <cell r="G482">
            <v>100418</v>
          </cell>
          <cell r="H482" t="str">
            <v>FLOUR BAKER 
HARD WHT UNBLCH BULK</v>
          </cell>
          <cell r="I482">
            <v>5.84</v>
          </cell>
        </row>
        <row r="483">
          <cell r="A483">
            <v>78382</v>
          </cell>
          <cell r="B483" t="str">
            <v>51% WG SEW Cheese</v>
          </cell>
          <cell r="C483">
            <v>35.700000000000003</v>
          </cell>
          <cell r="D483">
            <v>96</v>
          </cell>
          <cell r="E483">
            <v>5.95</v>
          </cell>
          <cell r="F483" t="str">
            <v>B286</v>
          </cell>
          <cell r="G483">
            <v>100418</v>
          </cell>
          <cell r="H483" t="str">
            <v>FLOUR BAKER 
HARD WHT UNBLCH BULK</v>
          </cell>
          <cell r="I483">
            <v>11.01</v>
          </cell>
        </row>
        <row r="484">
          <cell r="A484">
            <v>78383</v>
          </cell>
          <cell r="B484" t="str">
            <v>51% WG SEW Pepperoni Pizza</v>
          </cell>
          <cell r="C484">
            <v>35.82</v>
          </cell>
          <cell r="D484">
            <v>96</v>
          </cell>
          <cell r="E484">
            <v>5.97</v>
          </cell>
          <cell r="F484" t="str">
            <v>B286</v>
          </cell>
          <cell r="G484">
            <v>100418</v>
          </cell>
          <cell r="H484" t="str">
            <v>FLOUR BAKER 
HARD WHT UNBLCH BULK</v>
          </cell>
          <cell r="I484">
            <v>11.01</v>
          </cell>
        </row>
        <row r="485">
          <cell r="A485">
            <v>78384</v>
          </cell>
          <cell r="B485" t="str">
            <v>51% WG SEW Cheese Pizza</v>
          </cell>
          <cell r="C485">
            <v>29.75</v>
          </cell>
          <cell r="D485">
            <v>80</v>
          </cell>
          <cell r="E485">
            <v>5.95</v>
          </cell>
          <cell r="F485" t="str">
            <v>B286</v>
          </cell>
          <cell r="G485">
            <v>100418</v>
          </cell>
          <cell r="H485" t="str">
            <v>FLOUR BAKER 
HARD WHT UNBLCH BULK</v>
          </cell>
          <cell r="I485">
            <v>9.15</v>
          </cell>
        </row>
        <row r="486">
          <cell r="A486">
            <v>78385</v>
          </cell>
          <cell r="B486" t="str">
            <v>51% WG SEW Pepp Pizza</v>
          </cell>
          <cell r="C486">
            <v>29.85</v>
          </cell>
          <cell r="D486">
            <v>80</v>
          </cell>
          <cell r="E486">
            <v>5.97</v>
          </cell>
          <cell r="F486" t="str">
            <v>B286</v>
          </cell>
          <cell r="G486">
            <v>100418</v>
          </cell>
          <cell r="H486" t="str">
            <v>FLOUR BAKER 
HARD WHT UNBLCH BULK</v>
          </cell>
          <cell r="I486">
            <v>9.15</v>
          </cell>
        </row>
        <row r="487">
          <cell r="A487">
            <v>78386</v>
          </cell>
          <cell r="B487" t="str">
            <v>WG 4x6 Stuffed Crust Cheese</v>
          </cell>
          <cell r="C487">
            <v>26.94</v>
          </cell>
          <cell r="D487">
            <v>96</v>
          </cell>
          <cell r="E487">
            <v>4.49</v>
          </cell>
          <cell r="F487" t="str">
            <v>B286</v>
          </cell>
          <cell r="G487">
            <v>100418</v>
          </cell>
          <cell r="H487" t="str">
            <v>FLOUR BAKER 
HARD WHT UNBLCH BULK</v>
          </cell>
          <cell r="I487">
            <v>5.84</v>
          </cell>
        </row>
        <row r="488">
          <cell r="A488">
            <v>78387</v>
          </cell>
          <cell r="B488" t="str">
            <v>WG 4x6 Stuffed Crust Pepperoni</v>
          </cell>
          <cell r="C488">
            <v>26.34</v>
          </cell>
          <cell r="D488">
            <v>96</v>
          </cell>
          <cell r="E488">
            <v>4.3899999999999997</v>
          </cell>
          <cell r="F488" t="str">
            <v>B286</v>
          </cell>
          <cell r="G488">
            <v>100418</v>
          </cell>
          <cell r="H488" t="str">
            <v>FLOUR BAKER 
HARD WHT UNBLCH BULK</v>
          </cell>
          <cell r="I488">
            <v>5.84</v>
          </cell>
        </row>
        <row r="489">
          <cell r="A489">
            <v>78388</v>
          </cell>
          <cell r="B489" t="str">
            <v>Big Daddy's Sicilian</v>
          </cell>
          <cell r="C489">
            <v>30.1</v>
          </cell>
          <cell r="D489">
            <v>96</v>
          </cell>
          <cell r="E489">
            <v>5.0199999999999996</v>
          </cell>
          <cell r="F489" t="str">
            <v>B286</v>
          </cell>
          <cell r="G489">
            <v>100418</v>
          </cell>
          <cell r="H489" t="str">
            <v>FLOUR BAKER 
HARD WHT UNBLCH BULK</v>
          </cell>
          <cell r="I489">
            <v>7.22</v>
          </cell>
        </row>
        <row r="490">
          <cell r="A490">
            <v>78391</v>
          </cell>
          <cell r="B490" t="str">
            <v>Whole Grain Pizza Bagel Cheese</v>
          </cell>
          <cell r="C490">
            <v>28.8</v>
          </cell>
          <cell r="D490">
            <v>96</v>
          </cell>
          <cell r="E490">
            <v>4.8</v>
          </cell>
          <cell r="F490" t="str">
            <v>B286</v>
          </cell>
          <cell r="G490">
            <v>100418</v>
          </cell>
          <cell r="H490" t="str">
            <v>FLOUR BAKER 
HARD WHT UNBLCH BULK</v>
          </cell>
          <cell r="I490">
            <v>0</v>
          </cell>
        </row>
        <row r="491">
          <cell r="A491">
            <v>78392</v>
          </cell>
          <cell r="B491" t="str">
            <v>Big Daddy's Hand Tossed Pepperoni Pre-Sliced 8-Cut</v>
          </cell>
          <cell r="C491">
            <v>23.4</v>
          </cell>
          <cell r="D491">
            <v>72</v>
          </cell>
          <cell r="E491">
            <v>5.2</v>
          </cell>
          <cell r="F491" t="str">
            <v>B286</v>
          </cell>
          <cell r="G491">
            <v>100418</v>
          </cell>
          <cell r="H491" t="str">
            <v>FLOUR BAKER 
HARD WHT UNBLCH BULK</v>
          </cell>
          <cell r="I491">
            <v>5.27</v>
          </cell>
        </row>
        <row r="492">
          <cell r="A492">
            <v>78397</v>
          </cell>
          <cell r="B492" t="str">
            <v>Big Daddy's Hand Tossed Cheese Pre-Sliced</v>
          </cell>
          <cell r="C492">
            <v>23.26</v>
          </cell>
          <cell r="D492">
            <v>72</v>
          </cell>
          <cell r="E492">
            <v>5.17</v>
          </cell>
          <cell r="F492" t="str">
            <v>B286</v>
          </cell>
          <cell r="G492">
            <v>100418</v>
          </cell>
          <cell r="H492" t="str">
            <v>FLOUR BAKER 
HARD WHT UNBLCH BULK</v>
          </cell>
          <cell r="I492">
            <v>5.27</v>
          </cell>
        </row>
        <row r="493">
          <cell r="A493">
            <v>78398</v>
          </cell>
          <cell r="B493" t="str">
            <v>Big Daddy's Hand Tossed Cheese</v>
          </cell>
          <cell r="C493">
            <v>23.26</v>
          </cell>
          <cell r="D493">
            <v>72</v>
          </cell>
          <cell r="E493">
            <v>5.17</v>
          </cell>
          <cell r="F493" t="str">
            <v>B286</v>
          </cell>
          <cell r="G493">
            <v>100418</v>
          </cell>
          <cell r="H493" t="str">
            <v>FLOUR BAKER 
HARD WHT UNBLCH BULK</v>
          </cell>
          <cell r="I493">
            <v>5.27</v>
          </cell>
        </row>
        <row r="494">
          <cell r="A494">
            <v>78399</v>
          </cell>
          <cell r="B494" t="str">
            <v>Big Daddy's Hand tossed Pepperoni</v>
          </cell>
          <cell r="C494">
            <v>23.4</v>
          </cell>
          <cell r="D494">
            <v>72</v>
          </cell>
          <cell r="E494">
            <v>5.2</v>
          </cell>
          <cell r="F494" t="str">
            <v>B286</v>
          </cell>
          <cell r="G494">
            <v>100418</v>
          </cell>
          <cell r="H494" t="str">
            <v>FLOUR BAKER 
HARD WHT UNBLCH BULK</v>
          </cell>
          <cell r="I494">
            <v>5.27</v>
          </cell>
        </row>
        <row r="495">
          <cell r="A495">
            <v>78448</v>
          </cell>
          <cell r="B495" t="str">
            <v>Tony's Smart Pizza 4x6 100% Cheese</v>
          </cell>
          <cell r="C495">
            <v>27.6</v>
          </cell>
          <cell r="D495">
            <v>96</v>
          </cell>
          <cell r="E495">
            <v>4.5999999999999996</v>
          </cell>
          <cell r="F495" t="str">
            <v>B286</v>
          </cell>
          <cell r="G495">
            <v>100418</v>
          </cell>
          <cell r="H495" t="str">
            <v>FLOUR BAKER 
HARD WHT UNBLCH BULK</v>
          </cell>
          <cell r="I495">
            <v>3.39</v>
          </cell>
        </row>
        <row r="496">
          <cell r="A496">
            <v>78449</v>
          </cell>
          <cell r="B496" t="str">
            <v>Tony's Smart Pizza 4x6 100% Pepp</v>
          </cell>
          <cell r="C496">
            <v>27</v>
          </cell>
          <cell r="D496">
            <v>96</v>
          </cell>
          <cell r="E496">
            <v>4.5</v>
          </cell>
          <cell r="F496" t="str">
            <v>B286</v>
          </cell>
          <cell r="G496">
            <v>100418</v>
          </cell>
          <cell r="H496" t="str">
            <v>FLOUR BAKER 
HARD WHT UNBLCH BULK</v>
          </cell>
          <cell r="I496">
            <v>3.39</v>
          </cell>
        </row>
        <row r="497">
          <cell r="A497">
            <v>78454</v>
          </cell>
          <cell r="B497" t="str">
            <v>Tony's 4x6 Cheese/Sub Cheese Smart Pizza</v>
          </cell>
          <cell r="C497">
            <v>27.36</v>
          </cell>
          <cell r="D497">
            <v>96</v>
          </cell>
          <cell r="E497">
            <v>4.5599999999999996</v>
          </cell>
          <cell r="F497" t="str">
            <v>B286</v>
          </cell>
          <cell r="G497">
            <v>100418</v>
          </cell>
          <cell r="H497" t="str">
            <v>FLOUR BAKER 
HARD WHT UNBLCH BULK</v>
          </cell>
          <cell r="I497">
            <v>6.54</v>
          </cell>
        </row>
        <row r="498">
          <cell r="A498">
            <v>78455</v>
          </cell>
          <cell r="B498" t="str">
            <v>Tony's 4x6 Pepp</v>
          </cell>
          <cell r="C498">
            <v>27.9</v>
          </cell>
          <cell r="D498">
            <v>96</v>
          </cell>
          <cell r="E498">
            <v>4.6500000000000004</v>
          </cell>
          <cell r="F498" t="str">
            <v>B286</v>
          </cell>
          <cell r="G498">
            <v>100418</v>
          </cell>
          <cell r="H498" t="str">
            <v>FLOUR BAKER 
HARD WHT UNBLCH BULK</v>
          </cell>
          <cell r="I498">
            <v>7.59</v>
          </cell>
        </row>
        <row r="499">
          <cell r="A499">
            <v>78456</v>
          </cell>
          <cell r="B499" t="str">
            <v>Tony's 4x6 Saus</v>
          </cell>
          <cell r="C499">
            <v>27.87</v>
          </cell>
          <cell r="D499">
            <v>96</v>
          </cell>
          <cell r="E499">
            <v>4.6500000000000004</v>
          </cell>
          <cell r="F499" t="str">
            <v>B286</v>
          </cell>
          <cell r="G499">
            <v>100418</v>
          </cell>
          <cell r="H499" t="str">
            <v>FLOUR BAKER 
HARD WHT UNBLCH BULK</v>
          </cell>
          <cell r="I499">
            <v>7.59</v>
          </cell>
        </row>
        <row r="500">
          <cell r="A500">
            <v>78474</v>
          </cell>
          <cell r="B500" t="str">
            <v>4" Cheese 100%BULK</v>
          </cell>
          <cell r="C500">
            <v>22.5</v>
          </cell>
          <cell r="D500">
            <v>72</v>
          </cell>
          <cell r="E500">
            <v>5</v>
          </cell>
          <cell r="F500" t="str">
            <v>B286</v>
          </cell>
          <cell r="G500">
            <v>100418</v>
          </cell>
          <cell r="H500" t="str">
            <v>FLOUR BAKER 
HARD WHT UNBLCH BULK</v>
          </cell>
          <cell r="I500">
            <v>4.99</v>
          </cell>
        </row>
        <row r="501">
          <cell r="A501">
            <v>78475</v>
          </cell>
          <cell r="B501" t="str">
            <v>4" Cheese 100% IW</v>
          </cell>
          <cell r="C501">
            <v>22.5</v>
          </cell>
          <cell r="D501">
            <v>72</v>
          </cell>
          <cell r="E501">
            <v>5</v>
          </cell>
          <cell r="F501" t="str">
            <v>B286</v>
          </cell>
          <cell r="G501">
            <v>100418</v>
          </cell>
          <cell r="H501" t="str">
            <v>FLOUR BAKER 
HARD WHT UNBLCH BULK</v>
          </cell>
          <cell r="I501">
            <v>4.99</v>
          </cell>
        </row>
        <row r="502">
          <cell r="A502">
            <v>78477</v>
          </cell>
          <cell r="B502" t="str">
            <v>4" Red Fat Pepp 100% Cheese IW</v>
          </cell>
          <cell r="C502">
            <v>22.5</v>
          </cell>
          <cell r="D502">
            <v>72</v>
          </cell>
          <cell r="E502">
            <v>5</v>
          </cell>
          <cell r="F502" t="str">
            <v>B286</v>
          </cell>
          <cell r="G502">
            <v>100418</v>
          </cell>
          <cell r="H502" t="str">
            <v>FLOUR BAKER 
HARD WHT UNBLCH BULK</v>
          </cell>
          <cell r="I502">
            <v>4.99</v>
          </cell>
        </row>
        <row r="503">
          <cell r="A503">
            <v>78504</v>
          </cell>
          <cell r="B503" t="str">
            <v>6" French Bread Cheese Pizza</v>
          </cell>
          <cell r="C503">
            <v>19.88</v>
          </cell>
          <cell r="D503">
            <v>60</v>
          </cell>
          <cell r="E503">
            <v>5.3</v>
          </cell>
          <cell r="F503" t="str">
            <v>B286</v>
          </cell>
          <cell r="G503">
            <v>100418</v>
          </cell>
          <cell r="H503" t="str">
            <v>FLOUR BAKER 
HARD WHT UNBLCH BULK</v>
          </cell>
          <cell r="I503">
            <v>5.09</v>
          </cell>
        </row>
        <row r="504">
          <cell r="A504">
            <v>78505</v>
          </cell>
          <cell r="B504" t="str">
            <v>6" French Bread Pepp Pizza</v>
          </cell>
          <cell r="C504">
            <v>19.5</v>
          </cell>
          <cell r="D504">
            <v>60</v>
          </cell>
          <cell r="E504">
            <v>5.2</v>
          </cell>
          <cell r="F504" t="str">
            <v>B286</v>
          </cell>
          <cell r="G504">
            <v>100418</v>
          </cell>
          <cell r="H504" t="str">
            <v>FLOUR BAKER 
HARD WHT UNBLCH BULK</v>
          </cell>
          <cell r="I504">
            <v>5.09</v>
          </cell>
        </row>
        <row r="505">
          <cell r="A505">
            <v>78511</v>
          </cell>
          <cell r="B505" t="str">
            <v>6" French Bread Cheese/Sub Cheese</v>
          </cell>
          <cell r="C505">
            <v>18.559999999999999</v>
          </cell>
          <cell r="D505">
            <v>60</v>
          </cell>
          <cell r="E505">
            <v>4.95</v>
          </cell>
          <cell r="F505" t="str">
            <v>B286</v>
          </cell>
          <cell r="G505">
            <v>100418</v>
          </cell>
          <cell r="H505" t="str">
            <v>FLOUR BAKER 
HARD WHT UNBLCH BULK</v>
          </cell>
          <cell r="I505">
            <v>5.09</v>
          </cell>
        </row>
        <row r="506">
          <cell r="A506">
            <v>78516</v>
          </cell>
          <cell r="B506" t="str">
            <v>6" French Bread Pizza Cheesy Garlic</v>
          </cell>
          <cell r="C506">
            <v>16.760000000000002</v>
          </cell>
          <cell r="D506">
            <v>60</v>
          </cell>
          <cell r="E506">
            <v>4.47</v>
          </cell>
          <cell r="F506" t="str">
            <v>B286</v>
          </cell>
          <cell r="G506">
            <v>100418</v>
          </cell>
          <cell r="H506" t="str">
            <v>FLOUR BAKER 
HARD WHT UNBLCH BULK</v>
          </cell>
          <cell r="I506">
            <v>3.48</v>
          </cell>
        </row>
        <row r="507">
          <cell r="A507">
            <v>78518</v>
          </cell>
          <cell r="B507" t="str">
            <v>8" French Bread Pepp Mozz/Ched</v>
          </cell>
          <cell r="C507">
            <v>23.25</v>
          </cell>
          <cell r="D507">
            <v>60</v>
          </cell>
          <cell r="E507">
            <v>6.2</v>
          </cell>
          <cell r="F507" t="str">
            <v>B286</v>
          </cell>
          <cell r="G507">
            <v>100418</v>
          </cell>
          <cell r="H507" t="str">
            <v>FLOUR BAKER 
HARD WHT UNBLCH BULK</v>
          </cell>
          <cell r="I507">
            <v>7.89</v>
          </cell>
        </row>
        <row r="508">
          <cell r="A508">
            <v>78525</v>
          </cell>
          <cell r="B508" t="str">
            <v>8" French Bread Cheese/Sub Cheese</v>
          </cell>
          <cell r="C508">
            <v>25.88</v>
          </cell>
          <cell r="D508">
            <v>72</v>
          </cell>
          <cell r="E508">
            <v>5.75</v>
          </cell>
          <cell r="F508" t="str">
            <v>B286</v>
          </cell>
          <cell r="G508">
            <v>100418</v>
          </cell>
          <cell r="H508" t="str">
            <v>FLOUR BAKER 
HARD WHT UNBLCH BULK</v>
          </cell>
          <cell r="I508">
            <v>7.86</v>
          </cell>
        </row>
        <row r="509">
          <cell r="A509">
            <v>78530</v>
          </cell>
          <cell r="B509" t="str">
            <v>Red Baron Breakfast Bacon Scramble</v>
          </cell>
          <cell r="C509">
            <v>16.88</v>
          </cell>
          <cell r="D509">
            <v>54</v>
          </cell>
          <cell r="E509">
            <v>5</v>
          </cell>
          <cell r="F509" t="str">
            <v>B286</v>
          </cell>
          <cell r="G509">
            <v>100418</v>
          </cell>
          <cell r="H509" t="str">
            <v>FLOUR BAKER 
HARD WHT UNBLCH BULK</v>
          </cell>
          <cell r="I509">
            <v>4.16</v>
          </cell>
        </row>
        <row r="510">
          <cell r="A510">
            <v>78531</v>
          </cell>
          <cell r="B510" t="str">
            <v>Big Daddy's 16" Harvest Cheese Pizza</v>
          </cell>
          <cell r="C510">
            <v>24.88</v>
          </cell>
          <cell r="D510">
            <v>72</v>
          </cell>
          <cell r="E510">
            <v>5.53</v>
          </cell>
          <cell r="F510" t="str">
            <v>B286</v>
          </cell>
          <cell r="G510">
            <v>100418</v>
          </cell>
          <cell r="H510" t="str">
            <v>FLOUR BAKER 
HARD WHT UNBLCH BULK</v>
          </cell>
          <cell r="I510">
            <v>7.75</v>
          </cell>
        </row>
        <row r="511">
          <cell r="A511">
            <v>78532</v>
          </cell>
          <cell r="B511" t="str">
            <v>Red Baron 5" Bacon Scramble IW</v>
          </cell>
          <cell r="C511">
            <v>8.0399999999999991</v>
          </cell>
          <cell r="D511">
            <v>24</v>
          </cell>
          <cell r="E511">
            <v>5.36</v>
          </cell>
          <cell r="F511" t="str">
            <v>B286</v>
          </cell>
          <cell r="G511">
            <v>100418</v>
          </cell>
          <cell r="H511" t="str">
            <v>FLOUR BAKER 
HARD WHT UNBLCH BULK</v>
          </cell>
          <cell r="I511">
            <v>2.1800000000000002</v>
          </cell>
        </row>
        <row r="512">
          <cell r="A512">
            <v>78533</v>
          </cell>
          <cell r="B512" t="str">
            <v>Big Daddy's 16" Harvest Pepperoni Pizza</v>
          </cell>
          <cell r="C512">
            <v>24.93</v>
          </cell>
          <cell r="D512">
            <v>72</v>
          </cell>
          <cell r="E512">
            <v>5.54</v>
          </cell>
          <cell r="F512" t="str">
            <v>B286</v>
          </cell>
          <cell r="G512">
            <v>100418</v>
          </cell>
          <cell r="H512" t="str">
            <v>FLOUR BAKER 
HARD WHT UNBLCH BULK</v>
          </cell>
          <cell r="I512">
            <v>7.75</v>
          </cell>
        </row>
        <row r="513">
          <cell r="A513">
            <v>78542</v>
          </cell>
          <cell r="B513" t="str">
            <v>Galaxy Smart Pizza Cheese
Mozz/Sub Mozz 50/50 BULK</v>
          </cell>
          <cell r="C513">
            <v>20.52</v>
          </cell>
          <cell r="D513">
            <v>72</v>
          </cell>
          <cell r="E513">
            <v>4.5599999999999996</v>
          </cell>
          <cell r="F513" t="str">
            <v>B286</v>
          </cell>
          <cell r="G513">
            <v>100418</v>
          </cell>
          <cell r="H513" t="str">
            <v>FLOUR BAKER 
HARD WHT UNBLCH BULK</v>
          </cell>
          <cell r="I513">
            <v>4.7</v>
          </cell>
        </row>
        <row r="514">
          <cell r="A514">
            <v>78543</v>
          </cell>
          <cell r="B514" t="str">
            <v>Galaxy Smart Pizza Cheese
 Mozz/Sub Mozz 50/50 IW</v>
          </cell>
          <cell r="C514">
            <v>20.52</v>
          </cell>
          <cell r="D514">
            <v>72</v>
          </cell>
          <cell r="E514">
            <v>4.5599999999999996</v>
          </cell>
          <cell r="F514" t="str">
            <v>B286</v>
          </cell>
          <cell r="G514">
            <v>100418</v>
          </cell>
          <cell r="H514" t="str">
            <v>FLOUR BAKER 
HARD WHT UNBLCH BULK</v>
          </cell>
          <cell r="I514">
            <v>4.7</v>
          </cell>
        </row>
        <row r="515">
          <cell r="A515">
            <v>78544</v>
          </cell>
          <cell r="B515" t="str">
            <v>Galaxy Smart Piz Red Fat Pepp
50/50 BULK</v>
          </cell>
          <cell r="C515">
            <v>20.92</v>
          </cell>
          <cell r="D515">
            <v>72</v>
          </cell>
          <cell r="E515">
            <v>4.6500000000000004</v>
          </cell>
          <cell r="F515" t="str">
            <v>B286</v>
          </cell>
          <cell r="G515">
            <v>100418</v>
          </cell>
          <cell r="H515" t="str">
            <v>FLOUR BAKER 
HARD WHT UNBLCH BULK</v>
          </cell>
          <cell r="I515">
            <v>4.7</v>
          </cell>
        </row>
        <row r="516">
          <cell r="A516">
            <v>78545</v>
          </cell>
          <cell r="B516" t="str">
            <v>Galaxy Smart Piz Red Fat Pepp 
50/50 IW</v>
          </cell>
          <cell r="C516">
            <v>20.92</v>
          </cell>
          <cell r="D516">
            <v>72</v>
          </cell>
          <cell r="E516">
            <v>4.6500000000000004</v>
          </cell>
          <cell r="F516" t="str">
            <v>B286</v>
          </cell>
          <cell r="G516">
            <v>100418</v>
          </cell>
          <cell r="H516" t="str">
            <v>FLOUR BAKER 
HARD WHT UNBLCH BULK</v>
          </cell>
          <cell r="I516">
            <v>4.7</v>
          </cell>
        </row>
        <row r="517">
          <cell r="A517">
            <v>78571</v>
          </cell>
          <cell r="B517" t="str">
            <v>4x6 Pepperoni Pizza Wrapped</v>
          </cell>
          <cell r="C517">
            <v>6.84</v>
          </cell>
          <cell r="D517">
            <v>24</v>
          </cell>
          <cell r="E517">
            <v>4.5599999999999996</v>
          </cell>
          <cell r="F517" t="str">
            <v>B286</v>
          </cell>
          <cell r="G517">
            <v>100418</v>
          </cell>
          <cell r="H517" t="str">
            <v>FLOUR BAKER 
HARD WHT UNBLCH BULK</v>
          </cell>
          <cell r="I517">
            <v>3.28</v>
          </cell>
        </row>
        <row r="518">
          <cell r="A518">
            <v>78584</v>
          </cell>
          <cell r="B518" t="str">
            <v>5 inch DD Cheese Pizza</v>
          </cell>
          <cell r="C518">
            <v>21.94</v>
          </cell>
          <cell r="D518">
            <v>60</v>
          </cell>
          <cell r="E518">
            <v>5.85</v>
          </cell>
          <cell r="F518" t="str">
            <v>B286</v>
          </cell>
          <cell r="G518">
            <v>100418</v>
          </cell>
          <cell r="H518" t="str">
            <v>FLOUR BAKER 
HARD WHT UNBLCH BULK</v>
          </cell>
          <cell r="I518">
            <v>5.95</v>
          </cell>
        </row>
        <row r="519">
          <cell r="A519">
            <v>78585</v>
          </cell>
          <cell r="B519" t="str">
            <v>5" Cheese Pizza w/Pepperoni</v>
          </cell>
          <cell r="C519">
            <v>22.13</v>
          </cell>
          <cell r="D519">
            <v>60</v>
          </cell>
          <cell r="E519">
            <v>5.9</v>
          </cell>
          <cell r="F519" t="str">
            <v>B286</v>
          </cell>
          <cell r="G519">
            <v>100418</v>
          </cell>
          <cell r="H519" t="str">
            <v>FLOUR BAKER 
HARD WHT UNBLCH BULK</v>
          </cell>
          <cell r="I519">
            <v>6.71</v>
          </cell>
        </row>
        <row r="520">
          <cell r="A520">
            <v>78589</v>
          </cell>
          <cell r="B520" t="str">
            <v>Tony's 5" Lite DD Pepp Pizza</v>
          </cell>
          <cell r="C520">
            <v>19.649999999999999</v>
          </cell>
          <cell r="D520">
            <v>60</v>
          </cell>
          <cell r="E520">
            <v>5.24</v>
          </cell>
          <cell r="F520" t="str">
            <v>B286</v>
          </cell>
          <cell r="G520">
            <v>100418</v>
          </cell>
          <cell r="H520" t="str">
            <v>FLOUR BAKER 
HARD WHT UNBLCH BULK</v>
          </cell>
          <cell r="I520">
            <v>5.49</v>
          </cell>
        </row>
        <row r="521">
          <cell r="A521">
            <v>78598</v>
          </cell>
          <cell r="B521" t="str">
            <v>11" Pepperoni Slice</v>
          </cell>
          <cell r="C521">
            <v>19.8</v>
          </cell>
          <cell r="D521">
            <v>48</v>
          </cell>
          <cell r="E521">
            <v>6.6</v>
          </cell>
          <cell r="F521" t="str">
            <v>B286</v>
          </cell>
          <cell r="G521">
            <v>100418</v>
          </cell>
          <cell r="H521" t="str">
            <v>FLOUR BAKER 
HARD WHT UNBLCH BULK</v>
          </cell>
          <cell r="I521">
            <v>4.67</v>
          </cell>
        </row>
        <row r="522">
          <cell r="A522">
            <v>78622</v>
          </cell>
          <cell r="B522" t="str">
            <v>6" French Bread Pizza  Cheese</v>
          </cell>
          <cell r="C522">
            <v>19.39</v>
          </cell>
          <cell r="D522">
            <v>60</v>
          </cell>
          <cell r="E522">
            <v>5.17</v>
          </cell>
          <cell r="F522" t="str">
            <v>B286</v>
          </cell>
          <cell r="G522">
            <v>100418</v>
          </cell>
          <cell r="H522" t="str">
            <v>FLOUR BAKER 
HARD WHT UNBLCH BULK</v>
          </cell>
          <cell r="I522">
            <v>3.48</v>
          </cell>
        </row>
        <row r="523">
          <cell r="A523">
            <v>78623</v>
          </cell>
          <cell r="B523" t="str">
            <v>6" French Bread Pizza  Pepperoni</v>
          </cell>
          <cell r="C523">
            <v>19.2</v>
          </cell>
          <cell r="D523">
            <v>60</v>
          </cell>
          <cell r="E523">
            <v>5.12</v>
          </cell>
          <cell r="F523" t="str">
            <v>B286</v>
          </cell>
          <cell r="G523">
            <v>100418</v>
          </cell>
          <cell r="H523" t="str">
            <v>FLOUR BAKER 
HARD WHT UNBLCH BULK</v>
          </cell>
          <cell r="I523">
            <v>3.48</v>
          </cell>
        </row>
        <row r="524">
          <cell r="A524">
            <v>78624</v>
          </cell>
          <cell r="B524" t="str">
            <v>6" French Bread Pizza   Cheesy Garlic</v>
          </cell>
          <cell r="C524">
            <v>16.760000000000002</v>
          </cell>
          <cell r="D524">
            <v>60</v>
          </cell>
          <cell r="E524">
            <v>4.47</v>
          </cell>
          <cell r="F524" t="str">
            <v>B286</v>
          </cell>
          <cell r="G524">
            <v>100418</v>
          </cell>
          <cell r="H524" t="str">
            <v>FLOUR BAKER 
HARD WHT UNBLCH BULK</v>
          </cell>
          <cell r="I524">
            <v>3.48</v>
          </cell>
        </row>
        <row r="525">
          <cell r="A525">
            <v>78626</v>
          </cell>
          <cell r="B525" t="str">
            <v>6" French Bread Pepperoni Pizza IW</v>
          </cell>
          <cell r="C525">
            <v>19.88</v>
          </cell>
          <cell r="D525">
            <v>60</v>
          </cell>
          <cell r="E525">
            <v>5.3</v>
          </cell>
          <cell r="F525" t="str">
            <v>B286</v>
          </cell>
          <cell r="G525">
            <v>100418</v>
          </cell>
          <cell r="H525" t="str">
            <v>FLOUR BAKER 
HARD WHT UNBLCH BULK</v>
          </cell>
          <cell r="I525">
            <v>5.09</v>
          </cell>
        </row>
        <row r="526">
          <cell r="A526">
            <v>78642</v>
          </cell>
          <cell r="B526" t="str">
            <v>5" Pepp DD Pizza</v>
          </cell>
          <cell r="C526">
            <v>21.41</v>
          </cell>
          <cell r="D526">
            <v>60</v>
          </cell>
          <cell r="E526">
            <v>5.71</v>
          </cell>
          <cell r="F526" t="str">
            <v>B286</v>
          </cell>
          <cell r="G526">
            <v>100418</v>
          </cell>
          <cell r="H526" t="str">
            <v>FLOUR BAKER 
HARD WHT UNBLCH BULK</v>
          </cell>
          <cell r="I526">
            <v>6.84</v>
          </cell>
        </row>
        <row r="527">
          <cell r="A527">
            <v>78660</v>
          </cell>
          <cell r="B527" t="str">
            <v>Whole Grain 5" Deep Dish 100% Cheese IW</v>
          </cell>
          <cell r="C527">
            <v>22.13</v>
          </cell>
          <cell r="D527">
            <v>60</v>
          </cell>
          <cell r="E527">
            <v>5.9</v>
          </cell>
          <cell r="F527" t="str">
            <v>B286</v>
          </cell>
          <cell r="G527">
            <v>100418</v>
          </cell>
          <cell r="H527" t="str">
            <v>FLOUR BAKER 
HARD WHT UNBLCH BULK</v>
          </cell>
          <cell r="I527">
            <v>3.44</v>
          </cell>
        </row>
        <row r="528">
          <cell r="A528">
            <v>78661</v>
          </cell>
          <cell r="B528" t="str">
            <v>Whole Grain 5" Deep Dish Cheese IW</v>
          </cell>
          <cell r="C528">
            <v>22.13</v>
          </cell>
          <cell r="D528">
            <v>60</v>
          </cell>
          <cell r="E528">
            <v>5.9</v>
          </cell>
          <cell r="F528" t="str">
            <v>B286</v>
          </cell>
          <cell r="G528">
            <v>100418</v>
          </cell>
          <cell r="H528" t="str">
            <v>FLOUR BAKER 
HARD WHT UNBLCH BULK</v>
          </cell>
          <cell r="I528">
            <v>3.44</v>
          </cell>
        </row>
        <row r="529">
          <cell r="A529">
            <v>78668</v>
          </cell>
          <cell r="B529" t="str">
            <v>Tony's Smart Pizza 3.2x5 100% Cheese</v>
          </cell>
          <cell r="C529">
            <v>30</v>
          </cell>
          <cell r="D529">
            <v>100</v>
          </cell>
          <cell r="E529">
            <v>4.8</v>
          </cell>
          <cell r="F529" t="str">
            <v>B286</v>
          </cell>
          <cell r="G529">
            <v>100418</v>
          </cell>
          <cell r="H529" t="str">
            <v>FLOUR BAKER 
HARD WHT UNBLCH BULK</v>
          </cell>
          <cell r="I529">
            <v>6.75</v>
          </cell>
        </row>
        <row r="530">
          <cell r="A530">
            <v>78669</v>
          </cell>
          <cell r="B530" t="str">
            <v>Tony's Smart Pizza 3.2x5 100% Pepp</v>
          </cell>
          <cell r="C530">
            <v>30</v>
          </cell>
          <cell r="D530">
            <v>100</v>
          </cell>
          <cell r="E530">
            <v>4.8</v>
          </cell>
          <cell r="F530" t="str">
            <v>B286</v>
          </cell>
          <cell r="G530">
            <v>100418</v>
          </cell>
          <cell r="H530" t="str">
            <v>FLOUR BAKER 
HARD WHT UNBLCH BULK</v>
          </cell>
          <cell r="I530">
            <v>3.26</v>
          </cell>
        </row>
        <row r="531">
          <cell r="A531">
            <v>78672</v>
          </cell>
          <cell r="B531" t="str">
            <v>4x6 Whole Grain 50/50 Sausage</v>
          </cell>
          <cell r="C531">
            <v>27.36</v>
          </cell>
          <cell r="D531">
            <v>96</v>
          </cell>
          <cell r="E531">
            <v>4.5599999999999996</v>
          </cell>
          <cell r="F531" t="str">
            <v>B286</v>
          </cell>
          <cell r="G531">
            <v>100418</v>
          </cell>
          <cell r="H531" t="str">
            <v>FLOUR BAKER 
HARD WHT UNBLCH BULK</v>
          </cell>
          <cell r="I531">
            <v>3.16</v>
          </cell>
        </row>
        <row r="532">
          <cell r="A532">
            <v>78673</v>
          </cell>
          <cell r="B532" t="str">
            <v>4x6 Whole Grain 50/50 Cheese</v>
          </cell>
          <cell r="C532">
            <v>27.6</v>
          </cell>
          <cell r="D532">
            <v>96</v>
          </cell>
          <cell r="E532">
            <v>4.5999999999999996</v>
          </cell>
          <cell r="F532" t="str">
            <v>B286</v>
          </cell>
          <cell r="G532">
            <v>100418</v>
          </cell>
          <cell r="H532" t="str">
            <v>FLOUR BAKER 
HARD WHT UNBLCH BULK</v>
          </cell>
          <cell r="I532">
            <v>6.3</v>
          </cell>
        </row>
        <row r="533">
          <cell r="A533">
            <v>78674</v>
          </cell>
          <cell r="B533" t="str">
            <v>4x6 Whole Grain 50/50 Pepp</v>
          </cell>
          <cell r="C533">
            <v>26.88</v>
          </cell>
          <cell r="D533">
            <v>96</v>
          </cell>
          <cell r="E533">
            <v>4.4800000000000004</v>
          </cell>
          <cell r="F533" t="str">
            <v>B286</v>
          </cell>
          <cell r="G533">
            <v>100418</v>
          </cell>
          <cell r="H533" t="str">
            <v>FLOUR BAKER 
HARD WHT UNBLCH BULK</v>
          </cell>
          <cell r="I533">
            <v>6.3</v>
          </cell>
        </row>
        <row r="534">
          <cell r="A534">
            <v>78675</v>
          </cell>
          <cell r="B534" t="str">
            <v>15" Bake to Rise Cheese Pizza</v>
          </cell>
          <cell r="C534">
            <v>30.68</v>
          </cell>
          <cell r="D534">
            <v>96</v>
          </cell>
          <cell r="E534">
            <v>5.1100000000000003</v>
          </cell>
          <cell r="F534" t="str">
            <v>B286</v>
          </cell>
          <cell r="G534">
            <v>100418</v>
          </cell>
          <cell r="H534" t="str">
            <v>FLOUR BAKER 
HARD WHT UNBLCH BULK</v>
          </cell>
          <cell r="I534">
            <v>11.61</v>
          </cell>
        </row>
        <row r="535">
          <cell r="A535">
            <v>78676</v>
          </cell>
          <cell r="B535" t="str">
            <v>15" Bake to Rise Pepp Pizza</v>
          </cell>
          <cell r="C535">
            <v>32.29</v>
          </cell>
          <cell r="D535">
            <v>96</v>
          </cell>
          <cell r="E535">
            <v>5.38</v>
          </cell>
          <cell r="F535" t="str">
            <v>B286</v>
          </cell>
          <cell r="G535">
            <v>100418</v>
          </cell>
          <cell r="H535" t="str">
            <v>FLOUR BAKER 
HARD WHT UNBLCH BULK</v>
          </cell>
          <cell r="I535">
            <v>11.61</v>
          </cell>
        </row>
        <row r="536">
          <cell r="A536">
            <v>78682</v>
          </cell>
          <cell r="B536" t="str">
            <v>Cheese Pizza Bagel (TR)</v>
          </cell>
          <cell r="C536">
            <v>18.3</v>
          </cell>
          <cell r="D536">
            <v>96</v>
          </cell>
          <cell r="E536">
            <v>3.05</v>
          </cell>
          <cell r="F536" t="str">
            <v>B286</v>
          </cell>
          <cell r="G536">
            <v>100418</v>
          </cell>
          <cell r="H536" t="str">
            <v>FLOUR BAKER 
HARD WHT UNBLCH BULK</v>
          </cell>
          <cell r="I536">
            <v>0</v>
          </cell>
        </row>
        <row r="537">
          <cell r="A537">
            <v>78684</v>
          </cell>
          <cell r="B537" t="str">
            <v>5" Deep Dish Whole Grain Cheese 50/50</v>
          </cell>
          <cell r="C537">
            <v>22.13</v>
          </cell>
          <cell r="D537">
            <v>60</v>
          </cell>
          <cell r="E537">
            <v>5.9</v>
          </cell>
          <cell r="F537" t="str">
            <v>B286</v>
          </cell>
          <cell r="G537">
            <v>100418</v>
          </cell>
          <cell r="H537" t="str">
            <v>FLOUR BAKER 
HARD WHT UNBLCH BULK</v>
          </cell>
          <cell r="I537">
            <v>3.44</v>
          </cell>
        </row>
        <row r="538">
          <cell r="A538">
            <v>78688</v>
          </cell>
          <cell r="B538" t="str">
            <v>Whole Grain 5" DD Cheese IW</v>
          </cell>
          <cell r="C538">
            <v>20.59</v>
          </cell>
          <cell r="D538">
            <v>60</v>
          </cell>
          <cell r="E538">
            <v>5.49</v>
          </cell>
          <cell r="F538" t="str">
            <v>B286</v>
          </cell>
          <cell r="G538">
            <v>100418</v>
          </cell>
          <cell r="H538" t="str">
            <v>FLOUR BAKER 
HARD WHT UNBLCH BULK</v>
          </cell>
          <cell r="I538">
            <v>2.64</v>
          </cell>
        </row>
        <row r="539">
          <cell r="A539">
            <v>78689</v>
          </cell>
          <cell r="B539" t="str">
            <v>Whole Grain 5" DD Pepperoni IW</v>
          </cell>
          <cell r="C539">
            <v>20.59</v>
          </cell>
          <cell r="D539">
            <v>60</v>
          </cell>
          <cell r="E539">
            <v>5.49</v>
          </cell>
          <cell r="F539" t="str">
            <v>B286</v>
          </cell>
          <cell r="G539">
            <v>100418</v>
          </cell>
          <cell r="H539" t="str">
            <v>FLOUR BAKER 
HARD WHT UNBLCH BULK</v>
          </cell>
          <cell r="I539">
            <v>2.64</v>
          </cell>
        </row>
        <row r="540">
          <cell r="A540">
            <v>78697</v>
          </cell>
          <cell r="B540" t="str">
            <v>4x6 Pizza with Whole
Grain Cheese 100% Mozz</v>
          </cell>
          <cell r="C540">
            <v>27</v>
          </cell>
          <cell r="D540">
            <v>96</v>
          </cell>
          <cell r="E540">
            <v>4.5</v>
          </cell>
          <cell r="F540" t="str">
            <v>B286</v>
          </cell>
          <cell r="G540">
            <v>100418</v>
          </cell>
          <cell r="H540" t="str">
            <v>FLOUR BAKER 
HARD WHT UNBLCH BULK</v>
          </cell>
          <cell r="I540">
            <v>6.3</v>
          </cell>
        </row>
        <row r="541">
          <cell r="A541">
            <v>78698</v>
          </cell>
          <cell r="B541" t="str">
            <v>4x6 with Whole
Grain Pepp 100% Mozz</v>
          </cell>
          <cell r="C541">
            <v>26.88</v>
          </cell>
          <cell r="D541">
            <v>96</v>
          </cell>
          <cell r="E541">
            <v>4.4800000000000004</v>
          </cell>
          <cell r="F541" t="str">
            <v>B286</v>
          </cell>
          <cell r="G541">
            <v>100418</v>
          </cell>
          <cell r="H541" t="str">
            <v>FLOUR BAKER 
HARD WHT UNBLCH BULK</v>
          </cell>
          <cell r="I541">
            <v>6.3</v>
          </cell>
        </row>
        <row r="542">
          <cell r="A542">
            <v>78699</v>
          </cell>
          <cell r="B542" t="str">
            <v>4x6 with Whole
Grain Sausage 100% Mozz</v>
          </cell>
          <cell r="C542">
            <v>27.36</v>
          </cell>
          <cell r="D542">
            <v>96</v>
          </cell>
          <cell r="E542">
            <v>4.5599999999999996</v>
          </cell>
          <cell r="F542" t="str">
            <v>B286</v>
          </cell>
          <cell r="G542">
            <v>100418</v>
          </cell>
          <cell r="H542" t="str">
            <v>FLOUR BAKER 
HARD WHT UNBLCH BULK</v>
          </cell>
          <cell r="I542">
            <v>3.16</v>
          </cell>
        </row>
        <row r="543">
          <cell r="A543">
            <v>78708</v>
          </cell>
          <cell r="B543" t="str">
            <v>Cheese French Bread Pizza</v>
          </cell>
          <cell r="C543">
            <v>25.35</v>
          </cell>
          <cell r="D543">
            <v>72</v>
          </cell>
          <cell r="E543">
            <v>5.63</v>
          </cell>
          <cell r="F543" t="str">
            <v>B286</v>
          </cell>
          <cell r="G543">
            <v>100418</v>
          </cell>
          <cell r="H543" t="str">
            <v>FLOUR BAKER 
HARD WHT UNBLCH BULK</v>
          </cell>
          <cell r="I543">
            <v>5.75</v>
          </cell>
        </row>
        <row r="544">
          <cell r="A544">
            <v>78709</v>
          </cell>
          <cell r="B544" t="str">
            <v>5" Pizza with Turkey Pepp</v>
          </cell>
          <cell r="C544">
            <v>19.05</v>
          </cell>
          <cell r="D544">
            <v>60</v>
          </cell>
          <cell r="E544">
            <v>5.08</v>
          </cell>
          <cell r="F544" t="str">
            <v>B286</v>
          </cell>
          <cell r="G544">
            <v>100418</v>
          </cell>
          <cell r="H544" t="str">
            <v>FLOUR BAKER 
HARD WHT UNBLCH BULK</v>
          </cell>
          <cell r="I544">
            <v>5.16</v>
          </cell>
        </row>
        <row r="545">
          <cell r="A545">
            <v>78710</v>
          </cell>
          <cell r="B545" t="str">
            <v>Tony's Turkey Sausage Breakfast Bagel 50/50 IW</v>
          </cell>
          <cell r="C545">
            <v>15.6</v>
          </cell>
          <cell r="D545">
            <v>96</v>
          </cell>
          <cell r="E545">
            <v>2.6</v>
          </cell>
          <cell r="F545" t="str">
            <v>B286</v>
          </cell>
          <cell r="G545">
            <v>100418</v>
          </cell>
          <cell r="H545" t="str">
            <v>FLOUR BAKER 
HARD WHT UNBLCH BULK</v>
          </cell>
          <cell r="I545">
            <v>0</v>
          </cell>
        </row>
        <row r="546">
          <cell r="A546">
            <v>78734</v>
          </cell>
          <cell r="B546" t="str">
            <v>4x6 Pepperoni Pizza (TR)</v>
          </cell>
          <cell r="C546">
            <v>30</v>
          </cell>
          <cell r="D546">
            <v>96</v>
          </cell>
          <cell r="E546">
            <v>5</v>
          </cell>
          <cell r="F546" t="str">
            <v>B286</v>
          </cell>
          <cell r="G546">
            <v>100418</v>
          </cell>
          <cell r="H546" t="str">
            <v>FLOUR BAKER 
HARD WHT UNBLCH BULK</v>
          </cell>
          <cell r="I546">
            <v>0</v>
          </cell>
        </row>
        <row r="547">
          <cell r="A547">
            <v>78770</v>
          </cell>
          <cell r="B547" t="str">
            <v>Breakfast Bagel Sausage (Turkey)</v>
          </cell>
          <cell r="C547">
            <v>15.6</v>
          </cell>
          <cell r="D547">
            <v>96</v>
          </cell>
          <cell r="E547">
            <v>2.6</v>
          </cell>
          <cell r="F547" t="str">
            <v>B286</v>
          </cell>
          <cell r="G547">
            <v>100418</v>
          </cell>
          <cell r="H547" t="str">
            <v>FLOUR BAKER 
HARD WHT UNBLCH BULK</v>
          </cell>
          <cell r="I547">
            <v>0</v>
          </cell>
        </row>
        <row r="548">
          <cell r="A548">
            <v>78771</v>
          </cell>
          <cell r="B548" t="str">
            <v>Tony's Whole Grain 4x6 Sausage 100%</v>
          </cell>
          <cell r="C548">
            <v>28.14</v>
          </cell>
          <cell r="D548">
            <v>96</v>
          </cell>
          <cell r="E548">
            <v>4.6900000000000004</v>
          </cell>
          <cell r="F548" t="str">
            <v>B286</v>
          </cell>
          <cell r="G548">
            <v>100418</v>
          </cell>
          <cell r="H548" t="str">
            <v>FLOUR BAKER 
HARD WHT UNBLCH BULK</v>
          </cell>
          <cell r="I548">
            <v>6.3</v>
          </cell>
        </row>
        <row r="549">
          <cell r="A549">
            <v>78783</v>
          </cell>
          <cell r="B549" t="str">
            <v>4x6 Cheese Stuffed Crust 
Cheese/Sub Cheese</v>
          </cell>
          <cell r="C549">
            <v>26.95</v>
          </cell>
          <cell r="D549">
            <v>80</v>
          </cell>
          <cell r="E549">
            <v>5.39</v>
          </cell>
          <cell r="F549" t="str">
            <v>B286</v>
          </cell>
          <cell r="G549">
            <v>100418</v>
          </cell>
          <cell r="H549" t="str">
            <v>FLOUR BAKER 
HARD WHT UNBLCH BULK</v>
          </cell>
          <cell r="I549">
            <v>7.01</v>
          </cell>
        </row>
        <row r="550">
          <cell r="A550">
            <v>78784</v>
          </cell>
          <cell r="B550" t="str">
            <v>4x6 Cheese Stuffed Crust Pepp</v>
          </cell>
          <cell r="C550">
            <v>26.45</v>
          </cell>
          <cell r="D550">
            <v>80</v>
          </cell>
          <cell r="E550">
            <v>5.29</v>
          </cell>
          <cell r="F550" t="str">
            <v>B286</v>
          </cell>
          <cell r="G550">
            <v>100418</v>
          </cell>
          <cell r="H550" t="str">
            <v>FLOUR BAKER 
HARD WHT UNBLCH BULK</v>
          </cell>
          <cell r="I550">
            <v>7.01</v>
          </cell>
        </row>
        <row r="551">
          <cell r="A551">
            <v>78794</v>
          </cell>
          <cell r="B551" t="str">
            <v>7" Cheese Stuffed Wedge Crust 
Cheese/Sub Cheese</v>
          </cell>
          <cell r="C551">
            <v>26.01</v>
          </cell>
          <cell r="D551">
            <v>72</v>
          </cell>
          <cell r="E551">
            <v>5.78</v>
          </cell>
          <cell r="F551" t="str">
            <v>B286</v>
          </cell>
          <cell r="G551">
            <v>100418</v>
          </cell>
          <cell r="H551" t="str">
            <v>FLOUR BAKER 
HARD WHT UNBLCH BULK</v>
          </cell>
          <cell r="I551">
            <v>7.39</v>
          </cell>
        </row>
        <row r="552">
          <cell r="A552">
            <v>78795</v>
          </cell>
          <cell r="B552" t="str">
            <v>7" Cheese Stuffed Wedge Crust Pepp</v>
          </cell>
          <cell r="C552">
            <v>26.9</v>
          </cell>
          <cell r="D552">
            <v>72</v>
          </cell>
          <cell r="E552">
            <v>5.98</v>
          </cell>
          <cell r="F552" t="str">
            <v>B286</v>
          </cell>
          <cell r="G552">
            <v>100418</v>
          </cell>
          <cell r="H552" t="str">
            <v>FLOUR BAKER 
HARD WHT UNBLCH BULK</v>
          </cell>
          <cell r="I552">
            <v>7.39</v>
          </cell>
        </row>
        <row r="553">
          <cell r="A553">
            <v>78803</v>
          </cell>
          <cell r="B553" t="str">
            <v>Tony's 5" Cheese Crispy Crust Pizza</v>
          </cell>
          <cell r="C553">
            <v>22.65</v>
          </cell>
          <cell r="D553">
            <v>80</v>
          </cell>
          <cell r="E553">
            <v>4.53</v>
          </cell>
          <cell r="F553" t="str">
            <v>B286</v>
          </cell>
          <cell r="G553">
            <v>100418</v>
          </cell>
          <cell r="H553" t="str">
            <v>FLOUR BAKER 
HARD WHT UNBLCH BULK</v>
          </cell>
          <cell r="I553">
            <v>5.51</v>
          </cell>
        </row>
        <row r="554">
          <cell r="A554">
            <v>78804</v>
          </cell>
          <cell r="B554" t="str">
            <v>Tony's 5" Pepp Crispy Crust Pizza</v>
          </cell>
          <cell r="C554">
            <v>22.6</v>
          </cell>
          <cell r="D554">
            <v>80</v>
          </cell>
          <cell r="E554">
            <v>4.5199999999999996</v>
          </cell>
          <cell r="F554" t="str">
            <v>B286</v>
          </cell>
          <cell r="G554">
            <v>100418</v>
          </cell>
          <cell r="H554" t="str">
            <v>FLOUR BAKER 
HARD WHT UNBLCH BULK</v>
          </cell>
          <cell r="I554">
            <v>5.51</v>
          </cell>
        </row>
        <row r="555">
          <cell r="A555">
            <v>78817</v>
          </cell>
          <cell r="B555" t="str">
            <v>4x6 Cheese Pizza IW 100% Mozz</v>
          </cell>
          <cell r="C555">
            <v>21.6</v>
          </cell>
          <cell r="D555">
            <v>72</v>
          </cell>
          <cell r="E555">
            <v>4.8</v>
          </cell>
          <cell r="F555" t="str">
            <v>B286</v>
          </cell>
          <cell r="G555">
            <v>100418</v>
          </cell>
          <cell r="H555" t="str">
            <v>FLOUR BAKER 
HARD WHT UNBLCH BULK</v>
          </cell>
          <cell r="I555">
            <v>5.59</v>
          </cell>
        </row>
        <row r="556">
          <cell r="A556">
            <v>78818</v>
          </cell>
          <cell r="B556" t="str">
            <v>4x6 Pepp Pizza IW 100% Mozz</v>
          </cell>
          <cell r="C556">
            <v>21.69</v>
          </cell>
          <cell r="D556">
            <v>72</v>
          </cell>
          <cell r="E556">
            <v>4.82</v>
          </cell>
          <cell r="F556" t="str">
            <v>B286</v>
          </cell>
          <cell r="G556">
            <v>100418</v>
          </cell>
          <cell r="H556" t="str">
            <v>FLOUR BAKER 
HARD WHT UNBLCH BULK</v>
          </cell>
          <cell r="I556">
            <v>7.45</v>
          </cell>
        </row>
        <row r="557">
          <cell r="A557">
            <v>78822</v>
          </cell>
          <cell r="B557" t="str">
            <v>Smart French Bread Sausage</v>
          </cell>
          <cell r="C557">
            <v>19.87</v>
          </cell>
          <cell r="D557">
            <v>60</v>
          </cell>
          <cell r="E557">
            <v>5.3</v>
          </cell>
          <cell r="F557" t="str">
            <v>B286</v>
          </cell>
          <cell r="G557">
            <v>100418</v>
          </cell>
          <cell r="H557" t="str">
            <v>FLOUR BAKER 
HARD WHT UNBLCH BULK</v>
          </cell>
          <cell r="I557">
            <v>2.2200000000000002</v>
          </cell>
        </row>
        <row r="558">
          <cell r="A558">
            <v>78862</v>
          </cell>
          <cell r="B558" t="str">
            <v>School Lunch Pepp Pizza Super Wedge</v>
          </cell>
          <cell r="C558">
            <v>28.8</v>
          </cell>
          <cell r="D558">
            <v>72</v>
          </cell>
          <cell r="E558">
            <v>6.4</v>
          </cell>
          <cell r="F558" t="str">
            <v>B286</v>
          </cell>
          <cell r="G558">
            <v>100418</v>
          </cell>
          <cell r="H558" t="str">
            <v>FLOUR BAKER 
HARD WHT UNBLCH BULK</v>
          </cell>
          <cell r="I558">
            <v>9.81</v>
          </cell>
        </row>
        <row r="559">
          <cell r="A559">
            <v>78868</v>
          </cell>
          <cell r="B559" t="str">
            <v>School Lunch 3 3/4" Cheese Bagel Piz</v>
          </cell>
          <cell r="C559">
            <v>16.2</v>
          </cell>
          <cell r="D559">
            <v>96</v>
          </cell>
          <cell r="E559">
            <v>2.7</v>
          </cell>
          <cell r="F559" t="str">
            <v>B286</v>
          </cell>
          <cell r="G559">
            <v>100418</v>
          </cell>
          <cell r="H559" t="str">
            <v>FLOUR BAKER 
HARD WHT UNBLCH BULK</v>
          </cell>
          <cell r="I559">
            <v>9.82</v>
          </cell>
        </row>
        <row r="560">
          <cell r="A560">
            <v>78869</v>
          </cell>
          <cell r="B560" t="str">
            <v>School Lunch 3.2x5 Bkfst Saus Crumble Piz</v>
          </cell>
          <cell r="C560">
            <v>19.13</v>
          </cell>
          <cell r="D560">
            <v>100</v>
          </cell>
          <cell r="E560">
            <v>3.06</v>
          </cell>
          <cell r="F560" t="str">
            <v>B286</v>
          </cell>
          <cell r="G560">
            <v>100418</v>
          </cell>
          <cell r="H560" t="str">
            <v>FLOUR BAKER 
HARD WHT UNBLCH BULK</v>
          </cell>
          <cell r="I560">
            <v>6.81</v>
          </cell>
        </row>
        <row r="561">
          <cell r="A561">
            <v>78870</v>
          </cell>
          <cell r="B561" t="str">
            <v>School Lunch Rounded Wedge Pepp</v>
          </cell>
          <cell r="C561">
            <v>28.8</v>
          </cell>
          <cell r="D561">
            <v>72</v>
          </cell>
          <cell r="E561">
            <v>6.4</v>
          </cell>
          <cell r="F561" t="str">
            <v>B286</v>
          </cell>
          <cell r="G561">
            <v>100418</v>
          </cell>
          <cell r="H561" t="str">
            <v>FLOUR BAKER 
HARD WHT UNBLCH BULK</v>
          </cell>
          <cell r="I561">
            <v>9.82</v>
          </cell>
        </row>
        <row r="562">
          <cell r="A562">
            <v>78906</v>
          </cell>
          <cell r="B562" t="str">
            <v>Classic Wedge with Whole Grain
50/50 Cheese</v>
          </cell>
          <cell r="C562">
            <v>24</v>
          </cell>
          <cell r="D562">
            <v>80</v>
          </cell>
          <cell r="E562">
            <v>4.8</v>
          </cell>
          <cell r="F562" t="str">
            <v>B286</v>
          </cell>
          <cell r="G562">
            <v>100418</v>
          </cell>
          <cell r="H562" t="str">
            <v>FLOUR BAKER 
HARD WHT UNBLCH BULK</v>
          </cell>
          <cell r="I562">
            <v>6.3</v>
          </cell>
        </row>
        <row r="563">
          <cell r="A563">
            <v>78907</v>
          </cell>
          <cell r="B563" t="str">
            <v>Classic Wedge with Whole Grain
 Pepp 50/50</v>
          </cell>
          <cell r="C563">
            <v>23.4</v>
          </cell>
          <cell r="D563">
            <v>80</v>
          </cell>
          <cell r="E563">
            <v>4.68</v>
          </cell>
          <cell r="F563" t="str">
            <v>B286</v>
          </cell>
          <cell r="G563">
            <v>100418</v>
          </cell>
          <cell r="H563" t="str">
            <v>FLOUR BAKER 
HARD WHT UNBLCH BULK</v>
          </cell>
          <cell r="I563">
            <v>6.3</v>
          </cell>
        </row>
        <row r="564">
          <cell r="A564">
            <v>78908</v>
          </cell>
          <cell r="B564" t="str">
            <v>Tony's Smart Wedge Sausage</v>
          </cell>
          <cell r="C564">
            <v>23.8</v>
          </cell>
          <cell r="D564">
            <v>80</v>
          </cell>
          <cell r="E564">
            <v>4.76</v>
          </cell>
          <cell r="F564" t="str">
            <v>B286</v>
          </cell>
          <cell r="G564">
            <v>100418</v>
          </cell>
          <cell r="H564" t="str">
            <v>FLOUR BAKER 
HARD WHT UNBLCH BULK</v>
          </cell>
          <cell r="I564">
            <v>5.59</v>
          </cell>
        </row>
        <row r="565">
          <cell r="A565">
            <v>78909</v>
          </cell>
          <cell r="B565" t="str">
            <v>Classic Wedge with Whole Grain Cheese</v>
          </cell>
          <cell r="C565">
            <v>23.5</v>
          </cell>
          <cell r="D565">
            <v>80</v>
          </cell>
          <cell r="E565">
            <v>4.7</v>
          </cell>
          <cell r="F565" t="str">
            <v>B286</v>
          </cell>
          <cell r="G565">
            <v>100418</v>
          </cell>
          <cell r="H565" t="str">
            <v>FLOUR BAKER 
HARD WHT UNBLCH BULK</v>
          </cell>
          <cell r="I565">
            <v>6.3</v>
          </cell>
        </row>
        <row r="566">
          <cell r="A566">
            <v>78910</v>
          </cell>
          <cell r="B566" t="str">
            <v>Classic Wedge with Whole Grain Pepp</v>
          </cell>
          <cell r="C566">
            <v>23.4</v>
          </cell>
          <cell r="D566">
            <v>80</v>
          </cell>
          <cell r="E566">
            <v>4.68</v>
          </cell>
          <cell r="F566" t="str">
            <v>B286</v>
          </cell>
          <cell r="G566">
            <v>100418</v>
          </cell>
          <cell r="H566" t="str">
            <v>FLOUR BAKER 
HARD WHT UNBLCH BULK</v>
          </cell>
          <cell r="I566">
            <v>6.3</v>
          </cell>
        </row>
        <row r="567">
          <cell r="A567">
            <v>78913</v>
          </cell>
          <cell r="B567" t="str">
            <v>Freschetta Flatz  3 Meat Italian</v>
          </cell>
          <cell r="C567">
            <v>13.68</v>
          </cell>
          <cell r="D567">
            <v>48</v>
          </cell>
          <cell r="E567">
            <v>4.5599999999999996</v>
          </cell>
          <cell r="F567" t="str">
            <v>B286</v>
          </cell>
          <cell r="G567">
            <v>100418</v>
          </cell>
          <cell r="H567" t="str">
            <v>FLOUR BAKER 
HARD WHT UNBLCH BULK</v>
          </cell>
          <cell r="I567">
            <v>3.66</v>
          </cell>
        </row>
        <row r="568">
          <cell r="A568">
            <v>78914</v>
          </cell>
          <cell r="B568" t="str">
            <v>Freschetta Flatz  Buffalo Chicken</v>
          </cell>
          <cell r="C568">
            <v>13.65</v>
          </cell>
          <cell r="D568">
            <v>48</v>
          </cell>
          <cell r="E568">
            <v>4.55</v>
          </cell>
          <cell r="F568" t="str">
            <v>B286</v>
          </cell>
          <cell r="G568">
            <v>100418</v>
          </cell>
          <cell r="H568" t="str">
            <v>FLOUR BAKER 
HARD WHT UNBLCH BULK</v>
          </cell>
          <cell r="I568">
            <v>3.66</v>
          </cell>
        </row>
        <row r="569">
          <cell r="A569">
            <v>78917</v>
          </cell>
          <cell r="B569" t="str">
            <v>Big Daddy's 16" Harvest Rolled Edge Cheese</v>
          </cell>
          <cell r="C569">
            <v>25.88</v>
          </cell>
          <cell r="D569">
            <v>72</v>
          </cell>
          <cell r="E569">
            <v>5.75</v>
          </cell>
          <cell r="F569" t="str">
            <v>B286</v>
          </cell>
          <cell r="G569">
            <v>100418</v>
          </cell>
          <cell r="H569" t="str">
            <v>FLOUR BAKER 
HARD WHT UNBLCH BULK</v>
          </cell>
          <cell r="I569">
            <v>8.35</v>
          </cell>
        </row>
        <row r="570">
          <cell r="A570">
            <v>78918</v>
          </cell>
          <cell r="B570" t="str">
            <v>Big Daddy's 16" Harvest Rolled Edge Pepp</v>
          </cell>
          <cell r="C570">
            <v>25.88</v>
          </cell>
          <cell r="D570">
            <v>72</v>
          </cell>
          <cell r="E570">
            <v>5.75</v>
          </cell>
          <cell r="F570" t="str">
            <v>B286</v>
          </cell>
          <cell r="G570">
            <v>100418</v>
          </cell>
          <cell r="H570" t="str">
            <v>FLOUR BAKER 
HARD WHT UNBLCH BULK</v>
          </cell>
          <cell r="I570">
            <v>8.35</v>
          </cell>
        </row>
        <row r="571">
          <cell r="A571">
            <v>78922</v>
          </cell>
          <cell r="B571" t="str">
            <v>Big Daddy's Whole Grain Cheese Pizza</v>
          </cell>
          <cell r="C571">
            <v>26.72</v>
          </cell>
          <cell r="D571">
            <v>90</v>
          </cell>
          <cell r="E571">
            <v>4.75</v>
          </cell>
          <cell r="F571" t="str">
            <v>B286</v>
          </cell>
          <cell r="G571">
            <v>100418</v>
          </cell>
          <cell r="H571" t="str">
            <v>FLOUR BAKER 
HARD WHT UNBLCH BULK</v>
          </cell>
          <cell r="I571">
            <v>7.87</v>
          </cell>
        </row>
        <row r="572">
          <cell r="A572">
            <v>78926</v>
          </cell>
          <cell r="B572" t="str">
            <v>Big Daddy's Whole Grain Cheese Pizza</v>
          </cell>
          <cell r="C572">
            <v>24.65</v>
          </cell>
          <cell r="D572">
            <v>72</v>
          </cell>
          <cell r="E572">
            <v>5.48</v>
          </cell>
          <cell r="F572" t="str">
            <v>B286</v>
          </cell>
          <cell r="G572">
            <v>100418</v>
          </cell>
          <cell r="H572" t="str">
            <v>FLOUR BAKER 
HARD WHT UNBLCH BULK</v>
          </cell>
          <cell r="I572">
            <v>6.55</v>
          </cell>
        </row>
        <row r="573">
          <cell r="A573">
            <v>78927</v>
          </cell>
          <cell r="B573" t="str">
            <v>Big Daddy's Whole Grain Pepperoni Pizza</v>
          </cell>
          <cell r="C573">
            <v>24.7</v>
          </cell>
          <cell r="D573">
            <v>72</v>
          </cell>
          <cell r="E573">
            <v>5.49</v>
          </cell>
          <cell r="F573" t="str">
            <v>B286</v>
          </cell>
          <cell r="G573">
            <v>100418</v>
          </cell>
          <cell r="H573" t="str">
            <v>FLOUR BAKER 
HARD WHT UNBLCH BULK</v>
          </cell>
          <cell r="I573">
            <v>6.55</v>
          </cell>
        </row>
        <row r="574">
          <cell r="A574">
            <v>78939</v>
          </cell>
          <cell r="B574" t="str">
            <v>Sodexo 16" 51% WG Cheese Pizza</v>
          </cell>
          <cell r="C574">
            <v>26.44</v>
          </cell>
          <cell r="D574">
            <v>90</v>
          </cell>
          <cell r="E574">
            <v>4.7</v>
          </cell>
          <cell r="F574" t="str">
            <v>B286</v>
          </cell>
          <cell r="G574">
            <v>100418</v>
          </cell>
          <cell r="H574" t="str">
            <v>FLOUR BAKER 
HARD WHT UNBLCH BULK</v>
          </cell>
          <cell r="I574">
            <v>8.4</v>
          </cell>
        </row>
        <row r="575">
          <cell r="A575">
            <v>78942</v>
          </cell>
          <cell r="B575" t="str">
            <v>Big Daddy's 16" Harvest Rolled Edge Cheese</v>
          </cell>
          <cell r="C575">
            <v>25.88</v>
          </cell>
          <cell r="D575">
            <v>90</v>
          </cell>
          <cell r="E575">
            <v>4.5999999999999996</v>
          </cell>
          <cell r="F575" t="str">
            <v>B286</v>
          </cell>
          <cell r="G575">
            <v>100418</v>
          </cell>
          <cell r="H575" t="str">
            <v>FLOUR BAKER 
HARD WHT UNBLCH BULK</v>
          </cell>
          <cell r="I575">
            <v>8.35</v>
          </cell>
        </row>
        <row r="576">
          <cell r="A576">
            <v>78943</v>
          </cell>
          <cell r="B576" t="str">
            <v>Big Daddy's 16" Harvest Rolled Edge Pepp</v>
          </cell>
          <cell r="C576">
            <v>25.88</v>
          </cell>
          <cell r="D576">
            <v>90</v>
          </cell>
          <cell r="E576">
            <v>4.5999999999999996</v>
          </cell>
          <cell r="F576" t="str">
            <v>B286</v>
          </cell>
          <cell r="G576">
            <v>100418</v>
          </cell>
          <cell r="H576" t="str">
            <v>FLOUR BAKER 
HARD WHT UNBLCH BULK</v>
          </cell>
          <cell r="I576">
            <v>8.35</v>
          </cell>
        </row>
        <row r="577">
          <cell r="A577">
            <v>78944</v>
          </cell>
          <cell r="B577" t="str">
            <v>Big Daddy's 16" Harvest Rolled Edge Cheese</v>
          </cell>
          <cell r="C577">
            <v>25.88</v>
          </cell>
          <cell r="D577">
            <v>90</v>
          </cell>
          <cell r="E577">
            <v>4.5999999999999996</v>
          </cell>
          <cell r="F577" t="str">
            <v>B286</v>
          </cell>
          <cell r="G577">
            <v>100418</v>
          </cell>
          <cell r="H577" t="str">
            <v>FLOUR BAKER 
HARD WHT UNBLCH BULK</v>
          </cell>
          <cell r="I577">
            <v>8.35</v>
          </cell>
        </row>
        <row r="578">
          <cell r="A578">
            <v>78945</v>
          </cell>
          <cell r="B578" t="str">
            <v>Big Daddy's 16" Harvest Rolled Edge Pepp</v>
          </cell>
          <cell r="C578">
            <v>25.88</v>
          </cell>
          <cell r="D578">
            <v>90</v>
          </cell>
          <cell r="E578">
            <v>4.5999999999999996</v>
          </cell>
          <cell r="F578" t="str">
            <v>B286</v>
          </cell>
          <cell r="G578">
            <v>100418</v>
          </cell>
          <cell r="H578" t="str">
            <v>FLOUR BAKER 
HARD WHT UNBLCH BULK</v>
          </cell>
          <cell r="I578">
            <v>8.35</v>
          </cell>
        </row>
        <row r="579">
          <cell r="A579">
            <v>78948</v>
          </cell>
          <cell r="B579" t="str">
            <v>French Bread Pepp</v>
          </cell>
          <cell r="C579">
            <v>18.75</v>
          </cell>
          <cell r="D579">
            <v>60</v>
          </cell>
          <cell r="E579">
            <v>5</v>
          </cell>
          <cell r="F579" t="str">
            <v>B286</v>
          </cell>
          <cell r="G579">
            <v>100418</v>
          </cell>
          <cell r="H579" t="str">
            <v>FLOUR BAKER 
HARD WHT UNBLCH BULK</v>
          </cell>
          <cell r="I579">
            <v>5.37</v>
          </cell>
        </row>
        <row r="580">
          <cell r="A580">
            <v>78951</v>
          </cell>
          <cell r="B580" t="str">
            <v>Cheese Pizza Bagel I.W.</v>
          </cell>
          <cell r="C580">
            <v>28.61</v>
          </cell>
          <cell r="D580">
            <v>84</v>
          </cell>
          <cell r="E580">
            <v>5.45</v>
          </cell>
          <cell r="F580" t="str">
            <v>B286</v>
          </cell>
          <cell r="G580">
            <v>100418</v>
          </cell>
          <cell r="H580" t="str">
            <v>FLOUR BAKER 
HARD WHT UNBLCH BULK</v>
          </cell>
          <cell r="I580">
            <v>0.94</v>
          </cell>
        </row>
        <row r="581">
          <cell r="A581">
            <v>78952</v>
          </cell>
          <cell r="B581" t="str">
            <v>Cheese Pizza Bagel I.W.</v>
          </cell>
          <cell r="C581">
            <v>28.61</v>
          </cell>
          <cell r="D581">
            <v>84</v>
          </cell>
          <cell r="E581">
            <v>5.45</v>
          </cell>
          <cell r="F581" t="str">
            <v>B286</v>
          </cell>
          <cell r="G581">
            <v>100418</v>
          </cell>
          <cell r="H581" t="str">
            <v>FLOUR BAKER 
HARD WHT UNBLCH BULK</v>
          </cell>
          <cell r="I581">
            <v>0.94</v>
          </cell>
        </row>
        <row r="582">
          <cell r="A582">
            <v>78955</v>
          </cell>
          <cell r="B582" t="str">
            <v>French Bread Cheese Pizza</v>
          </cell>
          <cell r="C582">
            <v>18.75</v>
          </cell>
          <cell r="D582">
            <v>60</v>
          </cell>
          <cell r="E582">
            <v>5</v>
          </cell>
          <cell r="F582" t="str">
            <v>B286</v>
          </cell>
          <cell r="G582">
            <v>100418</v>
          </cell>
          <cell r="H582" t="str">
            <v>FLOUR BAKER 
HARD WHT UNBLCH BULK</v>
          </cell>
          <cell r="I582">
            <v>5.37</v>
          </cell>
        </row>
        <row r="583">
          <cell r="A583">
            <v>78956</v>
          </cell>
          <cell r="B583" t="str">
            <v>French Bread Cheese Pizza I.W.</v>
          </cell>
          <cell r="C583">
            <v>18.75</v>
          </cell>
          <cell r="D583">
            <v>60</v>
          </cell>
          <cell r="E583">
            <v>5</v>
          </cell>
          <cell r="F583" t="str">
            <v>B286</v>
          </cell>
          <cell r="G583">
            <v>100418</v>
          </cell>
          <cell r="H583" t="str">
            <v>FLOUR BAKER 
HARD WHT UNBLCH BULK</v>
          </cell>
          <cell r="I583">
            <v>5.37</v>
          </cell>
        </row>
        <row r="584">
          <cell r="A584">
            <v>78964</v>
          </cell>
          <cell r="B584" t="str">
            <v>Breakfast Sausage Crumble Pizza I.W.</v>
          </cell>
          <cell r="C584">
            <v>19.440000000000001</v>
          </cell>
          <cell r="D584">
            <v>100</v>
          </cell>
          <cell r="E584">
            <v>3.11</v>
          </cell>
          <cell r="F584" t="str">
            <v>B286</v>
          </cell>
          <cell r="G584">
            <v>100418</v>
          </cell>
          <cell r="H584" t="str">
            <v>FLOUR BAKER 
HARD WHT UNBLCH BULK</v>
          </cell>
          <cell r="I584">
            <v>6.95</v>
          </cell>
        </row>
        <row r="585">
          <cell r="A585">
            <v>78965</v>
          </cell>
          <cell r="B585" t="str">
            <v>Breakfast Sausage Crumble Pizza</v>
          </cell>
          <cell r="C585">
            <v>19.440000000000001</v>
          </cell>
          <cell r="D585">
            <v>100</v>
          </cell>
          <cell r="E585">
            <v>3.11</v>
          </cell>
          <cell r="F585" t="str">
            <v>B286</v>
          </cell>
          <cell r="G585">
            <v>100418</v>
          </cell>
          <cell r="H585" t="str">
            <v>FLOUR BAKER 
HARD WHT UNBLCH BULK</v>
          </cell>
          <cell r="I585">
            <v>6.95</v>
          </cell>
        </row>
        <row r="586">
          <cell r="A586">
            <v>78972</v>
          </cell>
          <cell r="B586" t="str">
            <v>Lunch Pepperoni Pizza Bagel</v>
          </cell>
          <cell r="C586">
            <v>28.61</v>
          </cell>
          <cell r="D586">
            <v>84</v>
          </cell>
          <cell r="E586">
            <v>5.45</v>
          </cell>
          <cell r="F586" t="str">
            <v>B286</v>
          </cell>
          <cell r="G586">
            <v>100418</v>
          </cell>
          <cell r="H586" t="str">
            <v>FLOUR BAKER 
HARD WHT UNBLCH BULK</v>
          </cell>
          <cell r="I586">
            <v>0.94</v>
          </cell>
        </row>
        <row r="587">
          <cell r="A587">
            <v>78973</v>
          </cell>
          <cell r="B587" t="str">
            <v>Lunch Pepperoni Pizza Bagel I.W.</v>
          </cell>
          <cell r="C587">
            <v>28.61</v>
          </cell>
          <cell r="D587">
            <v>84</v>
          </cell>
          <cell r="E587">
            <v>5.45</v>
          </cell>
          <cell r="F587" t="str">
            <v>B286</v>
          </cell>
          <cell r="G587">
            <v>100418</v>
          </cell>
          <cell r="H587" t="str">
            <v>FLOUR BAKER 
HARD WHT UNBLCH BULK</v>
          </cell>
          <cell r="I587">
            <v>0.94</v>
          </cell>
        </row>
        <row r="588">
          <cell r="A588">
            <v>78976</v>
          </cell>
          <cell r="B588" t="str">
            <v>School Lunch 3 3/4" Bkfst Bagel</v>
          </cell>
          <cell r="C588">
            <v>18.66</v>
          </cell>
          <cell r="D588">
            <v>96</v>
          </cell>
          <cell r="E588">
            <v>3.11</v>
          </cell>
          <cell r="F588" t="str">
            <v>B286</v>
          </cell>
          <cell r="G588">
            <v>100418</v>
          </cell>
          <cell r="H588" t="str">
            <v>FLOUR BAKER 
HARD WHT UNBLCH BULK</v>
          </cell>
          <cell r="I588">
            <v>4.68</v>
          </cell>
        </row>
        <row r="589">
          <cell r="A589">
            <v>78977</v>
          </cell>
          <cell r="B589" t="str">
            <v>Breakfast Bagel I.W.</v>
          </cell>
          <cell r="C589">
            <v>18.66</v>
          </cell>
          <cell r="D589">
            <v>96</v>
          </cell>
          <cell r="E589">
            <v>3.11</v>
          </cell>
          <cell r="F589" t="str">
            <v>B286</v>
          </cell>
          <cell r="G589">
            <v>100418</v>
          </cell>
          <cell r="H589" t="str">
            <v>FLOUR BAKER 
HARD WHT UNBLCH BULK</v>
          </cell>
          <cell r="I589">
            <v>6.44</v>
          </cell>
        </row>
        <row r="590">
          <cell r="A590">
            <v>78985</v>
          </cell>
          <cell r="B590" t="str">
            <v>Big Daddy's Bold Cheese</v>
          </cell>
          <cell r="C590">
            <v>25.05</v>
          </cell>
          <cell r="D590">
            <v>72</v>
          </cell>
          <cell r="E590">
            <v>5.57</v>
          </cell>
          <cell r="F590" t="str">
            <v>B286</v>
          </cell>
          <cell r="G590">
            <v>100418</v>
          </cell>
          <cell r="H590" t="str">
            <v>FLOUR BAKER 
HARD WHT UNBLCH BULK</v>
          </cell>
          <cell r="I590">
            <v>6.62</v>
          </cell>
        </row>
        <row r="591">
          <cell r="A591">
            <v>78986</v>
          </cell>
          <cell r="B591" t="str">
            <v>Big Daddy's Bold Pepp</v>
          </cell>
          <cell r="C591">
            <v>25.05</v>
          </cell>
          <cell r="D591">
            <v>72</v>
          </cell>
          <cell r="E591">
            <v>5.57</v>
          </cell>
          <cell r="F591" t="str">
            <v>B286</v>
          </cell>
          <cell r="G591">
            <v>100418</v>
          </cell>
          <cell r="H591" t="str">
            <v>FLOUR BAKER 
HARD WHT UNBLCH BULK</v>
          </cell>
          <cell r="I591">
            <v>6.62</v>
          </cell>
        </row>
        <row r="592">
          <cell r="A592">
            <v>78987</v>
          </cell>
          <cell r="B592" t="str">
            <v>Big Daddy's Bold Cheese Pre-Sliced</v>
          </cell>
          <cell r="C592">
            <v>25.05</v>
          </cell>
          <cell r="D592">
            <v>90</v>
          </cell>
          <cell r="E592">
            <v>4.45</v>
          </cell>
          <cell r="F592" t="str">
            <v>B286</v>
          </cell>
          <cell r="G592">
            <v>100418</v>
          </cell>
          <cell r="H592" t="str">
            <v>FLOUR BAKER 
HARD WHT UNBLCH BULK</v>
          </cell>
          <cell r="I592">
            <v>6.62</v>
          </cell>
        </row>
        <row r="593">
          <cell r="A593">
            <v>78992</v>
          </cell>
          <cell r="B593" t="str">
            <v>Big Daddy's 51% WG Cheese Cheese Pizza Presliced</v>
          </cell>
          <cell r="C593">
            <v>24.37</v>
          </cell>
          <cell r="D593">
            <v>90</v>
          </cell>
          <cell r="E593">
            <v>4.33</v>
          </cell>
          <cell r="F593" t="str">
            <v>B286</v>
          </cell>
          <cell r="G593">
            <v>100418</v>
          </cell>
          <cell r="H593" t="str">
            <v>FLOUR BAKER 
HARD WHT UNBLCH BULK</v>
          </cell>
          <cell r="I593">
            <v>6.52</v>
          </cell>
        </row>
        <row r="594">
          <cell r="A594">
            <v>78993</v>
          </cell>
          <cell r="B594" t="str">
            <v>Big Daddy's 51% WG Pepp Pizza Presliced</v>
          </cell>
          <cell r="C594">
            <v>24.37</v>
          </cell>
          <cell r="D594">
            <v>90</v>
          </cell>
          <cell r="E594">
            <v>4.33</v>
          </cell>
          <cell r="F594" t="str">
            <v>B286</v>
          </cell>
          <cell r="G594">
            <v>100418</v>
          </cell>
          <cell r="H594" t="str">
            <v>FLOUR BAKER 
HARD WHT UNBLCH BULK</v>
          </cell>
          <cell r="I594">
            <v>6.52</v>
          </cell>
        </row>
        <row r="595">
          <cell r="A595">
            <v>78995</v>
          </cell>
          <cell r="B595" t="str">
            <v>Big Daddy's Cheese Flatbread Sandwich</v>
          </cell>
          <cell r="C595">
            <v>18.045000000000002</v>
          </cell>
          <cell r="D595">
            <v>72</v>
          </cell>
          <cell r="E595">
            <v>4.01</v>
          </cell>
          <cell r="F595" t="str">
            <v>B286</v>
          </cell>
          <cell r="G595">
            <v>100418</v>
          </cell>
          <cell r="H595" t="str">
            <v>FLOUR BAKER 
HARD WHT UNBLCH BULK</v>
          </cell>
          <cell r="I595">
            <v>4.8499999999999996</v>
          </cell>
        </row>
        <row r="596">
          <cell r="A596">
            <v>78996</v>
          </cell>
          <cell r="B596" t="str">
            <v>Big Daddy's Southwest Chicken Flatbread Sandwich</v>
          </cell>
          <cell r="C596">
            <v>19.079999999999998</v>
          </cell>
          <cell r="D596">
            <v>72</v>
          </cell>
          <cell r="E596">
            <v>4.24</v>
          </cell>
          <cell r="F596" t="str">
            <v>B286</v>
          </cell>
          <cell r="G596">
            <v>100418</v>
          </cell>
          <cell r="H596" t="str">
            <v>FLOUR BAKER 
HARD WHT UNBLCH BULK</v>
          </cell>
          <cell r="I596">
            <v>4.8499999999999996</v>
          </cell>
        </row>
        <row r="597">
          <cell r="A597">
            <v>78997</v>
          </cell>
          <cell r="B597" t="str">
            <v>Big Daddy's BBQ Chicken Flatbread Sandwich</v>
          </cell>
          <cell r="C597">
            <v>18.27</v>
          </cell>
          <cell r="D597">
            <v>72</v>
          </cell>
          <cell r="E597">
            <v>4.0599999999999996</v>
          </cell>
          <cell r="F597" t="str">
            <v>B286</v>
          </cell>
          <cell r="G597">
            <v>100418</v>
          </cell>
          <cell r="H597" t="str">
            <v>FLOUR BAKER 
HARD WHT UNBLCH BULK</v>
          </cell>
          <cell r="I597">
            <v>4.8499999999999996</v>
          </cell>
        </row>
        <row r="598">
          <cell r="A598">
            <v>78998</v>
          </cell>
          <cell r="B598" t="str">
            <v>Big Daddy's Bold Pepperoni Pre-Sliced 10 Cut</v>
          </cell>
          <cell r="C598">
            <v>25.19</v>
          </cell>
          <cell r="D598">
            <v>90</v>
          </cell>
          <cell r="E598">
            <v>4.4800000000000004</v>
          </cell>
          <cell r="F598" t="str">
            <v>B286</v>
          </cell>
          <cell r="G598">
            <v>100418</v>
          </cell>
          <cell r="H598" t="str">
            <v>FLOUR BAKER 
HARD WHT UNBLCH BULK</v>
          </cell>
          <cell r="I598">
            <v>6.62</v>
          </cell>
        </row>
        <row r="599">
          <cell r="A599">
            <v>88005</v>
          </cell>
          <cell r="B599" t="str">
            <v>Chicken Quesadilla</v>
          </cell>
          <cell r="C599">
            <v>26.4</v>
          </cell>
          <cell r="D599">
            <v>96</v>
          </cell>
          <cell r="E599">
            <v>4.4000000000000004</v>
          </cell>
          <cell r="F599" t="str">
            <v>B286</v>
          </cell>
          <cell r="G599">
            <v>100418</v>
          </cell>
          <cell r="H599" t="str">
            <v>FLOUR BAKER 
HARD WHT UNBLCH BULK</v>
          </cell>
          <cell r="I599">
            <v>7.18</v>
          </cell>
        </row>
        <row r="600">
          <cell r="A600">
            <v>88007</v>
          </cell>
          <cell r="B600" t="str">
            <v>Cheese Quesadilla</v>
          </cell>
          <cell r="C600">
            <v>26.4</v>
          </cell>
          <cell r="D600">
            <v>96</v>
          </cell>
          <cell r="E600">
            <v>4.4000000000000004</v>
          </cell>
          <cell r="F600" t="str">
            <v>B286</v>
          </cell>
          <cell r="G600">
            <v>100418</v>
          </cell>
          <cell r="H600" t="str">
            <v>FLOUR BAKER 
HARD WHT UNBLCH BULK</v>
          </cell>
          <cell r="I600">
            <v>7.18</v>
          </cell>
        </row>
        <row r="603">
          <cell r="A603">
            <v>55208</v>
          </cell>
          <cell r="B603" t="str">
            <v>Tony's Grilled Cheese Sandwich (Bulk)</v>
          </cell>
          <cell r="C603">
            <v>25</v>
          </cell>
          <cell r="D603">
            <v>80</v>
          </cell>
          <cell r="E603">
            <v>5</v>
          </cell>
          <cell r="F603" t="str">
            <v>A048</v>
          </cell>
          <cell r="G603">
            <v>100332</v>
          </cell>
          <cell r="H603" t="str">
            <v>TOMATO PASTE FOR BULK
PROCESSING</v>
          </cell>
          <cell r="I603">
            <v>0</v>
          </cell>
        </row>
        <row r="604">
          <cell r="A604">
            <v>55220</v>
          </cell>
          <cell r="B604" t="str">
            <v>Tony's Whole Grain 1.5 oz Grilled Cheese</v>
          </cell>
          <cell r="C604">
            <v>16.34</v>
          </cell>
          <cell r="D604">
            <v>72</v>
          </cell>
          <cell r="E604">
            <v>3.63</v>
          </cell>
          <cell r="F604" t="str">
            <v>A048</v>
          </cell>
          <cell r="G604">
            <v>100332</v>
          </cell>
          <cell r="H604" t="str">
            <v>TOMATO PASTE FOR BULK
PROCESSING</v>
          </cell>
          <cell r="I604">
            <v>0</v>
          </cell>
        </row>
        <row r="605">
          <cell r="A605">
            <v>55221</v>
          </cell>
          <cell r="B605" t="str">
            <v>Tony's Whole Grain 1.5 oz Grilled Cheese Am Style</v>
          </cell>
          <cell r="C605">
            <v>16.34</v>
          </cell>
          <cell r="D605">
            <v>72</v>
          </cell>
          <cell r="E605">
            <v>3.63</v>
          </cell>
          <cell r="F605" t="str">
            <v>A048</v>
          </cell>
          <cell r="G605">
            <v>100332</v>
          </cell>
          <cell r="H605" t="str">
            <v>TOMATO PASTE FOR BULK
PROCESSING</v>
          </cell>
          <cell r="I605">
            <v>0</v>
          </cell>
        </row>
        <row r="606">
          <cell r="A606">
            <v>55222</v>
          </cell>
          <cell r="B606" t="str">
            <v>SFS TN Whole Grain  Grilled Cheese (ARAMARK)</v>
          </cell>
          <cell r="C606">
            <v>19.350000000000001</v>
          </cell>
          <cell r="D606">
            <v>72</v>
          </cell>
          <cell r="E606">
            <v>4.3</v>
          </cell>
          <cell r="F606" t="str">
            <v>A048</v>
          </cell>
          <cell r="G606">
            <v>100332</v>
          </cell>
          <cell r="H606" t="str">
            <v>TOMATO PASTE FOR BULK
PROCESSING</v>
          </cell>
          <cell r="I606">
            <v>0</v>
          </cell>
        </row>
        <row r="607">
          <cell r="A607">
            <v>55223</v>
          </cell>
          <cell r="B607" t="str">
            <v>Tony's Whole Grain Spicy Grilled Cheese (Aramark)approved need to set up BOM</v>
          </cell>
          <cell r="C607">
            <v>12.9</v>
          </cell>
          <cell r="D607">
            <v>48</v>
          </cell>
          <cell r="E607">
            <v>4.3</v>
          </cell>
          <cell r="F607" t="str">
            <v>A048</v>
          </cell>
          <cell r="G607">
            <v>100332</v>
          </cell>
          <cell r="H607" t="str">
            <v>TOMATO PASTE FOR BULK
PROCESSING</v>
          </cell>
          <cell r="I607">
            <v>0</v>
          </cell>
        </row>
        <row r="608">
          <cell r="A608">
            <v>55224</v>
          </cell>
          <cell r="B608" t="str">
            <v>Tony's Whole Grain Grilled Chs Sand Bulk</v>
          </cell>
          <cell r="C608">
            <v>12.9</v>
          </cell>
          <cell r="D608">
            <v>48</v>
          </cell>
          <cell r="E608">
            <v>4.3</v>
          </cell>
          <cell r="F608" t="str">
            <v>A048</v>
          </cell>
          <cell r="G608">
            <v>100332</v>
          </cell>
          <cell r="H608" t="str">
            <v>TOMATO PASTE FOR BULK
PROCESSING</v>
          </cell>
          <cell r="I608">
            <v>0</v>
          </cell>
        </row>
        <row r="609">
          <cell r="A609">
            <v>55225</v>
          </cell>
          <cell r="B609" t="str">
            <v>Tony's Whole Grain Cheese Sandwich IW</v>
          </cell>
          <cell r="C609">
            <v>12.9</v>
          </cell>
          <cell r="D609">
            <v>48</v>
          </cell>
          <cell r="E609">
            <v>4.3</v>
          </cell>
          <cell r="F609" t="str">
            <v>A048</v>
          </cell>
          <cell r="G609">
            <v>100332</v>
          </cell>
          <cell r="H609" t="str">
            <v>TOMATO PASTE FOR BULK
PROCESSING</v>
          </cell>
          <cell r="I609">
            <v>0</v>
          </cell>
        </row>
        <row r="610">
          <cell r="A610">
            <v>62009</v>
          </cell>
          <cell r="B610" t="str">
            <v>Chili &amp; Cheese Quesadilla</v>
          </cell>
          <cell r="C610">
            <v>26.4</v>
          </cell>
          <cell r="D610">
            <v>96</v>
          </cell>
          <cell r="E610">
            <v>4.4000000000000004</v>
          </cell>
          <cell r="F610" t="str">
            <v>A048</v>
          </cell>
          <cell r="G610">
            <v>100332</v>
          </cell>
          <cell r="H610" t="str">
            <v>TOMATO PASTE FOR BULK
PROCESSING</v>
          </cell>
          <cell r="I610">
            <v>0.86</v>
          </cell>
        </row>
        <row r="611">
          <cell r="A611">
            <v>62050</v>
          </cell>
          <cell r="B611" t="str">
            <v>Beef Fiestada</v>
          </cell>
          <cell r="C611">
            <v>31.8</v>
          </cell>
          <cell r="D611">
            <v>96</v>
          </cell>
          <cell r="E611">
            <v>5.3</v>
          </cell>
          <cell r="F611" t="str">
            <v>A048</v>
          </cell>
          <cell r="G611">
            <v>100332</v>
          </cell>
          <cell r="H611" t="str">
            <v>TOMATO PASTE FOR BULK
PROCESSING</v>
          </cell>
          <cell r="I611">
            <v>1.5</v>
          </cell>
        </row>
        <row r="612">
          <cell r="A612">
            <v>63088</v>
          </cell>
          <cell r="B612" t="str">
            <v>Tony's Cheese/Sub Cheese 5" DD Pizza</v>
          </cell>
          <cell r="C612">
            <v>18.75</v>
          </cell>
          <cell r="D612">
            <v>60</v>
          </cell>
          <cell r="E612">
            <v>5</v>
          </cell>
          <cell r="F612" t="str">
            <v>A048</v>
          </cell>
          <cell r="G612">
            <v>100332</v>
          </cell>
          <cell r="H612" t="str">
            <v>TOMATO PASTE FOR BULK
PROCESSING</v>
          </cell>
          <cell r="I612">
            <v>1.04</v>
          </cell>
        </row>
        <row r="613">
          <cell r="A613">
            <v>63091</v>
          </cell>
          <cell r="B613" t="str">
            <v>Tony's Deluxe 5" DD Pizza/IW</v>
          </cell>
          <cell r="C613">
            <v>19.91</v>
          </cell>
          <cell r="D613">
            <v>60</v>
          </cell>
          <cell r="E613">
            <v>5.31</v>
          </cell>
          <cell r="F613" t="str">
            <v>A048</v>
          </cell>
          <cell r="G613">
            <v>100332</v>
          </cell>
          <cell r="H613" t="str">
            <v>TOMATO PASTE FOR BULK
PROCESSING</v>
          </cell>
          <cell r="I613">
            <v>0.95</v>
          </cell>
        </row>
        <row r="614">
          <cell r="A614">
            <v>63266</v>
          </cell>
          <cell r="B614" t="str">
            <v>3.2x5 Pepperoni Pizza</v>
          </cell>
          <cell r="C614">
            <v>30.31</v>
          </cell>
          <cell r="D614">
            <v>100</v>
          </cell>
          <cell r="E614">
            <v>4.8499999999999996</v>
          </cell>
          <cell r="F614" t="str">
            <v>A048</v>
          </cell>
          <cell r="G614">
            <v>100332</v>
          </cell>
          <cell r="H614" t="str">
            <v>TOMATO PASTE FOR BULK
PROCESSING</v>
          </cell>
          <cell r="I614">
            <v>1.62</v>
          </cell>
        </row>
        <row r="615">
          <cell r="A615">
            <v>63276</v>
          </cell>
          <cell r="B615" t="str">
            <v>Red Baron 3x5 Cheese Pizza</v>
          </cell>
          <cell r="C615">
            <v>12.19</v>
          </cell>
          <cell r="D615">
            <v>60</v>
          </cell>
          <cell r="E615">
            <v>3.25</v>
          </cell>
          <cell r="F615" t="str">
            <v>A048</v>
          </cell>
          <cell r="G615">
            <v>100332</v>
          </cell>
          <cell r="H615" t="str">
            <v>TOMATO PASTE FOR BULK
PROCESSING</v>
          </cell>
          <cell r="I615">
            <v>1.05</v>
          </cell>
        </row>
        <row r="616">
          <cell r="A616">
            <v>63490</v>
          </cell>
          <cell r="B616" t="str">
            <v>Tony's Thin Crust 4 x 6 Sausage Pizza</v>
          </cell>
          <cell r="C616">
            <v>27.35</v>
          </cell>
          <cell r="D616">
            <v>96</v>
          </cell>
          <cell r="E616">
            <v>4.5599999999999996</v>
          </cell>
          <cell r="F616" t="str">
            <v>A048</v>
          </cell>
          <cell r="G616">
            <v>100332</v>
          </cell>
          <cell r="H616" t="str">
            <v>TOMATO PASTE FOR BULK
PROCESSING</v>
          </cell>
          <cell r="I616">
            <v>1.53</v>
          </cell>
        </row>
        <row r="617">
          <cell r="A617">
            <v>63494</v>
          </cell>
          <cell r="B617" t="str">
            <v>4x6 Pepperoni 50/50</v>
          </cell>
          <cell r="C617">
            <v>25.45</v>
          </cell>
          <cell r="D617">
            <v>96</v>
          </cell>
          <cell r="E617">
            <v>4.24</v>
          </cell>
          <cell r="F617" t="str">
            <v>A048</v>
          </cell>
          <cell r="G617">
            <v>100332</v>
          </cell>
          <cell r="H617" t="str">
            <v>TOMATO PASTE FOR BULK
PROCESSING</v>
          </cell>
          <cell r="I617">
            <v>1.51</v>
          </cell>
        </row>
        <row r="618">
          <cell r="A618">
            <v>63495</v>
          </cell>
          <cell r="B618" t="str">
            <v>4x6 Pepperoni</v>
          </cell>
          <cell r="C618">
            <v>26.58</v>
          </cell>
          <cell r="D618">
            <v>96</v>
          </cell>
          <cell r="E618">
            <v>4.43</v>
          </cell>
          <cell r="F618" t="str">
            <v>A048</v>
          </cell>
          <cell r="G618">
            <v>100332</v>
          </cell>
          <cell r="H618" t="str">
            <v>TOMATO PASTE FOR BULK
PROCESSING</v>
          </cell>
          <cell r="I618">
            <v>1.53</v>
          </cell>
        </row>
        <row r="619">
          <cell r="A619">
            <v>63496</v>
          </cell>
          <cell r="B619" t="str">
            <v>4x6 Cheese Pizza</v>
          </cell>
          <cell r="C619">
            <v>24.4</v>
          </cell>
          <cell r="D619">
            <v>96</v>
          </cell>
          <cell r="E619">
            <v>4.07</v>
          </cell>
          <cell r="F619" t="str">
            <v>A048</v>
          </cell>
          <cell r="G619">
            <v>100332</v>
          </cell>
          <cell r="H619" t="str">
            <v>TOMATO PASTE FOR BULK
PROCESSING</v>
          </cell>
          <cell r="I619">
            <v>1.51</v>
          </cell>
        </row>
        <row r="620">
          <cell r="A620">
            <v>63500</v>
          </cell>
          <cell r="B620" t="str">
            <v>Tony's Wedge Pizza Cheese</v>
          </cell>
          <cell r="C620">
            <v>28.14</v>
          </cell>
          <cell r="D620">
            <v>96</v>
          </cell>
          <cell r="E620">
            <v>4.6900000000000004</v>
          </cell>
          <cell r="F620" t="str">
            <v>A048</v>
          </cell>
          <cell r="G620">
            <v>100332</v>
          </cell>
          <cell r="H620" t="str">
            <v>TOMATO PASTE FOR BULK
PROCESSING</v>
          </cell>
          <cell r="I620">
            <v>1.53</v>
          </cell>
        </row>
        <row r="621">
          <cell r="A621">
            <v>63501</v>
          </cell>
          <cell r="B621" t="str">
            <v>4x6 Thick Crust Cheese Pizza</v>
          </cell>
          <cell r="C621">
            <v>33.119999999999997</v>
          </cell>
          <cell r="D621">
            <v>96</v>
          </cell>
          <cell r="E621">
            <v>5.52</v>
          </cell>
          <cell r="F621" t="str">
            <v>A048</v>
          </cell>
          <cell r="G621">
            <v>100332</v>
          </cell>
          <cell r="H621" t="str">
            <v>TOMATO PASTE FOR BULK
PROCESSING</v>
          </cell>
          <cell r="I621">
            <v>1.53</v>
          </cell>
        </row>
        <row r="622">
          <cell r="A622">
            <v>63510</v>
          </cell>
          <cell r="B622" t="str">
            <v>Tony's 4x6 Thick Crust Cheese 100% 2 oz</v>
          </cell>
          <cell r="C622">
            <v>32.4</v>
          </cell>
          <cell r="D622">
            <v>96</v>
          </cell>
          <cell r="E622">
            <v>5.4</v>
          </cell>
          <cell r="F622" t="str">
            <v>A048</v>
          </cell>
          <cell r="G622">
            <v>100332</v>
          </cell>
          <cell r="H622" t="str">
            <v>TOMATO PASTE FOR BULK
PROCESSING</v>
          </cell>
          <cell r="I622">
            <v>1.51</v>
          </cell>
        </row>
        <row r="623">
          <cell r="A623">
            <v>63511</v>
          </cell>
          <cell r="B623" t="str">
            <v>Tony's Thick Crust Pepp 100%</v>
          </cell>
          <cell r="C623">
            <v>32.520000000000003</v>
          </cell>
          <cell r="D623">
            <v>96</v>
          </cell>
          <cell r="E623">
            <v>5.42</v>
          </cell>
          <cell r="F623" t="str">
            <v>A048</v>
          </cell>
          <cell r="G623">
            <v>100332</v>
          </cell>
          <cell r="H623" t="str">
            <v>TOMATO PASTE FOR BULK
PROCESSING</v>
          </cell>
          <cell r="I623">
            <v>1.51</v>
          </cell>
        </row>
        <row r="624">
          <cell r="A624">
            <v>63516</v>
          </cell>
          <cell r="B624" t="str">
            <v>Tony's 4x6 Thick Crust Cheese 50/50 2 oz</v>
          </cell>
          <cell r="C624">
            <v>32.4</v>
          </cell>
          <cell r="D624">
            <v>96</v>
          </cell>
          <cell r="E624">
            <v>5.4</v>
          </cell>
          <cell r="F624" t="str">
            <v>A048</v>
          </cell>
          <cell r="G624">
            <v>100332</v>
          </cell>
          <cell r="H624" t="str">
            <v>TOMATO PASTE FOR BULK
PROCESSING</v>
          </cell>
          <cell r="I624">
            <v>1.51</v>
          </cell>
        </row>
        <row r="625">
          <cell r="A625">
            <v>63519</v>
          </cell>
          <cell r="B625" t="str">
            <v>Tony's 5" Pizza Bulk Cheese</v>
          </cell>
          <cell r="C625">
            <v>18.559999999999999</v>
          </cell>
          <cell r="D625">
            <v>54</v>
          </cell>
          <cell r="E625">
            <v>5.5</v>
          </cell>
          <cell r="F625" t="str">
            <v>A048</v>
          </cell>
          <cell r="G625">
            <v>100332</v>
          </cell>
          <cell r="H625" t="str">
            <v>TOMATO PASTE FOR BULK
PROCESSING</v>
          </cell>
          <cell r="I625">
            <v>1.25</v>
          </cell>
        </row>
        <row r="626">
          <cell r="A626">
            <v>63520</v>
          </cell>
          <cell r="B626" t="str">
            <v>Tony's 5" Pizza Bulk Peppeorni</v>
          </cell>
          <cell r="C626">
            <v>21.09</v>
          </cell>
          <cell r="D626">
            <v>54</v>
          </cell>
          <cell r="E626">
            <v>6.25</v>
          </cell>
          <cell r="F626" t="str">
            <v>A048</v>
          </cell>
          <cell r="G626">
            <v>100332</v>
          </cell>
          <cell r="H626" t="str">
            <v>TOMATO PASTE FOR BULK
PROCESSING</v>
          </cell>
          <cell r="I626">
            <v>1.25</v>
          </cell>
        </row>
        <row r="627">
          <cell r="A627">
            <v>63570</v>
          </cell>
          <cell r="B627" t="str">
            <v>Sausage &amp; TVP Pizza</v>
          </cell>
          <cell r="C627">
            <v>27.06</v>
          </cell>
          <cell r="D627">
            <v>96</v>
          </cell>
          <cell r="E627">
            <v>4.51</v>
          </cell>
          <cell r="F627" t="str">
            <v>A048</v>
          </cell>
          <cell r="G627">
            <v>100332</v>
          </cell>
          <cell r="H627" t="str">
            <v>TOMATO PASTE FOR BULK
PROCESSING</v>
          </cell>
          <cell r="I627">
            <v>1.53</v>
          </cell>
        </row>
        <row r="628">
          <cell r="A628">
            <v>63572</v>
          </cell>
          <cell r="B628" t="str">
            <v>4x6 Cheese Pizza</v>
          </cell>
          <cell r="C628">
            <v>26.58</v>
          </cell>
          <cell r="D628">
            <v>96</v>
          </cell>
          <cell r="E628">
            <v>4.43</v>
          </cell>
          <cell r="F628" t="str">
            <v>A048</v>
          </cell>
          <cell r="G628">
            <v>100332</v>
          </cell>
          <cell r="H628" t="str">
            <v>TOMATO PASTE FOR BULK
PROCESSING</v>
          </cell>
          <cell r="I628">
            <v>1.53</v>
          </cell>
        </row>
        <row r="629">
          <cell r="A629">
            <v>63582</v>
          </cell>
          <cell r="B629" t="str">
            <v>Red Baron Premio 6.5" 4 Cheese</v>
          </cell>
          <cell r="C629">
            <v>20.76</v>
          </cell>
          <cell r="D629">
            <v>54</v>
          </cell>
          <cell r="E629">
            <v>6.15</v>
          </cell>
          <cell r="F629" t="str">
            <v>A048</v>
          </cell>
          <cell r="G629">
            <v>100332</v>
          </cell>
          <cell r="H629" t="str">
            <v>TOMATO PASTE FOR BULK
PROCESSING</v>
          </cell>
          <cell r="I629">
            <v>0.97</v>
          </cell>
        </row>
        <row r="630">
          <cell r="A630">
            <v>63584</v>
          </cell>
          <cell r="B630" t="str">
            <v>Red Baron Personal Round 6.5"</v>
          </cell>
          <cell r="C630">
            <v>20.76</v>
          </cell>
          <cell r="D630">
            <v>54</v>
          </cell>
          <cell r="E630">
            <v>6.15</v>
          </cell>
          <cell r="F630" t="str">
            <v>A048</v>
          </cell>
          <cell r="G630">
            <v>100332</v>
          </cell>
          <cell r="H630" t="str">
            <v>TOMATO PASTE FOR BULK
PROCESSING</v>
          </cell>
          <cell r="I630">
            <v>0.89</v>
          </cell>
        </row>
        <row r="631">
          <cell r="A631">
            <v>63624</v>
          </cell>
          <cell r="B631" t="str">
            <v>Tony's Wedge Pepp. (CN) 100% Mozz</v>
          </cell>
          <cell r="C631">
            <v>27.48</v>
          </cell>
          <cell r="D631">
            <v>96</v>
          </cell>
          <cell r="E631">
            <v>4.58</v>
          </cell>
          <cell r="F631" t="str">
            <v>A048</v>
          </cell>
          <cell r="G631">
            <v>100332</v>
          </cell>
          <cell r="H631" t="str">
            <v>TOMATO PASTE FOR BULK
PROCESSING</v>
          </cell>
          <cell r="I631">
            <v>1.53</v>
          </cell>
        </row>
        <row r="632">
          <cell r="A632">
            <v>63743</v>
          </cell>
          <cell r="B632" t="str">
            <v>Tony's SmartPizza Cheese/Sub Cheese Pizza</v>
          </cell>
          <cell r="C632">
            <v>33.18</v>
          </cell>
          <cell r="D632">
            <v>96</v>
          </cell>
          <cell r="E632">
            <v>5.53</v>
          </cell>
          <cell r="F632" t="str">
            <v>A048</v>
          </cell>
          <cell r="G632">
            <v>100332</v>
          </cell>
          <cell r="H632" t="str">
            <v>TOMATO PASTE FOR BULK
PROCESSING</v>
          </cell>
          <cell r="I632">
            <v>1.53</v>
          </cell>
        </row>
        <row r="633">
          <cell r="A633">
            <v>63748</v>
          </cell>
          <cell r="B633" t="str">
            <v>Tony's SmartPizza Chs/Sub Chs Red Fat Pepp</v>
          </cell>
          <cell r="C633">
            <v>33.72</v>
          </cell>
          <cell r="D633">
            <v>96</v>
          </cell>
          <cell r="E633">
            <v>5.62</v>
          </cell>
          <cell r="F633" t="str">
            <v>A048</v>
          </cell>
          <cell r="G633">
            <v>100332</v>
          </cell>
          <cell r="H633" t="str">
            <v>TOMATO PASTE FOR BULK
PROCESSING</v>
          </cell>
          <cell r="I633">
            <v>1.53</v>
          </cell>
        </row>
        <row r="634">
          <cell r="A634">
            <v>63835</v>
          </cell>
          <cell r="B634" t="str">
            <v>Wedge Sausage &amp; TVP Pizza</v>
          </cell>
          <cell r="C634">
            <v>28.14</v>
          </cell>
          <cell r="D634">
            <v>96</v>
          </cell>
          <cell r="E634">
            <v>4.6900000000000004</v>
          </cell>
          <cell r="F634" t="str">
            <v>A048</v>
          </cell>
          <cell r="G634">
            <v>100332</v>
          </cell>
          <cell r="H634" t="str">
            <v>TOMATO PASTE FOR BULK
PROCESSING</v>
          </cell>
          <cell r="I634">
            <v>1.53</v>
          </cell>
        </row>
        <row r="635">
          <cell r="A635">
            <v>63904</v>
          </cell>
          <cell r="B635" t="str">
            <v>3x4 Breakfast Sausage  Turkey</v>
          </cell>
          <cell r="C635">
            <v>25.6</v>
          </cell>
          <cell r="D635">
            <v>128</v>
          </cell>
          <cell r="E635">
            <v>3.2</v>
          </cell>
          <cell r="F635" t="str">
            <v>A048</v>
          </cell>
          <cell r="G635">
            <v>100332</v>
          </cell>
          <cell r="H635" t="str">
            <v>TOMATO PASTE FOR BULK
PROCESSING</v>
          </cell>
          <cell r="I635">
            <v>1.38</v>
          </cell>
        </row>
        <row r="636">
          <cell r="A636">
            <v>63912</v>
          </cell>
          <cell r="B636" t="str">
            <v>Sausage Breakfast Pizza</v>
          </cell>
          <cell r="C636">
            <v>26.57</v>
          </cell>
          <cell r="D636">
            <v>128</v>
          </cell>
          <cell r="E636">
            <v>3.32</v>
          </cell>
          <cell r="F636" t="str">
            <v>A048</v>
          </cell>
          <cell r="G636">
            <v>100332</v>
          </cell>
          <cell r="H636" t="str">
            <v>TOMATO PASTE FOR BULK
PROCESSING</v>
          </cell>
          <cell r="I636">
            <v>1.38</v>
          </cell>
        </row>
        <row r="637">
          <cell r="A637">
            <v>63999</v>
          </cell>
          <cell r="B637" t="str">
            <v>3.2x5 IQF Cheese 50/50</v>
          </cell>
          <cell r="C637">
            <v>30</v>
          </cell>
          <cell r="D637">
            <v>100</v>
          </cell>
          <cell r="E637">
            <v>4.8</v>
          </cell>
          <cell r="F637" t="str">
            <v>A048</v>
          </cell>
          <cell r="G637">
            <v>100332</v>
          </cell>
          <cell r="H637" t="str">
            <v>TOMATO PASTE FOR BULK
PROCESSING</v>
          </cell>
          <cell r="I637">
            <v>1.57</v>
          </cell>
        </row>
        <row r="638">
          <cell r="A638">
            <v>66230</v>
          </cell>
          <cell r="B638" t="str">
            <v>Whole Grain Pizza Bagel Bulk</v>
          </cell>
          <cell r="C638">
            <v>26.25</v>
          </cell>
          <cell r="D638">
            <v>84</v>
          </cell>
          <cell r="E638">
            <v>5</v>
          </cell>
          <cell r="F638" t="str">
            <v>A048</v>
          </cell>
          <cell r="G638">
            <v>100332</v>
          </cell>
          <cell r="H638" t="str">
            <v>TOMATO PASTE FOR BULK
PROCESSING</v>
          </cell>
          <cell r="I638">
            <v>0</v>
          </cell>
        </row>
        <row r="639">
          <cell r="A639">
            <v>66231</v>
          </cell>
          <cell r="B639" t="str">
            <v>Whole Grain Cheese Pizza Bagel Wrapped</v>
          </cell>
          <cell r="C639">
            <v>26.25</v>
          </cell>
          <cell r="D639">
            <v>84</v>
          </cell>
          <cell r="E639">
            <v>5</v>
          </cell>
          <cell r="F639" t="str">
            <v>A048</v>
          </cell>
          <cell r="G639">
            <v>100332</v>
          </cell>
          <cell r="H639" t="str">
            <v>TOMATO PASTE FOR BULK
PROCESSING</v>
          </cell>
          <cell r="I639">
            <v>0</v>
          </cell>
        </row>
        <row r="640">
          <cell r="A640">
            <v>66232</v>
          </cell>
          <cell r="B640" t="str">
            <v>Whole Grain Pepp Pizza Bagel Bulk</v>
          </cell>
          <cell r="C640">
            <v>26.25</v>
          </cell>
          <cell r="D640">
            <v>84</v>
          </cell>
          <cell r="E640">
            <v>5</v>
          </cell>
          <cell r="F640" t="str">
            <v>A048</v>
          </cell>
          <cell r="G640">
            <v>100332</v>
          </cell>
          <cell r="H640" t="str">
            <v>TOMATO PASTE FOR BULK
PROCESSING</v>
          </cell>
          <cell r="I640">
            <v>0</v>
          </cell>
        </row>
        <row r="641">
          <cell r="A641">
            <v>66233</v>
          </cell>
          <cell r="B641" t="str">
            <v>Whole Grain Pepp Pizza Bagel Wrapped</v>
          </cell>
          <cell r="C641">
            <v>26.25</v>
          </cell>
          <cell r="D641">
            <v>84</v>
          </cell>
          <cell r="E641">
            <v>5</v>
          </cell>
          <cell r="F641" t="str">
            <v>A048</v>
          </cell>
          <cell r="G641">
            <v>100332</v>
          </cell>
          <cell r="H641" t="str">
            <v>TOMATO PASTE FOR BULK
PROCESSING</v>
          </cell>
          <cell r="I641">
            <v>0</v>
          </cell>
        </row>
        <row r="642">
          <cell r="A642">
            <v>66234</v>
          </cell>
          <cell r="B642" t="str">
            <v>Whole Grain French Bread Cheese Bulk</v>
          </cell>
          <cell r="C642">
            <v>16.88</v>
          </cell>
          <cell r="D642">
            <v>60</v>
          </cell>
          <cell r="E642">
            <v>4.5</v>
          </cell>
          <cell r="F642" t="str">
            <v>A048</v>
          </cell>
          <cell r="G642">
            <v>100332</v>
          </cell>
          <cell r="H642" t="str">
            <v>TOMATO PASTE FOR BULK
PROCESSING</v>
          </cell>
          <cell r="I642">
            <v>0</v>
          </cell>
        </row>
        <row r="643">
          <cell r="A643">
            <v>66235</v>
          </cell>
          <cell r="B643" t="str">
            <v>Whole Grain French Bread Cheese Wrapped</v>
          </cell>
          <cell r="C643">
            <v>16.88</v>
          </cell>
          <cell r="D643">
            <v>60</v>
          </cell>
          <cell r="E643">
            <v>4.5</v>
          </cell>
          <cell r="F643" t="str">
            <v>A048</v>
          </cell>
          <cell r="G643">
            <v>100332</v>
          </cell>
          <cell r="H643" t="str">
            <v>TOMATO PASTE FOR BULK
PROCESSING</v>
          </cell>
          <cell r="I643">
            <v>0</v>
          </cell>
        </row>
        <row r="644">
          <cell r="A644">
            <v>66236</v>
          </cell>
          <cell r="B644" t="str">
            <v>Whole Grain French Bread Pepp Bulk</v>
          </cell>
          <cell r="C644">
            <v>16.88</v>
          </cell>
          <cell r="D644">
            <v>60</v>
          </cell>
          <cell r="E644">
            <v>4.5</v>
          </cell>
          <cell r="F644" t="str">
            <v>A048</v>
          </cell>
          <cell r="G644">
            <v>100332</v>
          </cell>
          <cell r="H644" t="str">
            <v>TOMATO PASTE FOR BULK
PROCESSING</v>
          </cell>
          <cell r="I644">
            <v>0</v>
          </cell>
        </row>
        <row r="645">
          <cell r="A645">
            <v>66237</v>
          </cell>
          <cell r="B645" t="str">
            <v>Whole Grain French Bread Pepp Wrapped</v>
          </cell>
          <cell r="C645">
            <v>16.88</v>
          </cell>
          <cell r="D645">
            <v>60</v>
          </cell>
          <cell r="E645">
            <v>4.5</v>
          </cell>
          <cell r="F645" t="str">
            <v>A048</v>
          </cell>
          <cell r="G645">
            <v>100332</v>
          </cell>
          <cell r="H645" t="str">
            <v>TOMATO PASTE FOR BULK
PROCESSING</v>
          </cell>
          <cell r="I645">
            <v>0</v>
          </cell>
        </row>
        <row r="646">
          <cell r="A646">
            <v>66238</v>
          </cell>
          <cell r="B646" t="str">
            <v>Whole Grain 4x6 Cheese Pizza Bulk</v>
          </cell>
          <cell r="C646">
            <v>30</v>
          </cell>
          <cell r="D646">
            <v>96</v>
          </cell>
          <cell r="E646">
            <v>5</v>
          </cell>
          <cell r="F646" t="str">
            <v>A048</v>
          </cell>
          <cell r="G646">
            <v>100332</v>
          </cell>
          <cell r="H646" t="str">
            <v>TOMATO PASTE FOR BULK
PROCESSING</v>
          </cell>
          <cell r="I646">
            <v>0</v>
          </cell>
        </row>
        <row r="647">
          <cell r="A647">
            <v>66239</v>
          </cell>
          <cell r="B647" t="str">
            <v>Whole Grain 4x6 Cheese Pizza Wrapped</v>
          </cell>
          <cell r="C647">
            <v>30</v>
          </cell>
          <cell r="D647">
            <v>96</v>
          </cell>
          <cell r="E647">
            <v>5</v>
          </cell>
          <cell r="F647" t="str">
            <v>A048</v>
          </cell>
          <cell r="G647">
            <v>100332</v>
          </cell>
          <cell r="H647" t="str">
            <v>TOMATO PASTE FOR BULK
PROCESSING</v>
          </cell>
          <cell r="I647">
            <v>0</v>
          </cell>
        </row>
        <row r="648">
          <cell r="A648">
            <v>66240</v>
          </cell>
          <cell r="B648" t="str">
            <v>Whole Grain 8" Garlic Cheese Toast Bulk</v>
          </cell>
          <cell r="C648">
            <v>14.55</v>
          </cell>
          <cell r="D648">
            <v>48</v>
          </cell>
          <cell r="E648">
            <v>4.8499999999999996</v>
          </cell>
          <cell r="F648" t="str">
            <v>A048</v>
          </cell>
          <cell r="G648">
            <v>100332</v>
          </cell>
          <cell r="H648" t="str">
            <v>TOMATO PASTE FOR BULK
PROCESSING</v>
          </cell>
          <cell r="I648">
            <v>0</v>
          </cell>
        </row>
        <row r="649">
          <cell r="A649">
            <v>66241</v>
          </cell>
          <cell r="B649" t="str">
            <v>Whole Grain 8" Garlic Cheese Toast Wrapped</v>
          </cell>
          <cell r="C649">
            <v>14.55</v>
          </cell>
          <cell r="D649">
            <v>48</v>
          </cell>
          <cell r="E649">
            <v>4.8499999999999996</v>
          </cell>
          <cell r="F649" t="str">
            <v>A048</v>
          </cell>
          <cell r="G649">
            <v>100332</v>
          </cell>
          <cell r="H649" t="str">
            <v>TOMATO PASTE FOR BULK
PROCESSING</v>
          </cell>
          <cell r="I649">
            <v>0</v>
          </cell>
        </row>
        <row r="650">
          <cell r="A650">
            <v>66242</v>
          </cell>
          <cell r="B650" t="str">
            <v>Whole Grain 6" Garlic Cheese Toast Bulk</v>
          </cell>
          <cell r="C650">
            <v>14.06</v>
          </cell>
          <cell r="D650">
            <v>60</v>
          </cell>
          <cell r="E650">
            <v>3.75</v>
          </cell>
          <cell r="F650" t="str">
            <v>A048</v>
          </cell>
          <cell r="G650">
            <v>100332</v>
          </cell>
          <cell r="H650" t="str">
            <v>TOMATO PASTE FOR BULK
PROCESSING</v>
          </cell>
          <cell r="I650">
            <v>0</v>
          </cell>
        </row>
        <row r="651">
          <cell r="A651">
            <v>66243</v>
          </cell>
          <cell r="B651" t="str">
            <v>Whole Grain 6" Garlic Cheese Toast Wrapped</v>
          </cell>
          <cell r="C651">
            <v>14.06</v>
          </cell>
          <cell r="D651">
            <v>60</v>
          </cell>
          <cell r="E651">
            <v>3.75</v>
          </cell>
          <cell r="F651" t="str">
            <v>A048</v>
          </cell>
          <cell r="G651">
            <v>100332</v>
          </cell>
          <cell r="H651" t="str">
            <v>TOMATO PASTE FOR BULK
PROCESSING</v>
          </cell>
          <cell r="I651">
            <v>0</v>
          </cell>
        </row>
        <row r="652">
          <cell r="A652">
            <v>68503</v>
          </cell>
          <cell r="B652" t="str">
            <v>Tony's 3x8 Ultimate Flatbread 100% Mozz</v>
          </cell>
          <cell r="C652">
            <v>35.700000000000003</v>
          </cell>
          <cell r="D652">
            <v>96</v>
          </cell>
          <cell r="E652">
            <v>5.95</v>
          </cell>
          <cell r="F652" t="str">
            <v>A048</v>
          </cell>
          <cell r="G652">
            <v>100332</v>
          </cell>
          <cell r="H652" t="str">
            <v>TOMATO PASTE FOR BULK
PROCESSING</v>
          </cell>
          <cell r="I652">
            <v>3.08</v>
          </cell>
        </row>
        <row r="653">
          <cell r="A653">
            <v>68504</v>
          </cell>
          <cell r="B653" t="str">
            <v>Tony's 3x8 Ultimate Flatbread Pepperoni</v>
          </cell>
          <cell r="C653">
            <v>35.82</v>
          </cell>
          <cell r="D653">
            <v>96</v>
          </cell>
          <cell r="E653">
            <v>5.97</v>
          </cell>
          <cell r="F653" t="str">
            <v>A048</v>
          </cell>
          <cell r="G653">
            <v>100332</v>
          </cell>
          <cell r="H653" t="str">
            <v>TOMATO PASTE FOR BULK
PROCESSING</v>
          </cell>
          <cell r="I653">
            <v>3.08</v>
          </cell>
        </row>
        <row r="654">
          <cell r="A654">
            <v>68509</v>
          </cell>
          <cell r="B654" t="str">
            <v>3x4 Breakfast Sausage (pork)</v>
          </cell>
          <cell r="C654">
            <v>25.6</v>
          </cell>
          <cell r="D654">
            <v>128</v>
          </cell>
          <cell r="E654">
            <v>3.2</v>
          </cell>
          <cell r="F654" t="str">
            <v>A048</v>
          </cell>
          <cell r="G654">
            <v>100332</v>
          </cell>
          <cell r="H654" t="str">
            <v>TOMATO PASTE FOR BULK
PROCESSING</v>
          </cell>
          <cell r="I654">
            <v>1.37</v>
          </cell>
        </row>
        <row r="655">
          <cell r="A655">
            <v>68516</v>
          </cell>
          <cell r="B655" t="str">
            <v>Whole Grain Fiestada</v>
          </cell>
          <cell r="C655">
            <v>32.64</v>
          </cell>
          <cell r="D655">
            <v>96</v>
          </cell>
          <cell r="E655">
            <v>5.44</v>
          </cell>
          <cell r="F655" t="str">
            <v>A048</v>
          </cell>
          <cell r="G655">
            <v>100332</v>
          </cell>
          <cell r="H655" t="str">
            <v>TOMATO PASTE FOR BULK
PROCESSING</v>
          </cell>
          <cell r="I655">
            <v>3.32</v>
          </cell>
        </row>
        <row r="656">
          <cell r="A656">
            <v>68521</v>
          </cell>
          <cell r="B656" t="str">
            <v>Whole Grain Thick Crust Cheese Pizza</v>
          </cell>
          <cell r="C656">
            <v>31.34</v>
          </cell>
          <cell r="D656">
            <v>96</v>
          </cell>
          <cell r="E656">
            <v>5.22</v>
          </cell>
          <cell r="F656" t="str">
            <v>A048</v>
          </cell>
          <cell r="G656">
            <v>100332</v>
          </cell>
          <cell r="H656" t="str">
            <v>TOMATO PASTE FOR BULK
PROCESSING</v>
          </cell>
          <cell r="I656">
            <v>1.53</v>
          </cell>
        </row>
        <row r="657">
          <cell r="A657">
            <v>68533</v>
          </cell>
          <cell r="B657" t="str">
            <v>Gluten Free 5" Cheese Pizza</v>
          </cell>
          <cell r="C657">
            <v>7.88</v>
          </cell>
          <cell r="D657">
            <v>24</v>
          </cell>
          <cell r="E657">
            <v>5.25</v>
          </cell>
          <cell r="F657" t="str">
            <v>A048</v>
          </cell>
          <cell r="G657">
            <v>100332</v>
          </cell>
          <cell r="H657" t="str">
            <v>TOMATO PASTE FOR BULK
PROCESSING</v>
          </cell>
          <cell r="I657">
            <v>0.28000000000000003</v>
          </cell>
        </row>
        <row r="658">
          <cell r="A658">
            <v>68543</v>
          </cell>
          <cell r="B658" t="str">
            <v>Big Daddy's WG 16" Cheese 2 BC</v>
          </cell>
          <cell r="C658">
            <v>22.24</v>
          </cell>
          <cell r="D658">
            <v>72</v>
          </cell>
          <cell r="E658">
            <v>4.9400000000000004</v>
          </cell>
          <cell r="F658" t="str">
            <v>A048</v>
          </cell>
          <cell r="G658">
            <v>100332</v>
          </cell>
          <cell r="H658" t="str">
            <v>TOMATO PASTE FOR BULK
PROCESSING</v>
          </cell>
          <cell r="I658">
            <v>1.48</v>
          </cell>
        </row>
        <row r="659">
          <cell r="A659">
            <v>68544</v>
          </cell>
          <cell r="B659" t="str">
            <v>Big Daddy's WG 16" RE Pepp 2 BC</v>
          </cell>
          <cell r="C659">
            <v>22.46</v>
          </cell>
          <cell r="D659">
            <v>72</v>
          </cell>
          <cell r="E659">
            <v>4.99</v>
          </cell>
          <cell r="F659" t="str">
            <v>A048</v>
          </cell>
          <cell r="G659">
            <v>100332</v>
          </cell>
          <cell r="H659" t="str">
            <v>TOMATO PASTE FOR BULK
PROCESSING</v>
          </cell>
          <cell r="I659">
            <v>1.48</v>
          </cell>
        </row>
        <row r="660">
          <cell r="A660">
            <v>68563</v>
          </cell>
          <cell r="B660" t="str">
            <v>TN Cheese 5% WG Flatbread-Bulk</v>
          </cell>
          <cell r="C660">
            <v>27.02</v>
          </cell>
          <cell r="D660">
            <v>96</v>
          </cell>
          <cell r="E660">
            <v>4.5</v>
          </cell>
          <cell r="F660" t="str">
            <v>A048</v>
          </cell>
          <cell r="G660">
            <v>100332</v>
          </cell>
          <cell r="H660" t="str">
            <v>TOMATO PASTE FOR BULK
PROCESSING</v>
          </cell>
          <cell r="I660">
            <v>4.0999999999999996</v>
          </cell>
        </row>
        <row r="661">
          <cell r="A661">
            <v>68568</v>
          </cell>
          <cell r="B661" t="str">
            <v>TN IT Cheese 51% WG Flatbread</v>
          </cell>
          <cell r="C661">
            <v>27.02</v>
          </cell>
          <cell r="D661">
            <v>96</v>
          </cell>
          <cell r="E661">
            <v>4.5</v>
          </cell>
          <cell r="F661" t="str">
            <v>A048</v>
          </cell>
          <cell r="G661">
            <v>100332</v>
          </cell>
          <cell r="H661" t="str">
            <v>TOMATO PASTE FOR BULK
PROCESSING</v>
          </cell>
          <cell r="I661">
            <v>4.0999999999999996</v>
          </cell>
        </row>
        <row r="662">
          <cell r="A662">
            <v>68571</v>
          </cell>
          <cell r="B662" t="str">
            <v>Tony's 51% WG Turkey Sausage Bagel</v>
          </cell>
          <cell r="C662">
            <v>15.72</v>
          </cell>
          <cell r="D662">
            <v>96</v>
          </cell>
          <cell r="E662">
            <v>2.62</v>
          </cell>
          <cell r="F662" t="str">
            <v>A048</v>
          </cell>
          <cell r="G662">
            <v>100332</v>
          </cell>
          <cell r="H662" t="str">
            <v>TOMATO PASTE FOR BULK
PROCESSING</v>
          </cell>
          <cell r="I662">
            <v>0</v>
          </cell>
        </row>
        <row r="663">
          <cell r="A663">
            <v>68711</v>
          </cell>
          <cell r="B663" t="str">
            <v>SFS Tony's Whole Grain Wedge Pizza 100%</v>
          </cell>
          <cell r="C663">
            <v>20</v>
          </cell>
          <cell r="D663">
            <v>64</v>
          </cell>
          <cell r="E663">
            <v>5</v>
          </cell>
          <cell r="F663" t="str">
            <v>A048</v>
          </cell>
          <cell r="G663">
            <v>100332</v>
          </cell>
          <cell r="H663" t="str">
            <v>TOMATO PASTE FOR BULK
PROCESSING</v>
          </cell>
          <cell r="I663">
            <v>1.1000000000000001</v>
          </cell>
        </row>
        <row r="664">
          <cell r="A664">
            <v>68764</v>
          </cell>
          <cell r="B664" t="str">
            <v>SFS Big Daddy's Or Chese Fill Brdstck</v>
          </cell>
          <cell r="C664">
            <v>20.25</v>
          </cell>
          <cell r="D664">
            <v>108</v>
          </cell>
          <cell r="E664">
            <v>3</v>
          </cell>
          <cell r="F664" t="str">
            <v>A048</v>
          </cell>
          <cell r="G664">
            <v>100332</v>
          </cell>
          <cell r="H664" t="str">
            <v>TOMATO PASTE FOR BULK
PROCESSING</v>
          </cell>
          <cell r="I664">
            <v>0</v>
          </cell>
        </row>
        <row r="665">
          <cell r="A665">
            <v>68765</v>
          </cell>
          <cell r="B665" t="str">
            <v>SFS Big Daddy's WG Chese Fill Brdstck Blk</v>
          </cell>
          <cell r="C665">
            <v>20.25</v>
          </cell>
          <cell r="D665">
            <v>108</v>
          </cell>
          <cell r="E665">
            <v>3</v>
          </cell>
          <cell r="F665" t="str">
            <v>A048</v>
          </cell>
          <cell r="G665">
            <v>100332</v>
          </cell>
          <cell r="H665" t="str">
            <v>TOMATO PASTE FOR BULK
PROCESSING</v>
          </cell>
          <cell r="I665">
            <v>0</v>
          </cell>
        </row>
        <row r="666">
          <cell r="A666">
            <v>68766</v>
          </cell>
          <cell r="B666" t="str">
            <v>SFS Big Daddy's WG Chese Fill Brdstck IW</v>
          </cell>
          <cell r="C666">
            <v>20.25</v>
          </cell>
          <cell r="D666">
            <v>108</v>
          </cell>
          <cell r="E666">
            <v>3</v>
          </cell>
          <cell r="F666" t="str">
            <v>A048</v>
          </cell>
          <cell r="G666">
            <v>100332</v>
          </cell>
          <cell r="H666" t="str">
            <v>TOMATO PASTE FOR BULK
PROCESSING</v>
          </cell>
          <cell r="I666">
            <v>0</v>
          </cell>
        </row>
        <row r="667">
          <cell r="A667">
            <v>72557</v>
          </cell>
          <cell r="B667" t="str">
            <v>Whole Grain 4x6 Sausage Pizza 50/50</v>
          </cell>
          <cell r="C667">
            <v>28.14</v>
          </cell>
          <cell r="D667">
            <v>96</v>
          </cell>
          <cell r="E667">
            <v>4.6900000000000004</v>
          </cell>
          <cell r="F667" t="str">
            <v>A048</v>
          </cell>
          <cell r="G667">
            <v>100332</v>
          </cell>
          <cell r="H667" t="str">
            <v>TOMATO PASTE FOR BULK
PROCESSING</v>
          </cell>
          <cell r="I667">
            <v>1.53</v>
          </cell>
        </row>
        <row r="668">
          <cell r="A668">
            <v>72558</v>
          </cell>
          <cell r="B668" t="str">
            <v>Whole Grain Wedge Cheese Pizza 100%</v>
          </cell>
          <cell r="C668">
            <v>27.6</v>
          </cell>
          <cell r="D668">
            <v>96</v>
          </cell>
          <cell r="E668">
            <v>4.5999999999999996</v>
          </cell>
          <cell r="F668" t="str">
            <v>A048</v>
          </cell>
          <cell r="G668">
            <v>100332</v>
          </cell>
          <cell r="H668" t="str">
            <v>TOMATO PASTE FOR BULK
PROCESSING</v>
          </cell>
          <cell r="I668">
            <v>1.53</v>
          </cell>
        </row>
        <row r="669">
          <cell r="A669">
            <v>72559</v>
          </cell>
          <cell r="B669" t="str">
            <v>Whole Grain Wedge Pepperoni Pizza 50/50</v>
          </cell>
          <cell r="C669">
            <v>26.88</v>
          </cell>
          <cell r="D669">
            <v>96</v>
          </cell>
          <cell r="E669">
            <v>4.4800000000000004</v>
          </cell>
          <cell r="F669" t="str">
            <v>A048</v>
          </cell>
          <cell r="G669">
            <v>100332</v>
          </cell>
          <cell r="H669" t="str">
            <v>TOMATO PASTE FOR BULK
PROCESSING</v>
          </cell>
          <cell r="I669">
            <v>1.53</v>
          </cell>
        </row>
        <row r="670">
          <cell r="A670">
            <v>72560</v>
          </cell>
          <cell r="B670" t="str">
            <v>Whole Grain Wedge Pepperoni Pizza 100%</v>
          </cell>
          <cell r="C670">
            <v>26.88</v>
          </cell>
          <cell r="D670">
            <v>96</v>
          </cell>
          <cell r="E670">
            <v>4.4800000000000004</v>
          </cell>
          <cell r="F670" t="str">
            <v>A048</v>
          </cell>
          <cell r="G670">
            <v>100332</v>
          </cell>
          <cell r="H670" t="str">
            <v>TOMATO PASTE FOR BULK
PROCESSING</v>
          </cell>
          <cell r="I670">
            <v>1.53</v>
          </cell>
        </row>
        <row r="671">
          <cell r="A671">
            <v>72561</v>
          </cell>
          <cell r="B671" t="str">
            <v>Whole Grain Right Angle Wedge Cheese 50/50</v>
          </cell>
          <cell r="C671">
            <v>27.6</v>
          </cell>
          <cell r="D671">
            <v>96</v>
          </cell>
          <cell r="E671">
            <v>4.5999999999999996</v>
          </cell>
          <cell r="F671" t="str">
            <v>A048</v>
          </cell>
          <cell r="G671">
            <v>100332</v>
          </cell>
          <cell r="H671" t="str">
            <v>TOMATO PASTE FOR BULK
PROCESSING</v>
          </cell>
          <cell r="I671">
            <v>1.53</v>
          </cell>
        </row>
        <row r="672">
          <cell r="A672">
            <v>72562</v>
          </cell>
          <cell r="B672" t="str">
            <v>Whole Grain Right Angle Wedge Pepp 50/50</v>
          </cell>
          <cell r="C672">
            <v>26.88</v>
          </cell>
          <cell r="D672">
            <v>96</v>
          </cell>
          <cell r="E672">
            <v>4.4800000000000004</v>
          </cell>
          <cell r="F672" t="str">
            <v>A048</v>
          </cell>
          <cell r="G672">
            <v>100332</v>
          </cell>
          <cell r="H672" t="str">
            <v>TOMATO PASTE FOR BULK
PROCESSING</v>
          </cell>
          <cell r="I672">
            <v>1.53</v>
          </cell>
        </row>
        <row r="673">
          <cell r="A673">
            <v>72563</v>
          </cell>
          <cell r="B673" t="str">
            <v>Whole Grain Right Angle Wedge Cheese Pizza 100%</v>
          </cell>
          <cell r="C673">
            <v>27.6</v>
          </cell>
          <cell r="D673">
            <v>96</v>
          </cell>
          <cell r="E673">
            <v>4.5999999999999996</v>
          </cell>
          <cell r="F673" t="str">
            <v>A048</v>
          </cell>
          <cell r="G673">
            <v>100332</v>
          </cell>
          <cell r="H673" t="str">
            <v>TOMATO PASTE FOR BULK
PROCESSING</v>
          </cell>
          <cell r="I673">
            <v>1.53</v>
          </cell>
        </row>
        <row r="674">
          <cell r="A674">
            <v>72564</v>
          </cell>
          <cell r="B674" t="str">
            <v>Whole Grain Right Angle Wedge Pepp Pizza 100%</v>
          </cell>
          <cell r="C674">
            <v>26.88</v>
          </cell>
          <cell r="D674">
            <v>96</v>
          </cell>
          <cell r="E674">
            <v>4.4800000000000004</v>
          </cell>
          <cell r="F674" t="str">
            <v>A048</v>
          </cell>
          <cell r="G674">
            <v>100332</v>
          </cell>
          <cell r="H674" t="str">
            <v>TOMATO PASTE FOR BULK
PROCESSING</v>
          </cell>
          <cell r="I674">
            <v>1.53</v>
          </cell>
        </row>
        <row r="675">
          <cell r="A675">
            <v>72565</v>
          </cell>
          <cell r="B675" t="str">
            <v>Whole Grain 3x8 Garlic Cheese Flatbread 50/50</v>
          </cell>
          <cell r="C675">
            <v>25.44</v>
          </cell>
          <cell r="D675">
            <v>96</v>
          </cell>
          <cell r="E675">
            <v>4.24</v>
          </cell>
          <cell r="F675" t="str">
            <v>A048</v>
          </cell>
          <cell r="G675">
            <v>100332</v>
          </cell>
          <cell r="H675" t="str">
            <v>TOMATO PASTE FOR BULK
PROCESSING</v>
          </cell>
          <cell r="I675">
            <v>0</v>
          </cell>
        </row>
        <row r="676">
          <cell r="A676">
            <v>72570</v>
          </cell>
          <cell r="B676" t="str">
            <v>Whole Grain  5" CC Cheese 50/50</v>
          </cell>
          <cell r="C676">
            <v>22.5</v>
          </cell>
          <cell r="D676">
            <v>80</v>
          </cell>
          <cell r="E676">
            <v>4.5</v>
          </cell>
          <cell r="F676" t="str">
            <v>A048</v>
          </cell>
          <cell r="G676">
            <v>100332</v>
          </cell>
          <cell r="H676" t="str">
            <v>TOMATO PASTE FOR BULK
PROCESSING</v>
          </cell>
          <cell r="I676">
            <v>1.27</v>
          </cell>
        </row>
        <row r="677">
          <cell r="A677">
            <v>72571</v>
          </cell>
          <cell r="B677" t="str">
            <v>Whole Grain 5" CC Pepp 50/50</v>
          </cell>
          <cell r="C677">
            <v>22.5</v>
          </cell>
          <cell r="D677">
            <v>80</v>
          </cell>
          <cell r="E677">
            <v>4.5</v>
          </cell>
          <cell r="F677" t="str">
            <v>A048</v>
          </cell>
          <cell r="G677">
            <v>100332</v>
          </cell>
          <cell r="H677" t="str">
            <v>TOMATO PASTE FOR BULK
PROCESSING</v>
          </cell>
          <cell r="I677">
            <v>1.27</v>
          </cell>
        </row>
        <row r="678">
          <cell r="A678">
            <v>72572</v>
          </cell>
          <cell r="B678" t="str">
            <v>Whole Grain 5" Deep Dish Cheese Pizza 50/50</v>
          </cell>
          <cell r="C678">
            <v>18.53</v>
          </cell>
          <cell r="D678">
            <v>60</v>
          </cell>
          <cell r="E678">
            <v>4.9400000000000004</v>
          </cell>
          <cell r="F678" t="str">
            <v>A048</v>
          </cell>
          <cell r="G678">
            <v>100332</v>
          </cell>
          <cell r="H678" t="str">
            <v>TOMATO PASTE FOR BULK
PROCESSING</v>
          </cell>
          <cell r="I678">
            <v>1.04</v>
          </cell>
        </row>
        <row r="679">
          <cell r="A679">
            <v>72573</v>
          </cell>
          <cell r="B679" t="str">
            <v>Whole Grain 5" Deep Dish Pepp Pizza 50/50</v>
          </cell>
          <cell r="C679">
            <v>19.010000000000002</v>
          </cell>
          <cell r="D679">
            <v>60</v>
          </cell>
          <cell r="E679">
            <v>5.07</v>
          </cell>
          <cell r="F679" t="str">
            <v>A048</v>
          </cell>
          <cell r="G679">
            <v>100332</v>
          </cell>
          <cell r="H679" t="str">
            <v>TOMATO PASTE FOR BULK
PROCESSING</v>
          </cell>
          <cell r="I679">
            <v>1.34</v>
          </cell>
        </row>
        <row r="680">
          <cell r="A680">
            <v>72574</v>
          </cell>
          <cell r="B680" t="str">
            <v>Whole Grain 5" Deep Dish Cheese Pizza IW</v>
          </cell>
          <cell r="C680">
            <v>18.53</v>
          </cell>
          <cell r="D680">
            <v>60</v>
          </cell>
          <cell r="E680">
            <v>4.9400000000000004</v>
          </cell>
          <cell r="F680" t="str">
            <v>A048</v>
          </cell>
          <cell r="G680">
            <v>100332</v>
          </cell>
          <cell r="H680" t="str">
            <v>TOMATO PASTE FOR BULK
PROCESSING</v>
          </cell>
          <cell r="I680">
            <v>1.04</v>
          </cell>
        </row>
        <row r="681">
          <cell r="A681">
            <v>72575</v>
          </cell>
          <cell r="B681" t="str">
            <v>Whole Grain 5" Deep Dish Pepp Pizza IW</v>
          </cell>
          <cell r="C681">
            <v>18.86</v>
          </cell>
          <cell r="D681">
            <v>60</v>
          </cell>
          <cell r="E681">
            <v>5.03</v>
          </cell>
          <cell r="F681" t="str">
            <v>A048</v>
          </cell>
          <cell r="G681">
            <v>100332</v>
          </cell>
          <cell r="H681" t="str">
            <v>TOMATO PASTE FOR BULK
PROCESSING</v>
          </cell>
          <cell r="I681">
            <v>1.9</v>
          </cell>
        </row>
        <row r="682">
          <cell r="A682">
            <v>72576</v>
          </cell>
          <cell r="B682" t="str">
            <v>Whole Grain Galaxy Cheese Pizza 50/50</v>
          </cell>
          <cell r="C682">
            <v>19.98</v>
          </cell>
          <cell r="D682">
            <v>72</v>
          </cell>
          <cell r="E682">
            <v>4.4400000000000004</v>
          </cell>
          <cell r="F682" t="str">
            <v>A048</v>
          </cell>
          <cell r="G682">
            <v>100332</v>
          </cell>
          <cell r="H682" t="str">
            <v>TOMATO PASTE FOR BULK
PROCESSING</v>
          </cell>
          <cell r="I682">
            <v>1.1299999999999999</v>
          </cell>
        </row>
        <row r="683">
          <cell r="A683">
            <v>72577</v>
          </cell>
          <cell r="B683" t="str">
            <v>Whole Grain Galaxy Pepp Pizza 50/50</v>
          </cell>
          <cell r="C683">
            <v>19.940000000000001</v>
          </cell>
          <cell r="D683">
            <v>72</v>
          </cell>
          <cell r="E683">
            <v>4.43</v>
          </cell>
          <cell r="F683" t="str">
            <v>A048</v>
          </cell>
          <cell r="G683">
            <v>100332</v>
          </cell>
          <cell r="H683" t="str">
            <v>TOMATO PASTE FOR BULK
PROCESSING</v>
          </cell>
          <cell r="I683">
            <v>1.1299999999999999</v>
          </cell>
        </row>
        <row r="684">
          <cell r="A684">
            <v>72578</v>
          </cell>
          <cell r="B684" t="str">
            <v>Whole Grain Galaxy Cheese Pizza 50/50 IW</v>
          </cell>
          <cell r="C684">
            <v>19.98</v>
          </cell>
          <cell r="D684">
            <v>72</v>
          </cell>
          <cell r="E684">
            <v>4.4400000000000004</v>
          </cell>
          <cell r="F684" t="str">
            <v>A048</v>
          </cell>
          <cell r="G684">
            <v>100332</v>
          </cell>
          <cell r="H684" t="str">
            <v>TOMATO PASTE FOR BULK
PROCESSING</v>
          </cell>
          <cell r="I684">
            <v>1.1299999999999999</v>
          </cell>
        </row>
        <row r="685">
          <cell r="A685">
            <v>72579</v>
          </cell>
          <cell r="B685" t="str">
            <v>Whole Grain Galaxy Pepp Pizza 50/50 IW</v>
          </cell>
          <cell r="C685">
            <v>19.940000000000001</v>
          </cell>
          <cell r="D685">
            <v>72</v>
          </cell>
          <cell r="E685">
            <v>4.43</v>
          </cell>
          <cell r="F685" t="str">
            <v>A048</v>
          </cell>
          <cell r="G685">
            <v>100332</v>
          </cell>
          <cell r="H685" t="str">
            <v>TOMATO PASTE FOR BULK
PROCESSING</v>
          </cell>
          <cell r="I685">
            <v>1.1299999999999999</v>
          </cell>
        </row>
        <row r="686">
          <cell r="A686">
            <v>72691</v>
          </cell>
          <cell r="B686" t="str">
            <v>Whole Grain 3.2x5 Cheese Pizza 50/50</v>
          </cell>
          <cell r="C686">
            <v>31.25</v>
          </cell>
          <cell r="D686">
            <v>100</v>
          </cell>
          <cell r="E686">
            <v>5</v>
          </cell>
          <cell r="F686" t="str">
            <v>A048</v>
          </cell>
          <cell r="G686">
            <v>100332</v>
          </cell>
          <cell r="H686" t="str">
            <v>TOMATO PASTE FOR BULK
PROCESSING</v>
          </cell>
          <cell r="I686">
            <v>1.59</v>
          </cell>
        </row>
        <row r="687">
          <cell r="A687">
            <v>72708</v>
          </cell>
          <cell r="B687" t="str">
            <v>Whole Grain 4x6 Cheese Pizza 100%</v>
          </cell>
          <cell r="C687">
            <v>22.5</v>
          </cell>
          <cell r="D687">
            <v>72</v>
          </cell>
          <cell r="E687">
            <v>5</v>
          </cell>
          <cell r="F687" t="str">
            <v>A048</v>
          </cell>
          <cell r="G687">
            <v>100332</v>
          </cell>
          <cell r="H687" t="str">
            <v>TOMATO PASTE FOR BULK
PROCESSING</v>
          </cell>
          <cell r="I687">
            <v>1.1499999999999999</v>
          </cell>
        </row>
        <row r="688">
          <cell r="A688">
            <v>72709</v>
          </cell>
          <cell r="B688" t="str">
            <v>Whole Grain 4x6 Pepp Pizza 100%</v>
          </cell>
          <cell r="C688">
            <v>22.59</v>
          </cell>
          <cell r="D688">
            <v>72</v>
          </cell>
          <cell r="E688">
            <v>5.0199999999999996</v>
          </cell>
          <cell r="F688" t="str">
            <v>A048</v>
          </cell>
          <cell r="G688">
            <v>100332</v>
          </cell>
          <cell r="H688" t="str">
            <v>TOMATO PASTE FOR BULK
PROCESSING</v>
          </cell>
          <cell r="I688">
            <v>1.1499999999999999</v>
          </cell>
        </row>
        <row r="689">
          <cell r="A689">
            <v>72813</v>
          </cell>
          <cell r="B689" t="str">
            <v>Whole Grain Saus Bkft Bagel 50/50</v>
          </cell>
          <cell r="C689">
            <v>16.5</v>
          </cell>
          <cell r="D689">
            <v>96</v>
          </cell>
          <cell r="E689">
            <v>2.75</v>
          </cell>
          <cell r="F689" t="str">
            <v>A048</v>
          </cell>
          <cell r="G689">
            <v>100332</v>
          </cell>
          <cell r="H689" t="str">
            <v>TOMATO PASTE FOR BULK
PROCESSING</v>
          </cell>
          <cell r="I689">
            <v>0.65</v>
          </cell>
        </row>
        <row r="690">
          <cell r="A690">
            <v>72814</v>
          </cell>
          <cell r="B690" t="str">
            <v>Whole Grain Saus Bkft Bagel 50/50</v>
          </cell>
          <cell r="C690">
            <v>16.5</v>
          </cell>
          <cell r="D690">
            <v>96</v>
          </cell>
          <cell r="E690">
            <v>2.75</v>
          </cell>
          <cell r="F690" t="str">
            <v>A048</v>
          </cell>
          <cell r="G690">
            <v>100332</v>
          </cell>
          <cell r="H690" t="str">
            <v>TOMATO PASTE FOR BULK
PROCESSING</v>
          </cell>
          <cell r="I690">
            <v>0</v>
          </cell>
        </row>
        <row r="691">
          <cell r="A691">
            <v>72814</v>
          </cell>
          <cell r="B691" t="str">
            <v>Whole Grain Pepp Bagel 100%</v>
          </cell>
          <cell r="C691">
            <v>23.63</v>
          </cell>
          <cell r="D691">
            <v>72</v>
          </cell>
          <cell r="E691">
            <v>5.25</v>
          </cell>
          <cell r="F691" t="str">
            <v>A048</v>
          </cell>
          <cell r="G691">
            <v>100332</v>
          </cell>
          <cell r="H691" t="str">
            <v>TOMATO PASTE FOR BULK
PROCESSING</v>
          </cell>
          <cell r="I691">
            <v>1.43</v>
          </cell>
        </row>
        <row r="692">
          <cell r="A692">
            <v>73034</v>
          </cell>
          <cell r="B692" t="str">
            <v>SFS TN WG CL Wdg Cheese 50/50 NR</v>
          </cell>
          <cell r="C692">
            <v>27.6</v>
          </cell>
          <cell r="D692">
            <v>96</v>
          </cell>
          <cell r="E692">
            <v>4.5999999999999996</v>
          </cell>
          <cell r="F692" t="str">
            <v>A048</v>
          </cell>
          <cell r="G692">
            <v>100332</v>
          </cell>
          <cell r="H692" t="str">
            <v>TOMATO PASTE FOR BULK
PROCESSING</v>
          </cell>
          <cell r="I692">
            <v>1.53</v>
          </cell>
        </row>
        <row r="693">
          <cell r="A693">
            <v>73037</v>
          </cell>
          <cell r="B693" t="str">
            <v>Freschetta 16" Sheeted Dough</v>
          </cell>
          <cell r="C693">
            <v>29.25</v>
          </cell>
          <cell r="D693">
            <v>144</v>
          </cell>
          <cell r="E693">
            <v>3.25</v>
          </cell>
          <cell r="F693" t="str">
            <v>A048</v>
          </cell>
          <cell r="G693">
            <v>100332</v>
          </cell>
          <cell r="H693" t="str">
            <v>TOMATO PASTE FOR BULK
PROCESSING</v>
          </cell>
          <cell r="I693">
            <v>0</v>
          </cell>
        </row>
        <row r="694">
          <cell r="A694">
            <v>73039</v>
          </cell>
          <cell r="B694" t="str">
            <v>SFS TN WG CL Wdg Pepp 50/50 NR</v>
          </cell>
          <cell r="C694">
            <v>27.36</v>
          </cell>
          <cell r="D694">
            <v>96</v>
          </cell>
          <cell r="E694">
            <v>4.5599999999999996</v>
          </cell>
          <cell r="F694" t="str">
            <v>A048</v>
          </cell>
          <cell r="G694">
            <v>100332</v>
          </cell>
          <cell r="H694" t="str">
            <v>TOMATO PASTE FOR BULK
PROCESSING</v>
          </cell>
          <cell r="I694">
            <v>1.53</v>
          </cell>
        </row>
        <row r="695">
          <cell r="A695">
            <v>73087</v>
          </cell>
          <cell r="B695" t="str">
            <v>Freschetta 16" Rolled Edge Sheeted Dough</v>
          </cell>
          <cell r="C695">
            <v>21.75</v>
          </cell>
          <cell r="D695">
            <v>96</v>
          </cell>
          <cell r="E695">
            <v>3.63</v>
          </cell>
          <cell r="F695" t="str">
            <v>A048</v>
          </cell>
          <cell r="G695">
            <v>100332</v>
          </cell>
          <cell r="H695" t="str">
            <v>TOMATO PASTE FOR BULK
PROCESSING</v>
          </cell>
          <cell r="I695">
            <v>0</v>
          </cell>
        </row>
        <row r="696">
          <cell r="A696">
            <v>73142</v>
          </cell>
          <cell r="B696" t="str">
            <v>Big Daddy's Cheese Pizza Revised</v>
          </cell>
          <cell r="C696">
            <v>24.35</v>
          </cell>
          <cell r="D696">
            <v>72</v>
          </cell>
          <cell r="E696">
            <v>5.41</v>
          </cell>
          <cell r="F696" t="str">
            <v>A048</v>
          </cell>
          <cell r="G696">
            <v>100332</v>
          </cell>
          <cell r="H696" t="str">
            <v>TOMATO PASTE FOR BULK
PROCESSING</v>
          </cell>
          <cell r="I696">
            <v>0.93</v>
          </cell>
        </row>
        <row r="697">
          <cell r="A697">
            <v>73143</v>
          </cell>
          <cell r="B697" t="str">
            <v>Big Daddy's Pepperoni Pizza Revised</v>
          </cell>
          <cell r="C697">
            <v>24.49</v>
          </cell>
          <cell r="D697">
            <v>72</v>
          </cell>
          <cell r="E697">
            <v>5.44</v>
          </cell>
          <cell r="F697" t="str">
            <v>A048</v>
          </cell>
          <cell r="G697">
            <v>100332</v>
          </cell>
          <cell r="H697" t="str">
            <v>TOMATO PASTE FOR BULK
PROCESSING</v>
          </cell>
          <cell r="I697">
            <v>0.93</v>
          </cell>
        </row>
        <row r="698">
          <cell r="A698">
            <v>73150</v>
          </cell>
          <cell r="B698" t="str">
            <v>Big Daddy's SelfRising Breadstick</v>
          </cell>
          <cell r="C698">
            <v>22.5</v>
          </cell>
          <cell r="D698">
            <v>80</v>
          </cell>
          <cell r="E698">
            <v>4.5</v>
          </cell>
          <cell r="F698" t="str">
            <v>A048</v>
          </cell>
          <cell r="G698">
            <v>100332</v>
          </cell>
          <cell r="H698" t="str">
            <v>TOMATO PASTE FOR BULK
PROCESSING</v>
          </cell>
          <cell r="I698">
            <v>0</v>
          </cell>
        </row>
        <row r="699">
          <cell r="A699">
            <v>73158</v>
          </cell>
          <cell r="B699" t="str">
            <v>Tony's Smart Whole Grain Cheese 50/50-submit to usda with mz changing on approved sepds</v>
          </cell>
          <cell r="C699">
            <v>27.6</v>
          </cell>
          <cell r="D699">
            <v>96</v>
          </cell>
          <cell r="E699">
            <v>4.5999999999999996</v>
          </cell>
          <cell r="F699" t="str">
            <v>A048</v>
          </cell>
          <cell r="G699">
            <v>100332</v>
          </cell>
          <cell r="H699" t="str">
            <v>TOMATO PASTE FOR BULK
PROCESSING</v>
          </cell>
          <cell r="I699">
            <v>1.53</v>
          </cell>
        </row>
        <row r="700">
          <cell r="A700">
            <v>73159</v>
          </cell>
          <cell r="B700" t="str">
            <v>Tony's Smart Whole Grain Pepp 50/50-set up bom</v>
          </cell>
          <cell r="C700">
            <v>26.88</v>
          </cell>
          <cell r="D700">
            <v>96</v>
          </cell>
          <cell r="E700">
            <v>4.4800000000000004</v>
          </cell>
          <cell r="F700" t="str">
            <v>A048</v>
          </cell>
          <cell r="G700">
            <v>100332</v>
          </cell>
          <cell r="H700" t="str">
            <v>TOMATO PASTE FOR BULK
PROCESSING</v>
          </cell>
          <cell r="I700">
            <v>1.53</v>
          </cell>
        </row>
        <row r="701">
          <cell r="A701">
            <v>73160</v>
          </cell>
          <cell r="B701" t="str">
            <v>Tony's Classic Wedge WG Sausage 50/50</v>
          </cell>
          <cell r="C701">
            <v>28.14</v>
          </cell>
          <cell r="D701">
            <v>96</v>
          </cell>
          <cell r="E701">
            <v>4.6900000000000004</v>
          </cell>
          <cell r="F701" t="str">
            <v>A048</v>
          </cell>
          <cell r="G701">
            <v>100332</v>
          </cell>
          <cell r="H701" t="str">
            <v>TOMATO PASTE FOR BULK
PROCESSING</v>
          </cell>
          <cell r="I701">
            <v>1.53</v>
          </cell>
        </row>
        <row r="702">
          <cell r="A702">
            <v>73162</v>
          </cell>
          <cell r="B702" t="str">
            <v>Red Baron Proof Perfect 7" Cheese w/boxes</v>
          </cell>
          <cell r="C702">
            <v>23.74</v>
          </cell>
          <cell r="D702">
            <v>48</v>
          </cell>
          <cell r="E702">
            <v>7.91</v>
          </cell>
          <cell r="F702" t="str">
            <v>A048</v>
          </cell>
          <cell r="G702">
            <v>100332</v>
          </cell>
          <cell r="H702" t="str">
            <v>TOMATO PASTE FOR BULK
PROCESSING</v>
          </cell>
          <cell r="I702">
            <v>0.98</v>
          </cell>
        </row>
        <row r="703">
          <cell r="A703">
            <v>73163</v>
          </cell>
          <cell r="B703" t="str">
            <v>Red Baron Proof Perfect 7" Pepperoni w/boxes</v>
          </cell>
          <cell r="C703">
            <v>23.74</v>
          </cell>
          <cell r="D703">
            <v>48</v>
          </cell>
          <cell r="E703">
            <v>7.91</v>
          </cell>
          <cell r="F703" t="str">
            <v>A048</v>
          </cell>
          <cell r="G703">
            <v>100332</v>
          </cell>
          <cell r="H703" t="str">
            <v>TOMATO PASTE FOR BULK
PROCESSING</v>
          </cell>
          <cell r="I703">
            <v>0.98</v>
          </cell>
        </row>
        <row r="704">
          <cell r="A704">
            <v>73217</v>
          </cell>
          <cell r="B704" t="str">
            <v>Tony's Pepperoni Stuffed SandIW</v>
          </cell>
          <cell r="C704">
            <v>6.75</v>
          </cell>
          <cell r="D704">
            <v>24</v>
          </cell>
          <cell r="E704">
            <v>4.5</v>
          </cell>
          <cell r="F704" t="str">
            <v>A048</v>
          </cell>
          <cell r="G704">
            <v>100332</v>
          </cell>
          <cell r="H704" t="str">
            <v>TOMATO PASTE FOR BULK
PROCESSING</v>
          </cell>
          <cell r="I704">
            <v>0.28000000000000003</v>
          </cell>
        </row>
        <row r="705">
          <cell r="A705">
            <v>73316</v>
          </cell>
          <cell r="B705" t="str">
            <v>Tony's Whole Grain Stuffed Sticks 50/50 revised fl</v>
          </cell>
          <cell r="C705">
            <v>26.25</v>
          </cell>
          <cell r="D705">
            <v>100</v>
          </cell>
          <cell r="E705">
            <v>4.2</v>
          </cell>
          <cell r="F705" t="str">
            <v>A048</v>
          </cell>
          <cell r="G705">
            <v>100332</v>
          </cell>
          <cell r="H705" t="str">
            <v>TOMATO PASTE FOR BULK
PROCESSING</v>
          </cell>
          <cell r="I705">
            <v>0</v>
          </cell>
        </row>
        <row r="706">
          <cell r="A706">
            <v>73318</v>
          </cell>
          <cell r="B706" t="str">
            <v>Tony's 51% Whole Grain 50/50 Cheese Stick</v>
          </cell>
          <cell r="C706">
            <v>26.44</v>
          </cell>
          <cell r="D706">
            <v>100</v>
          </cell>
          <cell r="E706">
            <v>4.2300000000000004</v>
          </cell>
          <cell r="F706" t="str">
            <v>A048</v>
          </cell>
          <cell r="G706">
            <v>100332</v>
          </cell>
          <cell r="H706" t="str">
            <v>TOMATO PASTE FOR BULK
PROCESSING</v>
          </cell>
          <cell r="I706">
            <v>0</v>
          </cell>
        </row>
        <row r="707">
          <cell r="A707">
            <v>73325</v>
          </cell>
          <cell r="B707" t="str">
            <v>Tony's Whole Grain Stuffed Sticks 50/50</v>
          </cell>
          <cell r="C707">
            <v>26.25</v>
          </cell>
          <cell r="D707">
            <v>100</v>
          </cell>
          <cell r="E707">
            <v>4.2</v>
          </cell>
          <cell r="F707" t="str">
            <v>A048</v>
          </cell>
          <cell r="G707">
            <v>100332</v>
          </cell>
          <cell r="H707" t="str">
            <v>TOMATO PASTE FOR BULK
PROCESSING</v>
          </cell>
          <cell r="I707">
            <v>0</v>
          </cell>
        </row>
        <row r="708">
          <cell r="A708">
            <v>73328</v>
          </cell>
          <cell r="B708" t="str">
            <v>Tony's Stuffed Sticks  100%</v>
          </cell>
          <cell r="C708">
            <v>26.25</v>
          </cell>
          <cell r="D708">
            <v>200</v>
          </cell>
          <cell r="E708">
            <v>2.1</v>
          </cell>
          <cell r="F708" t="str">
            <v>A048</v>
          </cell>
          <cell r="G708">
            <v>100332</v>
          </cell>
          <cell r="H708" t="str">
            <v>TOMATO PASTE FOR BULK
PROCESSING</v>
          </cell>
          <cell r="I708">
            <v>0</v>
          </cell>
        </row>
        <row r="709">
          <cell r="A709">
            <v>73329</v>
          </cell>
          <cell r="B709" t="str">
            <v>Tony's Stuffed Sticks 50/50</v>
          </cell>
          <cell r="C709">
            <v>26.25</v>
          </cell>
          <cell r="D709">
            <v>200</v>
          </cell>
          <cell r="E709">
            <v>2.1</v>
          </cell>
          <cell r="F709" t="str">
            <v>A048</v>
          </cell>
          <cell r="G709">
            <v>100332</v>
          </cell>
          <cell r="H709" t="str">
            <v>TOMATO PASTE FOR BULK
PROCESSING</v>
          </cell>
          <cell r="I709">
            <v>0</v>
          </cell>
        </row>
        <row r="710">
          <cell r="A710">
            <v>73336</v>
          </cell>
          <cell r="B710" t="str">
            <v>Tony's Cheese Filled Breadstick</v>
          </cell>
          <cell r="C710">
            <v>18</v>
          </cell>
          <cell r="D710">
            <v>96</v>
          </cell>
          <cell r="E710">
            <v>3</v>
          </cell>
          <cell r="F710" t="str">
            <v>A048</v>
          </cell>
          <cell r="G710">
            <v>100332</v>
          </cell>
          <cell r="H710" t="str">
            <v>TOMATO PASTE FOR BULK
PROCESSING</v>
          </cell>
          <cell r="I710">
            <v>0</v>
          </cell>
        </row>
        <row r="711">
          <cell r="A711">
            <v>73338</v>
          </cell>
          <cell r="B711" t="str">
            <v>Tony's Whole Grain Stuffed Sticks 100%</v>
          </cell>
          <cell r="C711">
            <v>26.25</v>
          </cell>
          <cell r="D711">
            <v>100</v>
          </cell>
          <cell r="E711">
            <v>4.2</v>
          </cell>
          <cell r="F711" t="str">
            <v>A048</v>
          </cell>
          <cell r="G711">
            <v>100332</v>
          </cell>
          <cell r="H711" t="str">
            <v>TOMATO PASTE FOR BULK
PROCESSING</v>
          </cell>
          <cell r="I711">
            <v>0</v>
          </cell>
        </row>
        <row r="712">
          <cell r="A712">
            <v>73339</v>
          </cell>
          <cell r="B712" t="str">
            <v>Tony's Whole Grain Stuffed Sticks 100%</v>
          </cell>
          <cell r="C712">
            <v>26.25</v>
          </cell>
          <cell r="D712">
            <v>100</v>
          </cell>
          <cell r="E712">
            <v>4.2</v>
          </cell>
          <cell r="F712" t="str">
            <v>A048</v>
          </cell>
          <cell r="G712">
            <v>100332</v>
          </cell>
          <cell r="H712" t="str">
            <v>TOMATO PASTE FOR BULK
PROCESSING</v>
          </cell>
          <cell r="I712">
            <v>0</v>
          </cell>
        </row>
        <row r="713">
          <cell r="A713">
            <v>73341</v>
          </cell>
          <cell r="B713" t="str">
            <v>Tony's 3x8 Garlic Cheese Bread Pizza</v>
          </cell>
          <cell r="C713">
            <v>27.12</v>
          </cell>
          <cell r="D713">
            <v>96</v>
          </cell>
          <cell r="E713">
            <v>4.5199999999999996</v>
          </cell>
          <cell r="F713" t="str">
            <v>A048</v>
          </cell>
          <cell r="G713">
            <v>100332</v>
          </cell>
          <cell r="H713" t="str">
            <v>TOMATO PASTE FOR BULK
PROCESSING</v>
          </cell>
          <cell r="I713">
            <v>0</v>
          </cell>
        </row>
        <row r="714">
          <cell r="A714">
            <v>74709</v>
          </cell>
          <cell r="B714" t="str">
            <v>Tony's Smart Classic Wedge 4 Block Cheese</v>
          </cell>
          <cell r="C714">
            <v>23.05</v>
          </cell>
          <cell r="D714">
            <v>80</v>
          </cell>
          <cell r="E714">
            <v>4.6100000000000003</v>
          </cell>
          <cell r="F714" t="str">
            <v>A048</v>
          </cell>
          <cell r="G714">
            <v>100332</v>
          </cell>
          <cell r="H714" t="str">
            <v>TOMATO PASTE FOR BULK
PROCESSING</v>
          </cell>
          <cell r="I714">
            <v>1.29</v>
          </cell>
        </row>
        <row r="715">
          <cell r="A715">
            <v>74710</v>
          </cell>
          <cell r="B715" t="str">
            <v>Tony's Smart Classic Wedge 4 Block Pepp</v>
          </cell>
          <cell r="C715">
            <v>23.5</v>
          </cell>
          <cell r="D715">
            <v>80</v>
          </cell>
          <cell r="E715">
            <v>4.7</v>
          </cell>
          <cell r="F715" t="str">
            <v>A048</v>
          </cell>
          <cell r="G715">
            <v>100332</v>
          </cell>
          <cell r="H715" t="str">
            <v>TOMATO PASTE FOR BULK
PROCESSING</v>
          </cell>
          <cell r="I715">
            <v>1.29</v>
          </cell>
        </row>
        <row r="716">
          <cell r="A716">
            <v>74711</v>
          </cell>
          <cell r="B716" t="str">
            <v>Tony's Smart Right Angle Wedge Cheese/Sub</v>
          </cell>
          <cell r="C716">
            <v>28.2</v>
          </cell>
          <cell r="D716">
            <v>96</v>
          </cell>
          <cell r="E716">
            <v>4.7</v>
          </cell>
          <cell r="F716" t="str">
            <v>A048</v>
          </cell>
          <cell r="G716">
            <v>100332</v>
          </cell>
          <cell r="H716" t="str">
            <v>TOMATO PASTE FOR BULK
PROCESSING</v>
          </cell>
          <cell r="I716">
            <v>1.54</v>
          </cell>
        </row>
        <row r="717">
          <cell r="A717">
            <v>74712</v>
          </cell>
          <cell r="B717" t="str">
            <v>Tony's Smart Right Angle Wedge Pepp</v>
          </cell>
          <cell r="C717">
            <v>28.74</v>
          </cell>
          <cell r="D717">
            <v>96</v>
          </cell>
          <cell r="E717">
            <v>4.79</v>
          </cell>
          <cell r="F717" t="str">
            <v>A048</v>
          </cell>
          <cell r="G717">
            <v>100332</v>
          </cell>
          <cell r="H717" t="str">
            <v>TOMATO PASTE FOR BULK
PROCESSING</v>
          </cell>
          <cell r="I717">
            <v>1.54</v>
          </cell>
        </row>
        <row r="718">
          <cell r="A718">
            <v>74716</v>
          </cell>
          <cell r="B718" t="str">
            <v>Tony's SEW Sausage 100% Mozz</v>
          </cell>
          <cell r="C718">
            <v>23.5</v>
          </cell>
          <cell r="D718">
            <v>80</v>
          </cell>
          <cell r="E718">
            <v>4.7</v>
          </cell>
          <cell r="F718" t="str">
            <v>A048</v>
          </cell>
          <cell r="G718">
            <v>100332</v>
          </cell>
          <cell r="H718" t="str">
            <v>TOMATO PASTE FOR BULK
PROCESSING</v>
          </cell>
          <cell r="I718">
            <v>1.39</v>
          </cell>
        </row>
        <row r="719">
          <cell r="A719">
            <v>74793</v>
          </cell>
          <cell r="B719" t="str">
            <v>4x6 Cheese IW</v>
          </cell>
          <cell r="C719">
            <v>27</v>
          </cell>
          <cell r="D719">
            <v>96</v>
          </cell>
          <cell r="E719">
            <v>4.5</v>
          </cell>
          <cell r="F719" t="str">
            <v>A048</v>
          </cell>
          <cell r="G719">
            <v>100332</v>
          </cell>
          <cell r="H719" t="str">
            <v>TOMATO PASTE FOR BULK
PROCESSING</v>
          </cell>
          <cell r="I719">
            <v>0</v>
          </cell>
        </row>
        <row r="720">
          <cell r="A720">
            <v>74794</v>
          </cell>
          <cell r="B720" t="str">
            <v>4x6 Cheese Bulk</v>
          </cell>
          <cell r="C720">
            <v>27</v>
          </cell>
          <cell r="D720">
            <v>96</v>
          </cell>
          <cell r="E720">
            <v>4.5</v>
          </cell>
          <cell r="F720" t="str">
            <v>A048</v>
          </cell>
          <cell r="G720">
            <v>100332</v>
          </cell>
          <cell r="H720" t="str">
            <v>TOMATO PASTE FOR BULK
PROCESSING</v>
          </cell>
          <cell r="I720">
            <v>0</v>
          </cell>
        </row>
        <row r="721">
          <cell r="A721">
            <v>74801</v>
          </cell>
          <cell r="B721" t="str">
            <v>Whole Grain Deep Dish Pepp Pizza (TR)</v>
          </cell>
          <cell r="C721">
            <v>22.5</v>
          </cell>
          <cell r="D721">
            <v>60</v>
          </cell>
          <cell r="E721">
            <v>6</v>
          </cell>
          <cell r="F721" t="str">
            <v>A048</v>
          </cell>
          <cell r="G721">
            <v>100332</v>
          </cell>
          <cell r="H721" t="str">
            <v>TOMATO PASTE FOR BULK
PROCESSING</v>
          </cell>
          <cell r="I721">
            <v>0</v>
          </cell>
        </row>
        <row r="722">
          <cell r="A722">
            <v>74802</v>
          </cell>
          <cell r="B722" t="str">
            <v>Whole Grain Deep Dish Pepp Pizza Wraped (TR)</v>
          </cell>
          <cell r="C722">
            <v>22.5</v>
          </cell>
          <cell r="D722">
            <v>60</v>
          </cell>
          <cell r="E722">
            <v>6</v>
          </cell>
          <cell r="F722" t="str">
            <v>A048</v>
          </cell>
          <cell r="G722">
            <v>100332</v>
          </cell>
          <cell r="H722" t="str">
            <v>TOMATO PASTE FOR BULK
PROCESSING</v>
          </cell>
          <cell r="I722">
            <v>0</v>
          </cell>
        </row>
        <row r="723">
          <cell r="A723">
            <v>74803</v>
          </cell>
          <cell r="B723" t="str">
            <v>Whole Grain Deep Dish Chs Pizza  (TR)</v>
          </cell>
          <cell r="C723">
            <v>22.5</v>
          </cell>
          <cell r="D723">
            <v>60</v>
          </cell>
          <cell r="E723">
            <v>6</v>
          </cell>
          <cell r="F723" t="str">
            <v>A048</v>
          </cell>
          <cell r="G723">
            <v>100332</v>
          </cell>
          <cell r="H723" t="str">
            <v>TOMATO PASTE FOR BULK
PROCESSING</v>
          </cell>
          <cell r="I723">
            <v>0</v>
          </cell>
        </row>
        <row r="724">
          <cell r="A724">
            <v>74804</v>
          </cell>
          <cell r="B724" t="str">
            <v>Whole Grain Deep Dish Chs Pizza Wrapd (TR)</v>
          </cell>
          <cell r="C724">
            <v>22.5</v>
          </cell>
          <cell r="D724">
            <v>60</v>
          </cell>
          <cell r="E724">
            <v>6</v>
          </cell>
          <cell r="F724" t="str">
            <v>A048</v>
          </cell>
          <cell r="G724">
            <v>100332</v>
          </cell>
          <cell r="H724" t="str">
            <v>TOMATO PASTE FOR BULK
PROCESSING</v>
          </cell>
          <cell r="I724">
            <v>0</v>
          </cell>
        </row>
        <row r="725">
          <cell r="A725">
            <v>74805</v>
          </cell>
          <cell r="B725" t="str">
            <v>Rounded Edge Cheese Pizza (TR)</v>
          </cell>
          <cell r="C725">
            <v>26.25</v>
          </cell>
          <cell r="D725">
            <v>84</v>
          </cell>
          <cell r="E725">
            <v>5</v>
          </cell>
          <cell r="F725" t="str">
            <v>A048</v>
          </cell>
          <cell r="G725">
            <v>100332</v>
          </cell>
          <cell r="H725" t="str">
            <v>TOMATO PASTE FOR BULK
PROCESSING</v>
          </cell>
          <cell r="I725">
            <v>0</v>
          </cell>
        </row>
        <row r="726">
          <cell r="A726">
            <v>74806</v>
          </cell>
          <cell r="B726" t="str">
            <v>Rounded Edge Wedge Chs Pizza Wrapped (TR)</v>
          </cell>
          <cell r="C726">
            <v>26.25</v>
          </cell>
          <cell r="D726">
            <v>84</v>
          </cell>
          <cell r="E726">
            <v>5</v>
          </cell>
          <cell r="F726" t="str">
            <v>A048</v>
          </cell>
          <cell r="G726">
            <v>100332</v>
          </cell>
          <cell r="H726" t="str">
            <v>TOMATO PASTE FOR BULK
PROCESSING</v>
          </cell>
          <cell r="I726">
            <v>0</v>
          </cell>
        </row>
        <row r="727">
          <cell r="A727">
            <v>74807</v>
          </cell>
          <cell r="B727" t="str">
            <v>Rounded Edge Wedge Pepp Pizza (TR)</v>
          </cell>
          <cell r="C727">
            <v>26.25</v>
          </cell>
          <cell r="D727">
            <v>84</v>
          </cell>
          <cell r="E727">
            <v>5</v>
          </cell>
          <cell r="F727" t="str">
            <v>A048</v>
          </cell>
          <cell r="G727">
            <v>100332</v>
          </cell>
          <cell r="H727" t="str">
            <v>TOMATO PASTE FOR BULK
PROCESSING</v>
          </cell>
          <cell r="I727">
            <v>0</v>
          </cell>
        </row>
        <row r="728">
          <cell r="A728">
            <v>74808</v>
          </cell>
          <cell r="B728" t="str">
            <v>Rounded Edge Wedge Pepp Pizza Wrapd (TR)</v>
          </cell>
          <cell r="C728">
            <v>26.25</v>
          </cell>
          <cell r="D728">
            <v>84</v>
          </cell>
          <cell r="E728">
            <v>5</v>
          </cell>
          <cell r="F728" t="str">
            <v>A048</v>
          </cell>
          <cell r="G728">
            <v>100332</v>
          </cell>
          <cell r="H728" t="str">
            <v>TOMATO PASTE FOR BULK
PROCESSING</v>
          </cell>
          <cell r="I728">
            <v>0</v>
          </cell>
        </row>
        <row r="729">
          <cell r="A729">
            <v>74809</v>
          </cell>
          <cell r="B729" t="str">
            <v>Turkey Sausage Pizza (TR)</v>
          </cell>
          <cell r="C729">
            <v>19.75</v>
          </cell>
          <cell r="D729">
            <v>100</v>
          </cell>
          <cell r="E729">
            <v>3.16</v>
          </cell>
          <cell r="F729" t="str">
            <v>A048</v>
          </cell>
          <cell r="G729">
            <v>100332</v>
          </cell>
          <cell r="H729" t="str">
            <v>TOMATO PASTE FOR BULK
PROCESSING</v>
          </cell>
          <cell r="I729">
            <v>0</v>
          </cell>
        </row>
        <row r="730">
          <cell r="A730">
            <v>74810</v>
          </cell>
          <cell r="B730" t="str">
            <v>Turkey Sausage Pizza Wrapd (TR)</v>
          </cell>
          <cell r="C730">
            <v>19.75</v>
          </cell>
          <cell r="D730">
            <v>100</v>
          </cell>
          <cell r="E730">
            <v>3.16</v>
          </cell>
          <cell r="F730" t="str">
            <v>A048</v>
          </cell>
          <cell r="G730">
            <v>100332</v>
          </cell>
          <cell r="H730" t="str">
            <v>TOMATO PASTE FOR BULK
PROCESSING</v>
          </cell>
          <cell r="I730">
            <v>0</v>
          </cell>
        </row>
        <row r="731">
          <cell r="A731">
            <v>74811</v>
          </cell>
          <cell r="B731" t="str">
            <v>3x8 Garlic Cheese Toast (TR)</v>
          </cell>
          <cell r="C731">
            <v>16.05</v>
          </cell>
          <cell r="D731">
            <v>48</v>
          </cell>
          <cell r="E731">
            <v>5.35</v>
          </cell>
          <cell r="F731" t="str">
            <v>A048</v>
          </cell>
          <cell r="G731">
            <v>100332</v>
          </cell>
          <cell r="H731" t="str">
            <v>TOMATO PASTE FOR BULK
PROCESSING</v>
          </cell>
          <cell r="I731">
            <v>0</v>
          </cell>
        </row>
        <row r="732">
          <cell r="A732">
            <v>74812</v>
          </cell>
          <cell r="B732" t="str">
            <v>3x8 Garlic Cheese Toast Wrapped (TR)</v>
          </cell>
          <cell r="C732">
            <v>16.05</v>
          </cell>
          <cell r="D732">
            <v>48</v>
          </cell>
          <cell r="E732">
            <v>5.35</v>
          </cell>
          <cell r="F732" t="str">
            <v>A048</v>
          </cell>
          <cell r="G732">
            <v>100332</v>
          </cell>
          <cell r="H732" t="str">
            <v>TOMATO PASTE FOR BULK
PROCESSING</v>
          </cell>
          <cell r="I732">
            <v>0</v>
          </cell>
        </row>
        <row r="733">
          <cell r="A733">
            <v>74813</v>
          </cell>
          <cell r="B733" t="str">
            <v>3x5 Garlic Cheese Toast (TR)</v>
          </cell>
          <cell r="C733">
            <v>15.19</v>
          </cell>
          <cell r="D733">
            <v>90</v>
          </cell>
          <cell r="E733">
            <v>2.7</v>
          </cell>
          <cell r="F733" t="str">
            <v>A048</v>
          </cell>
          <cell r="G733">
            <v>100332</v>
          </cell>
          <cell r="H733" t="str">
            <v>TOMATO PASTE FOR BULK
PROCESSING</v>
          </cell>
          <cell r="I733">
            <v>0</v>
          </cell>
        </row>
        <row r="734">
          <cell r="A734">
            <v>74814</v>
          </cell>
          <cell r="B734" t="str">
            <v>3x5 Garlic Cheese Toast Wrapped (TR)</v>
          </cell>
          <cell r="C734">
            <v>15.19</v>
          </cell>
          <cell r="D734">
            <v>90</v>
          </cell>
          <cell r="E734">
            <v>2.7</v>
          </cell>
          <cell r="F734" t="str">
            <v>A048</v>
          </cell>
          <cell r="G734">
            <v>100332</v>
          </cell>
          <cell r="H734" t="str">
            <v>TOMATO PASTE FOR BULK
PROCESSING</v>
          </cell>
          <cell r="I734">
            <v>0</v>
          </cell>
        </row>
        <row r="735">
          <cell r="A735">
            <v>74815</v>
          </cell>
          <cell r="B735" t="str">
            <v>French Bread Pepp Pizza Wrapped (TR)</v>
          </cell>
          <cell r="C735">
            <v>18.75</v>
          </cell>
          <cell r="D735">
            <v>60</v>
          </cell>
          <cell r="E735">
            <v>5</v>
          </cell>
          <cell r="F735" t="str">
            <v>A048</v>
          </cell>
          <cell r="G735">
            <v>100332</v>
          </cell>
          <cell r="H735" t="str">
            <v>TOMATO PASTE FOR BULK
PROCESSING</v>
          </cell>
          <cell r="I735">
            <v>0</v>
          </cell>
        </row>
        <row r="736">
          <cell r="A736">
            <v>74816</v>
          </cell>
          <cell r="B736" t="str">
            <v>4x6 Cheese Pizza Wrapped (TR)</v>
          </cell>
          <cell r="C736">
            <v>30</v>
          </cell>
          <cell r="D736">
            <v>96</v>
          </cell>
          <cell r="E736">
            <v>5</v>
          </cell>
          <cell r="F736" t="str">
            <v>A048</v>
          </cell>
          <cell r="G736">
            <v>100332</v>
          </cell>
          <cell r="H736" t="str">
            <v>TOMATO PASTE FOR BULK
PROCESSING</v>
          </cell>
          <cell r="I736">
            <v>0</v>
          </cell>
        </row>
        <row r="737">
          <cell r="A737">
            <v>74817</v>
          </cell>
          <cell r="B737" t="str">
            <v>Pepperoni Pizza Bagel</v>
          </cell>
          <cell r="C737">
            <v>28.61</v>
          </cell>
          <cell r="D737">
            <v>84</v>
          </cell>
          <cell r="E737">
            <v>5.45</v>
          </cell>
          <cell r="F737" t="str">
            <v>A048</v>
          </cell>
          <cell r="G737">
            <v>100332</v>
          </cell>
          <cell r="H737" t="str">
            <v>TOMATO PASTE FOR BULK
PROCESSING</v>
          </cell>
          <cell r="I737">
            <v>0</v>
          </cell>
        </row>
        <row r="738">
          <cell r="A738">
            <v>74833</v>
          </cell>
          <cell r="B738" t="str">
            <v>4x6 Cheese Pizza Wrapped (TR)</v>
          </cell>
          <cell r="C738">
            <v>30</v>
          </cell>
          <cell r="D738">
            <v>96</v>
          </cell>
          <cell r="E738">
            <v>5</v>
          </cell>
          <cell r="F738" t="str">
            <v>A048</v>
          </cell>
          <cell r="G738">
            <v>100332</v>
          </cell>
          <cell r="H738" t="str">
            <v>TOMATO PASTE FOR BULK
PROCESSING</v>
          </cell>
          <cell r="I738">
            <v>0</v>
          </cell>
        </row>
        <row r="739">
          <cell r="A739">
            <v>74834</v>
          </cell>
          <cell r="B739" t="str">
            <v>Cheese Wedge Pizza (TR)</v>
          </cell>
          <cell r="C739">
            <v>27</v>
          </cell>
          <cell r="D739">
            <v>96</v>
          </cell>
          <cell r="E739">
            <v>4.5</v>
          </cell>
          <cell r="F739" t="str">
            <v>A048</v>
          </cell>
          <cell r="G739">
            <v>100332</v>
          </cell>
          <cell r="H739" t="str">
            <v>TOMATO PASTE FOR BULK
PROCESSING</v>
          </cell>
          <cell r="I739">
            <v>0</v>
          </cell>
        </row>
        <row r="740">
          <cell r="A740">
            <v>74835</v>
          </cell>
          <cell r="B740" t="str">
            <v>Tony's Pizza Strip 3.1 oz Pepp Bulk</v>
          </cell>
          <cell r="C740">
            <v>9.3000000000000007</v>
          </cell>
          <cell r="D740">
            <v>48</v>
          </cell>
          <cell r="E740">
            <v>3.1</v>
          </cell>
          <cell r="F740" t="str">
            <v>A048</v>
          </cell>
          <cell r="G740">
            <v>100332</v>
          </cell>
          <cell r="H740" t="str">
            <v>TOMATO PASTE FOR BULK
PROCESSING</v>
          </cell>
          <cell r="I740">
            <v>0.35</v>
          </cell>
        </row>
        <row r="741">
          <cell r="A741">
            <v>74836</v>
          </cell>
          <cell r="B741" t="str">
            <v>Tony's Pizza Strip 3.1 oz Pepp IW</v>
          </cell>
          <cell r="C741">
            <v>9.3000000000000007</v>
          </cell>
          <cell r="D741">
            <v>48</v>
          </cell>
          <cell r="E741">
            <v>3.1</v>
          </cell>
          <cell r="F741" t="str">
            <v>A048</v>
          </cell>
          <cell r="G741">
            <v>100332</v>
          </cell>
          <cell r="H741" t="str">
            <v>TOMATO PASTE FOR BULK
PROCESSING</v>
          </cell>
          <cell r="I741">
            <v>0.35</v>
          </cell>
        </row>
        <row r="742">
          <cell r="A742">
            <v>74837</v>
          </cell>
          <cell r="B742" t="str">
            <v>Tony's Stuffed Sandwich turkey Pepp Bulk-revised</v>
          </cell>
          <cell r="C742">
            <v>13.38</v>
          </cell>
          <cell r="D742">
            <v>48</v>
          </cell>
          <cell r="E742">
            <v>4.46</v>
          </cell>
          <cell r="F742" t="str">
            <v>A048</v>
          </cell>
          <cell r="G742">
            <v>100332</v>
          </cell>
          <cell r="H742" t="str">
            <v>TOMATO PASTE FOR BULK
PROCESSING</v>
          </cell>
          <cell r="I742">
            <v>0.77</v>
          </cell>
        </row>
        <row r="743">
          <cell r="A743">
            <v>74838</v>
          </cell>
          <cell r="B743" t="str">
            <v>Tony's Stuff Sandwich Turkey Pepp IW-revised</v>
          </cell>
          <cell r="C743">
            <v>6.69</v>
          </cell>
          <cell r="D743">
            <v>24</v>
          </cell>
          <cell r="E743">
            <v>4.46</v>
          </cell>
          <cell r="F743" t="str">
            <v>A048</v>
          </cell>
          <cell r="G743">
            <v>100332</v>
          </cell>
          <cell r="H743" t="str">
            <v>TOMATO PASTE FOR BULK
PROCESSING</v>
          </cell>
          <cell r="I743">
            <v>0.39</v>
          </cell>
        </row>
        <row r="744">
          <cell r="A744">
            <v>78329</v>
          </cell>
          <cell r="B744" t="str">
            <v>Tony's WG 4x6 Thin Crust 4x6 Pepp IW</v>
          </cell>
          <cell r="C744">
            <v>30</v>
          </cell>
          <cell r="D744">
            <v>96</v>
          </cell>
          <cell r="E744">
            <v>5</v>
          </cell>
          <cell r="F744" t="str">
            <v>A048</v>
          </cell>
          <cell r="G744">
            <v>100332</v>
          </cell>
          <cell r="H744" t="str">
            <v>TOMATO PASTE FOR BULK
PROCESSING</v>
          </cell>
          <cell r="I744">
            <v>1.76</v>
          </cell>
        </row>
        <row r="745">
          <cell r="A745">
            <v>78330</v>
          </cell>
          <cell r="B745" t="str">
            <v>Tony's WG Classic Wedge WG Pepp IW</v>
          </cell>
          <cell r="C745">
            <v>30.06</v>
          </cell>
          <cell r="D745">
            <v>96</v>
          </cell>
          <cell r="E745">
            <v>5.01</v>
          </cell>
          <cell r="F745" t="str">
            <v>A048</v>
          </cell>
          <cell r="G745">
            <v>100332</v>
          </cell>
          <cell r="H745" t="str">
            <v>TOMATO PASTE FOR BULK
PROCESSING</v>
          </cell>
          <cell r="I745">
            <v>1.77</v>
          </cell>
        </row>
        <row r="746">
          <cell r="A746">
            <v>78331</v>
          </cell>
          <cell r="B746" t="str">
            <v>Tony's WG 6" French Bread Cheese</v>
          </cell>
          <cell r="C746">
            <v>18.75</v>
          </cell>
          <cell r="D746">
            <v>60</v>
          </cell>
          <cell r="E746">
            <v>5</v>
          </cell>
          <cell r="F746" t="str">
            <v>A048</v>
          </cell>
          <cell r="G746">
            <v>100332</v>
          </cell>
          <cell r="H746" t="str">
            <v>TOMATO PASTE FOR BULK
PROCESSING</v>
          </cell>
          <cell r="I746">
            <v>1.06</v>
          </cell>
        </row>
        <row r="747">
          <cell r="A747">
            <v>78354</v>
          </cell>
          <cell r="B747" t="str">
            <v>7" 51% WG Rising Crust Cheese- update bom</v>
          </cell>
          <cell r="C747">
            <v>21.81</v>
          </cell>
          <cell r="D747">
            <v>48</v>
          </cell>
          <cell r="E747">
            <v>7.27</v>
          </cell>
          <cell r="F747" t="str">
            <v>A048</v>
          </cell>
          <cell r="G747">
            <v>100332</v>
          </cell>
          <cell r="H747" t="str">
            <v>TOMATO PASTE FOR BULK
PROCESSING</v>
          </cell>
          <cell r="I747">
            <v>1.1399999999999999</v>
          </cell>
        </row>
        <row r="748">
          <cell r="A748">
            <v>78355</v>
          </cell>
          <cell r="B748" t="str">
            <v>7" 51% WG Rising Crust Pepp-update bom</v>
          </cell>
          <cell r="C748">
            <v>21.9</v>
          </cell>
          <cell r="D748">
            <v>48</v>
          </cell>
          <cell r="E748">
            <v>7.3</v>
          </cell>
          <cell r="F748" t="str">
            <v>A048</v>
          </cell>
          <cell r="G748">
            <v>100332</v>
          </cell>
          <cell r="H748" t="str">
            <v>TOMATO PASTE FOR BULK
PROCESSING</v>
          </cell>
          <cell r="I748">
            <v>1.1399999999999999</v>
          </cell>
        </row>
        <row r="749">
          <cell r="A749">
            <v>78356</v>
          </cell>
          <cell r="B749" t="str">
            <v>6" Cheese 51% Whole Grain</v>
          </cell>
          <cell r="C749">
            <v>18.41</v>
          </cell>
          <cell r="D749">
            <v>60</v>
          </cell>
          <cell r="E749">
            <v>4.91</v>
          </cell>
          <cell r="F749" t="str">
            <v>A048</v>
          </cell>
          <cell r="G749">
            <v>100332</v>
          </cell>
          <cell r="H749" t="str">
            <v>TOMATO PASTE FOR BULK
PROCESSING</v>
          </cell>
          <cell r="I749">
            <v>0</v>
          </cell>
        </row>
        <row r="750">
          <cell r="A750">
            <v>78357</v>
          </cell>
          <cell r="B750" t="str">
            <v>6" Pepperoni 51% Whole Grain</v>
          </cell>
          <cell r="C750">
            <v>18.38</v>
          </cell>
          <cell r="D750">
            <v>60</v>
          </cell>
          <cell r="E750">
            <v>4.9000000000000004</v>
          </cell>
          <cell r="F750" t="str">
            <v>A048</v>
          </cell>
          <cell r="G750">
            <v>100332</v>
          </cell>
          <cell r="H750" t="str">
            <v>TOMATO PASTE FOR BULK
PROCESSING</v>
          </cell>
          <cell r="I750">
            <v>0</v>
          </cell>
        </row>
        <row r="751">
          <cell r="A751">
            <v>78358</v>
          </cell>
          <cell r="B751" t="str">
            <v>6" Sausage 51% Whole Grain</v>
          </cell>
          <cell r="C751">
            <v>18.75</v>
          </cell>
          <cell r="D751">
            <v>60</v>
          </cell>
          <cell r="E751">
            <v>5</v>
          </cell>
          <cell r="F751" t="str">
            <v>A048</v>
          </cell>
          <cell r="G751">
            <v>100332</v>
          </cell>
          <cell r="H751" t="str">
            <v>TOMATO PASTE FOR BULK
PROCESSING</v>
          </cell>
          <cell r="I751">
            <v>0</v>
          </cell>
        </row>
        <row r="752">
          <cell r="A752">
            <v>78359</v>
          </cell>
          <cell r="B752" t="str">
            <v>6" MultiCheese 51% Whole Grain</v>
          </cell>
          <cell r="C752">
            <v>15.98</v>
          </cell>
          <cell r="D752">
            <v>60</v>
          </cell>
          <cell r="E752">
            <v>4.26</v>
          </cell>
          <cell r="F752" t="str">
            <v>A048</v>
          </cell>
          <cell r="G752">
            <v>100332</v>
          </cell>
          <cell r="H752" t="str">
            <v>TOMATO PASTE FOR BULK
PROCESSING</v>
          </cell>
          <cell r="I752">
            <v>0</v>
          </cell>
        </row>
        <row r="753">
          <cell r="A753">
            <v>78360</v>
          </cell>
          <cell r="B753" t="str">
            <v>6" Pepp 51% Whole Grain IW</v>
          </cell>
          <cell r="C753">
            <v>18.38</v>
          </cell>
          <cell r="D753">
            <v>60</v>
          </cell>
          <cell r="E753">
            <v>4.9000000000000004</v>
          </cell>
          <cell r="F753" t="str">
            <v>A048</v>
          </cell>
          <cell r="G753">
            <v>100332</v>
          </cell>
          <cell r="H753" t="str">
            <v>TOMATO PASTE FOR BULK
PROCESSING</v>
          </cell>
          <cell r="I753">
            <v>0</v>
          </cell>
        </row>
        <row r="754">
          <cell r="A754">
            <v>78361</v>
          </cell>
          <cell r="B754" t="str">
            <v>6" MultiCheese 51% Whole Grain IW</v>
          </cell>
          <cell r="C754">
            <v>15.98</v>
          </cell>
          <cell r="D754">
            <v>60</v>
          </cell>
          <cell r="E754">
            <v>4.26</v>
          </cell>
          <cell r="F754" t="str">
            <v>A048</v>
          </cell>
          <cell r="G754">
            <v>100332</v>
          </cell>
          <cell r="H754" t="str">
            <v>TOMATO PASTE FOR BULK
PROCESSING</v>
          </cell>
          <cell r="I754">
            <v>0</v>
          </cell>
        </row>
        <row r="755">
          <cell r="A755">
            <v>78362</v>
          </cell>
          <cell r="B755" t="str">
            <v>Turkey Sausage Bagel (Red Sauce)</v>
          </cell>
          <cell r="C755">
            <v>15.9</v>
          </cell>
          <cell r="D755">
            <v>96</v>
          </cell>
          <cell r="E755">
            <v>2.65</v>
          </cell>
          <cell r="F755" t="str">
            <v>A048</v>
          </cell>
          <cell r="G755">
            <v>100332</v>
          </cell>
          <cell r="H755" t="str">
            <v>TOMATO PASTE FOR BULK
PROCESSING</v>
          </cell>
          <cell r="I755">
            <v>0.65</v>
          </cell>
        </row>
        <row r="756">
          <cell r="A756">
            <v>78363</v>
          </cell>
          <cell r="B756" t="str">
            <v>Turkey Sausage Bagel (White Sauce)</v>
          </cell>
          <cell r="C756">
            <v>15.72</v>
          </cell>
          <cell r="D756">
            <v>96</v>
          </cell>
          <cell r="E756">
            <v>2.62</v>
          </cell>
          <cell r="F756" t="str">
            <v>A048</v>
          </cell>
          <cell r="G756">
            <v>100332</v>
          </cell>
          <cell r="H756" t="str">
            <v>TOMATO PASTE FOR BULK
PROCESSING</v>
          </cell>
          <cell r="I756">
            <v>0</v>
          </cell>
        </row>
        <row r="757">
          <cell r="A757">
            <v>78364</v>
          </cell>
          <cell r="B757" t="str">
            <v>4" Galaxy Cheese Bulk</v>
          </cell>
          <cell r="C757">
            <v>20.48</v>
          </cell>
          <cell r="D757">
            <v>72</v>
          </cell>
          <cell r="E757">
            <v>4.55</v>
          </cell>
          <cell r="F757" t="str">
            <v>A048</v>
          </cell>
          <cell r="G757">
            <v>100332</v>
          </cell>
          <cell r="H757" t="str">
            <v>TOMATO PASTE FOR BULK
PROCESSING</v>
          </cell>
          <cell r="I757">
            <v>1.1499999999999999</v>
          </cell>
        </row>
        <row r="758">
          <cell r="A758">
            <v>78365</v>
          </cell>
          <cell r="B758" t="str">
            <v>4" Galaxy Pepperoni Bulk</v>
          </cell>
          <cell r="C758">
            <v>20.48</v>
          </cell>
          <cell r="D758">
            <v>72</v>
          </cell>
          <cell r="E758">
            <v>4.55</v>
          </cell>
          <cell r="F758" t="str">
            <v>A048</v>
          </cell>
          <cell r="G758">
            <v>100332</v>
          </cell>
          <cell r="H758" t="str">
            <v>TOMATO PASTE FOR BULK
PROCESSING</v>
          </cell>
          <cell r="I758">
            <v>1.1499999999999999</v>
          </cell>
        </row>
        <row r="759">
          <cell r="A759">
            <v>78366</v>
          </cell>
          <cell r="B759" t="str">
            <v>4" Galaxy Cheese IW</v>
          </cell>
          <cell r="C759">
            <v>20.48</v>
          </cell>
          <cell r="D759">
            <v>72</v>
          </cell>
          <cell r="E759">
            <v>4.55</v>
          </cell>
          <cell r="F759" t="str">
            <v>A048</v>
          </cell>
          <cell r="G759">
            <v>100332</v>
          </cell>
          <cell r="H759" t="str">
            <v>TOMATO PASTE FOR BULK
PROCESSING</v>
          </cell>
          <cell r="I759">
            <v>1.1499999999999999</v>
          </cell>
        </row>
        <row r="760">
          <cell r="A760">
            <v>78367</v>
          </cell>
          <cell r="B760" t="str">
            <v>4" Galaxy Pepperoni IW</v>
          </cell>
          <cell r="C760">
            <v>20.48</v>
          </cell>
          <cell r="D760">
            <v>72</v>
          </cell>
          <cell r="E760">
            <v>4.55</v>
          </cell>
          <cell r="F760" t="str">
            <v>A048</v>
          </cell>
          <cell r="G760">
            <v>100332</v>
          </cell>
          <cell r="H760" t="str">
            <v>TOMATO PASTE FOR BULK
PROCESSING</v>
          </cell>
          <cell r="I760">
            <v>1.1499999999999999</v>
          </cell>
        </row>
        <row r="761">
          <cell r="A761">
            <v>78368</v>
          </cell>
          <cell r="B761" t="str">
            <v>5" Deep Dish Cheese Bulk</v>
          </cell>
          <cell r="C761">
            <v>21.94</v>
          </cell>
          <cell r="D761">
            <v>60</v>
          </cell>
          <cell r="E761">
            <v>5.85</v>
          </cell>
          <cell r="F761" t="str">
            <v>A048</v>
          </cell>
          <cell r="G761">
            <v>100332</v>
          </cell>
          <cell r="H761" t="str">
            <v>TOMATO PASTE FOR BULK
PROCESSING</v>
          </cell>
          <cell r="I761">
            <v>1.24</v>
          </cell>
        </row>
        <row r="762">
          <cell r="A762">
            <v>78369</v>
          </cell>
          <cell r="B762" t="str">
            <v>5" Deep Dish Pepp Bulk</v>
          </cell>
          <cell r="C762">
            <v>21.94</v>
          </cell>
          <cell r="D762">
            <v>60</v>
          </cell>
          <cell r="E762">
            <v>5.85</v>
          </cell>
          <cell r="F762" t="str">
            <v>A048</v>
          </cell>
          <cell r="G762">
            <v>100332</v>
          </cell>
          <cell r="H762" t="str">
            <v>TOMATO PASTE FOR BULK
PROCESSING</v>
          </cell>
          <cell r="I762">
            <v>1.24</v>
          </cell>
        </row>
        <row r="763">
          <cell r="A763">
            <v>78370</v>
          </cell>
          <cell r="B763" t="str">
            <v>5" Deep Dish Cheese IW</v>
          </cell>
          <cell r="C763">
            <v>21.94</v>
          </cell>
          <cell r="D763">
            <v>60</v>
          </cell>
          <cell r="E763">
            <v>5.85</v>
          </cell>
          <cell r="F763" t="str">
            <v>A048</v>
          </cell>
          <cell r="G763">
            <v>100332</v>
          </cell>
          <cell r="H763" t="str">
            <v>TOMATO PASTE FOR BULK
PROCESSING</v>
          </cell>
          <cell r="I763">
            <v>1.24</v>
          </cell>
        </row>
        <row r="764">
          <cell r="A764">
            <v>78371</v>
          </cell>
          <cell r="B764" t="str">
            <v>5" Deep Dish Pepperoni IW</v>
          </cell>
          <cell r="C764">
            <v>21.94</v>
          </cell>
          <cell r="D764">
            <v>60</v>
          </cell>
          <cell r="E764">
            <v>5.85</v>
          </cell>
          <cell r="F764" t="str">
            <v>A048</v>
          </cell>
          <cell r="G764">
            <v>100332</v>
          </cell>
          <cell r="H764" t="str">
            <v>TOMATO PASTE FOR BULK
PROCESSING</v>
          </cell>
          <cell r="I764">
            <v>1.24</v>
          </cell>
        </row>
        <row r="765">
          <cell r="A765">
            <v>78372</v>
          </cell>
          <cell r="B765" t="str">
            <v>Cheese Quesadilla</v>
          </cell>
          <cell r="C765">
            <v>26.63</v>
          </cell>
          <cell r="D765">
            <v>96</v>
          </cell>
          <cell r="E765">
            <v>4.4400000000000004</v>
          </cell>
          <cell r="F765" t="str">
            <v>A048</v>
          </cell>
          <cell r="G765">
            <v>100332</v>
          </cell>
          <cell r="H765" t="str">
            <v>TOMATO PASTE FOR BULK
PROCESSING</v>
          </cell>
          <cell r="I765">
            <v>0.65</v>
          </cell>
        </row>
        <row r="766">
          <cell r="A766">
            <v>78373</v>
          </cell>
          <cell r="B766" t="str">
            <v>Chicken Quesadilla</v>
          </cell>
          <cell r="C766">
            <v>26.63</v>
          </cell>
          <cell r="D766">
            <v>96</v>
          </cell>
          <cell r="E766">
            <v>4.4400000000000004</v>
          </cell>
          <cell r="F766" t="str">
            <v>A048</v>
          </cell>
          <cell r="G766">
            <v>100332</v>
          </cell>
          <cell r="H766" t="str">
            <v>TOMATO PASTE FOR BULK
PROCESSING</v>
          </cell>
          <cell r="I766">
            <v>0.65</v>
          </cell>
        </row>
        <row r="767">
          <cell r="A767">
            <v>78374</v>
          </cell>
          <cell r="B767" t="str">
            <v>Chili and Cheese Quesadilla</v>
          </cell>
          <cell r="C767">
            <v>27</v>
          </cell>
          <cell r="D767">
            <v>96</v>
          </cell>
          <cell r="E767">
            <v>4.4000000000000004</v>
          </cell>
          <cell r="F767" t="str">
            <v>A048</v>
          </cell>
          <cell r="G767">
            <v>100332</v>
          </cell>
          <cell r="H767" t="str">
            <v>TOMATO PASTE FOR BULK
PROCESSING</v>
          </cell>
          <cell r="I767">
            <v>0.31</v>
          </cell>
        </row>
        <row r="768">
          <cell r="A768">
            <v>78375</v>
          </cell>
          <cell r="B768" t="str">
            <v>Tony's Stuffed  Stick Whole Grain</v>
          </cell>
          <cell r="C768">
            <v>26.43</v>
          </cell>
          <cell r="D768">
            <v>100</v>
          </cell>
          <cell r="E768">
            <v>4.2300000000000004</v>
          </cell>
          <cell r="F768" t="str">
            <v>A048</v>
          </cell>
          <cell r="G768">
            <v>100332</v>
          </cell>
          <cell r="H768" t="str">
            <v>TOMATO PASTE FOR BULK
PROCESSING</v>
          </cell>
          <cell r="I768">
            <v>0</v>
          </cell>
        </row>
        <row r="769">
          <cell r="A769">
            <v>78376</v>
          </cell>
          <cell r="B769" t="str">
            <v>Whole Grain Stuffed Sandwich Pepp</v>
          </cell>
          <cell r="C769">
            <v>13.59</v>
          </cell>
          <cell r="D769">
            <v>48</v>
          </cell>
          <cell r="E769">
            <v>4.53</v>
          </cell>
          <cell r="F769" t="str">
            <v>A048</v>
          </cell>
          <cell r="G769">
            <v>100332</v>
          </cell>
          <cell r="H769" t="str">
            <v>TOMATO PASTE FOR BULK
PROCESSING</v>
          </cell>
          <cell r="I769">
            <v>0.79</v>
          </cell>
        </row>
        <row r="770">
          <cell r="A770">
            <v>78377</v>
          </cell>
          <cell r="B770" t="str">
            <v>Whole Grain Stuffed Sand Pepp IW</v>
          </cell>
          <cell r="C770">
            <v>6.8</v>
          </cell>
          <cell r="D770">
            <v>24</v>
          </cell>
          <cell r="E770">
            <v>4.53</v>
          </cell>
          <cell r="F770" t="str">
            <v>A048</v>
          </cell>
          <cell r="G770">
            <v>100332</v>
          </cell>
          <cell r="H770" t="str">
            <v>TOMATO PASTE FOR BULK
PROCESSING</v>
          </cell>
          <cell r="I770">
            <v>0.4</v>
          </cell>
        </row>
        <row r="771">
          <cell r="A771">
            <v>78378</v>
          </cell>
          <cell r="B771" t="str">
            <v>Whole Grain Pepperoni Pizza Strip</v>
          </cell>
          <cell r="C771">
            <v>9.3000000000000007</v>
          </cell>
          <cell r="D771">
            <v>48</v>
          </cell>
          <cell r="E771">
            <v>3.1</v>
          </cell>
          <cell r="F771" t="str">
            <v>A048</v>
          </cell>
          <cell r="G771">
            <v>100332</v>
          </cell>
          <cell r="H771" t="str">
            <v>TOMATO PASTE FOR BULK
PROCESSING</v>
          </cell>
          <cell r="I771">
            <v>0.38</v>
          </cell>
        </row>
        <row r="772">
          <cell r="A772">
            <v>78379</v>
          </cell>
          <cell r="B772" t="str">
            <v>Whole Grain Pepp Pizza Strip  IW</v>
          </cell>
          <cell r="C772">
            <v>9.3000000000000007</v>
          </cell>
          <cell r="D772">
            <v>48</v>
          </cell>
          <cell r="E772">
            <v>3.1</v>
          </cell>
          <cell r="F772" t="str">
            <v>A048</v>
          </cell>
          <cell r="G772">
            <v>100332</v>
          </cell>
          <cell r="H772" t="str">
            <v>TOMATO PASTE FOR BULK
PROCESSING</v>
          </cell>
          <cell r="I772">
            <v>0.38</v>
          </cell>
        </row>
        <row r="773">
          <cell r="A773">
            <v>78380</v>
          </cell>
          <cell r="B773" t="str">
            <v>WG 7" Stuffed Crust Wedge Cheese</v>
          </cell>
          <cell r="C773">
            <v>27.24</v>
          </cell>
          <cell r="D773">
            <v>96</v>
          </cell>
          <cell r="E773">
            <v>4.54</v>
          </cell>
          <cell r="F773" t="str">
            <v>A048</v>
          </cell>
          <cell r="G773">
            <v>100332</v>
          </cell>
          <cell r="H773" t="str">
            <v>TOMATO PASTE FOR BULK
PROCESSING</v>
          </cell>
          <cell r="I773">
            <v>1.53</v>
          </cell>
        </row>
        <row r="774">
          <cell r="A774">
            <v>78381</v>
          </cell>
          <cell r="B774" t="str">
            <v>WG 7" Stuffed Crust Wedge Pepp</v>
          </cell>
          <cell r="C774">
            <v>27.3</v>
          </cell>
          <cell r="D774">
            <v>96</v>
          </cell>
          <cell r="E774">
            <v>4.55</v>
          </cell>
          <cell r="F774" t="str">
            <v>A048</v>
          </cell>
          <cell r="G774">
            <v>100332</v>
          </cell>
          <cell r="H774" t="str">
            <v>TOMATO PASTE FOR BULK
PROCESSING</v>
          </cell>
          <cell r="I774">
            <v>1.53</v>
          </cell>
        </row>
        <row r="775">
          <cell r="A775">
            <v>78382</v>
          </cell>
          <cell r="B775" t="str">
            <v>51% WG SEW Cheese</v>
          </cell>
          <cell r="C775">
            <v>35.700000000000003</v>
          </cell>
          <cell r="D775">
            <v>96</v>
          </cell>
          <cell r="E775">
            <v>5.95</v>
          </cell>
          <cell r="F775" t="str">
            <v>A048</v>
          </cell>
          <cell r="G775">
            <v>100332</v>
          </cell>
          <cell r="H775" t="str">
            <v>TOMATO PASTE FOR BULK
PROCESSING</v>
          </cell>
          <cell r="I775">
            <v>3.08</v>
          </cell>
        </row>
        <row r="776">
          <cell r="A776">
            <v>78383</v>
          </cell>
          <cell r="B776" t="str">
            <v>51% WG SEW Pepperoni Pizza</v>
          </cell>
          <cell r="C776">
            <v>35.82</v>
          </cell>
          <cell r="D776">
            <v>96</v>
          </cell>
          <cell r="E776">
            <v>5.97</v>
          </cell>
          <cell r="F776" t="str">
            <v>A048</v>
          </cell>
          <cell r="G776">
            <v>100332</v>
          </cell>
          <cell r="H776" t="str">
            <v>TOMATO PASTE FOR BULK
PROCESSING</v>
          </cell>
          <cell r="I776">
            <v>3.08</v>
          </cell>
        </row>
        <row r="777">
          <cell r="A777">
            <v>78384</v>
          </cell>
          <cell r="B777" t="str">
            <v>51% WG SEW Cheese Pizza</v>
          </cell>
          <cell r="C777">
            <v>29.75</v>
          </cell>
          <cell r="D777">
            <v>80</v>
          </cell>
          <cell r="E777">
            <v>5.95</v>
          </cell>
          <cell r="F777" t="str">
            <v>A048</v>
          </cell>
          <cell r="G777">
            <v>100332</v>
          </cell>
          <cell r="H777" t="str">
            <v>TOMATO PASTE FOR BULK
PROCESSING</v>
          </cell>
          <cell r="I777">
            <v>2.57</v>
          </cell>
        </row>
        <row r="778">
          <cell r="A778">
            <v>78385</v>
          </cell>
          <cell r="B778" t="str">
            <v>51% WG SEW Pepp Pizza</v>
          </cell>
          <cell r="C778">
            <v>29.85</v>
          </cell>
          <cell r="D778">
            <v>80</v>
          </cell>
          <cell r="E778">
            <v>5.97</v>
          </cell>
          <cell r="F778" t="str">
            <v>A048</v>
          </cell>
          <cell r="G778">
            <v>100332</v>
          </cell>
          <cell r="H778" t="str">
            <v>TOMATO PASTE FOR BULK
PROCESSING</v>
          </cell>
          <cell r="I778">
            <v>2.57</v>
          </cell>
        </row>
        <row r="779">
          <cell r="A779">
            <v>78386</v>
          </cell>
          <cell r="B779" t="str">
            <v>WG 4x6 Stuffed Crust Cheese</v>
          </cell>
          <cell r="C779">
            <v>26.94</v>
          </cell>
          <cell r="D779">
            <v>96</v>
          </cell>
          <cell r="E779">
            <v>4.49</v>
          </cell>
          <cell r="F779" t="str">
            <v>A048</v>
          </cell>
          <cell r="G779">
            <v>100332</v>
          </cell>
          <cell r="H779" t="str">
            <v>TOMATO PASTE FOR BULK
PROCESSING</v>
          </cell>
          <cell r="I779">
            <v>1.53</v>
          </cell>
        </row>
        <row r="780">
          <cell r="A780">
            <v>78387</v>
          </cell>
          <cell r="B780" t="str">
            <v>WG 4x6 Stuffed Crust Pepperoni</v>
          </cell>
          <cell r="C780">
            <v>26.34</v>
          </cell>
          <cell r="D780">
            <v>96</v>
          </cell>
          <cell r="E780">
            <v>4.3899999999999997</v>
          </cell>
          <cell r="F780" t="str">
            <v>A048</v>
          </cell>
          <cell r="G780">
            <v>100332</v>
          </cell>
          <cell r="H780" t="str">
            <v>TOMATO PASTE FOR BULK
PROCESSING</v>
          </cell>
          <cell r="I780">
            <v>1.53</v>
          </cell>
        </row>
        <row r="781">
          <cell r="A781">
            <v>78388</v>
          </cell>
          <cell r="B781" t="str">
            <v>Big Daddy's Sicilian</v>
          </cell>
          <cell r="C781">
            <v>30.1</v>
          </cell>
          <cell r="D781">
            <v>96</v>
          </cell>
          <cell r="E781">
            <v>5.0199999999999996</v>
          </cell>
          <cell r="F781" t="str">
            <v>A048</v>
          </cell>
          <cell r="G781">
            <v>100332</v>
          </cell>
          <cell r="H781" t="str">
            <v>TOMATO PASTE FOR BULK
PROCESSING</v>
          </cell>
          <cell r="I781">
            <v>1.53</v>
          </cell>
        </row>
        <row r="782">
          <cell r="A782">
            <v>78391</v>
          </cell>
          <cell r="B782" t="str">
            <v>Whole Grain Pizza Bagel Cheese</v>
          </cell>
          <cell r="C782">
            <v>28.8</v>
          </cell>
          <cell r="D782">
            <v>96</v>
          </cell>
          <cell r="E782">
            <v>4.8</v>
          </cell>
          <cell r="F782" t="str">
            <v>A048</v>
          </cell>
          <cell r="G782">
            <v>100332</v>
          </cell>
          <cell r="H782" t="str">
            <v>TOMATO PASTE FOR BULK
PROCESSING</v>
          </cell>
          <cell r="I782">
            <v>1.48</v>
          </cell>
        </row>
        <row r="783">
          <cell r="A783">
            <v>78392</v>
          </cell>
          <cell r="B783" t="str">
            <v>Big Daddy's Hand Tossed Pepperoni Pre-Sliced 8-Cut</v>
          </cell>
          <cell r="C783">
            <v>23.4</v>
          </cell>
          <cell r="D783">
            <v>72</v>
          </cell>
          <cell r="E783">
            <v>5.2</v>
          </cell>
          <cell r="F783" t="str">
            <v>A048</v>
          </cell>
          <cell r="G783">
            <v>100332</v>
          </cell>
          <cell r="H783" t="str">
            <v>TOMATO PASTE FOR BULK
PROCESSING</v>
          </cell>
          <cell r="I783">
            <v>1.1399999999999999</v>
          </cell>
        </row>
        <row r="784">
          <cell r="A784">
            <v>78397</v>
          </cell>
          <cell r="B784" t="str">
            <v>Big Daddy's Hand Tossed Cheese Pre-Sliced</v>
          </cell>
          <cell r="C784">
            <v>23.26</v>
          </cell>
          <cell r="D784">
            <v>72</v>
          </cell>
          <cell r="E784">
            <v>5.17</v>
          </cell>
          <cell r="F784" t="str">
            <v>A048</v>
          </cell>
          <cell r="G784">
            <v>100332</v>
          </cell>
          <cell r="H784" t="str">
            <v>TOMATO PASTE FOR BULK
PROCESSING</v>
          </cell>
          <cell r="I784">
            <v>1.1399999999999999</v>
          </cell>
        </row>
        <row r="785">
          <cell r="A785">
            <v>78398</v>
          </cell>
          <cell r="B785" t="str">
            <v>Big Daddy's Hand Tossed Cheese</v>
          </cell>
          <cell r="C785">
            <v>23.26</v>
          </cell>
          <cell r="D785">
            <v>72</v>
          </cell>
          <cell r="E785">
            <v>5.17</v>
          </cell>
          <cell r="F785" t="str">
            <v>A048</v>
          </cell>
          <cell r="G785">
            <v>100332</v>
          </cell>
          <cell r="H785" t="str">
            <v>TOMATO PASTE FOR BULK
PROCESSING</v>
          </cell>
          <cell r="I785">
            <v>1.1399999999999999</v>
          </cell>
        </row>
        <row r="786">
          <cell r="A786">
            <v>78399</v>
          </cell>
          <cell r="B786" t="str">
            <v>Big Daddy's Hand tossed Pepperoni</v>
          </cell>
          <cell r="C786">
            <v>23.4</v>
          </cell>
          <cell r="D786">
            <v>72</v>
          </cell>
          <cell r="E786">
            <v>5.2</v>
          </cell>
          <cell r="F786" t="str">
            <v>A048</v>
          </cell>
          <cell r="G786">
            <v>100332</v>
          </cell>
          <cell r="H786" t="str">
            <v>TOMATO PASTE FOR BULK
PROCESSING</v>
          </cell>
          <cell r="I786">
            <v>1.1399999999999999</v>
          </cell>
        </row>
        <row r="787">
          <cell r="A787">
            <v>78448</v>
          </cell>
          <cell r="B787" t="str">
            <v>Tony's Smart Pizza 4x6 100% Cheese</v>
          </cell>
          <cell r="C787">
            <v>27.6</v>
          </cell>
          <cell r="D787">
            <v>96</v>
          </cell>
          <cell r="E787">
            <v>4.5999999999999996</v>
          </cell>
          <cell r="F787" t="str">
            <v>A048</v>
          </cell>
          <cell r="G787">
            <v>100332</v>
          </cell>
          <cell r="H787" t="str">
            <v>TOMATO PASTE FOR BULK
PROCESSING</v>
          </cell>
          <cell r="I787">
            <v>1.51</v>
          </cell>
        </row>
        <row r="788">
          <cell r="A788">
            <v>78449</v>
          </cell>
          <cell r="B788" t="str">
            <v>Tony's Smart Pizza 4x6 100% Pepp</v>
          </cell>
          <cell r="C788">
            <v>27</v>
          </cell>
          <cell r="D788">
            <v>96</v>
          </cell>
          <cell r="E788">
            <v>4.5</v>
          </cell>
          <cell r="F788" t="str">
            <v>A048</v>
          </cell>
          <cell r="G788">
            <v>100332</v>
          </cell>
          <cell r="H788" t="str">
            <v>TOMATO PASTE FOR BULK
PROCESSING</v>
          </cell>
          <cell r="I788">
            <v>1.35</v>
          </cell>
        </row>
        <row r="789">
          <cell r="A789">
            <v>78454</v>
          </cell>
          <cell r="B789" t="str">
            <v>Tony's 4x6 Cheese/Sub Cheese Smart Pizza</v>
          </cell>
          <cell r="C789">
            <v>27.36</v>
          </cell>
          <cell r="D789">
            <v>96</v>
          </cell>
          <cell r="E789">
            <v>4.5599999999999996</v>
          </cell>
          <cell r="F789" t="str">
            <v>A048</v>
          </cell>
          <cell r="G789">
            <v>100332</v>
          </cell>
          <cell r="H789" t="str">
            <v>TOMATO PASTE FOR BULK
PROCESSING</v>
          </cell>
          <cell r="I789">
            <v>1.53</v>
          </cell>
        </row>
        <row r="790">
          <cell r="A790">
            <v>78455</v>
          </cell>
          <cell r="B790" t="str">
            <v>Tony's 4x6 Pepp</v>
          </cell>
          <cell r="C790">
            <v>27.9</v>
          </cell>
          <cell r="D790">
            <v>96</v>
          </cell>
          <cell r="E790">
            <v>4.6500000000000004</v>
          </cell>
          <cell r="F790" t="str">
            <v>A048</v>
          </cell>
          <cell r="G790">
            <v>100332</v>
          </cell>
          <cell r="H790" t="str">
            <v>TOMATO PASTE FOR BULK
PROCESSING</v>
          </cell>
          <cell r="I790">
            <v>1.53</v>
          </cell>
        </row>
        <row r="791">
          <cell r="A791">
            <v>78456</v>
          </cell>
          <cell r="B791" t="str">
            <v>Tony's 4x6 Saus</v>
          </cell>
          <cell r="C791">
            <v>27.87</v>
          </cell>
          <cell r="D791">
            <v>96</v>
          </cell>
          <cell r="E791">
            <v>4.6500000000000004</v>
          </cell>
          <cell r="F791" t="str">
            <v>A048</v>
          </cell>
          <cell r="G791">
            <v>100332</v>
          </cell>
          <cell r="H791" t="str">
            <v>TOMATO PASTE FOR BULK
PROCESSING</v>
          </cell>
          <cell r="I791">
            <v>1.53</v>
          </cell>
        </row>
        <row r="792">
          <cell r="A792">
            <v>78474</v>
          </cell>
          <cell r="B792" t="str">
            <v>4" Cheese 100%BULK</v>
          </cell>
          <cell r="C792">
            <v>22.5</v>
          </cell>
          <cell r="D792">
            <v>72</v>
          </cell>
          <cell r="E792">
            <v>5</v>
          </cell>
          <cell r="F792" t="str">
            <v>A048</v>
          </cell>
          <cell r="G792">
            <v>100332</v>
          </cell>
          <cell r="H792" t="str">
            <v>TOMATO PASTE FOR BULK
PROCESSING</v>
          </cell>
          <cell r="I792">
            <v>1.19</v>
          </cell>
        </row>
        <row r="793">
          <cell r="A793">
            <v>78475</v>
          </cell>
          <cell r="B793" t="str">
            <v>4" Cheese 100% IW</v>
          </cell>
          <cell r="C793">
            <v>22.5</v>
          </cell>
          <cell r="D793">
            <v>72</v>
          </cell>
          <cell r="E793">
            <v>5</v>
          </cell>
          <cell r="F793" t="str">
            <v>A048</v>
          </cell>
          <cell r="G793">
            <v>100332</v>
          </cell>
          <cell r="H793" t="str">
            <v>TOMATO PASTE FOR BULK
PROCESSING</v>
          </cell>
          <cell r="I793">
            <v>1.19</v>
          </cell>
        </row>
        <row r="794">
          <cell r="A794">
            <v>78477</v>
          </cell>
          <cell r="B794" t="str">
            <v>4" Red Fat Pepp 100% Cheese IW</v>
          </cell>
          <cell r="C794">
            <v>22.5</v>
          </cell>
          <cell r="D794">
            <v>72</v>
          </cell>
          <cell r="E794">
            <v>5</v>
          </cell>
          <cell r="F794" t="str">
            <v>A048</v>
          </cell>
          <cell r="G794">
            <v>100332</v>
          </cell>
          <cell r="H794" t="str">
            <v>TOMATO PASTE FOR BULK
PROCESSING</v>
          </cell>
          <cell r="I794">
            <v>1.19</v>
          </cell>
        </row>
        <row r="795">
          <cell r="A795">
            <v>78504</v>
          </cell>
          <cell r="B795" t="str">
            <v>6" French Bread Cheese Pizza</v>
          </cell>
          <cell r="C795">
            <v>19.88</v>
          </cell>
          <cell r="D795">
            <v>60</v>
          </cell>
          <cell r="E795">
            <v>5.3</v>
          </cell>
          <cell r="F795" t="str">
            <v>A048</v>
          </cell>
          <cell r="G795">
            <v>100332</v>
          </cell>
          <cell r="H795" t="str">
            <v>TOMATO PASTE FOR BULK
PROCESSING</v>
          </cell>
          <cell r="I795">
            <v>1.69</v>
          </cell>
        </row>
        <row r="796">
          <cell r="A796">
            <v>78505</v>
          </cell>
          <cell r="B796" t="str">
            <v>6" French Bread Pepp Pizza</v>
          </cell>
          <cell r="C796">
            <v>19.5</v>
          </cell>
          <cell r="D796">
            <v>60</v>
          </cell>
          <cell r="E796">
            <v>5.2</v>
          </cell>
          <cell r="F796" t="str">
            <v>A048</v>
          </cell>
          <cell r="G796">
            <v>100332</v>
          </cell>
          <cell r="H796" t="str">
            <v>TOMATO PASTE FOR BULK
PROCESSING</v>
          </cell>
          <cell r="I796">
            <v>1.58</v>
          </cell>
        </row>
        <row r="797">
          <cell r="A797">
            <v>78511</v>
          </cell>
          <cell r="B797" t="str">
            <v>6" French Bread Cheese/Sub Cheese</v>
          </cell>
          <cell r="C797">
            <v>18.559999999999999</v>
          </cell>
          <cell r="D797">
            <v>60</v>
          </cell>
          <cell r="E797">
            <v>4.95</v>
          </cell>
          <cell r="F797" t="str">
            <v>A048</v>
          </cell>
          <cell r="G797">
            <v>100332</v>
          </cell>
          <cell r="H797" t="str">
            <v>TOMATO PASTE FOR BULK
PROCESSING</v>
          </cell>
          <cell r="I797">
            <v>1.31</v>
          </cell>
        </row>
        <row r="798">
          <cell r="A798">
            <v>78516</v>
          </cell>
          <cell r="B798" t="str">
            <v>6" French Bread Pizza Cheesy Garlic</v>
          </cell>
          <cell r="C798">
            <v>16.760000000000002</v>
          </cell>
          <cell r="D798">
            <v>60</v>
          </cell>
          <cell r="E798">
            <v>4.47</v>
          </cell>
          <cell r="F798" t="str">
            <v>A048</v>
          </cell>
          <cell r="G798">
            <v>100332</v>
          </cell>
          <cell r="H798" t="str">
            <v>TOMATO PASTE FOR BULK
PROCESSING</v>
          </cell>
          <cell r="I798">
            <v>0</v>
          </cell>
        </row>
        <row r="799">
          <cell r="A799">
            <v>78518</v>
          </cell>
          <cell r="B799" t="str">
            <v>8" French Bread Pepp Mozz/Ched</v>
          </cell>
          <cell r="C799">
            <v>23.25</v>
          </cell>
          <cell r="D799">
            <v>60</v>
          </cell>
          <cell r="E799">
            <v>6.2</v>
          </cell>
          <cell r="F799" t="str">
            <v>A048</v>
          </cell>
          <cell r="G799">
            <v>100332</v>
          </cell>
          <cell r="H799" t="str">
            <v>TOMATO PASTE FOR BULK
PROCESSING</v>
          </cell>
          <cell r="I799">
            <v>1.58</v>
          </cell>
        </row>
        <row r="800">
          <cell r="A800">
            <v>78525</v>
          </cell>
          <cell r="B800" t="str">
            <v>8" French Bread Cheese/Sub Cheese</v>
          </cell>
          <cell r="C800">
            <v>25.88</v>
          </cell>
          <cell r="D800">
            <v>72</v>
          </cell>
          <cell r="E800">
            <v>5.75</v>
          </cell>
          <cell r="F800" t="str">
            <v>A048</v>
          </cell>
          <cell r="G800">
            <v>100332</v>
          </cell>
          <cell r="H800" t="str">
            <v>TOMATO PASTE FOR BULK
PROCESSING</v>
          </cell>
          <cell r="I800">
            <v>2.0299999999999998</v>
          </cell>
        </row>
        <row r="801">
          <cell r="A801">
            <v>78530</v>
          </cell>
          <cell r="B801" t="str">
            <v>Red Baron Breakfast Bacon Scramble</v>
          </cell>
          <cell r="C801">
            <v>16.88</v>
          </cell>
          <cell r="D801">
            <v>54</v>
          </cell>
          <cell r="E801">
            <v>5</v>
          </cell>
          <cell r="F801" t="str">
            <v>A048</v>
          </cell>
          <cell r="G801">
            <v>100332</v>
          </cell>
          <cell r="H801" t="str">
            <v>TOMATO PASTE FOR BULK
PROCESSING</v>
          </cell>
          <cell r="I801">
            <v>0</v>
          </cell>
        </row>
        <row r="802">
          <cell r="A802">
            <v>78531</v>
          </cell>
          <cell r="B802" t="str">
            <v>Big Daddy's 16" Harvest Cheese Pizza</v>
          </cell>
          <cell r="C802">
            <v>24.88</v>
          </cell>
          <cell r="D802">
            <v>72</v>
          </cell>
          <cell r="E802">
            <v>5.53</v>
          </cell>
          <cell r="F802" t="str">
            <v>A048</v>
          </cell>
          <cell r="G802">
            <v>100332</v>
          </cell>
          <cell r="H802" t="str">
            <v>TOMATO PASTE FOR BULK
PROCESSING</v>
          </cell>
          <cell r="I802">
            <v>0.93</v>
          </cell>
        </row>
        <row r="803">
          <cell r="A803">
            <v>78532</v>
          </cell>
          <cell r="B803" t="str">
            <v>Red Baron 5" Bacon Scramble IW</v>
          </cell>
          <cell r="C803">
            <v>8.0399999999999991</v>
          </cell>
          <cell r="D803">
            <v>24</v>
          </cell>
          <cell r="E803">
            <v>5.36</v>
          </cell>
          <cell r="F803" t="str">
            <v>A048</v>
          </cell>
          <cell r="G803">
            <v>100332</v>
          </cell>
          <cell r="H803" t="str">
            <v>TOMATO PASTE FOR BULK
PROCESSING</v>
          </cell>
          <cell r="I803">
            <v>0</v>
          </cell>
        </row>
        <row r="804">
          <cell r="A804">
            <v>78533</v>
          </cell>
          <cell r="B804" t="str">
            <v>Big Daddy's 16" Harvest Pepperoni Pizza</v>
          </cell>
          <cell r="C804">
            <v>24.93</v>
          </cell>
          <cell r="D804">
            <v>72</v>
          </cell>
          <cell r="E804">
            <v>5.54</v>
          </cell>
          <cell r="F804" t="str">
            <v>A048</v>
          </cell>
          <cell r="G804">
            <v>100332</v>
          </cell>
          <cell r="H804" t="str">
            <v>TOMATO PASTE FOR BULK
PROCESSING</v>
          </cell>
          <cell r="I804">
            <v>0.93</v>
          </cell>
        </row>
        <row r="805">
          <cell r="A805">
            <v>78542</v>
          </cell>
          <cell r="B805" t="str">
            <v>Galaxy Smart Pizza Cheese
Mozz/Sub Mozz 50/50 BULK</v>
          </cell>
          <cell r="C805">
            <v>20.52</v>
          </cell>
          <cell r="D805">
            <v>72</v>
          </cell>
          <cell r="E805">
            <v>4.5599999999999996</v>
          </cell>
          <cell r="F805" t="str">
            <v>A048</v>
          </cell>
          <cell r="G805">
            <v>100332</v>
          </cell>
          <cell r="H805" t="str">
            <v>TOMATO PASTE FOR BULK
PROCESSING</v>
          </cell>
          <cell r="I805">
            <v>1.1499999999999999</v>
          </cell>
        </row>
        <row r="806">
          <cell r="A806">
            <v>78543</v>
          </cell>
          <cell r="B806" t="str">
            <v>Galaxy Smart Pizza Cheese
 Mozz/Sub Mozz 50/50 IW</v>
          </cell>
          <cell r="C806">
            <v>20.52</v>
          </cell>
          <cell r="D806">
            <v>72</v>
          </cell>
          <cell r="E806">
            <v>4.5599999999999996</v>
          </cell>
          <cell r="F806" t="str">
            <v>A048</v>
          </cell>
          <cell r="G806">
            <v>100332</v>
          </cell>
          <cell r="H806" t="str">
            <v>TOMATO PASTE FOR BULK
PROCESSING</v>
          </cell>
          <cell r="I806">
            <v>1.1499999999999999</v>
          </cell>
        </row>
        <row r="807">
          <cell r="A807">
            <v>78544</v>
          </cell>
          <cell r="B807" t="str">
            <v>Galaxy Smart Piz Red Fat Pepp
50/50 BULK</v>
          </cell>
          <cell r="C807">
            <v>20.92</v>
          </cell>
          <cell r="D807">
            <v>72</v>
          </cell>
          <cell r="E807">
            <v>4.6500000000000004</v>
          </cell>
          <cell r="F807" t="str">
            <v>A048</v>
          </cell>
          <cell r="G807">
            <v>100332</v>
          </cell>
          <cell r="H807" t="str">
            <v>TOMATO PASTE FOR BULK
PROCESSING</v>
          </cell>
          <cell r="I807">
            <v>1.1499999999999999</v>
          </cell>
        </row>
        <row r="808">
          <cell r="A808">
            <v>78545</v>
          </cell>
          <cell r="B808" t="str">
            <v>Galaxy Smart Piz Red Fat Pepp 
50/50 IW</v>
          </cell>
          <cell r="C808">
            <v>20.92</v>
          </cell>
          <cell r="D808">
            <v>72</v>
          </cell>
          <cell r="E808">
            <v>4.6500000000000004</v>
          </cell>
          <cell r="F808" t="str">
            <v>A048</v>
          </cell>
          <cell r="G808">
            <v>100332</v>
          </cell>
          <cell r="H808" t="str">
            <v>TOMATO PASTE FOR BULK
PROCESSING</v>
          </cell>
          <cell r="I808">
            <v>1.1499999999999999</v>
          </cell>
        </row>
        <row r="809">
          <cell r="A809">
            <v>78571</v>
          </cell>
          <cell r="B809" t="str">
            <v>4x6 Pepperoni Pizza Wrapped</v>
          </cell>
          <cell r="C809">
            <v>6.84</v>
          </cell>
          <cell r="D809">
            <v>24</v>
          </cell>
          <cell r="E809">
            <v>4.5599999999999996</v>
          </cell>
          <cell r="F809" t="str">
            <v>A048</v>
          </cell>
          <cell r="G809">
            <v>100332</v>
          </cell>
          <cell r="H809" t="str">
            <v>TOMATO PASTE FOR BULK
PROCESSING</v>
          </cell>
          <cell r="I809">
            <v>0.4</v>
          </cell>
        </row>
        <row r="810">
          <cell r="A810">
            <v>78584</v>
          </cell>
          <cell r="B810" t="str">
            <v>5 inch DD Cheese Pizza</v>
          </cell>
          <cell r="C810">
            <v>21.94</v>
          </cell>
          <cell r="D810">
            <v>60</v>
          </cell>
          <cell r="E810">
            <v>5.85</v>
          </cell>
          <cell r="F810" t="str">
            <v>A048</v>
          </cell>
          <cell r="G810">
            <v>100332</v>
          </cell>
          <cell r="H810" t="str">
            <v>TOMATO PASTE FOR BULK
PROCESSING</v>
          </cell>
          <cell r="I810">
            <v>1.43</v>
          </cell>
        </row>
        <row r="811">
          <cell r="A811">
            <v>78585</v>
          </cell>
          <cell r="B811" t="str">
            <v>5" Cheese Pizza w/Pepperoni</v>
          </cell>
          <cell r="C811">
            <v>22.13</v>
          </cell>
          <cell r="D811">
            <v>60</v>
          </cell>
          <cell r="E811">
            <v>5.9</v>
          </cell>
          <cell r="F811" t="str">
            <v>A048</v>
          </cell>
          <cell r="G811">
            <v>100332</v>
          </cell>
          <cell r="H811" t="str">
            <v>TOMATO PASTE FOR BULK
PROCESSING</v>
          </cell>
          <cell r="I811">
            <v>1.88</v>
          </cell>
        </row>
        <row r="812">
          <cell r="A812">
            <v>78589</v>
          </cell>
          <cell r="B812" t="str">
            <v>Tony's 5" Lite DD Pepp Pizza</v>
          </cell>
          <cell r="C812">
            <v>19.649999999999999</v>
          </cell>
          <cell r="D812">
            <v>60</v>
          </cell>
          <cell r="E812">
            <v>5.24</v>
          </cell>
          <cell r="F812" t="str">
            <v>A048</v>
          </cell>
          <cell r="G812">
            <v>100332</v>
          </cell>
          <cell r="H812" t="str">
            <v>TOMATO PASTE FOR BULK
PROCESSING</v>
          </cell>
          <cell r="I812">
            <v>1.34</v>
          </cell>
        </row>
        <row r="813">
          <cell r="A813">
            <v>78598</v>
          </cell>
          <cell r="B813" t="str">
            <v>11" Pepperoni Slice</v>
          </cell>
          <cell r="C813">
            <v>19.8</v>
          </cell>
          <cell r="D813">
            <v>48</v>
          </cell>
          <cell r="E813">
            <v>6.6</v>
          </cell>
          <cell r="F813" t="str">
            <v>A048</v>
          </cell>
          <cell r="G813">
            <v>100332</v>
          </cell>
          <cell r="H813" t="str">
            <v>TOMATO PASTE FOR BULK
PROCESSING</v>
          </cell>
          <cell r="I813">
            <v>1.5</v>
          </cell>
        </row>
        <row r="814">
          <cell r="A814">
            <v>78622</v>
          </cell>
          <cell r="B814" t="str">
            <v>6" French Bread Pizza  Cheese</v>
          </cell>
          <cell r="C814">
            <v>19.39</v>
          </cell>
          <cell r="D814">
            <v>60</v>
          </cell>
          <cell r="E814">
            <v>5.17</v>
          </cell>
          <cell r="F814" t="str">
            <v>A048</v>
          </cell>
          <cell r="G814">
            <v>100332</v>
          </cell>
          <cell r="H814" t="str">
            <v>TOMATO PASTE FOR BULK
PROCESSING</v>
          </cell>
          <cell r="I814">
            <v>1.04</v>
          </cell>
        </row>
        <row r="815">
          <cell r="A815">
            <v>78623</v>
          </cell>
          <cell r="B815" t="str">
            <v>6" French Bread Pizza  Pepperoni</v>
          </cell>
          <cell r="C815">
            <v>19.2</v>
          </cell>
          <cell r="D815">
            <v>60</v>
          </cell>
          <cell r="E815">
            <v>5.12</v>
          </cell>
          <cell r="F815" t="str">
            <v>A048</v>
          </cell>
          <cell r="G815">
            <v>100332</v>
          </cell>
          <cell r="H815" t="str">
            <v>TOMATO PASTE FOR BULK
PROCESSING</v>
          </cell>
          <cell r="I815">
            <v>0.99</v>
          </cell>
        </row>
        <row r="816">
          <cell r="A816">
            <v>78624</v>
          </cell>
          <cell r="B816" t="str">
            <v>6" French Bread Pizza   Cheesy Garlic</v>
          </cell>
          <cell r="C816">
            <v>16.760000000000002</v>
          </cell>
          <cell r="D816">
            <v>60</v>
          </cell>
          <cell r="E816">
            <v>4.47</v>
          </cell>
          <cell r="F816" t="str">
            <v>A048</v>
          </cell>
          <cell r="G816">
            <v>100332</v>
          </cell>
          <cell r="H816" t="str">
            <v>TOMATO PASTE FOR BULK
PROCESSING</v>
          </cell>
          <cell r="I816">
            <v>0</v>
          </cell>
        </row>
        <row r="817">
          <cell r="A817">
            <v>78626</v>
          </cell>
          <cell r="B817" t="str">
            <v>6" French Bread Pepperoni Pizza IW</v>
          </cell>
          <cell r="C817">
            <v>19.88</v>
          </cell>
          <cell r="D817">
            <v>60</v>
          </cell>
          <cell r="E817">
            <v>5.3</v>
          </cell>
          <cell r="F817" t="str">
            <v>A048</v>
          </cell>
          <cell r="G817">
            <v>100332</v>
          </cell>
          <cell r="H817" t="str">
            <v>TOMATO PASTE FOR BULK
PROCESSING</v>
          </cell>
          <cell r="I817">
            <v>1.58</v>
          </cell>
        </row>
        <row r="818">
          <cell r="A818">
            <v>78642</v>
          </cell>
          <cell r="B818" t="str">
            <v>5" Pepp DD Pizza</v>
          </cell>
          <cell r="C818">
            <v>21.41</v>
          </cell>
          <cell r="D818">
            <v>60</v>
          </cell>
          <cell r="E818">
            <v>5.71</v>
          </cell>
          <cell r="F818" t="str">
            <v>A048</v>
          </cell>
          <cell r="G818">
            <v>100332</v>
          </cell>
          <cell r="H818" t="str">
            <v>TOMATO PASTE FOR BULK
PROCESSING</v>
          </cell>
          <cell r="I818">
            <v>1.9</v>
          </cell>
        </row>
        <row r="819">
          <cell r="A819">
            <v>78660</v>
          </cell>
          <cell r="B819" t="str">
            <v>Whole Grain 5" Deep Dish 100% Cheese IW</v>
          </cell>
          <cell r="C819">
            <v>22.13</v>
          </cell>
          <cell r="D819">
            <v>60</v>
          </cell>
          <cell r="E819">
            <v>5.9</v>
          </cell>
          <cell r="F819" t="str">
            <v>A048</v>
          </cell>
          <cell r="G819">
            <v>100332</v>
          </cell>
          <cell r="H819" t="str">
            <v>TOMATO PASTE FOR BULK
PROCESSING</v>
          </cell>
          <cell r="I819">
            <v>1.1100000000000001</v>
          </cell>
        </row>
        <row r="820">
          <cell r="A820">
            <v>78661</v>
          </cell>
          <cell r="B820" t="str">
            <v>Whole Grain 5" Deep Dish Cheese IW</v>
          </cell>
          <cell r="C820">
            <v>22.13</v>
          </cell>
          <cell r="D820">
            <v>60</v>
          </cell>
          <cell r="E820">
            <v>5.9</v>
          </cell>
          <cell r="F820" t="str">
            <v>A048</v>
          </cell>
          <cell r="G820">
            <v>100332</v>
          </cell>
          <cell r="H820" t="str">
            <v>TOMATO PASTE FOR BULK
PROCESSING</v>
          </cell>
          <cell r="I820">
            <v>1.1100000000000001</v>
          </cell>
        </row>
        <row r="821">
          <cell r="A821">
            <v>78668</v>
          </cell>
          <cell r="B821" t="str">
            <v>Tony's Smart Pizza 3.2x5 100% Cheese</v>
          </cell>
          <cell r="C821">
            <v>30</v>
          </cell>
          <cell r="D821">
            <v>100</v>
          </cell>
          <cell r="E821">
            <v>4.8</v>
          </cell>
          <cell r="F821" t="str">
            <v>A048</v>
          </cell>
          <cell r="G821">
            <v>100332</v>
          </cell>
          <cell r="H821" t="str">
            <v>TOMATO PASTE FOR BULK
PROCESSING</v>
          </cell>
          <cell r="I821">
            <v>1.6</v>
          </cell>
        </row>
        <row r="822">
          <cell r="A822">
            <v>78669</v>
          </cell>
          <cell r="B822" t="str">
            <v>Tony's Smart Pizza 3.2x5 100% Pepp</v>
          </cell>
          <cell r="C822">
            <v>30</v>
          </cell>
          <cell r="D822">
            <v>100</v>
          </cell>
          <cell r="E822">
            <v>4.8</v>
          </cell>
          <cell r="F822" t="str">
            <v>A048</v>
          </cell>
          <cell r="G822">
            <v>100332</v>
          </cell>
          <cell r="H822" t="str">
            <v>TOMATO PASTE FOR BULK
PROCESSING</v>
          </cell>
          <cell r="I822">
            <v>1.58</v>
          </cell>
        </row>
        <row r="823">
          <cell r="A823">
            <v>78672</v>
          </cell>
          <cell r="B823" t="str">
            <v>4x6 Whole Grain 50/50 Sausage</v>
          </cell>
          <cell r="C823">
            <v>27.36</v>
          </cell>
          <cell r="D823">
            <v>96</v>
          </cell>
          <cell r="E823">
            <v>4.5599999999999996</v>
          </cell>
          <cell r="F823" t="str">
            <v>A048</v>
          </cell>
          <cell r="G823">
            <v>100332</v>
          </cell>
          <cell r="H823" t="str">
            <v>TOMATO PASTE FOR BULK
PROCESSING</v>
          </cell>
          <cell r="I823">
            <v>1.51</v>
          </cell>
        </row>
        <row r="824">
          <cell r="A824">
            <v>78673</v>
          </cell>
          <cell r="B824" t="str">
            <v>4x6 Whole Grain 50/50 Cheese</v>
          </cell>
          <cell r="C824">
            <v>27.6</v>
          </cell>
          <cell r="D824">
            <v>96</v>
          </cell>
          <cell r="E824">
            <v>4.5999999999999996</v>
          </cell>
          <cell r="F824" t="str">
            <v>A048</v>
          </cell>
          <cell r="G824">
            <v>100332</v>
          </cell>
          <cell r="H824" t="str">
            <v>TOMATO PASTE FOR BULK
PROCESSING</v>
          </cell>
          <cell r="I824">
            <v>1.51</v>
          </cell>
        </row>
        <row r="825">
          <cell r="A825">
            <v>78674</v>
          </cell>
          <cell r="B825" t="str">
            <v>4x6 Whole Grain 50/50 Pepp</v>
          </cell>
          <cell r="C825">
            <v>26.88</v>
          </cell>
          <cell r="D825">
            <v>96</v>
          </cell>
          <cell r="E825">
            <v>4.4800000000000004</v>
          </cell>
          <cell r="F825" t="str">
            <v>A048</v>
          </cell>
          <cell r="G825">
            <v>100332</v>
          </cell>
          <cell r="H825" t="str">
            <v>TOMATO PASTE FOR BULK
PROCESSING</v>
          </cell>
          <cell r="I825">
            <v>1.51</v>
          </cell>
        </row>
        <row r="826">
          <cell r="A826">
            <v>78675</v>
          </cell>
          <cell r="B826" t="str">
            <v>15" Bake to Rise Cheese Pizza</v>
          </cell>
          <cell r="C826">
            <v>30.68</v>
          </cell>
          <cell r="D826">
            <v>96</v>
          </cell>
          <cell r="E826">
            <v>5.1100000000000003</v>
          </cell>
          <cell r="F826" t="str">
            <v>A048</v>
          </cell>
          <cell r="G826">
            <v>100332</v>
          </cell>
          <cell r="H826" t="str">
            <v>TOMATO PASTE FOR BULK
PROCESSING</v>
          </cell>
          <cell r="I826">
            <v>1.94</v>
          </cell>
        </row>
        <row r="827">
          <cell r="A827">
            <v>78676</v>
          </cell>
          <cell r="B827" t="str">
            <v>15" Bake to Rise Pepp Pizza</v>
          </cell>
          <cell r="C827">
            <v>32.29</v>
          </cell>
          <cell r="D827">
            <v>96</v>
          </cell>
          <cell r="E827">
            <v>5.38</v>
          </cell>
          <cell r="F827" t="str">
            <v>A048</v>
          </cell>
          <cell r="G827">
            <v>100332</v>
          </cell>
          <cell r="H827" t="str">
            <v>TOMATO PASTE FOR BULK
PROCESSING</v>
          </cell>
          <cell r="I827">
            <v>1.94</v>
          </cell>
        </row>
        <row r="828">
          <cell r="A828">
            <v>78682</v>
          </cell>
          <cell r="B828" t="str">
            <v>Cheese Pizza Bagel (TR)</v>
          </cell>
          <cell r="C828">
            <v>18.3</v>
          </cell>
          <cell r="D828">
            <v>96</v>
          </cell>
          <cell r="E828">
            <v>3.05</v>
          </cell>
          <cell r="F828" t="str">
            <v>A048</v>
          </cell>
          <cell r="G828">
            <v>100332</v>
          </cell>
          <cell r="H828" t="str">
            <v>TOMATO PASTE FOR BULK
PROCESSING</v>
          </cell>
          <cell r="I828">
            <v>0</v>
          </cell>
        </row>
        <row r="829">
          <cell r="A829">
            <v>78684</v>
          </cell>
          <cell r="B829" t="str">
            <v>5" Deep Dish Whole Grain Cheese 50/50</v>
          </cell>
          <cell r="C829">
            <v>22.13</v>
          </cell>
          <cell r="D829">
            <v>60</v>
          </cell>
          <cell r="E829">
            <v>5.9</v>
          </cell>
          <cell r="F829" t="str">
            <v>A048</v>
          </cell>
          <cell r="G829">
            <v>100332</v>
          </cell>
          <cell r="H829" t="str">
            <v>TOMATO PASTE FOR BULK
PROCESSING</v>
          </cell>
          <cell r="I829">
            <v>1.1100000000000001</v>
          </cell>
        </row>
        <row r="830">
          <cell r="A830">
            <v>78688</v>
          </cell>
          <cell r="B830" t="str">
            <v>Whole Grain 5" DD Cheese IW</v>
          </cell>
          <cell r="C830">
            <v>20.59</v>
          </cell>
          <cell r="D830">
            <v>60</v>
          </cell>
          <cell r="E830">
            <v>5.49</v>
          </cell>
          <cell r="F830" t="str">
            <v>A048</v>
          </cell>
          <cell r="G830">
            <v>100332</v>
          </cell>
          <cell r="H830" t="str">
            <v>TOMATO PASTE FOR BULK
PROCESSING</v>
          </cell>
          <cell r="I830">
            <v>1.36</v>
          </cell>
        </row>
        <row r="831">
          <cell r="A831">
            <v>78689</v>
          </cell>
          <cell r="B831" t="str">
            <v>Whole Grain 5" DD Pepperoni IW</v>
          </cell>
          <cell r="C831">
            <v>20.59</v>
          </cell>
          <cell r="D831">
            <v>60</v>
          </cell>
          <cell r="E831">
            <v>5.49</v>
          </cell>
          <cell r="F831" t="str">
            <v>A048</v>
          </cell>
          <cell r="G831">
            <v>100332</v>
          </cell>
          <cell r="H831" t="str">
            <v>TOMATO PASTE FOR BULK
PROCESSING</v>
          </cell>
          <cell r="I831">
            <v>1.36</v>
          </cell>
        </row>
        <row r="832">
          <cell r="A832">
            <v>78697</v>
          </cell>
          <cell r="B832" t="str">
            <v>4x6 Pizza with Whole
Grain Cheese 100% Mozz</v>
          </cell>
          <cell r="C832">
            <v>27</v>
          </cell>
          <cell r="D832">
            <v>96</v>
          </cell>
          <cell r="E832">
            <v>4.5</v>
          </cell>
          <cell r="F832" t="str">
            <v>A048</v>
          </cell>
          <cell r="G832">
            <v>100332</v>
          </cell>
          <cell r="H832" t="str">
            <v>TOMATO PASTE FOR BULK
PROCESSING</v>
          </cell>
          <cell r="I832">
            <v>1.51</v>
          </cell>
        </row>
        <row r="833">
          <cell r="A833">
            <v>78698</v>
          </cell>
          <cell r="B833" t="str">
            <v>4x6 with Whole
Grain Pepp 100% Mozz</v>
          </cell>
          <cell r="C833">
            <v>26.88</v>
          </cell>
          <cell r="D833">
            <v>96</v>
          </cell>
          <cell r="E833">
            <v>4.4800000000000004</v>
          </cell>
          <cell r="F833" t="str">
            <v>A048</v>
          </cell>
          <cell r="G833">
            <v>100332</v>
          </cell>
          <cell r="H833" t="str">
            <v>TOMATO PASTE FOR BULK
PROCESSING</v>
          </cell>
          <cell r="I833">
            <v>1.51</v>
          </cell>
        </row>
        <row r="834">
          <cell r="A834">
            <v>78699</v>
          </cell>
          <cell r="B834" t="str">
            <v>4x6 with Whole
Grain Sausage 100% Mozz</v>
          </cell>
          <cell r="C834">
            <v>27.36</v>
          </cell>
          <cell r="D834">
            <v>96</v>
          </cell>
          <cell r="E834">
            <v>4.5599999999999996</v>
          </cell>
          <cell r="F834" t="str">
            <v>A048</v>
          </cell>
          <cell r="G834">
            <v>100332</v>
          </cell>
          <cell r="H834" t="str">
            <v>TOMATO PASTE FOR BULK
PROCESSING</v>
          </cell>
          <cell r="I834">
            <v>1.51</v>
          </cell>
        </row>
        <row r="835">
          <cell r="A835">
            <v>78708</v>
          </cell>
          <cell r="B835" t="str">
            <v>Cheese French Bread Pizza</v>
          </cell>
          <cell r="C835">
            <v>25.35</v>
          </cell>
          <cell r="D835">
            <v>72</v>
          </cell>
          <cell r="E835">
            <v>5.63</v>
          </cell>
          <cell r="F835" t="str">
            <v>A048</v>
          </cell>
          <cell r="G835">
            <v>100332</v>
          </cell>
          <cell r="H835" t="str">
            <v>TOMATO PASTE FOR BULK
PROCESSING</v>
          </cell>
          <cell r="I835">
            <v>2.25</v>
          </cell>
        </row>
        <row r="836">
          <cell r="A836">
            <v>78709</v>
          </cell>
          <cell r="B836" t="str">
            <v>5" Pizza with Turkey Pepp</v>
          </cell>
          <cell r="C836">
            <v>19.05</v>
          </cell>
          <cell r="D836">
            <v>60</v>
          </cell>
          <cell r="E836">
            <v>5.08</v>
          </cell>
          <cell r="F836" t="str">
            <v>A048</v>
          </cell>
          <cell r="G836">
            <v>100332</v>
          </cell>
          <cell r="H836" t="str">
            <v>TOMATO PASTE FOR BULK
PROCESSING</v>
          </cell>
          <cell r="I836">
            <v>1.1499999999999999</v>
          </cell>
        </row>
        <row r="837">
          <cell r="A837">
            <v>78710</v>
          </cell>
          <cell r="B837" t="str">
            <v>Tony's Turkey Sausage Breakfast Bagel 50/50 IW</v>
          </cell>
          <cell r="C837">
            <v>15.6</v>
          </cell>
          <cell r="D837">
            <v>96</v>
          </cell>
          <cell r="E837">
            <v>2.6</v>
          </cell>
          <cell r="F837" t="str">
            <v>A048</v>
          </cell>
          <cell r="G837">
            <v>100332</v>
          </cell>
          <cell r="H837" t="str">
            <v>TOMATO PASTE FOR BULK
PROCESSING</v>
          </cell>
          <cell r="I837">
            <v>0.65</v>
          </cell>
        </row>
        <row r="838">
          <cell r="A838">
            <v>78734</v>
          </cell>
          <cell r="B838" t="str">
            <v>4x6 Pepperoni Pizza (TR)</v>
          </cell>
          <cell r="C838">
            <v>30</v>
          </cell>
          <cell r="D838">
            <v>96</v>
          </cell>
          <cell r="E838">
            <v>5</v>
          </cell>
          <cell r="F838" t="str">
            <v>A048</v>
          </cell>
          <cell r="G838">
            <v>100332</v>
          </cell>
          <cell r="H838" t="str">
            <v>TOMATO PASTE FOR BULK
PROCESSING</v>
          </cell>
          <cell r="I838">
            <v>0</v>
          </cell>
        </row>
        <row r="839">
          <cell r="A839">
            <v>78770</v>
          </cell>
          <cell r="B839" t="str">
            <v>Breakfast Bagel Sausage (Turkey)</v>
          </cell>
          <cell r="C839">
            <v>15.6</v>
          </cell>
          <cell r="D839">
            <v>96</v>
          </cell>
          <cell r="E839">
            <v>2.6</v>
          </cell>
          <cell r="F839" t="str">
            <v>A048</v>
          </cell>
          <cell r="G839">
            <v>100332</v>
          </cell>
          <cell r="H839" t="str">
            <v>TOMATO PASTE FOR BULK
PROCESSING</v>
          </cell>
          <cell r="I839">
            <v>0</v>
          </cell>
        </row>
        <row r="840">
          <cell r="A840">
            <v>78771</v>
          </cell>
          <cell r="B840" t="str">
            <v>Tony's Whole Grain 4x6 Sausage 100%</v>
          </cell>
          <cell r="C840">
            <v>28.14</v>
          </cell>
          <cell r="D840">
            <v>96</v>
          </cell>
          <cell r="E840">
            <v>4.6900000000000004</v>
          </cell>
          <cell r="F840" t="str">
            <v>A048</v>
          </cell>
          <cell r="G840">
            <v>100332</v>
          </cell>
          <cell r="H840" t="str">
            <v>TOMATO PASTE FOR BULK
PROCESSING</v>
          </cell>
          <cell r="I840">
            <v>1.53</v>
          </cell>
        </row>
        <row r="841">
          <cell r="A841">
            <v>78783</v>
          </cell>
          <cell r="B841" t="str">
            <v>4x6 Cheese Stuffed Crust 
Cheese/Sub Cheese</v>
          </cell>
          <cell r="C841">
            <v>26.95</v>
          </cell>
          <cell r="D841">
            <v>80</v>
          </cell>
          <cell r="E841">
            <v>5.39</v>
          </cell>
          <cell r="F841" t="str">
            <v>A048</v>
          </cell>
          <cell r="G841">
            <v>100332</v>
          </cell>
          <cell r="H841" t="str">
            <v>TOMATO PASTE FOR BULK
PROCESSING</v>
          </cell>
          <cell r="I841">
            <v>1.27</v>
          </cell>
        </row>
        <row r="842">
          <cell r="A842">
            <v>78784</v>
          </cell>
          <cell r="B842" t="str">
            <v>4x6 Cheese Stuffed Crust Pepp</v>
          </cell>
          <cell r="C842">
            <v>26.45</v>
          </cell>
          <cell r="D842">
            <v>80</v>
          </cell>
          <cell r="E842">
            <v>5.29</v>
          </cell>
          <cell r="F842" t="str">
            <v>A048</v>
          </cell>
          <cell r="G842">
            <v>100332</v>
          </cell>
          <cell r="H842" t="str">
            <v>TOMATO PASTE FOR BULK
PROCESSING</v>
          </cell>
          <cell r="I842">
            <v>1.27</v>
          </cell>
        </row>
        <row r="843">
          <cell r="A843">
            <v>78794</v>
          </cell>
          <cell r="B843" t="str">
            <v>7" Cheese Stuffed Wedge Crust 
Cheese/Sub Cheese</v>
          </cell>
          <cell r="C843">
            <v>26.01</v>
          </cell>
          <cell r="D843">
            <v>72</v>
          </cell>
          <cell r="E843">
            <v>5.78</v>
          </cell>
          <cell r="F843" t="str">
            <v>A048</v>
          </cell>
          <cell r="G843">
            <v>100332</v>
          </cell>
          <cell r="H843" t="str">
            <v>TOMATO PASTE FOR BULK
PROCESSING</v>
          </cell>
          <cell r="I843">
            <v>1.2</v>
          </cell>
        </row>
        <row r="844">
          <cell r="A844">
            <v>78795</v>
          </cell>
          <cell r="B844" t="str">
            <v>7" Cheese Stuffed Wedge Crust Pepp</v>
          </cell>
          <cell r="C844">
            <v>26.9</v>
          </cell>
          <cell r="D844">
            <v>72</v>
          </cell>
          <cell r="E844">
            <v>5.98</v>
          </cell>
          <cell r="F844" t="str">
            <v>A048</v>
          </cell>
          <cell r="G844">
            <v>100332</v>
          </cell>
          <cell r="H844" t="str">
            <v>TOMATO PASTE FOR BULK
PROCESSING</v>
          </cell>
          <cell r="I844">
            <v>1.1299999999999999</v>
          </cell>
        </row>
        <row r="845">
          <cell r="A845">
            <v>78803</v>
          </cell>
          <cell r="B845" t="str">
            <v>Tony's 5" Cheese Crispy Crust Pizza</v>
          </cell>
          <cell r="C845">
            <v>22.65</v>
          </cell>
          <cell r="D845">
            <v>80</v>
          </cell>
          <cell r="E845">
            <v>4.53</v>
          </cell>
          <cell r="F845" t="str">
            <v>A048</v>
          </cell>
          <cell r="G845">
            <v>100332</v>
          </cell>
          <cell r="H845" t="str">
            <v>TOMATO PASTE FOR BULK
PROCESSING</v>
          </cell>
          <cell r="I845">
            <v>1.27</v>
          </cell>
        </row>
        <row r="846">
          <cell r="A846">
            <v>78804</v>
          </cell>
          <cell r="B846" t="str">
            <v>Tony's 5" Pepp Crispy Crust Pizza</v>
          </cell>
          <cell r="C846">
            <v>22.6</v>
          </cell>
          <cell r="D846">
            <v>80</v>
          </cell>
          <cell r="E846">
            <v>4.5199999999999996</v>
          </cell>
          <cell r="F846" t="str">
            <v>A048</v>
          </cell>
          <cell r="G846">
            <v>100332</v>
          </cell>
          <cell r="H846" t="str">
            <v>TOMATO PASTE FOR BULK
PROCESSING</v>
          </cell>
          <cell r="I846">
            <v>1.27</v>
          </cell>
        </row>
        <row r="847">
          <cell r="A847">
            <v>78817</v>
          </cell>
          <cell r="B847" t="str">
            <v>4x6 Cheese Pizza IW 100% Mozz</v>
          </cell>
          <cell r="C847">
            <v>21.6</v>
          </cell>
          <cell r="D847">
            <v>72</v>
          </cell>
          <cell r="E847">
            <v>4.8</v>
          </cell>
          <cell r="F847" t="str">
            <v>A048</v>
          </cell>
          <cell r="G847">
            <v>100332</v>
          </cell>
          <cell r="H847" t="str">
            <v>TOMATO PASTE FOR BULK
PROCESSING</v>
          </cell>
          <cell r="I847">
            <v>1.1299999999999999</v>
          </cell>
        </row>
        <row r="848">
          <cell r="A848">
            <v>78818</v>
          </cell>
          <cell r="B848" t="str">
            <v>4x6 Pepp Pizza IW 100% Mozz</v>
          </cell>
          <cell r="C848">
            <v>21.69</v>
          </cell>
          <cell r="D848">
            <v>72</v>
          </cell>
          <cell r="E848">
            <v>4.82</v>
          </cell>
          <cell r="F848" t="str">
            <v>A048</v>
          </cell>
          <cell r="G848">
            <v>100332</v>
          </cell>
          <cell r="H848" t="str">
            <v>TOMATO PASTE FOR BULK
PROCESSING</v>
          </cell>
          <cell r="I848">
            <v>1.51</v>
          </cell>
        </row>
        <row r="849">
          <cell r="A849">
            <v>78822</v>
          </cell>
          <cell r="B849" t="str">
            <v>Smart French Bread Sausage</v>
          </cell>
          <cell r="C849">
            <v>19.87</v>
          </cell>
          <cell r="D849">
            <v>60</v>
          </cell>
          <cell r="E849">
            <v>5.3</v>
          </cell>
          <cell r="F849" t="str">
            <v>A048</v>
          </cell>
          <cell r="G849">
            <v>100332</v>
          </cell>
          <cell r="H849" t="str">
            <v>TOMATO PASTE FOR BULK
PROCESSING</v>
          </cell>
          <cell r="I849">
            <v>1.1599999999999999</v>
          </cell>
        </row>
        <row r="850">
          <cell r="A850">
            <v>78862</v>
          </cell>
          <cell r="B850" t="str">
            <v>School Lunch Pepp Pizza Super Wedge</v>
          </cell>
          <cell r="C850">
            <v>28.8</v>
          </cell>
          <cell r="D850">
            <v>72</v>
          </cell>
          <cell r="E850">
            <v>6.4</v>
          </cell>
          <cell r="F850" t="str">
            <v>A048</v>
          </cell>
          <cell r="G850">
            <v>100332</v>
          </cell>
          <cell r="H850" t="str">
            <v>TOMATO PASTE FOR BULK
PROCESSING</v>
          </cell>
          <cell r="I850">
            <v>2.09</v>
          </cell>
        </row>
        <row r="851">
          <cell r="A851">
            <v>78868</v>
          </cell>
          <cell r="B851" t="str">
            <v>School Lunch 3 3/4" Cheese Bagel Piz</v>
          </cell>
          <cell r="C851">
            <v>16.2</v>
          </cell>
          <cell r="D851">
            <v>96</v>
          </cell>
          <cell r="E851">
            <v>2.7</v>
          </cell>
          <cell r="F851" t="str">
            <v>A048</v>
          </cell>
          <cell r="G851">
            <v>100332</v>
          </cell>
          <cell r="H851" t="str">
            <v>TOMATO PASTE FOR BULK
PROCESSING</v>
          </cell>
          <cell r="I851">
            <v>2.38</v>
          </cell>
        </row>
        <row r="852">
          <cell r="A852">
            <v>78869</v>
          </cell>
          <cell r="B852" t="str">
            <v>School Lunch 3.2x5 Bkfst Saus Crumble Piz</v>
          </cell>
          <cell r="C852">
            <v>19.13</v>
          </cell>
          <cell r="D852">
            <v>100</v>
          </cell>
          <cell r="E852">
            <v>3.06</v>
          </cell>
          <cell r="F852" t="str">
            <v>A048</v>
          </cell>
          <cell r="G852">
            <v>100332</v>
          </cell>
          <cell r="H852" t="str">
            <v>TOMATO PASTE FOR BULK
PROCESSING</v>
          </cell>
          <cell r="I852">
            <v>1.54</v>
          </cell>
        </row>
        <row r="853">
          <cell r="A853">
            <v>78870</v>
          </cell>
          <cell r="B853" t="str">
            <v>School Lunch Rounded Wedge Pepp</v>
          </cell>
          <cell r="C853">
            <v>28.8</v>
          </cell>
          <cell r="D853">
            <v>72</v>
          </cell>
          <cell r="E853">
            <v>6.4</v>
          </cell>
          <cell r="F853" t="str">
            <v>A048</v>
          </cell>
          <cell r="G853">
            <v>100332</v>
          </cell>
          <cell r="H853" t="str">
            <v>TOMATO PASTE FOR BULK
PROCESSING</v>
          </cell>
          <cell r="I853">
            <v>2.38</v>
          </cell>
        </row>
        <row r="854">
          <cell r="A854">
            <v>78906</v>
          </cell>
          <cell r="B854" t="str">
            <v>Classic Wedge with Whole Grain
50/50 Cheese</v>
          </cell>
          <cell r="C854">
            <v>24</v>
          </cell>
          <cell r="D854">
            <v>80</v>
          </cell>
          <cell r="E854">
            <v>4.8</v>
          </cell>
          <cell r="F854" t="str">
            <v>A048</v>
          </cell>
          <cell r="G854">
            <v>100332</v>
          </cell>
          <cell r="H854" t="str">
            <v>TOMATO PASTE FOR BULK
PROCESSING</v>
          </cell>
          <cell r="I854">
            <v>1.53</v>
          </cell>
        </row>
        <row r="855">
          <cell r="A855">
            <v>78907</v>
          </cell>
          <cell r="B855" t="str">
            <v>Classic Wedge with Whole Grain
 Pepp 50/50</v>
          </cell>
          <cell r="C855">
            <v>23.4</v>
          </cell>
          <cell r="D855">
            <v>80</v>
          </cell>
          <cell r="E855">
            <v>4.68</v>
          </cell>
          <cell r="F855" t="str">
            <v>A048</v>
          </cell>
          <cell r="G855">
            <v>100332</v>
          </cell>
          <cell r="H855" t="str">
            <v>TOMATO PASTE FOR BULK
PROCESSING</v>
          </cell>
          <cell r="I855">
            <v>1.53</v>
          </cell>
        </row>
        <row r="856">
          <cell r="A856">
            <v>78908</v>
          </cell>
          <cell r="B856" t="str">
            <v>Tony's Smart Wedge Sausage</v>
          </cell>
          <cell r="C856">
            <v>23.8</v>
          </cell>
          <cell r="D856">
            <v>80</v>
          </cell>
          <cell r="E856">
            <v>4.76</v>
          </cell>
          <cell r="F856" t="str">
            <v>A048</v>
          </cell>
          <cell r="G856">
            <v>100332</v>
          </cell>
          <cell r="H856" t="str">
            <v>TOMATO PASTE FOR BULK
PROCESSING</v>
          </cell>
          <cell r="I856">
            <v>1.29</v>
          </cell>
        </row>
        <row r="857">
          <cell r="A857">
            <v>78909</v>
          </cell>
          <cell r="B857" t="str">
            <v>Classic Wedge with Whole Grain Cheese</v>
          </cell>
          <cell r="C857">
            <v>23.5</v>
          </cell>
          <cell r="D857">
            <v>80</v>
          </cell>
          <cell r="E857">
            <v>4.7</v>
          </cell>
          <cell r="F857" t="str">
            <v>A048</v>
          </cell>
          <cell r="G857">
            <v>100332</v>
          </cell>
          <cell r="H857" t="str">
            <v>TOMATO PASTE FOR BULK
PROCESSING</v>
          </cell>
          <cell r="I857">
            <v>1.53</v>
          </cell>
        </row>
        <row r="858">
          <cell r="A858">
            <v>78910</v>
          </cell>
          <cell r="B858" t="str">
            <v>Classic Wedge with Whole Grain Pepp</v>
          </cell>
          <cell r="C858">
            <v>23.4</v>
          </cell>
          <cell r="D858">
            <v>80</v>
          </cell>
          <cell r="E858">
            <v>4.68</v>
          </cell>
          <cell r="F858" t="str">
            <v>A048</v>
          </cell>
          <cell r="G858">
            <v>100332</v>
          </cell>
          <cell r="H858" t="str">
            <v>TOMATO PASTE FOR BULK
PROCESSING</v>
          </cell>
          <cell r="I858">
            <v>1.53</v>
          </cell>
        </row>
        <row r="859">
          <cell r="A859">
            <v>78913</v>
          </cell>
          <cell r="B859" t="str">
            <v>Freschetta Flatz  3 Meat Italian</v>
          </cell>
          <cell r="C859">
            <v>13.68</v>
          </cell>
          <cell r="D859">
            <v>48</v>
          </cell>
          <cell r="E859">
            <v>4.5599999999999996</v>
          </cell>
          <cell r="F859" t="str">
            <v>A048</v>
          </cell>
          <cell r="G859">
            <v>100332</v>
          </cell>
          <cell r="H859" t="str">
            <v>TOMATO PASTE FOR BULK
PROCESSING</v>
          </cell>
          <cell r="I859">
            <v>0</v>
          </cell>
        </row>
        <row r="860">
          <cell r="A860">
            <v>78914</v>
          </cell>
          <cell r="B860" t="str">
            <v>Freschetta Flatz  Buffalo Chicken</v>
          </cell>
          <cell r="C860">
            <v>13.65</v>
          </cell>
          <cell r="D860">
            <v>48</v>
          </cell>
          <cell r="E860">
            <v>4.55</v>
          </cell>
          <cell r="F860" t="str">
            <v>A048</v>
          </cell>
          <cell r="G860">
            <v>100332</v>
          </cell>
          <cell r="H860" t="str">
            <v>TOMATO PASTE FOR BULK
PROCESSING</v>
          </cell>
          <cell r="I860">
            <v>0</v>
          </cell>
        </row>
        <row r="861">
          <cell r="A861">
            <v>78917</v>
          </cell>
          <cell r="B861" t="str">
            <v>Big Daddy's 16" Harvest Rolled Edge Cheese</v>
          </cell>
          <cell r="C861">
            <v>25.88</v>
          </cell>
          <cell r="D861">
            <v>72</v>
          </cell>
          <cell r="E861">
            <v>5.75</v>
          </cell>
          <cell r="F861" t="str">
            <v>A048</v>
          </cell>
          <cell r="G861">
            <v>100332</v>
          </cell>
          <cell r="H861" t="str">
            <v>TOMATO PASTE FOR BULK
PROCESSING</v>
          </cell>
          <cell r="I861">
            <v>0.93</v>
          </cell>
        </row>
        <row r="862">
          <cell r="A862">
            <v>78918</v>
          </cell>
          <cell r="B862" t="str">
            <v>Big Daddy's 16" Harvest Rolled Edge Pepp</v>
          </cell>
          <cell r="C862">
            <v>25.88</v>
          </cell>
          <cell r="D862">
            <v>72</v>
          </cell>
          <cell r="E862">
            <v>5.75</v>
          </cell>
          <cell r="F862" t="str">
            <v>A048</v>
          </cell>
          <cell r="G862">
            <v>100332</v>
          </cell>
          <cell r="H862" t="str">
            <v>TOMATO PASTE FOR BULK
PROCESSING</v>
          </cell>
          <cell r="I862">
            <v>0.93</v>
          </cell>
        </row>
        <row r="863">
          <cell r="A863">
            <v>78922</v>
          </cell>
          <cell r="B863" t="str">
            <v>Big Daddy's Whole Grain Cheese Pizza</v>
          </cell>
          <cell r="C863">
            <v>26.72</v>
          </cell>
          <cell r="D863">
            <v>90</v>
          </cell>
          <cell r="E863">
            <v>4.75</v>
          </cell>
          <cell r="F863" t="str">
            <v>A048</v>
          </cell>
          <cell r="G863">
            <v>100332</v>
          </cell>
          <cell r="H863" t="str">
            <v>TOMATO PASTE FOR BULK
PROCESSING</v>
          </cell>
          <cell r="I863">
            <v>1.48</v>
          </cell>
        </row>
        <row r="864">
          <cell r="A864">
            <v>78926</v>
          </cell>
          <cell r="B864" t="str">
            <v>Big Daddy's Whole Grain Cheese Pizza</v>
          </cell>
          <cell r="C864">
            <v>24.65</v>
          </cell>
          <cell r="D864">
            <v>72</v>
          </cell>
          <cell r="E864">
            <v>5.48</v>
          </cell>
          <cell r="F864" t="str">
            <v>A048</v>
          </cell>
          <cell r="G864">
            <v>100332</v>
          </cell>
          <cell r="H864" t="str">
            <v>TOMATO PASTE FOR BULK
PROCESSING</v>
          </cell>
          <cell r="I864">
            <v>1.48</v>
          </cell>
        </row>
        <row r="865">
          <cell r="A865">
            <v>78927</v>
          </cell>
          <cell r="B865" t="str">
            <v>Big Daddy's Whole Grain Pepperoni Pizza</v>
          </cell>
          <cell r="C865">
            <v>24.7</v>
          </cell>
          <cell r="D865">
            <v>72</v>
          </cell>
          <cell r="E865">
            <v>5.49</v>
          </cell>
          <cell r="F865" t="str">
            <v>A048</v>
          </cell>
          <cell r="G865">
            <v>100332</v>
          </cell>
          <cell r="H865" t="str">
            <v>TOMATO PASTE FOR BULK
PROCESSING</v>
          </cell>
          <cell r="I865">
            <v>1.48</v>
          </cell>
        </row>
        <row r="866">
          <cell r="A866">
            <v>78939</v>
          </cell>
          <cell r="B866" t="str">
            <v>Sodexo 16" 51% WG Cheese Pizza</v>
          </cell>
          <cell r="C866">
            <v>26.44</v>
          </cell>
          <cell r="D866">
            <v>90</v>
          </cell>
          <cell r="E866">
            <v>4.7</v>
          </cell>
          <cell r="F866" t="str">
            <v>A048</v>
          </cell>
          <cell r="G866">
            <v>100332</v>
          </cell>
          <cell r="H866" t="str">
            <v>TOMATO PASTE FOR BULK
PROCESSING</v>
          </cell>
          <cell r="I866">
            <v>0.72</v>
          </cell>
        </row>
        <row r="867">
          <cell r="A867">
            <v>78942</v>
          </cell>
          <cell r="B867" t="str">
            <v>Big Daddy's 16" Harvest Rolled Edge Cheese</v>
          </cell>
          <cell r="C867">
            <v>25.88</v>
          </cell>
          <cell r="D867">
            <v>90</v>
          </cell>
          <cell r="E867">
            <v>4.5999999999999996</v>
          </cell>
          <cell r="F867" t="str">
            <v>A048</v>
          </cell>
          <cell r="G867">
            <v>100332</v>
          </cell>
          <cell r="H867" t="str">
            <v>TOMATO PASTE FOR BULK
PROCESSING</v>
          </cell>
          <cell r="I867">
            <v>0.93</v>
          </cell>
        </row>
        <row r="868">
          <cell r="A868">
            <v>78943</v>
          </cell>
          <cell r="B868" t="str">
            <v>Big Daddy's 16" Harvest Rolled Edge Pepp</v>
          </cell>
          <cell r="C868">
            <v>25.88</v>
          </cell>
          <cell r="D868">
            <v>90</v>
          </cell>
          <cell r="E868">
            <v>4.5999999999999996</v>
          </cell>
          <cell r="F868" t="str">
            <v>A048</v>
          </cell>
          <cell r="G868">
            <v>100332</v>
          </cell>
          <cell r="H868" t="str">
            <v>TOMATO PASTE FOR BULK
PROCESSING</v>
          </cell>
          <cell r="I868">
            <v>0.93</v>
          </cell>
        </row>
        <row r="869">
          <cell r="A869">
            <v>78944</v>
          </cell>
          <cell r="B869" t="str">
            <v>Big Daddy's 16" Harvest Rolled Edge Cheese</v>
          </cell>
          <cell r="C869">
            <v>25.88</v>
          </cell>
          <cell r="D869">
            <v>90</v>
          </cell>
          <cell r="E869">
            <v>4.5999999999999996</v>
          </cell>
          <cell r="F869" t="str">
            <v>A048</v>
          </cell>
          <cell r="G869">
            <v>100332</v>
          </cell>
          <cell r="H869" t="str">
            <v>TOMATO PASTE FOR BULK
PROCESSING</v>
          </cell>
          <cell r="I869">
            <v>0.93</v>
          </cell>
        </row>
        <row r="870">
          <cell r="A870">
            <v>78945</v>
          </cell>
          <cell r="B870" t="str">
            <v>Big Daddy's 16" Harvest Rolled Edge Pepp</v>
          </cell>
          <cell r="C870">
            <v>25.88</v>
          </cell>
          <cell r="D870">
            <v>90</v>
          </cell>
          <cell r="E870">
            <v>4.5999999999999996</v>
          </cell>
          <cell r="F870" t="str">
            <v>A048</v>
          </cell>
          <cell r="G870">
            <v>100332</v>
          </cell>
          <cell r="H870" t="str">
            <v>TOMATO PASTE FOR BULK
PROCESSING</v>
          </cell>
          <cell r="I870">
            <v>0.93</v>
          </cell>
        </row>
        <row r="871">
          <cell r="A871">
            <v>78948</v>
          </cell>
          <cell r="B871" t="str">
            <v>French Bread Pepp</v>
          </cell>
          <cell r="C871">
            <v>18.75</v>
          </cell>
          <cell r="D871">
            <v>60</v>
          </cell>
          <cell r="E871">
            <v>5</v>
          </cell>
          <cell r="F871" t="str">
            <v>A048</v>
          </cell>
          <cell r="G871">
            <v>100332</v>
          </cell>
          <cell r="H871" t="str">
            <v>TOMATO PASTE FOR BULK
PROCESSING</v>
          </cell>
          <cell r="I871">
            <v>1.06</v>
          </cell>
        </row>
        <row r="872">
          <cell r="A872">
            <v>78985</v>
          </cell>
          <cell r="B872" t="str">
            <v>Big Daddy's Bold Cheese</v>
          </cell>
          <cell r="C872">
            <v>25.05</v>
          </cell>
          <cell r="D872">
            <v>72</v>
          </cell>
          <cell r="E872">
            <v>5.57</v>
          </cell>
          <cell r="F872" t="str">
            <v>A048</v>
          </cell>
          <cell r="G872">
            <v>100332</v>
          </cell>
          <cell r="H872" t="str">
            <v>TOMATO PASTE FOR BULK
PROCESSING</v>
          </cell>
          <cell r="I872">
            <v>1.1399999999999999</v>
          </cell>
        </row>
        <row r="873">
          <cell r="A873">
            <v>78986</v>
          </cell>
          <cell r="B873" t="str">
            <v>Big Daddy's Bold Pepp</v>
          </cell>
          <cell r="C873">
            <v>25.05</v>
          </cell>
          <cell r="D873">
            <v>72</v>
          </cell>
          <cell r="E873">
            <v>5.57</v>
          </cell>
          <cell r="F873" t="str">
            <v>A048</v>
          </cell>
          <cell r="G873">
            <v>100332</v>
          </cell>
          <cell r="H873" t="str">
            <v>TOMATO PASTE FOR BULK
PROCESSING</v>
          </cell>
          <cell r="I873">
            <v>1.1399999999999999</v>
          </cell>
        </row>
        <row r="874">
          <cell r="A874">
            <v>78987</v>
          </cell>
          <cell r="B874" t="str">
            <v>Big Daddy's Bold Cheese Pre-Sliced</v>
          </cell>
          <cell r="C874">
            <v>25.05</v>
          </cell>
          <cell r="D874">
            <v>90</v>
          </cell>
          <cell r="E874">
            <v>4.45</v>
          </cell>
          <cell r="F874" t="str">
            <v>A048</v>
          </cell>
          <cell r="G874">
            <v>100332</v>
          </cell>
          <cell r="H874" t="str">
            <v>TOMATO PASTE FOR BULK
PROCESSING</v>
          </cell>
          <cell r="I874">
            <v>1.1399999999999999</v>
          </cell>
        </row>
        <row r="875">
          <cell r="A875">
            <v>78992</v>
          </cell>
          <cell r="B875" t="str">
            <v>Big Daddy's 51% WG Cheese Cheese Pizza Presliced</v>
          </cell>
          <cell r="C875">
            <v>24.37</v>
          </cell>
          <cell r="D875">
            <v>90</v>
          </cell>
          <cell r="E875">
            <v>4.33</v>
          </cell>
          <cell r="F875" t="str">
            <v>A048</v>
          </cell>
          <cell r="G875">
            <v>100332</v>
          </cell>
          <cell r="H875" t="str">
            <v>TOMATO PASTE FOR BULK
PROCESSING</v>
          </cell>
          <cell r="I875">
            <v>1.01</v>
          </cell>
        </row>
        <row r="876">
          <cell r="A876">
            <v>78993</v>
          </cell>
          <cell r="B876" t="str">
            <v>Big Daddy's 51% WG Pepp Pizza Presliced</v>
          </cell>
          <cell r="C876">
            <v>24.37</v>
          </cell>
          <cell r="D876">
            <v>90</v>
          </cell>
          <cell r="E876">
            <v>4.33</v>
          </cell>
          <cell r="F876" t="str">
            <v>A048</v>
          </cell>
          <cell r="G876">
            <v>100332</v>
          </cell>
          <cell r="H876" t="str">
            <v>TOMATO PASTE FOR BULK
PROCESSING</v>
          </cell>
          <cell r="I876">
            <v>1.01</v>
          </cell>
        </row>
        <row r="877">
          <cell r="A877">
            <v>78995</v>
          </cell>
          <cell r="B877" t="str">
            <v>Big Daddy's Cheese Flatbread Sandwich</v>
          </cell>
          <cell r="C877">
            <v>18.045000000000002</v>
          </cell>
          <cell r="D877">
            <v>72</v>
          </cell>
          <cell r="E877">
            <v>4.01</v>
          </cell>
          <cell r="F877" t="str">
            <v>A048</v>
          </cell>
          <cell r="G877">
            <v>100332</v>
          </cell>
          <cell r="H877" t="str">
            <v>TOMATO PASTE FOR BULK
PROCESSING</v>
          </cell>
          <cell r="I877">
            <v>0</v>
          </cell>
        </row>
        <row r="878">
          <cell r="A878">
            <v>78996</v>
          </cell>
          <cell r="B878" t="str">
            <v>Big Daddy's Southwest Chicken Flatbread Sandwich</v>
          </cell>
          <cell r="C878">
            <v>19.079999999999998</v>
          </cell>
          <cell r="D878">
            <v>72</v>
          </cell>
          <cell r="E878">
            <v>4.24</v>
          </cell>
          <cell r="F878" t="str">
            <v>A048</v>
          </cell>
          <cell r="G878">
            <v>100332</v>
          </cell>
          <cell r="H878" t="str">
            <v>TOMATO PASTE FOR BULK
PROCESSING</v>
          </cell>
          <cell r="I878">
            <v>0</v>
          </cell>
        </row>
        <row r="879">
          <cell r="A879">
            <v>78997</v>
          </cell>
          <cell r="B879" t="str">
            <v>Big Daddy's BBQ Chicken Flatbread Sandwich</v>
          </cell>
          <cell r="C879">
            <v>18.27</v>
          </cell>
          <cell r="D879">
            <v>72</v>
          </cell>
          <cell r="E879">
            <v>4.0599999999999996</v>
          </cell>
          <cell r="F879" t="str">
            <v>A048</v>
          </cell>
          <cell r="G879">
            <v>100332</v>
          </cell>
          <cell r="H879" t="str">
            <v>TOMATO PASTE FOR BULK
PROCESSING</v>
          </cell>
          <cell r="I879">
            <v>0</v>
          </cell>
        </row>
        <row r="880">
          <cell r="A880">
            <v>78998</v>
          </cell>
          <cell r="B880" t="str">
            <v>Big Daddy's Bold Pepperoni Pre-Sliced 10 Cut</v>
          </cell>
          <cell r="C880">
            <v>25.19</v>
          </cell>
          <cell r="D880">
            <v>90</v>
          </cell>
          <cell r="E880">
            <v>4.4800000000000004</v>
          </cell>
          <cell r="F880" t="str">
            <v>A048</v>
          </cell>
          <cell r="G880">
            <v>100332</v>
          </cell>
          <cell r="H880" t="str">
            <v>TOMATO PASTE FOR BULK
PROCESSING</v>
          </cell>
          <cell r="I880">
            <v>1.1399999999999999</v>
          </cell>
        </row>
        <row r="881">
          <cell r="A881">
            <v>88005</v>
          </cell>
          <cell r="B881" t="str">
            <v>Chicken Quesadilla</v>
          </cell>
          <cell r="C881">
            <v>26.4</v>
          </cell>
          <cell r="D881">
            <v>96</v>
          </cell>
          <cell r="E881">
            <v>4.4000000000000004</v>
          </cell>
          <cell r="F881" t="str">
            <v>A048</v>
          </cell>
          <cell r="G881">
            <v>100332</v>
          </cell>
          <cell r="H881" t="str">
            <v>TOMATO PASTE FOR BULK
PROCESSING</v>
          </cell>
          <cell r="I881">
            <v>0.61</v>
          </cell>
        </row>
        <row r="882">
          <cell r="A882">
            <v>88007</v>
          </cell>
          <cell r="B882" t="str">
            <v>Cheese Quesadilla</v>
          </cell>
          <cell r="C882">
            <v>26.4</v>
          </cell>
          <cell r="D882">
            <v>96</v>
          </cell>
          <cell r="E882">
            <v>4.4000000000000004</v>
          </cell>
          <cell r="F882" t="str">
            <v>A048</v>
          </cell>
          <cell r="G882">
            <v>100332</v>
          </cell>
          <cell r="H882" t="str">
            <v>TOMATO PASTE FOR BULK
PROCESSING</v>
          </cell>
          <cell r="I882">
            <v>0.63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dsaverino@redgold.com" TargetMode="External"/><Relationship Id="rId1" Type="http://schemas.openxmlformats.org/officeDocument/2006/relationships/hyperlink" Target="mailto:Lnorton@efsfood.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tabColor rgb="FFFFFF00"/>
  </sheetPr>
  <dimension ref="A1:H10"/>
  <sheetViews>
    <sheetView tabSelected="1" workbookViewId="0">
      <selection activeCell="B10" sqref="B10"/>
    </sheetView>
  </sheetViews>
  <sheetFormatPr defaultRowHeight="15"/>
  <cols>
    <col min="1" max="1" width="24.5703125" customWidth="1"/>
    <col min="2" max="2" width="23.7109375" customWidth="1"/>
    <col min="3" max="3" width="18.5703125" customWidth="1"/>
    <col min="4" max="4" width="11.7109375" customWidth="1"/>
    <col min="5" max="5" width="13.28515625" customWidth="1"/>
    <col min="6" max="6" width="14.140625" customWidth="1"/>
    <col min="7" max="7" width="12.85546875" customWidth="1"/>
  </cols>
  <sheetData>
    <row r="1" spans="1:8" ht="15.75" thickBot="1"/>
    <row r="2" spans="1:8" ht="92.25" customHeight="1" thickBot="1">
      <c r="A2" s="234" t="s">
        <v>264</v>
      </c>
      <c r="B2" s="236" t="s">
        <v>262</v>
      </c>
      <c r="C2" s="237"/>
      <c r="D2" s="237"/>
      <c r="E2" s="237"/>
      <c r="F2" s="237"/>
      <c r="G2" s="238"/>
      <c r="H2" s="8"/>
    </row>
    <row r="3" spans="1:8" ht="30" customHeight="1" thickBot="1">
      <c r="A3" s="7"/>
      <c r="B3" s="235"/>
      <c r="C3" s="235"/>
      <c r="D3" s="235"/>
      <c r="E3" s="235"/>
      <c r="F3" s="235"/>
      <c r="G3" s="235"/>
      <c r="H3" s="8"/>
    </row>
    <row r="4" spans="1:8" ht="66.75" customHeight="1" thickBot="1">
      <c r="A4" t="s">
        <v>252</v>
      </c>
      <c r="B4" s="239" t="s">
        <v>263</v>
      </c>
      <c r="C4" s="240"/>
      <c r="D4" s="240"/>
      <c r="E4" s="240"/>
      <c r="F4" s="240"/>
      <c r="G4" s="241"/>
      <c r="H4" s="8"/>
    </row>
    <row r="5" spans="1:8" ht="15.75" thickBot="1"/>
    <row r="6" spans="1:8" ht="31.5" customHeight="1" thickBot="1">
      <c r="A6" s="5" t="s">
        <v>0</v>
      </c>
      <c r="B6" s="5" t="s">
        <v>1</v>
      </c>
      <c r="C6" s="5" t="s">
        <v>5</v>
      </c>
      <c r="D6" s="5" t="s">
        <v>4</v>
      </c>
      <c r="E6" s="6" t="s">
        <v>6</v>
      </c>
      <c r="F6" s="5" t="s">
        <v>2</v>
      </c>
      <c r="G6" s="4" t="s">
        <v>3</v>
      </c>
    </row>
    <row r="7" spans="1:8" ht="15.75" thickBot="1">
      <c r="A7" s="11" t="s">
        <v>260</v>
      </c>
      <c r="B7" t="s">
        <v>8</v>
      </c>
      <c r="C7" s="233" t="s">
        <v>9</v>
      </c>
      <c r="D7" s="7">
        <v>100332</v>
      </c>
      <c r="E7" s="10">
        <f>Schwans!P175</f>
        <v>0</v>
      </c>
      <c r="F7" s="1">
        <v>0.36120000000000002</v>
      </c>
      <c r="G7" s="9">
        <f>E7*F7</f>
        <v>0</v>
      </c>
    </row>
    <row r="8" spans="1:8" ht="15.75" thickBot="1">
      <c r="A8" s="11" t="s">
        <v>261</v>
      </c>
      <c r="B8" t="s">
        <v>74</v>
      </c>
      <c r="C8" s="233" t="s">
        <v>75</v>
      </c>
      <c r="D8" s="7">
        <v>100332</v>
      </c>
      <c r="E8" s="10">
        <f>RedGold!Q46+RedGold!O46</f>
        <v>0</v>
      </c>
      <c r="F8" s="1">
        <v>0.36120000000000002</v>
      </c>
      <c r="G8" s="9">
        <f>E8*F8</f>
        <v>0</v>
      </c>
    </row>
    <row r="9" spans="1:8">
      <c r="B9" s="3"/>
      <c r="F9" s="7" t="s">
        <v>7</v>
      </c>
      <c r="G9" s="2">
        <f>G8+G7</f>
        <v>0</v>
      </c>
    </row>
    <row r="10" spans="1:8">
      <c r="B10" s="3"/>
    </row>
  </sheetData>
  <sheetProtection password="C307" sheet="1" objects="1" scenarios="1"/>
  <mergeCells count="2">
    <mergeCell ref="B2:G2"/>
    <mergeCell ref="B4:G4"/>
  </mergeCells>
  <hyperlinks>
    <hyperlink ref="A7" location="Schwans!A1" display="Schwans Foodservice"/>
    <hyperlink ref="C7" r:id="rId1"/>
    <hyperlink ref="C8" r:id="rId2"/>
    <hyperlink ref="A8" location="RedGold!A1" display="59. Red Gold"/>
  </hyperlinks>
  <pageMargins left="0.2" right="0.25" top="0.25" bottom="0.25" header="0.05" footer="0.3"/>
  <pageSetup orientation="landscape" r:id="rId3"/>
</worksheet>
</file>

<file path=xl/worksheets/sheet2.xml><?xml version="1.0" encoding="utf-8"?>
<worksheet xmlns="http://schemas.openxmlformats.org/spreadsheetml/2006/main" xmlns:r="http://schemas.openxmlformats.org/officeDocument/2006/relationships">
  <dimension ref="A1:R183"/>
  <sheetViews>
    <sheetView showZeros="0" workbookViewId="0">
      <selection activeCell="H12" sqref="H12"/>
    </sheetView>
  </sheetViews>
  <sheetFormatPr defaultRowHeight="15"/>
  <cols>
    <col min="1" max="1" width="7.5703125" style="12" customWidth="1"/>
    <col min="2" max="2" width="40.85546875" style="13" customWidth="1"/>
    <col min="3" max="3" width="7" style="3" customWidth="1"/>
    <col min="4" max="4" width="7" style="17" customWidth="1"/>
    <col min="5" max="5" width="7.140625" style="3" customWidth="1"/>
    <col min="6" max="6" width="5.42578125" style="3" customWidth="1"/>
    <col min="7" max="7" width="5.28515625" customWidth="1"/>
    <col min="8" max="8" width="11.28515625" customWidth="1"/>
    <col min="9" max="9" width="2.42578125" customWidth="1"/>
    <col min="10" max="10" width="8.140625" customWidth="1"/>
    <col min="11" max="11" width="2.28515625" customWidth="1"/>
    <col min="12" max="12" width="9.28515625" style="85" customWidth="1"/>
    <col min="13" max="13" width="2" customWidth="1"/>
    <col min="14" max="14" width="8.5703125" customWidth="1"/>
    <col min="15" max="15" width="2.140625" style="84" customWidth="1"/>
    <col min="16" max="16" width="11.28515625" customWidth="1"/>
    <col min="17" max="17" width="13.140625" customWidth="1"/>
  </cols>
  <sheetData>
    <row r="1" spans="1:17" ht="25.5" customHeight="1">
      <c r="C1" s="249" t="s">
        <v>64</v>
      </c>
      <c r="D1" s="250"/>
      <c r="E1" s="251"/>
      <c r="F1" s="252"/>
      <c r="H1" s="14" t="s">
        <v>14</v>
      </c>
      <c r="L1" s="261" t="s">
        <v>15</v>
      </c>
      <c r="M1" s="262"/>
      <c r="N1" s="262"/>
      <c r="O1" s="262"/>
      <c r="P1" s="262"/>
      <c r="Q1" s="263"/>
    </row>
    <row r="2" spans="1:17" ht="20.25" thickBot="1">
      <c r="C2" s="253"/>
      <c r="D2" s="254"/>
      <c r="E2" s="255"/>
      <c r="F2" s="256"/>
      <c r="H2" s="15" t="s">
        <v>16</v>
      </c>
      <c r="L2" s="264"/>
      <c r="M2" s="265"/>
      <c r="N2" s="265"/>
      <c r="O2" s="265"/>
      <c r="P2" s="265"/>
      <c r="Q2" s="266"/>
    </row>
    <row r="3" spans="1:17" ht="20.25" customHeight="1" thickBot="1">
      <c r="C3" s="257"/>
      <c r="D3" s="258"/>
      <c r="E3" s="259"/>
      <c r="F3" s="260"/>
      <c r="H3" s="16" t="s">
        <v>16</v>
      </c>
      <c r="L3" s="267" t="s">
        <v>65</v>
      </c>
      <c r="M3" s="268"/>
      <c r="N3" s="268"/>
      <c r="O3" s="268"/>
      <c r="P3" s="268"/>
      <c r="Q3" s="269"/>
    </row>
    <row r="4" spans="1:17" ht="21">
      <c r="H4" s="16" t="s">
        <v>16</v>
      </c>
      <c r="L4" s="270" t="s">
        <v>17</v>
      </c>
      <c r="M4" s="271"/>
      <c r="N4" s="271"/>
      <c r="O4" s="271"/>
      <c r="P4" s="271"/>
      <c r="Q4" s="272"/>
    </row>
    <row r="5" spans="1:17" ht="15" customHeight="1">
      <c r="A5" s="248" t="s">
        <v>18</v>
      </c>
      <c r="B5" s="248"/>
      <c r="C5" s="273" t="s">
        <v>19</v>
      </c>
      <c r="D5" s="274" t="s">
        <v>20</v>
      </c>
      <c r="E5" s="248" t="s">
        <v>21</v>
      </c>
      <c r="F5" s="248" t="s">
        <v>22</v>
      </c>
      <c r="G5" s="248" t="s">
        <v>23</v>
      </c>
      <c r="H5" s="245" t="s">
        <v>24</v>
      </c>
      <c r="I5" s="247" t="s">
        <v>25</v>
      </c>
      <c r="J5" s="248" t="s">
        <v>13</v>
      </c>
      <c r="K5" s="248" t="s">
        <v>10</v>
      </c>
      <c r="L5" s="248" t="s">
        <v>26</v>
      </c>
      <c r="M5" s="248" t="s">
        <v>11</v>
      </c>
      <c r="N5" s="273" t="s">
        <v>66</v>
      </c>
      <c r="O5" s="275" t="s">
        <v>10</v>
      </c>
      <c r="P5" s="248" t="s">
        <v>67</v>
      </c>
      <c r="Q5" s="248" t="s">
        <v>68</v>
      </c>
    </row>
    <row r="6" spans="1:17" ht="38.25" customHeight="1">
      <c r="A6" s="248"/>
      <c r="B6" s="248"/>
      <c r="C6" s="273"/>
      <c r="D6" s="274"/>
      <c r="E6" s="248"/>
      <c r="F6" s="248"/>
      <c r="G6" s="248"/>
      <c r="H6" s="246"/>
      <c r="I6" s="247"/>
      <c r="J6" s="248"/>
      <c r="K6" s="248"/>
      <c r="L6" s="248"/>
      <c r="M6" s="248"/>
      <c r="N6" s="273"/>
      <c r="O6" s="275"/>
      <c r="P6" s="248"/>
      <c r="Q6" s="248"/>
    </row>
    <row r="7" spans="1:17">
      <c r="A7" s="18">
        <v>62050</v>
      </c>
      <c r="B7" s="78" t="str">
        <f t="shared" ref="B7:B33" si="0">VLOOKUP(A7,name,2,FALSE)</f>
        <v>Tony's® Fiestada® Beef Pizza</v>
      </c>
      <c r="C7" s="19">
        <f t="shared" ref="C7:C38" si="1">VLOOKUP(A7,nutrits,4,FALSE)</f>
        <v>5.3</v>
      </c>
      <c r="D7" s="20">
        <f t="shared" ref="D7:D38" si="2">VLOOKUP(A7,nutrits,9,FALSE)</f>
        <v>0</v>
      </c>
      <c r="E7" s="21">
        <f t="shared" ref="E7:E38" si="3">VLOOKUP(A7,nutrits,5,FALSE)</f>
        <v>2</v>
      </c>
      <c r="F7" s="21">
        <f t="shared" ref="F7:F38" si="4">VLOOKUP(A7,nutrits,6,FALSE)</f>
        <v>2</v>
      </c>
      <c r="G7" s="21" t="str">
        <f t="shared" ref="G7:G38" si="5">VLOOKUP(A7,nutrits,7,FALSE)</f>
        <v>1⁄8</v>
      </c>
      <c r="H7" s="22"/>
      <c r="I7" s="23" t="s">
        <v>25</v>
      </c>
      <c r="J7" s="21">
        <f t="shared" ref="J7:J38" si="6">VLOOKUP(A7,nutrits,3,FALSE)</f>
        <v>96</v>
      </c>
      <c r="K7" s="21" t="s">
        <v>10</v>
      </c>
      <c r="L7" s="24">
        <f t="shared" ref="L7:L70" si="7">SUM(H7/J7)</f>
        <v>0</v>
      </c>
      <c r="M7" s="21" t="s">
        <v>12</v>
      </c>
      <c r="N7" s="21">
        <f t="shared" ref="N7:N38" si="8">VLOOKUP(A7,sepdspaste,9,FALSE)</f>
        <v>1.5</v>
      </c>
      <c r="O7" s="21" t="s">
        <v>10</v>
      </c>
      <c r="P7" s="19">
        <f t="shared" ref="P7:P70" si="9">L7*N7</f>
        <v>0</v>
      </c>
      <c r="Q7" s="25">
        <f t="shared" ref="Q7:Q70" si="10">P7*0.3612</f>
        <v>0</v>
      </c>
    </row>
    <row r="8" spans="1:17">
      <c r="A8" s="21">
        <v>63088</v>
      </c>
      <c r="B8" s="78" t="str">
        <f t="shared" si="0"/>
        <v>Tony's® Deep Dish 5" 50/50 Cheese Pizza</v>
      </c>
      <c r="C8" s="19">
        <f t="shared" si="1"/>
        <v>4.5</v>
      </c>
      <c r="D8" s="20">
        <f t="shared" si="2"/>
        <v>0</v>
      </c>
      <c r="E8" s="21" t="str">
        <f t="shared" si="3"/>
        <v>1 ¼</v>
      </c>
      <c r="F8" s="21">
        <f t="shared" si="4"/>
        <v>2</v>
      </c>
      <c r="G8" s="21" t="str">
        <f t="shared" si="5"/>
        <v>1⁄8</v>
      </c>
      <c r="H8" s="22"/>
      <c r="I8" s="23" t="s">
        <v>25</v>
      </c>
      <c r="J8" s="21">
        <f t="shared" si="6"/>
        <v>60</v>
      </c>
      <c r="K8" s="21" t="s">
        <v>10</v>
      </c>
      <c r="L8" s="24">
        <f t="shared" si="7"/>
        <v>0</v>
      </c>
      <c r="M8" s="21" t="s">
        <v>12</v>
      </c>
      <c r="N8" s="21">
        <f t="shared" si="8"/>
        <v>1.04</v>
      </c>
      <c r="O8" s="21" t="s">
        <v>10</v>
      </c>
      <c r="P8" s="19">
        <f t="shared" si="9"/>
        <v>0</v>
      </c>
      <c r="Q8" s="25">
        <f t="shared" si="10"/>
        <v>0</v>
      </c>
    </row>
    <row r="9" spans="1:17" ht="30">
      <c r="A9" s="21">
        <v>63091</v>
      </c>
      <c r="B9" s="78" t="str">
        <f t="shared" si="0"/>
        <v>Tony's® 5" Sausage/Pepperoni Pizza Bulk CN 1.5 m/ma</v>
      </c>
      <c r="C9" s="19">
        <f t="shared" si="1"/>
        <v>4.8600000000000003</v>
      </c>
      <c r="D9" s="20">
        <f t="shared" si="2"/>
        <v>0</v>
      </c>
      <c r="E9" s="21" t="str">
        <f t="shared" si="3"/>
        <v>1 ½</v>
      </c>
      <c r="F9" s="21">
        <f t="shared" si="4"/>
        <v>2</v>
      </c>
      <c r="G9" s="21" t="str">
        <f t="shared" si="5"/>
        <v>1⁄8</v>
      </c>
      <c r="H9" s="22"/>
      <c r="I9" s="23" t="s">
        <v>25</v>
      </c>
      <c r="J9" s="21">
        <f t="shared" si="6"/>
        <v>60</v>
      </c>
      <c r="K9" s="21" t="s">
        <v>10</v>
      </c>
      <c r="L9" s="24">
        <f t="shared" si="7"/>
        <v>0</v>
      </c>
      <c r="M9" s="21" t="s">
        <v>12</v>
      </c>
      <c r="N9" s="21">
        <f t="shared" si="8"/>
        <v>0.95</v>
      </c>
      <c r="O9" s="21" t="s">
        <v>10</v>
      </c>
      <c r="P9" s="19">
        <f t="shared" si="9"/>
        <v>0</v>
      </c>
      <c r="Q9" s="25">
        <f t="shared" si="10"/>
        <v>0</v>
      </c>
    </row>
    <row r="10" spans="1:17">
      <c r="A10" s="18">
        <v>63276</v>
      </c>
      <c r="B10" s="78" t="str">
        <f t="shared" si="0"/>
        <v>Tony's® 3.2x5 IQF Pizza Cheese 100% Mozz</v>
      </c>
      <c r="C10" s="19">
        <f t="shared" si="1"/>
        <v>3.25</v>
      </c>
      <c r="D10" s="20">
        <f t="shared" si="2"/>
        <v>0</v>
      </c>
      <c r="E10" s="21">
        <f t="shared" si="3"/>
        <v>1</v>
      </c>
      <c r="F10" s="21" t="str">
        <f t="shared" si="4"/>
        <v>1 ¼</v>
      </c>
      <c r="G10" s="21" t="str">
        <f t="shared" si="5"/>
        <v>1⁄8</v>
      </c>
      <c r="H10" s="22"/>
      <c r="I10" s="23" t="s">
        <v>25</v>
      </c>
      <c r="J10" s="21">
        <f t="shared" si="6"/>
        <v>60</v>
      </c>
      <c r="K10" s="21" t="s">
        <v>10</v>
      </c>
      <c r="L10" s="24">
        <f t="shared" si="7"/>
        <v>0</v>
      </c>
      <c r="M10" s="21" t="s">
        <v>12</v>
      </c>
      <c r="N10" s="21">
        <f t="shared" si="8"/>
        <v>1.05</v>
      </c>
      <c r="O10" s="21" t="s">
        <v>10</v>
      </c>
      <c r="P10" s="19">
        <f t="shared" si="9"/>
        <v>0</v>
      </c>
      <c r="Q10" s="25">
        <f t="shared" si="10"/>
        <v>0</v>
      </c>
    </row>
    <row r="11" spans="1:17" ht="30">
      <c r="A11" s="18">
        <v>63490</v>
      </c>
      <c r="B11" s="78" t="str">
        <f t="shared" si="0"/>
        <v>Tony's® Thin Crust 4x6 Pizza Sausage 50/50 Mozz./Sub Mozz. Bag Pack</v>
      </c>
      <c r="C11" s="19">
        <f t="shared" si="1"/>
        <v>4.5599999999999996</v>
      </c>
      <c r="D11" s="20">
        <f t="shared" si="2"/>
        <v>0</v>
      </c>
      <c r="E11" s="21" t="str">
        <f t="shared" si="3"/>
        <v>1 ¾</v>
      </c>
      <c r="F11" s="21" t="str">
        <f t="shared" si="4"/>
        <v>1 ¾</v>
      </c>
      <c r="G11" s="21" t="str">
        <f t="shared" si="5"/>
        <v>1⁄8</v>
      </c>
      <c r="H11" s="22"/>
      <c r="I11" s="23" t="s">
        <v>25</v>
      </c>
      <c r="J11" s="21">
        <f t="shared" si="6"/>
        <v>96</v>
      </c>
      <c r="K11" s="21" t="s">
        <v>10</v>
      </c>
      <c r="L11" s="24">
        <f t="shared" si="7"/>
        <v>0</v>
      </c>
      <c r="M11" s="21" t="s">
        <v>12</v>
      </c>
      <c r="N11" s="21">
        <f t="shared" si="8"/>
        <v>1.53</v>
      </c>
      <c r="O11" s="21" t="s">
        <v>10</v>
      </c>
      <c r="P11" s="19">
        <f t="shared" si="9"/>
        <v>0</v>
      </c>
      <c r="Q11" s="25">
        <f t="shared" si="10"/>
        <v>0</v>
      </c>
    </row>
    <row r="12" spans="1:17" ht="30">
      <c r="A12" s="18">
        <v>63494</v>
      </c>
      <c r="B12" s="78" t="str">
        <f t="shared" si="0"/>
        <v>Tony's® Thin Crust 4x6 Pizza Red. Fat Pepp 50/50 Mozz/Sub Mozz Bag Pack</v>
      </c>
      <c r="C12" s="19">
        <f t="shared" si="1"/>
        <v>4.24</v>
      </c>
      <c r="D12" s="20">
        <f t="shared" si="2"/>
        <v>0</v>
      </c>
      <c r="E12" s="21" t="str">
        <f t="shared" si="3"/>
        <v>1 ½</v>
      </c>
      <c r="F12" s="21" t="str">
        <f t="shared" si="4"/>
        <v>1 ¾</v>
      </c>
      <c r="G12" s="21" t="str">
        <f t="shared" si="5"/>
        <v>1⁄8</v>
      </c>
      <c r="H12" s="22"/>
      <c r="I12" s="23" t="s">
        <v>25</v>
      </c>
      <c r="J12" s="21">
        <f t="shared" si="6"/>
        <v>96</v>
      </c>
      <c r="K12" s="21" t="s">
        <v>10</v>
      </c>
      <c r="L12" s="24">
        <f t="shared" si="7"/>
        <v>0</v>
      </c>
      <c r="M12" s="21" t="s">
        <v>12</v>
      </c>
      <c r="N12" s="21">
        <f t="shared" si="8"/>
        <v>1.51</v>
      </c>
      <c r="O12" s="21" t="s">
        <v>10</v>
      </c>
      <c r="P12" s="19">
        <f t="shared" si="9"/>
        <v>0</v>
      </c>
      <c r="Q12" s="25">
        <f t="shared" si="10"/>
        <v>0</v>
      </c>
    </row>
    <row r="13" spans="1:17">
      <c r="A13" s="18">
        <v>63495</v>
      </c>
      <c r="B13" s="78" t="str">
        <f t="shared" si="0"/>
        <v>Tony's® 4x6 Pepperoni 100% Mozzarella</v>
      </c>
      <c r="C13" s="19">
        <f t="shared" si="1"/>
        <v>4.43</v>
      </c>
      <c r="D13" s="20">
        <f t="shared" si="2"/>
        <v>0</v>
      </c>
      <c r="E13" s="21" t="str">
        <f t="shared" si="3"/>
        <v>1 ¾</v>
      </c>
      <c r="F13" s="21" t="str">
        <f t="shared" si="4"/>
        <v>1 ¾</v>
      </c>
      <c r="G13" s="21" t="str">
        <f t="shared" si="5"/>
        <v>1⁄8</v>
      </c>
      <c r="H13" s="22"/>
      <c r="I13" s="23" t="s">
        <v>25</v>
      </c>
      <c r="J13" s="21">
        <f t="shared" si="6"/>
        <v>96</v>
      </c>
      <c r="K13" s="21" t="s">
        <v>10</v>
      </c>
      <c r="L13" s="24">
        <f t="shared" si="7"/>
        <v>0</v>
      </c>
      <c r="M13" s="21" t="s">
        <v>12</v>
      </c>
      <c r="N13" s="21">
        <f t="shared" si="8"/>
        <v>1.53</v>
      </c>
      <c r="O13" s="21" t="s">
        <v>10</v>
      </c>
      <c r="P13" s="19">
        <f t="shared" si="9"/>
        <v>0</v>
      </c>
      <c r="Q13" s="25">
        <f t="shared" si="10"/>
        <v>0</v>
      </c>
    </row>
    <row r="14" spans="1:17" ht="30">
      <c r="A14" s="18">
        <v>63496</v>
      </c>
      <c r="B14" s="78" t="str">
        <f t="shared" si="0"/>
        <v>Tony's® Thin Crust 4x6 Pizza Cheese 100% Mozzarella Bag Pack</v>
      </c>
      <c r="C14" s="19">
        <f t="shared" si="1"/>
        <v>4.07</v>
      </c>
      <c r="D14" s="20">
        <f t="shared" si="2"/>
        <v>0</v>
      </c>
      <c r="E14" s="21" t="str">
        <f t="shared" si="3"/>
        <v xml:space="preserve">1 ½ </v>
      </c>
      <c r="F14" s="21" t="str">
        <f t="shared" si="4"/>
        <v>1 ¾</v>
      </c>
      <c r="G14" s="21" t="str">
        <f t="shared" si="5"/>
        <v>1⁄8</v>
      </c>
      <c r="H14" s="22"/>
      <c r="I14" s="23" t="s">
        <v>25</v>
      </c>
      <c r="J14" s="21">
        <f t="shared" si="6"/>
        <v>96</v>
      </c>
      <c r="K14" s="21" t="s">
        <v>10</v>
      </c>
      <c r="L14" s="24">
        <f t="shared" si="7"/>
        <v>0</v>
      </c>
      <c r="M14" s="21" t="s">
        <v>12</v>
      </c>
      <c r="N14" s="21">
        <f t="shared" si="8"/>
        <v>1.51</v>
      </c>
      <c r="O14" s="21" t="s">
        <v>10</v>
      </c>
      <c r="P14" s="19">
        <f t="shared" si="9"/>
        <v>0</v>
      </c>
      <c r="Q14" s="25">
        <f t="shared" si="10"/>
        <v>0</v>
      </c>
    </row>
    <row r="15" spans="1:17" ht="30">
      <c r="A15" s="18">
        <v>63500</v>
      </c>
      <c r="B15" s="78" t="str">
        <f t="shared" si="0"/>
        <v>Tony's® SmartPizza™ Right Angle Wedge Pizza Cheese 100% Mozz with Pan Mate®</v>
      </c>
      <c r="C15" s="19">
        <f t="shared" si="1"/>
        <v>4.6900000000000004</v>
      </c>
      <c r="D15" s="20">
        <f t="shared" si="2"/>
        <v>0</v>
      </c>
      <c r="E15" s="21">
        <f t="shared" si="3"/>
        <v>2</v>
      </c>
      <c r="F15" s="21">
        <f t="shared" si="4"/>
        <v>2</v>
      </c>
      <c r="G15" s="21" t="str">
        <f t="shared" si="5"/>
        <v>1⁄8</v>
      </c>
      <c r="H15" s="22"/>
      <c r="I15" s="23" t="s">
        <v>25</v>
      </c>
      <c r="J15" s="21">
        <f t="shared" si="6"/>
        <v>96</v>
      </c>
      <c r="K15" s="21" t="s">
        <v>10</v>
      </c>
      <c r="L15" s="24">
        <f t="shared" si="7"/>
        <v>0</v>
      </c>
      <c r="M15" s="21" t="s">
        <v>12</v>
      </c>
      <c r="N15" s="21">
        <f t="shared" si="8"/>
        <v>1.53</v>
      </c>
      <c r="O15" s="21" t="s">
        <v>10</v>
      </c>
      <c r="P15" s="19">
        <f t="shared" si="9"/>
        <v>0</v>
      </c>
      <c r="Q15" s="25">
        <f t="shared" si="10"/>
        <v>0</v>
      </c>
    </row>
    <row r="16" spans="1:17" ht="30">
      <c r="A16" s="18">
        <v>63501</v>
      </c>
      <c r="B16" s="78" t="str">
        <f t="shared" si="0"/>
        <v>Tony's® SmartPizza® Thick Crust 4x6 Pizza Cheese 100% Mozz with Pan Mates®</v>
      </c>
      <c r="C16" s="19">
        <f t="shared" si="1"/>
        <v>5.52</v>
      </c>
      <c r="D16" s="20">
        <f t="shared" si="2"/>
        <v>0</v>
      </c>
      <c r="E16" s="21" t="str">
        <f t="shared" si="3"/>
        <v>2 ¼</v>
      </c>
      <c r="F16" s="21" t="str">
        <f t="shared" si="4"/>
        <v xml:space="preserve">2 ¾    </v>
      </c>
      <c r="G16" s="21" t="str">
        <f t="shared" si="5"/>
        <v>1⁄8</v>
      </c>
      <c r="H16" s="22"/>
      <c r="I16" s="23" t="s">
        <v>25</v>
      </c>
      <c r="J16" s="21">
        <f t="shared" si="6"/>
        <v>96</v>
      </c>
      <c r="K16" s="21" t="s">
        <v>10</v>
      </c>
      <c r="L16" s="24">
        <f t="shared" si="7"/>
        <v>0</v>
      </c>
      <c r="M16" s="21" t="s">
        <v>12</v>
      </c>
      <c r="N16" s="21">
        <f t="shared" si="8"/>
        <v>1.53</v>
      </c>
      <c r="O16" s="21" t="s">
        <v>10</v>
      </c>
      <c r="P16" s="19">
        <f t="shared" si="9"/>
        <v>0</v>
      </c>
      <c r="Q16" s="25">
        <f t="shared" si="10"/>
        <v>0</v>
      </c>
    </row>
    <row r="17" spans="1:17" ht="30">
      <c r="A17" s="18">
        <v>63572</v>
      </c>
      <c r="B17" s="78" t="str">
        <f t="shared" si="0"/>
        <v>Tony's® Thin Crust 4x6 Pizza Cheese 100% Mozz with Pan Mates®</v>
      </c>
      <c r="C17" s="19">
        <f t="shared" si="1"/>
        <v>4.43</v>
      </c>
      <c r="D17" s="20">
        <f t="shared" si="2"/>
        <v>0</v>
      </c>
      <c r="E17" s="21" t="str">
        <f t="shared" si="3"/>
        <v xml:space="preserve">1 ¾ </v>
      </c>
      <c r="F17" s="21" t="str">
        <f t="shared" si="4"/>
        <v>1 ¾</v>
      </c>
      <c r="G17" s="21" t="str">
        <f t="shared" si="5"/>
        <v>1⁄8</v>
      </c>
      <c r="H17" s="22"/>
      <c r="I17" s="23" t="s">
        <v>25</v>
      </c>
      <c r="J17" s="21">
        <f t="shared" si="6"/>
        <v>96</v>
      </c>
      <c r="K17" s="21" t="s">
        <v>10</v>
      </c>
      <c r="L17" s="24">
        <f t="shared" si="7"/>
        <v>0</v>
      </c>
      <c r="M17" s="21" t="s">
        <v>12</v>
      </c>
      <c r="N17" s="21">
        <f t="shared" si="8"/>
        <v>1.53</v>
      </c>
      <c r="O17" s="21" t="s">
        <v>10</v>
      </c>
      <c r="P17" s="19">
        <f t="shared" si="9"/>
        <v>0</v>
      </c>
      <c r="Q17" s="25">
        <f t="shared" si="10"/>
        <v>0</v>
      </c>
    </row>
    <row r="18" spans="1:17" ht="30">
      <c r="A18" s="18">
        <v>63624</v>
      </c>
      <c r="B18" s="78" t="str">
        <f t="shared" si="0"/>
        <v>Tony's® SmartPizza™ Reduced Fat Pepp Pizza</v>
      </c>
      <c r="C18" s="19">
        <f t="shared" si="1"/>
        <v>4.58</v>
      </c>
      <c r="D18" s="20">
        <f t="shared" si="2"/>
        <v>0</v>
      </c>
      <c r="E18" s="21" t="str">
        <f t="shared" si="3"/>
        <v>1 ¾</v>
      </c>
      <c r="F18" s="21">
        <f t="shared" si="4"/>
        <v>2</v>
      </c>
      <c r="G18" s="21" t="str">
        <f t="shared" si="5"/>
        <v>1⁄8</v>
      </c>
      <c r="H18" s="22"/>
      <c r="I18" s="23" t="s">
        <v>25</v>
      </c>
      <c r="J18" s="21">
        <f t="shared" si="6"/>
        <v>96</v>
      </c>
      <c r="K18" s="21" t="s">
        <v>10</v>
      </c>
      <c r="L18" s="24">
        <f t="shared" si="7"/>
        <v>0</v>
      </c>
      <c r="M18" s="21" t="s">
        <v>12</v>
      </c>
      <c r="N18" s="21">
        <f t="shared" si="8"/>
        <v>1.53</v>
      </c>
      <c r="O18" s="21" t="s">
        <v>10</v>
      </c>
      <c r="P18" s="19">
        <f t="shared" si="9"/>
        <v>0</v>
      </c>
      <c r="Q18" s="25">
        <f t="shared" si="10"/>
        <v>0</v>
      </c>
    </row>
    <row r="19" spans="1:17" ht="30">
      <c r="A19" s="18">
        <v>63743</v>
      </c>
      <c r="B19" s="78" t="str">
        <f t="shared" si="0"/>
        <v>Tony's® SmartPizza® 4x6 Pizza Thk Cheese 50/50 Mozz.</v>
      </c>
      <c r="C19" s="19">
        <f t="shared" si="1"/>
        <v>5.53</v>
      </c>
      <c r="D19" s="20">
        <f t="shared" si="2"/>
        <v>0</v>
      </c>
      <c r="E19" s="21" t="str">
        <f t="shared" si="3"/>
        <v>2 ¼</v>
      </c>
      <c r="F19" s="21" t="str">
        <f t="shared" si="4"/>
        <v xml:space="preserve">2 ¾    </v>
      </c>
      <c r="G19" s="21" t="str">
        <f t="shared" si="5"/>
        <v>1⁄8</v>
      </c>
      <c r="H19" s="22"/>
      <c r="I19" s="23" t="s">
        <v>25</v>
      </c>
      <c r="J19" s="21">
        <f t="shared" si="6"/>
        <v>96</v>
      </c>
      <c r="K19" s="21" t="s">
        <v>10</v>
      </c>
      <c r="L19" s="24">
        <f t="shared" si="7"/>
        <v>0</v>
      </c>
      <c r="M19" s="21" t="s">
        <v>12</v>
      </c>
      <c r="N19" s="21">
        <f t="shared" si="8"/>
        <v>1.53</v>
      </c>
      <c r="O19" s="21" t="s">
        <v>10</v>
      </c>
      <c r="P19" s="19">
        <f t="shared" si="9"/>
        <v>0</v>
      </c>
      <c r="Q19" s="25">
        <f t="shared" si="10"/>
        <v>0</v>
      </c>
    </row>
    <row r="20" spans="1:17" ht="30">
      <c r="A20" s="18">
        <v>63748</v>
      </c>
      <c r="B20" s="78" t="str">
        <f t="shared" si="0"/>
        <v>Tony's® SmartPizza® 4x6 Thk Crust Fat Red Pepp Pizza</v>
      </c>
      <c r="C20" s="19">
        <f t="shared" si="1"/>
        <v>5.62</v>
      </c>
      <c r="D20" s="20">
        <f t="shared" si="2"/>
        <v>0</v>
      </c>
      <c r="E20" s="21" t="str">
        <f t="shared" si="3"/>
        <v>2 ¼</v>
      </c>
      <c r="F20" s="21" t="str">
        <f t="shared" si="4"/>
        <v xml:space="preserve">2 ¾    </v>
      </c>
      <c r="G20" s="21" t="str">
        <f t="shared" si="5"/>
        <v>1⁄8</v>
      </c>
      <c r="H20" s="22"/>
      <c r="I20" s="23" t="s">
        <v>25</v>
      </c>
      <c r="J20" s="21">
        <f t="shared" si="6"/>
        <v>96</v>
      </c>
      <c r="K20" s="21" t="s">
        <v>10</v>
      </c>
      <c r="L20" s="24">
        <f t="shared" si="7"/>
        <v>0</v>
      </c>
      <c r="M20" s="21" t="s">
        <v>12</v>
      </c>
      <c r="N20" s="21">
        <f t="shared" si="8"/>
        <v>1.53</v>
      </c>
      <c r="O20" s="21" t="s">
        <v>10</v>
      </c>
      <c r="P20" s="19">
        <f t="shared" si="9"/>
        <v>0</v>
      </c>
      <c r="Q20" s="25">
        <f t="shared" si="10"/>
        <v>0</v>
      </c>
    </row>
    <row r="21" spans="1:17" ht="30">
      <c r="A21" s="18">
        <v>63835</v>
      </c>
      <c r="B21" s="78" t="str">
        <f t="shared" si="0"/>
        <v>Tony's® SmartPizza™ Sausage/TVP Pizza 50/50 Moz</v>
      </c>
      <c r="C21" s="19">
        <f t="shared" si="1"/>
        <v>4.6900000000000004</v>
      </c>
      <c r="D21" s="20">
        <f t="shared" si="2"/>
        <v>0</v>
      </c>
      <c r="E21" s="21">
        <f t="shared" si="3"/>
        <v>2</v>
      </c>
      <c r="F21" s="21">
        <f t="shared" si="4"/>
        <v>2</v>
      </c>
      <c r="G21" s="21" t="str">
        <f t="shared" si="5"/>
        <v>1⁄8</v>
      </c>
      <c r="H21" s="22"/>
      <c r="I21" s="23" t="s">
        <v>25</v>
      </c>
      <c r="J21" s="21">
        <f t="shared" si="6"/>
        <v>96</v>
      </c>
      <c r="K21" s="21" t="s">
        <v>10</v>
      </c>
      <c r="L21" s="24">
        <f t="shared" si="7"/>
        <v>0</v>
      </c>
      <c r="M21" s="21" t="s">
        <v>12</v>
      </c>
      <c r="N21" s="21">
        <f t="shared" si="8"/>
        <v>1.53</v>
      </c>
      <c r="O21" s="21" t="s">
        <v>10</v>
      </c>
      <c r="P21" s="19">
        <f t="shared" si="9"/>
        <v>0</v>
      </c>
      <c r="Q21" s="25">
        <f t="shared" si="10"/>
        <v>0</v>
      </c>
    </row>
    <row r="22" spans="1:17">
      <c r="A22" s="18">
        <v>63904</v>
      </c>
      <c r="B22" s="78" t="str">
        <f t="shared" si="0"/>
        <v>Tony's® Breakfast Pizza Sausage</v>
      </c>
      <c r="C22" s="19">
        <f t="shared" si="1"/>
        <v>3.2</v>
      </c>
      <c r="D22" s="20">
        <f t="shared" si="2"/>
        <v>0</v>
      </c>
      <c r="E22" s="21">
        <f t="shared" si="3"/>
        <v>1</v>
      </c>
      <c r="F22" s="21" t="str">
        <f t="shared" si="4"/>
        <v>1 ½</v>
      </c>
      <c r="G22" s="21">
        <f t="shared" si="5"/>
        <v>0</v>
      </c>
      <c r="H22" s="22"/>
      <c r="I22" s="23" t="s">
        <v>25</v>
      </c>
      <c r="J22" s="21">
        <f t="shared" si="6"/>
        <v>128</v>
      </c>
      <c r="K22" s="21" t="s">
        <v>10</v>
      </c>
      <c r="L22" s="24">
        <f t="shared" si="7"/>
        <v>0</v>
      </c>
      <c r="M22" s="21" t="s">
        <v>12</v>
      </c>
      <c r="N22" s="21">
        <f t="shared" si="8"/>
        <v>1.38</v>
      </c>
      <c r="O22" s="21" t="s">
        <v>10</v>
      </c>
      <c r="P22" s="19">
        <f t="shared" si="9"/>
        <v>0</v>
      </c>
      <c r="Q22" s="25">
        <f t="shared" si="10"/>
        <v>0</v>
      </c>
    </row>
    <row r="23" spans="1:17" ht="30">
      <c r="A23" s="18">
        <v>63912</v>
      </c>
      <c r="B23" s="78" t="str">
        <f t="shared" si="0"/>
        <v>Tony's® LiveSmart™ Schools Turkey Sausage Breakfast Pizza</v>
      </c>
      <c r="C23" s="19">
        <f t="shared" si="1"/>
        <v>3.31</v>
      </c>
      <c r="D23" s="20">
        <f t="shared" si="2"/>
        <v>0.51</v>
      </c>
      <c r="E23" s="21">
        <f t="shared" si="3"/>
        <v>1</v>
      </c>
      <c r="F23" s="21" t="str">
        <f t="shared" si="4"/>
        <v>1 ½</v>
      </c>
      <c r="G23" s="21">
        <f t="shared" si="5"/>
        <v>0</v>
      </c>
      <c r="H23" s="22"/>
      <c r="I23" s="23" t="s">
        <v>25</v>
      </c>
      <c r="J23" s="21">
        <f t="shared" si="6"/>
        <v>128</v>
      </c>
      <c r="K23" s="21" t="s">
        <v>10</v>
      </c>
      <c r="L23" s="24">
        <f t="shared" si="7"/>
        <v>0</v>
      </c>
      <c r="M23" s="21" t="s">
        <v>12</v>
      </c>
      <c r="N23" s="21">
        <f t="shared" si="8"/>
        <v>1.38</v>
      </c>
      <c r="O23" s="21" t="s">
        <v>10</v>
      </c>
      <c r="P23" s="19">
        <f t="shared" si="9"/>
        <v>0</v>
      </c>
      <c r="Q23" s="25">
        <f t="shared" si="10"/>
        <v>0</v>
      </c>
    </row>
    <row r="24" spans="1:17">
      <c r="A24" s="18">
        <v>63999</v>
      </c>
      <c r="B24" s="78" t="str">
        <f t="shared" si="0"/>
        <v>Tony's® 3.2x5 IQF Pizza Cheese 50/50 Mozz</v>
      </c>
      <c r="C24" s="19">
        <f t="shared" si="1"/>
        <v>4.8</v>
      </c>
      <c r="D24" s="20">
        <f t="shared" si="2"/>
        <v>0</v>
      </c>
      <c r="E24" s="21">
        <f t="shared" si="3"/>
        <v>2</v>
      </c>
      <c r="F24" s="21">
        <f t="shared" si="4"/>
        <v>2</v>
      </c>
      <c r="G24" s="21" t="str">
        <f t="shared" si="5"/>
        <v>1⁄8</v>
      </c>
      <c r="H24" s="22"/>
      <c r="I24" s="23" t="s">
        <v>25</v>
      </c>
      <c r="J24" s="21">
        <f t="shared" si="6"/>
        <v>100</v>
      </c>
      <c r="K24" s="21" t="s">
        <v>10</v>
      </c>
      <c r="L24" s="24">
        <f t="shared" si="7"/>
        <v>0</v>
      </c>
      <c r="M24" s="21" t="s">
        <v>12</v>
      </c>
      <c r="N24" s="21">
        <f t="shared" si="8"/>
        <v>1.57</v>
      </c>
      <c r="O24" s="21" t="s">
        <v>10</v>
      </c>
      <c r="P24" s="19">
        <f t="shared" si="9"/>
        <v>0</v>
      </c>
      <c r="Q24" s="25">
        <f t="shared" si="10"/>
        <v>0</v>
      </c>
    </row>
    <row r="25" spans="1:17">
      <c r="A25" s="18">
        <v>68503</v>
      </c>
      <c r="B25" s="78" t="str">
        <f t="shared" si="0"/>
        <v>Tony's® 3x8" Ultimate Flatbread, 100% Mozz</v>
      </c>
      <c r="C25" s="19">
        <f t="shared" si="1"/>
        <v>5.28</v>
      </c>
      <c r="D25" s="20">
        <f t="shared" si="2"/>
        <v>0.51</v>
      </c>
      <c r="E25" s="21">
        <f t="shared" si="3"/>
        <v>2</v>
      </c>
      <c r="F25" s="21">
        <f t="shared" si="4"/>
        <v>2</v>
      </c>
      <c r="G25" s="21" t="str">
        <f t="shared" si="5"/>
        <v>1⁄4</v>
      </c>
      <c r="H25" s="22"/>
      <c r="I25" s="23" t="s">
        <v>25</v>
      </c>
      <c r="J25" s="21">
        <f t="shared" si="6"/>
        <v>96</v>
      </c>
      <c r="K25" s="21" t="s">
        <v>10</v>
      </c>
      <c r="L25" s="24">
        <f t="shared" si="7"/>
        <v>0</v>
      </c>
      <c r="M25" s="21" t="s">
        <v>12</v>
      </c>
      <c r="N25" s="21">
        <f t="shared" si="8"/>
        <v>3.08</v>
      </c>
      <c r="O25" s="21" t="s">
        <v>10</v>
      </c>
      <c r="P25" s="19">
        <f t="shared" si="9"/>
        <v>0</v>
      </c>
      <c r="Q25" s="25">
        <f t="shared" si="10"/>
        <v>0</v>
      </c>
    </row>
    <row r="26" spans="1:17">
      <c r="A26" s="18">
        <v>68504</v>
      </c>
      <c r="B26" s="78" t="str">
        <f t="shared" si="0"/>
        <v>Tony's® 3x8 Ultimate Flatbread, Pepperoni</v>
      </c>
      <c r="C26" s="19">
        <f t="shared" si="1"/>
        <v>5.3</v>
      </c>
      <c r="D26" s="20">
        <f t="shared" si="2"/>
        <v>0.51</v>
      </c>
      <c r="E26" s="21">
        <f t="shared" si="3"/>
        <v>2</v>
      </c>
      <c r="F26" s="21">
        <f t="shared" si="4"/>
        <v>2</v>
      </c>
      <c r="G26" s="21" t="str">
        <f t="shared" si="5"/>
        <v>1⁄4</v>
      </c>
      <c r="H26" s="22"/>
      <c r="I26" s="23" t="s">
        <v>25</v>
      </c>
      <c r="J26" s="21">
        <f t="shared" si="6"/>
        <v>96</v>
      </c>
      <c r="K26" s="21" t="s">
        <v>10</v>
      </c>
      <c r="L26" s="24">
        <f t="shared" si="7"/>
        <v>0</v>
      </c>
      <c r="M26" s="21" t="s">
        <v>12</v>
      </c>
      <c r="N26" s="21">
        <f t="shared" si="8"/>
        <v>3.08</v>
      </c>
      <c r="O26" s="21" t="s">
        <v>10</v>
      </c>
      <c r="P26" s="19">
        <f t="shared" si="9"/>
        <v>0</v>
      </c>
      <c r="Q26" s="25">
        <f t="shared" si="10"/>
        <v>0</v>
      </c>
    </row>
    <row r="27" spans="1:17">
      <c r="A27" s="18">
        <v>68516</v>
      </c>
      <c r="B27" s="78" t="str">
        <f t="shared" si="0"/>
        <v>Tony's® Fiestada® 51% Whole Grain Pizza</v>
      </c>
      <c r="C27" s="19">
        <f t="shared" si="1"/>
        <v>5.43</v>
      </c>
      <c r="D27" s="20">
        <f t="shared" si="2"/>
        <v>0.51</v>
      </c>
      <c r="E27" s="21">
        <f t="shared" si="3"/>
        <v>2</v>
      </c>
      <c r="F27" s="21">
        <f t="shared" si="4"/>
        <v>2</v>
      </c>
      <c r="G27" s="21" t="str">
        <f t="shared" si="5"/>
        <v>1⁄8</v>
      </c>
      <c r="H27" s="22"/>
      <c r="I27" s="23" t="s">
        <v>25</v>
      </c>
      <c r="J27" s="21">
        <f t="shared" si="6"/>
        <v>96</v>
      </c>
      <c r="K27" s="21" t="s">
        <v>10</v>
      </c>
      <c r="L27" s="24">
        <f t="shared" si="7"/>
        <v>0</v>
      </c>
      <c r="M27" s="21" t="s">
        <v>12</v>
      </c>
      <c r="N27" s="21">
        <f t="shared" si="8"/>
        <v>3.32</v>
      </c>
      <c r="O27" s="21" t="s">
        <v>10</v>
      </c>
      <c r="P27" s="19">
        <f t="shared" si="9"/>
        <v>0</v>
      </c>
      <c r="Q27" s="25">
        <f t="shared" si="10"/>
        <v>0</v>
      </c>
    </row>
    <row r="28" spans="1:17">
      <c r="A28" s="18">
        <v>68521</v>
      </c>
      <c r="B28" s="78" t="str">
        <f t="shared" si="0"/>
        <v>Tony's® Whole Grain Cheese Pizza</v>
      </c>
      <c r="C28" s="19">
        <f t="shared" si="1"/>
        <v>5.0999999999999996</v>
      </c>
      <c r="D28" s="20">
        <f t="shared" si="2"/>
        <v>0.51</v>
      </c>
      <c r="E28" s="21">
        <f t="shared" si="3"/>
        <v>2</v>
      </c>
      <c r="F28" s="21">
        <f t="shared" si="4"/>
        <v>2</v>
      </c>
      <c r="G28" s="21" t="str">
        <f t="shared" si="5"/>
        <v>1⁄8</v>
      </c>
      <c r="H28" s="22"/>
      <c r="I28" s="23" t="s">
        <v>25</v>
      </c>
      <c r="J28" s="21">
        <f t="shared" si="6"/>
        <v>96</v>
      </c>
      <c r="K28" s="21" t="s">
        <v>10</v>
      </c>
      <c r="L28" s="24">
        <f t="shared" si="7"/>
        <v>0</v>
      </c>
      <c r="M28" s="21" t="s">
        <v>12</v>
      </c>
      <c r="N28" s="21">
        <f t="shared" si="8"/>
        <v>1.53</v>
      </c>
      <c r="O28" s="21" t="s">
        <v>10</v>
      </c>
      <c r="P28" s="19">
        <f t="shared" si="9"/>
        <v>0</v>
      </c>
      <c r="Q28" s="25">
        <f t="shared" si="10"/>
        <v>0</v>
      </c>
    </row>
    <row r="29" spans="1:17" ht="30">
      <c r="A29" s="21">
        <v>68543</v>
      </c>
      <c r="B29" s="78" t="str">
        <f t="shared" si="0"/>
        <v>Big Daddy's® Harvest™ 51% Whole Grain Cheese Pizza</v>
      </c>
      <c r="C29" s="19">
        <f t="shared" si="1"/>
        <v>3.95</v>
      </c>
      <c r="D29" s="20">
        <f t="shared" si="2"/>
        <v>0.51</v>
      </c>
      <c r="E29" s="21" t="str">
        <f t="shared" si="3"/>
        <v>1½</v>
      </c>
      <c r="F29" s="21" t="str">
        <f t="shared" si="4"/>
        <v>1¾</v>
      </c>
      <c r="G29" s="21" t="str">
        <f t="shared" si="5"/>
        <v>1⁄8</v>
      </c>
      <c r="H29" s="22"/>
      <c r="I29" s="23" t="s">
        <v>25</v>
      </c>
      <c r="J29" s="21">
        <f t="shared" si="6"/>
        <v>90</v>
      </c>
      <c r="K29" s="21" t="s">
        <v>10</v>
      </c>
      <c r="L29" s="24">
        <f t="shared" si="7"/>
        <v>0</v>
      </c>
      <c r="M29" s="21" t="s">
        <v>12</v>
      </c>
      <c r="N29" s="21">
        <f t="shared" si="8"/>
        <v>1.48</v>
      </c>
      <c r="O29" s="21" t="s">
        <v>10</v>
      </c>
      <c r="P29" s="19">
        <f t="shared" si="9"/>
        <v>0</v>
      </c>
      <c r="Q29" s="25">
        <f t="shared" si="10"/>
        <v>0</v>
      </c>
    </row>
    <row r="30" spans="1:17" ht="30">
      <c r="A30" s="21">
        <v>68543</v>
      </c>
      <c r="B30" s="78" t="str">
        <f t="shared" si="0"/>
        <v>Big Daddy's® Harvest™ 51% Whole Grain Cheese Pizza</v>
      </c>
      <c r="C30" s="19">
        <f t="shared" si="1"/>
        <v>3.95</v>
      </c>
      <c r="D30" s="20">
        <f t="shared" si="2"/>
        <v>0.51</v>
      </c>
      <c r="E30" s="21" t="str">
        <f t="shared" si="3"/>
        <v>1½</v>
      </c>
      <c r="F30" s="21" t="str">
        <f t="shared" si="4"/>
        <v>1¾</v>
      </c>
      <c r="G30" s="21" t="str">
        <f t="shared" si="5"/>
        <v>1⁄8</v>
      </c>
      <c r="H30" s="22"/>
      <c r="I30" s="23" t="s">
        <v>25</v>
      </c>
      <c r="J30" s="21">
        <f t="shared" si="6"/>
        <v>90</v>
      </c>
      <c r="K30" s="21" t="s">
        <v>10</v>
      </c>
      <c r="L30" s="24">
        <f t="shared" si="7"/>
        <v>0</v>
      </c>
      <c r="M30" s="21" t="s">
        <v>12</v>
      </c>
      <c r="N30" s="21">
        <f t="shared" si="8"/>
        <v>1.48</v>
      </c>
      <c r="O30" s="21" t="s">
        <v>10</v>
      </c>
      <c r="P30" s="19">
        <f t="shared" si="9"/>
        <v>0</v>
      </c>
      <c r="Q30" s="25">
        <f t="shared" si="10"/>
        <v>0</v>
      </c>
    </row>
    <row r="31" spans="1:17" ht="30">
      <c r="A31" s="21">
        <v>68544</v>
      </c>
      <c r="B31" s="78" t="str">
        <f t="shared" si="0"/>
        <v>Big Daddy's® Harvest™ 51% Whole Grain Pepperoni Pizza</v>
      </c>
      <c r="C31" s="19">
        <f t="shared" si="1"/>
        <v>4.97</v>
      </c>
      <c r="D31" s="20">
        <f t="shared" si="2"/>
        <v>0.51</v>
      </c>
      <c r="E31" s="21">
        <f t="shared" si="3"/>
        <v>2</v>
      </c>
      <c r="F31" s="21">
        <f t="shared" si="4"/>
        <v>2</v>
      </c>
      <c r="G31" s="21" t="str">
        <f t="shared" si="5"/>
        <v>1⁄8</v>
      </c>
      <c r="H31" s="22"/>
      <c r="I31" s="23" t="s">
        <v>25</v>
      </c>
      <c r="J31" s="21">
        <f t="shared" si="6"/>
        <v>72</v>
      </c>
      <c r="K31" s="21" t="s">
        <v>10</v>
      </c>
      <c r="L31" s="24">
        <f t="shared" si="7"/>
        <v>0</v>
      </c>
      <c r="M31" s="21" t="s">
        <v>12</v>
      </c>
      <c r="N31" s="21">
        <f t="shared" si="8"/>
        <v>1.48</v>
      </c>
      <c r="O31" s="21" t="s">
        <v>10</v>
      </c>
      <c r="P31" s="19">
        <f t="shared" si="9"/>
        <v>0</v>
      </c>
      <c r="Q31" s="25">
        <f t="shared" si="10"/>
        <v>0</v>
      </c>
    </row>
    <row r="32" spans="1:17" ht="30">
      <c r="A32" s="21">
        <v>68544</v>
      </c>
      <c r="B32" s="78" t="str">
        <f t="shared" si="0"/>
        <v>Big Daddy's® Harvest™ 51% Whole Grain Pepperoni Pizza</v>
      </c>
      <c r="C32" s="19">
        <f t="shared" si="1"/>
        <v>4.97</v>
      </c>
      <c r="D32" s="20">
        <f t="shared" si="2"/>
        <v>0.51</v>
      </c>
      <c r="E32" s="21">
        <f t="shared" si="3"/>
        <v>2</v>
      </c>
      <c r="F32" s="21">
        <f t="shared" si="4"/>
        <v>2</v>
      </c>
      <c r="G32" s="21" t="str">
        <f t="shared" si="5"/>
        <v>1⁄8</v>
      </c>
      <c r="H32" s="22"/>
      <c r="I32" s="23" t="s">
        <v>25</v>
      </c>
      <c r="J32" s="21">
        <f t="shared" si="6"/>
        <v>72</v>
      </c>
      <c r="K32" s="21" t="s">
        <v>10</v>
      </c>
      <c r="L32" s="24">
        <f t="shared" si="7"/>
        <v>0</v>
      </c>
      <c r="M32" s="21" t="s">
        <v>12</v>
      </c>
      <c r="N32" s="21">
        <f t="shared" si="8"/>
        <v>1.48</v>
      </c>
      <c r="O32" s="21" t="s">
        <v>10</v>
      </c>
      <c r="P32" s="19">
        <f t="shared" si="9"/>
        <v>0</v>
      </c>
      <c r="Q32" s="25">
        <f t="shared" si="10"/>
        <v>0</v>
      </c>
    </row>
    <row r="33" spans="1:17">
      <c r="A33" s="18">
        <v>68568</v>
      </c>
      <c r="B33" s="78" t="str">
        <f t="shared" si="0"/>
        <v>Tony's® Italian Cheese Flatbread IW - CN</v>
      </c>
      <c r="C33" s="19">
        <f t="shared" si="1"/>
        <v>4.75</v>
      </c>
      <c r="D33" s="20">
        <f t="shared" si="2"/>
        <v>0.51</v>
      </c>
      <c r="E33" s="21">
        <f t="shared" si="3"/>
        <v>2</v>
      </c>
      <c r="F33" s="21">
        <f t="shared" si="4"/>
        <v>2</v>
      </c>
      <c r="G33" s="21" t="str">
        <f t="shared" si="5"/>
        <v>1⁄4</v>
      </c>
      <c r="H33" s="22"/>
      <c r="I33" s="23" t="s">
        <v>25</v>
      </c>
      <c r="J33" s="21">
        <f t="shared" si="6"/>
        <v>96</v>
      </c>
      <c r="K33" s="21" t="s">
        <v>10</v>
      </c>
      <c r="L33" s="24">
        <f t="shared" si="7"/>
        <v>0</v>
      </c>
      <c r="M33" s="21" t="s">
        <v>12</v>
      </c>
      <c r="N33" s="21">
        <f t="shared" si="8"/>
        <v>4.0999999999999996</v>
      </c>
      <c r="O33" s="21" t="s">
        <v>10</v>
      </c>
      <c r="P33" s="19">
        <f t="shared" si="9"/>
        <v>0</v>
      </c>
      <c r="Q33" s="25">
        <f t="shared" si="10"/>
        <v>0</v>
      </c>
    </row>
    <row r="34" spans="1:17" ht="30">
      <c r="A34" s="18">
        <v>72557</v>
      </c>
      <c r="B34" s="79" t="s">
        <v>27</v>
      </c>
      <c r="C34" s="19">
        <f t="shared" si="1"/>
        <v>4.6900000000000004</v>
      </c>
      <c r="D34" s="20">
        <f t="shared" si="2"/>
        <v>0.51</v>
      </c>
      <c r="E34" s="21">
        <f t="shared" si="3"/>
        <v>2</v>
      </c>
      <c r="F34" s="21">
        <f t="shared" si="4"/>
        <v>2</v>
      </c>
      <c r="G34" s="21" t="str">
        <f t="shared" si="5"/>
        <v>1⁄8</v>
      </c>
      <c r="H34" s="22"/>
      <c r="I34" s="23" t="s">
        <v>25</v>
      </c>
      <c r="J34" s="21">
        <f t="shared" si="6"/>
        <v>96</v>
      </c>
      <c r="K34" s="21" t="s">
        <v>10</v>
      </c>
      <c r="L34" s="24">
        <f t="shared" si="7"/>
        <v>0</v>
      </c>
      <c r="M34" s="21" t="s">
        <v>12</v>
      </c>
      <c r="N34" s="21">
        <f t="shared" si="8"/>
        <v>1.53</v>
      </c>
      <c r="O34" s="21" t="s">
        <v>10</v>
      </c>
      <c r="P34" s="19">
        <f t="shared" si="9"/>
        <v>0</v>
      </c>
      <c r="Q34" s="25">
        <f t="shared" si="10"/>
        <v>0</v>
      </c>
    </row>
    <row r="35" spans="1:17">
      <c r="A35" s="18">
        <v>72558</v>
      </c>
      <c r="B35" s="79" t="s">
        <v>28</v>
      </c>
      <c r="C35" s="19">
        <f t="shared" si="1"/>
        <v>4.59</v>
      </c>
      <c r="D35" s="20">
        <f t="shared" si="2"/>
        <v>0.51</v>
      </c>
      <c r="E35" s="21">
        <f t="shared" si="3"/>
        <v>2</v>
      </c>
      <c r="F35" s="21">
        <f t="shared" si="4"/>
        <v>2</v>
      </c>
      <c r="G35" s="21" t="str">
        <f t="shared" si="5"/>
        <v>1⁄8</v>
      </c>
      <c r="H35" s="22"/>
      <c r="I35" s="23" t="s">
        <v>25</v>
      </c>
      <c r="J35" s="21">
        <f t="shared" si="6"/>
        <v>96</v>
      </c>
      <c r="K35" s="21" t="s">
        <v>10</v>
      </c>
      <c r="L35" s="24">
        <f t="shared" si="7"/>
        <v>0</v>
      </c>
      <c r="M35" s="21" t="s">
        <v>12</v>
      </c>
      <c r="N35" s="21">
        <f t="shared" si="8"/>
        <v>1.53</v>
      </c>
      <c r="O35" s="21" t="s">
        <v>10</v>
      </c>
      <c r="P35" s="19">
        <f t="shared" si="9"/>
        <v>0</v>
      </c>
      <c r="Q35" s="25">
        <f t="shared" si="10"/>
        <v>0</v>
      </c>
    </row>
    <row r="36" spans="1:17" ht="30">
      <c r="A36" s="18">
        <v>72559</v>
      </c>
      <c r="B36" s="79" t="s">
        <v>29</v>
      </c>
      <c r="C36" s="19">
        <f t="shared" si="1"/>
        <v>4.4800000000000004</v>
      </c>
      <c r="D36" s="20">
        <f t="shared" si="2"/>
        <v>0.51</v>
      </c>
      <c r="E36" s="21">
        <f t="shared" si="3"/>
        <v>2</v>
      </c>
      <c r="F36" s="21">
        <f t="shared" si="4"/>
        <v>2</v>
      </c>
      <c r="G36" s="21" t="str">
        <f t="shared" si="5"/>
        <v>1⁄8</v>
      </c>
      <c r="H36" s="22"/>
      <c r="I36" s="23" t="s">
        <v>25</v>
      </c>
      <c r="J36" s="21">
        <f t="shared" si="6"/>
        <v>96</v>
      </c>
      <c r="K36" s="21" t="s">
        <v>10</v>
      </c>
      <c r="L36" s="24">
        <f t="shared" si="7"/>
        <v>0</v>
      </c>
      <c r="M36" s="21" t="s">
        <v>12</v>
      </c>
      <c r="N36" s="21">
        <f t="shared" si="8"/>
        <v>1.53</v>
      </c>
      <c r="O36" s="21" t="s">
        <v>10</v>
      </c>
      <c r="P36" s="19">
        <f t="shared" si="9"/>
        <v>0</v>
      </c>
      <c r="Q36" s="25">
        <f t="shared" si="10"/>
        <v>0</v>
      </c>
    </row>
    <row r="37" spans="1:17" ht="30">
      <c r="A37" s="18">
        <v>72560</v>
      </c>
      <c r="B37" s="79" t="s">
        <v>29</v>
      </c>
      <c r="C37" s="19">
        <f t="shared" si="1"/>
        <v>4.4800000000000004</v>
      </c>
      <c r="D37" s="20">
        <f t="shared" si="2"/>
        <v>0.51</v>
      </c>
      <c r="E37" s="21">
        <f t="shared" si="3"/>
        <v>2</v>
      </c>
      <c r="F37" s="21">
        <f t="shared" si="4"/>
        <v>2</v>
      </c>
      <c r="G37" s="21" t="str">
        <f t="shared" si="5"/>
        <v>1⁄8</v>
      </c>
      <c r="H37" s="22"/>
      <c r="I37" s="23" t="s">
        <v>25</v>
      </c>
      <c r="J37" s="21">
        <f t="shared" si="6"/>
        <v>96</v>
      </c>
      <c r="K37" s="21" t="s">
        <v>10</v>
      </c>
      <c r="L37" s="24">
        <f t="shared" si="7"/>
        <v>0</v>
      </c>
      <c r="M37" s="21" t="s">
        <v>12</v>
      </c>
      <c r="N37" s="21">
        <f t="shared" si="8"/>
        <v>1.53</v>
      </c>
      <c r="O37" s="21" t="s">
        <v>10</v>
      </c>
      <c r="P37" s="19">
        <f t="shared" si="9"/>
        <v>0</v>
      </c>
      <c r="Q37" s="25">
        <f t="shared" si="10"/>
        <v>0</v>
      </c>
    </row>
    <row r="38" spans="1:17">
      <c r="A38" s="18">
        <v>72561</v>
      </c>
      <c r="B38" s="79" t="s">
        <v>30</v>
      </c>
      <c r="C38" s="19">
        <f t="shared" si="1"/>
        <v>4.5999999999999996</v>
      </c>
      <c r="D38" s="20">
        <f t="shared" si="2"/>
        <v>0.51</v>
      </c>
      <c r="E38" s="21">
        <f t="shared" si="3"/>
        <v>2</v>
      </c>
      <c r="F38" s="21">
        <f t="shared" si="4"/>
        <v>2</v>
      </c>
      <c r="G38" s="21" t="str">
        <f t="shared" si="5"/>
        <v>1⁄8</v>
      </c>
      <c r="H38" s="22"/>
      <c r="I38" s="23" t="s">
        <v>25</v>
      </c>
      <c r="J38" s="21">
        <f t="shared" si="6"/>
        <v>96</v>
      </c>
      <c r="K38" s="21" t="s">
        <v>10</v>
      </c>
      <c r="L38" s="24">
        <f t="shared" si="7"/>
        <v>0</v>
      </c>
      <c r="M38" s="21" t="s">
        <v>12</v>
      </c>
      <c r="N38" s="21">
        <f t="shared" si="8"/>
        <v>1.53</v>
      </c>
      <c r="O38" s="21" t="s">
        <v>10</v>
      </c>
      <c r="P38" s="19">
        <f t="shared" si="9"/>
        <v>0</v>
      </c>
      <c r="Q38" s="25">
        <f t="shared" si="10"/>
        <v>0</v>
      </c>
    </row>
    <row r="39" spans="1:17">
      <c r="A39" s="18">
        <v>72562</v>
      </c>
      <c r="B39" s="79" t="s">
        <v>31</v>
      </c>
      <c r="C39" s="19">
        <f t="shared" ref="C39:C70" si="11">VLOOKUP(A39,nutrits,4,FALSE)</f>
        <v>4.4800000000000004</v>
      </c>
      <c r="D39" s="20">
        <f t="shared" ref="D39:D70" si="12">VLOOKUP(A39,nutrits,9,FALSE)</f>
        <v>0.51</v>
      </c>
      <c r="E39" s="21">
        <f t="shared" ref="E39:E70" si="13">VLOOKUP(A39,nutrits,5,FALSE)</f>
        <v>2</v>
      </c>
      <c r="F39" s="21">
        <f t="shared" ref="F39:F70" si="14">VLOOKUP(A39,nutrits,6,FALSE)</f>
        <v>2</v>
      </c>
      <c r="G39" s="21" t="str">
        <f t="shared" ref="G39:G70" si="15">VLOOKUP(A39,nutrits,7,FALSE)</f>
        <v>1⁄8</v>
      </c>
      <c r="H39" s="22"/>
      <c r="I39" s="23" t="s">
        <v>25</v>
      </c>
      <c r="J39" s="21">
        <f t="shared" ref="J39:J70" si="16">VLOOKUP(A39,nutrits,3,FALSE)</f>
        <v>96</v>
      </c>
      <c r="K39" s="21" t="s">
        <v>10</v>
      </c>
      <c r="L39" s="24">
        <f t="shared" si="7"/>
        <v>0</v>
      </c>
      <c r="M39" s="21" t="s">
        <v>12</v>
      </c>
      <c r="N39" s="21">
        <f t="shared" ref="N39:N70" si="17">VLOOKUP(A39,sepdspaste,9,FALSE)</f>
        <v>1.53</v>
      </c>
      <c r="O39" s="21" t="s">
        <v>10</v>
      </c>
      <c r="P39" s="19">
        <f t="shared" si="9"/>
        <v>0</v>
      </c>
      <c r="Q39" s="25">
        <f t="shared" si="10"/>
        <v>0</v>
      </c>
    </row>
    <row r="40" spans="1:17">
      <c r="A40" s="18">
        <v>72563</v>
      </c>
      <c r="B40" s="79" t="s">
        <v>30</v>
      </c>
      <c r="C40" s="19">
        <f t="shared" si="11"/>
        <v>4.5999999999999996</v>
      </c>
      <c r="D40" s="20">
        <f t="shared" si="12"/>
        <v>0.51</v>
      </c>
      <c r="E40" s="21">
        <f t="shared" si="13"/>
        <v>2</v>
      </c>
      <c r="F40" s="21">
        <f t="shared" si="14"/>
        <v>2</v>
      </c>
      <c r="G40" s="21" t="str">
        <f t="shared" si="15"/>
        <v>1⁄8</v>
      </c>
      <c r="H40" s="22"/>
      <c r="I40" s="23" t="s">
        <v>25</v>
      </c>
      <c r="J40" s="21">
        <f t="shared" si="16"/>
        <v>96</v>
      </c>
      <c r="K40" s="21" t="s">
        <v>10</v>
      </c>
      <c r="L40" s="24">
        <f t="shared" si="7"/>
        <v>0</v>
      </c>
      <c r="M40" s="21" t="s">
        <v>12</v>
      </c>
      <c r="N40" s="21">
        <f t="shared" si="17"/>
        <v>1.53</v>
      </c>
      <c r="O40" s="21" t="s">
        <v>10</v>
      </c>
      <c r="P40" s="19">
        <f t="shared" si="9"/>
        <v>0</v>
      </c>
      <c r="Q40" s="25">
        <f t="shared" si="10"/>
        <v>0</v>
      </c>
    </row>
    <row r="41" spans="1:17">
      <c r="A41" s="18">
        <v>72564</v>
      </c>
      <c r="B41" s="79" t="s">
        <v>31</v>
      </c>
      <c r="C41" s="19">
        <f t="shared" si="11"/>
        <v>4.4800000000000004</v>
      </c>
      <c r="D41" s="20">
        <f t="shared" si="12"/>
        <v>0.51</v>
      </c>
      <c r="E41" s="21">
        <f t="shared" si="13"/>
        <v>2</v>
      </c>
      <c r="F41" s="21">
        <f t="shared" si="14"/>
        <v>2</v>
      </c>
      <c r="G41" s="21" t="str">
        <f t="shared" si="15"/>
        <v>1⁄8</v>
      </c>
      <c r="H41" s="22"/>
      <c r="I41" s="23" t="s">
        <v>25</v>
      </c>
      <c r="J41" s="21">
        <f t="shared" si="16"/>
        <v>96</v>
      </c>
      <c r="K41" s="21" t="s">
        <v>10</v>
      </c>
      <c r="L41" s="24">
        <f t="shared" si="7"/>
        <v>0</v>
      </c>
      <c r="M41" s="21" t="s">
        <v>12</v>
      </c>
      <c r="N41" s="21">
        <f t="shared" si="17"/>
        <v>1.53</v>
      </c>
      <c r="O41" s="21" t="s">
        <v>10</v>
      </c>
      <c r="P41" s="19">
        <f t="shared" si="9"/>
        <v>0</v>
      </c>
      <c r="Q41" s="25">
        <f t="shared" si="10"/>
        <v>0</v>
      </c>
    </row>
    <row r="42" spans="1:17">
      <c r="A42" s="21">
        <v>72570</v>
      </c>
      <c r="B42" s="80" t="s">
        <v>32</v>
      </c>
      <c r="C42" s="19">
        <f t="shared" si="11"/>
        <v>4.51</v>
      </c>
      <c r="D42" s="20">
        <f t="shared" si="12"/>
        <v>0.51</v>
      </c>
      <c r="E42" s="21">
        <f t="shared" si="13"/>
        <v>2</v>
      </c>
      <c r="F42" s="21">
        <f t="shared" si="14"/>
        <v>2</v>
      </c>
      <c r="G42" s="21" t="str">
        <f t="shared" si="15"/>
        <v>1⁄8</v>
      </c>
      <c r="H42" s="22"/>
      <c r="I42" s="23" t="s">
        <v>25</v>
      </c>
      <c r="J42" s="21">
        <f t="shared" si="16"/>
        <v>80</v>
      </c>
      <c r="K42" s="21" t="s">
        <v>10</v>
      </c>
      <c r="L42" s="24">
        <f t="shared" si="7"/>
        <v>0</v>
      </c>
      <c r="M42" s="21" t="s">
        <v>12</v>
      </c>
      <c r="N42" s="21">
        <f t="shared" si="17"/>
        <v>1.27</v>
      </c>
      <c r="O42" s="21" t="s">
        <v>10</v>
      </c>
      <c r="P42" s="19">
        <f t="shared" si="9"/>
        <v>0</v>
      </c>
      <c r="Q42" s="25">
        <f t="shared" si="10"/>
        <v>0</v>
      </c>
    </row>
    <row r="43" spans="1:17" ht="30">
      <c r="A43" s="21">
        <v>72571</v>
      </c>
      <c r="B43" s="80" t="s">
        <v>33</v>
      </c>
      <c r="C43" s="19">
        <f t="shared" si="11"/>
        <v>4.51</v>
      </c>
      <c r="D43" s="20">
        <f t="shared" si="12"/>
        <v>0.51</v>
      </c>
      <c r="E43" s="21">
        <f t="shared" si="13"/>
        <v>2</v>
      </c>
      <c r="F43" s="21">
        <f t="shared" si="14"/>
        <v>2</v>
      </c>
      <c r="G43" s="21" t="str">
        <f t="shared" si="15"/>
        <v>1⁄8</v>
      </c>
      <c r="H43" s="22"/>
      <c r="I43" s="23" t="s">
        <v>25</v>
      </c>
      <c r="J43" s="21">
        <f t="shared" si="16"/>
        <v>80</v>
      </c>
      <c r="K43" s="21" t="s">
        <v>10</v>
      </c>
      <c r="L43" s="24">
        <f t="shared" si="7"/>
        <v>0</v>
      </c>
      <c r="M43" s="21" t="s">
        <v>12</v>
      </c>
      <c r="N43" s="21">
        <f t="shared" si="17"/>
        <v>1.27</v>
      </c>
      <c r="O43" s="21" t="s">
        <v>10</v>
      </c>
      <c r="P43" s="19">
        <f t="shared" si="9"/>
        <v>0</v>
      </c>
      <c r="Q43" s="25">
        <f t="shared" si="10"/>
        <v>0</v>
      </c>
    </row>
    <row r="44" spans="1:17">
      <c r="A44" s="21">
        <v>72572</v>
      </c>
      <c r="B44" s="80" t="s">
        <v>34</v>
      </c>
      <c r="C44" s="19">
        <f t="shared" si="11"/>
        <v>4.9400000000000004</v>
      </c>
      <c r="D44" s="20">
        <f t="shared" si="12"/>
        <v>0.51</v>
      </c>
      <c r="E44" s="21">
        <f t="shared" si="13"/>
        <v>2</v>
      </c>
      <c r="F44" s="21">
        <f t="shared" si="14"/>
        <v>2</v>
      </c>
      <c r="G44" s="21" t="str">
        <f t="shared" si="15"/>
        <v>1⁄8</v>
      </c>
      <c r="H44" s="22"/>
      <c r="I44" s="23" t="s">
        <v>25</v>
      </c>
      <c r="J44" s="21">
        <f t="shared" si="16"/>
        <v>60</v>
      </c>
      <c r="K44" s="21" t="s">
        <v>10</v>
      </c>
      <c r="L44" s="24">
        <f t="shared" si="7"/>
        <v>0</v>
      </c>
      <c r="M44" s="21" t="s">
        <v>12</v>
      </c>
      <c r="N44" s="21">
        <f t="shared" si="17"/>
        <v>1.04</v>
      </c>
      <c r="O44" s="21" t="s">
        <v>10</v>
      </c>
      <c r="P44" s="19">
        <f t="shared" si="9"/>
        <v>0</v>
      </c>
      <c r="Q44" s="25">
        <f t="shared" si="10"/>
        <v>0</v>
      </c>
    </row>
    <row r="45" spans="1:17">
      <c r="A45" s="21">
        <v>72573</v>
      </c>
      <c r="B45" s="80" t="s">
        <v>35</v>
      </c>
      <c r="C45" s="19">
        <f t="shared" si="11"/>
        <v>5.07</v>
      </c>
      <c r="D45" s="20">
        <f t="shared" si="12"/>
        <v>0.51</v>
      </c>
      <c r="E45" s="21">
        <f t="shared" si="13"/>
        <v>2</v>
      </c>
      <c r="F45" s="21">
        <f t="shared" si="14"/>
        <v>2</v>
      </c>
      <c r="G45" s="21" t="str">
        <f t="shared" si="15"/>
        <v>1⁄8</v>
      </c>
      <c r="H45" s="22"/>
      <c r="I45" s="23" t="s">
        <v>25</v>
      </c>
      <c r="J45" s="21">
        <f t="shared" si="16"/>
        <v>60</v>
      </c>
      <c r="K45" s="21" t="s">
        <v>10</v>
      </c>
      <c r="L45" s="24">
        <f t="shared" si="7"/>
        <v>0</v>
      </c>
      <c r="M45" s="21" t="s">
        <v>12</v>
      </c>
      <c r="N45" s="21">
        <f t="shared" si="17"/>
        <v>1.34</v>
      </c>
      <c r="O45" s="21" t="s">
        <v>10</v>
      </c>
      <c r="P45" s="19">
        <f t="shared" si="9"/>
        <v>0</v>
      </c>
      <c r="Q45" s="25">
        <f t="shared" si="10"/>
        <v>0</v>
      </c>
    </row>
    <row r="46" spans="1:17">
      <c r="A46" s="21">
        <v>72574</v>
      </c>
      <c r="B46" s="80" t="s">
        <v>36</v>
      </c>
      <c r="C46" s="19">
        <f t="shared" si="11"/>
        <v>4.9400000000000004</v>
      </c>
      <c r="D46" s="20">
        <f t="shared" si="12"/>
        <v>0.51</v>
      </c>
      <c r="E46" s="21">
        <f t="shared" si="13"/>
        <v>2</v>
      </c>
      <c r="F46" s="21">
        <f t="shared" si="14"/>
        <v>2</v>
      </c>
      <c r="G46" s="21" t="str">
        <f t="shared" si="15"/>
        <v>1⁄8</v>
      </c>
      <c r="H46" s="22"/>
      <c r="I46" s="23" t="s">
        <v>25</v>
      </c>
      <c r="J46" s="21">
        <f t="shared" si="16"/>
        <v>60</v>
      </c>
      <c r="K46" s="21" t="s">
        <v>10</v>
      </c>
      <c r="L46" s="24">
        <f t="shared" si="7"/>
        <v>0</v>
      </c>
      <c r="M46" s="21" t="s">
        <v>12</v>
      </c>
      <c r="N46" s="21">
        <f t="shared" si="17"/>
        <v>1.04</v>
      </c>
      <c r="O46" s="21" t="s">
        <v>10</v>
      </c>
      <c r="P46" s="19">
        <f t="shared" si="9"/>
        <v>0</v>
      </c>
      <c r="Q46" s="25">
        <f t="shared" si="10"/>
        <v>0</v>
      </c>
    </row>
    <row r="47" spans="1:17" ht="30">
      <c r="A47" s="21">
        <v>72575</v>
      </c>
      <c r="B47" s="80" t="s">
        <v>37</v>
      </c>
      <c r="C47" s="19">
        <f t="shared" si="11"/>
        <v>5.03</v>
      </c>
      <c r="D47" s="20">
        <f t="shared" si="12"/>
        <v>0.51</v>
      </c>
      <c r="E47" s="21">
        <f t="shared" si="13"/>
        <v>2</v>
      </c>
      <c r="F47" s="21">
        <f t="shared" si="14"/>
        <v>2</v>
      </c>
      <c r="G47" s="21" t="str">
        <f t="shared" si="15"/>
        <v>1⁄4</v>
      </c>
      <c r="H47" s="22"/>
      <c r="I47" s="23" t="s">
        <v>25</v>
      </c>
      <c r="J47" s="21">
        <f t="shared" si="16"/>
        <v>60</v>
      </c>
      <c r="K47" s="21" t="s">
        <v>10</v>
      </c>
      <c r="L47" s="24">
        <f t="shared" si="7"/>
        <v>0</v>
      </c>
      <c r="M47" s="21" t="s">
        <v>12</v>
      </c>
      <c r="N47" s="21">
        <f t="shared" si="17"/>
        <v>1.9</v>
      </c>
      <c r="O47" s="21" t="s">
        <v>10</v>
      </c>
      <c r="P47" s="19">
        <f t="shared" si="9"/>
        <v>0</v>
      </c>
      <c r="Q47" s="25">
        <f t="shared" si="10"/>
        <v>0</v>
      </c>
    </row>
    <row r="48" spans="1:17">
      <c r="A48" s="21">
        <v>72576</v>
      </c>
      <c r="B48" s="80" t="s">
        <v>38</v>
      </c>
      <c r="C48" s="19">
        <f t="shared" si="11"/>
        <v>4.4400000000000004</v>
      </c>
      <c r="D48" s="20">
        <f t="shared" si="12"/>
        <v>0.51</v>
      </c>
      <c r="E48" s="21">
        <f t="shared" si="13"/>
        <v>2</v>
      </c>
      <c r="F48" s="21">
        <f t="shared" si="14"/>
        <v>2</v>
      </c>
      <c r="G48" s="21" t="str">
        <f t="shared" si="15"/>
        <v>1⁄8</v>
      </c>
      <c r="H48" s="22"/>
      <c r="I48" s="23" t="s">
        <v>25</v>
      </c>
      <c r="J48" s="21">
        <f t="shared" si="16"/>
        <v>72</v>
      </c>
      <c r="K48" s="21" t="s">
        <v>10</v>
      </c>
      <c r="L48" s="24">
        <f t="shared" si="7"/>
        <v>0</v>
      </c>
      <c r="M48" s="21" t="s">
        <v>12</v>
      </c>
      <c r="N48" s="21">
        <f t="shared" si="17"/>
        <v>1.1299999999999999</v>
      </c>
      <c r="O48" s="21" t="s">
        <v>10</v>
      </c>
      <c r="P48" s="19">
        <f t="shared" si="9"/>
        <v>0</v>
      </c>
      <c r="Q48" s="25">
        <f t="shared" si="10"/>
        <v>0</v>
      </c>
    </row>
    <row r="49" spans="1:17">
      <c r="A49" s="21">
        <v>72577</v>
      </c>
      <c r="B49" s="80" t="s">
        <v>39</v>
      </c>
      <c r="C49" s="19">
        <f t="shared" si="11"/>
        <v>4.43</v>
      </c>
      <c r="D49" s="20">
        <f t="shared" si="12"/>
        <v>0.51</v>
      </c>
      <c r="E49" s="21">
        <f t="shared" si="13"/>
        <v>2</v>
      </c>
      <c r="F49" s="21">
        <f t="shared" si="14"/>
        <v>2</v>
      </c>
      <c r="G49" s="21" t="str">
        <f t="shared" si="15"/>
        <v>1⁄8</v>
      </c>
      <c r="H49" s="22"/>
      <c r="I49" s="23" t="s">
        <v>25</v>
      </c>
      <c r="J49" s="21">
        <f t="shared" si="16"/>
        <v>72</v>
      </c>
      <c r="K49" s="21" t="s">
        <v>10</v>
      </c>
      <c r="L49" s="24">
        <f t="shared" si="7"/>
        <v>0</v>
      </c>
      <c r="M49" s="21" t="s">
        <v>12</v>
      </c>
      <c r="N49" s="21">
        <f t="shared" si="17"/>
        <v>1.1299999999999999</v>
      </c>
      <c r="O49" s="21" t="s">
        <v>10</v>
      </c>
      <c r="P49" s="19">
        <f t="shared" si="9"/>
        <v>0</v>
      </c>
      <c r="Q49" s="25">
        <f t="shared" si="10"/>
        <v>0</v>
      </c>
    </row>
    <row r="50" spans="1:17">
      <c r="A50" s="21">
        <v>72578</v>
      </c>
      <c r="B50" s="80" t="s">
        <v>40</v>
      </c>
      <c r="C50" s="19">
        <f t="shared" si="11"/>
        <v>4.4400000000000004</v>
      </c>
      <c r="D50" s="20">
        <f t="shared" si="12"/>
        <v>0.51</v>
      </c>
      <c r="E50" s="21">
        <f t="shared" si="13"/>
        <v>2</v>
      </c>
      <c r="F50" s="21">
        <f t="shared" si="14"/>
        <v>2</v>
      </c>
      <c r="G50" s="21" t="str">
        <f t="shared" si="15"/>
        <v>1⁄8</v>
      </c>
      <c r="H50" s="22"/>
      <c r="I50" s="23" t="s">
        <v>25</v>
      </c>
      <c r="J50" s="21">
        <f t="shared" si="16"/>
        <v>72</v>
      </c>
      <c r="K50" s="21" t="s">
        <v>10</v>
      </c>
      <c r="L50" s="24">
        <f t="shared" si="7"/>
        <v>0</v>
      </c>
      <c r="M50" s="21" t="s">
        <v>12</v>
      </c>
      <c r="N50" s="21">
        <f t="shared" si="17"/>
        <v>1.1299999999999999</v>
      </c>
      <c r="O50" s="21" t="s">
        <v>10</v>
      </c>
      <c r="P50" s="19">
        <f t="shared" si="9"/>
        <v>0</v>
      </c>
      <c r="Q50" s="25">
        <f t="shared" si="10"/>
        <v>0</v>
      </c>
    </row>
    <row r="51" spans="1:17" ht="30">
      <c r="A51" s="21">
        <v>72579</v>
      </c>
      <c r="B51" s="80" t="s">
        <v>41</v>
      </c>
      <c r="C51" s="19">
        <f t="shared" si="11"/>
        <v>4.43</v>
      </c>
      <c r="D51" s="20">
        <f t="shared" si="12"/>
        <v>0.51</v>
      </c>
      <c r="E51" s="21">
        <f t="shared" si="13"/>
        <v>2</v>
      </c>
      <c r="F51" s="21">
        <f t="shared" si="14"/>
        <v>2</v>
      </c>
      <c r="G51" s="21" t="str">
        <f t="shared" si="15"/>
        <v>1⁄8</v>
      </c>
      <c r="H51" s="22"/>
      <c r="I51" s="23" t="s">
        <v>25</v>
      </c>
      <c r="J51" s="21">
        <f t="shared" si="16"/>
        <v>72</v>
      </c>
      <c r="K51" s="21" t="s">
        <v>10</v>
      </c>
      <c r="L51" s="24">
        <f t="shared" si="7"/>
        <v>0</v>
      </c>
      <c r="M51" s="21" t="s">
        <v>12</v>
      </c>
      <c r="N51" s="21">
        <f t="shared" si="17"/>
        <v>1.1299999999999999</v>
      </c>
      <c r="O51" s="21" t="s">
        <v>10</v>
      </c>
      <c r="P51" s="19">
        <f t="shared" si="9"/>
        <v>0</v>
      </c>
      <c r="Q51" s="25">
        <f t="shared" si="10"/>
        <v>0</v>
      </c>
    </row>
    <row r="52" spans="1:17" ht="30">
      <c r="A52" s="18">
        <v>72691</v>
      </c>
      <c r="B52" s="80" t="s">
        <v>69</v>
      </c>
      <c r="C52" s="19">
        <f t="shared" si="11"/>
        <v>4.8</v>
      </c>
      <c r="D52" s="20">
        <f t="shared" si="12"/>
        <v>0.51</v>
      </c>
      <c r="E52" s="21">
        <f t="shared" si="13"/>
        <v>2</v>
      </c>
      <c r="F52" s="21">
        <f t="shared" si="14"/>
        <v>2</v>
      </c>
      <c r="G52" s="21" t="str">
        <f t="shared" si="15"/>
        <v>1⁄8</v>
      </c>
      <c r="H52" s="22"/>
      <c r="I52" s="23" t="s">
        <v>25</v>
      </c>
      <c r="J52" s="21">
        <f t="shared" si="16"/>
        <v>100</v>
      </c>
      <c r="K52" s="21" t="s">
        <v>10</v>
      </c>
      <c r="L52" s="24">
        <f t="shared" si="7"/>
        <v>0</v>
      </c>
      <c r="M52" s="21" t="s">
        <v>12</v>
      </c>
      <c r="N52" s="21">
        <f t="shared" si="17"/>
        <v>1.59</v>
      </c>
      <c r="O52" s="21" t="s">
        <v>10</v>
      </c>
      <c r="P52" s="19">
        <f t="shared" si="9"/>
        <v>0</v>
      </c>
      <c r="Q52" s="25">
        <f t="shared" si="10"/>
        <v>0</v>
      </c>
    </row>
    <row r="53" spans="1:17">
      <c r="A53" s="18">
        <v>72708</v>
      </c>
      <c r="B53" s="79" t="s">
        <v>70</v>
      </c>
      <c r="C53" s="19">
        <f t="shared" si="11"/>
        <v>5</v>
      </c>
      <c r="D53" s="20">
        <f t="shared" si="12"/>
        <v>0.51</v>
      </c>
      <c r="E53" s="21">
        <f t="shared" si="13"/>
        <v>2</v>
      </c>
      <c r="F53" s="21">
        <f t="shared" si="14"/>
        <v>2</v>
      </c>
      <c r="G53" s="21" t="str">
        <f t="shared" si="15"/>
        <v>1⁄8</v>
      </c>
      <c r="H53" s="22"/>
      <c r="I53" s="23" t="s">
        <v>25</v>
      </c>
      <c r="J53" s="21">
        <f t="shared" si="16"/>
        <v>72</v>
      </c>
      <c r="K53" s="21" t="s">
        <v>10</v>
      </c>
      <c r="L53" s="24">
        <f t="shared" si="7"/>
        <v>0</v>
      </c>
      <c r="M53" s="21" t="s">
        <v>12</v>
      </c>
      <c r="N53" s="21">
        <f t="shared" si="17"/>
        <v>1.1499999999999999</v>
      </c>
      <c r="O53" s="21" t="s">
        <v>10</v>
      </c>
      <c r="P53" s="19">
        <f t="shared" si="9"/>
        <v>0</v>
      </c>
      <c r="Q53" s="25">
        <f t="shared" si="10"/>
        <v>0</v>
      </c>
    </row>
    <row r="54" spans="1:17" ht="30">
      <c r="A54" s="18">
        <v>72709</v>
      </c>
      <c r="B54" s="79" t="s">
        <v>71</v>
      </c>
      <c r="C54" s="19">
        <f t="shared" si="11"/>
        <v>5.0199999999999996</v>
      </c>
      <c r="D54" s="20">
        <f t="shared" si="12"/>
        <v>0.51</v>
      </c>
      <c r="E54" s="21">
        <f t="shared" si="13"/>
        <v>2</v>
      </c>
      <c r="F54" s="21">
        <f t="shared" si="14"/>
        <v>2</v>
      </c>
      <c r="G54" s="21" t="str">
        <f t="shared" si="15"/>
        <v>1⁄8</v>
      </c>
      <c r="H54" s="22"/>
      <c r="I54" s="23" t="s">
        <v>25</v>
      </c>
      <c r="J54" s="21">
        <f t="shared" si="16"/>
        <v>72</v>
      </c>
      <c r="K54" s="21" t="s">
        <v>10</v>
      </c>
      <c r="L54" s="24">
        <f t="shared" si="7"/>
        <v>0</v>
      </c>
      <c r="M54" s="21" t="s">
        <v>12</v>
      </c>
      <c r="N54" s="21">
        <f t="shared" si="17"/>
        <v>1.1499999999999999</v>
      </c>
      <c r="O54" s="21" t="s">
        <v>10</v>
      </c>
      <c r="P54" s="19">
        <f t="shared" si="9"/>
        <v>0</v>
      </c>
      <c r="Q54" s="25">
        <f t="shared" si="10"/>
        <v>0</v>
      </c>
    </row>
    <row r="55" spans="1:17">
      <c r="A55" s="18">
        <v>72813</v>
      </c>
      <c r="B55" s="79" t="s">
        <v>72</v>
      </c>
      <c r="C55" s="19">
        <f t="shared" si="11"/>
        <v>2.75</v>
      </c>
      <c r="D55" s="20">
        <f t="shared" si="12"/>
        <v>0.51</v>
      </c>
      <c r="E55" s="21">
        <f t="shared" si="13"/>
        <v>1</v>
      </c>
      <c r="F55" s="21">
        <f t="shared" si="14"/>
        <v>1</v>
      </c>
      <c r="G55" s="21">
        <f t="shared" si="15"/>
        <v>0</v>
      </c>
      <c r="H55" s="22"/>
      <c r="I55" s="23" t="s">
        <v>25</v>
      </c>
      <c r="J55" s="21">
        <f t="shared" si="16"/>
        <v>96</v>
      </c>
      <c r="K55" s="21" t="s">
        <v>10</v>
      </c>
      <c r="L55" s="24">
        <f t="shared" si="7"/>
        <v>0</v>
      </c>
      <c r="M55" s="21" t="s">
        <v>12</v>
      </c>
      <c r="N55" s="21">
        <f t="shared" si="17"/>
        <v>0.65</v>
      </c>
      <c r="O55" s="21" t="s">
        <v>10</v>
      </c>
      <c r="P55" s="19">
        <f t="shared" si="9"/>
        <v>0</v>
      </c>
      <c r="Q55" s="25">
        <f t="shared" si="10"/>
        <v>0</v>
      </c>
    </row>
    <row r="56" spans="1:17" ht="30">
      <c r="A56" s="18">
        <v>73034</v>
      </c>
      <c r="B56" s="78" t="str">
        <f t="shared" ref="B56:B87" si="18">VLOOKUP(A56,name,2,FALSE)</f>
        <v>Tony's® Classic Wedge Whole Grain Cheese Pizza 50/50</v>
      </c>
      <c r="C56" s="19">
        <f t="shared" si="11"/>
        <v>4.5999999999999996</v>
      </c>
      <c r="D56" s="20">
        <f t="shared" si="12"/>
        <v>0.51</v>
      </c>
      <c r="E56" s="21">
        <f t="shared" si="13"/>
        <v>2</v>
      </c>
      <c r="F56" s="21" t="str">
        <f t="shared" si="14"/>
        <v>1 ¾</v>
      </c>
      <c r="G56" s="21" t="str">
        <f t="shared" si="15"/>
        <v>1⁄8</v>
      </c>
      <c r="H56" s="22"/>
      <c r="I56" s="23" t="s">
        <v>25</v>
      </c>
      <c r="J56" s="21">
        <f t="shared" si="16"/>
        <v>96</v>
      </c>
      <c r="K56" s="21" t="s">
        <v>10</v>
      </c>
      <c r="L56" s="24">
        <f t="shared" si="7"/>
        <v>0</v>
      </c>
      <c r="M56" s="21" t="s">
        <v>12</v>
      </c>
      <c r="N56" s="21">
        <f t="shared" si="17"/>
        <v>1.53</v>
      </c>
      <c r="O56" s="21" t="s">
        <v>10</v>
      </c>
      <c r="P56" s="19">
        <f t="shared" si="9"/>
        <v>0</v>
      </c>
      <c r="Q56" s="25">
        <f t="shared" si="10"/>
        <v>0</v>
      </c>
    </row>
    <row r="57" spans="1:17" ht="30">
      <c r="A57" s="18">
        <v>73039</v>
      </c>
      <c r="B57" s="78" t="str">
        <f t="shared" si="18"/>
        <v>Tony's® Whole Grain Classic Wedge Pepperoni 50/50</v>
      </c>
      <c r="C57" s="19">
        <f t="shared" si="11"/>
        <v>4.5599999999999996</v>
      </c>
      <c r="D57" s="20">
        <f t="shared" si="12"/>
        <v>0.51</v>
      </c>
      <c r="E57" s="21">
        <f t="shared" si="13"/>
        <v>2</v>
      </c>
      <c r="F57" s="21" t="str">
        <f t="shared" si="14"/>
        <v>1 ¾</v>
      </c>
      <c r="G57" s="21" t="str">
        <f t="shared" si="15"/>
        <v>1⁄8</v>
      </c>
      <c r="H57" s="22"/>
      <c r="I57" s="23" t="s">
        <v>25</v>
      </c>
      <c r="J57" s="21">
        <f t="shared" si="16"/>
        <v>96</v>
      </c>
      <c r="K57" s="21" t="s">
        <v>10</v>
      </c>
      <c r="L57" s="24">
        <f t="shared" si="7"/>
        <v>0</v>
      </c>
      <c r="M57" s="21" t="s">
        <v>12</v>
      </c>
      <c r="N57" s="21">
        <f t="shared" si="17"/>
        <v>1.53</v>
      </c>
      <c r="O57" s="21" t="s">
        <v>10</v>
      </c>
      <c r="P57" s="19">
        <f t="shared" si="9"/>
        <v>0</v>
      </c>
      <c r="Q57" s="25">
        <f t="shared" si="10"/>
        <v>0</v>
      </c>
    </row>
    <row r="58" spans="1:17" ht="30">
      <c r="A58" s="21">
        <v>73142</v>
      </c>
      <c r="B58" s="78" t="str">
        <f t="shared" si="18"/>
        <v>Big Daddy's® Original™ 16" Rolled Edge Cheese Pizza</v>
      </c>
      <c r="C58" s="19">
        <f t="shared" si="11"/>
        <v>5.39</v>
      </c>
      <c r="D58" s="20">
        <f t="shared" si="12"/>
        <v>0</v>
      </c>
      <c r="E58" s="21">
        <f t="shared" si="13"/>
        <v>2</v>
      </c>
      <c r="F58" s="21">
        <f t="shared" si="14"/>
        <v>3</v>
      </c>
      <c r="G58" s="21">
        <f t="shared" si="15"/>
        <v>0</v>
      </c>
      <c r="H58" s="22"/>
      <c r="I58" s="23" t="s">
        <v>25</v>
      </c>
      <c r="J58" s="21">
        <f t="shared" si="16"/>
        <v>72</v>
      </c>
      <c r="K58" s="21" t="s">
        <v>10</v>
      </c>
      <c r="L58" s="24">
        <f t="shared" si="7"/>
        <v>0</v>
      </c>
      <c r="M58" s="21" t="s">
        <v>12</v>
      </c>
      <c r="N58" s="21">
        <f t="shared" si="17"/>
        <v>0.93</v>
      </c>
      <c r="O58" s="21" t="s">
        <v>10</v>
      </c>
      <c r="P58" s="19">
        <f t="shared" si="9"/>
        <v>0</v>
      </c>
      <c r="Q58" s="25">
        <f t="shared" si="10"/>
        <v>0</v>
      </c>
    </row>
    <row r="59" spans="1:17" ht="30">
      <c r="A59" s="21">
        <v>73142</v>
      </c>
      <c r="B59" s="78" t="str">
        <f t="shared" si="18"/>
        <v>Big Daddy's® Original™ 16" Rolled Edge Cheese Pizza</v>
      </c>
      <c r="C59" s="19">
        <f t="shared" si="11"/>
        <v>5.39</v>
      </c>
      <c r="D59" s="20">
        <f t="shared" si="12"/>
        <v>0</v>
      </c>
      <c r="E59" s="21">
        <f t="shared" si="13"/>
        <v>2</v>
      </c>
      <c r="F59" s="21">
        <f t="shared" si="14"/>
        <v>3</v>
      </c>
      <c r="G59" s="21">
        <f t="shared" si="15"/>
        <v>0</v>
      </c>
      <c r="H59" s="22"/>
      <c r="I59" s="23" t="s">
        <v>25</v>
      </c>
      <c r="J59" s="21">
        <f t="shared" si="16"/>
        <v>72</v>
      </c>
      <c r="K59" s="21" t="s">
        <v>10</v>
      </c>
      <c r="L59" s="24">
        <f t="shared" si="7"/>
        <v>0</v>
      </c>
      <c r="M59" s="21" t="s">
        <v>12</v>
      </c>
      <c r="N59" s="21">
        <f t="shared" si="17"/>
        <v>0.93</v>
      </c>
      <c r="O59" s="21" t="s">
        <v>10</v>
      </c>
      <c r="P59" s="19">
        <f t="shared" si="9"/>
        <v>0</v>
      </c>
      <c r="Q59" s="25">
        <f t="shared" si="10"/>
        <v>0</v>
      </c>
    </row>
    <row r="60" spans="1:17" ht="30">
      <c r="A60" s="21">
        <v>73143</v>
      </c>
      <c r="B60" s="78" t="str">
        <f t="shared" si="18"/>
        <v>Big Daddy's™ Original 16" Rolled Edge Pepperoni Pizza</v>
      </c>
      <c r="C60" s="19">
        <f t="shared" si="11"/>
        <v>5.44</v>
      </c>
      <c r="D60" s="20">
        <f t="shared" si="12"/>
        <v>0</v>
      </c>
      <c r="E60" s="21">
        <f t="shared" si="13"/>
        <v>2</v>
      </c>
      <c r="F60" s="21">
        <f t="shared" si="14"/>
        <v>3</v>
      </c>
      <c r="G60" s="21">
        <f t="shared" si="15"/>
        <v>0</v>
      </c>
      <c r="H60" s="22"/>
      <c r="I60" s="23" t="s">
        <v>25</v>
      </c>
      <c r="J60" s="21">
        <f t="shared" si="16"/>
        <v>72</v>
      </c>
      <c r="K60" s="21" t="s">
        <v>10</v>
      </c>
      <c r="L60" s="24">
        <f t="shared" si="7"/>
        <v>0</v>
      </c>
      <c r="M60" s="21" t="s">
        <v>12</v>
      </c>
      <c r="N60" s="21">
        <f t="shared" si="17"/>
        <v>0.93</v>
      </c>
      <c r="O60" s="21" t="s">
        <v>10</v>
      </c>
      <c r="P60" s="19">
        <f t="shared" si="9"/>
        <v>0</v>
      </c>
      <c r="Q60" s="25">
        <f t="shared" si="10"/>
        <v>0</v>
      </c>
    </row>
    <row r="61" spans="1:17" ht="30">
      <c r="A61" s="21">
        <v>73143</v>
      </c>
      <c r="B61" s="78" t="str">
        <f t="shared" si="18"/>
        <v>Big Daddy's™ Original 16" Rolled Edge Pepperoni Pizza</v>
      </c>
      <c r="C61" s="19">
        <f t="shared" si="11"/>
        <v>5.44</v>
      </c>
      <c r="D61" s="20">
        <f t="shared" si="12"/>
        <v>0</v>
      </c>
      <c r="E61" s="21">
        <f t="shared" si="13"/>
        <v>2</v>
      </c>
      <c r="F61" s="21">
        <f t="shared" si="14"/>
        <v>3</v>
      </c>
      <c r="G61" s="21">
        <f t="shared" si="15"/>
        <v>0</v>
      </c>
      <c r="H61" s="22"/>
      <c r="I61" s="23" t="s">
        <v>25</v>
      </c>
      <c r="J61" s="21">
        <f t="shared" si="16"/>
        <v>72</v>
      </c>
      <c r="K61" s="21" t="s">
        <v>10</v>
      </c>
      <c r="L61" s="24">
        <f t="shared" si="7"/>
        <v>0</v>
      </c>
      <c r="M61" s="21" t="s">
        <v>12</v>
      </c>
      <c r="N61" s="21">
        <f t="shared" si="17"/>
        <v>0.93</v>
      </c>
      <c r="O61" s="21" t="s">
        <v>10</v>
      </c>
      <c r="P61" s="19">
        <f t="shared" si="9"/>
        <v>0</v>
      </c>
      <c r="Q61" s="25">
        <f t="shared" si="10"/>
        <v>0</v>
      </c>
    </row>
    <row r="62" spans="1:17" ht="30">
      <c r="A62" s="18">
        <v>73158</v>
      </c>
      <c r="B62" s="78" t="str">
        <f t="shared" si="18"/>
        <v>Tony's® Classic Wedge Whole Grain Cheese Pizza 50/50</v>
      </c>
      <c r="C62" s="19">
        <f t="shared" si="11"/>
        <v>4.5999999999999996</v>
      </c>
      <c r="D62" s="20">
        <f t="shared" si="12"/>
        <v>0.51</v>
      </c>
      <c r="E62" s="21">
        <f t="shared" si="13"/>
        <v>2</v>
      </c>
      <c r="F62" s="21">
        <f t="shared" si="14"/>
        <v>2</v>
      </c>
      <c r="G62" s="21" t="str">
        <f t="shared" si="15"/>
        <v>1⁄8</v>
      </c>
      <c r="H62" s="22"/>
      <c r="I62" s="23" t="s">
        <v>25</v>
      </c>
      <c r="J62" s="21">
        <f t="shared" si="16"/>
        <v>96</v>
      </c>
      <c r="K62" s="21" t="s">
        <v>10</v>
      </c>
      <c r="L62" s="24">
        <f t="shared" si="7"/>
        <v>0</v>
      </c>
      <c r="M62" s="21" t="s">
        <v>12</v>
      </c>
      <c r="N62" s="21">
        <f t="shared" si="17"/>
        <v>1.53</v>
      </c>
      <c r="O62" s="21" t="s">
        <v>10</v>
      </c>
      <c r="P62" s="19">
        <f t="shared" si="9"/>
        <v>0</v>
      </c>
      <c r="Q62" s="25">
        <f t="shared" si="10"/>
        <v>0</v>
      </c>
    </row>
    <row r="63" spans="1:17" ht="30">
      <c r="A63" s="18">
        <v>73159</v>
      </c>
      <c r="B63" s="78" t="str">
        <f t="shared" si="18"/>
        <v>Tony's® Whole Grain Classic Wedge Pepperoni 50/50</v>
      </c>
      <c r="C63" s="19">
        <f t="shared" si="11"/>
        <v>4.4800000000000004</v>
      </c>
      <c r="D63" s="20">
        <f t="shared" si="12"/>
        <v>0.51</v>
      </c>
      <c r="E63" s="21">
        <f t="shared" si="13"/>
        <v>2</v>
      </c>
      <c r="F63" s="21">
        <f t="shared" si="14"/>
        <v>2</v>
      </c>
      <c r="G63" s="21" t="str">
        <f t="shared" si="15"/>
        <v>1⁄8</v>
      </c>
      <c r="H63" s="22"/>
      <c r="I63" s="23" t="s">
        <v>25</v>
      </c>
      <c r="J63" s="21">
        <f t="shared" si="16"/>
        <v>96</v>
      </c>
      <c r="K63" s="21" t="s">
        <v>10</v>
      </c>
      <c r="L63" s="24">
        <f t="shared" si="7"/>
        <v>0</v>
      </c>
      <c r="M63" s="21" t="s">
        <v>12</v>
      </c>
      <c r="N63" s="21">
        <f t="shared" si="17"/>
        <v>1.53</v>
      </c>
      <c r="O63" s="21" t="s">
        <v>10</v>
      </c>
      <c r="P63" s="19">
        <f t="shared" si="9"/>
        <v>0</v>
      </c>
      <c r="Q63" s="25">
        <f t="shared" si="10"/>
        <v>0</v>
      </c>
    </row>
    <row r="64" spans="1:17" ht="30">
      <c r="A64" s="18">
        <v>73160</v>
      </c>
      <c r="B64" s="78" t="str">
        <f t="shared" si="18"/>
        <v>Tony's® SmartPizza® 51% Whole Grain Classic Wedge 50/50 Sausage Pizza</v>
      </c>
      <c r="C64" s="19">
        <f t="shared" si="11"/>
        <v>4.6900000000000004</v>
      </c>
      <c r="D64" s="20">
        <f t="shared" si="12"/>
        <v>0.51</v>
      </c>
      <c r="E64" s="21">
        <f t="shared" si="13"/>
        <v>2</v>
      </c>
      <c r="F64" s="21">
        <f t="shared" si="14"/>
        <v>2</v>
      </c>
      <c r="G64" s="21" t="str">
        <f t="shared" si="15"/>
        <v>1⁄8</v>
      </c>
      <c r="H64" s="22"/>
      <c r="I64" s="23" t="s">
        <v>25</v>
      </c>
      <c r="J64" s="21">
        <f t="shared" si="16"/>
        <v>96</v>
      </c>
      <c r="K64" s="21" t="s">
        <v>10</v>
      </c>
      <c r="L64" s="24">
        <f t="shared" si="7"/>
        <v>0</v>
      </c>
      <c r="M64" s="21" t="s">
        <v>12</v>
      </c>
      <c r="N64" s="21">
        <f t="shared" si="17"/>
        <v>1.53</v>
      </c>
      <c r="O64" s="21" t="s">
        <v>10</v>
      </c>
      <c r="P64" s="19">
        <f t="shared" si="9"/>
        <v>0</v>
      </c>
      <c r="Q64" s="25">
        <f t="shared" si="10"/>
        <v>0</v>
      </c>
    </row>
    <row r="65" spans="1:17" ht="30">
      <c r="A65" s="21">
        <v>73162</v>
      </c>
      <c r="B65" s="78" t="str">
        <f t="shared" si="18"/>
        <v>Red Baron® Proof Perfect® Solo 7" Cheese Pizza</v>
      </c>
      <c r="C65" s="19">
        <f t="shared" si="11"/>
        <v>7.91</v>
      </c>
      <c r="D65" s="20">
        <f t="shared" si="12"/>
        <v>0</v>
      </c>
      <c r="E65" s="21">
        <f t="shared" si="13"/>
        <v>2</v>
      </c>
      <c r="F65" s="21">
        <f t="shared" si="14"/>
        <v>5</v>
      </c>
      <c r="G65" s="21" t="str">
        <f t="shared" si="15"/>
        <v>1⁄8</v>
      </c>
      <c r="H65" s="22"/>
      <c r="I65" s="23" t="s">
        <v>25</v>
      </c>
      <c r="J65" s="21">
        <f t="shared" si="16"/>
        <v>48</v>
      </c>
      <c r="K65" s="21" t="s">
        <v>10</v>
      </c>
      <c r="L65" s="24">
        <f t="shared" si="7"/>
        <v>0</v>
      </c>
      <c r="M65" s="21" t="s">
        <v>12</v>
      </c>
      <c r="N65" s="21">
        <f t="shared" si="17"/>
        <v>0.98</v>
      </c>
      <c r="O65" s="21" t="s">
        <v>10</v>
      </c>
      <c r="P65" s="19">
        <f t="shared" si="9"/>
        <v>0</v>
      </c>
      <c r="Q65" s="25">
        <f t="shared" si="10"/>
        <v>0</v>
      </c>
    </row>
    <row r="66" spans="1:17" ht="30">
      <c r="A66" s="21">
        <v>73163</v>
      </c>
      <c r="B66" s="78" t="str">
        <f t="shared" si="18"/>
        <v>Red Baron® Proof Perfect® Solo 7" Pepperoni Pizza</v>
      </c>
      <c r="C66" s="19">
        <f t="shared" si="11"/>
        <v>7.91</v>
      </c>
      <c r="D66" s="20">
        <f t="shared" si="12"/>
        <v>0</v>
      </c>
      <c r="E66" s="21">
        <f t="shared" si="13"/>
        <v>2</v>
      </c>
      <c r="F66" s="21">
        <f t="shared" si="14"/>
        <v>5</v>
      </c>
      <c r="G66" s="21" t="str">
        <f t="shared" si="15"/>
        <v>1⁄8</v>
      </c>
      <c r="H66" s="22"/>
      <c r="I66" s="23" t="s">
        <v>25</v>
      </c>
      <c r="J66" s="21">
        <f t="shared" si="16"/>
        <v>48</v>
      </c>
      <c r="K66" s="21" t="s">
        <v>10</v>
      </c>
      <c r="L66" s="24">
        <f t="shared" si="7"/>
        <v>0</v>
      </c>
      <c r="M66" s="21" t="s">
        <v>12</v>
      </c>
      <c r="N66" s="21">
        <f t="shared" si="17"/>
        <v>0.98</v>
      </c>
      <c r="O66" s="21" t="s">
        <v>10</v>
      </c>
      <c r="P66" s="19">
        <f t="shared" si="9"/>
        <v>0</v>
      </c>
      <c r="Q66" s="25">
        <f t="shared" si="10"/>
        <v>0</v>
      </c>
    </row>
    <row r="67" spans="1:17">
      <c r="A67" s="18">
        <v>73217</v>
      </c>
      <c r="B67" s="78" t="str">
        <f t="shared" si="18"/>
        <v>Tony's® Pepperoni Stuffed Sandwiches</v>
      </c>
      <c r="C67" s="19">
        <f t="shared" si="11"/>
        <v>4.5</v>
      </c>
      <c r="D67" s="20">
        <f t="shared" si="12"/>
        <v>0</v>
      </c>
      <c r="E67" s="21" t="str">
        <f t="shared" si="13"/>
        <v>1⁄4</v>
      </c>
      <c r="F67" s="21" t="str">
        <f t="shared" si="14"/>
        <v>2 ¼</v>
      </c>
      <c r="G67" s="21">
        <f t="shared" si="15"/>
        <v>0</v>
      </c>
      <c r="H67" s="22"/>
      <c r="I67" s="23" t="s">
        <v>25</v>
      </c>
      <c r="J67" s="21">
        <f t="shared" si="16"/>
        <v>24</v>
      </c>
      <c r="K67" s="21" t="s">
        <v>10</v>
      </c>
      <c r="L67" s="24">
        <f t="shared" si="7"/>
        <v>0</v>
      </c>
      <c r="M67" s="21" t="s">
        <v>12</v>
      </c>
      <c r="N67" s="21">
        <f t="shared" si="17"/>
        <v>0.28000000000000003</v>
      </c>
      <c r="O67" s="21" t="s">
        <v>10</v>
      </c>
      <c r="P67" s="19">
        <f t="shared" si="9"/>
        <v>0</v>
      </c>
      <c r="Q67" s="25">
        <f t="shared" si="10"/>
        <v>0</v>
      </c>
    </row>
    <row r="68" spans="1:17" ht="30">
      <c r="A68" s="18">
        <v>74709</v>
      </c>
      <c r="B68" s="78" t="str">
        <f t="shared" si="18"/>
        <v>Tony's® SmartPizza™ Classic Wedge Cheese Mozz/Sub Mozz</v>
      </c>
      <c r="C68" s="19">
        <f t="shared" si="11"/>
        <v>4.6100000000000003</v>
      </c>
      <c r="D68" s="20">
        <f t="shared" si="12"/>
        <v>0</v>
      </c>
      <c r="E68" s="21">
        <f t="shared" si="13"/>
        <v>2</v>
      </c>
      <c r="F68" s="21" t="str">
        <f t="shared" si="14"/>
        <v>1 ¾</v>
      </c>
      <c r="G68" s="21" t="str">
        <f t="shared" si="15"/>
        <v>1⁄8</v>
      </c>
      <c r="H68" s="22"/>
      <c r="I68" s="23" t="s">
        <v>25</v>
      </c>
      <c r="J68" s="21">
        <f t="shared" si="16"/>
        <v>80</v>
      </c>
      <c r="K68" s="21" t="s">
        <v>10</v>
      </c>
      <c r="L68" s="24">
        <f t="shared" si="7"/>
        <v>0</v>
      </c>
      <c r="M68" s="21" t="s">
        <v>12</v>
      </c>
      <c r="N68" s="21">
        <f t="shared" si="17"/>
        <v>1.29</v>
      </c>
      <c r="O68" s="21" t="s">
        <v>10</v>
      </c>
      <c r="P68" s="19">
        <f t="shared" si="9"/>
        <v>0</v>
      </c>
      <c r="Q68" s="25">
        <f t="shared" si="10"/>
        <v>0</v>
      </c>
    </row>
    <row r="69" spans="1:17" ht="30">
      <c r="A69" s="18">
        <v>74710</v>
      </c>
      <c r="B69" s="78" t="str">
        <f t="shared" si="18"/>
        <v>Tony's® SmartPizza™ Classic Wedge Pepperoni Mozz/Sub Mozz</v>
      </c>
      <c r="C69" s="19">
        <f t="shared" si="11"/>
        <v>4.7</v>
      </c>
      <c r="D69" s="20">
        <f t="shared" si="12"/>
        <v>0</v>
      </c>
      <c r="E69" s="21">
        <f t="shared" si="13"/>
        <v>2</v>
      </c>
      <c r="F69" s="21" t="str">
        <f t="shared" si="14"/>
        <v>1 ¾</v>
      </c>
      <c r="G69" s="21" t="str">
        <f t="shared" si="15"/>
        <v>1⁄8</v>
      </c>
      <c r="H69" s="22"/>
      <c r="I69" s="23" t="s">
        <v>25</v>
      </c>
      <c r="J69" s="21">
        <f t="shared" si="16"/>
        <v>80</v>
      </c>
      <c r="K69" s="21" t="s">
        <v>10</v>
      </c>
      <c r="L69" s="24">
        <f t="shared" si="7"/>
        <v>0</v>
      </c>
      <c r="M69" s="21" t="s">
        <v>12</v>
      </c>
      <c r="N69" s="21">
        <f t="shared" si="17"/>
        <v>1.29</v>
      </c>
      <c r="O69" s="21" t="s">
        <v>10</v>
      </c>
      <c r="P69" s="19">
        <f t="shared" si="9"/>
        <v>0</v>
      </c>
      <c r="Q69" s="25">
        <f t="shared" si="10"/>
        <v>0</v>
      </c>
    </row>
    <row r="70" spans="1:17" ht="30">
      <c r="A70" s="18">
        <v>74711</v>
      </c>
      <c r="B70" s="78" t="str">
        <f t="shared" si="18"/>
        <v>Tony's® SmartPizza™ Right Angle Wedge Cheese/Sub Cheese Pizza</v>
      </c>
      <c r="C70" s="19">
        <f t="shared" si="11"/>
        <v>4.7</v>
      </c>
      <c r="D70" s="20">
        <f t="shared" si="12"/>
        <v>0</v>
      </c>
      <c r="E70" s="21">
        <f t="shared" si="13"/>
        <v>2</v>
      </c>
      <c r="F70" s="21">
        <f t="shared" si="14"/>
        <v>2</v>
      </c>
      <c r="G70" s="21" t="str">
        <f t="shared" si="15"/>
        <v>1⁄8</v>
      </c>
      <c r="H70" s="22"/>
      <c r="I70" s="23" t="s">
        <v>25</v>
      </c>
      <c r="J70" s="21">
        <f t="shared" si="16"/>
        <v>96</v>
      </c>
      <c r="K70" s="21" t="s">
        <v>10</v>
      </c>
      <c r="L70" s="24">
        <f t="shared" si="7"/>
        <v>0</v>
      </c>
      <c r="M70" s="21" t="s">
        <v>12</v>
      </c>
      <c r="N70" s="21">
        <f t="shared" si="17"/>
        <v>1.54</v>
      </c>
      <c r="O70" s="21" t="s">
        <v>10</v>
      </c>
      <c r="P70" s="19">
        <f t="shared" si="9"/>
        <v>0</v>
      </c>
      <c r="Q70" s="25">
        <f t="shared" si="10"/>
        <v>0</v>
      </c>
    </row>
    <row r="71" spans="1:17" ht="30">
      <c r="A71" s="18">
        <v>74712</v>
      </c>
      <c r="B71" s="78" t="str">
        <f t="shared" si="18"/>
        <v>Tony's® SmartPizza™ Right Angle Wedge Pepperoni Pizza</v>
      </c>
      <c r="C71" s="19">
        <f t="shared" ref="C71:C102" si="19">VLOOKUP(A71,nutrits,4,FALSE)</f>
        <v>4.79</v>
      </c>
      <c r="D71" s="20">
        <f t="shared" ref="D71:D102" si="20">VLOOKUP(A71,nutrits,9,FALSE)</f>
        <v>0</v>
      </c>
      <c r="E71" s="21">
        <f t="shared" ref="E71:E102" si="21">VLOOKUP(A71,nutrits,5,FALSE)</f>
        <v>2</v>
      </c>
      <c r="F71" s="21">
        <f t="shared" ref="F71:F102" si="22">VLOOKUP(A71,nutrits,6,FALSE)</f>
        <v>2</v>
      </c>
      <c r="G71" s="21" t="str">
        <f t="shared" ref="G71:G102" si="23">VLOOKUP(A71,nutrits,7,FALSE)</f>
        <v>1⁄8</v>
      </c>
      <c r="H71" s="22"/>
      <c r="I71" s="23" t="s">
        <v>25</v>
      </c>
      <c r="J71" s="21">
        <f t="shared" ref="J71:J102" si="24">VLOOKUP(A71,nutrits,3,FALSE)</f>
        <v>96</v>
      </c>
      <c r="K71" s="21" t="s">
        <v>10</v>
      </c>
      <c r="L71" s="24">
        <f t="shared" ref="L71:L134" si="25">SUM(H71/J71)</f>
        <v>0</v>
      </c>
      <c r="M71" s="21" t="s">
        <v>12</v>
      </c>
      <c r="N71" s="21">
        <f t="shared" ref="N71:N102" si="26">VLOOKUP(A71,sepdspaste,9,FALSE)</f>
        <v>1.54</v>
      </c>
      <c r="O71" s="21" t="s">
        <v>10</v>
      </c>
      <c r="P71" s="19">
        <f t="shared" ref="P71:P134" si="27">L71*N71</f>
        <v>0</v>
      </c>
      <c r="Q71" s="25">
        <f t="shared" ref="Q71:Q134" si="28">P71*0.3612</f>
        <v>0</v>
      </c>
    </row>
    <row r="72" spans="1:17">
      <c r="A72" s="18">
        <v>74835</v>
      </c>
      <c r="B72" s="78" t="str">
        <f t="shared" si="18"/>
        <v>Tony's® Pizza Strips - Pepperoni</v>
      </c>
      <c r="C72" s="19">
        <f t="shared" si="19"/>
        <v>3.1</v>
      </c>
      <c r="D72" s="20">
        <f t="shared" si="20"/>
        <v>0</v>
      </c>
      <c r="E72" s="21">
        <f t="shared" si="21"/>
        <v>1</v>
      </c>
      <c r="F72" s="21">
        <f t="shared" si="22"/>
        <v>2</v>
      </c>
      <c r="G72" s="21">
        <f t="shared" si="23"/>
        <v>0</v>
      </c>
      <c r="H72" s="22"/>
      <c r="I72" s="23" t="s">
        <v>25</v>
      </c>
      <c r="J72" s="21">
        <f t="shared" si="24"/>
        <v>48</v>
      </c>
      <c r="K72" s="21" t="s">
        <v>10</v>
      </c>
      <c r="L72" s="24">
        <f t="shared" si="25"/>
        <v>0</v>
      </c>
      <c r="M72" s="21" t="s">
        <v>12</v>
      </c>
      <c r="N72" s="21">
        <f t="shared" si="26"/>
        <v>0.35</v>
      </c>
      <c r="O72" s="21" t="s">
        <v>10</v>
      </c>
      <c r="P72" s="19">
        <f t="shared" si="27"/>
        <v>0</v>
      </c>
      <c r="Q72" s="25">
        <f t="shared" si="28"/>
        <v>0</v>
      </c>
    </row>
    <row r="73" spans="1:17">
      <c r="A73" s="18">
        <v>74836</v>
      </c>
      <c r="B73" s="78" t="str">
        <f t="shared" si="18"/>
        <v>Tony's® Pizza Strips - Pepperoni (IW)</v>
      </c>
      <c r="C73" s="19">
        <f t="shared" si="19"/>
        <v>3.1</v>
      </c>
      <c r="D73" s="20">
        <f t="shared" si="20"/>
        <v>0</v>
      </c>
      <c r="E73" s="21">
        <f t="shared" si="21"/>
        <v>1</v>
      </c>
      <c r="F73" s="21">
        <f t="shared" si="22"/>
        <v>2</v>
      </c>
      <c r="G73" s="21">
        <f t="shared" si="23"/>
        <v>0</v>
      </c>
      <c r="H73" s="22"/>
      <c r="I73" s="23" t="s">
        <v>25</v>
      </c>
      <c r="J73" s="21">
        <f t="shared" si="24"/>
        <v>48</v>
      </c>
      <c r="K73" s="21" t="s">
        <v>10</v>
      </c>
      <c r="L73" s="24">
        <f t="shared" si="25"/>
        <v>0</v>
      </c>
      <c r="M73" s="21" t="s">
        <v>12</v>
      </c>
      <c r="N73" s="21">
        <f t="shared" si="26"/>
        <v>0.35</v>
      </c>
      <c r="O73" s="21" t="s">
        <v>10</v>
      </c>
      <c r="P73" s="19">
        <f t="shared" si="27"/>
        <v>0</v>
      </c>
      <c r="Q73" s="25">
        <f t="shared" si="28"/>
        <v>0</v>
      </c>
    </row>
    <row r="74" spans="1:17" ht="30">
      <c r="A74" s="18">
        <v>74837</v>
      </c>
      <c r="B74" s="78" t="str">
        <f t="shared" si="18"/>
        <v>Tony's® Stuffed Sandwiches Pepperoni Bulk 48ct</v>
      </c>
      <c r="C74" s="19">
        <f t="shared" si="19"/>
        <v>4.46</v>
      </c>
      <c r="D74" s="20">
        <f t="shared" si="20"/>
        <v>0</v>
      </c>
      <c r="E74" s="21">
        <f t="shared" si="21"/>
        <v>2</v>
      </c>
      <c r="F74" s="21">
        <f t="shared" si="22"/>
        <v>2</v>
      </c>
      <c r="G74" s="21" t="str">
        <f t="shared" si="23"/>
        <v>1⁄8</v>
      </c>
      <c r="H74" s="22"/>
      <c r="I74" s="23" t="s">
        <v>25</v>
      </c>
      <c r="J74" s="21">
        <f t="shared" si="24"/>
        <v>48</v>
      </c>
      <c r="K74" s="21" t="s">
        <v>10</v>
      </c>
      <c r="L74" s="24">
        <f t="shared" si="25"/>
        <v>0</v>
      </c>
      <c r="M74" s="21" t="s">
        <v>12</v>
      </c>
      <c r="N74" s="21">
        <f t="shared" si="26"/>
        <v>0.77</v>
      </c>
      <c r="O74" s="21" t="s">
        <v>10</v>
      </c>
      <c r="P74" s="19">
        <f t="shared" si="27"/>
        <v>0</v>
      </c>
      <c r="Q74" s="25">
        <f t="shared" si="28"/>
        <v>0</v>
      </c>
    </row>
    <row r="75" spans="1:17" ht="30">
      <c r="A75" s="18">
        <v>74838</v>
      </c>
      <c r="B75" s="78" t="str">
        <f t="shared" si="18"/>
        <v>Tony's® Stuffed Sandwich Pepperoni IW 24ct</v>
      </c>
      <c r="C75" s="19">
        <f t="shared" si="19"/>
        <v>4.46</v>
      </c>
      <c r="D75" s="20">
        <f t="shared" si="20"/>
        <v>0</v>
      </c>
      <c r="E75" s="21">
        <f t="shared" si="21"/>
        <v>2</v>
      </c>
      <c r="F75" s="21">
        <f t="shared" si="22"/>
        <v>2</v>
      </c>
      <c r="G75" s="21" t="str">
        <f t="shared" si="23"/>
        <v>1⁄8</v>
      </c>
      <c r="H75" s="22"/>
      <c r="I75" s="23" t="s">
        <v>25</v>
      </c>
      <c r="J75" s="21">
        <f t="shared" si="24"/>
        <v>24</v>
      </c>
      <c r="K75" s="21" t="s">
        <v>10</v>
      </c>
      <c r="L75" s="24">
        <f t="shared" si="25"/>
        <v>0</v>
      </c>
      <c r="M75" s="21" t="s">
        <v>12</v>
      </c>
      <c r="N75" s="21">
        <f t="shared" si="26"/>
        <v>0.39</v>
      </c>
      <c r="O75" s="21" t="s">
        <v>10</v>
      </c>
      <c r="P75" s="19">
        <f t="shared" si="27"/>
        <v>0</v>
      </c>
      <c r="Q75" s="25">
        <f t="shared" si="28"/>
        <v>0</v>
      </c>
    </row>
    <row r="76" spans="1:17" ht="30">
      <c r="A76" s="18">
        <v>78362</v>
      </c>
      <c r="B76" s="78" t="str">
        <f t="shared" si="18"/>
        <v>Tony's® Sausage Breakfast Bagel (Red Sauce) IW</v>
      </c>
      <c r="C76" s="19">
        <f t="shared" si="19"/>
        <v>2.65</v>
      </c>
      <c r="D76" s="20">
        <f t="shared" si="20"/>
        <v>0.51</v>
      </c>
      <c r="E76" s="21">
        <f t="shared" si="21"/>
        <v>1</v>
      </c>
      <c r="F76" s="21">
        <f t="shared" si="22"/>
        <v>1</v>
      </c>
      <c r="G76" s="21">
        <f t="shared" si="23"/>
        <v>0</v>
      </c>
      <c r="H76" s="22"/>
      <c r="I76" s="23" t="s">
        <v>25</v>
      </c>
      <c r="J76" s="21">
        <f t="shared" si="24"/>
        <v>96</v>
      </c>
      <c r="K76" s="21" t="s">
        <v>10</v>
      </c>
      <c r="L76" s="24">
        <f t="shared" si="25"/>
        <v>0</v>
      </c>
      <c r="M76" s="21" t="s">
        <v>12</v>
      </c>
      <c r="N76" s="21">
        <f t="shared" si="26"/>
        <v>0.65</v>
      </c>
      <c r="O76" s="21" t="s">
        <v>10</v>
      </c>
      <c r="P76" s="19">
        <f t="shared" si="27"/>
        <v>0</v>
      </c>
      <c r="Q76" s="25">
        <f t="shared" si="28"/>
        <v>0</v>
      </c>
    </row>
    <row r="77" spans="1:17">
      <c r="A77" s="21">
        <v>78364</v>
      </c>
      <c r="B77" s="78" t="str">
        <f t="shared" si="18"/>
        <v>Tony's® 4" Round Galaxy Cheese Pizza</v>
      </c>
      <c r="C77" s="19">
        <f t="shared" si="19"/>
        <v>4.3499999999999996</v>
      </c>
      <c r="D77" s="20">
        <f t="shared" si="20"/>
        <v>0.51</v>
      </c>
      <c r="E77" s="21">
        <f t="shared" si="21"/>
        <v>2</v>
      </c>
      <c r="F77" s="21">
        <f t="shared" si="22"/>
        <v>2</v>
      </c>
      <c r="G77" s="21" t="str">
        <f t="shared" si="23"/>
        <v>1⁄8</v>
      </c>
      <c r="H77" s="22"/>
      <c r="I77" s="23" t="s">
        <v>25</v>
      </c>
      <c r="J77" s="21">
        <f t="shared" si="24"/>
        <v>72</v>
      </c>
      <c r="K77" s="21" t="s">
        <v>10</v>
      </c>
      <c r="L77" s="24">
        <f t="shared" si="25"/>
        <v>0</v>
      </c>
      <c r="M77" s="21" t="s">
        <v>12</v>
      </c>
      <c r="N77" s="21">
        <f t="shared" si="26"/>
        <v>1.1499999999999999</v>
      </c>
      <c r="O77" s="21" t="s">
        <v>10</v>
      </c>
      <c r="P77" s="19">
        <f t="shared" si="27"/>
        <v>0</v>
      </c>
      <c r="Q77" s="25">
        <f t="shared" si="28"/>
        <v>0</v>
      </c>
    </row>
    <row r="78" spans="1:17">
      <c r="A78" s="21">
        <v>78365</v>
      </c>
      <c r="B78" s="78" t="str">
        <f t="shared" si="18"/>
        <v>Tony's® 4" Round Galaxy Pepperoni Pizza</v>
      </c>
      <c r="C78" s="19">
        <f t="shared" si="19"/>
        <v>4.3499999999999996</v>
      </c>
      <c r="D78" s="20">
        <f t="shared" si="20"/>
        <v>0.51</v>
      </c>
      <c r="E78" s="21">
        <f t="shared" si="21"/>
        <v>2</v>
      </c>
      <c r="F78" s="21">
        <f t="shared" si="22"/>
        <v>2</v>
      </c>
      <c r="G78" s="21" t="str">
        <f t="shared" si="23"/>
        <v>1⁄8</v>
      </c>
      <c r="H78" s="22"/>
      <c r="I78" s="23" t="s">
        <v>25</v>
      </c>
      <c r="J78" s="21">
        <f t="shared" si="24"/>
        <v>72</v>
      </c>
      <c r="K78" s="21" t="s">
        <v>10</v>
      </c>
      <c r="L78" s="24">
        <f t="shared" si="25"/>
        <v>0</v>
      </c>
      <c r="M78" s="21" t="s">
        <v>12</v>
      </c>
      <c r="N78" s="21">
        <f t="shared" si="26"/>
        <v>1.1499999999999999</v>
      </c>
      <c r="O78" s="21" t="s">
        <v>10</v>
      </c>
      <c r="P78" s="19">
        <f t="shared" si="27"/>
        <v>0</v>
      </c>
      <c r="Q78" s="25">
        <f t="shared" si="28"/>
        <v>0</v>
      </c>
    </row>
    <row r="79" spans="1:17">
      <c r="A79" s="21">
        <v>78366</v>
      </c>
      <c r="B79" s="78" t="str">
        <f t="shared" si="18"/>
        <v>Tony's® 4" Round Galaxy Cheese Pizza IW</v>
      </c>
      <c r="C79" s="19">
        <f t="shared" si="19"/>
        <v>4.3499999999999996</v>
      </c>
      <c r="D79" s="20">
        <f t="shared" si="20"/>
        <v>0.51</v>
      </c>
      <c r="E79" s="21">
        <f t="shared" si="21"/>
        <v>2</v>
      </c>
      <c r="F79" s="21">
        <f t="shared" si="22"/>
        <v>2</v>
      </c>
      <c r="G79" s="21" t="str">
        <f t="shared" si="23"/>
        <v>1⁄8</v>
      </c>
      <c r="H79" s="22"/>
      <c r="I79" s="23" t="s">
        <v>25</v>
      </c>
      <c r="J79" s="21">
        <f t="shared" si="24"/>
        <v>72</v>
      </c>
      <c r="K79" s="21" t="s">
        <v>10</v>
      </c>
      <c r="L79" s="24">
        <f t="shared" si="25"/>
        <v>0</v>
      </c>
      <c r="M79" s="21" t="s">
        <v>12</v>
      </c>
      <c r="N79" s="21">
        <f t="shared" si="26"/>
        <v>1.1499999999999999</v>
      </c>
      <c r="O79" s="21" t="s">
        <v>10</v>
      </c>
      <c r="P79" s="19">
        <f t="shared" si="27"/>
        <v>0</v>
      </c>
      <c r="Q79" s="25">
        <f t="shared" si="28"/>
        <v>0</v>
      </c>
    </row>
    <row r="80" spans="1:17">
      <c r="A80" s="21">
        <v>78367</v>
      </c>
      <c r="B80" s="78" t="str">
        <f t="shared" si="18"/>
        <v>Tony's® 4" Round Galaxy Pepp Pizza IW</v>
      </c>
      <c r="C80" s="19">
        <f t="shared" si="19"/>
        <v>4.3499999999999996</v>
      </c>
      <c r="D80" s="20">
        <f t="shared" si="20"/>
        <v>0.51</v>
      </c>
      <c r="E80" s="21">
        <f t="shared" si="21"/>
        <v>2</v>
      </c>
      <c r="F80" s="21">
        <f t="shared" si="22"/>
        <v>2</v>
      </c>
      <c r="G80" s="21" t="str">
        <f t="shared" si="23"/>
        <v>1⁄8</v>
      </c>
      <c r="H80" s="22"/>
      <c r="I80" s="23" t="s">
        <v>25</v>
      </c>
      <c r="J80" s="21">
        <f t="shared" si="24"/>
        <v>72</v>
      </c>
      <c r="K80" s="21" t="s">
        <v>10</v>
      </c>
      <c r="L80" s="24">
        <f t="shared" si="25"/>
        <v>0</v>
      </c>
      <c r="M80" s="21" t="s">
        <v>12</v>
      </c>
      <c r="N80" s="21">
        <f t="shared" si="26"/>
        <v>1.1499999999999999</v>
      </c>
      <c r="O80" s="21" t="s">
        <v>10</v>
      </c>
      <c r="P80" s="19">
        <f t="shared" si="27"/>
        <v>0</v>
      </c>
      <c r="Q80" s="25">
        <f t="shared" si="28"/>
        <v>0</v>
      </c>
    </row>
    <row r="81" spans="1:17" ht="30">
      <c r="A81" s="21">
        <v>78368</v>
      </c>
      <c r="B81" s="78" t="str">
        <f t="shared" si="18"/>
        <v>Tony's® Deep Dish 5" 51% Whole Grain 100% Mozz Cheese Pizza</v>
      </c>
      <c r="C81" s="19">
        <f t="shared" si="19"/>
        <v>4.9800000000000004</v>
      </c>
      <c r="D81" s="20">
        <f t="shared" si="20"/>
        <v>0.51</v>
      </c>
      <c r="E81" s="21">
        <f t="shared" si="21"/>
        <v>2</v>
      </c>
      <c r="F81" s="21">
        <f t="shared" si="22"/>
        <v>2</v>
      </c>
      <c r="G81" s="21" t="str">
        <f t="shared" si="23"/>
        <v>1⁄8</v>
      </c>
      <c r="H81" s="22"/>
      <c r="I81" s="23" t="s">
        <v>25</v>
      </c>
      <c r="J81" s="21">
        <f t="shared" si="24"/>
        <v>60</v>
      </c>
      <c r="K81" s="21" t="s">
        <v>10</v>
      </c>
      <c r="L81" s="24">
        <f t="shared" si="25"/>
        <v>0</v>
      </c>
      <c r="M81" s="21" t="s">
        <v>12</v>
      </c>
      <c r="N81" s="21">
        <f t="shared" si="26"/>
        <v>1.24</v>
      </c>
      <c r="O81" s="21" t="s">
        <v>10</v>
      </c>
      <c r="P81" s="19">
        <f t="shared" si="27"/>
        <v>0</v>
      </c>
      <c r="Q81" s="25">
        <f t="shared" si="28"/>
        <v>0</v>
      </c>
    </row>
    <row r="82" spans="1:17" ht="30">
      <c r="A82" s="21">
        <v>78369</v>
      </c>
      <c r="B82" s="78" t="str">
        <f t="shared" si="18"/>
        <v>Tony's® Deep Dish 5" 51% Whole Grain 100% Mozz Pepperoni Pizza</v>
      </c>
      <c r="C82" s="19">
        <f t="shared" si="19"/>
        <v>4.9800000000000004</v>
      </c>
      <c r="D82" s="20">
        <f t="shared" si="20"/>
        <v>0.51</v>
      </c>
      <c r="E82" s="21">
        <f t="shared" si="21"/>
        <v>2</v>
      </c>
      <c r="F82" s="21">
        <f t="shared" si="22"/>
        <v>2</v>
      </c>
      <c r="G82" s="21" t="str">
        <f t="shared" si="23"/>
        <v>1⁄8</v>
      </c>
      <c r="H82" s="22"/>
      <c r="I82" s="23" t="s">
        <v>25</v>
      </c>
      <c r="J82" s="21">
        <f t="shared" si="24"/>
        <v>60</v>
      </c>
      <c r="K82" s="21" t="s">
        <v>10</v>
      </c>
      <c r="L82" s="24">
        <f t="shared" si="25"/>
        <v>0</v>
      </c>
      <c r="M82" s="21" t="s">
        <v>12</v>
      </c>
      <c r="N82" s="21">
        <f t="shared" si="26"/>
        <v>1.24</v>
      </c>
      <c r="O82" s="21" t="s">
        <v>10</v>
      </c>
      <c r="P82" s="19">
        <f t="shared" si="27"/>
        <v>0</v>
      </c>
      <c r="Q82" s="25">
        <f t="shared" si="28"/>
        <v>0</v>
      </c>
    </row>
    <row r="83" spans="1:17" ht="30">
      <c r="A83" s="21">
        <v>78370</v>
      </c>
      <c r="B83" s="78" t="str">
        <f t="shared" si="18"/>
        <v>Tony's® Deep Dish 5" 51% Whole Grain 100% Mozz Cheese Pizza IW</v>
      </c>
      <c r="C83" s="19">
        <f t="shared" si="19"/>
        <v>4.9800000000000004</v>
      </c>
      <c r="D83" s="20">
        <f t="shared" si="20"/>
        <v>0.51</v>
      </c>
      <c r="E83" s="21">
        <f t="shared" si="21"/>
        <v>2</v>
      </c>
      <c r="F83" s="21">
        <f t="shared" si="22"/>
        <v>2</v>
      </c>
      <c r="G83" s="21" t="str">
        <f t="shared" si="23"/>
        <v>1⁄8</v>
      </c>
      <c r="H83" s="22"/>
      <c r="I83" s="23" t="s">
        <v>25</v>
      </c>
      <c r="J83" s="21">
        <f t="shared" si="24"/>
        <v>60</v>
      </c>
      <c r="K83" s="21" t="s">
        <v>10</v>
      </c>
      <c r="L83" s="24">
        <f t="shared" si="25"/>
        <v>0</v>
      </c>
      <c r="M83" s="21" t="s">
        <v>12</v>
      </c>
      <c r="N83" s="21">
        <f t="shared" si="26"/>
        <v>1.24</v>
      </c>
      <c r="O83" s="21" t="s">
        <v>10</v>
      </c>
      <c r="P83" s="19">
        <f t="shared" si="27"/>
        <v>0</v>
      </c>
      <c r="Q83" s="25">
        <f t="shared" si="28"/>
        <v>0</v>
      </c>
    </row>
    <row r="84" spans="1:17" ht="30">
      <c r="A84" s="21">
        <v>78371</v>
      </c>
      <c r="B84" s="78" t="str">
        <f t="shared" si="18"/>
        <v>Tony's® Deep Dish 5" 51% Whole Grain 100% Mozz Pepperoni Pizza IW</v>
      </c>
      <c r="C84" s="19">
        <f t="shared" si="19"/>
        <v>4.9800000000000004</v>
      </c>
      <c r="D84" s="20">
        <f t="shared" si="20"/>
        <v>0.51</v>
      </c>
      <c r="E84" s="21">
        <f t="shared" si="21"/>
        <v>2</v>
      </c>
      <c r="F84" s="21">
        <f t="shared" si="22"/>
        <v>2</v>
      </c>
      <c r="G84" s="21" t="str">
        <f t="shared" si="23"/>
        <v>1⁄8</v>
      </c>
      <c r="H84" s="22"/>
      <c r="I84" s="23" t="s">
        <v>25</v>
      </c>
      <c r="J84" s="21">
        <f t="shared" si="24"/>
        <v>60</v>
      </c>
      <c r="K84" s="21" t="s">
        <v>10</v>
      </c>
      <c r="L84" s="24">
        <f t="shared" si="25"/>
        <v>0</v>
      </c>
      <c r="M84" s="21" t="s">
        <v>12</v>
      </c>
      <c r="N84" s="21">
        <f t="shared" si="26"/>
        <v>1.24</v>
      </c>
      <c r="O84" s="21" t="s">
        <v>10</v>
      </c>
      <c r="P84" s="19">
        <f t="shared" si="27"/>
        <v>0</v>
      </c>
      <c r="Q84" s="25">
        <f t="shared" si="28"/>
        <v>0</v>
      </c>
    </row>
    <row r="85" spans="1:17" ht="30">
      <c r="A85" s="18">
        <v>78372</v>
      </c>
      <c r="B85" s="78" t="str">
        <f t="shared" si="18"/>
        <v>Coyote Grill® 51% Whole Grain Cheese Quesadilla</v>
      </c>
      <c r="C85" s="19">
        <f t="shared" si="19"/>
        <v>4.4000000000000004</v>
      </c>
      <c r="D85" s="20">
        <f t="shared" si="20"/>
        <v>0.51</v>
      </c>
      <c r="E85" s="21">
        <f t="shared" si="21"/>
        <v>2</v>
      </c>
      <c r="F85" s="21">
        <f t="shared" si="22"/>
        <v>2</v>
      </c>
      <c r="G85" s="21">
        <f t="shared" si="23"/>
        <v>0</v>
      </c>
      <c r="H85" s="22"/>
      <c r="I85" s="23" t="s">
        <v>25</v>
      </c>
      <c r="J85" s="21">
        <f t="shared" si="24"/>
        <v>96</v>
      </c>
      <c r="K85" s="21" t="s">
        <v>10</v>
      </c>
      <c r="L85" s="24">
        <f t="shared" si="25"/>
        <v>0</v>
      </c>
      <c r="M85" s="21" t="s">
        <v>12</v>
      </c>
      <c r="N85" s="21">
        <f t="shared" si="26"/>
        <v>0.65</v>
      </c>
      <c r="O85" s="21" t="s">
        <v>10</v>
      </c>
      <c r="P85" s="19">
        <f t="shared" si="27"/>
        <v>0</v>
      </c>
      <c r="Q85" s="25">
        <f t="shared" si="28"/>
        <v>0</v>
      </c>
    </row>
    <row r="86" spans="1:17" ht="30">
      <c r="A86" s="18">
        <v>78373</v>
      </c>
      <c r="B86" s="78" t="str">
        <f t="shared" si="18"/>
        <v>Coyote Grill® LiveSmart™ Schools 51% Whole Grain Chicken &amp; Cheese Quesadilla</v>
      </c>
      <c r="C86" s="19">
        <f t="shared" si="19"/>
        <v>4.4000000000000004</v>
      </c>
      <c r="D86" s="20">
        <f t="shared" si="20"/>
        <v>0.51</v>
      </c>
      <c r="E86" s="21">
        <f t="shared" si="21"/>
        <v>2</v>
      </c>
      <c r="F86" s="21">
        <f t="shared" si="22"/>
        <v>2</v>
      </c>
      <c r="G86" s="21">
        <f t="shared" si="23"/>
        <v>0</v>
      </c>
      <c r="H86" s="22"/>
      <c r="I86" s="23" t="s">
        <v>25</v>
      </c>
      <c r="J86" s="21">
        <f t="shared" si="24"/>
        <v>96</v>
      </c>
      <c r="K86" s="21" t="s">
        <v>10</v>
      </c>
      <c r="L86" s="24">
        <f t="shared" si="25"/>
        <v>0</v>
      </c>
      <c r="M86" s="21" t="s">
        <v>12</v>
      </c>
      <c r="N86" s="21">
        <f t="shared" si="26"/>
        <v>0.65</v>
      </c>
      <c r="O86" s="21" t="s">
        <v>10</v>
      </c>
      <c r="P86" s="19">
        <f t="shared" si="27"/>
        <v>0</v>
      </c>
      <c r="Q86" s="25">
        <f t="shared" si="28"/>
        <v>0</v>
      </c>
    </row>
    <row r="87" spans="1:17" ht="30">
      <c r="A87" s="18">
        <v>78374</v>
      </c>
      <c r="B87" s="78" t="str">
        <f t="shared" si="18"/>
        <v>Coyote Grill® LiveSmart™ Schools 51% Whole Grain Chili &amp; Cheese Quesadilla</v>
      </c>
      <c r="C87" s="19">
        <f t="shared" si="19"/>
        <v>4.4000000000000004</v>
      </c>
      <c r="D87" s="20">
        <f t="shared" si="20"/>
        <v>0.51</v>
      </c>
      <c r="E87" s="21">
        <f t="shared" si="21"/>
        <v>2</v>
      </c>
      <c r="F87" s="21">
        <f t="shared" si="22"/>
        <v>2</v>
      </c>
      <c r="G87" s="21">
        <f t="shared" si="23"/>
        <v>0</v>
      </c>
      <c r="H87" s="22"/>
      <c r="I87" s="23" t="s">
        <v>25</v>
      </c>
      <c r="J87" s="21">
        <f t="shared" si="24"/>
        <v>96</v>
      </c>
      <c r="K87" s="21" t="s">
        <v>10</v>
      </c>
      <c r="L87" s="24">
        <f t="shared" si="25"/>
        <v>0</v>
      </c>
      <c r="M87" s="21" t="s">
        <v>12</v>
      </c>
      <c r="N87" s="21">
        <f t="shared" si="26"/>
        <v>0.31</v>
      </c>
      <c r="O87" s="21" t="s">
        <v>10</v>
      </c>
      <c r="P87" s="19">
        <f t="shared" si="27"/>
        <v>0</v>
      </c>
      <c r="Q87" s="25">
        <f t="shared" si="28"/>
        <v>0</v>
      </c>
    </row>
    <row r="88" spans="1:17" ht="30">
      <c r="A88" s="18">
        <v>78376</v>
      </c>
      <c r="B88" s="79" t="s">
        <v>42</v>
      </c>
      <c r="C88" s="19">
        <f t="shared" si="19"/>
        <v>4.4400000000000004</v>
      </c>
      <c r="D88" s="20">
        <f t="shared" si="20"/>
        <v>0.51</v>
      </c>
      <c r="E88" s="21">
        <f t="shared" si="21"/>
        <v>2</v>
      </c>
      <c r="F88" s="21">
        <f t="shared" si="22"/>
        <v>2</v>
      </c>
      <c r="G88" s="21" t="str">
        <f t="shared" si="23"/>
        <v>1⁄8</v>
      </c>
      <c r="H88" s="22"/>
      <c r="I88" s="23" t="s">
        <v>25</v>
      </c>
      <c r="J88" s="21">
        <f t="shared" si="24"/>
        <v>48</v>
      </c>
      <c r="K88" s="21" t="s">
        <v>10</v>
      </c>
      <c r="L88" s="24">
        <f t="shared" si="25"/>
        <v>0</v>
      </c>
      <c r="M88" s="21" t="s">
        <v>12</v>
      </c>
      <c r="N88" s="21">
        <f t="shared" si="26"/>
        <v>0.79</v>
      </c>
      <c r="O88" s="21" t="s">
        <v>10</v>
      </c>
      <c r="P88" s="19">
        <f t="shared" si="27"/>
        <v>0</v>
      </c>
      <c r="Q88" s="25">
        <f t="shared" si="28"/>
        <v>0</v>
      </c>
    </row>
    <row r="89" spans="1:17" ht="30">
      <c r="A89" s="18">
        <v>78377</v>
      </c>
      <c r="B89" s="79" t="s">
        <v>43</v>
      </c>
      <c r="C89" s="19">
        <f t="shared" si="19"/>
        <v>4.4400000000000004</v>
      </c>
      <c r="D89" s="20">
        <f t="shared" si="20"/>
        <v>0.51</v>
      </c>
      <c r="E89" s="21">
        <f t="shared" si="21"/>
        <v>2</v>
      </c>
      <c r="F89" s="21">
        <f t="shared" si="22"/>
        <v>2</v>
      </c>
      <c r="G89" s="21" t="str">
        <f t="shared" si="23"/>
        <v>1⁄8</v>
      </c>
      <c r="H89" s="22"/>
      <c r="I89" s="23" t="s">
        <v>25</v>
      </c>
      <c r="J89" s="21">
        <f t="shared" si="24"/>
        <v>24</v>
      </c>
      <c r="K89" s="21" t="s">
        <v>10</v>
      </c>
      <c r="L89" s="24">
        <f t="shared" si="25"/>
        <v>0</v>
      </c>
      <c r="M89" s="21" t="s">
        <v>12</v>
      </c>
      <c r="N89" s="21">
        <f t="shared" si="26"/>
        <v>0.4</v>
      </c>
      <c r="O89" s="21" t="s">
        <v>10</v>
      </c>
      <c r="P89" s="19">
        <f t="shared" si="27"/>
        <v>0</v>
      </c>
      <c r="Q89" s="25">
        <f t="shared" si="28"/>
        <v>0</v>
      </c>
    </row>
    <row r="90" spans="1:17" ht="30">
      <c r="A90" s="18">
        <v>78378</v>
      </c>
      <c r="B90" s="79" t="s">
        <v>44</v>
      </c>
      <c r="C90" s="19">
        <f t="shared" si="19"/>
        <v>3.07</v>
      </c>
      <c r="D90" s="20">
        <f t="shared" si="20"/>
        <v>0.51</v>
      </c>
      <c r="E90" s="21">
        <f t="shared" si="21"/>
        <v>1</v>
      </c>
      <c r="F90" s="21">
        <f t="shared" si="22"/>
        <v>2</v>
      </c>
      <c r="G90" s="21">
        <f t="shared" si="23"/>
        <v>0</v>
      </c>
      <c r="H90" s="22"/>
      <c r="I90" s="23" t="s">
        <v>25</v>
      </c>
      <c r="J90" s="21">
        <f t="shared" si="24"/>
        <v>48</v>
      </c>
      <c r="K90" s="21" t="s">
        <v>10</v>
      </c>
      <c r="L90" s="24">
        <f t="shared" si="25"/>
        <v>0</v>
      </c>
      <c r="M90" s="21" t="s">
        <v>12</v>
      </c>
      <c r="N90" s="21">
        <f t="shared" si="26"/>
        <v>0.38</v>
      </c>
      <c r="O90" s="21" t="s">
        <v>10</v>
      </c>
      <c r="P90" s="19">
        <f t="shared" si="27"/>
        <v>0</v>
      </c>
      <c r="Q90" s="25">
        <f t="shared" si="28"/>
        <v>0</v>
      </c>
    </row>
    <row r="91" spans="1:17" ht="30">
      <c r="A91" s="18">
        <v>78379</v>
      </c>
      <c r="B91" s="79" t="s">
        <v>45</v>
      </c>
      <c r="C91" s="19">
        <f t="shared" si="19"/>
        <v>3.07</v>
      </c>
      <c r="D91" s="20">
        <f t="shared" si="20"/>
        <v>0.51</v>
      </c>
      <c r="E91" s="21">
        <f t="shared" si="21"/>
        <v>1</v>
      </c>
      <c r="F91" s="21">
        <f t="shared" si="22"/>
        <v>2</v>
      </c>
      <c r="G91" s="21">
        <f t="shared" si="23"/>
        <v>0</v>
      </c>
      <c r="H91" s="22"/>
      <c r="I91" s="23" t="s">
        <v>25</v>
      </c>
      <c r="J91" s="21">
        <f t="shared" si="24"/>
        <v>48</v>
      </c>
      <c r="K91" s="21" t="s">
        <v>10</v>
      </c>
      <c r="L91" s="24">
        <f t="shared" si="25"/>
        <v>0</v>
      </c>
      <c r="M91" s="21" t="s">
        <v>12</v>
      </c>
      <c r="N91" s="21">
        <f t="shared" si="26"/>
        <v>0.38</v>
      </c>
      <c r="O91" s="21" t="s">
        <v>10</v>
      </c>
      <c r="P91" s="19">
        <f t="shared" si="27"/>
        <v>0</v>
      </c>
      <c r="Q91" s="25">
        <f t="shared" si="28"/>
        <v>0</v>
      </c>
    </row>
    <row r="92" spans="1:17" ht="30">
      <c r="A92" s="18">
        <v>78380</v>
      </c>
      <c r="B92" s="79" t="s">
        <v>46</v>
      </c>
      <c r="C92" s="19">
        <f t="shared" si="19"/>
        <v>4.55</v>
      </c>
      <c r="D92" s="20">
        <f t="shared" si="20"/>
        <v>0.51</v>
      </c>
      <c r="E92" s="21">
        <f t="shared" si="21"/>
        <v>2</v>
      </c>
      <c r="F92" s="21">
        <f t="shared" si="22"/>
        <v>2</v>
      </c>
      <c r="G92" s="21" t="str">
        <f t="shared" si="23"/>
        <v>1⁄8</v>
      </c>
      <c r="H92" s="22"/>
      <c r="I92" s="23" t="s">
        <v>25</v>
      </c>
      <c r="J92" s="21">
        <f t="shared" si="24"/>
        <v>96</v>
      </c>
      <c r="K92" s="21" t="s">
        <v>10</v>
      </c>
      <c r="L92" s="24">
        <f t="shared" si="25"/>
        <v>0</v>
      </c>
      <c r="M92" s="21" t="s">
        <v>12</v>
      </c>
      <c r="N92" s="21">
        <f t="shared" si="26"/>
        <v>1.53</v>
      </c>
      <c r="O92" s="21" t="s">
        <v>10</v>
      </c>
      <c r="P92" s="19">
        <f t="shared" si="27"/>
        <v>0</v>
      </c>
      <c r="Q92" s="25">
        <f t="shared" si="28"/>
        <v>0</v>
      </c>
    </row>
    <row r="93" spans="1:17" ht="30">
      <c r="A93" s="18">
        <v>78381</v>
      </c>
      <c r="B93" s="79" t="s">
        <v>47</v>
      </c>
      <c r="C93" s="19">
        <f t="shared" si="19"/>
        <v>4.55</v>
      </c>
      <c r="D93" s="20">
        <f t="shared" si="20"/>
        <v>0.51</v>
      </c>
      <c r="E93" s="21">
        <f t="shared" si="21"/>
        <v>2</v>
      </c>
      <c r="F93" s="21">
        <f t="shared" si="22"/>
        <v>2</v>
      </c>
      <c r="G93" s="21" t="str">
        <f t="shared" si="23"/>
        <v>1⁄8</v>
      </c>
      <c r="H93" s="22"/>
      <c r="I93" s="23" t="s">
        <v>25</v>
      </c>
      <c r="J93" s="21">
        <f t="shared" si="24"/>
        <v>96</v>
      </c>
      <c r="K93" s="21" t="s">
        <v>10</v>
      </c>
      <c r="L93" s="24">
        <f t="shared" si="25"/>
        <v>0</v>
      </c>
      <c r="M93" s="21" t="s">
        <v>12</v>
      </c>
      <c r="N93" s="21">
        <f t="shared" si="26"/>
        <v>1.53</v>
      </c>
      <c r="O93" s="21" t="s">
        <v>10</v>
      </c>
      <c r="P93" s="19">
        <f t="shared" si="27"/>
        <v>0</v>
      </c>
      <c r="Q93" s="25">
        <f t="shared" si="28"/>
        <v>0</v>
      </c>
    </row>
    <row r="94" spans="1:17" ht="30">
      <c r="A94" s="18">
        <v>78386</v>
      </c>
      <c r="B94" s="79" t="s">
        <v>48</v>
      </c>
      <c r="C94" s="19">
        <f t="shared" si="19"/>
        <v>4.4800000000000004</v>
      </c>
      <c r="D94" s="20">
        <f t="shared" si="20"/>
        <v>0.51</v>
      </c>
      <c r="E94" s="21">
        <f t="shared" si="21"/>
        <v>2</v>
      </c>
      <c r="F94" s="21">
        <f t="shared" si="22"/>
        <v>2</v>
      </c>
      <c r="G94" s="21" t="str">
        <f t="shared" si="23"/>
        <v>1⁄8</v>
      </c>
      <c r="H94" s="22"/>
      <c r="I94" s="23" t="s">
        <v>25</v>
      </c>
      <c r="J94" s="21">
        <f t="shared" si="24"/>
        <v>96</v>
      </c>
      <c r="K94" s="21" t="s">
        <v>10</v>
      </c>
      <c r="L94" s="24">
        <f t="shared" si="25"/>
        <v>0</v>
      </c>
      <c r="M94" s="21" t="s">
        <v>12</v>
      </c>
      <c r="N94" s="21">
        <f t="shared" si="26"/>
        <v>1.53</v>
      </c>
      <c r="O94" s="21" t="s">
        <v>10</v>
      </c>
      <c r="P94" s="19">
        <f t="shared" si="27"/>
        <v>0</v>
      </c>
      <c r="Q94" s="25">
        <f t="shared" si="28"/>
        <v>0</v>
      </c>
    </row>
    <row r="95" spans="1:17" ht="30">
      <c r="A95" s="18">
        <v>78387</v>
      </c>
      <c r="B95" s="79" t="s">
        <v>49</v>
      </c>
      <c r="C95" s="19">
        <f t="shared" si="19"/>
        <v>4.37</v>
      </c>
      <c r="D95" s="20">
        <f t="shared" si="20"/>
        <v>0.51</v>
      </c>
      <c r="E95" s="21">
        <f t="shared" si="21"/>
        <v>2</v>
      </c>
      <c r="F95" s="21">
        <f t="shared" si="22"/>
        <v>2</v>
      </c>
      <c r="G95" s="21" t="str">
        <f t="shared" si="23"/>
        <v>1⁄8</v>
      </c>
      <c r="H95" s="22"/>
      <c r="I95" s="23" t="s">
        <v>25</v>
      </c>
      <c r="J95" s="21">
        <f t="shared" si="24"/>
        <v>96</v>
      </c>
      <c r="K95" s="21" t="s">
        <v>10</v>
      </c>
      <c r="L95" s="24">
        <f t="shared" si="25"/>
        <v>0</v>
      </c>
      <c r="M95" s="21" t="s">
        <v>12</v>
      </c>
      <c r="N95" s="21">
        <f t="shared" si="26"/>
        <v>1.53</v>
      </c>
      <c r="O95" s="21" t="s">
        <v>10</v>
      </c>
      <c r="P95" s="19">
        <f t="shared" si="27"/>
        <v>0</v>
      </c>
      <c r="Q95" s="25">
        <f t="shared" si="28"/>
        <v>0</v>
      </c>
    </row>
    <row r="96" spans="1:17">
      <c r="A96" s="21">
        <v>78388</v>
      </c>
      <c r="B96" s="79" t="str">
        <f t="shared" ref="B96:B127" si="29">VLOOKUP(A96,name,2,FALSE)</f>
        <v>Big Daddy's® Sicilian Pizza</v>
      </c>
      <c r="C96" s="19">
        <f t="shared" si="19"/>
        <v>5.01</v>
      </c>
      <c r="D96" s="20">
        <f t="shared" si="20"/>
        <v>0.51</v>
      </c>
      <c r="E96" s="21">
        <f t="shared" si="21"/>
        <v>2</v>
      </c>
      <c r="F96" s="21">
        <f t="shared" si="22"/>
        <v>2</v>
      </c>
      <c r="G96" s="21" t="str">
        <f t="shared" si="23"/>
        <v>1⁄8</v>
      </c>
      <c r="H96" s="22"/>
      <c r="I96" s="23" t="s">
        <v>25</v>
      </c>
      <c r="J96" s="21">
        <f t="shared" si="24"/>
        <v>96</v>
      </c>
      <c r="K96" s="21" t="s">
        <v>10</v>
      </c>
      <c r="L96" s="24">
        <f t="shared" si="25"/>
        <v>0</v>
      </c>
      <c r="M96" s="21" t="s">
        <v>12</v>
      </c>
      <c r="N96" s="21">
        <f t="shared" si="26"/>
        <v>1.53</v>
      </c>
      <c r="O96" s="21" t="s">
        <v>10</v>
      </c>
      <c r="P96" s="19">
        <f t="shared" si="27"/>
        <v>0</v>
      </c>
      <c r="Q96" s="25">
        <f t="shared" si="28"/>
        <v>0</v>
      </c>
    </row>
    <row r="97" spans="1:17">
      <c r="A97" s="21">
        <v>78388</v>
      </c>
      <c r="B97" s="79" t="str">
        <f t="shared" si="29"/>
        <v>Big Daddy's® Sicilian Pizza</v>
      </c>
      <c r="C97" s="19">
        <f t="shared" si="19"/>
        <v>5.01</v>
      </c>
      <c r="D97" s="20">
        <f t="shared" si="20"/>
        <v>0.51</v>
      </c>
      <c r="E97" s="21">
        <f t="shared" si="21"/>
        <v>2</v>
      </c>
      <c r="F97" s="21">
        <f t="shared" si="22"/>
        <v>2</v>
      </c>
      <c r="G97" s="21" t="str">
        <f t="shared" si="23"/>
        <v>1⁄8</v>
      </c>
      <c r="H97" s="22"/>
      <c r="I97" s="23" t="s">
        <v>25</v>
      </c>
      <c r="J97" s="21">
        <f t="shared" si="24"/>
        <v>96</v>
      </c>
      <c r="K97" s="21" t="s">
        <v>10</v>
      </c>
      <c r="L97" s="24">
        <f t="shared" si="25"/>
        <v>0</v>
      </c>
      <c r="M97" s="21" t="s">
        <v>12</v>
      </c>
      <c r="N97" s="21">
        <f t="shared" si="26"/>
        <v>1.53</v>
      </c>
      <c r="O97" s="21" t="s">
        <v>10</v>
      </c>
      <c r="P97" s="19">
        <f t="shared" si="27"/>
        <v>0</v>
      </c>
      <c r="Q97" s="25">
        <f t="shared" si="28"/>
        <v>0</v>
      </c>
    </row>
    <row r="98" spans="1:17">
      <c r="A98" s="18">
        <v>78391</v>
      </c>
      <c r="B98" s="78" t="str">
        <f t="shared" si="29"/>
        <v>Tony's® Whole Grain Cheese Bagel 4.8oz</v>
      </c>
      <c r="C98" s="19">
        <f t="shared" si="19"/>
        <v>5</v>
      </c>
      <c r="D98" s="20">
        <f t="shared" si="20"/>
        <v>0.51</v>
      </c>
      <c r="E98" s="21">
        <f t="shared" si="21"/>
        <v>2</v>
      </c>
      <c r="F98" s="21">
        <f t="shared" si="22"/>
        <v>2</v>
      </c>
      <c r="G98" s="21">
        <f t="shared" si="23"/>
        <v>0</v>
      </c>
      <c r="H98" s="22"/>
      <c r="I98" s="23" t="s">
        <v>25</v>
      </c>
      <c r="J98" s="21">
        <f t="shared" si="24"/>
        <v>96</v>
      </c>
      <c r="K98" s="21" t="s">
        <v>10</v>
      </c>
      <c r="L98" s="24">
        <f t="shared" si="25"/>
        <v>0</v>
      </c>
      <c r="M98" s="21" t="s">
        <v>12</v>
      </c>
      <c r="N98" s="21">
        <f t="shared" si="26"/>
        <v>1.48</v>
      </c>
      <c r="O98" s="21" t="s">
        <v>10</v>
      </c>
      <c r="P98" s="19">
        <f t="shared" si="27"/>
        <v>0</v>
      </c>
      <c r="Q98" s="25">
        <f t="shared" si="28"/>
        <v>0</v>
      </c>
    </row>
    <row r="99" spans="1:17" ht="30">
      <c r="A99" s="21">
        <v>78392</v>
      </c>
      <c r="B99" s="78" t="str">
        <f t="shared" si="29"/>
        <v>Big Daddy's® Harvest™ Hand Tossed 16" Pepperoni Pre-Sliced Pizza</v>
      </c>
      <c r="C99" s="19">
        <f t="shared" si="19"/>
        <v>5</v>
      </c>
      <c r="D99" s="20">
        <f t="shared" si="20"/>
        <v>0.51</v>
      </c>
      <c r="E99" s="21">
        <f t="shared" si="21"/>
        <v>2</v>
      </c>
      <c r="F99" s="21">
        <f t="shared" si="22"/>
        <v>2</v>
      </c>
      <c r="G99" s="21" t="str">
        <f t="shared" si="23"/>
        <v>1⁄8</v>
      </c>
      <c r="H99" s="22"/>
      <c r="I99" s="23" t="s">
        <v>25</v>
      </c>
      <c r="J99" s="21">
        <f t="shared" si="24"/>
        <v>72</v>
      </c>
      <c r="K99" s="21" t="s">
        <v>10</v>
      </c>
      <c r="L99" s="24">
        <f t="shared" si="25"/>
        <v>0</v>
      </c>
      <c r="M99" s="21" t="s">
        <v>12</v>
      </c>
      <c r="N99" s="21">
        <f t="shared" si="26"/>
        <v>1.1399999999999999</v>
      </c>
      <c r="O99" s="21" t="s">
        <v>10</v>
      </c>
      <c r="P99" s="19">
        <f t="shared" si="27"/>
        <v>0</v>
      </c>
      <c r="Q99" s="25">
        <f t="shared" si="28"/>
        <v>0</v>
      </c>
    </row>
    <row r="100" spans="1:17" ht="45">
      <c r="A100" s="21">
        <v>78397</v>
      </c>
      <c r="B100" s="78" t="str">
        <f t="shared" si="29"/>
        <v>Big Daddy's® Hand Tossed Style 16" 51% Whole Grain Pre-Sliced(8-cut) Cheese CN Pizza</v>
      </c>
      <c r="C100" s="19">
        <f t="shared" si="19"/>
        <v>4.97</v>
      </c>
      <c r="D100" s="20">
        <f t="shared" si="20"/>
        <v>0.51</v>
      </c>
      <c r="E100" s="21">
        <f t="shared" si="21"/>
        <v>2</v>
      </c>
      <c r="F100" s="21">
        <f t="shared" si="22"/>
        <v>2</v>
      </c>
      <c r="G100" s="21" t="str">
        <f t="shared" si="23"/>
        <v>1⁄8</v>
      </c>
      <c r="H100" s="22"/>
      <c r="I100" s="23" t="s">
        <v>25</v>
      </c>
      <c r="J100" s="21">
        <f t="shared" si="24"/>
        <v>72</v>
      </c>
      <c r="K100" s="21" t="s">
        <v>10</v>
      </c>
      <c r="L100" s="24">
        <f t="shared" si="25"/>
        <v>0</v>
      </c>
      <c r="M100" s="21" t="s">
        <v>12</v>
      </c>
      <c r="N100" s="21">
        <f t="shared" si="26"/>
        <v>1.1399999999999999</v>
      </c>
      <c r="O100" s="21" t="s">
        <v>10</v>
      </c>
      <c r="P100" s="19">
        <f t="shared" si="27"/>
        <v>0</v>
      </c>
      <c r="Q100" s="25">
        <f t="shared" si="28"/>
        <v>0</v>
      </c>
    </row>
    <row r="101" spans="1:17" ht="30">
      <c r="A101" s="21">
        <v>78398</v>
      </c>
      <c r="B101" s="78" t="str">
        <f t="shared" si="29"/>
        <v>Big Daddy's® Hand Tossed Style 16" 51% Whole Grain Cheese - CN</v>
      </c>
      <c r="C101" s="19">
        <f t="shared" si="19"/>
        <v>4.97</v>
      </c>
      <c r="D101" s="20">
        <f t="shared" si="20"/>
        <v>0.51</v>
      </c>
      <c r="E101" s="21">
        <f t="shared" si="21"/>
        <v>2</v>
      </c>
      <c r="F101" s="21">
        <f t="shared" si="22"/>
        <v>2</v>
      </c>
      <c r="G101" s="21" t="str">
        <f t="shared" si="23"/>
        <v>1⁄8</v>
      </c>
      <c r="H101" s="22"/>
      <c r="I101" s="23" t="s">
        <v>25</v>
      </c>
      <c r="J101" s="21">
        <f t="shared" si="24"/>
        <v>72</v>
      </c>
      <c r="K101" s="21" t="s">
        <v>10</v>
      </c>
      <c r="L101" s="24">
        <f t="shared" si="25"/>
        <v>0</v>
      </c>
      <c r="M101" s="21" t="s">
        <v>12</v>
      </c>
      <c r="N101" s="21">
        <f t="shared" si="26"/>
        <v>1.1399999999999999</v>
      </c>
      <c r="O101" s="21" t="s">
        <v>10</v>
      </c>
      <c r="P101" s="19">
        <f t="shared" si="27"/>
        <v>0</v>
      </c>
      <c r="Q101" s="25">
        <f t="shared" si="28"/>
        <v>0</v>
      </c>
    </row>
    <row r="102" spans="1:17" ht="30">
      <c r="A102" s="21">
        <v>78398</v>
      </c>
      <c r="B102" s="78" t="str">
        <f t="shared" si="29"/>
        <v>Big Daddy's® Hand Tossed Style 16" 51% Whole Grain Cheese - CN</v>
      </c>
      <c r="C102" s="19">
        <f t="shared" si="19"/>
        <v>4.97</v>
      </c>
      <c r="D102" s="20">
        <f t="shared" si="20"/>
        <v>0.51</v>
      </c>
      <c r="E102" s="21">
        <f t="shared" si="21"/>
        <v>2</v>
      </c>
      <c r="F102" s="21">
        <f t="shared" si="22"/>
        <v>2</v>
      </c>
      <c r="G102" s="21" t="str">
        <f t="shared" si="23"/>
        <v>1⁄8</v>
      </c>
      <c r="H102" s="22"/>
      <c r="I102" s="23" t="s">
        <v>25</v>
      </c>
      <c r="J102" s="21">
        <f t="shared" si="24"/>
        <v>72</v>
      </c>
      <c r="K102" s="21" t="s">
        <v>10</v>
      </c>
      <c r="L102" s="24">
        <f t="shared" si="25"/>
        <v>0</v>
      </c>
      <c r="M102" s="21" t="s">
        <v>12</v>
      </c>
      <c r="N102" s="21">
        <f t="shared" si="26"/>
        <v>1.1399999999999999</v>
      </c>
      <c r="O102" s="21" t="s">
        <v>10</v>
      </c>
      <c r="P102" s="19">
        <f t="shared" si="27"/>
        <v>0</v>
      </c>
      <c r="Q102" s="25">
        <f t="shared" si="28"/>
        <v>0</v>
      </c>
    </row>
    <row r="103" spans="1:17" ht="30">
      <c r="A103" s="21">
        <v>78399</v>
      </c>
      <c r="B103" s="78" t="str">
        <f t="shared" si="29"/>
        <v>Big Daddy's® Hand Tossed Style 16" 51% Whole Grain Pepperoni Pizza-CN</v>
      </c>
      <c r="C103" s="19">
        <f t="shared" ref="C103:C134" si="30">VLOOKUP(A103,nutrits,4,FALSE)</f>
        <v>5</v>
      </c>
      <c r="D103" s="20">
        <f t="shared" ref="D103:D134" si="31">VLOOKUP(A103,nutrits,9,FALSE)</f>
        <v>0.51</v>
      </c>
      <c r="E103" s="21">
        <f t="shared" ref="E103:E134" si="32">VLOOKUP(A103,nutrits,5,FALSE)</f>
        <v>2</v>
      </c>
      <c r="F103" s="21">
        <f t="shared" ref="F103:F134" si="33">VLOOKUP(A103,nutrits,6,FALSE)</f>
        <v>2</v>
      </c>
      <c r="G103" s="21" t="str">
        <f t="shared" ref="G103:G134" si="34">VLOOKUP(A103,nutrits,7,FALSE)</f>
        <v>1⁄8</v>
      </c>
      <c r="H103" s="22"/>
      <c r="I103" s="23" t="s">
        <v>25</v>
      </c>
      <c r="J103" s="21">
        <f t="shared" ref="J103:J134" si="35">VLOOKUP(A103,nutrits,3,FALSE)</f>
        <v>72</v>
      </c>
      <c r="K103" s="21" t="s">
        <v>10</v>
      </c>
      <c r="L103" s="24">
        <f t="shared" si="25"/>
        <v>0</v>
      </c>
      <c r="M103" s="21" t="s">
        <v>12</v>
      </c>
      <c r="N103" s="21">
        <f t="shared" ref="N103:N134" si="36">VLOOKUP(A103,sepdspaste,9,FALSE)</f>
        <v>1.1399999999999999</v>
      </c>
      <c r="O103" s="21" t="s">
        <v>10</v>
      </c>
      <c r="P103" s="19">
        <f t="shared" si="27"/>
        <v>0</v>
      </c>
      <c r="Q103" s="25">
        <f t="shared" si="28"/>
        <v>0</v>
      </c>
    </row>
    <row r="104" spans="1:17" ht="30">
      <c r="A104" s="21">
        <v>78399</v>
      </c>
      <c r="B104" s="78" t="str">
        <f t="shared" si="29"/>
        <v>Big Daddy's® Hand Tossed Style 16" 51% Whole Grain Pepperoni Pizza-CN</v>
      </c>
      <c r="C104" s="19">
        <f t="shared" si="30"/>
        <v>5</v>
      </c>
      <c r="D104" s="20">
        <f t="shared" si="31"/>
        <v>0.51</v>
      </c>
      <c r="E104" s="21">
        <f t="shared" si="32"/>
        <v>2</v>
      </c>
      <c r="F104" s="21">
        <f t="shared" si="33"/>
        <v>2</v>
      </c>
      <c r="G104" s="21" t="str">
        <f t="shared" si="34"/>
        <v>1⁄8</v>
      </c>
      <c r="H104" s="22"/>
      <c r="I104" s="23" t="s">
        <v>25</v>
      </c>
      <c r="J104" s="21">
        <f t="shared" si="35"/>
        <v>72</v>
      </c>
      <c r="K104" s="21" t="s">
        <v>10</v>
      </c>
      <c r="L104" s="24">
        <f t="shared" si="25"/>
        <v>0</v>
      </c>
      <c r="M104" s="21" t="s">
        <v>12</v>
      </c>
      <c r="N104" s="21">
        <f t="shared" si="36"/>
        <v>1.1399999999999999</v>
      </c>
      <c r="O104" s="21" t="s">
        <v>10</v>
      </c>
      <c r="P104" s="19">
        <f t="shared" si="27"/>
        <v>0</v>
      </c>
      <c r="Q104" s="25">
        <f t="shared" si="28"/>
        <v>0</v>
      </c>
    </row>
    <row r="105" spans="1:17" ht="30">
      <c r="A105" s="18">
        <v>78454</v>
      </c>
      <c r="B105" s="78" t="str">
        <f t="shared" si="29"/>
        <v>Tony's® SmartPizza™ 4x6 Cheese Mozz/Sub Mozz with Pan Mates®</v>
      </c>
      <c r="C105" s="19">
        <f t="shared" si="30"/>
        <v>4.5599999999999996</v>
      </c>
      <c r="D105" s="20">
        <f t="shared" si="31"/>
        <v>0</v>
      </c>
      <c r="E105" s="21">
        <f t="shared" si="32"/>
        <v>2</v>
      </c>
      <c r="F105" s="21" t="str">
        <f t="shared" si="33"/>
        <v>1 ¾</v>
      </c>
      <c r="G105" s="21" t="str">
        <f t="shared" si="34"/>
        <v>1⁄8</v>
      </c>
      <c r="H105" s="22"/>
      <c r="I105" s="23" t="s">
        <v>25</v>
      </c>
      <c r="J105" s="21">
        <f t="shared" si="35"/>
        <v>96</v>
      </c>
      <c r="K105" s="21" t="s">
        <v>10</v>
      </c>
      <c r="L105" s="24">
        <f t="shared" si="25"/>
        <v>0</v>
      </c>
      <c r="M105" s="21" t="s">
        <v>12</v>
      </c>
      <c r="N105" s="21">
        <f t="shared" si="36"/>
        <v>1.53</v>
      </c>
      <c r="O105" s="21" t="s">
        <v>10</v>
      </c>
      <c r="P105" s="19">
        <f t="shared" si="27"/>
        <v>0</v>
      </c>
      <c r="Q105" s="25">
        <f t="shared" si="28"/>
        <v>0</v>
      </c>
    </row>
    <row r="106" spans="1:17" ht="30">
      <c r="A106" s="18">
        <v>78455</v>
      </c>
      <c r="B106" s="78" t="str">
        <f t="shared" si="29"/>
        <v>Tony's® SmartPizza™  4x6 Reduced Fat Pepperoni Mozz/Sub Mozz with Pan Mates®</v>
      </c>
      <c r="C106" s="19">
        <f t="shared" si="30"/>
        <v>4.6500000000000004</v>
      </c>
      <c r="D106" s="20">
        <f t="shared" si="31"/>
        <v>0</v>
      </c>
      <c r="E106" s="21">
        <f t="shared" si="32"/>
        <v>2</v>
      </c>
      <c r="F106" s="21" t="str">
        <f t="shared" si="33"/>
        <v>1 ¾</v>
      </c>
      <c r="G106" s="21" t="str">
        <f t="shared" si="34"/>
        <v>1⁄8</v>
      </c>
      <c r="H106" s="22"/>
      <c r="I106" s="23" t="s">
        <v>25</v>
      </c>
      <c r="J106" s="21">
        <f t="shared" si="35"/>
        <v>96</v>
      </c>
      <c r="K106" s="21" t="s">
        <v>10</v>
      </c>
      <c r="L106" s="24">
        <f t="shared" si="25"/>
        <v>0</v>
      </c>
      <c r="M106" s="21" t="s">
        <v>12</v>
      </c>
      <c r="N106" s="21">
        <f t="shared" si="36"/>
        <v>1.53</v>
      </c>
      <c r="O106" s="21" t="s">
        <v>10</v>
      </c>
      <c r="P106" s="19">
        <f t="shared" si="27"/>
        <v>0</v>
      </c>
      <c r="Q106" s="25">
        <f t="shared" si="28"/>
        <v>0</v>
      </c>
    </row>
    <row r="107" spans="1:17" ht="30">
      <c r="A107" s="18">
        <v>78456</v>
      </c>
      <c r="B107" s="78" t="str">
        <f t="shared" si="29"/>
        <v>Tony's® SmartPizza™  4x6 Sausage Mozz/Sub Mozz with Pan Mates®</v>
      </c>
      <c r="C107" s="19">
        <f t="shared" si="30"/>
        <v>4.6500000000000004</v>
      </c>
      <c r="D107" s="20">
        <f t="shared" si="31"/>
        <v>0</v>
      </c>
      <c r="E107" s="21">
        <f t="shared" si="32"/>
        <v>2</v>
      </c>
      <c r="F107" s="21" t="str">
        <f t="shared" si="33"/>
        <v>1 ¾</v>
      </c>
      <c r="G107" s="21" t="str">
        <f t="shared" si="34"/>
        <v>1⁄8</v>
      </c>
      <c r="H107" s="22"/>
      <c r="I107" s="23" t="s">
        <v>25</v>
      </c>
      <c r="J107" s="21">
        <f t="shared" si="35"/>
        <v>96</v>
      </c>
      <c r="K107" s="21" t="s">
        <v>10</v>
      </c>
      <c r="L107" s="24">
        <f t="shared" si="25"/>
        <v>0</v>
      </c>
      <c r="M107" s="21" t="s">
        <v>12</v>
      </c>
      <c r="N107" s="21">
        <f t="shared" si="36"/>
        <v>1.53</v>
      </c>
      <c r="O107" s="21" t="s">
        <v>10</v>
      </c>
      <c r="P107" s="19">
        <f t="shared" si="27"/>
        <v>0</v>
      </c>
      <c r="Q107" s="25">
        <f t="shared" si="28"/>
        <v>0</v>
      </c>
    </row>
    <row r="108" spans="1:17">
      <c r="A108" s="21">
        <v>78474</v>
      </c>
      <c r="B108" s="78" t="str">
        <f t="shared" si="29"/>
        <v>Tony's® Galaxy Pizza Cheese 100% Mozz</v>
      </c>
      <c r="C108" s="19">
        <f t="shared" si="30"/>
        <v>5</v>
      </c>
      <c r="D108" s="20">
        <f t="shared" si="31"/>
        <v>0</v>
      </c>
      <c r="E108" s="21">
        <f t="shared" si="32"/>
        <v>2</v>
      </c>
      <c r="F108" s="21">
        <f t="shared" si="33"/>
        <v>2</v>
      </c>
      <c r="G108" s="21" t="str">
        <f t="shared" si="34"/>
        <v>1⁄8</v>
      </c>
      <c r="H108" s="22"/>
      <c r="I108" s="23" t="s">
        <v>25</v>
      </c>
      <c r="J108" s="21">
        <f t="shared" si="35"/>
        <v>72</v>
      </c>
      <c r="K108" s="21" t="s">
        <v>10</v>
      </c>
      <c r="L108" s="24">
        <f t="shared" si="25"/>
        <v>0</v>
      </c>
      <c r="M108" s="21" t="s">
        <v>12</v>
      </c>
      <c r="N108" s="21">
        <f t="shared" si="36"/>
        <v>1.19</v>
      </c>
      <c r="O108" s="21" t="s">
        <v>10</v>
      </c>
      <c r="P108" s="19">
        <f t="shared" si="27"/>
        <v>0</v>
      </c>
      <c r="Q108" s="25">
        <f t="shared" si="28"/>
        <v>0</v>
      </c>
    </row>
    <row r="109" spans="1:17">
      <c r="A109" s="21">
        <v>78475</v>
      </c>
      <c r="B109" s="78" t="str">
        <f t="shared" si="29"/>
        <v>Tony's® Galaxy Pizza Cheese 100% Mozz IW</v>
      </c>
      <c r="C109" s="19">
        <f t="shared" si="30"/>
        <v>5</v>
      </c>
      <c r="D109" s="20">
        <f t="shared" si="31"/>
        <v>0</v>
      </c>
      <c r="E109" s="21">
        <f t="shared" si="32"/>
        <v>2</v>
      </c>
      <c r="F109" s="21">
        <f t="shared" si="33"/>
        <v>2</v>
      </c>
      <c r="G109" s="21" t="str">
        <f t="shared" si="34"/>
        <v>1⁄8</v>
      </c>
      <c r="H109" s="22"/>
      <c r="I109" s="23" t="s">
        <v>25</v>
      </c>
      <c r="J109" s="21">
        <f t="shared" si="35"/>
        <v>72</v>
      </c>
      <c r="K109" s="21" t="s">
        <v>10</v>
      </c>
      <c r="L109" s="24">
        <f t="shared" si="25"/>
        <v>0</v>
      </c>
      <c r="M109" s="21" t="s">
        <v>12</v>
      </c>
      <c r="N109" s="21">
        <f t="shared" si="36"/>
        <v>1.19</v>
      </c>
      <c r="O109" s="21" t="s">
        <v>10</v>
      </c>
      <c r="P109" s="19">
        <f t="shared" si="27"/>
        <v>0</v>
      </c>
      <c r="Q109" s="25">
        <f t="shared" si="28"/>
        <v>0</v>
      </c>
    </row>
    <row r="110" spans="1:17" ht="30">
      <c r="A110" s="21">
        <v>78477</v>
      </c>
      <c r="B110" s="78" t="str">
        <f t="shared" si="29"/>
        <v>Tony's® Galaxy Pizza Pepperoni 100% Mozz IW</v>
      </c>
      <c r="C110" s="19">
        <f t="shared" si="30"/>
        <v>5</v>
      </c>
      <c r="D110" s="20">
        <f t="shared" si="31"/>
        <v>0</v>
      </c>
      <c r="E110" s="21">
        <f t="shared" si="32"/>
        <v>2</v>
      </c>
      <c r="F110" s="21">
        <f t="shared" si="33"/>
        <v>2</v>
      </c>
      <c r="G110" s="21" t="str">
        <f t="shared" si="34"/>
        <v>1⁄8</v>
      </c>
      <c r="H110" s="22"/>
      <c r="I110" s="23" t="s">
        <v>25</v>
      </c>
      <c r="J110" s="21">
        <f t="shared" si="35"/>
        <v>72</v>
      </c>
      <c r="K110" s="21" t="s">
        <v>10</v>
      </c>
      <c r="L110" s="24">
        <f t="shared" si="25"/>
        <v>0</v>
      </c>
      <c r="M110" s="21" t="s">
        <v>12</v>
      </c>
      <c r="N110" s="21">
        <f t="shared" si="36"/>
        <v>1.19</v>
      </c>
      <c r="O110" s="21" t="s">
        <v>10</v>
      </c>
      <c r="P110" s="19">
        <f t="shared" si="27"/>
        <v>0</v>
      </c>
      <c r="Q110" s="25">
        <f t="shared" si="28"/>
        <v>0</v>
      </c>
    </row>
    <row r="111" spans="1:17" ht="30">
      <c r="A111" s="18">
        <v>78504</v>
      </c>
      <c r="B111" s="78" t="str">
        <f t="shared" si="29"/>
        <v>Red Baron® French Bread 6" Cheese Bulk 100% Mozz</v>
      </c>
      <c r="C111" s="19">
        <f t="shared" si="30"/>
        <v>5.3</v>
      </c>
      <c r="D111" s="20">
        <f t="shared" si="31"/>
        <v>0</v>
      </c>
      <c r="E111" s="21">
        <f t="shared" si="32"/>
        <v>2</v>
      </c>
      <c r="F111" s="21">
        <f t="shared" si="33"/>
        <v>2</v>
      </c>
      <c r="G111" s="21" t="str">
        <f t="shared" si="34"/>
        <v>1⁄8</v>
      </c>
      <c r="H111" s="22"/>
      <c r="I111" s="23" t="s">
        <v>25</v>
      </c>
      <c r="J111" s="21">
        <f t="shared" si="35"/>
        <v>60</v>
      </c>
      <c r="K111" s="21" t="s">
        <v>10</v>
      </c>
      <c r="L111" s="24">
        <f t="shared" si="25"/>
        <v>0</v>
      </c>
      <c r="M111" s="21" t="s">
        <v>12</v>
      </c>
      <c r="N111" s="21">
        <f t="shared" si="36"/>
        <v>1.69</v>
      </c>
      <c r="O111" s="21" t="s">
        <v>10</v>
      </c>
      <c r="P111" s="19">
        <f t="shared" si="27"/>
        <v>0</v>
      </c>
      <c r="Q111" s="25">
        <f t="shared" si="28"/>
        <v>0</v>
      </c>
    </row>
    <row r="112" spans="1:17" ht="30">
      <c r="A112" s="18">
        <v>78505</v>
      </c>
      <c r="B112" s="78" t="str">
        <f t="shared" si="29"/>
        <v>Red Baron® French Bread 6" Pepperoni Bulk 100% Mozz</v>
      </c>
      <c r="C112" s="19">
        <f t="shared" si="30"/>
        <v>5.2</v>
      </c>
      <c r="D112" s="20">
        <f t="shared" si="31"/>
        <v>0</v>
      </c>
      <c r="E112" s="21">
        <f t="shared" si="32"/>
        <v>2</v>
      </c>
      <c r="F112" s="21">
        <f t="shared" si="33"/>
        <v>2</v>
      </c>
      <c r="G112" s="21" t="str">
        <f t="shared" si="34"/>
        <v>1⁄8</v>
      </c>
      <c r="H112" s="22"/>
      <c r="I112" s="23" t="s">
        <v>25</v>
      </c>
      <c r="J112" s="21">
        <f t="shared" si="35"/>
        <v>60</v>
      </c>
      <c r="K112" s="21" t="s">
        <v>10</v>
      </c>
      <c r="L112" s="24">
        <f t="shared" si="25"/>
        <v>0</v>
      </c>
      <c r="M112" s="21" t="s">
        <v>12</v>
      </c>
      <c r="N112" s="21">
        <f t="shared" si="36"/>
        <v>1.58</v>
      </c>
      <c r="O112" s="21" t="s">
        <v>10</v>
      </c>
      <c r="P112" s="19">
        <f t="shared" si="27"/>
        <v>0</v>
      </c>
      <c r="Q112" s="25">
        <f t="shared" si="28"/>
        <v>0</v>
      </c>
    </row>
    <row r="113" spans="1:17" ht="30">
      <c r="A113" s="18">
        <v>78511</v>
      </c>
      <c r="B113" s="78" t="str">
        <f t="shared" si="29"/>
        <v>Red Baron® French Bread 6" Bulk Pizza Cheese</v>
      </c>
      <c r="C113" s="19">
        <f t="shared" si="30"/>
        <v>4.95</v>
      </c>
      <c r="D113" s="20">
        <f t="shared" si="31"/>
        <v>0</v>
      </c>
      <c r="E113" s="21">
        <f t="shared" si="32"/>
        <v>2</v>
      </c>
      <c r="F113" s="21">
        <f t="shared" si="33"/>
        <v>2</v>
      </c>
      <c r="G113" s="21" t="str">
        <f t="shared" si="34"/>
        <v>1⁄8</v>
      </c>
      <c r="H113" s="22"/>
      <c r="I113" s="23" t="s">
        <v>25</v>
      </c>
      <c r="J113" s="21">
        <f t="shared" si="35"/>
        <v>60</v>
      </c>
      <c r="K113" s="21" t="s">
        <v>10</v>
      </c>
      <c r="L113" s="24">
        <f t="shared" si="25"/>
        <v>0</v>
      </c>
      <c r="M113" s="21" t="s">
        <v>12</v>
      </c>
      <c r="N113" s="21">
        <f t="shared" si="36"/>
        <v>1.31</v>
      </c>
      <c r="O113" s="21" t="s">
        <v>10</v>
      </c>
      <c r="P113" s="19">
        <f t="shared" si="27"/>
        <v>0</v>
      </c>
      <c r="Q113" s="25">
        <f t="shared" si="28"/>
        <v>0</v>
      </c>
    </row>
    <row r="114" spans="1:17" ht="30">
      <c r="A114" s="18">
        <v>78518</v>
      </c>
      <c r="B114" s="78" t="str">
        <f t="shared" si="29"/>
        <v>Red Baron® French Bread 8" Bulk Pizza Pepperoni MZ/CHD</v>
      </c>
      <c r="C114" s="19">
        <f t="shared" si="30"/>
        <v>6.1</v>
      </c>
      <c r="D114" s="20">
        <f t="shared" si="31"/>
        <v>0</v>
      </c>
      <c r="E114" s="21">
        <f t="shared" si="32"/>
        <v>2</v>
      </c>
      <c r="F114" s="21">
        <f t="shared" si="33"/>
        <v>3</v>
      </c>
      <c r="G114" s="21" t="str">
        <f t="shared" si="34"/>
        <v>1⁄8</v>
      </c>
      <c r="H114" s="22"/>
      <c r="I114" s="23" t="s">
        <v>25</v>
      </c>
      <c r="J114" s="21">
        <f t="shared" si="35"/>
        <v>60</v>
      </c>
      <c r="K114" s="21" t="s">
        <v>10</v>
      </c>
      <c r="L114" s="24">
        <f t="shared" si="25"/>
        <v>0</v>
      </c>
      <c r="M114" s="21" t="s">
        <v>12</v>
      </c>
      <c r="N114" s="21">
        <f t="shared" si="36"/>
        <v>1.58</v>
      </c>
      <c r="O114" s="21" t="s">
        <v>10</v>
      </c>
      <c r="P114" s="19">
        <f t="shared" si="27"/>
        <v>0</v>
      </c>
      <c r="Q114" s="25">
        <f t="shared" si="28"/>
        <v>0</v>
      </c>
    </row>
    <row r="115" spans="1:17" ht="30">
      <c r="A115" s="18">
        <v>78525</v>
      </c>
      <c r="B115" s="78" t="str">
        <f t="shared" si="29"/>
        <v>Red Baron® French Bread 8" Bulk Cheese 50/50</v>
      </c>
      <c r="C115" s="19">
        <f t="shared" si="30"/>
        <v>5.75</v>
      </c>
      <c r="D115" s="20">
        <f t="shared" si="31"/>
        <v>0</v>
      </c>
      <c r="E115" s="21">
        <f t="shared" si="32"/>
        <v>2</v>
      </c>
      <c r="F115" s="21" t="str">
        <f t="shared" si="33"/>
        <v>2 ¼</v>
      </c>
      <c r="G115" s="21" t="str">
        <f t="shared" si="34"/>
        <v>1⁄8</v>
      </c>
      <c r="H115" s="22"/>
      <c r="I115" s="23" t="s">
        <v>25</v>
      </c>
      <c r="J115" s="21">
        <f t="shared" si="35"/>
        <v>72</v>
      </c>
      <c r="K115" s="21" t="s">
        <v>10</v>
      </c>
      <c r="L115" s="24">
        <f t="shared" si="25"/>
        <v>0</v>
      </c>
      <c r="M115" s="21" t="s">
        <v>12</v>
      </c>
      <c r="N115" s="21">
        <f t="shared" si="36"/>
        <v>2.0299999999999998</v>
      </c>
      <c r="O115" s="21" t="s">
        <v>10</v>
      </c>
      <c r="P115" s="19">
        <f t="shared" si="27"/>
        <v>0</v>
      </c>
      <c r="Q115" s="25">
        <f t="shared" si="28"/>
        <v>0</v>
      </c>
    </row>
    <row r="116" spans="1:17">
      <c r="A116" s="21">
        <v>78531</v>
      </c>
      <c r="B116" s="78" t="str">
        <f t="shared" si="29"/>
        <v>Big Daddy's® Harvest™ 16" Cheese Pizza CN</v>
      </c>
      <c r="C116" s="19">
        <f t="shared" si="30"/>
        <v>5.25</v>
      </c>
      <c r="D116" s="20">
        <f t="shared" si="31"/>
        <v>0.15</v>
      </c>
      <c r="E116" s="21" t="str">
        <f t="shared" si="32"/>
        <v>2 ½</v>
      </c>
      <c r="F116" s="21">
        <f t="shared" si="33"/>
        <v>3</v>
      </c>
      <c r="G116" s="21">
        <f t="shared" si="34"/>
        <v>0</v>
      </c>
      <c r="H116" s="22"/>
      <c r="I116" s="23" t="s">
        <v>25</v>
      </c>
      <c r="J116" s="21">
        <f t="shared" si="35"/>
        <v>72</v>
      </c>
      <c r="K116" s="21" t="s">
        <v>10</v>
      </c>
      <c r="L116" s="24">
        <f t="shared" si="25"/>
        <v>0</v>
      </c>
      <c r="M116" s="21" t="s">
        <v>12</v>
      </c>
      <c r="N116" s="21">
        <f t="shared" si="36"/>
        <v>0.93</v>
      </c>
      <c r="O116" s="21" t="s">
        <v>10</v>
      </c>
      <c r="P116" s="19">
        <f t="shared" si="27"/>
        <v>0</v>
      </c>
      <c r="Q116" s="25">
        <f t="shared" si="28"/>
        <v>0</v>
      </c>
    </row>
    <row r="117" spans="1:17">
      <c r="A117" s="21">
        <v>78531</v>
      </c>
      <c r="B117" s="78" t="str">
        <f t="shared" si="29"/>
        <v>Big Daddy's® Harvest™ 16" Cheese Pizza CN</v>
      </c>
      <c r="C117" s="19">
        <f t="shared" si="30"/>
        <v>5.25</v>
      </c>
      <c r="D117" s="20">
        <f t="shared" si="31"/>
        <v>0.15</v>
      </c>
      <c r="E117" s="21" t="str">
        <f t="shared" si="32"/>
        <v>2 ½</v>
      </c>
      <c r="F117" s="21">
        <f t="shared" si="33"/>
        <v>3</v>
      </c>
      <c r="G117" s="21">
        <f t="shared" si="34"/>
        <v>0</v>
      </c>
      <c r="H117" s="22"/>
      <c r="I117" s="23" t="s">
        <v>25</v>
      </c>
      <c r="J117" s="21">
        <f t="shared" si="35"/>
        <v>72</v>
      </c>
      <c r="K117" s="21" t="s">
        <v>10</v>
      </c>
      <c r="L117" s="24">
        <f t="shared" si="25"/>
        <v>0</v>
      </c>
      <c r="M117" s="21" t="s">
        <v>12</v>
      </c>
      <c r="N117" s="21">
        <f t="shared" si="36"/>
        <v>0.93</v>
      </c>
      <c r="O117" s="21" t="s">
        <v>10</v>
      </c>
      <c r="P117" s="19">
        <f t="shared" si="27"/>
        <v>0</v>
      </c>
      <c r="Q117" s="25">
        <f t="shared" si="28"/>
        <v>0</v>
      </c>
    </row>
    <row r="118" spans="1:17" ht="30">
      <c r="A118" s="21">
        <v>78533</v>
      </c>
      <c r="B118" s="78" t="str">
        <f t="shared" si="29"/>
        <v>Big Daddy's® Harvest™  16" Pepperoni Pizza CN</v>
      </c>
      <c r="C118" s="19">
        <f t="shared" si="30"/>
        <v>5.29</v>
      </c>
      <c r="D118" s="20">
        <f t="shared" si="31"/>
        <v>0.15</v>
      </c>
      <c r="E118" s="21" t="str">
        <f t="shared" si="32"/>
        <v>2 ½</v>
      </c>
      <c r="F118" s="21">
        <f t="shared" si="33"/>
        <v>3</v>
      </c>
      <c r="G118" s="21">
        <f t="shared" si="34"/>
        <v>0</v>
      </c>
      <c r="H118" s="22"/>
      <c r="I118" s="23" t="s">
        <v>25</v>
      </c>
      <c r="J118" s="21">
        <f t="shared" si="35"/>
        <v>72</v>
      </c>
      <c r="K118" s="21" t="s">
        <v>10</v>
      </c>
      <c r="L118" s="24">
        <f t="shared" si="25"/>
        <v>0</v>
      </c>
      <c r="M118" s="21" t="s">
        <v>12</v>
      </c>
      <c r="N118" s="21">
        <f t="shared" si="36"/>
        <v>0.93</v>
      </c>
      <c r="O118" s="21" t="s">
        <v>10</v>
      </c>
      <c r="P118" s="19">
        <f t="shared" si="27"/>
        <v>0</v>
      </c>
      <c r="Q118" s="25">
        <f t="shared" si="28"/>
        <v>0</v>
      </c>
    </row>
    <row r="119" spans="1:17" ht="30">
      <c r="A119" s="21">
        <v>78533</v>
      </c>
      <c r="B119" s="78" t="str">
        <f t="shared" si="29"/>
        <v>Big Daddy's® Harvest™  16" Pepperoni Pizza CN</v>
      </c>
      <c r="C119" s="19">
        <f t="shared" si="30"/>
        <v>5.29</v>
      </c>
      <c r="D119" s="20">
        <f t="shared" si="31"/>
        <v>0.15</v>
      </c>
      <c r="E119" s="21" t="str">
        <f t="shared" si="32"/>
        <v>2 ½</v>
      </c>
      <c r="F119" s="21">
        <f t="shared" si="33"/>
        <v>3</v>
      </c>
      <c r="G119" s="21">
        <f t="shared" si="34"/>
        <v>0</v>
      </c>
      <c r="H119" s="22"/>
      <c r="I119" s="23" t="s">
        <v>25</v>
      </c>
      <c r="J119" s="21">
        <f t="shared" si="35"/>
        <v>72</v>
      </c>
      <c r="K119" s="21" t="s">
        <v>10</v>
      </c>
      <c r="L119" s="24">
        <f t="shared" si="25"/>
        <v>0</v>
      </c>
      <c r="M119" s="21" t="s">
        <v>12</v>
      </c>
      <c r="N119" s="21">
        <f t="shared" si="36"/>
        <v>0.93</v>
      </c>
      <c r="O119" s="21" t="s">
        <v>10</v>
      </c>
      <c r="P119" s="19">
        <f t="shared" si="27"/>
        <v>0</v>
      </c>
      <c r="Q119" s="25">
        <f t="shared" si="28"/>
        <v>0</v>
      </c>
    </row>
    <row r="120" spans="1:17" ht="30">
      <c r="A120" s="21">
        <v>78542</v>
      </c>
      <c r="B120" s="78" t="str">
        <f t="shared" si="29"/>
        <v>Tony's® SmartPizza® Galaxy Cheese 50/50 Mozz/Sub Mozz</v>
      </c>
      <c r="C120" s="19">
        <f t="shared" si="30"/>
        <v>4.5599999999999996</v>
      </c>
      <c r="D120" s="20">
        <f t="shared" si="31"/>
        <v>0</v>
      </c>
      <c r="E120" s="21">
        <f t="shared" si="32"/>
        <v>2</v>
      </c>
      <c r="F120" s="21">
        <f t="shared" si="33"/>
        <v>2</v>
      </c>
      <c r="G120" s="21" t="str">
        <f t="shared" si="34"/>
        <v>1⁄8</v>
      </c>
      <c r="H120" s="22"/>
      <c r="I120" s="23" t="s">
        <v>25</v>
      </c>
      <c r="J120" s="21">
        <f t="shared" si="35"/>
        <v>72</v>
      </c>
      <c r="K120" s="21" t="s">
        <v>10</v>
      </c>
      <c r="L120" s="24">
        <f t="shared" si="25"/>
        <v>0</v>
      </c>
      <c r="M120" s="21" t="s">
        <v>12</v>
      </c>
      <c r="N120" s="21">
        <f t="shared" si="36"/>
        <v>1.1499999999999999</v>
      </c>
      <c r="O120" s="21" t="s">
        <v>10</v>
      </c>
      <c r="P120" s="19">
        <f t="shared" si="27"/>
        <v>0</v>
      </c>
      <c r="Q120" s="25">
        <f t="shared" si="28"/>
        <v>0</v>
      </c>
    </row>
    <row r="121" spans="1:17" ht="30">
      <c r="A121" s="21">
        <v>78543</v>
      </c>
      <c r="B121" s="78" t="str">
        <f t="shared" si="29"/>
        <v>Tony's® SmartPizza® Galaxy Cheese 50/50 Mozz/Sub Mozz IW</v>
      </c>
      <c r="C121" s="19">
        <f t="shared" si="30"/>
        <v>4.5599999999999996</v>
      </c>
      <c r="D121" s="20">
        <f t="shared" si="31"/>
        <v>0</v>
      </c>
      <c r="E121" s="21">
        <f t="shared" si="32"/>
        <v>2</v>
      </c>
      <c r="F121" s="21">
        <f t="shared" si="33"/>
        <v>2</v>
      </c>
      <c r="G121" s="21" t="str">
        <f t="shared" si="34"/>
        <v>1⁄8</v>
      </c>
      <c r="H121" s="22"/>
      <c r="I121" s="23" t="s">
        <v>25</v>
      </c>
      <c r="J121" s="21">
        <f t="shared" si="35"/>
        <v>72</v>
      </c>
      <c r="K121" s="21" t="s">
        <v>10</v>
      </c>
      <c r="L121" s="24">
        <f t="shared" si="25"/>
        <v>0</v>
      </c>
      <c r="M121" s="21" t="s">
        <v>12</v>
      </c>
      <c r="N121" s="21">
        <f t="shared" si="36"/>
        <v>1.1499999999999999</v>
      </c>
      <c r="O121" s="21" t="s">
        <v>10</v>
      </c>
      <c r="P121" s="19">
        <f t="shared" si="27"/>
        <v>0</v>
      </c>
      <c r="Q121" s="25">
        <f t="shared" si="28"/>
        <v>0</v>
      </c>
    </row>
    <row r="122" spans="1:17" ht="30">
      <c r="A122" s="21">
        <v>78544</v>
      </c>
      <c r="B122" s="78" t="str">
        <f t="shared" si="29"/>
        <v>Tony's® SmartPizza™  Galaxy Fat Reduced Pepperoni 50/50 Mozz/Sub Mozz</v>
      </c>
      <c r="C122" s="19">
        <f t="shared" si="30"/>
        <v>4.6500000000000004</v>
      </c>
      <c r="D122" s="20">
        <f t="shared" si="31"/>
        <v>0</v>
      </c>
      <c r="E122" s="21">
        <f t="shared" si="32"/>
        <v>2</v>
      </c>
      <c r="F122" s="21">
        <f t="shared" si="33"/>
        <v>2</v>
      </c>
      <c r="G122" s="21" t="str">
        <f t="shared" si="34"/>
        <v>1⁄8</v>
      </c>
      <c r="H122" s="22"/>
      <c r="I122" s="23" t="s">
        <v>25</v>
      </c>
      <c r="J122" s="21">
        <f t="shared" si="35"/>
        <v>72</v>
      </c>
      <c r="K122" s="21" t="s">
        <v>10</v>
      </c>
      <c r="L122" s="24">
        <f t="shared" si="25"/>
        <v>0</v>
      </c>
      <c r="M122" s="21" t="s">
        <v>12</v>
      </c>
      <c r="N122" s="21">
        <f t="shared" si="36"/>
        <v>1.1499999999999999</v>
      </c>
      <c r="O122" s="21" t="s">
        <v>10</v>
      </c>
      <c r="P122" s="19">
        <f t="shared" si="27"/>
        <v>0</v>
      </c>
      <c r="Q122" s="25">
        <f t="shared" si="28"/>
        <v>0</v>
      </c>
    </row>
    <row r="123" spans="1:17" ht="30">
      <c r="A123" s="21">
        <v>78545</v>
      </c>
      <c r="B123" s="78" t="str">
        <f t="shared" si="29"/>
        <v>Tony's® SmartPizza™ Galaxy Fat Red. Pepperoni 50/50 Mozz/Sub Mozz IW</v>
      </c>
      <c r="C123" s="19">
        <f t="shared" si="30"/>
        <v>4.6500000000000004</v>
      </c>
      <c r="D123" s="20">
        <f t="shared" si="31"/>
        <v>0</v>
      </c>
      <c r="E123" s="21">
        <f t="shared" si="32"/>
        <v>2</v>
      </c>
      <c r="F123" s="21">
        <f t="shared" si="33"/>
        <v>2</v>
      </c>
      <c r="G123" s="21" t="str">
        <f t="shared" si="34"/>
        <v>1⁄8</v>
      </c>
      <c r="H123" s="22"/>
      <c r="I123" s="23" t="s">
        <v>25</v>
      </c>
      <c r="J123" s="21">
        <f t="shared" si="35"/>
        <v>72</v>
      </c>
      <c r="K123" s="21" t="s">
        <v>10</v>
      </c>
      <c r="L123" s="24">
        <f t="shared" si="25"/>
        <v>0</v>
      </c>
      <c r="M123" s="21" t="s">
        <v>12</v>
      </c>
      <c r="N123" s="21">
        <f t="shared" si="36"/>
        <v>1.1499999999999999</v>
      </c>
      <c r="O123" s="21" t="s">
        <v>10</v>
      </c>
      <c r="P123" s="19">
        <f t="shared" si="27"/>
        <v>0</v>
      </c>
      <c r="Q123" s="25">
        <f t="shared" si="28"/>
        <v>0</v>
      </c>
    </row>
    <row r="124" spans="1:17" ht="30">
      <c r="A124" s="21">
        <v>78584</v>
      </c>
      <c r="B124" s="78" t="str">
        <f t="shared" si="29"/>
        <v>Red Baron® Deep Dish 5" 100% Mozz Cheese Pizza</v>
      </c>
      <c r="C124" s="19">
        <f t="shared" si="30"/>
        <v>5.47</v>
      </c>
      <c r="D124" s="20">
        <f t="shared" si="31"/>
        <v>0</v>
      </c>
      <c r="E124" s="21">
        <f t="shared" si="32"/>
        <v>2</v>
      </c>
      <c r="F124" s="21">
        <f t="shared" si="33"/>
        <v>2</v>
      </c>
      <c r="G124" s="21" t="str">
        <f t="shared" si="34"/>
        <v>1⁄8</v>
      </c>
      <c r="H124" s="22"/>
      <c r="I124" s="23" t="s">
        <v>25</v>
      </c>
      <c r="J124" s="21">
        <f t="shared" si="35"/>
        <v>60</v>
      </c>
      <c r="K124" s="21" t="s">
        <v>10</v>
      </c>
      <c r="L124" s="24">
        <f t="shared" si="25"/>
        <v>0</v>
      </c>
      <c r="M124" s="21" t="s">
        <v>12</v>
      </c>
      <c r="N124" s="21">
        <f t="shared" si="36"/>
        <v>1.43</v>
      </c>
      <c r="O124" s="21" t="s">
        <v>10</v>
      </c>
      <c r="P124" s="19">
        <f t="shared" si="27"/>
        <v>0</v>
      </c>
      <c r="Q124" s="25">
        <f t="shared" si="28"/>
        <v>0</v>
      </c>
    </row>
    <row r="125" spans="1:17" ht="30">
      <c r="A125" s="21">
        <v>78585</v>
      </c>
      <c r="B125" s="78" t="str">
        <f t="shared" si="29"/>
        <v>Red Baron® 5" Deep Dish Pizza Bulk Pepperoni</v>
      </c>
      <c r="C125" s="19">
        <f t="shared" si="30"/>
        <v>5.4</v>
      </c>
      <c r="D125" s="20">
        <f t="shared" si="31"/>
        <v>0</v>
      </c>
      <c r="E125" s="21">
        <f t="shared" si="32"/>
        <v>2</v>
      </c>
      <c r="F125" s="21">
        <f t="shared" si="33"/>
        <v>2</v>
      </c>
      <c r="G125" s="21" t="str">
        <f t="shared" si="34"/>
        <v>1⁄4</v>
      </c>
      <c r="H125" s="22"/>
      <c r="I125" s="23" t="s">
        <v>25</v>
      </c>
      <c r="J125" s="21">
        <f t="shared" si="35"/>
        <v>60</v>
      </c>
      <c r="K125" s="21" t="s">
        <v>10</v>
      </c>
      <c r="L125" s="24">
        <f t="shared" si="25"/>
        <v>0</v>
      </c>
      <c r="M125" s="21" t="s">
        <v>12</v>
      </c>
      <c r="N125" s="21">
        <f t="shared" si="36"/>
        <v>1.88</v>
      </c>
      <c r="O125" s="21" t="s">
        <v>10</v>
      </c>
      <c r="P125" s="19">
        <f t="shared" si="27"/>
        <v>0</v>
      </c>
      <c r="Q125" s="25">
        <f t="shared" si="28"/>
        <v>0</v>
      </c>
    </row>
    <row r="126" spans="1:17">
      <c r="A126" s="21">
        <v>78589</v>
      </c>
      <c r="B126" s="78" t="str">
        <f t="shared" si="29"/>
        <v>Tony's® Deep Dish 5" 50/50 Pepperoni Pizza</v>
      </c>
      <c r="C126" s="19">
        <f t="shared" si="30"/>
        <v>4.9000000000000004</v>
      </c>
      <c r="D126" s="20">
        <f t="shared" si="31"/>
        <v>0</v>
      </c>
      <c r="E126" s="21" t="str">
        <f t="shared" si="32"/>
        <v>1 ½</v>
      </c>
      <c r="F126" s="21">
        <f t="shared" si="33"/>
        <v>2</v>
      </c>
      <c r="G126" s="21" t="str">
        <f t="shared" si="34"/>
        <v>1⁄8</v>
      </c>
      <c r="H126" s="22"/>
      <c r="I126" s="23" t="s">
        <v>25</v>
      </c>
      <c r="J126" s="21">
        <f t="shared" si="35"/>
        <v>60</v>
      </c>
      <c r="K126" s="21" t="s">
        <v>10</v>
      </c>
      <c r="L126" s="24">
        <f t="shared" si="25"/>
        <v>0</v>
      </c>
      <c r="M126" s="21" t="s">
        <v>12</v>
      </c>
      <c r="N126" s="21">
        <f t="shared" si="36"/>
        <v>1.34</v>
      </c>
      <c r="O126" s="21" t="s">
        <v>10</v>
      </c>
      <c r="P126" s="19">
        <f t="shared" si="27"/>
        <v>0</v>
      </c>
      <c r="Q126" s="25">
        <f t="shared" si="28"/>
        <v>0</v>
      </c>
    </row>
    <row r="127" spans="1:17" ht="30">
      <c r="A127" s="26">
        <v>78622</v>
      </c>
      <c r="B127" s="78" t="str">
        <f t="shared" si="29"/>
        <v>Tony's® French Bread French Bread Pizza with 50/50 Cheese</v>
      </c>
      <c r="C127" s="19">
        <f t="shared" si="30"/>
        <v>4.78</v>
      </c>
      <c r="D127" s="20">
        <f t="shared" si="31"/>
        <v>0.2</v>
      </c>
      <c r="E127" s="21">
        <f t="shared" si="32"/>
        <v>2</v>
      </c>
      <c r="F127" s="21">
        <f t="shared" si="33"/>
        <v>2</v>
      </c>
      <c r="G127" s="21" t="str">
        <f t="shared" si="34"/>
        <v>1⁄8</v>
      </c>
      <c r="H127" s="22"/>
      <c r="I127" s="23" t="s">
        <v>25</v>
      </c>
      <c r="J127" s="21">
        <f t="shared" si="35"/>
        <v>60</v>
      </c>
      <c r="K127" s="21" t="s">
        <v>10</v>
      </c>
      <c r="L127" s="24">
        <f t="shared" si="25"/>
        <v>0</v>
      </c>
      <c r="M127" s="21" t="s">
        <v>12</v>
      </c>
      <c r="N127" s="21">
        <f t="shared" si="36"/>
        <v>1.04</v>
      </c>
      <c r="O127" s="21" t="s">
        <v>10</v>
      </c>
      <c r="P127" s="19">
        <f t="shared" si="27"/>
        <v>0</v>
      </c>
      <c r="Q127" s="25">
        <f t="shared" si="28"/>
        <v>0</v>
      </c>
    </row>
    <row r="128" spans="1:17">
      <c r="A128" s="18">
        <v>78623</v>
      </c>
      <c r="B128" s="78" t="str">
        <f t="shared" ref="B128:B159" si="37">VLOOKUP(A128,name,2,FALSE)</f>
        <v>Tony's® French Bread Pepperoni Pizza</v>
      </c>
      <c r="C128" s="19">
        <f t="shared" si="30"/>
        <v>4.7300000000000004</v>
      </c>
      <c r="D128" s="20">
        <f t="shared" si="31"/>
        <v>0.2</v>
      </c>
      <c r="E128" s="21">
        <f t="shared" si="32"/>
        <v>2</v>
      </c>
      <c r="F128" s="21">
        <f t="shared" si="33"/>
        <v>2</v>
      </c>
      <c r="G128" s="21" t="str">
        <f t="shared" si="34"/>
        <v>1⁄8</v>
      </c>
      <c r="H128" s="22"/>
      <c r="I128" s="23" t="s">
        <v>25</v>
      </c>
      <c r="J128" s="21">
        <f t="shared" si="35"/>
        <v>60</v>
      </c>
      <c r="K128" s="21" t="s">
        <v>10</v>
      </c>
      <c r="L128" s="24">
        <f t="shared" si="25"/>
        <v>0</v>
      </c>
      <c r="M128" s="21" t="s">
        <v>12</v>
      </c>
      <c r="N128" s="21">
        <f t="shared" si="36"/>
        <v>0.99</v>
      </c>
      <c r="O128" s="21" t="s">
        <v>10</v>
      </c>
      <c r="P128" s="19">
        <f t="shared" si="27"/>
        <v>0</v>
      </c>
      <c r="Q128" s="25">
        <f t="shared" si="28"/>
        <v>0</v>
      </c>
    </row>
    <row r="129" spans="1:17" ht="30">
      <c r="A129" s="18">
        <v>78626</v>
      </c>
      <c r="B129" s="78" t="str">
        <f t="shared" si="37"/>
        <v>Red Baron® French Bread 6" Pepperoni Pizza 100% Mozz/Ched IW</v>
      </c>
      <c r="C129" s="19">
        <f t="shared" si="30"/>
        <v>5.2</v>
      </c>
      <c r="D129" s="20">
        <f t="shared" si="31"/>
        <v>0</v>
      </c>
      <c r="E129" s="21">
        <f t="shared" si="32"/>
        <v>2</v>
      </c>
      <c r="F129" s="21">
        <f t="shared" si="33"/>
        <v>2</v>
      </c>
      <c r="G129" s="21" t="str">
        <f t="shared" si="34"/>
        <v>1⁄8</v>
      </c>
      <c r="H129" s="22"/>
      <c r="I129" s="23" t="s">
        <v>25</v>
      </c>
      <c r="J129" s="21">
        <f t="shared" si="35"/>
        <v>60</v>
      </c>
      <c r="K129" s="21" t="s">
        <v>10</v>
      </c>
      <c r="L129" s="24">
        <f t="shared" si="25"/>
        <v>0</v>
      </c>
      <c r="M129" s="21" t="s">
        <v>12</v>
      </c>
      <c r="N129" s="21">
        <f t="shared" si="36"/>
        <v>1.58</v>
      </c>
      <c r="O129" s="21" t="s">
        <v>10</v>
      </c>
      <c r="P129" s="19">
        <f t="shared" si="27"/>
        <v>0</v>
      </c>
      <c r="Q129" s="25">
        <f t="shared" si="28"/>
        <v>0</v>
      </c>
    </row>
    <row r="130" spans="1:17" ht="30">
      <c r="A130" s="21">
        <v>78642</v>
      </c>
      <c r="B130" s="78" t="str">
        <f t="shared" si="37"/>
        <v>Tony's® Deep Dish Pizza 5" Pepperoni Pizza IW 60ct</v>
      </c>
      <c r="C130" s="19">
        <f t="shared" si="30"/>
        <v>5.33</v>
      </c>
      <c r="D130" s="20">
        <f t="shared" si="31"/>
        <v>0</v>
      </c>
      <c r="E130" s="21">
        <f t="shared" si="32"/>
        <v>2</v>
      </c>
      <c r="F130" s="21">
        <f t="shared" si="33"/>
        <v>2</v>
      </c>
      <c r="G130" s="21" t="str">
        <f t="shared" si="34"/>
        <v>1⁄4</v>
      </c>
      <c r="H130" s="22"/>
      <c r="I130" s="23" t="s">
        <v>25</v>
      </c>
      <c r="J130" s="21">
        <f t="shared" si="35"/>
        <v>60</v>
      </c>
      <c r="K130" s="21" t="s">
        <v>10</v>
      </c>
      <c r="L130" s="24">
        <f t="shared" si="25"/>
        <v>0</v>
      </c>
      <c r="M130" s="21" t="s">
        <v>12</v>
      </c>
      <c r="N130" s="21">
        <f t="shared" si="36"/>
        <v>1.9</v>
      </c>
      <c r="O130" s="21" t="s">
        <v>10</v>
      </c>
      <c r="P130" s="19">
        <f t="shared" si="27"/>
        <v>0</v>
      </c>
      <c r="Q130" s="25">
        <f t="shared" si="28"/>
        <v>0</v>
      </c>
    </row>
    <row r="131" spans="1:17">
      <c r="A131" s="18">
        <v>78668</v>
      </c>
      <c r="B131" s="78" t="str">
        <f t="shared" si="37"/>
        <v>Tony's® 3.2x5 Whole Grain IQF Cheese Pizza</v>
      </c>
      <c r="C131" s="19">
        <f t="shared" si="30"/>
        <v>4.8</v>
      </c>
      <c r="D131" s="20">
        <f t="shared" si="31"/>
        <v>0.51</v>
      </c>
      <c r="E131" s="21">
        <f t="shared" si="32"/>
        <v>2</v>
      </c>
      <c r="F131" s="21">
        <f t="shared" si="33"/>
        <v>2</v>
      </c>
      <c r="G131" s="21" t="str">
        <f t="shared" si="34"/>
        <v>1⁄8</v>
      </c>
      <c r="H131" s="22"/>
      <c r="I131" s="23" t="s">
        <v>25</v>
      </c>
      <c r="J131" s="21">
        <f t="shared" si="35"/>
        <v>100</v>
      </c>
      <c r="K131" s="21" t="s">
        <v>10</v>
      </c>
      <c r="L131" s="24">
        <f t="shared" si="25"/>
        <v>0</v>
      </c>
      <c r="M131" s="21" t="s">
        <v>12</v>
      </c>
      <c r="N131" s="21">
        <f t="shared" si="36"/>
        <v>1.6</v>
      </c>
      <c r="O131" s="21" t="s">
        <v>10</v>
      </c>
      <c r="P131" s="19">
        <f t="shared" si="27"/>
        <v>0</v>
      </c>
      <c r="Q131" s="25">
        <f t="shared" si="28"/>
        <v>0</v>
      </c>
    </row>
    <row r="132" spans="1:17" ht="30">
      <c r="A132" s="18">
        <v>78669</v>
      </c>
      <c r="B132" s="78" t="str">
        <f t="shared" si="37"/>
        <v>Tony's® 3.2x5 51% Whole Grain IQF Pepperoni Pizza</v>
      </c>
      <c r="C132" s="19">
        <f t="shared" si="30"/>
        <v>4.8</v>
      </c>
      <c r="D132" s="20">
        <f t="shared" si="31"/>
        <v>0.51</v>
      </c>
      <c r="E132" s="21">
        <f t="shared" si="32"/>
        <v>2</v>
      </c>
      <c r="F132" s="21">
        <f t="shared" si="33"/>
        <v>2</v>
      </c>
      <c r="G132" s="21" t="str">
        <f t="shared" si="34"/>
        <v>1⁄8</v>
      </c>
      <c r="H132" s="22"/>
      <c r="I132" s="23" t="s">
        <v>25</v>
      </c>
      <c r="J132" s="21">
        <f t="shared" si="35"/>
        <v>100</v>
      </c>
      <c r="K132" s="21" t="s">
        <v>10</v>
      </c>
      <c r="L132" s="24">
        <f t="shared" si="25"/>
        <v>0</v>
      </c>
      <c r="M132" s="21" t="s">
        <v>12</v>
      </c>
      <c r="N132" s="21">
        <f t="shared" si="36"/>
        <v>1.58</v>
      </c>
      <c r="O132" s="21" t="s">
        <v>10</v>
      </c>
      <c r="P132" s="19">
        <f t="shared" si="27"/>
        <v>0</v>
      </c>
      <c r="Q132" s="25">
        <f t="shared" si="28"/>
        <v>0</v>
      </c>
    </row>
    <row r="133" spans="1:17" ht="30">
      <c r="A133" s="18">
        <v>78673</v>
      </c>
      <c r="B133" s="78" t="str">
        <f t="shared" si="37"/>
        <v>Tony's® SmartPizza™ Whole Grain 4x6 Cheese Pizza 50/50</v>
      </c>
      <c r="C133" s="19">
        <f t="shared" si="30"/>
        <v>4.5999999999999996</v>
      </c>
      <c r="D133" s="20">
        <f t="shared" si="31"/>
        <v>0.51</v>
      </c>
      <c r="E133" s="21">
        <f t="shared" si="32"/>
        <v>2</v>
      </c>
      <c r="F133" s="21">
        <f t="shared" si="33"/>
        <v>2</v>
      </c>
      <c r="G133" s="21" t="str">
        <f t="shared" si="34"/>
        <v>1⁄8</v>
      </c>
      <c r="H133" s="22"/>
      <c r="I133" s="23" t="s">
        <v>25</v>
      </c>
      <c r="J133" s="21">
        <f t="shared" si="35"/>
        <v>96</v>
      </c>
      <c r="K133" s="21" t="s">
        <v>10</v>
      </c>
      <c r="L133" s="24">
        <f t="shared" si="25"/>
        <v>0</v>
      </c>
      <c r="M133" s="21" t="s">
        <v>12</v>
      </c>
      <c r="N133" s="21">
        <f t="shared" si="36"/>
        <v>1.51</v>
      </c>
      <c r="O133" s="21" t="s">
        <v>10</v>
      </c>
      <c r="P133" s="19">
        <f t="shared" si="27"/>
        <v>0</v>
      </c>
      <c r="Q133" s="25">
        <f t="shared" si="28"/>
        <v>0</v>
      </c>
    </row>
    <row r="134" spans="1:17" ht="30">
      <c r="A134" s="18">
        <v>78674</v>
      </c>
      <c r="B134" s="78" t="str">
        <f t="shared" si="37"/>
        <v>Tony's® SmartPizza™Whole Grain 4x6 Pepperoni Pizza 50/50 Cheese</v>
      </c>
      <c r="C134" s="19">
        <f t="shared" si="30"/>
        <v>4.4800000000000004</v>
      </c>
      <c r="D134" s="20">
        <f t="shared" si="31"/>
        <v>0.51</v>
      </c>
      <c r="E134" s="21">
        <f t="shared" si="32"/>
        <v>2</v>
      </c>
      <c r="F134" s="21">
        <f t="shared" si="33"/>
        <v>2</v>
      </c>
      <c r="G134" s="21" t="str">
        <f t="shared" si="34"/>
        <v>1⁄8</v>
      </c>
      <c r="H134" s="22"/>
      <c r="I134" s="23" t="s">
        <v>25</v>
      </c>
      <c r="J134" s="21">
        <f t="shared" si="35"/>
        <v>96</v>
      </c>
      <c r="K134" s="21" t="s">
        <v>10</v>
      </c>
      <c r="L134" s="24">
        <f t="shared" si="25"/>
        <v>0</v>
      </c>
      <c r="M134" s="21" t="s">
        <v>12</v>
      </c>
      <c r="N134" s="21">
        <f t="shared" si="36"/>
        <v>1.51</v>
      </c>
      <c r="O134" s="21" t="s">
        <v>10</v>
      </c>
      <c r="P134" s="19">
        <f t="shared" si="27"/>
        <v>0</v>
      </c>
      <c r="Q134" s="25">
        <f t="shared" si="28"/>
        <v>0</v>
      </c>
    </row>
    <row r="135" spans="1:17">
      <c r="A135" s="21">
        <v>78675</v>
      </c>
      <c r="B135" s="78" t="str">
        <f t="shared" si="37"/>
        <v>Red Baron® Bake to Rise® 15" Cheese Pizza</v>
      </c>
      <c r="C135" s="19">
        <f t="shared" ref="C135:C166" si="38">VLOOKUP(A135,nutrits,4,FALSE)</f>
        <v>5.1100000000000003</v>
      </c>
      <c r="D135" s="20">
        <f t="shared" ref="D135:D166" si="39">VLOOKUP(A135,nutrits,9,FALSE)</f>
        <v>0</v>
      </c>
      <c r="E135" s="21">
        <f t="shared" ref="E135:E166" si="40">VLOOKUP(A135,nutrits,5,FALSE)</f>
        <v>1</v>
      </c>
      <c r="F135" s="21">
        <f t="shared" ref="F135:F166" si="41">VLOOKUP(A135,nutrits,6,FALSE)</f>
        <v>3</v>
      </c>
      <c r="G135" s="21" t="str">
        <f t="shared" ref="G135:G166" si="42">VLOOKUP(A135,nutrits,7,FALSE)</f>
        <v>1⁄8</v>
      </c>
      <c r="H135" s="22"/>
      <c r="I135" s="23" t="s">
        <v>25</v>
      </c>
      <c r="J135" s="21">
        <f t="shared" ref="J135:J166" si="43">VLOOKUP(A135,nutrits,3,FALSE)</f>
        <v>96</v>
      </c>
      <c r="K135" s="21" t="s">
        <v>10</v>
      </c>
      <c r="L135" s="24">
        <f t="shared" ref="L135:L174" si="44">SUM(H135/J135)</f>
        <v>0</v>
      </c>
      <c r="M135" s="21" t="s">
        <v>12</v>
      </c>
      <c r="N135" s="21">
        <f t="shared" ref="N135:N166" si="45">VLOOKUP(A135,sepdspaste,9,FALSE)</f>
        <v>1.94</v>
      </c>
      <c r="O135" s="21" t="s">
        <v>10</v>
      </c>
      <c r="P135" s="19">
        <f t="shared" ref="P135:P174" si="46">L135*N135</f>
        <v>0</v>
      </c>
      <c r="Q135" s="25">
        <f t="shared" ref="Q135:Q174" si="47">P135*0.3612</f>
        <v>0</v>
      </c>
    </row>
    <row r="136" spans="1:17" ht="30">
      <c r="A136" s="21">
        <v>78676</v>
      </c>
      <c r="B136" s="78" t="str">
        <f t="shared" si="37"/>
        <v>Red Baron® Bake to Rise® 15" Pepperoni Pizza</v>
      </c>
      <c r="C136" s="19">
        <f t="shared" si="38"/>
        <v>5.38</v>
      </c>
      <c r="D136" s="20">
        <f t="shared" si="39"/>
        <v>0</v>
      </c>
      <c r="E136" s="21" t="str">
        <f t="shared" si="40"/>
        <v>1¼</v>
      </c>
      <c r="F136" s="21" t="str">
        <f t="shared" si="41"/>
        <v>3 ½</v>
      </c>
      <c r="G136" s="21" t="str">
        <f t="shared" si="42"/>
        <v>1⁄8</v>
      </c>
      <c r="H136" s="22"/>
      <c r="I136" s="23" t="s">
        <v>25</v>
      </c>
      <c r="J136" s="21">
        <f t="shared" si="43"/>
        <v>96</v>
      </c>
      <c r="K136" s="21" t="s">
        <v>10</v>
      </c>
      <c r="L136" s="24">
        <f t="shared" si="44"/>
        <v>0</v>
      </c>
      <c r="M136" s="21" t="s">
        <v>12</v>
      </c>
      <c r="N136" s="21">
        <f t="shared" si="45"/>
        <v>1.94</v>
      </c>
      <c r="O136" s="21" t="s">
        <v>10</v>
      </c>
      <c r="P136" s="19">
        <f t="shared" si="46"/>
        <v>0</v>
      </c>
      <c r="Q136" s="25">
        <f t="shared" si="47"/>
        <v>0</v>
      </c>
    </row>
    <row r="137" spans="1:17" ht="30">
      <c r="A137" s="18">
        <v>78697</v>
      </c>
      <c r="B137" s="78" t="str">
        <f t="shared" si="37"/>
        <v>Tony's® SmartPizza™ Whole Grain Cheese Pizza 100% Mozz</v>
      </c>
      <c r="C137" s="19">
        <f t="shared" si="38"/>
        <v>4.5</v>
      </c>
      <c r="D137" s="20">
        <f t="shared" si="39"/>
        <v>0.51</v>
      </c>
      <c r="E137" s="21">
        <f t="shared" si="40"/>
        <v>2</v>
      </c>
      <c r="F137" s="21">
        <f t="shared" si="41"/>
        <v>2</v>
      </c>
      <c r="G137" s="21" t="str">
        <f t="shared" si="42"/>
        <v>1⁄8</v>
      </c>
      <c r="H137" s="22"/>
      <c r="I137" s="23" t="s">
        <v>25</v>
      </c>
      <c r="J137" s="21">
        <f t="shared" si="43"/>
        <v>96</v>
      </c>
      <c r="K137" s="21" t="s">
        <v>10</v>
      </c>
      <c r="L137" s="24">
        <f t="shared" si="44"/>
        <v>0</v>
      </c>
      <c r="M137" s="21" t="s">
        <v>12</v>
      </c>
      <c r="N137" s="21">
        <f t="shared" si="45"/>
        <v>1.51</v>
      </c>
      <c r="O137" s="21" t="s">
        <v>10</v>
      </c>
      <c r="P137" s="19">
        <f t="shared" si="46"/>
        <v>0</v>
      </c>
      <c r="Q137" s="25">
        <f t="shared" si="47"/>
        <v>0</v>
      </c>
    </row>
    <row r="138" spans="1:17" ht="30">
      <c r="A138" s="18">
        <v>78698</v>
      </c>
      <c r="B138" s="78" t="str">
        <f t="shared" si="37"/>
        <v>Tony's® SmartPizza® Whole Grain 4x6 Pepperoni Pizza 100%</v>
      </c>
      <c r="C138" s="19">
        <f t="shared" si="38"/>
        <v>4.4800000000000004</v>
      </c>
      <c r="D138" s="20">
        <f t="shared" si="39"/>
        <v>0.51</v>
      </c>
      <c r="E138" s="21">
        <f t="shared" si="40"/>
        <v>2</v>
      </c>
      <c r="F138" s="21">
        <f t="shared" si="41"/>
        <v>2</v>
      </c>
      <c r="G138" s="21" t="str">
        <f t="shared" si="42"/>
        <v>1⁄8</v>
      </c>
      <c r="H138" s="22"/>
      <c r="I138" s="23" t="s">
        <v>25</v>
      </c>
      <c r="J138" s="21">
        <f t="shared" si="43"/>
        <v>96</v>
      </c>
      <c r="K138" s="21" t="s">
        <v>10</v>
      </c>
      <c r="L138" s="24">
        <f t="shared" si="44"/>
        <v>0</v>
      </c>
      <c r="M138" s="21" t="s">
        <v>12</v>
      </c>
      <c r="N138" s="21">
        <f t="shared" si="45"/>
        <v>1.51</v>
      </c>
      <c r="O138" s="21" t="s">
        <v>10</v>
      </c>
      <c r="P138" s="19">
        <f t="shared" si="46"/>
        <v>0</v>
      </c>
      <c r="Q138" s="25">
        <f t="shared" si="47"/>
        <v>0</v>
      </c>
    </row>
    <row r="139" spans="1:17">
      <c r="A139" s="18">
        <v>78710</v>
      </c>
      <c r="B139" s="78" t="str">
        <f t="shared" si="37"/>
        <v>Tony's® Turkey Sausage Breakfast Bagel IW</v>
      </c>
      <c r="C139" s="19">
        <f t="shared" si="38"/>
        <v>2.6</v>
      </c>
      <c r="D139" s="20">
        <f t="shared" si="39"/>
        <v>0</v>
      </c>
      <c r="E139" s="21">
        <f t="shared" si="40"/>
        <v>1</v>
      </c>
      <c r="F139" s="21">
        <f t="shared" si="41"/>
        <v>1</v>
      </c>
      <c r="G139" s="21">
        <f t="shared" si="42"/>
        <v>0</v>
      </c>
      <c r="H139" s="22"/>
      <c r="I139" s="23" t="s">
        <v>25</v>
      </c>
      <c r="J139" s="21">
        <f t="shared" si="43"/>
        <v>96</v>
      </c>
      <c r="K139" s="21" t="s">
        <v>10</v>
      </c>
      <c r="L139" s="24">
        <f t="shared" si="44"/>
        <v>0</v>
      </c>
      <c r="M139" s="21" t="s">
        <v>12</v>
      </c>
      <c r="N139" s="21">
        <f t="shared" si="45"/>
        <v>0.65</v>
      </c>
      <c r="O139" s="21" t="s">
        <v>10</v>
      </c>
      <c r="P139" s="19">
        <f t="shared" si="46"/>
        <v>0</v>
      </c>
      <c r="Q139" s="25">
        <f t="shared" si="47"/>
        <v>0</v>
      </c>
    </row>
    <row r="140" spans="1:17" ht="30">
      <c r="A140" s="18">
        <v>78771</v>
      </c>
      <c r="B140" s="78" t="str">
        <f t="shared" si="37"/>
        <v>Tony's® SmartPizza® 4x6 Sausage\TVP Pizza 100% Mozz</v>
      </c>
      <c r="C140" s="19">
        <f t="shared" si="38"/>
        <v>4.6900000000000004</v>
      </c>
      <c r="D140" s="20">
        <f t="shared" si="39"/>
        <v>0.51</v>
      </c>
      <c r="E140" s="21">
        <f t="shared" si="40"/>
        <v>2</v>
      </c>
      <c r="F140" s="21">
        <f t="shared" si="41"/>
        <v>2</v>
      </c>
      <c r="G140" s="21" t="str">
        <f t="shared" si="42"/>
        <v>1⁄8</v>
      </c>
      <c r="H140" s="22"/>
      <c r="I140" s="23" t="s">
        <v>25</v>
      </c>
      <c r="J140" s="21">
        <f t="shared" si="43"/>
        <v>96</v>
      </c>
      <c r="K140" s="21" t="s">
        <v>10</v>
      </c>
      <c r="L140" s="24">
        <f t="shared" si="44"/>
        <v>0</v>
      </c>
      <c r="M140" s="21" t="s">
        <v>12</v>
      </c>
      <c r="N140" s="21">
        <f t="shared" si="45"/>
        <v>1.53</v>
      </c>
      <c r="O140" s="21" t="s">
        <v>10</v>
      </c>
      <c r="P140" s="19">
        <f t="shared" si="46"/>
        <v>0</v>
      </c>
      <c r="Q140" s="25">
        <f t="shared" si="47"/>
        <v>0</v>
      </c>
    </row>
    <row r="141" spans="1:17" ht="30">
      <c r="A141" s="18">
        <v>78783</v>
      </c>
      <c r="B141" s="78" t="str">
        <f t="shared" si="37"/>
        <v>Tony's® Outer Stuff Cheese Stuffed Crust Pan Pizza - Cheese with Pan Mates®</v>
      </c>
      <c r="C141" s="19">
        <f t="shared" si="38"/>
        <v>4.87</v>
      </c>
      <c r="D141" s="20">
        <f t="shared" si="39"/>
        <v>0</v>
      </c>
      <c r="E141" s="21">
        <f t="shared" si="40"/>
        <v>2</v>
      </c>
      <c r="F141" s="21">
        <f t="shared" si="41"/>
        <v>2</v>
      </c>
      <c r="G141" s="21" t="str">
        <f t="shared" si="42"/>
        <v>1⁄8</v>
      </c>
      <c r="H141" s="22"/>
      <c r="I141" s="23" t="s">
        <v>25</v>
      </c>
      <c r="J141" s="21">
        <f t="shared" si="43"/>
        <v>80</v>
      </c>
      <c r="K141" s="21" t="s">
        <v>10</v>
      </c>
      <c r="L141" s="24">
        <f t="shared" si="44"/>
        <v>0</v>
      </c>
      <c r="M141" s="21" t="s">
        <v>12</v>
      </c>
      <c r="N141" s="21">
        <f t="shared" si="45"/>
        <v>1.27</v>
      </c>
      <c r="O141" s="21" t="s">
        <v>10</v>
      </c>
      <c r="P141" s="19">
        <f t="shared" si="46"/>
        <v>0</v>
      </c>
      <c r="Q141" s="25">
        <f t="shared" si="47"/>
        <v>0</v>
      </c>
    </row>
    <row r="142" spans="1:17" ht="30">
      <c r="A142" s="18">
        <v>78784</v>
      </c>
      <c r="B142" s="78" t="str">
        <f t="shared" si="37"/>
        <v>Tony's® Outer Stuff Cheese Stuffed Crust Pan Pizza - Pepperoni with Pan Mates®</v>
      </c>
      <c r="C142" s="19">
        <f t="shared" si="38"/>
        <v>4.67</v>
      </c>
      <c r="D142" s="20">
        <f t="shared" si="39"/>
        <v>0</v>
      </c>
      <c r="E142" s="21">
        <f t="shared" si="40"/>
        <v>2</v>
      </c>
      <c r="F142" s="21">
        <f t="shared" si="41"/>
        <v>2</v>
      </c>
      <c r="G142" s="21" t="str">
        <f t="shared" si="42"/>
        <v>1⁄8</v>
      </c>
      <c r="H142" s="22"/>
      <c r="I142" s="23" t="s">
        <v>25</v>
      </c>
      <c r="J142" s="21">
        <f t="shared" si="43"/>
        <v>80</v>
      </c>
      <c r="K142" s="21" t="s">
        <v>10</v>
      </c>
      <c r="L142" s="24">
        <f t="shared" si="44"/>
        <v>0</v>
      </c>
      <c r="M142" s="21" t="s">
        <v>12</v>
      </c>
      <c r="N142" s="21">
        <f t="shared" si="45"/>
        <v>1.27</v>
      </c>
      <c r="O142" s="21" t="s">
        <v>10</v>
      </c>
      <c r="P142" s="19">
        <f t="shared" si="46"/>
        <v>0</v>
      </c>
      <c r="Q142" s="25">
        <f t="shared" si="47"/>
        <v>0</v>
      </c>
    </row>
    <row r="143" spans="1:17" ht="30">
      <c r="A143" s="18">
        <v>78794</v>
      </c>
      <c r="B143" s="78" t="str">
        <f t="shared" si="37"/>
        <v>Red Baron® 7" Cheese Stuffed Crust Pizza 50/50 Cheese</v>
      </c>
      <c r="C143" s="19">
        <f t="shared" si="38"/>
        <v>4.93</v>
      </c>
      <c r="D143" s="20">
        <f t="shared" si="39"/>
        <v>0</v>
      </c>
      <c r="E143" s="21">
        <f t="shared" si="40"/>
        <v>2</v>
      </c>
      <c r="F143" s="21">
        <f t="shared" si="41"/>
        <v>2</v>
      </c>
      <c r="G143" s="21" t="str">
        <f t="shared" si="42"/>
        <v>1⁄8</v>
      </c>
      <c r="H143" s="22"/>
      <c r="I143" s="23" t="s">
        <v>25</v>
      </c>
      <c r="J143" s="21">
        <f t="shared" si="43"/>
        <v>72</v>
      </c>
      <c r="K143" s="21" t="s">
        <v>10</v>
      </c>
      <c r="L143" s="24">
        <f t="shared" si="44"/>
        <v>0</v>
      </c>
      <c r="M143" s="21" t="s">
        <v>12</v>
      </c>
      <c r="N143" s="21">
        <f t="shared" si="45"/>
        <v>1.2</v>
      </c>
      <c r="O143" s="21" t="s">
        <v>10</v>
      </c>
      <c r="P143" s="19">
        <f t="shared" si="46"/>
        <v>0</v>
      </c>
      <c r="Q143" s="25">
        <f t="shared" si="47"/>
        <v>0</v>
      </c>
    </row>
    <row r="144" spans="1:17" ht="30">
      <c r="A144" s="18">
        <v>78795</v>
      </c>
      <c r="B144" s="78" t="str">
        <f t="shared" si="37"/>
        <v>Red Baron® 7" Cheese Stuffed Crust Pizza w/Pepperoni</v>
      </c>
      <c r="C144" s="19">
        <f t="shared" si="38"/>
        <v>4.9400000000000004</v>
      </c>
      <c r="D144" s="20">
        <f t="shared" si="39"/>
        <v>0</v>
      </c>
      <c r="E144" s="21">
        <f t="shared" si="40"/>
        <v>2</v>
      </c>
      <c r="F144" s="21">
        <f t="shared" si="41"/>
        <v>2</v>
      </c>
      <c r="G144" s="21" t="str">
        <f t="shared" si="42"/>
        <v>1⁄8</v>
      </c>
      <c r="H144" s="22"/>
      <c r="I144" s="23" t="s">
        <v>25</v>
      </c>
      <c r="J144" s="21">
        <f t="shared" si="43"/>
        <v>72</v>
      </c>
      <c r="K144" s="21" t="s">
        <v>10</v>
      </c>
      <c r="L144" s="24">
        <f t="shared" si="44"/>
        <v>0</v>
      </c>
      <c r="M144" s="21" t="s">
        <v>12</v>
      </c>
      <c r="N144" s="21">
        <f t="shared" si="45"/>
        <v>1.1299999999999999</v>
      </c>
      <c r="O144" s="21" t="s">
        <v>10</v>
      </c>
      <c r="P144" s="19">
        <f t="shared" si="46"/>
        <v>0</v>
      </c>
      <c r="Q144" s="25">
        <f t="shared" si="47"/>
        <v>0</v>
      </c>
    </row>
    <row r="145" spans="1:17" ht="30">
      <c r="A145" s="21">
        <v>78803</v>
      </c>
      <c r="B145" s="78" t="str">
        <f t="shared" si="37"/>
        <v>Tony's® SmartPizza® 5" Crispy Crust Cheese Pizza</v>
      </c>
      <c r="C145" s="19">
        <f t="shared" si="38"/>
        <v>4.53</v>
      </c>
      <c r="D145" s="20">
        <f t="shared" si="39"/>
        <v>0</v>
      </c>
      <c r="E145" s="21" t="str">
        <f t="shared" si="40"/>
        <v>1 ¾</v>
      </c>
      <c r="F145" s="21" t="str">
        <f t="shared" si="41"/>
        <v>1 ¾</v>
      </c>
      <c r="G145" s="21" t="str">
        <f t="shared" si="42"/>
        <v>1⁄8</v>
      </c>
      <c r="H145" s="22"/>
      <c r="I145" s="23" t="s">
        <v>25</v>
      </c>
      <c r="J145" s="21">
        <f t="shared" si="43"/>
        <v>80</v>
      </c>
      <c r="K145" s="21" t="s">
        <v>10</v>
      </c>
      <c r="L145" s="24">
        <f t="shared" si="44"/>
        <v>0</v>
      </c>
      <c r="M145" s="21" t="s">
        <v>12</v>
      </c>
      <c r="N145" s="21">
        <f t="shared" si="45"/>
        <v>1.27</v>
      </c>
      <c r="O145" s="21" t="s">
        <v>10</v>
      </c>
      <c r="P145" s="19">
        <f t="shared" si="46"/>
        <v>0</v>
      </c>
      <c r="Q145" s="25">
        <f t="shared" si="47"/>
        <v>0</v>
      </c>
    </row>
    <row r="146" spans="1:17">
      <c r="A146" s="21">
        <v>78804</v>
      </c>
      <c r="B146" s="78" t="str">
        <f t="shared" si="37"/>
        <v>Tony's® 5" Crispy Crust Pepperoni Pizza</v>
      </c>
      <c r="C146" s="19">
        <f t="shared" si="38"/>
        <v>4.5199999999999996</v>
      </c>
      <c r="D146" s="20">
        <f t="shared" si="39"/>
        <v>0</v>
      </c>
      <c r="E146" s="21" t="str">
        <f t="shared" si="40"/>
        <v>1 ¾</v>
      </c>
      <c r="F146" s="21" t="str">
        <f t="shared" si="41"/>
        <v>1 ¾</v>
      </c>
      <c r="G146" s="21" t="str">
        <f t="shared" si="42"/>
        <v>1⁄8</v>
      </c>
      <c r="H146" s="22"/>
      <c r="I146" s="23" t="s">
        <v>25</v>
      </c>
      <c r="J146" s="21">
        <f t="shared" si="43"/>
        <v>80</v>
      </c>
      <c r="K146" s="21" t="s">
        <v>10</v>
      </c>
      <c r="L146" s="24">
        <f t="shared" si="44"/>
        <v>0</v>
      </c>
      <c r="M146" s="21" t="s">
        <v>12</v>
      </c>
      <c r="N146" s="21">
        <f t="shared" si="45"/>
        <v>1.27</v>
      </c>
      <c r="O146" s="21" t="s">
        <v>10</v>
      </c>
      <c r="P146" s="19">
        <f t="shared" si="46"/>
        <v>0</v>
      </c>
      <c r="Q146" s="25">
        <f t="shared" si="47"/>
        <v>0</v>
      </c>
    </row>
    <row r="147" spans="1:17">
      <c r="A147" s="18">
        <v>78817</v>
      </c>
      <c r="B147" s="78" t="str">
        <f t="shared" si="37"/>
        <v>Tony's® 4x6 Cheese 100% Mozz IW</v>
      </c>
      <c r="C147" s="19">
        <f t="shared" si="38"/>
        <v>4.8</v>
      </c>
      <c r="D147" s="20">
        <f t="shared" si="39"/>
        <v>0</v>
      </c>
      <c r="E147" s="21">
        <f t="shared" si="40"/>
        <v>2</v>
      </c>
      <c r="F147" s="21">
        <f t="shared" si="41"/>
        <v>2</v>
      </c>
      <c r="G147" s="21" t="str">
        <f t="shared" si="42"/>
        <v>1⁄8</v>
      </c>
      <c r="H147" s="22"/>
      <c r="I147" s="23" t="s">
        <v>25</v>
      </c>
      <c r="J147" s="21">
        <f t="shared" si="43"/>
        <v>72</v>
      </c>
      <c r="K147" s="21" t="s">
        <v>10</v>
      </c>
      <c r="L147" s="24">
        <f t="shared" si="44"/>
        <v>0</v>
      </c>
      <c r="M147" s="21" t="s">
        <v>12</v>
      </c>
      <c r="N147" s="21">
        <f t="shared" si="45"/>
        <v>1.1299999999999999</v>
      </c>
      <c r="O147" s="21" t="s">
        <v>10</v>
      </c>
      <c r="P147" s="19">
        <f t="shared" si="46"/>
        <v>0</v>
      </c>
      <c r="Q147" s="25">
        <f t="shared" si="47"/>
        <v>0</v>
      </c>
    </row>
    <row r="148" spans="1:17">
      <c r="A148" s="18">
        <v>78818</v>
      </c>
      <c r="B148" s="78" t="str">
        <f t="shared" si="37"/>
        <v>Tony's® 4x6 Pepperoni 100% Mozz IW</v>
      </c>
      <c r="C148" s="19">
        <f t="shared" si="38"/>
        <v>4.82</v>
      </c>
      <c r="D148" s="20">
        <f t="shared" si="39"/>
        <v>0</v>
      </c>
      <c r="E148" s="21">
        <f t="shared" si="40"/>
        <v>2</v>
      </c>
      <c r="F148" s="21">
        <f t="shared" si="41"/>
        <v>2</v>
      </c>
      <c r="G148" s="21" t="str">
        <f t="shared" si="42"/>
        <v>1⁄8</v>
      </c>
      <c r="H148" s="22"/>
      <c r="I148" s="23" t="s">
        <v>25</v>
      </c>
      <c r="J148" s="21">
        <f t="shared" si="43"/>
        <v>72</v>
      </c>
      <c r="K148" s="21" t="s">
        <v>10</v>
      </c>
      <c r="L148" s="24">
        <f t="shared" si="44"/>
        <v>0</v>
      </c>
      <c r="M148" s="21" t="s">
        <v>12</v>
      </c>
      <c r="N148" s="21">
        <f t="shared" si="45"/>
        <v>1.51</v>
      </c>
      <c r="O148" s="21" t="s">
        <v>10</v>
      </c>
      <c r="P148" s="19">
        <f t="shared" si="46"/>
        <v>0</v>
      </c>
      <c r="Q148" s="25">
        <f t="shared" si="47"/>
        <v>0</v>
      </c>
    </row>
    <row r="149" spans="1:17" ht="30">
      <c r="A149" s="18">
        <v>78822</v>
      </c>
      <c r="B149" s="78" t="str">
        <f t="shared" si="37"/>
        <v>Tony's® French Bread Sausage 50/50 Mozz/sub Mozz</v>
      </c>
      <c r="C149" s="19">
        <f t="shared" si="38"/>
        <v>4.8600000000000003</v>
      </c>
      <c r="D149" s="20">
        <f t="shared" si="39"/>
        <v>0.2</v>
      </c>
      <c r="E149" s="21">
        <f t="shared" si="40"/>
        <v>2</v>
      </c>
      <c r="F149" s="21">
        <f t="shared" si="41"/>
        <v>2</v>
      </c>
      <c r="G149" s="21" t="str">
        <f t="shared" si="42"/>
        <v>1⁄8</v>
      </c>
      <c r="H149" s="22"/>
      <c r="I149" s="23" t="s">
        <v>25</v>
      </c>
      <c r="J149" s="21">
        <f t="shared" si="43"/>
        <v>60</v>
      </c>
      <c r="K149" s="21" t="s">
        <v>10</v>
      </c>
      <c r="L149" s="24">
        <f t="shared" si="44"/>
        <v>0</v>
      </c>
      <c r="M149" s="21" t="s">
        <v>12</v>
      </c>
      <c r="N149" s="21">
        <f t="shared" si="45"/>
        <v>1.1599999999999999</v>
      </c>
      <c r="O149" s="21" t="s">
        <v>10</v>
      </c>
      <c r="P149" s="19">
        <f t="shared" si="46"/>
        <v>0</v>
      </c>
      <c r="Q149" s="25">
        <f t="shared" si="47"/>
        <v>0</v>
      </c>
    </row>
    <row r="150" spans="1:17" ht="30">
      <c r="A150" s="18">
        <v>78906</v>
      </c>
      <c r="B150" s="78" t="str">
        <f t="shared" si="37"/>
        <v>Tony's® SmartPizza™ Classic Wedge Whole Grain Cheese Pizza 50/50</v>
      </c>
      <c r="C150" s="19">
        <f t="shared" si="38"/>
        <v>4.8</v>
      </c>
      <c r="D150" s="20">
        <f t="shared" si="39"/>
        <v>0.51</v>
      </c>
      <c r="E150" s="21">
        <f t="shared" si="40"/>
        <v>2</v>
      </c>
      <c r="F150" s="21">
        <f t="shared" si="41"/>
        <v>2</v>
      </c>
      <c r="G150" s="21" t="str">
        <f t="shared" si="42"/>
        <v>1⁄8</v>
      </c>
      <c r="H150" s="22"/>
      <c r="I150" s="23" t="s">
        <v>25</v>
      </c>
      <c r="J150" s="21">
        <f t="shared" si="43"/>
        <v>80</v>
      </c>
      <c r="K150" s="21" t="s">
        <v>10</v>
      </c>
      <c r="L150" s="24">
        <f t="shared" si="44"/>
        <v>0</v>
      </c>
      <c r="M150" s="21" t="s">
        <v>12</v>
      </c>
      <c r="N150" s="21">
        <f t="shared" si="45"/>
        <v>1.53</v>
      </c>
      <c r="O150" s="21" t="s">
        <v>10</v>
      </c>
      <c r="P150" s="19">
        <f t="shared" si="46"/>
        <v>0</v>
      </c>
      <c r="Q150" s="25">
        <f t="shared" si="47"/>
        <v>0</v>
      </c>
    </row>
    <row r="151" spans="1:17" ht="30">
      <c r="A151" s="18">
        <v>78907</v>
      </c>
      <c r="B151" s="78" t="str">
        <f t="shared" si="37"/>
        <v>Tony's® SmartPizza® Classic Wedge Whole Grain Pepperoni Pizza 50/50</v>
      </c>
      <c r="C151" s="19">
        <f t="shared" si="38"/>
        <v>4.68</v>
      </c>
      <c r="D151" s="20">
        <f t="shared" si="39"/>
        <v>0.51</v>
      </c>
      <c r="E151" s="21">
        <f t="shared" si="40"/>
        <v>2</v>
      </c>
      <c r="F151" s="21">
        <f t="shared" si="41"/>
        <v>2</v>
      </c>
      <c r="G151" s="21" t="str">
        <f t="shared" si="42"/>
        <v>1⁄8</v>
      </c>
      <c r="H151" s="22"/>
      <c r="I151" s="23" t="s">
        <v>25</v>
      </c>
      <c r="J151" s="21">
        <f t="shared" si="43"/>
        <v>80</v>
      </c>
      <c r="K151" s="21" t="s">
        <v>10</v>
      </c>
      <c r="L151" s="24">
        <f t="shared" si="44"/>
        <v>0</v>
      </c>
      <c r="M151" s="21" t="s">
        <v>12</v>
      </c>
      <c r="N151" s="21">
        <f t="shared" si="45"/>
        <v>1.53</v>
      </c>
      <c r="O151" s="21" t="s">
        <v>10</v>
      </c>
      <c r="P151" s="19">
        <f t="shared" si="46"/>
        <v>0</v>
      </c>
      <c r="Q151" s="25">
        <f t="shared" si="47"/>
        <v>0</v>
      </c>
    </row>
    <row r="152" spans="1:17">
      <c r="A152" s="18">
        <v>78908</v>
      </c>
      <c r="B152" s="78" t="str">
        <f t="shared" si="37"/>
        <v>Tony's® SmartPizza™ Wedge with Sausage</v>
      </c>
      <c r="C152" s="19">
        <f t="shared" si="38"/>
        <v>4.76</v>
      </c>
      <c r="D152" s="20">
        <f t="shared" si="39"/>
        <v>0</v>
      </c>
      <c r="E152" s="21">
        <f t="shared" si="40"/>
        <v>2</v>
      </c>
      <c r="F152" s="21" t="str">
        <f t="shared" si="41"/>
        <v>1 ¾</v>
      </c>
      <c r="G152" s="21" t="str">
        <f t="shared" si="42"/>
        <v>1⁄8</v>
      </c>
      <c r="H152" s="22"/>
      <c r="I152" s="23" t="s">
        <v>25</v>
      </c>
      <c r="J152" s="21">
        <f t="shared" si="43"/>
        <v>80</v>
      </c>
      <c r="K152" s="21" t="s">
        <v>10</v>
      </c>
      <c r="L152" s="24">
        <f t="shared" si="44"/>
        <v>0</v>
      </c>
      <c r="M152" s="21" t="s">
        <v>12</v>
      </c>
      <c r="N152" s="21">
        <f t="shared" si="45"/>
        <v>1.29</v>
      </c>
      <c r="O152" s="21" t="s">
        <v>10</v>
      </c>
      <c r="P152" s="19">
        <f t="shared" si="46"/>
        <v>0</v>
      </c>
      <c r="Q152" s="25">
        <f t="shared" si="47"/>
        <v>0</v>
      </c>
    </row>
    <row r="153" spans="1:17" ht="30">
      <c r="A153" s="18">
        <v>78909</v>
      </c>
      <c r="B153" s="78" t="str">
        <f t="shared" si="37"/>
        <v>Tony's® SmartPizza™ Classic Wedge with Whole Grain, Cheese, 100% Mozz</v>
      </c>
      <c r="C153" s="19">
        <f t="shared" si="38"/>
        <v>4.7</v>
      </c>
      <c r="D153" s="20">
        <f t="shared" si="39"/>
        <v>0.51</v>
      </c>
      <c r="E153" s="21">
        <f t="shared" si="40"/>
        <v>2</v>
      </c>
      <c r="F153" s="21">
        <f t="shared" si="41"/>
        <v>2</v>
      </c>
      <c r="G153" s="21" t="str">
        <f t="shared" si="42"/>
        <v>1⁄8</v>
      </c>
      <c r="H153" s="22"/>
      <c r="I153" s="23" t="s">
        <v>25</v>
      </c>
      <c r="J153" s="21">
        <f t="shared" si="43"/>
        <v>80</v>
      </c>
      <c r="K153" s="21" t="s">
        <v>10</v>
      </c>
      <c r="L153" s="24">
        <f t="shared" si="44"/>
        <v>0</v>
      </c>
      <c r="M153" s="21" t="s">
        <v>12</v>
      </c>
      <c r="N153" s="21">
        <f t="shared" si="45"/>
        <v>1.53</v>
      </c>
      <c r="O153" s="21" t="s">
        <v>10</v>
      </c>
      <c r="P153" s="19">
        <f t="shared" si="46"/>
        <v>0</v>
      </c>
      <c r="Q153" s="25">
        <f t="shared" si="47"/>
        <v>0</v>
      </c>
    </row>
    <row r="154" spans="1:17" ht="30">
      <c r="A154" s="18">
        <v>78910</v>
      </c>
      <c r="B154" s="78" t="str">
        <f t="shared" si="37"/>
        <v>Tony's® SmartPizza® Classic Wedge with Whole Grain, Pepperoni, 100% Mozz</v>
      </c>
      <c r="C154" s="19">
        <f t="shared" si="38"/>
        <v>4.68</v>
      </c>
      <c r="D154" s="20">
        <f t="shared" si="39"/>
        <v>0.51</v>
      </c>
      <c r="E154" s="21">
        <f t="shared" si="40"/>
        <v>2</v>
      </c>
      <c r="F154" s="21">
        <f t="shared" si="41"/>
        <v>2</v>
      </c>
      <c r="G154" s="21" t="str">
        <f t="shared" si="42"/>
        <v>1⁄8</v>
      </c>
      <c r="H154" s="22"/>
      <c r="I154" s="23" t="s">
        <v>25</v>
      </c>
      <c r="J154" s="21">
        <f t="shared" si="43"/>
        <v>80</v>
      </c>
      <c r="K154" s="21" t="s">
        <v>10</v>
      </c>
      <c r="L154" s="24">
        <f t="shared" si="44"/>
        <v>0</v>
      </c>
      <c r="M154" s="21" t="s">
        <v>12</v>
      </c>
      <c r="N154" s="21">
        <f t="shared" si="45"/>
        <v>1.53</v>
      </c>
      <c r="O154" s="21" t="s">
        <v>10</v>
      </c>
      <c r="P154" s="19">
        <f t="shared" si="46"/>
        <v>0</v>
      </c>
      <c r="Q154" s="25">
        <f t="shared" si="47"/>
        <v>0</v>
      </c>
    </row>
    <row r="155" spans="1:17" ht="30">
      <c r="A155" s="21">
        <v>78926</v>
      </c>
      <c r="B155" s="78" t="str">
        <f t="shared" si="37"/>
        <v>Big Daddy's® LS 51% Whole Grain 16" Rolled Edge Cheese Pizza CN</v>
      </c>
      <c r="C155" s="19">
        <f t="shared" si="38"/>
        <v>5.46</v>
      </c>
      <c r="D155" s="20">
        <f t="shared" si="39"/>
        <v>0.51</v>
      </c>
      <c r="E155" s="21" t="str">
        <f t="shared" si="40"/>
        <v>2 ½</v>
      </c>
      <c r="F155" s="21">
        <f t="shared" si="41"/>
        <v>3</v>
      </c>
      <c r="G155" s="21" t="str">
        <f t="shared" si="42"/>
        <v>1⁄8</v>
      </c>
      <c r="H155" s="22"/>
      <c r="I155" s="23" t="s">
        <v>25</v>
      </c>
      <c r="J155" s="21">
        <f t="shared" si="43"/>
        <v>72</v>
      </c>
      <c r="K155" s="21" t="s">
        <v>10</v>
      </c>
      <c r="L155" s="24">
        <f t="shared" si="44"/>
        <v>0</v>
      </c>
      <c r="M155" s="21" t="s">
        <v>12</v>
      </c>
      <c r="N155" s="21">
        <f t="shared" si="45"/>
        <v>1.48</v>
      </c>
      <c r="O155" s="21" t="s">
        <v>10</v>
      </c>
      <c r="P155" s="19">
        <f t="shared" si="46"/>
        <v>0</v>
      </c>
      <c r="Q155" s="25">
        <f t="shared" si="47"/>
        <v>0</v>
      </c>
    </row>
    <row r="156" spans="1:17" ht="30">
      <c r="A156" s="21">
        <v>78926</v>
      </c>
      <c r="B156" s="78" t="str">
        <f t="shared" si="37"/>
        <v>Big Daddy's® LS 51% Whole Grain 16" Rolled Edge Cheese Pizza CN</v>
      </c>
      <c r="C156" s="19">
        <f t="shared" si="38"/>
        <v>5.46</v>
      </c>
      <c r="D156" s="20">
        <f t="shared" si="39"/>
        <v>0.51</v>
      </c>
      <c r="E156" s="21" t="str">
        <f t="shared" si="40"/>
        <v>2 ½</v>
      </c>
      <c r="F156" s="21">
        <f t="shared" si="41"/>
        <v>3</v>
      </c>
      <c r="G156" s="21" t="str">
        <f t="shared" si="42"/>
        <v>1⁄8</v>
      </c>
      <c r="H156" s="22"/>
      <c r="I156" s="23" t="s">
        <v>25</v>
      </c>
      <c r="J156" s="21">
        <f t="shared" si="43"/>
        <v>72</v>
      </c>
      <c r="K156" s="21" t="s">
        <v>10</v>
      </c>
      <c r="L156" s="24">
        <f t="shared" si="44"/>
        <v>0</v>
      </c>
      <c r="M156" s="21" t="s">
        <v>12</v>
      </c>
      <c r="N156" s="21">
        <f t="shared" si="45"/>
        <v>1.48</v>
      </c>
      <c r="O156" s="21" t="s">
        <v>10</v>
      </c>
      <c r="P156" s="19">
        <f t="shared" si="46"/>
        <v>0</v>
      </c>
      <c r="Q156" s="25">
        <f t="shared" si="47"/>
        <v>0</v>
      </c>
    </row>
    <row r="157" spans="1:17" ht="30">
      <c r="A157" s="21">
        <v>78927</v>
      </c>
      <c r="B157" s="78" t="str">
        <f t="shared" si="37"/>
        <v>Big Daddy's® LS Whole Grain Pizza w/ Turkey &amp; Beef Pepperoni CN</v>
      </c>
      <c r="C157" s="19">
        <f t="shared" si="38"/>
        <v>5.5</v>
      </c>
      <c r="D157" s="20">
        <f t="shared" si="39"/>
        <v>0.51</v>
      </c>
      <c r="E157" s="21" t="str">
        <f t="shared" si="40"/>
        <v>2 ½</v>
      </c>
      <c r="F157" s="21">
        <f t="shared" si="41"/>
        <v>3</v>
      </c>
      <c r="G157" s="21" t="str">
        <f t="shared" si="42"/>
        <v>1⁄8</v>
      </c>
      <c r="H157" s="22"/>
      <c r="I157" s="23" t="s">
        <v>25</v>
      </c>
      <c r="J157" s="21">
        <f t="shared" si="43"/>
        <v>72</v>
      </c>
      <c r="K157" s="21" t="s">
        <v>10</v>
      </c>
      <c r="L157" s="24">
        <f t="shared" si="44"/>
        <v>0</v>
      </c>
      <c r="M157" s="21" t="s">
        <v>12</v>
      </c>
      <c r="N157" s="21">
        <f t="shared" si="45"/>
        <v>1.48</v>
      </c>
      <c r="O157" s="21" t="s">
        <v>10</v>
      </c>
      <c r="P157" s="19">
        <f t="shared" si="46"/>
        <v>0</v>
      </c>
      <c r="Q157" s="25">
        <f t="shared" si="47"/>
        <v>0</v>
      </c>
    </row>
    <row r="158" spans="1:17" ht="30">
      <c r="A158" s="21">
        <v>78927</v>
      </c>
      <c r="B158" s="78" t="str">
        <f t="shared" si="37"/>
        <v>Big Daddy's® LS Whole Grain Pizza w/ Turkey &amp; Beef Pepperoni CN</v>
      </c>
      <c r="C158" s="19">
        <f t="shared" si="38"/>
        <v>5.5</v>
      </c>
      <c r="D158" s="20">
        <f t="shared" si="39"/>
        <v>0.51</v>
      </c>
      <c r="E158" s="21" t="str">
        <f t="shared" si="40"/>
        <v>2 ½</v>
      </c>
      <c r="F158" s="21">
        <f t="shared" si="41"/>
        <v>3</v>
      </c>
      <c r="G158" s="21" t="str">
        <f t="shared" si="42"/>
        <v>1⁄8</v>
      </c>
      <c r="H158" s="22"/>
      <c r="I158" s="23" t="s">
        <v>25</v>
      </c>
      <c r="J158" s="21">
        <f t="shared" si="43"/>
        <v>72</v>
      </c>
      <c r="K158" s="21" t="s">
        <v>10</v>
      </c>
      <c r="L158" s="24">
        <f t="shared" si="44"/>
        <v>0</v>
      </c>
      <c r="M158" s="21" t="s">
        <v>12</v>
      </c>
      <c r="N158" s="21">
        <f t="shared" si="45"/>
        <v>1.48</v>
      </c>
      <c r="O158" s="21" t="s">
        <v>10</v>
      </c>
      <c r="P158" s="19">
        <f t="shared" si="46"/>
        <v>0</v>
      </c>
      <c r="Q158" s="25">
        <f t="shared" si="47"/>
        <v>0</v>
      </c>
    </row>
    <row r="159" spans="1:17" ht="30">
      <c r="A159" s="21">
        <v>78942</v>
      </c>
      <c r="B159" s="78" t="str">
        <f t="shared" si="37"/>
        <v>Big Daddy's® Harvest(TM) 16" Rolled Edge Cheese Pizza</v>
      </c>
      <c r="C159" s="19">
        <f t="shared" si="38"/>
        <v>5.18</v>
      </c>
      <c r="D159" s="20">
        <f t="shared" si="39"/>
        <v>0.15</v>
      </c>
      <c r="E159" s="21">
        <f t="shared" si="40"/>
        <v>2</v>
      </c>
      <c r="F159" s="21">
        <f t="shared" si="41"/>
        <v>3</v>
      </c>
      <c r="G159" s="21">
        <f t="shared" si="42"/>
        <v>0</v>
      </c>
      <c r="H159" s="22"/>
      <c r="I159" s="23" t="s">
        <v>25</v>
      </c>
      <c r="J159" s="21">
        <f t="shared" si="43"/>
        <v>72</v>
      </c>
      <c r="K159" s="21" t="s">
        <v>10</v>
      </c>
      <c r="L159" s="24">
        <f t="shared" si="44"/>
        <v>0</v>
      </c>
      <c r="M159" s="21" t="s">
        <v>12</v>
      </c>
      <c r="N159" s="21">
        <f t="shared" si="45"/>
        <v>0.93</v>
      </c>
      <c r="O159" s="21" t="s">
        <v>10</v>
      </c>
      <c r="P159" s="19">
        <f t="shared" si="46"/>
        <v>0</v>
      </c>
      <c r="Q159" s="25">
        <f t="shared" si="47"/>
        <v>0</v>
      </c>
    </row>
    <row r="160" spans="1:17" ht="30">
      <c r="A160" s="21">
        <v>78942</v>
      </c>
      <c r="B160" s="78" t="str">
        <f t="shared" ref="B160:B174" si="48">VLOOKUP(A160,name,2,FALSE)</f>
        <v>Big Daddy's® Harvest(TM) 16" Rolled Edge Cheese Pizza</v>
      </c>
      <c r="C160" s="19">
        <f t="shared" si="38"/>
        <v>5.18</v>
      </c>
      <c r="D160" s="20">
        <f t="shared" si="39"/>
        <v>0.15</v>
      </c>
      <c r="E160" s="21">
        <f t="shared" si="40"/>
        <v>2</v>
      </c>
      <c r="F160" s="21">
        <f t="shared" si="41"/>
        <v>3</v>
      </c>
      <c r="G160" s="21">
        <f t="shared" si="42"/>
        <v>0</v>
      </c>
      <c r="H160" s="22"/>
      <c r="I160" s="23" t="s">
        <v>25</v>
      </c>
      <c r="J160" s="21">
        <f t="shared" si="43"/>
        <v>72</v>
      </c>
      <c r="K160" s="21" t="s">
        <v>10</v>
      </c>
      <c r="L160" s="24">
        <f t="shared" si="44"/>
        <v>0</v>
      </c>
      <c r="M160" s="21" t="s">
        <v>12</v>
      </c>
      <c r="N160" s="21">
        <f t="shared" si="45"/>
        <v>0.93</v>
      </c>
      <c r="O160" s="21" t="s">
        <v>10</v>
      </c>
      <c r="P160" s="19">
        <f t="shared" si="46"/>
        <v>0</v>
      </c>
      <c r="Q160" s="25">
        <f t="shared" si="47"/>
        <v>0</v>
      </c>
    </row>
    <row r="161" spans="1:17" ht="30">
      <c r="A161" s="21">
        <v>78943</v>
      </c>
      <c r="B161" s="78" t="str">
        <f t="shared" si="48"/>
        <v>Big Daddy's® Harvest(TM) 16" Rolled Edge Pepperoni Pizza</v>
      </c>
      <c r="C161" s="19">
        <f t="shared" si="38"/>
        <v>5.18</v>
      </c>
      <c r="D161" s="20">
        <f t="shared" si="39"/>
        <v>0.15</v>
      </c>
      <c r="E161" s="21">
        <f t="shared" si="40"/>
        <v>2</v>
      </c>
      <c r="F161" s="21">
        <f t="shared" si="41"/>
        <v>3</v>
      </c>
      <c r="G161" s="21">
        <f t="shared" si="42"/>
        <v>0</v>
      </c>
      <c r="H161" s="22"/>
      <c r="I161" s="23" t="s">
        <v>25</v>
      </c>
      <c r="J161" s="21">
        <f t="shared" si="43"/>
        <v>72</v>
      </c>
      <c r="K161" s="21" t="s">
        <v>10</v>
      </c>
      <c r="L161" s="24">
        <f t="shared" si="44"/>
        <v>0</v>
      </c>
      <c r="M161" s="21" t="s">
        <v>12</v>
      </c>
      <c r="N161" s="21">
        <f t="shared" si="45"/>
        <v>0.93</v>
      </c>
      <c r="O161" s="21" t="s">
        <v>10</v>
      </c>
      <c r="P161" s="19">
        <f t="shared" si="46"/>
        <v>0</v>
      </c>
      <c r="Q161" s="25">
        <f t="shared" si="47"/>
        <v>0</v>
      </c>
    </row>
    <row r="162" spans="1:17" ht="30">
      <c r="A162" s="21">
        <v>78943</v>
      </c>
      <c r="B162" s="78" t="str">
        <f t="shared" si="48"/>
        <v>Big Daddy's® Harvest(TM) 16" Rolled Edge Pepperoni Pizza</v>
      </c>
      <c r="C162" s="19">
        <f t="shared" si="38"/>
        <v>5.18</v>
      </c>
      <c r="D162" s="20">
        <f t="shared" si="39"/>
        <v>0.15</v>
      </c>
      <c r="E162" s="21">
        <f t="shared" si="40"/>
        <v>2</v>
      </c>
      <c r="F162" s="21">
        <f t="shared" si="41"/>
        <v>3</v>
      </c>
      <c r="G162" s="21">
        <f t="shared" si="42"/>
        <v>0</v>
      </c>
      <c r="H162" s="22"/>
      <c r="I162" s="23" t="s">
        <v>25</v>
      </c>
      <c r="J162" s="21">
        <f t="shared" si="43"/>
        <v>72</v>
      </c>
      <c r="K162" s="21" t="s">
        <v>10</v>
      </c>
      <c r="L162" s="24">
        <f t="shared" si="44"/>
        <v>0</v>
      </c>
      <c r="M162" s="21" t="s">
        <v>12</v>
      </c>
      <c r="N162" s="21">
        <f t="shared" si="45"/>
        <v>0.93</v>
      </c>
      <c r="O162" s="21" t="s">
        <v>10</v>
      </c>
      <c r="P162" s="19">
        <f t="shared" si="46"/>
        <v>0</v>
      </c>
      <c r="Q162" s="25">
        <f t="shared" si="47"/>
        <v>0</v>
      </c>
    </row>
    <row r="163" spans="1:17" ht="30">
      <c r="A163" s="21">
        <v>78944</v>
      </c>
      <c r="B163" s="78" t="str">
        <f t="shared" si="48"/>
        <v>Big Daddy's® Harvest(TM) 16" Rolled Edge Pre-Sliced Cheese Pizza</v>
      </c>
      <c r="C163" s="19">
        <f t="shared" si="38"/>
        <v>4.1500000000000004</v>
      </c>
      <c r="D163" s="20">
        <f t="shared" si="39"/>
        <v>0.15</v>
      </c>
      <c r="E163" s="21" t="str">
        <f t="shared" si="40"/>
        <v>1 ½</v>
      </c>
      <c r="F163" s="21">
        <f t="shared" si="41"/>
        <v>2</v>
      </c>
      <c r="G163" s="21">
        <f t="shared" si="42"/>
        <v>0</v>
      </c>
      <c r="H163" s="22"/>
      <c r="I163" s="23" t="s">
        <v>25</v>
      </c>
      <c r="J163" s="21">
        <f t="shared" si="43"/>
        <v>90</v>
      </c>
      <c r="K163" s="21" t="s">
        <v>10</v>
      </c>
      <c r="L163" s="24">
        <f t="shared" si="44"/>
        <v>0</v>
      </c>
      <c r="M163" s="21" t="s">
        <v>12</v>
      </c>
      <c r="N163" s="21">
        <f t="shared" si="45"/>
        <v>0.93</v>
      </c>
      <c r="O163" s="21" t="s">
        <v>10</v>
      </c>
      <c r="P163" s="19">
        <f t="shared" si="46"/>
        <v>0</v>
      </c>
      <c r="Q163" s="25">
        <f t="shared" si="47"/>
        <v>0</v>
      </c>
    </row>
    <row r="164" spans="1:17" ht="30">
      <c r="A164" s="21">
        <v>78945</v>
      </c>
      <c r="B164" s="78" t="str">
        <f t="shared" si="48"/>
        <v>Big Daddy's® Harvest(TM) 16" Rolled Edge Pre-Sliced Pepperoni Pizza</v>
      </c>
      <c r="C164" s="19">
        <f t="shared" si="38"/>
        <v>4.1500000000000004</v>
      </c>
      <c r="D164" s="20">
        <f t="shared" si="39"/>
        <v>0.15</v>
      </c>
      <c r="E164" s="21" t="str">
        <f t="shared" si="40"/>
        <v>1 ½</v>
      </c>
      <c r="F164" s="21">
        <f t="shared" si="41"/>
        <v>2</v>
      </c>
      <c r="G164" s="21">
        <f t="shared" si="42"/>
        <v>0</v>
      </c>
      <c r="H164" s="22"/>
      <c r="I164" s="23" t="s">
        <v>25</v>
      </c>
      <c r="J164" s="21">
        <f t="shared" si="43"/>
        <v>90</v>
      </c>
      <c r="K164" s="21" t="s">
        <v>10</v>
      </c>
      <c r="L164" s="24">
        <f t="shared" si="44"/>
        <v>0</v>
      </c>
      <c r="M164" s="21" t="s">
        <v>12</v>
      </c>
      <c r="N164" s="21">
        <f t="shared" si="45"/>
        <v>0.93</v>
      </c>
      <c r="O164" s="21" t="s">
        <v>10</v>
      </c>
      <c r="P164" s="19">
        <f t="shared" si="46"/>
        <v>0</v>
      </c>
      <c r="Q164" s="25">
        <f t="shared" si="47"/>
        <v>0</v>
      </c>
    </row>
    <row r="165" spans="1:17" ht="30">
      <c r="A165" s="21">
        <v>78985</v>
      </c>
      <c r="B165" s="78" t="str">
        <f t="shared" si="48"/>
        <v>Big Daddy's® Original(TM) Bold 16" Rolled Edge Cheese Pizza</v>
      </c>
      <c r="C165" s="19">
        <f t="shared" si="38"/>
        <v>5.56</v>
      </c>
      <c r="D165" s="20">
        <f t="shared" si="39"/>
        <v>0.51</v>
      </c>
      <c r="E165" s="21">
        <f t="shared" si="40"/>
        <v>2</v>
      </c>
      <c r="F165" s="21">
        <f t="shared" si="41"/>
        <v>3</v>
      </c>
      <c r="G165" s="21" t="str">
        <f t="shared" si="42"/>
        <v>1⁄8</v>
      </c>
      <c r="H165" s="22"/>
      <c r="I165" s="23" t="s">
        <v>25</v>
      </c>
      <c r="J165" s="21">
        <f t="shared" si="43"/>
        <v>72</v>
      </c>
      <c r="K165" s="21" t="s">
        <v>10</v>
      </c>
      <c r="L165" s="24">
        <f t="shared" si="44"/>
        <v>0</v>
      </c>
      <c r="M165" s="21" t="s">
        <v>12</v>
      </c>
      <c r="N165" s="21">
        <f t="shared" si="45"/>
        <v>1.1399999999999999</v>
      </c>
      <c r="O165" s="21" t="s">
        <v>10</v>
      </c>
      <c r="P165" s="19">
        <f t="shared" si="46"/>
        <v>0</v>
      </c>
      <c r="Q165" s="25">
        <f t="shared" si="47"/>
        <v>0</v>
      </c>
    </row>
    <row r="166" spans="1:17" ht="30">
      <c r="A166" s="21">
        <v>78985</v>
      </c>
      <c r="B166" s="78" t="str">
        <f t="shared" si="48"/>
        <v>Big Daddy's® Original(TM) Bold 16" Rolled Edge Cheese Pizza</v>
      </c>
      <c r="C166" s="19">
        <f t="shared" si="38"/>
        <v>5.56</v>
      </c>
      <c r="D166" s="20">
        <f t="shared" si="39"/>
        <v>0.51</v>
      </c>
      <c r="E166" s="21">
        <f t="shared" si="40"/>
        <v>2</v>
      </c>
      <c r="F166" s="21">
        <f t="shared" si="41"/>
        <v>3</v>
      </c>
      <c r="G166" s="21" t="str">
        <f t="shared" si="42"/>
        <v>1⁄8</v>
      </c>
      <c r="H166" s="22"/>
      <c r="I166" s="23" t="s">
        <v>25</v>
      </c>
      <c r="J166" s="21">
        <f t="shared" si="43"/>
        <v>72</v>
      </c>
      <c r="K166" s="21" t="s">
        <v>10</v>
      </c>
      <c r="L166" s="24">
        <f t="shared" si="44"/>
        <v>0</v>
      </c>
      <c r="M166" s="21" t="s">
        <v>12</v>
      </c>
      <c r="N166" s="21">
        <f t="shared" si="45"/>
        <v>1.1399999999999999</v>
      </c>
      <c r="O166" s="21" t="s">
        <v>10</v>
      </c>
      <c r="P166" s="19">
        <f t="shared" si="46"/>
        <v>0</v>
      </c>
      <c r="Q166" s="25">
        <f t="shared" si="47"/>
        <v>0</v>
      </c>
    </row>
    <row r="167" spans="1:17" ht="30">
      <c r="A167" s="21">
        <v>78986</v>
      </c>
      <c r="B167" s="78" t="str">
        <f t="shared" si="48"/>
        <v>Big Daddy's® Original(TM) Bold 16" Rolled Edge Pepperoni Pizza</v>
      </c>
      <c r="C167" s="19">
        <f t="shared" ref="C167:C174" si="49">VLOOKUP(A167,nutrits,4,FALSE)</f>
        <v>4.47</v>
      </c>
      <c r="D167" s="20">
        <f t="shared" ref="D167:D174" si="50">VLOOKUP(A167,nutrits,9,FALSE)</f>
        <v>0.51</v>
      </c>
      <c r="E167" s="21">
        <f t="shared" ref="E167:E174" si="51">VLOOKUP(A167,nutrits,5,FALSE)</f>
        <v>2</v>
      </c>
      <c r="F167" s="21">
        <f t="shared" ref="F167:F174" si="52">VLOOKUP(A167,nutrits,6,FALSE)</f>
        <v>3</v>
      </c>
      <c r="G167" s="21" t="str">
        <f t="shared" ref="G167:G174" si="53">VLOOKUP(A167,nutrits,7,FALSE)</f>
        <v>1⁄8</v>
      </c>
      <c r="H167" s="22"/>
      <c r="I167" s="23" t="s">
        <v>25</v>
      </c>
      <c r="J167" s="21">
        <f t="shared" ref="J167:J174" si="54">VLOOKUP(A167,nutrits,3,FALSE)</f>
        <v>72</v>
      </c>
      <c r="K167" s="21" t="s">
        <v>10</v>
      </c>
      <c r="L167" s="24">
        <f t="shared" si="44"/>
        <v>0</v>
      </c>
      <c r="M167" s="21" t="s">
        <v>12</v>
      </c>
      <c r="N167" s="21">
        <f t="shared" ref="N167:N174" si="55">VLOOKUP(A167,sepdspaste,9,FALSE)</f>
        <v>1.1399999999999999</v>
      </c>
      <c r="O167" s="21" t="s">
        <v>10</v>
      </c>
      <c r="P167" s="19">
        <f t="shared" si="46"/>
        <v>0</v>
      </c>
      <c r="Q167" s="25">
        <f t="shared" si="47"/>
        <v>0</v>
      </c>
    </row>
    <row r="168" spans="1:17" ht="30">
      <c r="A168" s="21">
        <v>78986</v>
      </c>
      <c r="B168" s="78" t="str">
        <f t="shared" si="48"/>
        <v>Big Daddy's® Original(TM) Bold 16" Rolled Edge Pepperoni Pizza</v>
      </c>
      <c r="C168" s="19">
        <f t="shared" si="49"/>
        <v>4.47</v>
      </c>
      <c r="D168" s="20">
        <f t="shared" si="50"/>
        <v>0.51</v>
      </c>
      <c r="E168" s="21">
        <f t="shared" si="51"/>
        <v>2</v>
      </c>
      <c r="F168" s="21">
        <f t="shared" si="52"/>
        <v>3</v>
      </c>
      <c r="G168" s="21" t="str">
        <f t="shared" si="53"/>
        <v>1⁄8</v>
      </c>
      <c r="H168" s="22"/>
      <c r="I168" s="23" t="s">
        <v>25</v>
      </c>
      <c r="J168" s="21">
        <f t="shared" si="54"/>
        <v>72</v>
      </c>
      <c r="K168" s="21" t="s">
        <v>10</v>
      </c>
      <c r="L168" s="24">
        <f t="shared" si="44"/>
        <v>0</v>
      </c>
      <c r="M168" s="21" t="s">
        <v>12</v>
      </c>
      <c r="N168" s="21">
        <f t="shared" si="55"/>
        <v>1.1399999999999999</v>
      </c>
      <c r="O168" s="21" t="s">
        <v>10</v>
      </c>
      <c r="P168" s="19">
        <f t="shared" si="46"/>
        <v>0</v>
      </c>
      <c r="Q168" s="25">
        <f t="shared" si="47"/>
        <v>0</v>
      </c>
    </row>
    <row r="169" spans="1:17" ht="30">
      <c r="A169" s="21">
        <v>78987</v>
      </c>
      <c r="B169" s="78" t="str">
        <f t="shared" si="48"/>
        <v>Big Daddy's® Bold 16" Rolled Edge Pre-Sliced (10-cut) Cheese Pizza - CN</v>
      </c>
      <c r="C169" s="19">
        <f t="shared" si="49"/>
        <v>4.45</v>
      </c>
      <c r="D169" s="20">
        <f t="shared" si="50"/>
        <v>0.51</v>
      </c>
      <c r="E169" s="21" t="str">
        <f t="shared" si="51"/>
        <v>1 ½</v>
      </c>
      <c r="F169" s="21">
        <f t="shared" si="52"/>
        <v>2</v>
      </c>
      <c r="G169" s="21">
        <f t="shared" si="53"/>
        <v>0</v>
      </c>
      <c r="H169" s="22"/>
      <c r="I169" s="23" t="s">
        <v>25</v>
      </c>
      <c r="J169" s="21">
        <f t="shared" si="54"/>
        <v>90</v>
      </c>
      <c r="K169" s="21" t="s">
        <v>10</v>
      </c>
      <c r="L169" s="24">
        <f t="shared" si="44"/>
        <v>0</v>
      </c>
      <c r="M169" s="21" t="s">
        <v>12</v>
      </c>
      <c r="N169" s="21">
        <f t="shared" si="55"/>
        <v>1.1399999999999999</v>
      </c>
      <c r="O169" s="21" t="s">
        <v>10</v>
      </c>
      <c r="P169" s="19">
        <f t="shared" si="46"/>
        <v>0</v>
      </c>
      <c r="Q169" s="25">
        <f t="shared" si="47"/>
        <v>0</v>
      </c>
    </row>
    <row r="170" spans="1:17" ht="30">
      <c r="A170" s="21">
        <v>78992</v>
      </c>
      <c r="B170" s="78" t="str">
        <f t="shared" si="48"/>
        <v>Big Daddy's® Pre-Sliced LS Whole Grain Cheese Pizza CN</v>
      </c>
      <c r="C170" s="19">
        <f t="shared" si="49"/>
        <v>4.38</v>
      </c>
      <c r="D170" s="20">
        <f t="shared" si="50"/>
        <v>0.51</v>
      </c>
      <c r="E170" s="21">
        <f t="shared" si="51"/>
        <v>2</v>
      </c>
      <c r="F170" s="21">
        <f t="shared" si="52"/>
        <v>2</v>
      </c>
      <c r="G170" s="21" t="str">
        <f t="shared" si="53"/>
        <v>1⁄8</v>
      </c>
      <c r="H170" s="22"/>
      <c r="I170" s="23" t="s">
        <v>25</v>
      </c>
      <c r="J170" s="21">
        <f t="shared" si="54"/>
        <v>90</v>
      </c>
      <c r="K170" s="21" t="s">
        <v>10</v>
      </c>
      <c r="L170" s="24">
        <f t="shared" si="44"/>
        <v>0</v>
      </c>
      <c r="M170" s="21" t="s">
        <v>12</v>
      </c>
      <c r="N170" s="21">
        <f t="shared" si="55"/>
        <v>1.01</v>
      </c>
      <c r="O170" s="21" t="s">
        <v>10</v>
      </c>
      <c r="P170" s="19">
        <f t="shared" si="46"/>
        <v>0</v>
      </c>
      <c r="Q170" s="25">
        <f t="shared" si="47"/>
        <v>0</v>
      </c>
    </row>
    <row r="171" spans="1:17" ht="30">
      <c r="A171" s="21">
        <v>78993</v>
      </c>
      <c r="B171" s="78" t="str">
        <f t="shared" si="48"/>
        <v>Big Daddy's® Pre-Sliced Whole Grain Pizza w/ Turkey &amp; Beef Pepperoni</v>
      </c>
      <c r="C171" s="19">
        <f t="shared" si="49"/>
        <v>4.3899999999999997</v>
      </c>
      <c r="D171" s="20">
        <f t="shared" si="50"/>
        <v>0.51</v>
      </c>
      <c r="E171" s="21">
        <f t="shared" si="51"/>
        <v>2</v>
      </c>
      <c r="F171" s="21">
        <f t="shared" si="52"/>
        <v>2</v>
      </c>
      <c r="G171" s="21" t="str">
        <f t="shared" si="53"/>
        <v>1⁄8</v>
      </c>
      <c r="H171" s="22"/>
      <c r="I171" s="23" t="s">
        <v>25</v>
      </c>
      <c r="J171" s="21">
        <f t="shared" si="54"/>
        <v>90</v>
      </c>
      <c r="K171" s="21" t="s">
        <v>10</v>
      </c>
      <c r="L171" s="24">
        <f t="shared" si="44"/>
        <v>0</v>
      </c>
      <c r="M171" s="21" t="s">
        <v>12</v>
      </c>
      <c r="N171" s="21">
        <f t="shared" si="55"/>
        <v>1.01</v>
      </c>
      <c r="O171" s="21" t="s">
        <v>10</v>
      </c>
      <c r="P171" s="19">
        <f t="shared" si="46"/>
        <v>0</v>
      </c>
      <c r="Q171" s="25">
        <f t="shared" si="47"/>
        <v>0</v>
      </c>
    </row>
    <row r="172" spans="1:17" ht="30">
      <c r="A172" s="21">
        <v>78998</v>
      </c>
      <c r="B172" s="78" t="str">
        <f t="shared" si="48"/>
        <v>Big Daddy's® 16" Bold Pepperoni Pre-Sliced Pizza-CN</v>
      </c>
      <c r="C172" s="19">
        <f t="shared" si="49"/>
        <v>4.47</v>
      </c>
      <c r="D172" s="20">
        <f t="shared" si="50"/>
        <v>0.51</v>
      </c>
      <c r="E172" s="21" t="str">
        <f t="shared" si="51"/>
        <v>1 ½</v>
      </c>
      <c r="F172" s="21">
        <f t="shared" si="52"/>
        <v>2</v>
      </c>
      <c r="G172" s="21">
        <f t="shared" si="53"/>
        <v>0</v>
      </c>
      <c r="H172" s="22"/>
      <c r="I172" s="23" t="s">
        <v>25</v>
      </c>
      <c r="J172" s="21">
        <f t="shared" si="54"/>
        <v>90</v>
      </c>
      <c r="K172" s="21" t="s">
        <v>10</v>
      </c>
      <c r="L172" s="24">
        <f t="shared" si="44"/>
        <v>0</v>
      </c>
      <c r="M172" s="21" t="s">
        <v>12</v>
      </c>
      <c r="N172" s="21">
        <f t="shared" si="55"/>
        <v>1.1399999999999999</v>
      </c>
      <c r="O172" s="21" t="s">
        <v>10</v>
      </c>
      <c r="P172" s="19">
        <f t="shared" si="46"/>
        <v>0</v>
      </c>
      <c r="Q172" s="25">
        <f t="shared" si="47"/>
        <v>0</v>
      </c>
    </row>
    <row r="173" spans="1:17" ht="30">
      <c r="A173" s="18">
        <v>88005</v>
      </c>
      <c r="B173" s="78" t="str">
        <f t="shared" si="48"/>
        <v>Coyote Grill® Quesadilla Chicken 100% Cheese</v>
      </c>
      <c r="C173" s="19">
        <f t="shared" si="49"/>
        <v>4.4000000000000004</v>
      </c>
      <c r="D173" s="20">
        <f t="shared" si="50"/>
        <v>0</v>
      </c>
      <c r="E173" s="21">
        <f t="shared" si="51"/>
        <v>2</v>
      </c>
      <c r="F173" s="21">
        <f t="shared" si="52"/>
        <v>2</v>
      </c>
      <c r="G173" s="21">
        <f t="shared" si="53"/>
        <v>0</v>
      </c>
      <c r="H173" s="22"/>
      <c r="I173" s="23" t="s">
        <v>25</v>
      </c>
      <c r="J173" s="21">
        <f t="shared" si="54"/>
        <v>96</v>
      </c>
      <c r="K173" s="21" t="s">
        <v>10</v>
      </c>
      <c r="L173" s="24">
        <f t="shared" si="44"/>
        <v>0</v>
      </c>
      <c r="M173" s="21" t="s">
        <v>12</v>
      </c>
      <c r="N173" s="21">
        <f t="shared" si="55"/>
        <v>0.61</v>
      </c>
      <c r="O173" s="21" t="s">
        <v>10</v>
      </c>
      <c r="P173" s="19">
        <f t="shared" si="46"/>
        <v>0</v>
      </c>
      <c r="Q173" s="25">
        <f t="shared" si="47"/>
        <v>0</v>
      </c>
    </row>
    <row r="174" spans="1:17" ht="30">
      <c r="A174" s="18">
        <v>88007</v>
      </c>
      <c r="B174" s="78" t="str">
        <f t="shared" si="48"/>
        <v>Coyote Grill® Quesadilla Cheese 100% Mozzarella</v>
      </c>
      <c r="C174" s="19">
        <f t="shared" si="49"/>
        <v>4.4000000000000004</v>
      </c>
      <c r="D174" s="20">
        <f t="shared" si="50"/>
        <v>0</v>
      </c>
      <c r="E174" s="21">
        <f t="shared" si="51"/>
        <v>2</v>
      </c>
      <c r="F174" s="21">
        <f t="shared" si="52"/>
        <v>2</v>
      </c>
      <c r="G174" s="21">
        <f t="shared" si="53"/>
        <v>0</v>
      </c>
      <c r="H174" s="22"/>
      <c r="I174" s="23" t="s">
        <v>25</v>
      </c>
      <c r="J174" s="21">
        <f t="shared" si="54"/>
        <v>96</v>
      </c>
      <c r="K174" s="21" t="s">
        <v>10</v>
      </c>
      <c r="L174" s="24">
        <f t="shared" si="44"/>
        <v>0</v>
      </c>
      <c r="M174" s="21" t="s">
        <v>12</v>
      </c>
      <c r="N174" s="21">
        <f t="shared" si="55"/>
        <v>0.63</v>
      </c>
      <c r="O174" s="21" t="s">
        <v>10</v>
      </c>
      <c r="P174" s="19">
        <f t="shared" si="46"/>
        <v>0</v>
      </c>
      <c r="Q174" s="25">
        <f t="shared" si="47"/>
        <v>0</v>
      </c>
    </row>
    <row r="175" spans="1:17">
      <c r="A175" s="242" t="s">
        <v>73</v>
      </c>
      <c r="B175" s="243"/>
      <c r="C175" s="244"/>
      <c r="D175" s="244"/>
      <c r="E175" s="244"/>
      <c r="F175" s="244"/>
      <c r="G175" s="244"/>
      <c r="H175" s="27"/>
      <c r="I175" s="28"/>
      <c r="J175" s="29"/>
      <c r="K175" s="30"/>
      <c r="L175" s="31"/>
      <c r="M175" s="32"/>
      <c r="N175" s="27"/>
      <c r="O175" s="33"/>
      <c r="P175" s="34">
        <f>SUM(P7:P174)</f>
        <v>0</v>
      </c>
      <c r="Q175" s="34">
        <f>SUM(Q7:Q174)</f>
        <v>0</v>
      </c>
    </row>
    <row r="176" spans="1:17" s="44" customFormat="1">
      <c r="A176" s="35"/>
      <c r="B176" s="35"/>
      <c r="C176" s="36"/>
      <c r="D176" s="36"/>
      <c r="E176" s="36"/>
      <c r="F176" s="36"/>
      <c r="G176" s="36"/>
      <c r="H176" s="37"/>
      <c r="I176" s="38"/>
      <c r="J176" s="39"/>
      <c r="K176" s="40"/>
      <c r="L176" s="41"/>
      <c r="M176" s="42"/>
      <c r="N176" s="37"/>
      <c r="O176" s="40"/>
      <c r="P176" s="43"/>
      <c r="Q176" s="43"/>
    </row>
    <row r="177" spans="1:18" ht="27.75" customHeight="1">
      <c r="A177" s="45" t="s">
        <v>50</v>
      </c>
      <c r="B177" s="46"/>
      <c r="C177" s="47"/>
      <c r="D177" s="48"/>
      <c r="E177" s="47"/>
      <c r="F177" s="47"/>
      <c r="G177" s="49"/>
      <c r="H177" s="50" t="s">
        <v>51</v>
      </c>
      <c r="I177" s="51"/>
      <c r="J177" s="52"/>
      <c r="K177" s="53"/>
      <c r="L177" s="51"/>
      <c r="M177" s="53"/>
      <c r="N177" s="54"/>
      <c r="O177" s="54"/>
      <c r="P177" s="54"/>
      <c r="Q177" s="54"/>
      <c r="R177" s="54"/>
    </row>
    <row r="178" spans="1:18" ht="27.75" customHeight="1">
      <c r="A178" s="45" t="s">
        <v>52</v>
      </c>
      <c r="B178" s="46"/>
      <c r="C178" s="47"/>
      <c r="D178" s="48"/>
      <c r="E178" s="47"/>
      <c r="F178" s="47"/>
      <c r="G178" s="49"/>
      <c r="H178" s="45" t="s">
        <v>53</v>
      </c>
      <c r="I178" s="51"/>
      <c r="J178" s="52"/>
      <c r="K178" s="53"/>
      <c r="L178" s="51"/>
      <c r="M178" s="53"/>
      <c r="N178" s="55"/>
      <c r="O178" s="55"/>
      <c r="P178" s="55"/>
      <c r="Q178" s="55"/>
      <c r="R178" s="55"/>
    </row>
    <row r="179" spans="1:18" ht="27.75" customHeight="1">
      <c r="A179" s="45" t="s">
        <v>54</v>
      </c>
      <c r="B179" s="46"/>
      <c r="C179" s="47"/>
      <c r="D179" s="48"/>
      <c r="E179" s="47"/>
      <c r="F179" s="47"/>
      <c r="G179" s="49"/>
      <c r="H179" s="45" t="s">
        <v>55</v>
      </c>
      <c r="I179" s="51"/>
      <c r="J179" s="52"/>
      <c r="K179" s="53"/>
      <c r="L179" s="51"/>
      <c r="M179" s="53"/>
      <c r="N179" s="54"/>
      <c r="O179" s="54"/>
      <c r="P179" s="54"/>
      <c r="Q179" s="54"/>
      <c r="R179" s="54"/>
    </row>
    <row r="180" spans="1:18" ht="27.75" customHeight="1" thickBot="1">
      <c r="A180" s="45" t="s">
        <v>56</v>
      </c>
      <c r="B180" s="46"/>
      <c r="C180" s="47"/>
      <c r="D180" s="48"/>
      <c r="E180" s="56" t="s">
        <v>57</v>
      </c>
      <c r="F180" s="57"/>
      <c r="G180" s="58"/>
      <c r="H180" s="49"/>
      <c r="I180" s="49"/>
      <c r="J180" s="49"/>
      <c r="K180" s="49"/>
      <c r="L180" s="59"/>
      <c r="M180" s="49"/>
      <c r="N180" s="49"/>
      <c r="O180" s="60"/>
      <c r="P180" s="49"/>
      <c r="Q180" s="49"/>
    </row>
    <row r="181" spans="1:18" ht="27.75" customHeight="1">
      <c r="A181" s="61" t="s">
        <v>58</v>
      </c>
      <c r="B181" s="62"/>
      <c r="C181" s="47"/>
      <c r="D181" s="74"/>
      <c r="E181" s="63" t="s">
        <v>59</v>
      </c>
      <c r="F181" s="64"/>
      <c r="G181" s="64"/>
      <c r="H181" s="64"/>
      <c r="I181" s="65"/>
      <c r="J181" s="65"/>
      <c r="K181" s="64"/>
      <c r="L181" s="66" t="s">
        <v>60</v>
      </c>
      <c r="M181" s="65"/>
      <c r="N181" s="65"/>
      <c r="O181" s="65"/>
      <c r="P181" s="65"/>
      <c r="Q181" s="67"/>
    </row>
    <row r="182" spans="1:18" ht="27.75" customHeight="1" thickBot="1">
      <c r="A182" s="61" t="s">
        <v>61</v>
      </c>
      <c r="B182" s="62"/>
      <c r="C182" s="47"/>
      <c r="D182" s="74"/>
      <c r="E182" s="68" t="s">
        <v>62</v>
      </c>
      <c r="F182" s="69"/>
      <c r="G182" s="70"/>
      <c r="H182" s="70"/>
      <c r="I182" s="71"/>
      <c r="J182" s="71"/>
      <c r="K182" s="70"/>
      <c r="L182" s="72" t="s">
        <v>63</v>
      </c>
      <c r="M182" s="71"/>
      <c r="N182" s="71"/>
      <c r="O182" s="71"/>
      <c r="P182" s="71"/>
      <c r="Q182" s="73"/>
    </row>
    <row r="183" spans="1:18" s="84" customFormat="1" ht="27.75" customHeight="1">
      <c r="A183" s="81"/>
      <c r="B183" s="82"/>
      <c r="C183" s="47"/>
      <c r="D183" s="74"/>
      <c r="E183" s="74"/>
      <c r="F183" s="75"/>
      <c r="G183" s="75"/>
      <c r="H183" s="75"/>
      <c r="I183" s="76"/>
      <c r="J183" s="76"/>
      <c r="K183" s="77"/>
      <c r="L183" s="76"/>
      <c r="M183" s="76"/>
      <c r="N183" s="76"/>
      <c r="O183" s="76"/>
      <c r="P183" s="76"/>
      <c r="Q183" s="76"/>
      <c r="R183" s="83"/>
    </row>
  </sheetData>
  <sheetProtection password="D975" sheet="1" objects="1" scenarios="1" selectLockedCells="1"/>
  <protectedRanges>
    <protectedRange sqref="H7:H174" name="Estimated Servings"/>
  </protectedRanges>
  <mergeCells count="21">
    <mergeCell ref="C1:F3"/>
    <mergeCell ref="L1:Q2"/>
    <mergeCell ref="L3:Q3"/>
    <mergeCell ref="L4:Q4"/>
    <mergeCell ref="A5:B6"/>
    <mergeCell ref="C5:C6"/>
    <mergeCell ref="D5:D6"/>
    <mergeCell ref="E5:E6"/>
    <mergeCell ref="F5:F6"/>
    <mergeCell ref="G5:G6"/>
    <mergeCell ref="N5:N6"/>
    <mergeCell ref="O5:O6"/>
    <mergeCell ref="P5:P6"/>
    <mergeCell ref="Q5:Q6"/>
    <mergeCell ref="L5:L6"/>
    <mergeCell ref="M5:M6"/>
    <mergeCell ref="A175:G175"/>
    <mergeCell ref="H5:H6"/>
    <mergeCell ref="I5:I6"/>
    <mergeCell ref="J5:J6"/>
    <mergeCell ref="K5:K6"/>
  </mergeCells>
  <pageMargins left="0.7" right="0.7" top="0.75" bottom="0.75" header="0.3" footer="0.3"/>
  <pageSetup scale="80" orientation="landscape" r:id="rId1"/>
  <drawing r:id="rId2"/>
</worksheet>
</file>

<file path=xl/worksheets/sheet3.xml><?xml version="1.0" encoding="utf-8"?>
<worksheet xmlns="http://schemas.openxmlformats.org/spreadsheetml/2006/main" xmlns:r="http://schemas.openxmlformats.org/officeDocument/2006/relationships">
  <dimension ref="A1:W55"/>
  <sheetViews>
    <sheetView zoomScale="65" zoomScaleNormal="75" zoomScaleSheetLayoutView="75" workbookViewId="0">
      <selection activeCell="N40" sqref="N40"/>
    </sheetView>
  </sheetViews>
  <sheetFormatPr defaultRowHeight="12.75"/>
  <cols>
    <col min="1" max="1" width="1" style="86" customWidth="1"/>
    <col min="2" max="2" width="29.42578125" style="90" hidden="1" customWidth="1"/>
    <col min="3" max="3" width="12.5703125" style="89" customWidth="1"/>
    <col min="4" max="4" width="13.140625" style="89" customWidth="1"/>
    <col min="5" max="5" width="9" style="89" customWidth="1"/>
    <col min="6" max="6" width="9.5703125" style="86" customWidth="1"/>
    <col min="7" max="7" width="10.42578125" style="86" customWidth="1"/>
    <col min="8" max="8" width="71" style="86" customWidth="1"/>
    <col min="9" max="9" width="17.85546875" style="86" customWidth="1"/>
    <col min="10" max="10" width="16.7109375" style="88" customWidth="1"/>
    <col min="11" max="11" width="8.7109375" style="86" customWidth="1"/>
    <col min="12" max="12" width="9.85546875" style="86" customWidth="1"/>
    <col min="13" max="13" width="13" style="86" customWidth="1"/>
    <col min="14" max="14" width="11" style="86" customWidth="1"/>
    <col min="15" max="15" width="11.7109375" style="86" customWidth="1"/>
    <col min="16" max="16" width="14" style="86" customWidth="1"/>
    <col min="17" max="17" width="11.7109375" style="86" customWidth="1"/>
    <col min="18" max="18" width="1.140625" style="86" customWidth="1"/>
    <col min="19" max="19" width="11.5703125" style="87" customWidth="1"/>
    <col min="20" max="20" width="13.5703125" style="86" customWidth="1"/>
    <col min="21" max="22" width="9.140625" style="86"/>
    <col min="23" max="23" width="9.7109375" style="86" bestFit="1" customWidth="1"/>
    <col min="24" max="16384" width="9.140625" style="86"/>
  </cols>
  <sheetData>
    <row r="1" spans="1:23" ht="11.25" customHeight="1" thickBot="1">
      <c r="A1" s="103">
        <v>65</v>
      </c>
      <c r="B1" s="226"/>
      <c r="C1" s="128"/>
      <c r="D1" s="128"/>
      <c r="E1" s="128"/>
      <c r="F1" s="103"/>
      <c r="G1" s="103"/>
      <c r="H1" s="103"/>
      <c r="I1" s="103"/>
      <c r="J1" s="223"/>
      <c r="K1" s="103"/>
      <c r="L1" s="103"/>
      <c r="M1" s="103"/>
      <c r="N1" s="103"/>
      <c r="O1" s="103" t="s">
        <v>252</v>
      </c>
      <c r="P1" s="103"/>
      <c r="Q1" s="232"/>
      <c r="R1" s="231"/>
      <c r="S1" s="198"/>
      <c r="T1" s="91"/>
    </row>
    <row r="2" spans="1:23" ht="27.75" customHeight="1" thickBot="1">
      <c r="A2" s="103"/>
      <c r="B2" s="226"/>
      <c r="C2" s="128"/>
      <c r="D2" s="128"/>
      <c r="E2" s="128"/>
      <c r="F2" s="103"/>
      <c r="G2" s="230" t="s">
        <v>259</v>
      </c>
      <c r="H2" s="119"/>
      <c r="I2" s="285" t="s">
        <v>258</v>
      </c>
      <c r="J2" s="286"/>
      <c r="K2" s="103"/>
      <c r="L2" s="103"/>
      <c r="M2" s="103"/>
      <c r="N2" s="103"/>
      <c r="O2" s="103"/>
      <c r="P2" s="103"/>
      <c r="Q2" s="103"/>
      <c r="R2" s="103"/>
      <c r="S2" s="198"/>
      <c r="T2" s="91"/>
    </row>
    <row r="3" spans="1:23" ht="21.75" customHeight="1">
      <c r="A3" s="103"/>
      <c r="B3" s="226"/>
      <c r="C3" s="128"/>
      <c r="D3" s="128"/>
      <c r="E3" s="128"/>
      <c r="F3" s="103"/>
      <c r="G3" s="229" t="s">
        <v>257</v>
      </c>
      <c r="H3" s="103"/>
      <c r="I3" s="103"/>
      <c r="J3" s="223"/>
      <c r="K3" s="103"/>
      <c r="L3" s="103"/>
      <c r="M3" s="103"/>
      <c r="N3" s="103"/>
      <c r="O3" s="103"/>
      <c r="P3" s="103"/>
      <c r="Q3" s="103"/>
      <c r="R3" s="103"/>
      <c r="S3" s="198"/>
      <c r="T3" s="91"/>
    </row>
    <row r="4" spans="1:23" ht="19.5" customHeight="1" thickBot="1">
      <c r="A4" s="103"/>
      <c r="B4" s="226"/>
      <c r="C4" s="128"/>
      <c r="D4" s="128"/>
      <c r="E4" s="128"/>
      <c r="F4" s="103"/>
      <c r="G4" s="225" t="s">
        <v>256</v>
      </c>
      <c r="H4" s="103"/>
      <c r="I4" s="228" t="s">
        <v>255</v>
      </c>
      <c r="J4" s="223"/>
      <c r="K4" s="103"/>
      <c r="L4" s="103"/>
      <c r="M4" s="103"/>
      <c r="N4" s="103"/>
      <c r="O4" s="227"/>
      <c r="P4" s="103"/>
      <c r="Q4" s="103"/>
      <c r="R4" s="103"/>
      <c r="S4" s="198"/>
      <c r="T4" s="91"/>
    </row>
    <row r="5" spans="1:23" ht="20.25" customHeight="1" thickBot="1">
      <c r="A5" s="103"/>
      <c r="B5" s="226"/>
      <c r="C5" s="128"/>
      <c r="D5" s="128"/>
      <c r="E5" s="128"/>
      <c r="F5" s="103"/>
      <c r="G5" s="225" t="s">
        <v>254</v>
      </c>
      <c r="H5" s="103"/>
      <c r="I5" s="224"/>
      <c r="J5" s="223"/>
      <c r="K5" s="103"/>
      <c r="L5" s="103"/>
      <c r="M5" s="103"/>
      <c r="N5" s="287" t="s">
        <v>253</v>
      </c>
      <c r="O5" s="288"/>
      <c r="P5" s="288"/>
      <c r="Q5" s="289"/>
      <c r="R5" s="103"/>
      <c r="S5" s="198"/>
      <c r="T5" s="91"/>
    </row>
    <row r="6" spans="1:23" s="191" customFormat="1" ht="13.5" customHeight="1" thickBot="1">
      <c r="A6" s="192"/>
      <c r="B6" s="222"/>
      <c r="C6" s="206"/>
      <c r="D6" s="206"/>
      <c r="E6" s="206"/>
      <c r="F6" s="221"/>
      <c r="G6" s="220"/>
      <c r="H6" s="205" t="s">
        <v>252</v>
      </c>
      <c r="I6" s="192"/>
      <c r="J6" s="219"/>
      <c r="K6" s="192"/>
      <c r="L6" s="192"/>
      <c r="M6" s="192"/>
      <c r="N6" s="290" t="s">
        <v>251</v>
      </c>
      <c r="O6" s="291"/>
      <c r="P6" s="290" t="s">
        <v>250</v>
      </c>
      <c r="Q6" s="291"/>
      <c r="R6" s="192"/>
      <c r="S6" s="218"/>
      <c r="T6" s="217"/>
    </row>
    <row r="7" spans="1:23" s="207" customFormat="1" ht="57" thickBot="1">
      <c r="A7" s="210"/>
      <c r="B7" s="216" t="s">
        <v>249</v>
      </c>
      <c r="C7" s="213" t="s">
        <v>248</v>
      </c>
      <c r="D7" s="212" t="s">
        <v>247</v>
      </c>
      <c r="E7" s="212" t="s">
        <v>246</v>
      </c>
      <c r="F7" s="212" t="s">
        <v>245</v>
      </c>
      <c r="G7" s="276" t="s">
        <v>244</v>
      </c>
      <c r="H7" s="276"/>
      <c r="I7" s="212" t="s">
        <v>243</v>
      </c>
      <c r="J7" s="215" t="s">
        <v>242</v>
      </c>
      <c r="K7" s="212" t="s">
        <v>241</v>
      </c>
      <c r="L7" s="212" t="s">
        <v>240</v>
      </c>
      <c r="M7" s="214" t="s">
        <v>239</v>
      </c>
      <c r="N7" s="213" t="s">
        <v>238</v>
      </c>
      <c r="O7" s="211" t="s">
        <v>236</v>
      </c>
      <c r="P7" s="212" t="s">
        <v>237</v>
      </c>
      <c r="Q7" s="211" t="s">
        <v>236</v>
      </c>
      <c r="R7" s="210"/>
      <c r="S7" s="209"/>
      <c r="T7" s="208"/>
    </row>
    <row r="8" spans="1:23" ht="35.25" customHeight="1" thickBot="1">
      <c r="A8" s="103"/>
      <c r="B8" s="97"/>
      <c r="C8" s="97"/>
      <c r="D8" s="206"/>
      <c r="E8" s="205" t="s">
        <v>235</v>
      </c>
      <c r="F8" s="97"/>
      <c r="G8" s="97"/>
      <c r="H8" s="97"/>
      <c r="I8" s="204"/>
      <c r="J8" s="203"/>
      <c r="K8" s="200" t="s">
        <v>234</v>
      </c>
      <c r="L8" s="202"/>
      <c r="M8" s="201">
        <v>0.36120000000000002</v>
      </c>
      <c r="N8" s="200" t="s">
        <v>233</v>
      </c>
      <c r="O8" s="199" t="s">
        <v>232</v>
      </c>
      <c r="P8" s="200" t="s">
        <v>231</v>
      </c>
      <c r="Q8" s="199" t="s">
        <v>230</v>
      </c>
      <c r="R8" s="103"/>
      <c r="S8" s="198"/>
      <c r="T8" s="91"/>
      <c r="U8" s="119"/>
    </row>
    <row r="9" spans="1:23" ht="20.100000000000001" customHeight="1">
      <c r="A9" s="103"/>
      <c r="B9" s="140" t="s">
        <v>95</v>
      </c>
      <c r="C9" s="139" t="s">
        <v>229</v>
      </c>
      <c r="D9" s="99" t="s">
        <v>228</v>
      </c>
      <c r="E9" s="173">
        <v>1151</v>
      </c>
      <c r="F9" s="99" t="s">
        <v>186</v>
      </c>
      <c r="G9" s="172" t="s">
        <v>227</v>
      </c>
      <c r="H9" s="158"/>
      <c r="I9" s="136" t="s">
        <v>226</v>
      </c>
      <c r="J9" s="171" t="s">
        <v>225</v>
      </c>
      <c r="K9" s="134">
        <v>9.81</v>
      </c>
      <c r="L9" s="133">
        <f t="shared" ref="L9:L18" si="0">39900/$K9</f>
        <v>4067.2782874617733</v>
      </c>
      <c r="M9" s="132">
        <f>ROUND(+$M$8*$K9,2)</f>
        <v>3.54</v>
      </c>
      <c r="N9" s="168"/>
      <c r="O9" s="167">
        <f t="shared" ref="O9:O18" si="1">K9*N9</f>
        <v>0</v>
      </c>
      <c r="P9" s="166"/>
      <c r="Q9" s="165">
        <f t="shared" ref="Q9:Q18" si="2">($P9/$E9)*$K9</f>
        <v>0</v>
      </c>
      <c r="R9" s="103"/>
      <c r="S9" s="142">
        <f t="shared" ref="S9:S18" si="3">N9*M9</f>
        <v>0</v>
      </c>
      <c r="T9" s="142">
        <f t="shared" ref="T9:T18" si="4">(P9/E9)*M9</f>
        <v>0</v>
      </c>
      <c r="U9" s="141"/>
      <c r="W9" s="147"/>
    </row>
    <row r="10" spans="1:23" ht="20.100000000000001" customHeight="1">
      <c r="A10" s="103"/>
      <c r="B10" s="140"/>
      <c r="C10" s="99" t="s">
        <v>216</v>
      </c>
      <c r="D10" s="99" t="s">
        <v>215</v>
      </c>
      <c r="E10" s="197">
        <v>1140</v>
      </c>
      <c r="F10" s="99" t="s">
        <v>186</v>
      </c>
      <c r="G10" s="196" t="s">
        <v>224</v>
      </c>
      <c r="H10" s="181"/>
      <c r="I10" s="136" t="s">
        <v>223</v>
      </c>
      <c r="J10" s="193" t="s">
        <v>222</v>
      </c>
      <c r="K10" s="134">
        <v>10.39</v>
      </c>
      <c r="L10" s="133">
        <f t="shared" si="0"/>
        <v>3840.2309913378244</v>
      </c>
      <c r="M10" s="132">
        <f>ROUND(+$M$8*K10,2)</f>
        <v>3.75</v>
      </c>
      <c r="N10" s="157"/>
      <c r="O10" s="156">
        <f t="shared" si="1"/>
        <v>0</v>
      </c>
      <c r="P10" s="155"/>
      <c r="Q10" s="154">
        <f t="shared" si="2"/>
        <v>0</v>
      </c>
      <c r="R10" s="103"/>
      <c r="S10" s="142">
        <f t="shared" si="3"/>
        <v>0</v>
      </c>
      <c r="T10" s="142">
        <f t="shared" si="4"/>
        <v>0</v>
      </c>
      <c r="U10" s="141"/>
      <c r="W10" s="147"/>
    </row>
    <row r="11" spans="1:23" ht="20.100000000000001" customHeight="1">
      <c r="A11" s="103"/>
      <c r="B11" s="163" t="s">
        <v>221</v>
      </c>
      <c r="C11" s="99" t="s">
        <v>216</v>
      </c>
      <c r="D11" s="99" t="s">
        <v>215</v>
      </c>
      <c r="E11" s="195">
        <v>1141</v>
      </c>
      <c r="F11" s="99" t="s">
        <v>186</v>
      </c>
      <c r="G11" s="172" t="s">
        <v>220</v>
      </c>
      <c r="H11" s="158"/>
      <c r="I11" s="136" t="s">
        <v>219</v>
      </c>
      <c r="J11" s="171" t="s">
        <v>218</v>
      </c>
      <c r="K11" s="134">
        <v>9.7200000000000006</v>
      </c>
      <c r="L11" s="133">
        <f t="shared" si="0"/>
        <v>4104.9382716049377</v>
      </c>
      <c r="M11" s="132">
        <f t="shared" ref="M11:M18" si="5">ROUND(+$M$8*$K11,2)</f>
        <v>3.51</v>
      </c>
      <c r="N11" s="157"/>
      <c r="O11" s="156">
        <f t="shared" si="1"/>
        <v>0</v>
      </c>
      <c r="P11" s="155"/>
      <c r="Q11" s="154">
        <f t="shared" si="2"/>
        <v>0</v>
      </c>
      <c r="R11" s="103"/>
      <c r="S11" s="142">
        <f t="shared" si="3"/>
        <v>0</v>
      </c>
      <c r="T11" s="142">
        <f t="shared" si="4"/>
        <v>0</v>
      </c>
      <c r="U11" s="141"/>
      <c r="W11" s="147"/>
    </row>
    <row r="12" spans="1:23" s="191" customFormat="1" ht="20.100000000000001" customHeight="1">
      <c r="A12" s="192"/>
      <c r="B12" s="163" t="s">
        <v>217</v>
      </c>
      <c r="C12" s="99" t="s">
        <v>216</v>
      </c>
      <c r="D12" s="99" t="s">
        <v>215</v>
      </c>
      <c r="E12" s="173">
        <v>1141</v>
      </c>
      <c r="F12" s="99" t="s">
        <v>186</v>
      </c>
      <c r="G12" s="172" t="s">
        <v>214</v>
      </c>
      <c r="H12" s="158"/>
      <c r="I12" s="136" t="s">
        <v>213</v>
      </c>
      <c r="J12" s="171" t="s">
        <v>212</v>
      </c>
      <c r="K12" s="134">
        <v>9.7200000000000006</v>
      </c>
      <c r="L12" s="133">
        <f t="shared" si="0"/>
        <v>4104.9382716049377</v>
      </c>
      <c r="M12" s="132">
        <f t="shared" si="5"/>
        <v>3.51</v>
      </c>
      <c r="N12" s="157"/>
      <c r="O12" s="156">
        <f t="shared" si="1"/>
        <v>0</v>
      </c>
      <c r="P12" s="155"/>
      <c r="Q12" s="154">
        <f t="shared" si="2"/>
        <v>0</v>
      </c>
      <c r="R12" s="192"/>
      <c r="S12" s="142">
        <f t="shared" si="3"/>
        <v>0</v>
      </c>
      <c r="T12" s="142">
        <f t="shared" si="4"/>
        <v>0</v>
      </c>
      <c r="U12" s="141"/>
      <c r="W12" s="147"/>
    </row>
    <row r="13" spans="1:23" s="191" customFormat="1" ht="20.100000000000001" customHeight="1">
      <c r="A13" s="192"/>
      <c r="B13" s="163" t="s">
        <v>211</v>
      </c>
      <c r="C13" s="99" t="s">
        <v>210</v>
      </c>
      <c r="D13" s="99" t="s">
        <v>209</v>
      </c>
      <c r="E13" s="173">
        <v>961</v>
      </c>
      <c r="F13" s="99" t="s">
        <v>186</v>
      </c>
      <c r="G13" s="172" t="s">
        <v>208</v>
      </c>
      <c r="H13" s="158"/>
      <c r="I13" s="194" t="s">
        <v>207</v>
      </c>
      <c r="J13" s="171" t="s">
        <v>206</v>
      </c>
      <c r="K13" s="134">
        <v>8.23</v>
      </c>
      <c r="L13" s="133">
        <f t="shared" si="0"/>
        <v>4848.1166464155522</v>
      </c>
      <c r="M13" s="132">
        <f t="shared" si="5"/>
        <v>2.97</v>
      </c>
      <c r="N13" s="157"/>
      <c r="O13" s="156">
        <f t="shared" si="1"/>
        <v>0</v>
      </c>
      <c r="P13" s="155"/>
      <c r="Q13" s="154">
        <f t="shared" si="2"/>
        <v>0</v>
      </c>
      <c r="R13" s="192"/>
      <c r="S13" s="142">
        <f t="shared" si="3"/>
        <v>0</v>
      </c>
      <c r="T13" s="142">
        <f t="shared" si="4"/>
        <v>0</v>
      </c>
      <c r="U13" s="141"/>
      <c r="W13" s="147"/>
    </row>
    <row r="14" spans="1:23" ht="20.100000000000001" customHeight="1">
      <c r="A14" s="103"/>
      <c r="B14" s="163" t="s">
        <v>205</v>
      </c>
      <c r="C14" s="99" t="s">
        <v>201</v>
      </c>
      <c r="D14" s="99" t="s">
        <v>187</v>
      </c>
      <c r="E14" s="169">
        <v>760</v>
      </c>
      <c r="F14" s="99" t="s">
        <v>186</v>
      </c>
      <c r="G14" s="172" t="s">
        <v>204</v>
      </c>
      <c r="H14" s="158"/>
      <c r="I14" s="136" t="s">
        <v>203</v>
      </c>
      <c r="J14" s="185" t="s">
        <v>202</v>
      </c>
      <c r="K14" s="134">
        <v>6.48</v>
      </c>
      <c r="L14" s="133">
        <f t="shared" si="0"/>
        <v>6157.4074074074069</v>
      </c>
      <c r="M14" s="132">
        <f t="shared" si="5"/>
        <v>2.34</v>
      </c>
      <c r="N14" s="157"/>
      <c r="O14" s="156">
        <f t="shared" si="1"/>
        <v>0</v>
      </c>
      <c r="P14" s="155"/>
      <c r="Q14" s="154">
        <f t="shared" si="2"/>
        <v>0</v>
      </c>
      <c r="R14" s="103"/>
      <c r="S14" s="142">
        <f t="shared" si="3"/>
        <v>0</v>
      </c>
      <c r="T14" s="142">
        <f t="shared" si="4"/>
        <v>0</v>
      </c>
      <c r="U14" s="141"/>
      <c r="W14" s="147"/>
    </row>
    <row r="15" spans="1:23" s="191" customFormat="1" ht="20.100000000000001" customHeight="1">
      <c r="A15" s="192"/>
      <c r="B15" s="163"/>
      <c r="C15" s="99" t="s">
        <v>201</v>
      </c>
      <c r="D15" s="99" t="s">
        <v>187</v>
      </c>
      <c r="E15" s="169">
        <v>760</v>
      </c>
      <c r="F15" s="99" t="s">
        <v>186</v>
      </c>
      <c r="G15" s="184" t="s">
        <v>200</v>
      </c>
      <c r="H15" s="183"/>
      <c r="I15" s="136" t="s">
        <v>199</v>
      </c>
      <c r="J15" s="193" t="s">
        <v>198</v>
      </c>
      <c r="K15" s="134">
        <v>6.93</v>
      </c>
      <c r="L15" s="133">
        <f t="shared" si="0"/>
        <v>5757.575757575758</v>
      </c>
      <c r="M15" s="132">
        <f t="shared" si="5"/>
        <v>2.5</v>
      </c>
      <c r="N15" s="157"/>
      <c r="O15" s="156">
        <f t="shared" si="1"/>
        <v>0</v>
      </c>
      <c r="P15" s="155"/>
      <c r="Q15" s="154">
        <f t="shared" si="2"/>
        <v>0</v>
      </c>
      <c r="R15" s="192"/>
      <c r="S15" s="142">
        <f t="shared" si="3"/>
        <v>0</v>
      </c>
      <c r="T15" s="142">
        <f t="shared" si="4"/>
        <v>0</v>
      </c>
      <c r="U15" s="141"/>
      <c r="W15" s="147"/>
    </row>
    <row r="16" spans="1:23" s="191" customFormat="1" ht="20.100000000000001" customHeight="1">
      <c r="A16" s="192"/>
      <c r="B16" s="163"/>
      <c r="C16" s="99" t="s">
        <v>188</v>
      </c>
      <c r="D16" s="99" t="s">
        <v>197</v>
      </c>
      <c r="E16" s="169">
        <v>1161</v>
      </c>
      <c r="F16" s="99" t="s">
        <v>186</v>
      </c>
      <c r="G16" s="172" t="s">
        <v>196</v>
      </c>
      <c r="H16" s="158"/>
      <c r="I16" s="136" t="s">
        <v>195</v>
      </c>
      <c r="J16" s="171" t="s">
        <v>194</v>
      </c>
      <c r="K16" s="134">
        <v>9.89</v>
      </c>
      <c r="L16" s="133">
        <f t="shared" si="0"/>
        <v>4034.3781597573302</v>
      </c>
      <c r="M16" s="132">
        <f t="shared" si="5"/>
        <v>3.57</v>
      </c>
      <c r="N16" s="157"/>
      <c r="O16" s="156">
        <f t="shared" si="1"/>
        <v>0</v>
      </c>
      <c r="P16" s="155"/>
      <c r="Q16" s="154">
        <f t="shared" si="2"/>
        <v>0</v>
      </c>
      <c r="R16" s="192"/>
      <c r="S16" s="142">
        <f t="shared" si="3"/>
        <v>0</v>
      </c>
      <c r="T16" s="142">
        <f t="shared" si="4"/>
        <v>0</v>
      </c>
      <c r="U16" s="141"/>
      <c r="W16" s="147"/>
    </row>
    <row r="17" spans="1:23" ht="20.100000000000001" customHeight="1">
      <c r="A17" s="103"/>
      <c r="B17" s="163" t="s">
        <v>189</v>
      </c>
      <c r="C17" s="99" t="s">
        <v>188</v>
      </c>
      <c r="D17" s="99" t="s">
        <v>193</v>
      </c>
      <c r="E17" s="173">
        <v>774</v>
      </c>
      <c r="F17" s="99" t="s">
        <v>186</v>
      </c>
      <c r="G17" s="172" t="s">
        <v>192</v>
      </c>
      <c r="H17" s="158"/>
      <c r="I17" s="136" t="s">
        <v>191</v>
      </c>
      <c r="J17" s="171" t="s">
        <v>190</v>
      </c>
      <c r="K17" s="134">
        <v>6.6</v>
      </c>
      <c r="L17" s="133">
        <f t="shared" si="0"/>
        <v>6045.454545454546</v>
      </c>
      <c r="M17" s="132">
        <f t="shared" si="5"/>
        <v>2.38</v>
      </c>
      <c r="N17" s="190"/>
      <c r="O17" s="189">
        <f t="shared" si="1"/>
        <v>0</v>
      </c>
      <c r="P17" s="188"/>
      <c r="Q17" s="187">
        <f t="shared" si="2"/>
        <v>0</v>
      </c>
      <c r="R17" s="103"/>
      <c r="S17" s="142">
        <f t="shared" si="3"/>
        <v>0</v>
      </c>
      <c r="T17" s="142">
        <f t="shared" si="4"/>
        <v>0</v>
      </c>
      <c r="U17" s="141"/>
      <c r="W17" s="147"/>
    </row>
    <row r="18" spans="1:23" ht="20.100000000000001" customHeight="1" thickBot="1">
      <c r="A18" s="103"/>
      <c r="B18" s="163" t="s">
        <v>189</v>
      </c>
      <c r="C18" s="99" t="s">
        <v>188</v>
      </c>
      <c r="D18" s="99" t="s">
        <v>187</v>
      </c>
      <c r="E18" s="173">
        <v>760</v>
      </c>
      <c r="F18" s="99" t="s">
        <v>186</v>
      </c>
      <c r="G18" s="186" t="s">
        <v>185</v>
      </c>
      <c r="H18" s="158"/>
      <c r="I18" s="136" t="s">
        <v>184</v>
      </c>
      <c r="J18" s="185" t="s">
        <v>183</v>
      </c>
      <c r="K18" s="134">
        <v>6.93</v>
      </c>
      <c r="L18" s="133">
        <f t="shared" si="0"/>
        <v>5757.575757575758</v>
      </c>
      <c r="M18" s="132">
        <f t="shared" si="5"/>
        <v>2.5</v>
      </c>
      <c r="N18" s="153"/>
      <c r="O18" s="152">
        <f t="shared" si="1"/>
        <v>0</v>
      </c>
      <c r="P18" s="151"/>
      <c r="Q18" s="150">
        <f t="shared" si="2"/>
        <v>0</v>
      </c>
      <c r="R18" s="103"/>
      <c r="S18" s="142">
        <f t="shared" si="3"/>
        <v>0</v>
      </c>
      <c r="T18" s="142">
        <f t="shared" si="4"/>
        <v>0</v>
      </c>
      <c r="U18" s="141"/>
      <c r="W18" s="147"/>
    </row>
    <row r="19" spans="1:23" ht="19.5" customHeight="1" thickBot="1">
      <c r="A19" s="103"/>
      <c r="B19" s="163"/>
      <c r="C19" s="99"/>
      <c r="D19" s="99"/>
      <c r="E19" s="173"/>
      <c r="F19" s="99"/>
      <c r="G19" s="172"/>
      <c r="H19" s="158"/>
      <c r="I19" s="136"/>
      <c r="J19" s="171"/>
      <c r="K19" s="134"/>
      <c r="L19" s="133"/>
      <c r="M19" s="132"/>
      <c r="N19" s="170"/>
      <c r="O19" s="130"/>
      <c r="P19" s="170"/>
      <c r="Q19" s="130"/>
      <c r="R19" s="103"/>
      <c r="S19" s="142"/>
      <c r="T19" s="142"/>
      <c r="U19" s="141"/>
      <c r="W19" s="147"/>
    </row>
    <row r="20" spans="1:23" ht="19.5" customHeight="1">
      <c r="A20" s="103"/>
      <c r="B20" s="163" t="s">
        <v>182</v>
      </c>
      <c r="C20" s="99" t="s">
        <v>178</v>
      </c>
      <c r="D20" s="99" t="s">
        <v>177</v>
      </c>
      <c r="E20" s="173">
        <v>1000</v>
      </c>
      <c r="F20" s="99" t="s">
        <v>176</v>
      </c>
      <c r="G20" s="172" t="s">
        <v>181</v>
      </c>
      <c r="H20" s="158"/>
      <c r="I20" s="136" t="s">
        <v>180</v>
      </c>
      <c r="J20" s="171" t="s">
        <v>179</v>
      </c>
      <c r="K20" s="134">
        <v>4.21</v>
      </c>
      <c r="L20" s="133">
        <f t="shared" ref="L20:L27" si="6">39900/$K20</f>
        <v>9477.4346793349177</v>
      </c>
      <c r="M20" s="132">
        <f t="shared" ref="M20:M27" si="7">ROUND(+$M$8*$K20,2)</f>
        <v>1.52</v>
      </c>
      <c r="N20" s="168"/>
      <c r="O20" s="167">
        <f t="shared" ref="O20:O27" si="8">K20*N20</f>
        <v>0</v>
      </c>
      <c r="P20" s="166"/>
      <c r="Q20" s="165">
        <f t="shared" ref="Q20:Q27" si="9">($P20/$E20)*$K20</f>
        <v>0</v>
      </c>
      <c r="R20" s="103"/>
      <c r="S20" s="142">
        <f t="shared" ref="S20:S27" si="10">N20*M20</f>
        <v>0</v>
      </c>
      <c r="T20" s="142">
        <f t="shared" ref="T20:T27" si="11">(P20/E20)*M20</f>
        <v>0</v>
      </c>
      <c r="U20" s="141"/>
      <c r="W20" s="147"/>
    </row>
    <row r="21" spans="1:23" ht="19.5" customHeight="1">
      <c r="A21" s="103"/>
      <c r="B21" s="163"/>
      <c r="C21" s="99" t="s">
        <v>178</v>
      </c>
      <c r="D21" s="99" t="s">
        <v>177</v>
      </c>
      <c r="E21" s="173">
        <v>1000</v>
      </c>
      <c r="F21" s="99" t="s">
        <v>176</v>
      </c>
      <c r="G21" s="184" t="s">
        <v>175</v>
      </c>
      <c r="H21" s="183"/>
      <c r="I21" s="136" t="s">
        <v>174</v>
      </c>
      <c r="J21" s="171" t="s">
        <v>173</v>
      </c>
      <c r="K21" s="134">
        <v>4.8099999999999996</v>
      </c>
      <c r="L21" s="133">
        <f t="shared" si="6"/>
        <v>8295.2182952182957</v>
      </c>
      <c r="M21" s="132">
        <f t="shared" si="7"/>
        <v>1.74</v>
      </c>
      <c r="N21" s="157"/>
      <c r="O21" s="156">
        <f t="shared" si="8"/>
        <v>0</v>
      </c>
      <c r="P21" s="155"/>
      <c r="Q21" s="154">
        <f t="shared" si="9"/>
        <v>0</v>
      </c>
      <c r="R21" s="103"/>
      <c r="S21" s="142">
        <f t="shared" si="10"/>
        <v>0</v>
      </c>
      <c r="T21" s="142">
        <f t="shared" si="11"/>
        <v>0</v>
      </c>
      <c r="U21" s="141"/>
      <c r="W21" s="147"/>
    </row>
    <row r="22" spans="1:23" ht="20.100000000000001" customHeight="1">
      <c r="A22" s="103"/>
      <c r="B22" s="163"/>
      <c r="C22" s="99" t="s">
        <v>150</v>
      </c>
      <c r="D22" s="99" t="s">
        <v>160</v>
      </c>
      <c r="E22" s="173">
        <v>250</v>
      </c>
      <c r="F22" s="99" t="s">
        <v>148</v>
      </c>
      <c r="G22" s="172" t="s">
        <v>172</v>
      </c>
      <c r="H22" s="158"/>
      <c r="I22" s="136" t="s">
        <v>171</v>
      </c>
      <c r="J22" s="171" t="s">
        <v>170</v>
      </c>
      <c r="K22" s="134">
        <v>3.56</v>
      </c>
      <c r="L22" s="133">
        <f t="shared" si="6"/>
        <v>11207.865168539325</v>
      </c>
      <c r="M22" s="132">
        <f t="shared" si="7"/>
        <v>1.29</v>
      </c>
      <c r="N22" s="157"/>
      <c r="O22" s="156">
        <f t="shared" si="8"/>
        <v>0</v>
      </c>
      <c r="P22" s="155"/>
      <c r="Q22" s="154">
        <f t="shared" si="9"/>
        <v>0</v>
      </c>
      <c r="R22" s="103"/>
      <c r="S22" s="142">
        <f t="shared" si="10"/>
        <v>0</v>
      </c>
      <c r="T22" s="142">
        <f t="shared" si="11"/>
        <v>0</v>
      </c>
      <c r="U22" s="141"/>
      <c r="W22" s="147"/>
    </row>
    <row r="23" spans="1:23" ht="20.100000000000001" customHeight="1">
      <c r="A23" s="103"/>
      <c r="B23" s="163"/>
      <c r="C23" s="178" t="s">
        <v>156</v>
      </c>
      <c r="D23" s="178" t="s">
        <v>169</v>
      </c>
      <c r="E23" s="178">
        <v>162</v>
      </c>
      <c r="F23" s="178" t="s">
        <v>142</v>
      </c>
      <c r="G23" s="172" t="s">
        <v>168</v>
      </c>
      <c r="H23" s="100"/>
      <c r="I23" s="136" t="s">
        <v>167</v>
      </c>
      <c r="J23" s="171" t="s">
        <v>166</v>
      </c>
      <c r="K23" s="134">
        <v>1.53</v>
      </c>
      <c r="L23" s="133">
        <f t="shared" si="6"/>
        <v>26078.431372549017</v>
      </c>
      <c r="M23" s="132">
        <f t="shared" si="7"/>
        <v>0.55000000000000004</v>
      </c>
      <c r="N23" s="157"/>
      <c r="O23" s="156">
        <f t="shared" si="8"/>
        <v>0</v>
      </c>
      <c r="P23" s="155"/>
      <c r="Q23" s="154">
        <f t="shared" si="9"/>
        <v>0</v>
      </c>
      <c r="R23" s="103"/>
      <c r="S23" s="142">
        <f t="shared" si="10"/>
        <v>0</v>
      </c>
      <c r="T23" s="142">
        <f t="shared" si="11"/>
        <v>0</v>
      </c>
      <c r="U23" s="141"/>
      <c r="W23" s="147"/>
    </row>
    <row r="24" spans="1:23" ht="20.100000000000001" customHeight="1">
      <c r="A24" s="103"/>
      <c r="B24" s="163"/>
      <c r="C24" s="178" t="s">
        <v>165</v>
      </c>
      <c r="D24" s="178" t="s">
        <v>164</v>
      </c>
      <c r="E24" s="178">
        <v>204</v>
      </c>
      <c r="F24" s="178" t="s">
        <v>142</v>
      </c>
      <c r="G24" s="182" t="s">
        <v>163</v>
      </c>
      <c r="H24" s="181"/>
      <c r="I24" s="136" t="s">
        <v>162</v>
      </c>
      <c r="J24" s="171" t="s">
        <v>161</v>
      </c>
      <c r="K24" s="134">
        <v>1.61</v>
      </c>
      <c r="L24" s="133">
        <f t="shared" si="6"/>
        <v>24782.608695652172</v>
      </c>
      <c r="M24" s="132">
        <f t="shared" si="7"/>
        <v>0.57999999999999996</v>
      </c>
      <c r="N24" s="157"/>
      <c r="O24" s="156">
        <f t="shared" si="8"/>
        <v>0</v>
      </c>
      <c r="P24" s="155"/>
      <c r="Q24" s="154">
        <f t="shared" si="9"/>
        <v>0</v>
      </c>
      <c r="R24" s="103"/>
      <c r="S24" s="142">
        <f t="shared" si="10"/>
        <v>0</v>
      </c>
      <c r="T24" s="142">
        <f t="shared" si="11"/>
        <v>0</v>
      </c>
      <c r="U24" s="141"/>
      <c r="W24" s="147"/>
    </row>
    <row r="25" spans="1:23" ht="19.5" customHeight="1">
      <c r="A25" s="103"/>
      <c r="B25" s="163"/>
      <c r="C25" s="99" t="s">
        <v>150</v>
      </c>
      <c r="D25" s="99" t="s">
        <v>160</v>
      </c>
      <c r="E25" s="173">
        <v>250</v>
      </c>
      <c r="F25" s="99" t="s">
        <v>148</v>
      </c>
      <c r="G25" s="172" t="s">
        <v>159</v>
      </c>
      <c r="H25" s="158"/>
      <c r="I25" s="136" t="s">
        <v>158</v>
      </c>
      <c r="J25" s="171" t="s">
        <v>157</v>
      </c>
      <c r="K25" s="134">
        <v>3.98</v>
      </c>
      <c r="L25" s="133">
        <f t="shared" si="6"/>
        <v>10025.125628140704</v>
      </c>
      <c r="M25" s="132">
        <f t="shared" si="7"/>
        <v>1.44</v>
      </c>
      <c r="N25" s="157"/>
      <c r="O25" s="156">
        <f t="shared" si="8"/>
        <v>0</v>
      </c>
      <c r="P25" s="155"/>
      <c r="Q25" s="154">
        <f t="shared" si="9"/>
        <v>0</v>
      </c>
      <c r="R25" s="103"/>
      <c r="S25" s="142">
        <f t="shared" si="10"/>
        <v>0</v>
      </c>
      <c r="T25" s="142">
        <f t="shared" si="11"/>
        <v>0</v>
      </c>
      <c r="U25" s="141"/>
      <c r="W25" s="147"/>
    </row>
    <row r="26" spans="1:23" s="174" customFormat="1" ht="19.5" customHeight="1">
      <c r="A26" s="100"/>
      <c r="B26" s="179"/>
      <c r="C26" s="178" t="s">
        <v>156</v>
      </c>
      <c r="D26" s="178" t="s">
        <v>155</v>
      </c>
      <c r="E26" s="178">
        <v>96</v>
      </c>
      <c r="F26" s="178" t="s">
        <v>154</v>
      </c>
      <c r="G26" s="172" t="s">
        <v>153</v>
      </c>
      <c r="H26" s="100"/>
      <c r="I26" s="136" t="s">
        <v>152</v>
      </c>
      <c r="J26" s="180" t="s">
        <v>151</v>
      </c>
      <c r="K26" s="175">
        <v>3.35</v>
      </c>
      <c r="L26" s="133">
        <f t="shared" si="6"/>
        <v>11910.447761194029</v>
      </c>
      <c r="M26" s="132">
        <f t="shared" si="7"/>
        <v>1.21</v>
      </c>
      <c r="N26" s="157"/>
      <c r="O26" s="156">
        <f t="shared" si="8"/>
        <v>0</v>
      </c>
      <c r="P26" s="155"/>
      <c r="Q26" s="154">
        <f t="shared" si="9"/>
        <v>0</v>
      </c>
      <c r="S26" s="142">
        <f t="shared" si="10"/>
        <v>0</v>
      </c>
      <c r="T26" s="142">
        <f t="shared" si="11"/>
        <v>0</v>
      </c>
    </row>
    <row r="27" spans="1:23" s="174" customFormat="1" ht="19.5" customHeight="1" thickBot="1">
      <c r="A27" s="100"/>
      <c r="B27" s="179"/>
      <c r="C27" s="178" t="s">
        <v>150</v>
      </c>
      <c r="D27" s="178" t="s">
        <v>149</v>
      </c>
      <c r="E27" s="178">
        <v>250</v>
      </c>
      <c r="F27" s="177" t="s">
        <v>148</v>
      </c>
      <c r="G27" s="172" t="s">
        <v>147</v>
      </c>
      <c r="H27" s="100"/>
      <c r="I27" s="136" t="s">
        <v>146</v>
      </c>
      <c r="J27" s="176" t="s">
        <v>145</v>
      </c>
      <c r="K27" s="175">
        <v>2.0499999999999998</v>
      </c>
      <c r="L27" s="133">
        <f t="shared" si="6"/>
        <v>19463.414634146342</v>
      </c>
      <c r="M27" s="132">
        <f t="shared" si="7"/>
        <v>0.74</v>
      </c>
      <c r="N27" s="153"/>
      <c r="O27" s="152">
        <f t="shared" si="8"/>
        <v>0</v>
      </c>
      <c r="P27" s="151"/>
      <c r="Q27" s="150">
        <f t="shared" si="9"/>
        <v>0</v>
      </c>
      <c r="S27" s="142">
        <f t="shared" si="10"/>
        <v>0</v>
      </c>
      <c r="T27" s="142">
        <f t="shared" si="11"/>
        <v>0</v>
      </c>
    </row>
    <row r="28" spans="1:23" ht="20.100000000000001" customHeight="1" thickBot="1">
      <c r="A28" s="103"/>
      <c r="B28" s="163"/>
      <c r="C28" s="99"/>
      <c r="D28" s="99"/>
      <c r="E28" s="173"/>
      <c r="F28" s="99"/>
      <c r="G28" s="172"/>
      <c r="H28" s="158"/>
      <c r="I28" s="136"/>
      <c r="J28" s="171"/>
      <c r="K28" s="134"/>
      <c r="L28" s="133"/>
      <c r="M28" s="132"/>
      <c r="N28" s="170"/>
      <c r="O28" s="130"/>
      <c r="P28" s="170"/>
      <c r="Q28" s="130"/>
      <c r="R28" s="103"/>
      <c r="S28" s="142"/>
      <c r="T28" s="142"/>
      <c r="U28" s="141"/>
      <c r="W28" s="147"/>
    </row>
    <row r="29" spans="1:23" ht="19.5" customHeight="1">
      <c r="A29" s="103"/>
      <c r="B29" s="140" t="s">
        <v>95</v>
      </c>
      <c r="C29" s="139" t="s">
        <v>144</v>
      </c>
      <c r="D29" s="99" t="s">
        <v>143</v>
      </c>
      <c r="E29" s="169">
        <v>604</v>
      </c>
      <c r="F29" s="99" t="s">
        <v>142</v>
      </c>
      <c r="G29" s="138" t="s">
        <v>141</v>
      </c>
      <c r="H29" s="158"/>
      <c r="I29" s="136" t="s">
        <v>140</v>
      </c>
      <c r="J29" s="135" t="s">
        <v>139</v>
      </c>
      <c r="K29" s="134">
        <v>5.9</v>
      </c>
      <c r="L29" s="133">
        <f>39900/$K29</f>
        <v>6762.7118644067796</v>
      </c>
      <c r="M29" s="132">
        <f>ROUND(+$M$8*$K29,2)</f>
        <v>2.13</v>
      </c>
      <c r="N29" s="168"/>
      <c r="O29" s="167">
        <f>K29*N29</f>
        <v>0</v>
      </c>
      <c r="P29" s="166"/>
      <c r="Q29" s="165">
        <f>($P29/$E29)*$K29</f>
        <v>0</v>
      </c>
      <c r="R29" s="103"/>
      <c r="S29" s="142">
        <f>N29*M29</f>
        <v>0</v>
      </c>
      <c r="T29" s="142">
        <f>(P29/E29)*M29</f>
        <v>0</v>
      </c>
      <c r="U29" s="141"/>
      <c r="W29" s="147"/>
    </row>
    <row r="30" spans="1:23" ht="19.5" customHeight="1" thickBot="1">
      <c r="A30" s="103"/>
      <c r="B30" s="140"/>
      <c r="C30" s="99"/>
      <c r="D30" s="99"/>
      <c r="E30" s="169"/>
      <c r="F30" s="99"/>
      <c r="G30" s="138"/>
      <c r="H30" s="158"/>
      <c r="I30" s="136"/>
      <c r="J30" s="135"/>
      <c r="K30" s="134"/>
      <c r="L30" s="133"/>
      <c r="M30" s="132"/>
      <c r="N30" s="131"/>
      <c r="O30" s="130"/>
      <c r="P30" s="131"/>
      <c r="Q30" s="130"/>
      <c r="R30" s="103"/>
      <c r="S30" s="148"/>
      <c r="T30" s="142"/>
      <c r="U30" s="141"/>
      <c r="W30" s="147"/>
    </row>
    <row r="31" spans="1:23" ht="20.100000000000001" customHeight="1">
      <c r="A31" s="103"/>
      <c r="B31" s="140" t="s">
        <v>95</v>
      </c>
      <c r="C31" s="139" t="s">
        <v>94</v>
      </c>
      <c r="D31" s="99" t="s">
        <v>93</v>
      </c>
      <c r="E31" s="139">
        <v>144</v>
      </c>
      <c r="F31" s="99" t="s">
        <v>128</v>
      </c>
      <c r="G31" s="138" t="s">
        <v>138</v>
      </c>
      <c r="H31" s="158"/>
      <c r="I31" s="136" t="s">
        <v>137</v>
      </c>
      <c r="J31" s="135" t="s">
        <v>136</v>
      </c>
      <c r="K31" s="134">
        <v>10.32</v>
      </c>
      <c r="L31" s="133">
        <f t="shared" ref="L31:L42" si="12">39900/$K31</f>
        <v>3866.2790697674418</v>
      </c>
      <c r="M31" s="132">
        <f t="shared" ref="M31:M42" si="13">ROUND(+$M$8*$K31,2)</f>
        <v>3.73</v>
      </c>
      <c r="N31" s="168"/>
      <c r="O31" s="167">
        <f t="shared" ref="O31:O42" si="14">K31*N31</f>
        <v>0</v>
      </c>
      <c r="P31" s="166"/>
      <c r="Q31" s="165">
        <f t="shared" ref="Q31:Q42" si="15">($P31/$E31)*$K31</f>
        <v>0</v>
      </c>
      <c r="R31" s="103"/>
      <c r="S31" s="142">
        <f t="shared" ref="S31:S42" si="16">N31*M31</f>
        <v>0</v>
      </c>
      <c r="T31" s="142">
        <f t="shared" ref="T31:T42" si="17">(P31/E31)*M31</f>
        <v>0</v>
      </c>
      <c r="U31" s="141"/>
      <c r="W31" s="147"/>
    </row>
    <row r="32" spans="1:23" ht="20.100000000000001" customHeight="1">
      <c r="A32" s="103"/>
      <c r="B32" s="140" t="s">
        <v>95</v>
      </c>
      <c r="C32" s="139" t="s">
        <v>94</v>
      </c>
      <c r="D32" s="99" t="s">
        <v>93</v>
      </c>
      <c r="E32" s="139">
        <v>144</v>
      </c>
      <c r="F32" s="99" t="s">
        <v>128</v>
      </c>
      <c r="G32" s="149" t="s">
        <v>135</v>
      </c>
      <c r="H32" s="158"/>
      <c r="I32" s="136" t="s">
        <v>134</v>
      </c>
      <c r="J32" s="164" t="s">
        <v>133</v>
      </c>
      <c r="K32" s="134">
        <v>10.67</v>
      </c>
      <c r="L32" s="133">
        <f t="shared" si="12"/>
        <v>3739.4564198687908</v>
      </c>
      <c r="M32" s="132">
        <f t="shared" si="13"/>
        <v>3.85</v>
      </c>
      <c r="N32" s="157"/>
      <c r="O32" s="156">
        <f t="shared" si="14"/>
        <v>0</v>
      </c>
      <c r="P32" s="155"/>
      <c r="Q32" s="154">
        <f t="shared" si="15"/>
        <v>0</v>
      </c>
      <c r="R32" s="103"/>
      <c r="S32" s="142">
        <f t="shared" si="16"/>
        <v>0</v>
      </c>
      <c r="T32" s="142">
        <f t="shared" si="17"/>
        <v>0</v>
      </c>
      <c r="U32" s="141"/>
      <c r="W32" s="147"/>
    </row>
    <row r="33" spans="1:23" ht="20.100000000000001" customHeight="1">
      <c r="A33" s="103"/>
      <c r="B33" s="163" t="s">
        <v>95</v>
      </c>
      <c r="C33" s="162" t="s">
        <v>109</v>
      </c>
      <c r="D33" s="99" t="s">
        <v>108</v>
      </c>
      <c r="E33" s="99">
        <v>140</v>
      </c>
      <c r="F33" s="99" t="s">
        <v>132</v>
      </c>
      <c r="G33" s="149" t="s">
        <v>131</v>
      </c>
      <c r="H33" s="158"/>
      <c r="I33" s="136" t="s">
        <v>130</v>
      </c>
      <c r="J33" s="135" t="s">
        <v>129</v>
      </c>
      <c r="K33" s="134">
        <v>7.33</v>
      </c>
      <c r="L33" s="133">
        <f t="shared" si="12"/>
        <v>5443.3833560709409</v>
      </c>
      <c r="M33" s="132">
        <f t="shared" si="13"/>
        <v>2.65</v>
      </c>
      <c r="N33" s="157"/>
      <c r="O33" s="156">
        <f t="shared" si="14"/>
        <v>0</v>
      </c>
      <c r="P33" s="155"/>
      <c r="Q33" s="154">
        <f t="shared" si="15"/>
        <v>0</v>
      </c>
      <c r="R33" s="103"/>
      <c r="S33" s="142">
        <f t="shared" si="16"/>
        <v>0</v>
      </c>
      <c r="T33" s="142">
        <f t="shared" si="17"/>
        <v>0</v>
      </c>
      <c r="U33" s="141"/>
      <c r="W33" s="147"/>
    </row>
    <row r="34" spans="1:23" ht="20.100000000000001" customHeight="1">
      <c r="A34" s="103"/>
      <c r="B34" s="163" t="s">
        <v>95</v>
      </c>
      <c r="C34" s="139" t="s">
        <v>109</v>
      </c>
      <c r="D34" s="99" t="s">
        <v>108</v>
      </c>
      <c r="E34" s="99">
        <v>145</v>
      </c>
      <c r="F34" s="99" t="s">
        <v>128</v>
      </c>
      <c r="G34" s="149" t="s">
        <v>127</v>
      </c>
      <c r="H34" s="158"/>
      <c r="I34" s="136" t="s">
        <v>126</v>
      </c>
      <c r="J34" s="135" t="s">
        <v>125</v>
      </c>
      <c r="K34" s="134">
        <v>7.52</v>
      </c>
      <c r="L34" s="133">
        <f t="shared" si="12"/>
        <v>5305.8510638297876</v>
      </c>
      <c r="M34" s="132">
        <f t="shared" si="13"/>
        <v>2.72</v>
      </c>
      <c r="N34" s="157"/>
      <c r="O34" s="156">
        <f t="shared" si="14"/>
        <v>0</v>
      </c>
      <c r="P34" s="155"/>
      <c r="Q34" s="154">
        <f t="shared" si="15"/>
        <v>0</v>
      </c>
      <c r="R34" s="103"/>
      <c r="S34" s="142">
        <f t="shared" si="16"/>
        <v>0</v>
      </c>
      <c r="T34" s="142">
        <f t="shared" si="17"/>
        <v>0</v>
      </c>
      <c r="U34" s="141"/>
      <c r="W34" s="147"/>
    </row>
    <row r="35" spans="1:23" ht="20.100000000000001" customHeight="1">
      <c r="A35" s="103"/>
      <c r="B35" s="163"/>
      <c r="C35" s="99" t="s">
        <v>94</v>
      </c>
      <c r="D35" s="99" t="s">
        <v>93</v>
      </c>
      <c r="E35" s="139">
        <v>291</v>
      </c>
      <c r="F35" s="99" t="s">
        <v>92</v>
      </c>
      <c r="G35" s="149" t="s">
        <v>124</v>
      </c>
      <c r="H35" s="158"/>
      <c r="I35" s="136" t="s">
        <v>123</v>
      </c>
      <c r="J35" s="135" t="s">
        <v>122</v>
      </c>
      <c r="K35" s="134">
        <v>12.26</v>
      </c>
      <c r="L35" s="133">
        <f t="shared" si="12"/>
        <v>3254.4861337683524</v>
      </c>
      <c r="M35" s="132">
        <f t="shared" si="13"/>
        <v>4.43</v>
      </c>
      <c r="N35" s="157"/>
      <c r="O35" s="156">
        <f t="shared" si="14"/>
        <v>0</v>
      </c>
      <c r="P35" s="155"/>
      <c r="Q35" s="154">
        <f t="shared" si="15"/>
        <v>0</v>
      </c>
      <c r="R35" s="103"/>
      <c r="S35" s="142">
        <f t="shared" si="16"/>
        <v>0</v>
      </c>
      <c r="T35" s="142">
        <f t="shared" si="17"/>
        <v>0</v>
      </c>
      <c r="U35" s="141"/>
      <c r="W35" s="147"/>
    </row>
    <row r="36" spans="1:23" ht="20.100000000000001" customHeight="1">
      <c r="A36" s="103"/>
      <c r="B36" s="140" t="s">
        <v>95</v>
      </c>
      <c r="C36" s="162" t="s">
        <v>94</v>
      </c>
      <c r="D36" s="99" t="s">
        <v>93</v>
      </c>
      <c r="E36" s="139">
        <v>291</v>
      </c>
      <c r="F36" s="99" t="s">
        <v>92</v>
      </c>
      <c r="G36" s="149" t="s">
        <v>121</v>
      </c>
      <c r="H36" s="158"/>
      <c r="I36" s="161" t="s">
        <v>120</v>
      </c>
      <c r="J36" s="135" t="s">
        <v>119</v>
      </c>
      <c r="K36" s="160">
        <v>12.26</v>
      </c>
      <c r="L36" s="133">
        <f t="shared" si="12"/>
        <v>3254.4861337683524</v>
      </c>
      <c r="M36" s="132">
        <f t="shared" si="13"/>
        <v>4.43</v>
      </c>
      <c r="N36" s="157"/>
      <c r="O36" s="156">
        <f t="shared" si="14"/>
        <v>0</v>
      </c>
      <c r="P36" s="155"/>
      <c r="Q36" s="154">
        <f t="shared" si="15"/>
        <v>0</v>
      </c>
      <c r="R36" s="103"/>
      <c r="S36" s="142">
        <f t="shared" si="16"/>
        <v>0</v>
      </c>
      <c r="T36" s="142">
        <f t="shared" si="17"/>
        <v>0</v>
      </c>
      <c r="U36" s="141"/>
      <c r="W36" s="147"/>
    </row>
    <row r="37" spans="1:23" ht="20.100000000000001" customHeight="1">
      <c r="A37" s="103"/>
      <c r="B37" s="140" t="s">
        <v>95</v>
      </c>
      <c r="C37" s="99" t="s">
        <v>109</v>
      </c>
      <c r="D37" s="99" t="s">
        <v>108</v>
      </c>
      <c r="E37" s="139">
        <v>293</v>
      </c>
      <c r="F37" s="99" t="s">
        <v>92</v>
      </c>
      <c r="G37" s="149" t="s">
        <v>118</v>
      </c>
      <c r="H37" s="158"/>
      <c r="I37" s="136" t="s">
        <v>117</v>
      </c>
      <c r="J37" s="135" t="s">
        <v>116</v>
      </c>
      <c r="K37" s="134">
        <v>15.353999999999999</v>
      </c>
      <c r="L37" s="133">
        <f t="shared" si="12"/>
        <v>2598.6713559984369</v>
      </c>
      <c r="M37" s="132">
        <f t="shared" si="13"/>
        <v>5.55</v>
      </c>
      <c r="N37" s="157"/>
      <c r="O37" s="156">
        <f t="shared" si="14"/>
        <v>0</v>
      </c>
      <c r="P37" s="155"/>
      <c r="Q37" s="154">
        <f t="shared" si="15"/>
        <v>0</v>
      </c>
      <c r="R37" s="103"/>
      <c r="S37" s="142">
        <f t="shared" si="16"/>
        <v>0</v>
      </c>
      <c r="T37" s="142">
        <f t="shared" si="17"/>
        <v>0</v>
      </c>
      <c r="U37" s="141"/>
      <c r="W37" s="147"/>
    </row>
    <row r="38" spans="1:23" ht="20.100000000000001" customHeight="1">
      <c r="A38" s="103"/>
      <c r="B38" s="140" t="s">
        <v>95</v>
      </c>
      <c r="C38" s="99" t="s">
        <v>115</v>
      </c>
      <c r="D38" s="99" t="s">
        <v>114</v>
      </c>
      <c r="E38" s="139">
        <v>282</v>
      </c>
      <c r="F38" s="99" t="s">
        <v>113</v>
      </c>
      <c r="G38" s="149" t="s">
        <v>112</v>
      </c>
      <c r="H38" s="158"/>
      <c r="I38" s="136" t="s">
        <v>111</v>
      </c>
      <c r="J38" s="135" t="s">
        <v>110</v>
      </c>
      <c r="K38" s="134">
        <v>10.52</v>
      </c>
      <c r="L38" s="133">
        <f t="shared" si="12"/>
        <v>3792.7756653992396</v>
      </c>
      <c r="M38" s="132">
        <f t="shared" si="13"/>
        <v>3.8</v>
      </c>
      <c r="N38" s="157"/>
      <c r="O38" s="156">
        <f t="shared" si="14"/>
        <v>0</v>
      </c>
      <c r="P38" s="155"/>
      <c r="Q38" s="154">
        <f t="shared" si="15"/>
        <v>0</v>
      </c>
      <c r="R38" s="103"/>
      <c r="S38" s="142">
        <f t="shared" si="16"/>
        <v>0</v>
      </c>
      <c r="T38" s="142">
        <f t="shared" si="17"/>
        <v>0</v>
      </c>
      <c r="U38" s="141"/>
      <c r="W38" s="147"/>
    </row>
    <row r="39" spans="1:23" ht="20.100000000000001" customHeight="1">
      <c r="A39" s="103"/>
      <c r="B39" s="140" t="s">
        <v>95</v>
      </c>
      <c r="C39" s="99" t="s">
        <v>109</v>
      </c>
      <c r="D39" s="99" t="s">
        <v>108</v>
      </c>
      <c r="E39" s="139">
        <v>293</v>
      </c>
      <c r="F39" s="99" t="s">
        <v>92</v>
      </c>
      <c r="G39" s="149" t="s">
        <v>107</v>
      </c>
      <c r="H39" s="158"/>
      <c r="I39" s="136" t="s">
        <v>106</v>
      </c>
      <c r="J39" s="135" t="s">
        <v>105</v>
      </c>
      <c r="K39" s="134">
        <v>17.41</v>
      </c>
      <c r="L39" s="133">
        <f t="shared" si="12"/>
        <v>2291.786329695577</v>
      </c>
      <c r="M39" s="132">
        <f t="shared" si="13"/>
        <v>6.29</v>
      </c>
      <c r="N39" s="157"/>
      <c r="O39" s="156">
        <f t="shared" si="14"/>
        <v>0</v>
      </c>
      <c r="P39" s="155"/>
      <c r="Q39" s="154">
        <f t="shared" si="15"/>
        <v>0</v>
      </c>
      <c r="R39" s="103"/>
      <c r="S39" s="142">
        <f t="shared" si="16"/>
        <v>0</v>
      </c>
      <c r="T39" s="142">
        <f t="shared" si="17"/>
        <v>0</v>
      </c>
      <c r="U39" s="141"/>
      <c r="W39" s="147"/>
    </row>
    <row r="40" spans="1:23" ht="20.100000000000001" customHeight="1">
      <c r="A40" s="103"/>
      <c r="B40" s="140"/>
      <c r="C40" s="99" t="s">
        <v>104</v>
      </c>
      <c r="D40" s="99" t="s">
        <v>103</v>
      </c>
      <c r="E40" s="139">
        <v>555</v>
      </c>
      <c r="F40" s="159" t="s">
        <v>102</v>
      </c>
      <c r="G40" s="149" t="s">
        <v>101</v>
      </c>
      <c r="H40" s="158"/>
      <c r="I40" s="136" t="s">
        <v>100</v>
      </c>
      <c r="J40" s="135" t="s">
        <v>99</v>
      </c>
      <c r="K40" s="134">
        <v>30.97</v>
      </c>
      <c r="L40" s="133">
        <f t="shared" si="12"/>
        <v>1288.3435582822087</v>
      </c>
      <c r="M40" s="132">
        <f t="shared" si="13"/>
        <v>11.19</v>
      </c>
      <c r="N40" s="157"/>
      <c r="O40" s="156">
        <f t="shared" si="14"/>
        <v>0</v>
      </c>
      <c r="P40" s="155"/>
      <c r="Q40" s="154">
        <f t="shared" si="15"/>
        <v>0</v>
      </c>
      <c r="R40" s="103"/>
      <c r="S40" s="142">
        <f t="shared" si="16"/>
        <v>0</v>
      </c>
      <c r="T40" s="142">
        <f t="shared" si="17"/>
        <v>0</v>
      </c>
      <c r="U40" s="141"/>
      <c r="W40" s="147"/>
    </row>
    <row r="41" spans="1:23" ht="20.100000000000001" customHeight="1">
      <c r="A41" s="103"/>
      <c r="B41" s="140" t="s">
        <v>95</v>
      </c>
      <c r="C41" s="99" t="s">
        <v>94</v>
      </c>
      <c r="D41" s="99" t="s">
        <v>93</v>
      </c>
      <c r="E41" s="139">
        <v>289</v>
      </c>
      <c r="F41" s="99" t="s">
        <v>92</v>
      </c>
      <c r="G41" s="149" t="s">
        <v>98</v>
      </c>
      <c r="H41" s="158"/>
      <c r="I41" s="136" t="s">
        <v>97</v>
      </c>
      <c r="J41" s="135" t="s">
        <v>96</v>
      </c>
      <c r="K41" s="134">
        <v>9.7200000000000006</v>
      </c>
      <c r="L41" s="133">
        <f t="shared" si="12"/>
        <v>4104.9382716049377</v>
      </c>
      <c r="M41" s="132">
        <f t="shared" si="13"/>
        <v>3.51</v>
      </c>
      <c r="N41" s="157"/>
      <c r="O41" s="156">
        <f t="shared" si="14"/>
        <v>0</v>
      </c>
      <c r="P41" s="155"/>
      <c r="Q41" s="154">
        <f t="shared" si="15"/>
        <v>0</v>
      </c>
      <c r="R41" s="103"/>
      <c r="S41" s="142">
        <f t="shared" si="16"/>
        <v>0</v>
      </c>
      <c r="T41" s="142">
        <f t="shared" si="17"/>
        <v>0</v>
      </c>
      <c r="U41" s="141"/>
    </row>
    <row r="42" spans="1:23" ht="20.100000000000001" customHeight="1" thickBot="1">
      <c r="A42" s="103"/>
      <c r="B42" s="140" t="s">
        <v>95</v>
      </c>
      <c r="C42" s="99" t="s">
        <v>94</v>
      </c>
      <c r="D42" s="99" t="s">
        <v>93</v>
      </c>
      <c r="E42" s="139">
        <v>288</v>
      </c>
      <c r="F42" s="99" t="s">
        <v>92</v>
      </c>
      <c r="G42" s="149" t="s">
        <v>91</v>
      </c>
      <c r="H42" s="137"/>
      <c r="I42" s="136" t="s">
        <v>90</v>
      </c>
      <c r="J42" s="135" t="s">
        <v>89</v>
      </c>
      <c r="K42" s="134">
        <v>16.260000000000002</v>
      </c>
      <c r="L42" s="133">
        <f t="shared" si="12"/>
        <v>2453.8745387453873</v>
      </c>
      <c r="M42" s="132">
        <f t="shared" si="13"/>
        <v>5.87</v>
      </c>
      <c r="N42" s="153"/>
      <c r="O42" s="152">
        <f t="shared" si="14"/>
        <v>0</v>
      </c>
      <c r="P42" s="151"/>
      <c r="Q42" s="150">
        <f t="shared" si="15"/>
        <v>0</v>
      </c>
      <c r="R42" s="103"/>
      <c r="S42" s="142">
        <f t="shared" si="16"/>
        <v>0</v>
      </c>
      <c r="T42" s="142">
        <f t="shared" si="17"/>
        <v>0</v>
      </c>
      <c r="U42" s="141"/>
    </row>
    <row r="43" spans="1:23" ht="20.100000000000001" hidden="1" customHeight="1">
      <c r="A43" s="103"/>
      <c r="B43" s="140"/>
      <c r="C43" s="99"/>
      <c r="D43" s="99"/>
      <c r="E43" s="139"/>
      <c r="F43" s="99"/>
      <c r="G43" s="149"/>
      <c r="H43" s="137"/>
      <c r="I43" s="136"/>
      <c r="J43" s="135"/>
      <c r="K43" s="134"/>
      <c r="L43" s="133"/>
      <c r="M43" s="132"/>
      <c r="N43" s="131"/>
      <c r="O43" s="130"/>
      <c r="P43" s="131"/>
      <c r="Q43" s="130"/>
      <c r="R43" s="103"/>
      <c r="S43" s="148"/>
      <c r="T43" s="142"/>
      <c r="U43" s="141"/>
      <c r="W43" s="147"/>
    </row>
    <row r="44" spans="1:23" ht="20.100000000000001" hidden="1" customHeight="1">
      <c r="A44" s="103"/>
      <c r="B44" s="140" t="s">
        <v>88</v>
      </c>
      <c r="C44" s="139" t="s">
        <v>87</v>
      </c>
      <c r="D44" s="99" t="s">
        <v>86</v>
      </c>
      <c r="E44" s="139">
        <v>69</v>
      </c>
      <c r="F44" s="99" t="s">
        <v>85</v>
      </c>
      <c r="G44" s="138" t="s">
        <v>84</v>
      </c>
      <c r="H44" s="137"/>
      <c r="I44" s="136" t="s">
        <v>83</v>
      </c>
      <c r="J44" s="135" t="s">
        <v>82</v>
      </c>
      <c r="K44" s="134">
        <v>6.45</v>
      </c>
      <c r="L44" s="133">
        <f>39900/$K44</f>
        <v>6186.0465116279065</v>
      </c>
      <c r="M44" s="132">
        <f>ROUND(+$M$8*$K44,2)</f>
        <v>2.33</v>
      </c>
      <c r="N44" s="146"/>
      <c r="O44" s="145">
        <f>K44*N44</f>
        <v>0</v>
      </c>
      <c r="P44" s="144"/>
      <c r="Q44" s="143">
        <f>($P44/$E44)*$K44</f>
        <v>0</v>
      </c>
      <c r="R44" s="103"/>
      <c r="S44" s="142">
        <f>N44*M44</f>
        <v>0</v>
      </c>
      <c r="T44" s="142">
        <f>(P44/E44)*M44</f>
        <v>0</v>
      </c>
      <c r="U44" s="141"/>
    </row>
    <row r="45" spans="1:23" ht="20.100000000000001" customHeight="1" thickBot="1">
      <c r="A45" s="103"/>
      <c r="B45" s="140"/>
      <c r="C45" s="139"/>
      <c r="D45" s="99"/>
      <c r="E45" s="139"/>
      <c r="F45" s="99"/>
      <c r="G45" s="138"/>
      <c r="H45" s="137"/>
      <c r="I45" s="136"/>
      <c r="J45" s="135"/>
      <c r="K45" s="134"/>
      <c r="L45" s="133"/>
      <c r="M45" s="132"/>
      <c r="N45" s="131"/>
      <c r="O45" s="130"/>
      <c r="P45" s="131"/>
      <c r="Q45" s="130"/>
      <c r="R45" s="103"/>
      <c r="S45" s="129"/>
      <c r="T45" s="129"/>
      <c r="U45" s="119"/>
    </row>
    <row r="46" spans="1:23" ht="34.5" customHeight="1" thickBot="1">
      <c r="A46" s="103"/>
      <c r="B46" s="86"/>
      <c r="C46" s="128"/>
      <c r="D46" s="127"/>
      <c r="E46" s="126"/>
      <c r="F46" s="126"/>
      <c r="G46" s="126"/>
      <c r="H46" s="126"/>
      <c r="I46" s="101"/>
      <c r="J46" s="101"/>
      <c r="K46" s="101"/>
      <c r="L46" s="284" t="s">
        <v>81</v>
      </c>
      <c r="M46" s="277"/>
      <c r="N46" s="125">
        <f>SUM(N9:N18, N20:N27, N29:N29, N31:N42, N44)</f>
        <v>0</v>
      </c>
      <c r="O46" s="124">
        <f>SUM(O9:O18, O20:O27, O29:O29, O31:O42, O44)</f>
        <v>0</v>
      </c>
      <c r="P46" s="124">
        <f>SUM(P9:P18, P20:P27, P29:P29, P31:P42, P44)</f>
        <v>0</v>
      </c>
      <c r="Q46" s="123">
        <f>SUM(Q9:Q18,Q20:Q27,Q29:Q29,Q31:Q42,Q44)</f>
        <v>0</v>
      </c>
      <c r="R46" s="122"/>
      <c r="S46" s="121">
        <f>SUM(S9:S18, S20:S27, S29, S31:S42, S44)</f>
        <v>0</v>
      </c>
      <c r="T46" s="121">
        <f>SUM(T9:T18, T20:T27, T29, T31:T42, T44)</f>
        <v>0</v>
      </c>
      <c r="V46" s="120"/>
    </row>
    <row r="47" spans="1:23" ht="32.25" customHeight="1" thickBot="1">
      <c r="A47" s="119"/>
      <c r="B47" s="118"/>
      <c r="C47" s="117" t="s">
        <v>80</v>
      </c>
      <c r="D47" s="116"/>
      <c r="E47" s="115"/>
      <c r="F47" s="115"/>
      <c r="G47" s="114"/>
      <c r="H47" s="114"/>
      <c r="I47" s="100"/>
      <c r="J47" s="111"/>
      <c r="K47" s="277" t="s">
        <v>79</v>
      </c>
      <c r="L47" s="277"/>
      <c r="M47" s="278"/>
      <c r="N47" s="279">
        <f>S46</f>
        <v>0</v>
      </c>
      <c r="O47" s="280"/>
      <c r="P47" s="281">
        <f>T46</f>
        <v>0</v>
      </c>
      <c r="Q47" s="282"/>
      <c r="R47" s="103"/>
      <c r="S47" s="104"/>
      <c r="T47" s="104"/>
    </row>
    <row r="48" spans="1:23" ht="32.25" customHeight="1">
      <c r="A48" s="103"/>
      <c r="B48" s="103"/>
      <c r="C48" s="113" t="s">
        <v>78</v>
      </c>
      <c r="D48" s="112"/>
      <c r="E48" s="106"/>
      <c r="F48" s="106"/>
      <c r="G48" s="100"/>
      <c r="H48" s="100"/>
      <c r="I48" s="100"/>
      <c r="J48" s="111"/>
      <c r="K48" s="110"/>
      <c r="L48" s="110"/>
      <c r="M48" s="110"/>
      <c r="N48" s="109"/>
      <c r="O48" s="109"/>
      <c r="P48" s="108"/>
      <c r="Q48" s="108"/>
      <c r="R48" s="103"/>
      <c r="S48" s="107"/>
      <c r="T48" s="104"/>
    </row>
    <row r="49" spans="1:20" ht="32.25" customHeight="1">
      <c r="A49" s="103"/>
      <c r="B49" s="103"/>
      <c r="C49" s="283" t="s">
        <v>77</v>
      </c>
      <c r="D49" s="283"/>
      <c r="E49" s="283"/>
      <c r="F49" s="283"/>
      <c r="G49" s="283"/>
      <c r="H49" s="283"/>
      <c r="I49" s="283"/>
      <c r="J49" s="283"/>
      <c r="K49" s="283"/>
      <c r="L49" s="283"/>
      <c r="M49" s="283"/>
      <c r="N49" s="283"/>
      <c r="O49" s="283"/>
      <c r="P49" s="283"/>
      <c r="Q49" s="283"/>
      <c r="R49" s="106"/>
      <c r="S49" s="105"/>
      <c r="T49" s="104"/>
    </row>
    <row r="50" spans="1:20" ht="32.25" customHeight="1">
      <c r="A50" s="103"/>
      <c r="B50" s="103"/>
      <c r="C50" s="283"/>
      <c r="D50" s="283"/>
      <c r="E50" s="283"/>
      <c r="F50" s="283"/>
      <c r="G50" s="283"/>
      <c r="H50" s="283"/>
      <c r="I50" s="283"/>
      <c r="J50" s="283"/>
      <c r="K50" s="283"/>
      <c r="L50" s="283"/>
      <c r="M50" s="283"/>
      <c r="N50" s="283"/>
      <c r="O50" s="283"/>
      <c r="P50" s="283"/>
      <c r="Q50" s="283"/>
      <c r="R50" s="103"/>
      <c r="S50" s="104"/>
      <c r="T50" s="104"/>
    </row>
    <row r="51" spans="1:20" ht="15" customHeight="1">
      <c r="A51" s="103"/>
      <c r="B51" s="86"/>
      <c r="C51" s="99"/>
      <c r="D51" s="99"/>
      <c r="E51" s="99"/>
      <c r="F51" s="98"/>
      <c r="G51" s="103"/>
      <c r="H51" s="100" t="s">
        <v>76</v>
      </c>
      <c r="I51" s="102"/>
      <c r="J51" s="101"/>
      <c r="K51" s="100"/>
      <c r="L51" s="99"/>
      <c r="M51" s="292"/>
      <c r="N51" s="292"/>
      <c r="O51" s="292"/>
      <c r="P51" s="292"/>
      <c r="Q51" s="98"/>
      <c r="R51" s="97"/>
      <c r="S51" s="96"/>
      <c r="T51" s="91"/>
    </row>
    <row r="52" spans="1:20" ht="18">
      <c r="A52" s="91"/>
      <c r="C52" s="94"/>
      <c r="D52" s="94"/>
      <c r="E52" s="94"/>
      <c r="F52" s="91"/>
      <c r="G52" s="91"/>
      <c r="H52" s="91"/>
      <c r="I52" s="91"/>
      <c r="J52" s="93"/>
      <c r="K52" s="91"/>
      <c r="L52" s="91"/>
      <c r="M52" s="95"/>
      <c r="N52" s="91"/>
      <c r="O52" s="91"/>
      <c r="P52" s="91"/>
      <c r="Q52" s="91"/>
      <c r="R52" s="91"/>
      <c r="S52" s="92"/>
      <c r="T52" s="91"/>
    </row>
    <row r="53" spans="1:20">
      <c r="A53" s="91"/>
      <c r="C53" s="94"/>
      <c r="D53" s="94"/>
      <c r="E53" s="94"/>
      <c r="F53" s="91"/>
      <c r="G53" s="91"/>
      <c r="H53" s="91"/>
      <c r="I53" s="91"/>
      <c r="J53" s="93"/>
      <c r="K53" s="91"/>
      <c r="L53" s="91"/>
      <c r="M53" s="91"/>
      <c r="N53" s="91"/>
      <c r="O53" s="91"/>
      <c r="P53" s="91"/>
      <c r="Q53" s="91"/>
      <c r="R53" s="91"/>
      <c r="S53" s="92"/>
      <c r="T53" s="91"/>
    </row>
    <row r="54" spans="1:20">
      <c r="A54" s="91"/>
      <c r="C54" s="94"/>
      <c r="D54" s="94"/>
      <c r="E54" s="94"/>
      <c r="F54" s="91"/>
      <c r="G54" s="91"/>
      <c r="H54" s="91"/>
      <c r="I54" s="91"/>
      <c r="J54" s="93"/>
      <c r="K54" s="91"/>
      <c r="L54" s="91"/>
      <c r="M54" s="91"/>
      <c r="N54" s="91"/>
      <c r="O54" s="91"/>
      <c r="P54" s="91"/>
      <c r="Q54" s="91"/>
      <c r="R54" s="91"/>
      <c r="S54" s="92"/>
      <c r="T54" s="91"/>
    </row>
    <row r="55" spans="1:20">
      <c r="A55" s="91"/>
      <c r="C55" s="94"/>
      <c r="D55" s="94"/>
      <c r="E55" s="94"/>
      <c r="F55" s="91"/>
      <c r="G55" s="91"/>
      <c r="H55" s="91"/>
      <c r="I55" s="91"/>
      <c r="J55" s="93"/>
      <c r="K55" s="91"/>
      <c r="L55" s="91"/>
      <c r="M55" s="91"/>
      <c r="N55" s="91"/>
      <c r="O55" s="91"/>
      <c r="P55" s="91"/>
      <c r="Q55" s="91"/>
      <c r="R55" s="91"/>
      <c r="S55" s="92"/>
      <c r="T55" s="91"/>
    </row>
  </sheetData>
  <sheetProtection password="CA7F" sheet="1" objects="1" scenarios="1" selectLockedCells="1"/>
  <mergeCells count="11">
    <mergeCell ref="I2:J2"/>
    <mergeCell ref="N5:Q5"/>
    <mergeCell ref="N6:O6"/>
    <mergeCell ref="P6:Q6"/>
    <mergeCell ref="M51:P51"/>
    <mergeCell ref="G7:H7"/>
    <mergeCell ref="K47:M47"/>
    <mergeCell ref="N47:O47"/>
    <mergeCell ref="P47:Q47"/>
    <mergeCell ref="C49:Q50"/>
    <mergeCell ref="L46:M46"/>
  </mergeCells>
  <printOptions horizontalCentered="1"/>
  <pageMargins left="0.47" right="0.24" top="0.33" bottom="0.32" header="0" footer="0"/>
  <pageSetup scale="50" orientation="landscape" verticalDpi="144"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Total Request</vt:lpstr>
      <vt:lpstr>Schwans</vt:lpstr>
      <vt:lpstr>RedGold</vt:lpstr>
      <vt:lpstr>RedGold!Print_Area</vt:lpstr>
      <vt:lpstr>Schwans!Print_Area</vt:lpstr>
      <vt:lpstr>RedGold!Print_Titles</vt:lpstr>
      <vt:lpstr>Schwans!Print_Titles</vt:lpstr>
    </vt:vector>
  </TitlesOfParts>
  <Company>Iowa Department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White</dc:creator>
  <cp:lastModifiedBy>Ellen Miller</cp:lastModifiedBy>
  <dcterms:created xsi:type="dcterms:W3CDTF">2013-01-16T15:50:01Z</dcterms:created>
  <dcterms:modified xsi:type="dcterms:W3CDTF">2013-02-13T20:09:20Z</dcterms:modified>
</cp:coreProperties>
</file>