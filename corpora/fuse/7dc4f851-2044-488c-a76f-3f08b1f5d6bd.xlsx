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0220" windowHeight="18620" tabRatio="500"/>
  </bookViews>
  <sheets>
    <sheet name="Alu sub-families" sheetId="1" r:id="rId1"/>
  </sheets>
  <externalReferences>
    <externalReference r:id="rId2"/>
  </externalReferenc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20" i="1"/>
  <c r="D20"/>
  <c r="C20"/>
  <c r="B20"/>
  <c r="I17"/>
  <c r="H17"/>
  <c r="G17"/>
  <c r="F17"/>
  <c r="I16"/>
  <c r="H16"/>
  <c r="G16"/>
  <c r="F16"/>
  <c r="I15"/>
  <c r="H15"/>
  <c r="G15"/>
  <c r="F15"/>
  <c r="I14"/>
  <c r="H14"/>
  <c r="G14"/>
  <c r="F14"/>
  <c r="I13"/>
  <c r="H13"/>
  <c r="G13"/>
  <c r="F13"/>
  <c r="I12"/>
  <c r="H12"/>
  <c r="G12"/>
  <c r="F12"/>
  <c r="I11"/>
  <c r="H11"/>
  <c r="G11"/>
  <c r="F11"/>
  <c r="I10"/>
  <c r="H10"/>
  <c r="G10"/>
  <c r="F10"/>
  <c r="I9"/>
  <c r="H9"/>
  <c r="G9"/>
  <c r="F9"/>
  <c r="I8"/>
  <c r="H8"/>
  <c r="G8"/>
  <c r="F8"/>
  <c r="I7"/>
  <c r="H7"/>
  <c r="G7"/>
  <c r="F7"/>
  <c r="I6"/>
  <c r="H6"/>
  <c r="G6"/>
  <c r="F6"/>
  <c r="I5"/>
  <c r="H5"/>
  <c r="G5"/>
  <c r="F5"/>
  <c r="I4"/>
  <c r="H4"/>
  <c r="G4"/>
  <c r="F4"/>
  <c r="I3"/>
  <c r="H3"/>
  <c r="G3"/>
  <c r="F3"/>
</calcChain>
</file>

<file path=xl/sharedStrings.xml><?xml version="1.0" encoding="utf-8"?>
<sst xmlns="http://schemas.openxmlformats.org/spreadsheetml/2006/main" count="34" uniqueCount="34">
  <si>
    <t>Counts of MEI broken down by element subfamily for assembled nsertions, refetions, and from huRef (Venter) assembly</t>
    <phoneticPr fontId="3" type="noConversion"/>
  </si>
  <si>
    <t>ME</t>
  </si>
  <si>
    <t xml:space="preserve">1KG MEI(non-ref) </t>
  </si>
  <si>
    <t>1KG MEI(ref)</t>
  </si>
  <si>
    <t>HuRef MEI(non-ref)</t>
  </si>
  <si>
    <t>HuRef MEI(ref)</t>
  </si>
  <si>
    <t>1KG ALU(non-ref) %</t>
  </si>
  <si>
    <t>1KG ALU(ref)  %</t>
  </si>
  <si>
    <t>HuRef ALU(non-ref) %</t>
  </si>
  <si>
    <t>HuRef ALU(ref) %</t>
  </si>
  <si>
    <t>AluJ*</t>
  </si>
  <si>
    <t>AluS*</t>
  </si>
  <si>
    <t>AluY</t>
  </si>
  <si>
    <t>AluYa5</t>
  </si>
  <si>
    <t>AluYa8</t>
  </si>
  <si>
    <t>AluYb8</t>
  </si>
  <si>
    <t>AluYb9</t>
  </si>
  <si>
    <t>AluYc</t>
  </si>
  <si>
    <t>AluYc3</t>
  </si>
  <si>
    <t>AluYd8</t>
  </si>
  <si>
    <t>AluYf4</t>
  </si>
  <si>
    <t>AluYg6</t>
  </si>
  <si>
    <t>AluYh9</t>
  </si>
  <si>
    <t>AluYk1</t>
  </si>
  <si>
    <t>AluYk4</t>
  </si>
  <si>
    <t>L1*</t>
    <phoneticPr fontId="3" type="noConversion"/>
  </si>
  <si>
    <t>SVA</t>
  </si>
  <si>
    <t xml:space="preserve">Notes:  </t>
    <phoneticPr fontId="3" type="noConversion"/>
  </si>
  <si>
    <t>AluJ*</t>
    <phoneticPr fontId="3" type="noConversion"/>
  </si>
  <si>
    <t>sum of all AluJ sub-families</t>
    <phoneticPr fontId="3" type="noConversion"/>
  </si>
  <si>
    <t>AluS*</t>
    <phoneticPr fontId="3" type="noConversion"/>
  </si>
  <si>
    <t>sum of all AluS sub-families</t>
    <phoneticPr fontId="3" type="noConversion"/>
  </si>
  <si>
    <t>L1*</t>
    <phoneticPr fontId="3" type="noConversion"/>
  </si>
  <si>
    <t>sum of all L1 sub-families</t>
    <phoneticPr fontId="3" type="noConversion"/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</si>
</sst>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.0%"/>
  </numFmts>
  <fonts count="5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sz val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168" fontId="0" fillId="0" borderId="0" xfId="1" applyNumberFormat="1" applyFont="1" applyFill="1" applyBorder="1" applyAlignment="1"/>
    <xf numFmtId="0" fontId="0" fillId="0" borderId="2" xfId="0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>
        <c:manualLayout>
          <c:layoutTarget val="inner"/>
          <c:xMode val="edge"/>
          <c:yMode val="edge"/>
          <c:x val="0.174618151104814"/>
          <c:y val="0.125826096737908"/>
          <c:w val="0.572828480332576"/>
          <c:h val="0.799648950131234"/>
        </c:manualLayout>
      </c:layout>
      <c:barChart>
        <c:barDir val="bar"/>
        <c:grouping val="clustered"/>
        <c:ser>
          <c:idx val="0"/>
          <c:order val="0"/>
          <c:tx>
            <c:strRef>
              <c:f>'[1]S7 sub-family'!$B$2</c:f>
              <c:strCache>
                <c:ptCount val="1"/>
                <c:pt idx="0">
                  <c:v>1KG MEI(non-ref) </c:v>
                </c:pt>
              </c:strCache>
            </c:strRef>
          </c:tx>
          <c:cat>
            <c:strRef>
              <c:f>'[1]S7 sub-family'!$A$3:$A$19</c:f>
              <c:strCache>
                <c:ptCount val="17"/>
                <c:pt idx="0">
                  <c:v>AluJ*</c:v>
                </c:pt>
                <c:pt idx="1">
                  <c:v>AluS*</c:v>
                </c:pt>
                <c:pt idx="2">
                  <c:v>AluY</c:v>
                </c:pt>
                <c:pt idx="3">
                  <c:v>AluYa5</c:v>
                </c:pt>
                <c:pt idx="4">
                  <c:v>AluYa8</c:v>
                </c:pt>
                <c:pt idx="5">
                  <c:v>AluYb8</c:v>
                </c:pt>
                <c:pt idx="6">
                  <c:v>AluYb9</c:v>
                </c:pt>
                <c:pt idx="7">
                  <c:v>AluYc</c:v>
                </c:pt>
                <c:pt idx="8">
                  <c:v>AluYc3</c:v>
                </c:pt>
                <c:pt idx="9">
                  <c:v>AluYd8</c:v>
                </c:pt>
                <c:pt idx="10">
                  <c:v>AluYf4</c:v>
                </c:pt>
                <c:pt idx="11">
                  <c:v>AluYg6</c:v>
                </c:pt>
                <c:pt idx="12">
                  <c:v>AluYh9</c:v>
                </c:pt>
                <c:pt idx="13">
                  <c:v>AluYk1</c:v>
                </c:pt>
                <c:pt idx="14">
                  <c:v>AluYk4</c:v>
                </c:pt>
                <c:pt idx="15">
                  <c:v>L1*</c:v>
                </c:pt>
                <c:pt idx="16">
                  <c:v>SVA</c:v>
                </c:pt>
              </c:strCache>
            </c:strRef>
          </c:cat>
          <c:val>
            <c:numRef>
              <c:f>'[1]S7 sub-family'!$B$3:$B$19</c:f>
              <c:numCache>
                <c:formatCode>General</c:formatCode>
                <c:ptCount val="17"/>
                <c:pt idx="0">
                  <c:v>0.0</c:v>
                </c:pt>
                <c:pt idx="1">
                  <c:v>1.0</c:v>
                </c:pt>
                <c:pt idx="2">
                  <c:v>207.0</c:v>
                </c:pt>
                <c:pt idx="3">
                  <c:v>466.0</c:v>
                </c:pt>
                <c:pt idx="4">
                  <c:v>13.0</c:v>
                </c:pt>
                <c:pt idx="5">
                  <c:v>242.0</c:v>
                </c:pt>
                <c:pt idx="6">
                  <c:v>62.0</c:v>
                </c:pt>
                <c:pt idx="7">
                  <c:v>6.0</c:v>
                </c:pt>
                <c:pt idx="8">
                  <c:v>3.0</c:v>
                </c:pt>
                <c:pt idx="9">
                  <c:v>12.0</c:v>
                </c:pt>
                <c:pt idx="10">
                  <c:v>44.0</c:v>
                </c:pt>
                <c:pt idx="11">
                  <c:v>38.0</c:v>
                </c:pt>
                <c:pt idx="12">
                  <c:v>6.0</c:v>
                </c:pt>
                <c:pt idx="13">
                  <c:v>0.0</c:v>
                </c:pt>
                <c:pt idx="14">
                  <c:v>1.0</c:v>
                </c:pt>
                <c:pt idx="15">
                  <c:v>792.0</c:v>
                </c:pt>
                <c:pt idx="16">
                  <c:v>79.0</c:v>
                </c:pt>
              </c:numCache>
            </c:numRef>
          </c:val>
        </c:ser>
        <c:ser>
          <c:idx val="1"/>
          <c:order val="1"/>
          <c:tx>
            <c:strRef>
              <c:f>'[1]S7 sub-family'!$C$2</c:f>
              <c:strCache>
                <c:ptCount val="1"/>
                <c:pt idx="0">
                  <c:v>1KG MEI(ref)</c:v>
                </c:pt>
              </c:strCache>
            </c:strRef>
          </c:tx>
          <c:cat>
            <c:strRef>
              <c:f>'[1]S7 sub-family'!$A$3:$A$19</c:f>
              <c:strCache>
                <c:ptCount val="17"/>
                <c:pt idx="0">
                  <c:v>AluJ*</c:v>
                </c:pt>
                <c:pt idx="1">
                  <c:v>AluS*</c:v>
                </c:pt>
                <c:pt idx="2">
                  <c:v>AluY</c:v>
                </c:pt>
                <c:pt idx="3">
                  <c:v>AluYa5</c:v>
                </c:pt>
                <c:pt idx="4">
                  <c:v>AluYa8</c:v>
                </c:pt>
                <c:pt idx="5">
                  <c:v>AluYb8</c:v>
                </c:pt>
                <c:pt idx="6">
                  <c:v>AluYb9</c:v>
                </c:pt>
                <c:pt idx="7">
                  <c:v>AluYc</c:v>
                </c:pt>
                <c:pt idx="8">
                  <c:v>AluYc3</c:v>
                </c:pt>
                <c:pt idx="9">
                  <c:v>AluYd8</c:v>
                </c:pt>
                <c:pt idx="10">
                  <c:v>AluYf4</c:v>
                </c:pt>
                <c:pt idx="11">
                  <c:v>AluYg6</c:v>
                </c:pt>
                <c:pt idx="12">
                  <c:v>AluYh9</c:v>
                </c:pt>
                <c:pt idx="13">
                  <c:v>AluYk1</c:v>
                </c:pt>
                <c:pt idx="14">
                  <c:v>AluYk4</c:v>
                </c:pt>
                <c:pt idx="15">
                  <c:v>L1*</c:v>
                </c:pt>
                <c:pt idx="16">
                  <c:v>SVA</c:v>
                </c:pt>
              </c:strCache>
            </c:strRef>
          </c:cat>
          <c:val>
            <c:numRef>
              <c:f>'[1]S7 sub-family'!$C$3:$C$19</c:f>
              <c:numCache>
                <c:formatCode>General</c:formatCode>
                <c:ptCount val="17"/>
                <c:pt idx="0">
                  <c:v>2.0</c:v>
                </c:pt>
                <c:pt idx="1">
                  <c:v>11.0</c:v>
                </c:pt>
                <c:pt idx="2">
                  <c:v>288.0</c:v>
                </c:pt>
                <c:pt idx="3">
                  <c:v>721.0</c:v>
                </c:pt>
                <c:pt idx="4">
                  <c:v>28.0</c:v>
                </c:pt>
                <c:pt idx="5">
                  <c:v>436.0</c:v>
                </c:pt>
                <c:pt idx="6">
                  <c:v>63.0</c:v>
                </c:pt>
                <c:pt idx="7">
                  <c:v>33.0</c:v>
                </c:pt>
                <c:pt idx="8">
                  <c:v>1.0</c:v>
                </c:pt>
                <c:pt idx="9">
                  <c:v>11.0</c:v>
                </c:pt>
                <c:pt idx="10">
                  <c:v>59.0</c:v>
                </c:pt>
                <c:pt idx="11">
                  <c:v>48.0</c:v>
                </c:pt>
                <c:pt idx="12">
                  <c:v>7.0</c:v>
                </c:pt>
                <c:pt idx="13">
                  <c:v>21.0</c:v>
                </c:pt>
                <c:pt idx="14">
                  <c:v>1.0</c:v>
                </c:pt>
                <c:pt idx="15">
                  <c:v>206.0</c:v>
                </c:pt>
                <c:pt idx="16">
                  <c:v>74.0</c:v>
                </c:pt>
              </c:numCache>
            </c:numRef>
          </c:val>
        </c:ser>
        <c:ser>
          <c:idx val="2"/>
          <c:order val="2"/>
          <c:tx>
            <c:strRef>
              <c:f>'[1]S7 sub-family'!$D$2</c:f>
              <c:strCache>
                <c:ptCount val="1"/>
                <c:pt idx="0">
                  <c:v>HuRef MEI(non-ref)</c:v>
                </c:pt>
              </c:strCache>
            </c:strRef>
          </c:tx>
          <c:cat>
            <c:strRef>
              <c:f>'[1]S7 sub-family'!$A$3:$A$19</c:f>
              <c:strCache>
                <c:ptCount val="17"/>
                <c:pt idx="0">
                  <c:v>AluJ*</c:v>
                </c:pt>
                <c:pt idx="1">
                  <c:v>AluS*</c:v>
                </c:pt>
                <c:pt idx="2">
                  <c:v>AluY</c:v>
                </c:pt>
                <c:pt idx="3">
                  <c:v>AluYa5</c:v>
                </c:pt>
                <c:pt idx="4">
                  <c:v>AluYa8</c:v>
                </c:pt>
                <c:pt idx="5">
                  <c:v>AluYb8</c:v>
                </c:pt>
                <c:pt idx="6">
                  <c:v>AluYb9</c:v>
                </c:pt>
                <c:pt idx="7">
                  <c:v>AluYc</c:v>
                </c:pt>
                <c:pt idx="8">
                  <c:v>AluYc3</c:v>
                </c:pt>
                <c:pt idx="9">
                  <c:v>AluYd8</c:v>
                </c:pt>
                <c:pt idx="10">
                  <c:v>AluYf4</c:v>
                </c:pt>
                <c:pt idx="11">
                  <c:v>AluYg6</c:v>
                </c:pt>
                <c:pt idx="12">
                  <c:v>AluYh9</c:v>
                </c:pt>
                <c:pt idx="13">
                  <c:v>AluYk1</c:v>
                </c:pt>
                <c:pt idx="14">
                  <c:v>AluYk4</c:v>
                </c:pt>
                <c:pt idx="15">
                  <c:v>L1*</c:v>
                </c:pt>
                <c:pt idx="16">
                  <c:v>SVA</c:v>
                </c:pt>
              </c:strCache>
            </c:strRef>
          </c:cat>
          <c:val>
            <c:numRef>
              <c:f>'[1]S7 sub-family'!$D$3:$D$19</c:f>
              <c:numCache>
                <c:formatCode>General</c:formatCode>
                <c:ptCount val="17"/>
                <c:pt idx="0">
                  <c:v>0.0</c:v>
                </c:pt>
                <c:pt idx="1">
                  <c:v>0.0</c:v>
                </c:pt>
                <c:pt idx="2">
                  <c:v>147.0</c:v>
                </c:pt>
                <c:pt idx="3">
                  <c:v>226.0</c:v>
                </c:pt>
                <c:pt idx="4">
                  <c:v>5.0</c:v>
                </c:pt>
                <c:pt idx="5">
                  <c:v>141.0</c:v>
                </c:pt>
                <c:pt idx="6">
                  <c:v>25.0</c:v>
                </c:pt>
                <c:pt idx="7">
                  <c:v>0.0</c:v>
                </c:pt>
                <c:pt idx="8">
                  <c:v>0.0</c:v>
                </c:pt>
                <c:pt idx="9">
                  <c:v>6.0</c:v>
                </c:pt>
                <c:pt idx="10">
                  <c:v>0.0</c:v>
                </c:pt>
                <c:pt idx="11">
                  <c:v>19.0</c:v>
                </c:pt>
                <c:pt idx="12">
                  <c:v>5.0</c:v>
                </c:pt>
                <c:pt idx="13">
                  <c:v>0.0</c:v>
                </c:pt>
                <c:pt idx="14">
                  <c:v>0.0</c:v>
                </c:pt>
                <c:pt idx="15">
                  <c:v>52.0</c:v>
                </c:pt>
                <c:pt idx="16">
                  <c:v>14.0</c:v>
                </c:pt>
              </c:numCache>
            </c:numRef>
          </c:val>
        </c:ser>
        <c:ser>
          <c:idx val="3"/>
          <c:order val="3"/>
          <c:tx>
            <c:strRef>
              <c:f>'[1]S7 sub-family'!$E$2</c:f>
              <c:strCache>
                <c:ptCount val="1"/>
                <c:pt idx="0">
                  <c:v>HuRef MEI(ref)</c:v>
                </c:pt>
              </c:strCache>
            </c:strRef>
          </c:tx>
          <c:cat>
            <c:strRef>
              <c:f>'[1]S7 sub-family'!$A$3:$A$19</c:f>
              <c:strCache>
                <c:ptCount val="17"/>
                <c:pt idx="0">
                  <c:v>AluJ*</c:v>
                </c:pt>
                <c:pt idx="1">
                  <c:v>AluS*</c:v>
                </c:pt>
                <c:pt idx="2">
                  <c:v>AluY</c:v>
                </c:pt>
                <c:pt idx="3">
                  <c:v>AluYa5</c:v>
                </c:pt>
                <c:pt idx="4">
                  <c:v>AluYa8</c:v>
                </c:pt>
                <c:pt idx="5">
                  <c:v>AluYb8</c:v>
                </c:pt>
                <c:pt idx="6">
                  <c:v>AluYb9</c:v>
                </c:pt>
                <c:pt idx="7">
                  <c:v>AluYc</c:v>
                </c:pt>
                <c:pt idx="8">
                  <c:v>AluYc3</c:v>
                </c:pt>
                <c:pt idx="9">
                  <c:v>AluYd8</c:v>
                </c:pt>
                <c:pt idx="10">
                  <c:v>AluYf4</c:v>
                </c:pt>
                <c:pt idx="11">
                  <c:v>AluYg6</c:v>
                </c:pt>
                <c:pt idx="12">
                  <c:v>AluYh9</c:v>
                </c:pt>
                <c:pt idx="13">
                  <c:v>AluYk1</c:v>
                </c:pt>
                <c:pt idx="14">
                  <c:v>AluYk4</c:v>
                </c:pt>
                <c:pt idx="15">
                  <c:v>L1*</c:v>
                </c:pt>
                <c:pt idx="16">
                  <c:v>SVA</c:v>
                </c:pt>
              </c:strCache>
            </c:strRef>
          </c:cat>
          <c:val>
            <c:numRef>
              <c:f>'[1]S7 sub-family'!$E$3:$E$19</c:f>
              <c:numCache>
                <c:formatCode>General</c:formatCode>
                <c:ptCount val="17"/>
                <c:pt idx="0">
                  <c:v>0.0</c:v>
                </c:pt>
                <c:pt idx="1">
                  <c:v>1.0</c:v>
                </c:pt>
                <c:pt idx="2">
                  <c:v>114.0</c:v>
                </c:pt>
                <c:pt idx="3">
                  <c:v>297.0</c:v>
                </c:pt>
                <c:pt idx="4">
                  <c:v>9.0</c:v>
                </c:pt>
                <c:pt idx="5">
                  <c:v>187.0</c:v>
                </c:pt>
                <c:pt idx="6">
                  <c:v>28.0</c:v>
                </c:pt>
                <c:pt idx="7">
                  <c:v>9.0</c:v>
                </c:pt>
                <c:pt idx="8">
                  <c:v>1.0</c:v>
                </c:pt>
                <c:pt idx="9">
                  <c:v>4.0</c:v>
                </c:pt>
                <c:pt idx="10">
                  <c:v>28.0</c:v>
                </c:pt>
                <c:pt idx="11">
                  <c:v>14.0</c:v>
                </c:pt>
                <c:pt idx="12">
                  <c:v>4.0</c:v>
                </c:pt>
                <c:pt idx="13">
                  <c:v>5.0</c:v>
                </c:pt>
                <c:pt idx="14">
                  <c:v>0.0</c:v>
                </c:pt>
                <c:pt idx="15">
                  <c:v>72.0</c:v>
                </c:pt>
                <c:pt idx="16">
                  <c:v>30.0</c:v>
                </c:pt>
              </c:numCache>
            </c:numRef>
          </c:val>
        </c:ser>
        <c:axId val="528762904"/>
        <c:axId val="528766168"/>
      </c:barChart>
      <c:catAx>
        <c:axId val="528762904"/>
        <c:scaling>
          <c:orientation val="maxMin"/>
        </c:scaling>
        <c:axPos val="l"/>
        <c:tickLblPos val="nextTo"/>
        <c:crossAx val="528766168"/>
        <c:crosses val="autoZero"/>
        <c:auto val="1"/>
        <c:lblAlgn val="ctr"/>
        <c:lblOffset val="100"/>
        <c:tickLblSkip val="1"/>
        <c:tickMarkSkip val="1"/>
      </c:catAx>
      <c:valAx>
        <c:axId val="528766168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Counts of sub-family loci </a:t>
                </a:r>
              </a:p>
            </c:rich>
          </c:tx>
          <c:layout>
            <c:manualLayout>
              <c:xMode val="edge"/>
              <c:yMode val="edge"/>
              <c:x val="0.312946353159142"/>
              <c:y val="0.0"/>
            </c:manualLayout>
          </c:layout>
        </c:title>
        <c:numFmt formatCode="General" sourceLinked="1"/>
        <c:tickLblPos val="nextTo"/>
        <c:crossAx val="528762904"/>
        <c:crosses val="autoZero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87709181568705"/>
          <c:y val="0.442566077035962"/>
          <c:w val="0.348767061862142"/>
          <c:h val="0.203044198633487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28</xdr:row>
      <xdr:rowOff>127000</xdr:rowOff>
    </xdr:from>
    <xdr:to>
      <xdr:col>6</xdr:col>
      <xdr:colOff>622300</xdr:colOff>
      <xdr:row>60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wardg/Projects/MobileElement/doc/PlosGenetics/rev1/Marth_MEIsupplementTables_24Mar2011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1 catalog"/>
      <sheetName val="S2 samples"/>
      <sheetName val="S3 Ref MEI"/>
      <sheetName val="S4 Validation"/>
      <sheetName val="S4a  Additional validation"/>
      <sheetName val="S5 Gold standards"/>
      <sheetName val="S6 Trios"/>
      <sheetName val="S7 sub-family"/>
      <sheetName val="S8 Genotype Validation "/>
      <sheetName val="S9 Genotype Corrections"/>
      <sheetName val="S10 LOF"/>
      <sheetName val="S11 Mob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 xml:space="preserve">1KG MEI(non-ref) </v>
          </cell>
          <cell r="C2" t="str">
            <v>1KG MEI(ref)</v>
          </cell>
          <cell r="D2" t="str">
            <v>HuRef MEI(non-ref)</v>
          </cell>
          <cell r="E2" t="str">
            <v>HuRef MEI(ref)</v>
          </cell>
        </row>
        <row r="3">
          <cell r="A3" t="str">
            <v>AluJ*</v>
          </cell>
          <cell r="B3">
            <v>0</v>
          </cell>
          <cell r="C3">
            <v>2</v>
          </cell>
          <cell r="D3">
            <v>0</v>
          </cell>
          <cell r="E3">
            <v>0</v>
          </cell>
        </row>
        <row r="4">
          <cell r="A4" t="str">
            <v>AluS*</v>
          </cell>
          <cell r="B4">
            <v>1</v>
          </cell>
          <cell r="C4">
            <v>11</v>
          </cell>
          <cell r="D4">
            <v>0</v>
          </cell>
          <cell r="E4">
            <v>1</v>
          </cell>
        </row>
        <row r="5">
          <cell r="A5" t="str">
            <v>AluY</v>
          </cell>
          <cell r="B5">
            <v>207</v>
          </cell>
          <cell r="C5">
            <v>288</v>
          </cell>
          <cell r="D5">
            <v>147</v>
          </cell>
          <cell r="E5">
            <v>114</v>
          </cell>
        </row>
        <row r="6">
          <cell r="A6" t="str">
            <v>AluYa5</v>
          </cell>
          <cell r="B6">
            <v>466</v>
          </cell>
          <cell r="C6">
            <v>721</v>
          </cell>
          <cell r="D6">
            <v>226</v>
          </cell>
          <cell r="E6">
            <v>297</v>
          </cell>
        </row>
        <row r="7">
          <cell r="A7" t="str">
            <v>AluYa8</v>
          </cell>
          <cell r="B7">
            <v>13</v>
          </cell>
          <cell r="C7">
            <v>28</v>
          </cell>
          <cell r="D7">
            <v>5</v>
          </cell>
          <cell r="E7">
            <v>9</v>
          </cell>
        </row>
        <row r="8">
          <cell r="A8" t="str">
            <v>AluYb8</v>
          </cell>
          <cell r="B8">
            <v>242</v>
          </cell>
          <cell r="C8">
            <v>436</v>
          </cell>
          <cell r="D8">
            <v>141</v>
          </cell>
          <cell r="E8">
            <v>187</v>
          </cell>
        </row>
        <row r="9">
          <cell r="A9" t="str">
            <v>AluYb9</v>
          </cell>
          <cell r="B9">
            <v>62</v>
          </cell>
          <cell r="C9">
            <v>63</v>
          </cell>
          <cell r="D9">
            <v>25</v>
          </cell>
          <cell r="E9">
            <v>28</v>
          </cell>
        </row>
        <row r="10">
          <cell r="A10" t="str">
            <v>AluYc</v>
          </cell>
          <cell r="B10">
            <v>6</v>
          </cell>
          <cell r="C10">
            <v>33</v>
          </cell>
          <cell r="D10">
            <v>0</v>
          </cell>
          <cell r="E10">
            <v>9</v>
          </cell>
        </row>
        <row r="11">
          <cell r="A11" t="str">
            <v>AluYc3</v>
          </cell>
          <cell r="B11">
            <v>3</v>
          </cell>
          <cell r="C11">
            <v>1</v>
          </cell>
          <cell r="D11">
            <v>0</v>
          </cell>
          <cell r="E11">
            <v>1</v>
          </cell>
        </row>
        <row r="12">
          <cell r="A12" t="str">
            <v>AluYd8</v>
          </cell>
          <cell r="B12">
            <v>12</v>
          </cell>
          <cell r="C12">
            <v>11</v>
          </cell>
          <cell r="D12">
            <v>6</v>
          </cell>
          <cell r="E12">
            <v>4</v>
          </cell>
        </row>
        <row r="13">
          <cell r="A13" t="str">
            <v>AluYf4</v>
          </cell>
          <cell r="B13">
            <v>44</v>
          </cell>
          <cell r="C13">
            <v>59</v>
          </cell>
          <cell r="D13">
            <v>0</v>
          </cell>
          <cell r="E13">
            <v>28</v>
          </cell>
        </row>
        <row r="14">
          <cell r="A14" t="str">
            <v>AluYg6</v>
          </cell>
          <cell r="B14">
            <v>38</v>
          </cell>
          <cell r="C14">
            <v>48</v>
          </cell>
          <cell r="D14">
            <v>19</v>
          </cell>
          <cell r="E14">
            <v>14</v>
          </cell>
        </row>
        <row r="15">
          <cell r="A15" t="str">
            <v>AluYh9</v>
          </cell>
          <cell r="B15">
            <v>6</v>
          </cell>
          <cell r="C15">
            <v>7</v>
          </cell>
          <cell r="D15">
            <v>5</v>
          </cell>
          <cell r="E15">
            <v>4</v>
          </cell>
        </row>
        <row r="16">
          <cell r="A16" t="str">
            <v>AluYk1</v>
          </cell>
          <cell r="B16">
            <v>0</v>
          </cell>
          <cell r="C16">
            <v>21</v>
          </cell>
          <cell r="D16">
            <v>0</v>
          </cell>
          <cell r="E16">
            <v>5</v>
          </cell>
        </row>
        <row r="17">
          <cell r="A17" t="str">
            <v>AluYk4</v>
          </cell>
          <cell r="B17">
            <v>1</v>
          </cell>
          <cell r="C17">
            <v>1</v>
          </cell>
          <cell r="D17">
            <v>0</v>
          </cell>
          <cell r="E17">
            <v>0</v>
          </cell>
        </row>
        <row r="18">
          <cell r="A18" t="str">
            <v>L1*</v>
          </cell>
          <cell r="B18">
            <v>792</v>
          </cell>
          <cell r="C18">
            <v>206</v>
          </cell>
          <cell r="D18">
            <v>52</v>
          </cell>
          <cell r="E18">
            <v>72</v>
          </cell>
        </row>
        <row r="19">
          <cell r="A19" t="str">
            <v>SVA</v>
          </cell>
          <cell r="B19">
            <v>79</v>
          </cell>
          <cell r="C19">
            <v>74</v>
          </cell>
          <cell r="D19">
            <v>14</v>
          </cell>
          <cell r="E19">
            <v>30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26"/>
  <sheetViews>
    <sheetView tabSelected="1" workbookViewId="0">
      <selection sqref="A1:XFD1048576"/>
    </sheetView>
  </sheetViews>
  <sheetFormatPr baseColWidth="10" defaultRowHeight="13"/>
  <cols>
    <col min="1" max="1" width="6.140625" customWidth="1"/>
    <col min="2" max="2" width="14.85546875" customWidth="1"/>
    <col min="3" max="3" width="12" customWidth="1"/>
    <col min="4" max="4" width="14" customWidth="1"/>
    <col min="5" max="5" width="14.140625" customWidth="1"/>
    <col min="6" max="7" width="17.28515625" customWidth="1"/>
    <col min="8" max="8" width="19.28515625" customWidth="1"/>
    <col min="9" max="9" width="19.42578125" customWidth="1"/>
  </cols>
  <sheetData>
    <row r="1" spans="1:9" ht="14" thickBot="1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>
        <v>0</v>
      </c>
      <c r="C3" s="3">
        <v>2</v>
      </c>
      <c r="D3" s="3">
        <v>0</v>
      </c>
      <c r="E3" s="3">
        <v>0</v>
      </c>
      <c r="F3" s="4">
        <f>B3/SUM(B$3:B$17)</f>
        <v>0</v>
      </c>
      <c r="G3" s="4">
        <f>C3/SUM(C$3:C$17)</f>
        <v>1.1560693641618498E-3</v>
      </c>
      <c r="H3" s="4">
        <f>D3/SUM(D$3:D$17)</f>
        <v>0</v>
      </c>
      <c r="I3" s="4">
        <f>E3/SUM(E$3:E$17)</f>
        <v>0</v>
      </c>
    </row>
    <row r="4" spans="1:9">
      <c r="A4" s="3" t="s">
        <v>11</v>
      </c>
      <c r="B4" s="3">
        <v>1</v>
      </c>
      <c r="C4" s="3">
        <v>11</v>
      </c>
      <c r="D4" s="3">
        <v>0</v>
      </c>
      <c r="E4" s="3">
        <v>1</v>
      </c>
      <c r="F4" s="4">
        <f>B4/SUM(B$3:B$17)</f>
        <v>9.0826521344232513E-4</v>
      </c>
      <c r="G4" s="4">
        <f t="shared" ref="G4:I17" si="0">C4/SUM(C$3:C$17)</f>
        <v>6.3583815028901737E-3</v>
      </c>
      <c r="H4" s="4">
        <f t="shared" si="0"/>
        <v>0</v>
      </c>
      <c r="I4" s="4">
        <f t="shared" si="0"/>
        <v>1.4265335235378032E-3</v>
      </c>
    </row>
    <row r="5" spans="1:9">
      <c r="A5" s="3" t="s">
        <v>12</v>
      </c>
      <c r="B5" s="3">
        <v>207</v>
      </c>
      <c r="C5" s="3">
        <v>288</v>
      </c>
      <c r="D5" s="3">
        <v>147</v>
      </c>
      <c r="E5" s="3">
        <v>114</v>
      </c>
      <c r="F5" s="4">
        <f t="shared" ref="F5:F17" si="1">B5/SUM(B$3:B$17)</f>
        <v>0.18801089918256131</v>
      </c>
      <c r="G5" s="4">
        <f t="shared" si="0"/>
        <v>0.16647398843930636</v>
      </c>
      <c r="H5" s="4">
        <f t="shared" si="0"/>
        <v>0.25609756097560976</v>
      </c>
      <c r="I5" s="4">
        <f t="shared" si="0"/>
        <v>0.16262482168330955</v>
      </c>
    </row>
    <row r="6" spans="1:9">
      <c r="A6" s="3" t="s">
        <v>13</v>
      </c>
      <c r="B6" s="3">
        <v>466</v>
      </c>
      <c r="C6" s="3">
        <v>721</v>
      </c>
      <c r="D6" s="3">
        <v>226</v>
      </c>
      <c r="E6" s="3">
        <v>297</v>
      </c>
      <c r="F6" s="4">
        <f t="shared" si="1"/>
        <v>0.4232515894641235</v>
      </c>
      <c r="G6" s="4">
        <f t="shared" si="0"/>
        <v>0.41676300578034681</v>
      </c>
      <c r="H6" s="4">
        <f t="shared" si="0"/>
        <v>0.39372822299651566</v>
      </c>
      <c r="I6" s="4">
        <f t="shared" si="0"/>
        <v>0.42368045649072755</v>
      </c>
    </row>
    <row r="7" spans="1:9">
      <c r="A7" s="3" t="s">
        <v>14</v>
      </c>
      <c r="B7" s="3">
        <v>13</v>
      </c>
      <c r="C7" s="3">
        <v>28</v>
      </c>
      <c r="D7" s="3">
        <v>5</v>
      </c>
      <c r="E7" s="3">
        <v>9</v>
      </c>
      <c r="F7" s="4">
        <f t="shared" si="1"/>
        <v>1.1807447774750226E-2</v>
      </c>
      <c r="G7" s="4">
        <f t="shared" si="0"/>
        <v>1.6184971098265895E-2</v>
      </c>
      <c r="H7" s="4">
        <f t="shared" si="0"/>
        <v>8.7108013937282226E-3</v>
      </c>
      <c r="I7" s="4">
        <f t="shared" si="0"/>
        <v>1.2838801711840228E-2</v>
      </c>
    </row>
    <row r="8" spans="1:9">
      <c r="A8" s="3" t="s">
        <v>15</v>
      </c>
      <c r="B8" s="3">
        <v>242</v>
      </c>
      <c r="C8" s="3">
        <v>436</v>
      </c>
      <c r="D8" s="3">
        <v>141</v>
      </c>
      <c r="E8" s="3">
        <v>187</v>
      </c>
      <c r="F8" s="4">
        <f t="shared" si="1"/>
        <v>0.21980018165304269</v>
      </c>
      <c r="G8" s="4">
        <f t="shared" si="0"/>
        <v>0.25202312138728322</v>
      </c>
      <c r="H8" s="4">
        <f t="shared" si="0"/>
        <v>0.2456445993031359</v>
      </c>
      <c r="I8" s="4">
        <f t="shared" si="0"/>
        <v>0.26676176890156916</v>
      </c>
    </row>
    <row r="9" spans="1:9">
      <c r="A9" s="3" t="s">
        <v>16</v>
      </c>
      <c r="B9" s="3">
        <v>62</v>
      </c>
      <c r="C9" s="3">
        <v>63</v>
      </c>
      <c r="D9" s="3">
        <v>25</v>
      </c>
      <c r="E9" s="3">
        <v>28</v>
      </c>
      <c r="F9" s="4">
        <f t="shared" si="1"/>
        <v>5.6312443233424159E-2</v>
      </c>
      <c r="G9" s="4">
        <f t="shared" si="0"/>
        <v>3.6416184971098269E-2</v>
      </c>
      <c r="H9" s="4">
        <f t="shared" si="0"/>
        <v>4.3554006968641118E-2</v>
      </c>
      <c r="I9" s="4">
        <f t="shared" si="0"/>
        <v>3.9942938659058486E-2</v>
      </c>
    </row>
    <row r="10" spans="1:9">
      <c r="A10" s="3" t="s">
        <v>17</v>
      </c>
      <c r="B10" s="3">
        <v>6</v>
      </c>
      <c r="C10" s="3">
        <v>33</v>
      </c>
      <c r="D10" s="3">
        <v>0</v>
      </c>
      <c r="E10" s="3">
        <v>9</v>
      </c>
      <c r="F10" s="4">
        <f t="shared" si="1"/>
        <v>5.4495912806539508E-3</v>
      </c>
      <c r="G10" s="4">
        <f t="shared" si="0"/>
        <v>1.9075144508670521E-2</v>
      </c>
      <c r="H10" s="4">
        <f t="shared" si="0"/>
        <v>0</v>
      </c>
      <c r="I10" s="4">
        <f t="shared" si="0"/>
        <v>1.2838801711840228E-2</v>
      </c>
    </row>
    <row r="11" spans="1:9">
      <c r="A11" s="3" t="s">
        <v>18</v>
      </c>
      <c r="B11" s="3">
        <v>3</v>
      </c>
      <c r="C11" s="3">
        <v>1</v>
      </c>
      <c r="D11" s="3">
        <v>0</v>
      </c>
      <c r="E11" s="3">
        <v>1</v>
      </c>
      <c r="F11" s="4">
        <f t="shared" si="1"/>
        <v>2.7247956403269754E-3</v>
      </c>
      <c r="G11" s="4">
        <f t="shared" si="0"/>
        <v>5.7803468208092489E-4</v>
      </c>
      <c r="H11" s="4">
        <f t="shared" si="0"/>
        <v>0</v>
      </c>
      <c r="I11" s="4">
        <f t="shared" si="0"/>
        <v>1.4265335235378032E-3</v>
      </c>
    </row>
    <row r="12" spans="1:9">
      <c r="A12" s="3" t="s">
        <v>19</v>
      </c>
      <c r="B12" s="3">
        <v>12</v>
      </c>
      <c r="C12" s="3">
        <v>11</v>
      </c>
      <c r="D12" s="3">
        <v>6</v>
      </c>
      <c r="E12" s="3">
        <v>4</v>
      </c>
      <c r="F12" s="4">
        <f t="shared" si="1"/>
        <v>1.0899182561307902E-2</v>
      </c>
      <c r="G12" s="4">
        <f t="shared" si="0"/>
        <v>6.3583815028901737E-3</v>
      </c>
      <c r="H12" s="4">
        <f t="shared" si="0"/>
        <v>1.0452961672473868E-2</v>
      </c>
      <c r="I12" s="4">
        <f t="shared" si="0"/>
        <v>5.7061340941512127E-3</v>
      </c>
    </row>
    <row r="13" spans="1:9">
      <c r="A13" s="3" t="s">
        <v>20</v>
      </c>
      <c r="B13" s="3">
        <v>44</v>
      </c>
      <c r="C13" s="3">
        <v>59</v>
      </c>
      <c r="D13" s="3">
        <v>0</v>
      </c>
      <c r="E13" s="3">
        <v>28</v>
      </c>
      <c r="F13" s="4">
        <f t="shared" si="1"/>
        <v>3.9963669391462307E-2</v>
      </c>
      <c r="G13" s="4">
        <f t="shared" si="0"/>
        <v>3.4104046242774563E-2</v>
      </c>
      <c r="H13" s="4">
        <f t="shared" si="0"/>
        <v>0</v>
      </c>
      <c r="I13" s="4">
        <f t="shared" si="0"/>
        <v>3.9942938659058486E-2</v>
      </c>
    </row>
    <row r="14" spans="1:9">
      <c r="A14" s="3" t="s">
        <v>21</v>
      </c>
      <c r="B14" s="3">
        <v>38</v>
      </c>
      <c r="C14" s="3">
        <v>48</v>
      </c>
      <c r="D14" s="3">
        <v>19</v>
      </c>
      <c r="E14" s="3">
        <v>14</v>
      </c>
      <c r="F14" s="4">
        <f t="shared" si="1"/>
        <v>3.4514078110808359E-2</v>
      </c>
      <c r="G14" s="4">
        <f t="shared" si="0"/>
        <v>2.7745664739884393E-2</v>
      </c>
      <c r="H14" s="4">
        <f t="shared" si="0"/>
        <v>3.3101045296167246E-2</v>
      </c>
      <c r="I14" s="4">
        <f t="shared" si="0"/>
        <v>1.9971469329529243E-2</v>
      </c>
    </row>
    <row r="15" spans="1:9">
      <c r="A15" s="3" t="s">
        <v>22</v>
      </c>
      <c r="B15" s="3">
        <v>6</v>
      </c>
      <c r="C15" s="3">
        <v>7</v>
      </c>
      <c r="D15" s="3">
        <v>5</v>
      </c>
      <c r="E15" s="3">
        <v>4</v>
      </c>
      <c r="F15" s="4">
        <f t="shared" si="1"/>
        <v>5.4495912806539508E-3</v>
      </c>
      <c r="G15" s="4">
        <f t="shared" si="0"/>
        <v>4.0462427745664737E-3</v>
      </c>
      <c r="H15" s="4">
        <f t="shared" si="0"/>
        <v>8.7108013937282226E-3</v>
      </c>
      <c r="I15" s="4">
        <f t="shared" si="0"/>
        <v>5.7061340941512127E-3</v>
      </c>
    </row>
    <row r="16" spans="1:9">
      <c r="A16" s="3" t="s">
        <v>23</v>
      </c>
      <c r="B16" s="3">
        <v>0</v>
      </c>
      <c r="C16" s="3">
        <v>21</v>
      </c>
      <c r="D16" s="3">
        <v>0</v>
      </c>
      <c r="E16" s="3">
        <v>5</v>
      </c>
      <c r="F16" s="4">
        <f t="shared" si="1"/>
        <v>0</v>
      </c>
      <c r="G16" s="4">
        <f t="shared" si="0"/>
        <v>1.2138728323699421E-2</v>
      </c>
      <c r="H16" s="4">
        <f t="shared" si="0"/>
        <v>0</v>
      </c>
      <c r="I16" s="4">
        <f t="shared" si="0"/>
        <v>7.1326676176890159E-3</v>
      </c>
    </row>
    <row r="17" spans="1:9">
      <c r="A17" s="3" t="s">
        <v>24</v>
      </c>
      <c r="B17" s="3">
        <v>1</v>
      </c>
      <c r="C17" s="3">
        <v>1</v>
      </c>
      <c r="D17" s="3">
        <v>0</v>
      </c>
      <c r="E17" s="3">
        <v>0</v>
      </c>
      <c r="F17" s="4">
        <f t="shared" si="1"/>
        <v>9.0826521344232513E-4</v>
      </c>
      <c r="G17" s="4">
        <f t="shared" si="0"/>
        <v>5.7803468208092489E-4</v>
      </c>
      <c r="H17" s="4">
        <f t="shared" si="0"/>
        <v>0</v>
      </c>
      <c r="I17" s="4">
        <f t="shared" si="0"/>
        <v>0</v>
      </c>
    </row>
    <row r="18" spans="1:9">
      <c r="A18" s="3" t="s">
        <v>25</v>
      </c>
      <c r="B18" s="3">
        <v>792</v>
      </c>
      <c r="C18" s="3">
        <v>206</v>
      </c>
      <c r="D18" s="3">
        <v>52</v>
      </c>
      <c r="E18" s="3">
        <v>72</v>
      </c>
      <c r="F18" s="3"/>
      <c r="G18" s="3"/>
      <c r="H18" s="3"/>
      <c r="I18" s="3"/>
    </row>
    <row r="19" spans="1:9" ht="14" thickBot="1">
      <c r="A19" s="5" t="s">
        <v>26</v>
      </c>
      <c r="B19" s="5">
        <v>79</v>
      </c>
      <c r="C19" s="5">
        <v>74</v>
      </c>
      <c r="D19" s="5">
        <v>14</v>
      </c>
      <c r="E19" s="5">
        <v>30</v>
      </c>
      <c r="F19" s="5"/>
      <c r="G19" s="5"/>
      <c r="H19" s="5"/>
      <c r="I19" s="5"/>
    </row>
    <row r="20" spans="1:9">
      <c r="B20">
        <f>SUM(B3:B19)</f>
        <v>1972</v>
      </c>
      <c r="C20">
        <f>SUM(C3:C19)</f>
        <v>2010</v>
      </c>
      <c r="D20">
        <f>SUM(D3:D19)</f>
        <v>640</v>
      </c>
      <c r="E20">
        <f>SUM(E3:E19)</f>
        <v>803</v>
      </c>
    </row>
    <row r="23" spans="1:9">
      <c r="B23" s="6" t="s">
        <v>27</v>
      </c>
    </row>
    <row r="24" spans="1:9" ht="15">
      <c r="B24" s="7" t="s">
        <v>28</v>
      </c>
      <c r="C24" s="8" t="s">
        <v>29</v>
      </c>
    </row>
    <row r="25" spans="1:9" ht="15">
      <c r="B25" s="7" t="s">
        <v>30</v>
      </c>
      <c r="C25" s="8" t="s">
        <v>31</v>
      </c>
    </row>
    <row r="26" spans="1:9" ht="15">
      <c r="B26" s="7" t="s">
        <v>32</v>
      </c>
      <c r="C26" s="8" t="s">
        <v>33</v>
      </c>
    </row>
  </sheetData>
  <phoneticPr fontId="3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 sub-families</vt:lpstr>
    </vt:vector>
  </TitlesOfParts>
  <Company>Boston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Stewart</dc:creator>
  <cp:lastModifiedBy>Chip Stewart</cp:lastModifiedBy>
  <dcterms:created xsi:type="dcterms:W3CDTF">2011-03-26T18:58:42Z</dcterms:created>
  <dcterms:modified xsi:type="dcterms:W3CDTF">2011-03-26T19:04:14Z</dcterms:modified>
</cp:coreProperties>
</file>