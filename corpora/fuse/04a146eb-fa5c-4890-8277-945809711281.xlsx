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21075" windowHeight="9735"/>
  </bookViews>
  <sheets>
    <sheet name="Budget Spreadsheet" sheetId="1" r:id="rId1"/>
    <sheet name="Example Budget Spreadsheet" sheetId="3" r:id="rId2"/>
  </sheets>
  <calcPr calcId="145621" concurrentCalc="0"/>
</workbook>
</file>

<file path=xl/calcChain.xml><?xml version="1.0" encoding="utf-8"?>
<calcChain xmlns="http://schemas.openxmlformats.org/spreadsheetml/2006/main">
  <c r="I18" i="1" l="1"/>
  <c r="N8" i="1"/>
  <c r="N9" i="1"/>
  <c r="N10" i="1"/>
  <c r="N11" i="1"/>
  <c r="N12" i="1"/>
  <c r="N13" i="1"/>
  <c r="N14" i="1"/>
  <c r="N15" i="1"/>
  <c r="N16" i="1"/>
  <c r="P9" i="1"/>
  <c r="P8" i="1"/>
  <c r="P10" i="1"/>
  <c r="P11" i="1"/>
  <c r="P12" i="1"/>
  <c r="P13" i="1"/>
  <c r="P14" i="1"/>
  <c r="P15" i="1"/>
  <c r="P16" i="1"/>
  <c r="C25" i="1"/>
  <c r="C16" i="1"/>
  <c r="I33" i="3"/>
  <c r="L25" i="3"/>
  <c r="N25" i="3"/>
  <c r="C11" i="3"/>
  <c r="D11" i="3"/>
  <c r="D12" i="3"/>
  <c r="D13" i="3"/>
  <c r="D14" i="3"/>
  <c r="D15" i="3"/>
  <c r="N8" i="3"/>
  <c r="N9" i="3"/>
  <c r="N10" i="3"/>
  <c r="N11" i="3"/>
  <c r="N12" i="3"/>
  <c r="N13" i="3"/>
  <c r="N14" i="3"/>
  <c r="N15" i="3"/>
  <c r="N16" i="3"/>
  <c r="C16" i="3"/>
  <c r="D16" i="3"/>
  <c r="N19" i="3"/>
  <c r="N20" i="3"/>
  <c r="N21" i="3"/>
  <c r="N22" i="3"/>
  <c r="C17" i="3"/>
  <c r="D1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24" i="3"/>
  <c r="I25" i="3"/>
  <c r="I26" i="3"/>
  <c r="I27" i="3"/>
  <c r="C18" i="3"/>
  <c r="D18" i="3"/>
  <c r="C19" i="3"/>
  <c r="D19" i="3"/>
  <c r="D20" i="3"/>
  <c r="C21" i="3"/>
  <c r="D21" i="3"/>
  <c r="D22" i="3"/>
  <c r="C23" i="3"/>
  <c r="C25" i="3"/>
  <c r="C27" i="3"/>
  <c r="N28" i="3"/>
  <c r="N29" i="3"/>
  <c r="N30" i="3"/>
  <c r="N31" i="3"/>
  <c r="C26" i="3"/>
  <c r="C30" i="3"/>
  <c r="D30" i="3"/>
  <c r="D32" i="3"/>
  <c r="D29" i="3"/>
  <c r="D28" i="3"/>
  <c r="D27" i="3"/>
  <c r="D26" i="3"/>
  <c r="D25" i="3"/>
  <c r="D24" i="3"/>
  <c r="D23" i="3"/>
  <c r="L25" i="1"/>
  <c r="C20" i="1"/>
  <c r="I33" i="1"/>
  <c r="P28" i="1"/>
  <c r="P29" i="1"/>
  <c r="P30" i="1"/>
  <c r="P31" i="1"/>
  <c r="D22" i="1"/>
  <c r="C21" i="1"/>
  <c r="D21" i="1"/>
  <c r="D13" i="1"/>
  <c r="P25" i="1"/>
  <c r="C11" i="1"/>
  <c r="D11" i="1"/>
  <c r="D12" i="1"/>
  <c r="D14" i="1"/>
  <c r="D15" i="1"/>
  <c r="D16" i="1"/>
  <c r="P19" i="1"/>
  <c r="P20" i="1"/>
  <c r="P21" i="1"/>
  <c r="P22" i="1"/>
  <c r="C17" i="1"/>
  <c r="D17" i="1"/>
  <c r="I9" i="1"/>
  <c r="I10" i="1"/>
  <c r="I11" i="1"/>
  <c r="I12" i="1"/>
  <c r="I13" i="1"/>
  <c r="I14" i="1"/>
  <c r="I15" i="1"/>
  <c r="I16" i="1"/>
  <c r="I17" i="1"/>
  <c r="I19" i="1"/>
  <c r="I20" i="1"/>
  <c r="I22" i="1"/>
  <c r="I23" i="1"/>
  <c r="I24" i="1"/>
  <c r="I25" i="1"/>
  <c r="I26" i="1"/>
  <c r="I27" i="1"/>
  <c r="C18" i="1"/>
  <c r="D18" i="1"/>
  <c r="C19" i="1"/>
  <c r="D19" i="1"/>
  <c r="D20" i="1"/>
  <c r="C23" i="1"/>
  <c r="C26" i="1"/>
  <c r="C30" i="1"/>
  <c r="D30" i="1"/>
  <c r="D32" i="1"/>
  <c r="D29" i="1"/>
  <c r="D28" i="1"/>
  <c r="D27" i="1"/>
  <c r="D26" i="1"/>
  <c r="D25" i="1"/>
  <c r="D24" i="1"/>
  <c r="D23" i="1"/>
</calcChain>
</file>

<file path=xl/sharedStrings.xml><?xml version="1.0" encoding="utf-8"?>
<sst xmlns="http://schemas.openxmlformats.org/spreadsheetml/2006/main" count="157" uniqueCount="78">
  <si>
    <t>Budget Item</t>
  </si>
  <si>
    <t>Faculty Stipend</t>
  </si>
  <si>
    <t>Faculty Benefits</t>
  </si>
  <si>
    <t>Airport Shuttle</t>
  </si>
  <si>
    <t>Airport Transfers</t>
  </si>
  <si>
    <t>On-site transportation</t>
  </si>
  <si>
    <t>Tips</t>
  </si>
  <si>
    <t>Director Housing</t>
  </si>
  <si>
    <t>Director Daily Meals</t>
  </si>
  <si>
    <t>Director Activities</t>
  </si>
  <si>
    <t>Director to/from US Airport</t>
  </si>
  <si>
    <t>Total Individual Expenses</t>
  </si>
  <si>
    <t>Advertised Program Price</t>
  </si>
  <si>
    <t>$?????</t>
  </si>
  <si>
    <t>Classes:</t>
  </si>
  <si>
    <t>ORG: 101???</t>
  </si>
  <si>
    <t>Per Participant based on full fee</t>
  </si>
  <si>
    <t>Director's total cost</t>
  </si>
  <si>
    <t>Meals (per person)</t>
  </si>
  <si>
    <t>Activities &amp; Excursions (per person)</t>
  </si>
  <si>
    <t>Airfare (per person)</t>
  </si>
  <si>
    <t>Housing (per person)</t>
  </si>
  <si>
    <t>Number of faculty supported by participants</t>
  </si>
  <si>
    <t xml:space="preserve">Activities &amp; Excursions </t>
  </si>
  <si>
    <t>Total</t>
  </si>
  <si>
    <t>Cost Per Person</t>
  </si>
  <si>
    <t>Director Insurance</t>
  </si>
  <si>
    <t>Director Airfare</t>
  </si>
  <si>
    <t xml:space="preserve">Accommodations </t>
  </si>
  <si>
    <t>Director Local Transportation</t>
  </si>
  <si>
    <t>Breakfast</t>
  </si>
  <si>
    <t>Lunch</t>
  </si>
  <si>
    <t>Dinner</t>
  </si>
  <si>
    <t># of meals included in program</t>
  </si>
  <si>
    <t>Amount permited per meal</t>
  </si>
  <si>
    <t>Amount alloted per student</t>
  </si>
  <si>
    <t># of students</t>
  </si>
  <si>
    <t>Stipend</t>
  </si>
  <si>
    <t>Faculty Meals</t>
  </si>
  <si>
    <t>Contingencies</t>
  </si>
  <si>
    <t>Participant Meals</t>
  </si>
  <si>
    <t>Dates</t>
  </si>
  <si>
    <t>The max. stipend amount is $2000.00</t>
  </si>
  <si>
    <t>Foreign Currency</t>
  </si>
  <si>
    <t>USD</t>
  </si>
  <si>
    <t>USD to 1 Foreign Currency</t>
  </si>
  <si>
    <t>Foreign Currency per room</t>
  </si>
  <si>
    <t>People per room</t>
  </si>
  <si>
    <t>(Depart $270)  (Arrival $270)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</si>
  <si>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Students are required t</t>
    </r>
    <r>
      <rPr>
        <sz val="11"/>
        <rFont val="Calibri"/>
        <family val="2"/>
        <scheme val="minor"/>
      </rPr>
      <t>o buy</t>
    </r>
    <r>
      <rPr>
        <sz val="11"/>
        <color theme="1"/>
        <rFont val="Calibri"/>
        <family val="2"/>
        <scheme val="minor"/>
      </rPr>
      <t xml:space="preserve"> insurance for themselves as part of their applications on Horizon's through CISI.  The insurance is $36.50 per person.  There is a link in the Horizon's post acceptance application that explains to students how to complete this portion of the application.</t>
    </r>
  </si>
  <si>
    <t>Phone Usage Charges</t>
  </si>
  <si>
    <t>Phone ($35 If phone is not returned)</t>
  </si>
  <si>
    <t>SimCard ($25 If SimCard is not returned)</t>
  </si>
  <si>
    <t>Minutes (Manditory Credit)</t>
  </si>
  <si>
    <t>Additional Credit (when account drps below $20, $30 credit will automatically be credited and be billed to the assigned individual's account.</t>
  </si>
  <si>
    <t>Phone Charges</t>
  </si>
  <si>
    <t>Program; Term 20XX: Director</t>
  </si>
  <si>
    <t>Program Dates: Month XX, 20XX to Month XX, 20XX</t>
  </si>
  <si>
    <t>Program Dates: May 14, 2012 to May 27, 2012</t>
  </si>
  <si>
    <t>Discover Poland; Summer 2012: John Doe</t>
  </si>
  <si>
    <t>ORG: 101555</t>
  </si>
  <si>
    <t>Classes: HUM 205</t>
  </si>
  <si>
    <t>Hotel Krakow</t>
  </si>
  <si>
    <t>05/14/12 to 05/20/12</t>
  </si>
  <si>
    <t>Hotel Warsaw</t>
  </si>
  <si>
    <t>5/21/2012 to 05/27/12</t>
  </si>
  <si>
    <t>Auschwitz</t>
  </si>
  <si>
    <t>Castle in Krakow</t>
  </si>
  <si>
    <t>Krakow Jewish Quarter</t>
  </si>
  <si>
    <t>Museum</t>
  </si>
  <si>
    <t>Number of Anticipated Participants</t>
  </si>
  <si>
    <t>US Currency per room</t>
  </si>
  <si>
    <t>Cost in Foreign Currency</t>
  </si>
  <si>
    <t>Cost Per Person in USD</t>
  </si>
  <si>
    <t>To &amp; from BNA</t>
  </si>
  <si>
    <t>Number of faculty to be supported by participants</t>
  </si>
  <si>
    <t>Minutes (Mandatory Credit)</t>
  </si>
  <si>
    <t>Additional Credit: when account drops below $20, $30 credit will automatically be billed to the program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</si>
</sst>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* #,##0.0_);_(* \(#,##0.0\);_(* &quot;-&quot;?_);_(@_)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36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NumberFormat="1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/>
    <xf numFmtId="164" fontId="4" fillId="0" borderId="0" xfId="0" applyNumberFormat="1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5" fillId="0" borderId="0" xfId="0" applyFont="1"/>
    <xf numFmtId="164" fontId="4" fillId="0" borderId="0" xfId="0" applyNumberFormat="1" applyFont="1" applyAlignment="1">
      <alignment horizontal="right" wrapText="1"/>
    </xf>
    <xf numFmtId="164" fontId="4" fillId="0" borderId="0" xfId="0" applyNumberFormat="1" applyFont="1"/>
    <xf numFmtId="164" fontId="4" fillId="2" borderId="0" xfId="0" applyNumberFormat="1" applyFont="1" applyFill="1" applyAlignment="1">
      <alignment horizontal="right" wrapText="1"/>
    </xf>
    <xf numFmtId="164" fontId="0" fillId="0" borderId="0" xfId="0" applyNumberFormat="1" applyProtection="1"/>
    <xf numFmtId="164" fontId="0" fillId="0" borderId="0" xfId="0" applyNumberFormat="1" applyProtection="1">
      <protection locked="0"/>
    </xf>
    <xf numFmtId="164" fontId="2" fillId="0" borderId="0" xfId="0" applyNumberFormat="1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centerContinuous" vertical="center" wrapText="1"/>
      <protection locked="0"/>
    </xf>
    <xf numFmtId="164" fontId="1" fillId="0" borderId="2" xfId="0" applyNumberFormat="1" applyFont="1" applyBorder="1" applyAlignment="1" applyProtection="1">
      <alignment horizontal="centerContinuous" wrapText="1"/>
      <protection locked="0"/>
    </xf>
    <xf numFmtId="164" fontId="4" fillId="2" borderId="0" xfId="0" applyNumberFormat="1" applyFont="1" applyFill="1" applyProtection="1">
      <protection locked="0"/>
    </xf>
    <xf numFmtId="164" fontId="4" fillId="0" borderId="0" xfId="0" applyNumberFormat="1" applyFont="1" applyProtection="1"/>
    <xf numFmtId="164" fontId="4" fillId="0" borderId="0" xfId="0" applyNumberFormat="1" applyFont="1" applyBorder="1" applyAlignment="1" applyProtection="1">
      <alignment horizontal="left" vertical="center" wrapText="1"/>
      <protection locked="0"/>
    </xf>
    <xf numFmtId="165" fontId="3" fillId="0" borderId="0" xfId="0" applyNumberFormat="1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0" borderId="3" xfId="0" applyBorder="1" applyProtection="1">
      <protection locked="0"/>
    </xf>
    <xf numFmtId="164" fontId="0" fillId="0" borderId="3" xfId="0" applyNumberFormat="1" applyBorder="1" applyProtection="1">
      <protection locked="0"/>
    </xf>
    <xf numFmtId="0" fontId="5" fillId="0" borderId="3" xfId="0" applyFont="1" applyBorder="1" applyProtection="1">
      <protection locked="0"/>
    </xf>
    <xf numFmtId="0" fontId="2" fillId="0" borderId="3" xfId="0" applyFont="1" applyBorder="1" applyProtection="1">
      <protection locked="0"/>
    </xf>
    <xf numFmtId="14" fontId="0" fillId="0" borderId="3" xfId="0" applyNumberFormat="1" applyBorder="1" applyProtection="1">
      <protection locked="0"/>
    </xf>
    <xf numFmtId="164" fontId="4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</xf>
    <xf numFmtId="164" fontId="0" fillId="0" borderId="3" xfId="0" applyNumberFormat="1" applyBorder="1" applyProtection="1"/>
    <xf numFmtId="0" fontId="0" fillId="0" borderId="3" xfId="0" applyBorder="1" applyAlignment="1" applyProtection="1">
      <alignment wrapText="1"/>
    </xf>
    <xf numFmtId="0" fontId="0" fillId="0" borderId="3" xfId="0" applyBorder="1" applyProtection="1"/>
    <xf numFmtId="0" fontId="0" fillId="0" borderId="0" xfId="0" applyBorder="1" applyProtection="1">
      <protection locked="0"/>
    </xf>
    <xf numFmtId="0" fontId="0" fillId="0" borderId="0" xfId="0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2" fillId="0" borderId="15" xfId="0" applyNumberFormat="1" applyFont="1" applyBorder="1" applyAlignment="1" applyProtection="1">
      <alignment wrapText="1"/>
      <protection locked="0"/>
    </xf>
    <xf numFmtId="164" fontId="2" fillId="0" borderId="16" xfId="0" applyNumberFormat="1" applyFont="1" applyBorder="1" applyAlignment="1">
      <alignment wrapText="1"/>
    </xf>
    <xf numFmtId="164" fontId="0" fillId="0" borderId="15" xfId="0" applyNumberFormat="1" applyBorder="1" applyProtection="1"/>
    <xf numFmtId="164" fontId="2" fillId="0" borderId="15" xfId="0" applyNumberFormat="1" applyFont="1" applyBorder="1" applyProtection="1">
      <protection locked="0"/>
    </xf>
    <xf numFmtId="164" fontId="0" fillId="0" borderId="15" xfId="0" applyNumberFormat="1" applyBorder="1" applyProtection="1">
      <protection locked="0"/>
    </xf>
    <xf numFmtId="164" fontId="2" fillId="0" borderId="15" xfId="0" applyNumberFormat="1" applyFont="1" applyBorder="1" applyProtection="1"/>
    <xf numFmtId="164" fontId="0" fillId="0" borderId="16" xfId="0" applyNumberFormat="1" applyBorder="1" applyProtection="1"/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/>
    <xf numFmtId="0" fontId="0" fillId="0" borderId="3" xfId="0" applyBorder="1" applyAlignment="1">
      <alignment shrinkToFit="1"/>
    </xf>
    <xf numFmtId="164" fontId="0" fillId="0" borderId="3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Continuous" vertical="center" wrapText="1"/>
    </xf>
    <xf numFmtId="164" fontId="0" fillId="0" borderId="17" xfId="0" applyNumberFormat="1" applyBorder="1" applyAlignment="1">
      <alignment horizontal="centerContinuous" vertical="center" wrapText="1"/>
    </xf>
    <xf numFmtId="164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protection locked="0"/>
    </xf>
    <xf numFmtId="0" fontId="0" fillId="0" borderId="3" xfId="0" applyFill="1" applyBorder="1" applyProtection="1">
      <protection locked="0"/>
    </xf>
    <xf numFmtId="164" fontId="2" fillId="3" borderId="15" xfId="0" applyNumberFormat="1" applyFont="1" applyFill="1" applyBorder="1" applyAlignment="1">
      <alignment wrapText="1"/>
    </xf>
    <xf numFmtId="164" fontId="2" fillId="3" borderId="15" xfId="0" applyNumberFormat="1" applyFont="1" applyFill="1" applyBorder="1" applyAlignment="1" applyProtection="1">
      <alignment wrapText="1"/>
    </xf>
    <xf numFmtId="164" fontId="2" fillId="3" borderId="17" xfId="0" applyNumberFormat="1" applyFont="1" applyFill="1" applyBorder="1" applyAlignment="1">
      <alignment wrapText="1"/>
    </xf>
    <xf numFmtId="164" fontId="2" fillId="3" borderId="16" xfId="0" applyNumberFormat="1" applyFont="1" applyFill="1" applyBorder="1" applyAlignment="1">
      <alignment wrapText="1"/>
    </xf>
    <xf numFmtId="164" fontId="2" fillId="3" borderId="17" xfId="0" applyNumberFormat="1" applyFont="1" applyFill="1" applyBorder="1" applyAlignment="1" applyProtection="1">
      <alignment wrapText="1"/>
    </xf>
    <xf numFmtId="164" fontId="8" fillId="0" borderId="0" xfId="0" applyNumberFormat="1" applyFont="1" applyAlignment="1">
      <alignment horizontal="center" vertical="center" wrapText="1"/>
    </xf>
    <xf numFmtId="14" fontId="0" fillId="0" borderId="3" xfId="0" applyNumberFormat="1" applyBorder="1" applyAlignment="1" applyProtection="1">
      <alignment wrapText="1"/>
      <protection locked="0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 wrapText="1"/>
      <protection locked="0"/>
    </xf>
    <xf numFmtId="0" fontId="0" fillId="0" borderId="0" xfId="0" applyAlignment="1" applyProtection="1">
      <alignment horizontal="centerContinuous"/>
      <protection locked="0"/>
    </xf>
    <xf numFmtId="0" fontId="4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Protection="1">
      <protection locked="0"/>
    </xf>
    <xf numFmtId="0" fontId="4" fillId="3" borderId="3" xfId="0" applyFont="1" applyFill="1" applyBorder="1" applyAlignment="1" applyProtection="1">
      <alignment horizontal="center" wrapText="1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Border="1" applyAlignment="1" applyProtection="1">
      <alignment horizontal="center" wrapText="1"/>
      <protection locked="0"/>
    </xf>
    <xf numFmtId="164" fontId="4" fillId="0" borderId="0" xfId="0" applyNumberFormat="1" applyFont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wrapText="1"/>
      <protection locked="0"/>
    </xf>
    <xf numFmtId="164" fontId="4" fillId="0" borderId="3" xfId="0" applyNumberFormat="1" applyFont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2" fillId="3" borderId="17" xfId="0" applyNumberFormat="1" applyFont="1" applyFill="1" applyBorder="1" applyAlignment="1" applyProtection="1">
      <alignment wrapText="1"/>
      <protection locked="0"/>
    </xf>
    <xf numFmtId="164" fontId="8" fillId="0" borderId="0" xfId="0" applyNumberFormat="1" applyFont="1" applyAlignment="1" applyProtection="1">
      <alignment horizontal="center" vertical="center" wrapText="1"/>
      <protection locked="0"/>
    </xf>
    <xf numFmtId="164" fontId="2" fillId="3" borderId="15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164" fontId="2" fillId="3" borderId="16" xfId="0" applyNumberFormat="1" applyFont="1" applyFill="1" applyBorder="1" applyAlignment="1" applyProtection="1">
      <alignment wrapText="1"/>
      <protection locked="0"/>
    </xf>
    <xf numFmtId="0" fontId="5" fillId="0" borderId="0" xfId="0" applyFont="1" applyProtection="1">
      <protection locked="0"/>
    </xf>
    <xf numFmtId="0" fontId="0" fillId="0" borderId="11" xfId="0" applyNumberFormat="1" applyBorder="1" applyProtection="1">
      <protection locked="0"/>
    </xf>
    <xf numFmtId="0" fontId="0" fillId="0" borderId="3" xfId="0" applyBorder="1" applyAlignment="1" applyProtection="1">
      <alignment shrinkToFit="1"/>
      <protection locked="0"/>
    </xf>
    <xf numFmtId="164" fontId="2" fillId="0" borderId="16" xfId="0" applyNumberFormat="1" applyFont="1" applyBorder="1" applyAlignment="1" applyProtection="1">
      <alignment wrapText="1"/>
      <protection locked="0"/>
    </xf>
    <xf numFmtId="164" fontId="0" fillId="0" borderId="16" xfId="0" applyNumberFormat="1" applyBorder="1" applyProtection="1">
      <protection locked="0"/>
    </xf>
    <xf numFmtId="164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 applyProtection="1">
      <alignment horizontal="right" wrapText="1"/>
      <protection locked="0"/>
    </xf>
    <xf numFmtId="164" fontId="4" fillId="0" borderId="0" xfId="0" applyNumberFormat="1" applyFont="1" applyProtection="1">
      <protection locked="0"/>
    </xf>
    <xf numFmtId="0" fontId="0" fillId="0" borderId="17" xfId="0" applyBorder="1" applyAlignment="1" applyProtection="1">
      <alignment horizontal="centerContinuous" vertical="center" wrapText="1"/>
      <protection locked="0"/>
    </xf>
    <xf numFmtId="164" fontId="0" fillId="0" borderId="17" xfId="0" applyNumberFormat="1" applyBorder="1" applyAlignment="1" applyProtection="1">
      <alignment horizontal="centerContinuous" vertical="center" wrapText="1"/>
      <protection locked="0"/>
    </xf>
    <xf numFmtId="0" fontId="0" fillId="0" borderId="0" xfId="0" applyBorder="1" applyAlignment="1" applyProtection="1">
      <protection locked="0"/>
    </xf>
    <xf numFmtId="164" fontId="0" fillId="0" borderId="0" xfId="0" applyNumberFormat="1" applyBorder="1" applyProtection="1">
      <protection locked="0"/>
    </xf>
    <xf numFmtId="164" fontId="4" fillId="2" borderId="0" xfId="0" applyNumberFormat="1" applyFont="1" applyFill="1" applyAlignment="1" applyProtection="1">
      <alignment horizontal="right" wrapText="1"/>
      <protection locked="0"/>
    </xf>
    <xf numFmtId="0" fontId="6" fillId="3" borderId="3" xfId="0" applyFont="1" applyFill="1" applyBorder="1" applyAlignment="1">
      <alignment horizontal="center" vertical="center" wrapText="1"/>
    </xf>
    <xf numFmtId="164" fontId="0" fillId="0" borderId="3" xfId="0" applyNumberFormat="1" applyBorder="1" applyAlignment="1" applyProtection="1"/>
    <xf numFmtId="164" fontId="0" fillId="0" borderId="11" xfId="0" applyNumberFormat="1" applyBorder="1" applyProtection="1"/>
    <xf numFmtId="164" fontId="0" fillId="0" borderId="3" xfId="0" applyNumberFormat="1" applyFill="1" applyBorder="1" applyProtection="1">
      <protection locked="0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4" xfId="0" applyNumberFormat="1" applyBorder="1" applyAlignment="1" applyProtection="1">
      <alignment wrapText="1"/>
      <protection locked="0"/>
    </xf>
    <xf numFmtId="164" fontId="0" fillId="0" borderId="5" xfId="0" applyNumberForma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164" fontId="0" fillId="0" borderId="4" xfId="0" applyNumberFormat="1" applyBorder="1" applyAlignment="1" applyProtection="1">
      <alignment wrapText="1"/>
    </xf>
    <xf numFmtId="164" fontId="0" fillId="0" borderId="5" xfId="0" applyNumberFormat="1" applyBorder="1" applyAlignment="1" applyProtection="1">
      <alignment wrapText="1"/>
    </xf>
    <xf numFmtId="0" fontId="0" fillId="0" borderId="6" xfId="0" applyBorder="1" applyAlignment="1">
      <alignment wrapText="1"/>
    </xf>
    <xf numFmtId="164" fontId="0" fillId="0" borderId="4" xfId="0" applyNumberFormat="1" applyBorder="1" applyAlignment="1" applyProtection="1"/>
    <xf numFmtId="164" fontId="0" fillId="0" borderId="5" xfId="0" applyNumberFormat="1" applyBorder="1" applyAlignment="1" applyProtection="1"/>
    <xf numFmtId="0" fontId="0" fillId="0" borderId="6" xfId="0" applyBorder="1" applyAlignment="1"/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zoomScale="70" zoomScaleNormal="70" workbookViewId="0">
      <selection activeCell="B20" sqref="B20"/>
    </sheetView>
  </sheetViews>
  <sheetFormatPr defaultRowHeight="15" x14ac:dyDescent="0.25"/>
  <cols>
    <col min="1" max="1" width="31.42578125" customWidth="1"/>
    <col min="2" max="2" width="14.85546875" customWidth="1"/>
    <col min="3" max="3" width="16.42578125" customWidth="1"/>
    <col min="4" max="4" width="18.140625" customWidth="1"/>
    <col min="5" max="5" width="18.28515625" customWidth="1"/>
    <col min="6" max="6" width="4.28515625" customWidth="1"/>
    <col min="7" max="7" width="26.140625" customWidth="1"/>
    <col min="8" max="8" width="11.85546875" customWidth="1"/>
    <col min="9" max="9" width="12.42578125" customWidth="1"/>
    <col min="10" max="10" width="4" customWidth="1"/>
    <col min="11" max="11" width="26.140625" customWidth="1"/>
    <col min="12" max="14" width="12.42578125" customWidth="1"/>
    <col min="15" max="15" width="12" customWidth="1"/>
    <col min="16" max="16" width="13.140625" customWidth="1"/>
  </cols>
  <sheetData>
    <row r="1" spans="1:16" ht="16.5" thickBot="1" x14ac:dyDescent="0.3">
      <c r="A1" s="25" t="s">
        <v>56</v>
      </c>
      <c r="B1" s="25"/>
      <c r="C1" s="1"/>
      <c r="D1" s="1"/>
      <c r="E1" s="1"/>
      <c r="F1" s="1"/>
      <c r="G1" s="1"/>
      <c r="H1" s="1"/>
      <c r="I1" s="1"/>
    </row>
    <row r="2" spans="1:16" ht="15.75" x14ac:dyDescent="0.25">
      <c r="A2" s="26" t="s">
        <v>57</v>
      </c>
      <c r="B2" s="26"/>
      <c r="C2" s="2"/>
      <c r="D2" s="2"/>
      <c r="E2" s="2"/>
      <c r="F2" s="3"/>
      <c r="G2" s="4"/>
      <c r="H2" s="4"/>
      <c r="I2" s="4"/>
    </row>
    <row r="3" spans="1:16" x14ac:dyDescent="0.25">
      <c r="A3" s="29" t="s">
        <v>15</v>
      </c>
      <c r="B3" s="29"/>
      <c r="C3" s="5"/>
      <c r="D3" s="6"/>
      <c r="E3" s="6"/>
      <c r="F3" s="7"/>
      <c r="G3" s="6"/>
      <c r="H3" s="6"/>
    </row>
    <row r="4" spans="1:16" ht="56.25" customHeight="1" x14ac:dyDescent="0.25">
      <c r="A4" s="30"/>
      <c r="B4" s="30"/>
      <c r="C4" s="5"/>
      <c r="D4" s="50" t="s">
        <v>75</v>
      </c>
      <c r="E4" s="6"/>
      <c r="F4" s="7"/>
      <c r="G4" s="117" t="s">
        <v>45</v>
      </c>
    </row>
    <row r="5" spans="1:16" x14ac:dyDescent="0.25">
      <c r="A5" s="24" t="s">
        <v>14</v>
      </c>
      <c r="B5" s="24"/>
      <c r="C5" s="5"/>
      <c r="D5" s="31">
        <v>1</v>
      </c>
      <c r="E5" s="6"/>
      <c r="F5" s="7"/>
      <c r="G5" s="37">
        <v>1.45</v>
      </c>
      <c r="H5" s="48"/>
    </row>
    <row r="6" spans="1:16" x14ac:dyDescent="0.25">
      <c r="A6" s="24"/>
      <c r="B6" s="24"/>
      <c r="C6" s="5"/>
      <c r="D6" s="6"/>
      <c r="E6" s="6"/>
      <c r="F6" s="7"/>
      <c r="G6" s="6"/>
      <c r="H6" s="6"/>
      <c r="K6" s="33" t="s">
        <v>47</v>
      </c>
      <c r="L6" s="33">
        <v>2</v>
      </c>
    </row>
    <row r="7" spans="1:16" ht="39" x14ac:dyDescent="0.25">
      <c r="A7" s="8"/>
      <c r="B7" s="8"/>
      <c r="C7" s="5"/>
      <c r="D7" s="51" t="s">
        <v>70</v>
      </c>
      <c r="E7" s="6"/>
      <c r="F7" s="7"/>
      <c r="G7" s="42" t="s">
        <v>23</v>
      </c>
      <c r="H7" s="42" t="s">
        <v>72</v>
      </c>
      <c r="I7" s="42" t="s">
        <v>73</v>
      </c>
      <c r="K7" s="42" t="s">
        <v>28</v>
      </c>
      <c r="L7" s="42" t="s">
        <v>41</v>
      </c>
      <c r="M7" s="42" t="s">
        <v>71</v>
      </c>
      <c r="N7" s="42" t="s">
        <v>25</v>
      </c>
      <c r="O7" s="42" t="s">
        <v>46</v>
      </c>
      <c r="P7" s="42" t="s">
        <v>25</v>
      </c>
    </row>
    <row r="8" spans="1:16" x14ac:dyDescent="0.25">
      <c r="A8" s="8"/>
      <c r="B8" s="8"/>
      <c r="C8" s="5"/>
      <c r="D8" s="32">
        <v>10</v>
      </c>
      <c r="E8" s="6"/>
      <c r="F8" s="7"/>
      <c r="G8" s="37"/>
      <c r="H8" s="37"/>
      <c r="I8" s="38">
        <v>0</v>
      </c>
      <c r="K8" s="36"/>
      <c r="L8" s="36"/>
      <c r="M8" s="36"/>
      <c r="N8" s="44">
        <f>SUM(M8/L6)</f>
        <v>0</v>
      </c>
      <c r="O8" s="120"/>
      <c r="P8" s="45">
        <f>SUM((O8*G5)/L6)</f>
        <v>0</v>
      </c>
    </row>
    <row r="9" spans="1:16" x14ac:dyDescent="0.25">
      <c r="A9" s="9"/>
      <c r="B9" s="9"/>
      <c r="C9" s="10"/>
      <c r="E9" s="11"/>
      <c r="F9" s="12"/>
      <c r="G9" s="35"/>
      <c r="H9" s="35"/>
      <c r="I9" s="36">
        <f>SUM(H9*G5)</f>
        <v>0</v>
      </c>
      <c r="K9" s="44"/>
      <c r="L9" s="44"/>
      <c r="M9" s="35"/>
      <c r="N9" s="44">
        <f>SUM(M9/L6)</f>
        <v>0</v>
      </c>
      <c r="O9" s="38"/>
      <c r="P9" s="45">
        <f>SUM((O9*G5)/L6)</f>
        <v>0</v>
      </c>
    </row>
    <row r="10" spans="1:16" ht="24" customHeight="1" x14ac:dyDescent="0.25">
      <c r="A10" s="10" t="s">
        <v>0</v>
      </c>
      <c r="B10" s="59" t="s">
        <v>43</v>
      </c>
      <c r="C10" s="60" t="s">
        <v>44</v>
      </c>
      <c r="D10" s="61"/>
      <c r="E10" s="13"/>
      <c r="F10" s="14"/>
      <c r="G10" s="37"/>
      <c r="H10" s="37"/>
      <c r="I10" s="38">
        <f>SUM(H10*G5)</f>
        <v>0</v>
      </c>
      <c r="K10" s="37"/>
      <c r="L10" s="37"/>
      <c r="M10" s="37"/>
      <c r="N10" s="45">
        <f>SUM(M10/L6)</f>
        <v>0</v>
      </c>
      <c r="O10" s="38"/>
      <c r="P10" s="45">
        <f>SUM((O10*G5)/L6)</f>
        <v>0</v>
      </c>
    </row>
    <row r="11" spans="1:16" ht="25.5" x14ac:dyDescent="0.25">
      <c r="A11" s="15" t="s">
        <v>1</v>
      </c>
      <c r="B11" s="73"/>
      <c r="C11" s="54">
        <f>SUM(P25)</f>
        <v>0</v>
      </c>
      <c r="D11" s="54">
        <f>SUM(C11/D8)</f>
        <v>0</v>
      </c>
      <c r="E11" s="76" t="s">
        <v>42</v>
      </c>
      <c r="F11" s="14"/>
      <c r="G11" s="37"/>
      <c r="H11" s="37"/>
      <c r="I11" s="38">
        <f>SUM(H11*G5)</f>
        <v>0</v>
      </c>
      <c r="K11" s="37"/>
      <c r="L11" s="37"/>
      <c r="M11" s="37"/>
      <c r="N11" s="45">
        <f>SUM(M11/L6)</f>
        <v>0</v>
      </c>
      <c r="O11" s="38"/>
      <c r="P11" s="45">
        <f>SUM((O11*G5)/L6)</f>
        <v>0</v>
      </c>
    </row>
    <row r="12" spans="1:16" x14ac:dyDescent="0.25">
      <c r="A12" s="15" t="s">
        <v>2</v>
      </c>
      <c r="B12" s="71"/>
      <c r="C12" s="55">
        <v>0</v>
      </c>
      <c r="D12" s="54">
        <f>SUM(C12/D8)</f>
        <v>0</v>
      </c>
      <c r="E12" s="17"/>
      <c r="G12" s="37"/>
      <c r="H12" s="37"/>
      <c r="I12" s="38">
        <f>SUM(H12*G5)</f>
        <v>0</v>
      </c>
      <c r="K12" s="37"/>
      <c r="L12" s="37"/>
      <c r="M12" s="37"/>
      <c r="N12" s="45">
        <f>SUM(M12/L6)</f>
        <v>0</v>
      </c>
      <c r="O12" s="38"/>
      <c r="P12" s="45">
        <f>SUM((O12*G5)/L6)</f>
        <v>0</v>
      </c>
    </row>
    <row r="13" spans="1:16" x14ac:dyDescent="0.25">
      <c r="A13" s="15" t="s">
        <v>3</v>
      </c>
      <c r="B13" s="71"/>
      <c r="C13" s="56">
        <v>700</v>
      </c>
      <c r="D13" s="54">
        <f>SUM(C13/D8)</f>
        <v>70</v>
      </c>
      <c r="E13" s="12" t="s">
        <v>74</v>
      </c>
      <c r="G13" s="37"/>
      <c r="H13" s="37"/>
      <c r="I13" s="38">
        <f>SUM(H13*G5)</f>
        <v>0</v>
      </c>
      <c r="K13" s="37"/>
      <c r="L13" s="37"/>
      <c r="M13" s="37"/>
      <c r="N13" s="45">
        <f>SUM(M13/L6)</f>
        <v>0</v>
      </c>
      <c r="O13" s="38"/>
      <c r="P13" s="45">
        <f>SUM((O13*G5)/L6)</f>
        <v>0</v>
      </c>
    </row>
    <row r="14" spans="1:16" x14ac:dyDescent="0.25">
      <c r="A14" s="15" t="s">
        <v>20</v>
      </c>
      <c r="B14" s="74"/>
      <c r="C14" s="56">
        <v>0</v>
      </c>
      <c r="D14" s="54">
        <f>C14</f>
        <v>0</v>
      </c>
      <c r="E14" s="17"/>
      <c r="F14" s="18"/>
      <c r="G14" s="39"/>
      <c r="H14" s="39"/>
      <c r="I14" s="38">
        <f>SUM(H14*G5)</f>
        <v>0</v>
      </c>
      <c r="K14" s="39"/>
      <c r="L14" s="39"/>
      <c r="M14" s="39"/>
      <c r="N14" s="45">
        <f>SUM(M14/L6)</f>
        <v>0</v>
      </c>
      <c r="O14" s="38"/>
      <c r="P14" s="45">
        <f>SUM((O14*G5)/L6)</f>
        <v>0</v>
      </c>
    </row>
    <row r="15" spans="1:16" x14ac:dyDescent="0.25">
      <c r="A15" s="15" t="s">
        <v>4</v>
      </c>
      <c r="B15" s="52">
        <v>0</v>
      </c>
      <c r="C15" s="56">
        <v>0</v>
      </c>
      <c r="D15" s="54">
        <f>SUM(C15/D8)</f>
        <v>0</v>
      </c>
      <c r="E15" s="17"/>
      <c r="F15" s="18"/>
      <c r="G15" s="39"/>
      <c r="H15" s="39"/>
      <c r="I15" s="38">
        <f>SUM(H15*G5)</f>
        <v>0</v>
      </c>
      <c r="K15" s="39"/>
      <c r="L15" s="39"/>
      <c r="M15" s="39"/>
      <c r="N15" s="45">
        <f>SUM(M15/L6)</f>
        <v>0</v>
      </c>
      <c r="O15" s="38"/>
      <c r="P15" s="45">
        <f>SUM((O15*G5)/L6)</f>
        <v>0</v>
      </c>
    </row>
    <row r="16" spans="1:16" x14ac:dyDescent="0.25">
      <c r="A16" s="15" t="s">
        <v>21</v>
      </c>
      <c r="B16" s="73"/>
      <c r="C16" s="54">
        <f>SUM(N16+P16)</f>
        <v>0</v>
      </c>
      <c r="D16" s="54">
        <f>C16</f>
        <v>0</v>
      </c>
      <c r="E16" s="17"/>
      <c r="G16" s="40"/>
      <c r="H16" s="40"/>
      <c r="I16" s="38">
        <f>SUM(H16*G5)</f>
        <v>0</v>
      </c>
      <c r="K16" s="121"/>
      <c r="L16" s="123"/>
      <c r="M16" s="42" t="s">
        <v>24</v>
      </c>
      <c r="N16" s="118">
        <f>SUM(N8:N15)</f>
        <v>0</v>
      </c>
      <c r="O16" s="42" t="s">
        <v>24</v>
      </c>
      <c r="P16" s="34">
        <f>SUM(P8:P15)</f>
        <v>0</v>
      </c>
    </row>
    <row r="17" spans="1:16" ht="18" customHeight="1" x14ac:dyDescent="0.25">
      <c r="A17" s="15" t="s">
        <v>18</v>
      </c>
      <c r="B17" s="71"/>
      <c r="C17" s="54">
        <f>SUM(P22)</f>
        <v>0</v>
      </c>
      <c r="D17" s="54">
        <f>C17</f>
        <v>0</v>
      </c>
      <c r="E17" s="17"/>
      <c r="G17" s="40"/>
      <c r="H17" s="40"/>
      <c r="I17" s="38">
        <f>SUM(H17*G5)</f>
        <v>0</v>
      </c>
    </row>
    <row r="18" spans="1:16" ht="38.25" x14ac:dyDescent="0.25">
      <c r="A18" s="15" t="s">
        <v>19</v>
      </c>
      <c r="B18" s="74"/>
      <c r="C18" s="54">
        <f>I27</f>
        <v>0</v>
      </c>
      <c r="D18" s="54">
        <f>C18</f>
        <v>0</v>
      </c>
      <c r="E18" s="17"/>
      <c r="G18" s="40"/>
      <c r="H18" s="40"/>
      <c r="I18" s="38">
        <f>SUM(H18*G5)</f>
        <v>0</v>
      </c>
      <c r="K18" s="42" t="s">
        <v>40</v>
      </c>
      <c r="L18" s="42" t="s">
        <v>33</v>
      </c>
      <c r="M18" s="121" t="s">
        <v>34</v>
      </c>
      <c r="N18" s="122"/>
      <c r="O18" s="123"/>
      <c r="P18" s="42" t="s">
        <v>25</v>
      </c>
    </row>
    <row r="19" spans="1:16" x14ac:dyDescent="0.25">
      <c r="A19" s="15" t="s">
        <v>5</v>
      </c>
      <c r="B19" s="52"/>
      <c r="C19" s="56">
        <f>SUM(B19*G5)</f>
        <v>0</v>
      </c>
      <c r="D19" s="54">
        <f>SUM(C19/D8)</f>
        <v>0</v>
      </c>
      <c r="E19" s="17"/>
      <c r="G19" s="37"/>
      <c r="H19" s="37"/>
      <c r="I19" s="38">
        <f>SUM(H19*G5)</f>
        <v>0</v>
      </c>
      <c r="K19" s="46" t="s">
        <v>30</v>
      </c>
      <c r="L19" s="35"/>
      <c r="M19" s="142">
        <v>8</v>
      </c>
      <c r="N19" s="143"/>
      <c r="O19" s="144"/>
      <c r="P19" s="44">
        <f>SUM(L19*M19)</f>
        <v>0</v>
      </c>
    </row>
    <row r="20" spans="1:16" x14ac:dyDescent="0.25">
      <c r="A20" s="15" t="s">
        <v>6</v>
      </c>
      <c r="B20" s="52"/>
      <c r="C20" s="56">
        <f>SUM(B20*G5)</f>
        <v>0</v>
      </c>
      <c r="D20" s="54">
        <f>SUM(C20/D8)</f>
        <v>0</v>
      </c>
      <c r="E20" s="17"/>
      <c r="G20" s="37"/>
      <c r="H20" s="37"/>
      <c r="I20" s="38">
        <f>SUM(H20*G5)</f>
        <v>0</v>
      </c>
      <c r="K20" s="47" t="s">
        <v>31</v>
      </c>
      <c r="L20" s="37"/>
      <c r="M20" s="145">
        <v>9</v>
      </c>
      <c r="N20" s="146"/>
      <c r="O20" s="147"/>
      <c r="P20" s="45">
        <f>SUM(L20*M20)</f>
        <v>0</v>
      </c>
    </row>
    <row r="21" spans="1:16" x14ac:dyDescent="0.25">
      <c r="A21" s="15" t="s">
        <v>55</v>
      </c>
      <c r="B21" s="75"/>
      <c r="C21" s="56">
        <f>I33</f>
        <v>40</v>
      </c>
      <c r="D21" s="54">
        <f>C21</f>
        <v>40</v>
      </c>
      <c r="E21" s="17"/>
      <c r="G21" s="37"/>
      <c r="H21" s="37"/>
      <c r="I21" s="38"/>
      <c r="K21" s="47" t="s">
        <v>32</v>
      </c>
      <c r="L21" s="37"/>
      <c r="M21" s="145">
        <v>19</v>
      </c>
      <c r="N21" s="146"/>
      <c r="O21" s="147"/>
      <c r="P21" s="45">
        <f>SUM(L21*M21)</f>
        <v>0</v>
      </c>
    </row>
    <row r="22" spans="1:16" x14ac:dyDescent="0.25">
      <c r="A22" s="15" t="s">
        <v>39</v>
      </c>
      <c r="B22" s="72"/>
      <c r="C22" s="56">
        <v>0</v>
      </c>
      <c r="D22" s="54">
        <f>SUM(C22/D8)</f>
        <v>0</v>
      </c>
      <c r="E22" s="17"/>
      <c r="G22" s="37"/>
      <c r="H22" s="37"/>
      <c r="I22" s="38">
        <f>SUM(H22*G5)</f>
        <v>0</v>
      </c>
      <c r="K22" s="124" t="s">
        <v>24</v>
      </c>
      <c r="L22" s="125"/>
      <c r="M22" s="125"/>
      <c r="N22" s="125"/>
      <c r="O22" s="126"/>
      <c r="P22" s="34">
        <f>SUM(P19:P21)</f>
        <v>0</v>
      </c>
    </row>
    <row r="23" spans="1:16" x14ac:dyDescent="0.25">
      <c r="A23" s="43" t="s">
        <v>27</v>
      </c>
      <c r="B23" s="72"/>
      <c r="C23" s="54">
        <f>SUM(C14)</f>
        <v>0</v>
      </c>
      <c r="D23" s="54">
        <f>SUM(C23*D5)/D8</f>
        <v>0</v>
      </c>
      <c r="E23" s="17"/>
      <c r="G23" s="41"/>
      <c r="H23" s="41"/>
      <c r="I23" s="38">
        <f>SUM(H23*G5)</f>
        <v>0</v>
      </c>
    </row>
    <row r="24" spans="1:16" ht="55.5" customHeight="1" x14ac:dyDescent="0.25">
      <c r="A24" s="43" t="s">
        <v>26</v>
      </c>
      <c r="B24" s="72"/>
      <c r="C24" s="57">
        <v>36.5</v>
      </c>
      <c r="D24" s="54">
        <f>SUM(C24*D5)/D8</f>
        <v>3.65</v>
      </c>
      <c r="E24" s="17"/>
      <c r="G24" s="37"/>
      <c r="H24" s="37"/>
      <c r="I24" s="38">
        <f>SUM(H24*G5)</f>
        <v>0</v>
      </c>
      <c r="K24" s="42" t="s">
        <v>1</v>
      </c>
      <c r="L24" s="42" t="s">
        <v>36</v>
      </c>
      <c r="M24" s="121" t="s">
        <v>35</v>
      </c>
      <c r="N24" s="122"/>
      <c r="O24" s="123"/>
      <c r="P24" s="42" t="s">
        <v>37</v>
      </c>
    </row>
    <row r="25" spans="1:16" x14ac:dyDescent="0.25">
      <c r="A25" s="15" t="s">
        <v>7</v>
      </c>
      <c r="B25" s="71"/>
      <c r="C25" s="119">
        <f>SUM((P16+N16)*L6)</f>
        <v>0</v>
      </c>
      <c r="D25" s="54">
        <f>SUM(C25*D5)/D8</f>
        <v>0</v>
      </c>
      <c r="E25" s="15"/>
      <c r="G25" s="37"/>
      <c r="H25" s="37"/>
      <c r="I25" s="38">
        <f>SUM(H25*G5)</f>
        <v>0</v>
      </c>
      <c r="K25" s="46" t="s">
        <v>1</v>
      </c>
      <c r="L25" s="46">
        <f>D8</f>
        <v>10</v>
      </c>
      <c r="M25" s="139">
        <v>0</v>
      </c>
      <c r="N25" s="140"/>
      <c r="O25" s="141"/>
      <c r="P25" s="44">
        <f>IF(L25*M25&gt;=2000, 2000, L25*M25)</f>
        <v>0</v>
      </c>
    </row>
    <row r="26" spans="1:16" x14ac:dyDescent="0.25">
      <c r="A26" s="15" t="s">
        <v>8</v>
      </c>
      <c r="B26" s="71"/>
      <c r="C26" s="54">
        <f>P31</f>
        <v>0</v>
      </c>
      <c r="D26" s="54">
        <f>SUM(C26*D5)/D8</f>
        <v>0</v>
      </c>
      <c r="E26" s="17"/>
      <c r="G26" s="37"/>
      <c r="H26" s="37"/>
      <c r="I26" s="38">
        <f>SUM(H26*G5)</f>
        <v>0</v>
      </c>
    </row>
    <row r="27" spans="1:16" ht="38.25" x14ac:dyDescent="0.25">
      <c r="A27" s="15" t="s">
        <v>9</v>
      </c>
      <c r="B27" s="71"/>
      <c r="C27" s="56"/>
      <c r="D27" s="54">
        <f>SUM(C27*D5)/D8</f>
        <v>0</v>
      </c>
      <c r="E27" s="17"/>
      <c r="G27" s="33" t="s">
        <v>24</v>
      </c>
      <c r="H27" s="33"/>
      <c r="I27" s="38">
        <f>SUM(I8:I26)</f>
        <v>0</v>
      </c>
      <c r="K27" s="42" t="s">
        <v>38</v>
      </c>
      <c r="L27" s="42" t="s">
        <v>33</v>
      </c>
      <c r="M27" s="121" t="s">
        <v>34</v>
      </c>
      <c r="N27" s="122"/>
      <c r="O27" s="123"/>
      <c r="P27" s="42" t="s">
        <v>25</v>
      </c>
    </row>
    <row r="28" spans="1:16" x14ac:dyDescent="0.25">
      <c r="A28" s="15" t="s">
        <v>29</v>
      </c>
      <c r="B28" s="71"/>
      <c r="C28" s="56">
        <v>0</v>
      </c>
      <c r="D28" s="54">
        <f>SUM(C28*D5)/D8</f>
        <v>0</v>
      </c>
      <c r="E28" s="16"/>
      <c r="G28" s="42" t="s">
        <v>50</v>
      </c>
      <c r="H28" s="42"/>
      <c r="I28" s="42"/>
      <c r="K28" s="46" t="s">
        <v>30</v>
      </c>
      <c r="L28" s="35"/>
      <c r="M28" s="142">
        <v>8</v>
      </c>
      <c r="N28" s="143"/>
      <c r="O28" s="144"/>
      <c r="P28" s="44">
        <f>SUM(L28*M28)</f>
        <v>0</v>
      </c>
    </row>
    <row r="29" spans="1:16" x14ac:dyDescent="0.25">
      <c r="A29" s="15" t="s">
        <v>10</v>
      </c>
      <c r="B29" s="74"/>
      <c r="C29" s="56">
        <v>0</v>
      </c>
      <c r="D29" s="54">
        <f>SUM(C29*D5)/D8</f>
        <v>0</v>
      </c>
      <c r="E29" s="16"/>
      <c r="G29" s="64" t="s">
        <v>51</v>
      </c>
      <c r="H29" s="38"/>
      <c r="I29" s="38"/>
      <c r="K29" s="47" t="s">
        <v>31</v>
      </c>
      <c r="L29" s="37"/>
      <c r="M29" s="145">
        <v>9</v>
      </c>
      <c r="N29" s="146"/>
      <c r="O29" s="147"/>
      <c r="P29" s="45">
        <f>SUM(L29*M29)</f>
        <v>0</v>
      </c>
    </row>
    <row r="30" spans="1:16" x14ac:dyDescent="0.25">
      <c r="A30" s="15" t="s">
        <v>17</v>
      </c>
      <c r="B30" s="53"/>
      <c r="C30" s="58">
        <f>SUM(C23:C29)</f>
        <v>36.5</v>
      </c>
      <c r="D30" s="58">
        <f>SUM(C30*D5)/D8</f>
        <v>3.65</v>
      </c>
      <c r="G30" s="64" t="s">
        <v>52</v>
      </c>
      <c r="H30" s="38"/>
      <c r="I30" s="38"/>
      <c r="K30" s="47" t="s">
        <v>32</v>
      </c>
      <c r="L30" s="37"/>
      <c r="M30" s="145">
        <v>19</v>
      </c>
      <c r="N30" s="146"/>
      <c r="O30" s="147"/>
      <c r="P30" s="45">
        <f>SUM(L30*M30)</f>
        <v>0</v>
      </c>
    </row>
    <row r="31" spans="1:16" ht="15.75" customHeight="1" x14ac:dyDescent="0.25">
      <c r="A31" s="15"/>
      <c r="B31" s="15"/>
      <c r="C31" s="23"/>
      <c r="D31" s="22"/>
      <c r="E31" s="16"/>
      <c r="G31" s="33" t="s">
        <v>76</v>
      </c>
      <c r="H31" s="45"/>
      <c r="I31" s="65">
        <v>40</v>
      </c>
      <c r="J31" s="49"/>
      <c r="K31" s="124" t="s">
        <v>24</v>
      </c>
      <c r="L31" s="125"/>
      <c r="M31" s="125"/>
      <c r="N31" s="125"/>
      <c r="O31" s="126"/>
      <c r="P31" s="34">
        <f>SUM(P28:P30)</f>
        <v>0</v>
      </c>
    </row>
    <row r="32" spans="1:16" ht="43.5" customHeight="1" x14ac:dyDescent="0.25">
      <c r="A32" s="19" t="s">
        <v>11</v>
      </c>
      <c r="B32" s="19"/>
      <c r="C32" s="28"/>
      <c r="D32" s="22">
        <f>SUM(D11:D22)+D30</f>
        <v>113.65</v>
      </c>
      <c r="G32" s="66" t="s">
        <v>77</v>
      </c>
      <c r="H32" s="67"/>
      <c r="I32" s="67"/>
      <c r="J32" s="49"/>
    </row>
    <row r="33" spans="1:16" x14ac:dyDescent="0.25">
      <c r="A33" s="19"/>
      <c r="B33" s="19"/>
      <c r="C33" s="28"/>
      <c r="D33" s="22"/>
      <c r="G33" s="137" t="s">
        <v>24</v>
      </c>
      <c r="H33" s="138"/>
      <c r="I33" s="65">
        <f>SUM(I29:I31)</f>
        <v>40</v>
      </c>
      <c r="J33" s="49"/>
      <c r="K33" s="62"/>
      <c r="L33" s="62"/>
      <c r="M33" s="62"/>
      <c r="N33" s="62"/>
      <c r="O33" s="62"/>
      <c r="P33" s="63"/>
    </row>
    <row r="34" spans="1:16" x14ac:dyDescent="0.25">
      <c r="A34" s="19"/>
      <c r="B34" s="19"/>
      <c r="C34" s="28"/>
      <c r="D34" s="22"/>
      <c r="G34" s="49"/>
      <c r="H34" s="49"/>
      <c r="I34" s="49"/>
      <c r="J34" s="49"/>
      <c r="K34" s="62"/>
      <c r="L34" s="62"/>
      <c r="M34" s="62"/>
      <c r="N34" s="62"/>
      <c r="O34" s="62"/>
      <c r="P34" s="63"/>
    </row>
    <row r="35" spans="1:16" x14ac:dyDescent="0.25">
      <c r="A35" s="19"/>
      <c r="B35" s="19"/>
      <c r="C35" s="20"/>
      <c r="D35" s="16"/>
      <c r="G35" s="127" t="s">
        <v>49</v>
      </c>
      <c r="H35" s="128"/>
      <c r="I35" s="129"/>
      <c r="J35" s="129"/>
      <c r="K35" s="129"/>
      <c r="L35" s="130"/>
      <c r="M35" s="78"/>
      <c r="N35" s="78"/>
    </row>
    <row r="36" spans="1:16" x14ac:dyDescent="0.25">
      <c r="A36" s="21" t="s">
        <v>12</v>
      </c>
      <c r="B36" s="21"/>
      <c r="C36" s="27" t="s">
        <v>13</v>
      </c>
      <c r="D36" s="17"/>
      <c r="G36" s="131"/>
      <c r="H36" s="132"/>
      <c r="I36" s="132"/>
      <c r="J36" s="132"/>
      <c r="K36" s="132"/>
      <c r="L36" s="133"/>
      <c r="M36" s="78"/>
      <c r="N36" s="78"/>
    </row>
    <row r="37" spans="1:16" x14ac:dyDescent="0.25">
      <c r="G37" s="131"/>
      <c r="H37" s="132"/>
      <c r="I37" s="132"/>
      <c r="J37" s="132"/>
      <c r="K37" s="132"/>
      <c r="L37" s="133"/>
      <c r="M37" s="78"/>
      <c r="N37" s="78"/>
    </row>
    <row r="38" spans="1:16" x14ac:dyDescent="0.25">
      <c r="G38" s="134"/>
      <c r="H38" s="135"/>
      <c r="I38" s="135"/>
      <c r="J38" s="135"/>
      <c r="K38" s="135"/>
      <c r="L38" s="136"/>
      <c r="M38" s="78"/>
      <c r="N38" s="78"/>
    </row>
  </sheetData>
  <sheetProtection password="EAA4" sheet="1" objects="1" scenarios="1" selectLockedCells="1"/>
  <mergeCells count="15">
    <mergeCell ref="K16:L16"/>
    <mergeCell ref="M19:O19"/>
    <mergeCell ref="M20:O20"/>
    <mergeCell ref="M21:O21"/>
    <mergeCell ref="M18:O18"/>
    <mergeCell ref="M24:O24"/>
    <mergeCell ref="K22:O22"/>
    <mergeCell ref="G35:L38"/>
    <mergeCell ref="K31:O31"/>
    <mergeCell ref="G33:H33"/>
    <mergeCell ref="M27:O27"/>
    <mergeCell ref="M25:O25"/>
    <mergeCell ref="M28:O28"/>
    <mergeCell ref="M29:O29"/>
    <mergeCell ref="M30:O30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70" zoomScaleNormal="70" workbookViewId="0">
      <selection activeCell="N3" sqref="N3"/>
    </sheetView>
  </sheetViews>
  <sheetFormatPr defaultRowHeight="15" x14ac:dyDescent="0.25"/>
  <cols>
    <col min="1" max="1" width="29.42578125" customWidth="1"/>
    <col min="2" max="2" width="12" customWidth="1"/>
    <col min="3" max="3" width="13.85546875" customWidth="1"/>
    <col min="4" max="4" width="15.140625" customWidth="1"/>
    <col min="5" max="5" width="13.28515625" customWidth="1"/>
    <col min="6" max="6" width="4.28515625" customWidth="1"/>
    <col min="7" max="7" width="23.85546875" customWidth="1"/>
    <col min="8" max="8" width="10.42578125" customWidth="1"/>
    <col min="9" max="9" width="11.28515625" customWidth="1"/>
    <col min="10" max="10" width="4" customWidth="1"/>
    <col min="11" max="11" width="24.7109375" customWidth="1"/>
    <col min="12" max="12" width="12.5703125" customWidth="1"/>
    <col min="13" max="13" width="12" customWidth="1"/>
    <col min="14" max="14" width="13.140625" customWidth="1"/>
  </cols>
  <sheetData>
    <row r="1" spans="1:14" ht="16.5" thickBot="1" x14ac:dyDescent="0.3">
      <c r="A1" s="25" t="s">
        <v>59</v>
      </c>
      <c r="B1" s="25"/>
      <c r="C1" s="79"/>
      <c r="D1" s="79"/>
      <c r="E1" s="79"/>
      <c r="F1" s="79"/>
      <c r="G1" s="79"/>
      <c r="H1" s="79"/>
      <c r="I1" s="79"/>
      <c r="J1" s="80"/>
      <c r="K1" s="80"/>
      <c r="L1" s="80"/>
      <c r="M1" s="80"/>
      <c r="N1" s="80"/>
    </row>
    <row r="2" spans="1:14" ht="15.75" x14ac:dyDescent="0.25">
      <c r="A2" s="26" t="s">
        <v>58</v>
      </c>
      <c r="B2" s="26"/>
      <c r="C2" s="81"/>
      <c r="D2" s="81"/>
      <c r="E2" s="81"/>
      <c r="F2" s="82"/>
      <c r="G2" s="83"/>
      <c r="H2" s="83"/>
      <c r="I2" s="83"/>
      <c r="J2" s="80"/>
      <c r="K2" s="80"/>
      <c r="L2" s="80"/>
      <c r="M2" s="80"/>
      <c r="N2" s="80"/>
    </row>
    <row r="3" spans="1:14" x14ac:dyDescent="0.25">
      <c r="A3" s="29" t="s">
        <v>60</v>
      </c>
      <c r="B3" s="29"/>
      <c r="C3" s="84"/>
      <c r="D3" s="48"/>
      <c r="E3" s="48"/>
      <c r="F3" s="85"/>
      <c r="G3" s="48"/>
      <c r="H3" s="48"/>
      <c r="I3" s="80"/>
      <c r="J3" s="80"/>
      <c r="K3" s="80"/>
      <c r="L3" s="80"/>
      <c r="M3" s="80"/>
      <c r="N3" s="80"/>
    </row>
    <row r="4" spans="1:14" ht="39" x14ac:dyDescent="0.25">
      <c r="A4" s="30"/>
      <c r="B4" s="30"/>
      <c r="C4" s="84"/>
      <c r="D4" s="86" t="s">
        <v>22</v>
      </c>
      <c r="E4" s="48"/>
      <c r="F4" s="85"/>
      <c r="G4" s="87" t="s">
        <v>45</v>
      </c>
      <c r="H4" s="80"/>
      <c r="I4" s="80"/>
      <c r="J4" s="80"/>
      <c r="K4" s="80"/>
      <c r="L4" s="80"/>
      <c r="M4" s="80"/>
      <c r="N4" s="80"/>
    </row>
    <row r="5" spans="1:14" x14ac:dyDescent="0.25">
      <c r="A5" s="24" t="s">
        <v>61</v>
      </c>
      <c r="B5" s="24"/>
      <c r="C5" s="84"/>
      <c r="D5" s="31">
        <v>1</v>
      </c>
      <c r="E5" s="48"/>
      <c r="F5" s="85"/>
      <c r="G5" s="37">
        <v>0.28999999999999998</v>
      </c>
      <c r="H5" s="48"/>
      <c r="I5" s="80"/>
      <c r="J5" s="80"/>
      <c r="K5" s="80"/>
      <c r="L5" s="80"/>
      <c r="M5" s="80"/>
      <c r="N5" s="80"/>
    </row>
    <row r="6" spans="1:14" x14ac:dyDescent="0.25">
      <c r="A6" s="24"/>
      <c r="B6" s="24"/>
      <c r="C6" s="84"/>
      <c r="D6" s="48"/>
      <c r="E6" s="48"/>
      <c r="F6" s="85"/>
      <c r="G6" s="48"/>
      <c r="H6" s="48"/>
      <c r="I6" s="80"/>
      <c r="J6" s="80"/>
      <c r="K6" s="80"/>
      <c r="L6" s="80"/>
      <c r="M6" s="80"/>
      <c r="N6" s="80"/>
    </row>
    <row r="7" spans="1:14" ht="38.25" x14ac:dyDescent="0.25">
      <c r="A7" s="29"/>
      <c r="B7" s="29"/>
      <c r="C7" s="84"/>
      <c r="D7" s="86" t="s">
        <v>16</v>
      </c>
      <c r="E7" s="48"/>
      <c r="F7" s="85"/>
      <c r="G7" s="88" t="s">
        <v>23</v>
      </c>
      <c r="H7" s="88" t="s">
        <v>46</v>
      </c>
      <c r="I7" s="88" t="s">
        <v>25</v>
      </c>
      <c r="J7" s="80"/>
      <c r="K7" s="88" t="s">
        <v>28</v>
      </c>
      <c r="L7" s="88" t="s">
        <v>41</v>
      </c>
      <c r="M7" s="88" t="s">
        <v>46</v>
      </c>
      <c r="N7" s="88" t="s">
        <v>25</v>
      </c>
    </row>
    <row r="8" spans="1:14" ht="25.5" x14ac:dyDescent="0.25">
      <c r="A8" s="29"/>
      <c r="B8" s="29"/>
      <c r="C8" s="84"/>
      <c r="D8" s="32">
        <v>9</v>
      </c>
      <c r="E8" s="48"/>
      <c r="F8" s="85"/>
      <c r="G8" s="35" t="s">
        <v>68</v>
      </c>
      <c r="H8" s="37">
        <v>0</v>
      </c>
      <c r="I8" s="38">
        <f>SUM(H8*G5)</f>
        <v>0</v>
      </c>
      <c r="J8" s="80"/>
      <c r="K8" s="68" t="s">
        <v>62</v>
      </c>
      <c r="L8" s="68" t="s">
        <v>63</v>
      </c>
      <c r="M8" s="70">
        <v>1452</v>
      </c>
      <c r="N8" s="68">
        <f>SUM((M8*G5)/L16)</f>
        <v>210.54</v>
      </c>
    </row>
    <row r="9" spans="1:14" ht="30" x14ac:dyDescent="0.25">
      <c r="A9" s="89"/>
      <c r="B9" s="89"/>
      <c r="C9" s="90"/>
      <c r="D9" s="80"/>
      <c r="E9" s="91"/>
      <c r="F9" s="92"/>
      <c r="G9" s="35" t="s">
        <v>66</v>
      </c>
      <c r="H9" s="35">
        <v>150</v>
      </c>
      <c r="I9" s="36">
        <f>SUM(H9*G5)</f>
        <v>43.5</v>
      </c>
      <c r="J9" s="80"/>
      <c r="K9" s="35" t="s">
        <v>64</v>
      </c>
      <c r="L9" s="77" t="s">
        <v>65</v>
      </c>
      <c r="M9" s="37">
        <v>1511</v>
      </c>
      <c r="N9" s="68">
        <f>SUM((M9*G5)/L16)</f>
        <v>219.095</v>
      </c>
    </row>
    <row r="10" spans="1:14" ht="25.5" x14ac:dyDescent="0.25">
      <c r="A10" s="90" t="s">
        <v>0</v>
      </c>
      <c r="B10" s="93" t="s">
        <v>43</v>
      </c>
      <c r="C10" s="94" t="s">
        <v>44</v>
      </c>
      <c r="D10" s="95"/>
      <c r="E10" s="96"/>
      <c r="F10" s="97"/>
      <c r="G10" s="37" t="s">
        <v>67</v>
      </c>
      <c r="H10" s="37">
        <v>100</v>
      </c>
      <c r="I10" s="38">
        <f>SUM(H10*G5)</f>
        <v>28.999999999999996</v>
      </c>
      <c r="J10" s="80"/>
      <c r="K10" s="37"/>
      <c r="L10" s="37"/>
      <c r="M10" s="37"/>
      <c r="N10" s="68">
        <f>SUM((M10*G5)/L16)</f>
        <v>0</v>
      </c>
    </row>
    <row r="11" spans="1:14" ht="25.5" x14ac:dyDescent="0.25">
      <c r="A11" s="43" t="s">
        <v>1</v>
      </c>
      <c r="B11" s="98"/>
      <c r="C11" s="56">
        <f>SUM(N25)</f>
        <v>90</v>
      </c>
      <c r="D11" s="56">
        <f>SUM(C11/D8)</f>
        <v>10</v>
      </c>
      <c r="E11" s="99" t="s">
        <v>42</v>
      </c>
      <c r="F11" s="97"/>
      <c r="G11" s="37" t="s">
        <v>69</v>
      </c>
      <c r="H11" s="37">
        <v>30</v>
      </c>
      <c r="I11" s="38">
        <f>SUM(H11*G5)</f>
        <v>8.6999999999999993</v>
      </c>
      <c r="J11" s="80"/>
      <c r="K11" s="37"/>
      <c r="L11" s="37"/>
      <c r="M11" s="37"/>
      <c r="N11" s="68">
        <f>SUM((M11*G5)/L16)</f>
        <v>0</v>
      </c>
    </row>
    <row r="12" spans="1:14" x14ac:dyDescent="0.25">
      <c r="A12" s="43" t="s">
        <v>2</v>
      </c>
      <c r="B12" s="100"/>
      <c r="C12" s="55">
        <v>0</v>
      </c>
      <c r="D12" s="56">
        <f>SUM(C12/D8)</f>
        <v>0</v>
      </c>
      <c r="E12" s="101"/>
      <c r="F12" s="80"/>
      <c r="G12" s="37"/>
      <c r="H12" s="37"/>
      <c r="I12" s="38">
        <f>SUM(H12*G5)</f>
        <v>0</v>
      </c>
      <c r="J12" s="80"/>
      <c r="K12" s="37"/>
      <c r="L12" s="37"/>
      <c r="M12" s="37"/>
      <c r="N12" s="68">
        <f>SUM((M12*G5)/L16)</f>
        <v>0</v>
      </c>
    </row>
    <row r="13" spans="1:14" ht="26.25" x14ac:dyDescent="0.25">
      <c r="A13" s="43" t="s">
        <v>3</v>
      </c>
      <c r="B13" s="100"/>
      <c r="C13" s="56">
        <v>540</v>
      </c>
      <c r="D13" s="56">
        <f>SUM(C13/D8)</f>
        <v>60</v>
      </c>
      <c r="E13" s="92" t="s">
        <v>48</v>
      </c>
      <c r="F13" s="80"/>
      <c r="G13" s="37"/>
      <c r="H13" s="37"/>
      <c r="I13" s="38">
        <f>SUM(H13*G5)</f>
        <v>0</v>
      </c>
      <c r="J13" s="80"/>
      <c r="K13" s="37"/>
      <c r="L13" s="37"/>
      <c r="M13" s="37"/>
      <c r="N13" s="68">
        <f>SUM((M13*G5)/L16)</f>
        <v>0</v>
      </c>
    </row>
    <row r="14" spans="1:14" x14ac:dyDescent="0.25">
      <c r="A14" s="43" t="s">
        <v>20</v>
      </c>
      <c r="B14" s="102"/>
      <c r="C14" s="56">
        <v>1100</v>
      </c>
      <c r="D14" s="56">
        <f>C14</f>
        <v>1100</v>
      </c>
      <c r="E14" s="101"/>
      <c r="F14" s="103"/>
      <c r="G14" s="39"/>
      <c r="H14" s="39"/>
      <c r="I14" s="38">
        <f>SUM(H14*G5)</f>
        <v>0</v>
      </c>
      <c r="J14" s="80"/>
      <c r="K14" s="39"/>
      <c r="L14" s="39"/>
      <c r="M14" s="37"/>
      <c r="N14" s="68">
        <f>SUM((M14*G5)/L16)</f>
        <v>0</v>
      </c>
    </row>
    <row r="15" spans="1:14" x14ac:dyDescent="0.25">
      <c r="A15" s="43" t="s">
        <v>4</v>
      </c>
      <c r="B15" s="52">
        <v>0</v>
      </c>
      <c r="C15" s="56">
        <v>80</v>
      </c>
      <c r="D15" s="56">
        <f>SUM(C15/D8)</f>
        <v>8.8888888888888893</v>
      </c>
      <c r="E15" s="101"/>
      <c r="F15" s="103"/>
      <c r="G15" s="39"/>
      <c r="H15" s="39"/>
      <c r="I15" s="38">
        <f>SUM(H15*G5)</f>
        <v>0</v>
      </c>
      <c r="J15" s="80"/>
      <c r="K15" s="39"/>
      <c r="L15" s="39"/>
      <c r="M15" s="37"/>
      <c r="N15" s="68">
        <f>SUM((M15*G5)/L16)</f>
        <v>0</v>
      </c>
    </row>
    <row r="16" spans="1:14" x14ac:dyDescent="0.25">
      <c r="A16" s="43" t="s">
        <v>21</v>
      </c>
      <c r="B16" s="98"/>
      <c r="C16" s="56">
        <f>SUM(N16)</f>
        <v>429.63499999999999</v>
      </c>
      <c r="D16" s="56">
        <f>C16</f>
        <v>429.63499999999999</v>
      </c>
      <c r="E16" s="101"/>
      <c r="F16" s="80"/>
      <c r="G16" s="40"/>
      <c r="H16" s="40"/>
      <c r="I16" s="38">
        <f>SUM(H16*G5)</f>
        <v>0</v>
      </c>
      <c r="J16" s="80"/>
      <c r="K16" s="69" t="s">
        <v>47</v>
      </c>
      <c r="L16" s="69">
        <v>2</v>
      </c>
      <c r="M16" s="69" t="s">
        <v>24</v>
      </c>
      <c r="N16" s="38">
        <f>SUM(N8:N15)</f>
        <v>429.63499999999999</v>
      </c>
    </row>
    <row r="17" spans="1:14" x14ac:dyDescent="0.25">
      <c r="A17" s="43" t="s">
        <v>18</v>
      </c>
      <c r="B17" s="100"/>
      <c r="C17" s="56">
        <f>SUM(N22)</f>
        <v>360</v>
      </c>
      <c r="D17" s="56">
        <f>C17</f>
        <v>360</v>
      </c>
      <c r="E17" s="101"/>
      <c r="F17" s="80"/>
      <c r="G17" s="40"/>
      <c r="H17" s="40"/>
      <c r="I17" s="38">
        <f>SUM(H17*G5)</f>
        <v>0</v>
      </c>
      <c r="J17" s="80"/>
      <c r="K17" s="80"/>
      <c r="L17" s="80"/>
      <c r="M17" s="80"/>
      <c r="N17" s="80"/>
    </row>
    <row r="18" spans="1:14" ht="38.25" x14ac:dyDescent="0.25">
      <c r="A18" s="43" t="s">
        <v>19</v>
      </c>
      <c r="B18" s="102"/>
      <c r="C18" s="56">
        <f>I27</f>
        <v>81.2</v>
      </c>
      <c r="D18" s="56">
        <f>C18</f>
        <v>81.2</v>
      </c>
      <c r="E18" s="101"/>
      <c r="F18" s="80"/>
      <c r="G18" s="40"/>
      <c r="H18" s="40"/>
      <c r="I18" s="38">
        <f>SUM(H18*G5)</f>
        <v>0</v>
      </c>
      <c r="J18" s="80"/>
      <c r="K18" s="88" t="s">
        <v>40</v>
      </c>
      <c r="L18" s="88" t="s">
        <v>33</v>
      </c>
      <c r="M18" s="88" t="s">
        <v>34</v>
      </c>
      <c r="N18" s="88" t="s">
        <v>25</v>
      </c>
    </row>
    <row r="19" spans="1:14" x14ac:dyDescent="0.25">
      <c r="A19" s="43" t="s">
        <v>5</v>
      </c>
      <c r="B19" s="52">
        <v>182</v>
      </c>
      <c r="C19" s="56">
        <f>SUM(B19*G5)</f>
        <v>52.779999999999994</v>
      </c>
      <c r="D19" s="56">
        <f>SUM(C19/D8)</f>
        <v>5.8644444444444437</v>
      </c>
      <c r="E19" s="101"/>
      <c r="F19" s="80"/>
      <c r="G19" s="37"/>
      <c r="H19" s="37"/>
      <c r="I19" s="38">
        <f>SUM(H19*G5)</f>
        <v>0</v>
      </c>
      <c r="J19" s="80"/>
      <c r="K19" s="35" t="s">
        <v>30</v>
      </c>
      <c r="L19" s="35">
        <v>10</v>
      </c>
      <c r="M19" s="36">
        <v>8</v>
      </c>
      <c r="N19" s="36">
        <f>SUM(L19*M19)</f>
        <v>80</v>
      </c>
    </row>
    <row r="20" spans="1:14" x14ac:dyDescent="0.25">
      <c r="A20" s="43" t="s">
        <v>6</v>
      </c>
      <c r="B20" s="52"/>
      <c r="C20" s="56">
        <v>50</v>
      </c>
      <c r="D20" s="56">
        <f>SUM(C20/D8)</f>
        <v>5.5555555555555554</v>
      </c>
      <c r="E20" s="101"/>
      <c r="F20" s="80"/>
      <c r="G20" s="37"/>
      <c r="H20" s="37"/>
      <c r="I20" s="38">
        <f>SUM(H20*G5)</f>
        <v>0</v>
      </c>
      <c r="J20" s="80"/>
      <c r="K20" s="37" t="s">
        <v>31</v>
      </c>
      <c r="L20" s="37">
        <v>10</v>
      </c>
      <c r="M20" s="38">
        <v>9</v>
      </c>
      <c r="N20" s="38">
        <f>SUM(L20*M20)</f>
        <v>90</v>
      </c>
    </row>
    <row r="21" spans="1:14" x14ac:dyDescent="0.25">
      <c r="A21" s="43" t="s">
        <v>55</v>
      </c>
      <c r="B21" s="98"/>
      <c r="C21" s="56">
        <f>I33</f>
        <v>40</v>
      </c>
      <c r="D21" s="56">
        <f>C21</f>
        <v>40</v>
      </c>
      <c r="E21" s="101"/>
      <c r="F21" s="80"/>
      <c r="G21" s="37"/>
      <c r="H21" s="37"/>
      <c r="I21" s="38"/>
      <c r="J21" s="80"/>
      <c r="K21" s="37" t="s">
        <v>32</v>
      </c>
      <c r="L21" s="37">
        <v>10</v>
      </c>
      <c r="M21" s="38">
        <v>19</v>
      </c>
      <c r="N21" s="38">
        <f>SUM(L21*M21)</f>
        <v>190</v>
      </c>
    </row>
    <row r="22" spans="1:14" x14ac:dyDescent="0.25">
      <c r="A22" s="43" t="s">
        <v>39</v>
      </c>
      <c r="B22" s="100"/>
      <c r="C22" s="56">
        <v>25</v>
      </c>
      <c r="D22" s="56">
        <f>SUM(C22/D8)</f>
        <v>2.7777777777777777</v>
      </c>
      <c r="E22" s="101"/>
      <c r="F22" s="80"/>
      <c r="G22" s="37"/>
      <c r="H22" s="37"/>
      <c r="I22" s="38">
        <f>SUM(H22*G5)</f>
        <v>0</v>
      </c>
      <c r="J22" s="80"/>
      <c r="K22" s="148" t="s">
        <v>24</v>
      </c>
      <c r="L22" s="149"/>
      <c r="M22" s="150"/>
      <c r="N22" s="38">
        <f>SUM(N19:N21)</f>
        <v>360</v>
      </c>
    </row>
    <row r="23" spans="1:14" x14ac:dyDescent="0.25">
      <c r="A23" s="43" t="s">
        <v>27</v>
      </c>
      <c r="B23" s="100"/>
      <c r="C23" s="56">
        <f>SUM(C14)</f>
        <v>1100</v>
      </c>
      <c r="D23" s="56">
        <f>SUM(C23*D5)/D8</f>
        <v>122.22222222222223</v>
      </c>
      <c r="E23" s="101"/>
      <c r="F23" s="80"/>
      <c r="G23" s="41"/>
      <c r="H23" s="41"/>
      <c r="I23" s="38">
        <f>SUM(H23*G5)</f>
        <v>0</v>
      </c>
      <c r="J23" s="80"/>
      <c r="K23" s="80"/>
      <c r="L23" s="80"/>
      <c r="M23" s="80"/>
      <c r="N23" s="80"/>
    </row>
    <row r="24" spans="1:14" ht="38.25" x14ac:dyDescent="0.25">
      <c r="A24" s="43" t="s">
        <v>26</v>
      </c>
      <c r="B24" s="100"/>
      <c r="C24" s="55">
        <v>36.5</v>
      </c>
      <c r="D24" s="56">
        <f>SUM(C24*D5)/D8</f>
        <v>4.0555555555555554</v>
      </c>
      <c r="E24" s="101"/>
      <c r="F24" s="80"/>
      <c r="G24" s="37"/>
      <c r="H24" s="37"/>
      <c r="I24" s="38">
        <f>SUM(H24*G5)</f>
        <v>0</v>
      </c>
      <c r="J24" s="80"/>
      <c r="K24" s="88" t="s">
        <v>1</v>
      </c>
      <c r="L24" s="88" t="s">
        <v>36</v>
      </c>
      <c r="M24" s="88" t="s">
        <v>35</v>
      </c>
      <c r="N24" s="88" t="s">
        <v>37</v>
      </c>
    </row>
    <row r="25" spans="1:14" x14ac:dyDescent="0.25">
      <c r="A25" s="43" t="s">
        <v>7</v>
      </c>
      <c r="B25" s="100"/>
      <c r="C25" s="104">
        <f>SUM(N16*L16)</f>
        <v>859.27</v>
      </c>
      <c r="D25" s="56">
        <f>SUM(C25*D5)/D8</f>
        <v>95.474444444444444</v>
      </c>
      <c r="E25" s="43"/>
      <c r="F25" s="80"/>
      <c r="G25" s="37"/>
      <c r="H25" s="37"/>
      <c r="I25" s="38">
        <f>SUM(H25*G5)</f>
        <v>0</v>
      </c>
      <c r="J25" s="80"/>
      <c r="K25" s="35" t="s">
        <v>1</v>
      </c>
      <c r="L25" s="35">
        <f>D8</f>
        <v>9</v>
      </c>
      <c r="M25" s="36">
        <v>10</v>
      </c>
      <c r="N25" s="36">
        <f>IF(L25*M25&gt;=2000, 2000, L25*M25)</f>
        <v>90</v>
      </c>
    </row>
    <row r="26" spans="1:14" x14ac:dyDescent="0.25">
      <c r="A26" s="43" t="s">
        <v>8</v>
      </c>
      <c r="B26" s="100"/>
      <c r="C26" s="56">
        <f>N31</f>
        <v>360</v>
      </c>
      <c r="D26" s="56">
        <f>SUM(C26*D5)/D8</f>
        <v>40</v>
      </c>
      <c r="E26" s="101"/>
      <c r="F26" s="80"/>
      <c r="G26" s="37"/>
      <c r="H26" s="37"/>
      <c r="I26" s="38">
        <f>SUM(H26*G5)</f>
        <v>0</v>
      </c>
      <c r="J26" s="80"/>
      <c r="K26" s="80"/>
      <c r="L26" s="80"/>
      <c r="M26" s="80"/>
      <c r="N26" s="80"/>
    </row>
    <row r="27" spans="1:14" ht="38.25" x14ac:dyDescent="0.25">
      <c r="A27" s="43" t="s">
        <v>9</v>
      </c>
      <c r="B27" s="100"/>
      <c r="C27" s="56">
        <f>I27</f>
        <v>81.2</v>
      </c>
      <c r="D27" s="56">
        <f>SUM(C27*D5)/D8</f>
        <v>9.0222222222222221</v>
      </c>
      <c r="E27" s="101"/>
      <c r="F27" s="80"/>
      <c r="G27" s="37" t="s">
        <v>24</v>
      </c>
      <c r="H27" s="37"/>
      <c r="I27" s="38">
        <f>SUM(I8:I26)</f>
        <v>81.2</v>
      </c>
      <c r="J27" s="80"/>
      <c r="K27" s="88" t="s">
        <v>38</v>
      </c>
      <c r="L27" s="88" t="s">
        <v>33</v>
      </c>
      <c r="M27" s="88" t="s">
        <v>34</v>
      </c>
      <c r="N27" s="88" t="s">
        <v>25</v>
      </c>
    </row>
    <row r="28" spans="1:14" x14ac:dyDescent="0.25">
      <c r="A28" s="43" t="s">
        <v>29</v>
      </c>
      <c r="B28" s="100"/>
      <c r="C28" s="56">
        <v>52.78</v>
      </c>
      <c r="D28" s="56">
        <f>SUM(C28*D5)/D8</f>
        <v>5.8644444444444446</v>
      </c>
      <c r="E28" s="23"/>
      <c r="F28" s="80"/>
      <c r="G28" s="88" t="s">
        <v>50</v>
      </c>
      <c r="H28" s="88"/>
      <c r="I28" s="88"/>
      <c r="J28" s="80"/>
      <c r="K28" s="35" t="s">
        <v>30</v>
      </c>
      <c r="L28" s="35">
        <v>10</v>
      </c>
      <c r="M28" s="36">
        <v>8</v>
      </c>
      <c r="N28" s="36">
        <f>SUM(L28*M28)</f>
        <v>80</v>
      </c>
    </row>
    <row r="29" spans="1:14" x14ac:dyDescent="0.25">
      <c r="A29" s="43" t="s">
        <v>10</v>
      </c>
      <c r="B29" s="102"/>
      <c r="C29" s="56">
        <v>150</v>
      </c>
      <c r="D29" s="56">
        <f>SUM(C29*D5)/D8</f>
        <v>16.666666666666668</v>
      </c>
      <c r="E29" s="23"/>
      <c r="F29" s="80"/>
      <c r="G29" s="105" t="s">
        <v>51</v>
      </c>
      <c r="H29" s="38"/>
      <c r="I29" s="38"/>
      <c r="J29" s="80"/>
      <c r="K29" s="37" t="s">
        <v>31</v>
      </c>
      <c r="L29" s="37">
        <v>10</v>
      </c>
      <c r="M29" s="38">
        <v>9</v>
      </c>
      <c r="N29" s="38">
        <f>SUM(L29*M29)</f>
        <v>90</v>
      </c>
    </row>
    <row r="30" spans="1:14" x14ac:dyDescent="0.25">
      <c r="A30" s="43" t="s">
        <v>17</v>
      </c>
      <c r="B30" s="106"/>
      <c r="C30" s="107">
        <f>SUM(C23:C29)</f>
        <v>2639.75</v>
      </c>
      <c r="D30" s="107">
        <f>SUM(C30*D5)/D8</f>
        <v>293.30555555555554</v>
      </c>
      <c r="E30" s="80"/>
      <c r="F30" s="80"/>
      <c r="G30" s="105" t="s">
        <v>52</v>
      </c>
      <c r="H30" s="38"/>
      <c r="I30" s="38"/>
      <c r="J30" s="80"/>
      <c r="K30" s="37" t="s">
        <v>32</v>
      </c>
      <c r="L30" s="37">
        <v>10</v>
      </c>
      <c r="M30" s="38">
        <v>19</v>
      </c>
      <c r="N30" s="38">
        <f>SUM(L30*M30)</f>
        <v>190</v>
      </c>
    </row>
    <row r="31" spans="1:14" x14ac:dyDescent="0.25">
      <c r="A31" s="43"/>
      <c r="B31" s="43"/>
      <c r="C31" s="23"/>
      <c r="D31" s="23"/>
      <c r="E31" s="23"/>
      <c r="F31" s="80"/>
      <c r="G31" s="37" t="s">
        <v>53</v>
      </c>
      <c r="H31" s="38"/>
      <c r="I31" s="108">
        <v>40</v>
      </c>
      <c r="J31" s="109"/>
      <c r="K31" s="148" t="s">
        <v>24</v>
      </c>
      <c r="L31" s="149"/>
      <c r="M31" s="150"/>
      <c r="N31" s="38">
        <f>SUM(N28:N30)</f>
        <v>360</v>
      </c>
    </row>
    <row r="32" spans="1:14" ht="45" x14ac:dyDescent="0.25">
      <c r="A32" s="110" t="s">
        <v>11</v>
      </c>
      <c r="B32" s="110"/>
      <c r="C32" s="111"/>
      <c r="D32" s="23">
        <f>SUM(D11:D22)+D30</f>
        <v>2397.2272222222223</v>
      </c>
      <c r="E32" s="80"/>
      <c r="F32" s="80"/>
      <c r="G32" s="112" t="s">
        <v>54</v>
      </c>
      <c r="H32" s="113"/>
      <c r="I32" s="113"/>
      <c r="J32" s="109"/>
      <c r="K32" s="80"/>
      <c r="L32" s="80"/>
      <c r="M32" s="80"/>
      <c r="N32" s="80"/>
    </row>
    <row r="33" spans="1:14" x14ac:dyDescent="0.25">
      <c r="A33" s="110"/>
      <c r="B33" s="110"/>
      <c r="C33" s="111"/>
      <c r="D33" s="23"/>
      <c r="E33" s="80"/>
      <c r="F33" s="80"/>
      <c r="G33" s="151" t="s">
        <v>24</v>
      </c>
      <c r="H33" s="141"/>
      <c r="I33" s="108">
        <f>SUM(I29:I31)</f>
        <v>40</v>
      </c>
      <c r="J33" s="109"/>
      <c r="K33" s="114"/>
      <c r="L33" s="114"/>
      <c r="M33" s="114"/>
      <c r="N33" s="115"/>
    </row>
    <row r="34" spans="1:14" x14ac:dyDescent="0.25">
      <c r="A34" s="110"/>
      <c r="B34" s="110"/>
      <c r="C34" s="111"/>
      <c r="D34" s="23"/>
      <c r="E34" s="80"/>
      <c r="F34" s="80"/>
      <c r="G34" s="109"/>
      <c r="H34" s="109"/>
      <c r="I34" s="109"/>
      <c r="J34" s="109"/>
      <c r="K34" s="114"/>
      <c r="L34" s="114"/>
      <c r="M34" s="114"/>
      <c r="N34" s="115"/>
    </row>
    <row r="35" spans="1:14" x14ac:dyDescent="0.25">
      <c r="A35" s="110"/>
      <c r="B35" s="110"/>
      <c r="C35" s="111"/>
      <c r="D35" s="23"/>
      <c r="E35" s="80"/>
      <c r="F35" s="80"/>
      <c r="G35" s="152" t="s">
        <v>49</v>
      </c>
      <c r="H35" s="153"/>
      <c r="I35" s="154"/>
      <c r="J35" s="154"/>
      <c r="K35" s="154"/>
      <c r="L35" s="155"/>
      <c r="M35" s="80"/>
      <c r="N35" s="80"/>
    </row>
    <row r="36" spans="1:14" x14ac:dyDescent="0.25">
      <c r="A36" s="116" t="s">
        <v>12</v>
      </c>
      <c r="B36" s="116"/>
      <c r="C36" s="27" t="s">
        <v>13</v>
      </c>
      <c r="D36" s="101"/>
      <c r="E36" s="80"/>
      <c r="F36" s="80"/>
      <c r="G36" s="156"/>
      <c r="H36" s="157"/>
      <c r="I36" s="157"/>
      <c r="J36" s="157"/>
      <c r="K36" s="157"/>
      <c r="L36" s="158"/>
      <c r="M36" s="80"/>
      <c r="N36" s="80"/>
    </row>
    <row r="37" spans="1:14" x14ac:dyDescent="0.25">
      <c r="A37" s="80"/>
      <c r="B37" s="80"/>
      <c r="C37" s="80"/>
      <c r="D37" s="80"/>
      <c r="E37" s="80"/>
      <c r="F37" s="80"/>
      <c r="G37" s="156"/>
      <c r="H37" s="157"/>
      <c r="I37" s="157"/>
      <c r="J37" s="157"/>
      <c r="K37" s="157"/>
      <c r="L37" s="158"/>
      <c r="M37" s="80"/>
      <c r="N37" s="80"/>
    </row>
    <row r="38" spans="1:14" x14ac:dyDescent="0.25">
      <c r="A38" s="80"/>
      <c r="B38" s="80"/>
      <c r="C38" s="80"/>
      <c r="D38" s="80"/>
      <c r="E38" s="80"/>
      <c r="F38" s="80"/>
      <c r="G38" s="159"/>
      <c r="H38" s="160"/>
      <c r="I38" s="160"/>
      <c r="J38" s="160"/>
      <c r="K38" s="160"/>
      <c r="L38" s="161"/>
      <c r="M38" s="80"/>
      <c r="N38" s="80"/>
    </row>
  </sheetData>
  <sheetProtection password="EAA4" sheet="1" objects="1" scenarios="1"/>
  <mergeCells count="4">
    <mergeCell ref="K22:M22"/>
    <mergeCell ref="K31:M31"/>
    <mergeCell ref="G33:H33"/>
    <mergeCell ref="G35:L3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Spreadsheet</vt:lpstr>
      <vt:lpstr>Example Budget Spreadsheet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Fentress</dc:creator>
  <cp:lastModifiedBy>Melanie McCallon</cp:lastModifiedBy>
  <dcterms:created xsi:type="dcterms:W3CDTF">2012-07-03T18:01:23Z</dcterms:created>
  <dcterms:modified xsi:type="dcterms:W3CDTF">2013-01-03T15:36:54Z</dcterms:modified>
</cp:coreProperties>
</file>