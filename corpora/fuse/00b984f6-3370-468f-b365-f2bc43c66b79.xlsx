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3560" yWindow="0" windowWidth="25600" windowHeight="19820"/>
  </bookViews>
  <sheets>
    <sheet name="Renewal Worksheet" sheetId="1" r:id="rId1"/>
    <sheet name="Example 1" sheetId="3" state="hidden" r:id="rId2"/>
    <sheet name="Example" sheetId="7" r:id="rId3"/>
  </sheets>
  <calcPr calcId="140001" concurrentCalc="0"/>
  <customWorkbookViews>
    <customWorkbookView name="Accounts - Personal View" guid="{66220934-B751-4179-8BFC-B710892E08C3}" mergeInterval="0" personalView="1" maximized="1" windowWidth="1920" windowHeight="855" activeSheetId="1" showComments="commIndAndComment"/>
    <customWorkbookView name="Allie McCombs - Personal View" guid="{624BBFF5-A0EC-42FC-BFF9-7389CCC6A663}" mergeInterval="0" personalView="1" maximized="1" windowWidth="1920" windowHeight="855" activeSheetId="1"/>
    <customWorkbookView name="joel - Personal View" guid="{3FC4067A-F12F-1249-8B0A-699408A20D38}" mergeInterval="0" personalView="1" xWindow="178" yWindow="54" windowWidth="1280" windowHeight="937" activeSheetId="1"/>
  </customWorkbookViews>
  <extLst>
    <ext xmlns:mx="http://schemas.microsoft.com/office/mac/excel/2008/main" uri="{7523E5D3-25F3-A5E0-1632-64F254C22452}">
      <mx:ArchID Flags="2"/>
    </ext>
  </extLst>
</workbook>
</file>

<file path=xl/calcChain.xml><?xml version="1.0" encoding="utf-8"?>
<calcChain xmlns="http://schemas.openxmlformats.org/spreadsheetml/2006/main">
  <c r="I29" i="7" l="1"/>
  <c r="I30" i="7"/>
  <c r="I31" i="7"/>
  <c r="I32" i="7"/>
  <c r="I33" i="7"/>
  <c r="I18" i="7"/>
  <c r="I19" i="7"/>
  <c r="I20" i="7"/>
  <c r="I21" i="7"/>
  <c r="I22" i="7"/>
  <c r="I23" i="7"/>
  <c r="J36" i="7"/>
  <c r="J43" i="7"/>
  <c r="C33" i="7"/>
  <c r="C23" i="7"/>
  <c r="C34" i="7"/>
  <c r="I18" i="1"/>
  <c r="I19" i="1"/>
  <c r="I20" i="1"/>
  <c r="I21" i="1"/>
  <c r="I22" i="1"/>
  <c r="C23" i="1"/>
  <c r="I23" i="1"/>
  <c r="I29" i="1"/>
  <c r="I30" i="1"/>
  <c r="I31" i="1"/>
  <c r="I32" i="1"/>
  <c r="C33" i="1"/>
  <c r="I33" i="1"/>
  <c r="C34" i="1"/>
  <c r="J36" i="1"/>
  <c r="J43" i="1"/>
</calcChain>
</file>

<file path=xl/sharedStrings.xml><?xml version="1.0" encoding="utf-8"?>
<sst xmlns="http://schemas.openxmlformats.org/spreadsheetml/2006/main" count="193" uniqueCount="69">
  <si>
    <t>M</t>
  </si>
  <si>
    <t>N</t>
  </si>
  <si>
    <t>TOTAL DUE</t>
  </si>
  <si>
    <t>K</t>
  </si>
  <si>
    <t>L</t>
  </si>
  <si>
    <t>$0 to $500,000 enter here ~~~&gt;</t>
  </si>
  <si>
    <t>Sales from - to (Month/Year):</t>
  </si>
  <si>
    <t>Completed by, Print name: _______________________________________</t>
  </si>
  <si>
    <t>Completed by, Signature: _______________________________________</t>
  </si>
  <si>
    <t>Date: ____________________________</t>
  </si>
  <si>
    <t>See Example for assistance in completing this form</t>
  </si>
  <si>
    <t>Total Sales</t>
  </si>
  <si>
    <t>Sub Total Sales</t>
  </si>
  <si>
    <t>Retail Products *</t>
  </si>
  <si>
    <t>$500,001 to $2 Million</t>
  </si>
  <si>
    <t>$2,000,001 to $50 Million</t>
  </si>
  <si>
    <t>$50,000,001 to $100 Million</t>
  </si>
  <si>
    <t>$0 to $2 Million enter here~~&gt;</t>
  </si>
  <si>
    <t>$100,000,001 and over</t>
  </si>
  <si>
    <t>Sub Total Fees</t>
  </si>
  <si>
    <t>O</t>
  </si>
  <si>
    <t>P</t>
  </si>
  <si>
    <t>F + K =</t>
  </si>
  <si>
    <t>Total Organic Sales:</t>
  </si>
  <si>
    <t xml:space="preserve">If you are certified as a partner with another company and that company pays your fees,  you ARE NOT required to return this worksheet.  Retail Stores certifying departments and Restaurants do NOT need to complete this worksheet (see section D of the OTCO Fee Schedule for applicable fees). </t>
  </si>
  <si>
    <t>THIS WORKSHEET MUST BE RETURNED WITH PAYMENT AND UPDATE APPLICATION</t>
  </si>
  <si>
    <t>Worksheet to determine annual certification fee</t>
  </si>
  <si>
    <t>Enter Sales amount</t>
  </si>
  <si>
    <t>Rate</t>
  </si>
  <si>
    <t>FEE</t>
  </si>
  <si>
    <t>X</t>
  </si>
  <si>
    <t>.5% (.005)</t>
  </si>
  <si>
    <t>=</t>
  </si>
  <si>
    <t>A</t>
  </si>
  <si>
    <t>.25% (.0025)</t>
  </si>
  <si>
    <t>B</t>
  </si>
  <si>
    <t>.05% (.0005)</t>
  </si>
  <si>
    <t>C</t>
  </si>
  <si>
    <t>.025% (.00025)</t>
  </si>
  <si>
    <t>D</t>
  </si>
  <si>
    <t>.0025% (.000025)</t>
  </si>
  <si>
    <t>E</t>
  </si>
  <si>
    <t>.1% (.001)</t>
  </si>
  <si>
    <t>F</t>
  </si>
  <si>
    <t>G</t>
  </si>
  <si>
    <t>H</t>
  </si>
  <si>
    <t>I</t>
  </si>
  <si>
    <t>J</t>
  </si>
  <si>
    <t>+</t>
  </si>
  <si>
    <t>from last fiscal year</t>
  </si>
  <si>
    <t>Inspection Deposit</t>
  </si>
  <si>
    <t>COMPANY NAME:</t>
  </si>
  <si>
    <t>Certificate #</t>
  </si>
  <si>
    <t>Issue Date</t>
  </si>
  <si>
    <t>Depending on the products produced or services provided, fees could be based on more than one level of this schedule.</t>
  </si>
  <si>
    <t>Make checks payable to:  Oregon Tilth, Inc.</t>
  </si>
  <si>
    <t>EU assessment (add $295.00)</t>
  </si>
  <si>
    <t>TOTAL ANNUAL FEE (Minimum Fee $1000; Maximum $40,000)</t>
  </si>
  <si>
    <t>New Applicant (add $75.00)</t>
  </si>
  <si>
    <t>Q</t>
  </si>
  <si>
    <t>L + M + N + O + P =</t>
  </si>
  <si>
    <r>
      <rPr>
        <sz val="12"/>
        <rFont val="Arial"/>
        <family val="2"/>
      </rPr>
      <t>2525 SE 3rd Street</t>
    </r>
    <r>
      <rPr>
        <sz val="12"/>
        <rFont val="Arial"/>
        <family val="2"/>
      </rPr>
      <t xml:space="preserve"> - Corvallis, OR 97333 - Phone (503)378-0690 - Fax (541) 753-4924</t>
    </r>
  </si>
  <si>
    <t>Livestock fee (add $100.00)</t>
  </si>
  <si>
    <t>Non-retail and Co-packing Products *</t>
  </si>
  <si>
    <t>* See page 3 of the fee schedule for definition.</t>
  </si>
  <si>
    <t>Test Client</t>
  </si>
  <si>
    <t>Z-00000-0000</t>
  </si>
  <si>
    <t>January 2013 - December 2013</t>
  </si>
  <si>
    <r>
      <rPr>
        <sz val="12"/>
        <rFont val="Arial"/>
        <family val="2"/>
      </rPr>
      <t>2525 SE 3rd Street</t>
    </r>
    <r>
      <rPr>
        <sz val="12"/>
        <rFont val="Arial"/>
        <family val="2"/>
      </rPr>
      <t xml:space="preserve"> - Corvallis, OR 97333 - Phone (503)378-0690 - Fax (541) 753-4924</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</si>
</sst>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44" formatCode="_(&quot;$&quot;* #,##0.00_);_(&quot;$&quot;* \(#,##0.00\);_(&quot;$&quot;* &quot;-&quot;??_);_(@_)"/>
    <numFmt numFmtId="43" formatCode="_(* #,##0.00_);_(* \(#,##0.00\);_(* &quot;-&quot;??_);_(@_)"/>
    <numFmt numFmtId="164" formatCode="[$-409]mmmm\ d\,\ yyyy;@"/>
  </numFmts>
  <fonts count="14" x14ac:knownFonts="1">
    <font>
      <sz val="10"/>
      <name val="Arial"/>
    </font>
    <font>
      <sz val="10"/>
      <name val="Arial"/>
    </font>
    <font>
      <b/>
      <sz val="16"/>
      <name val="Arial"/>
      <family val="2"/>
    </font>
    <font>
      <b/>
      <sz val="12"/>
      <name val="Arial"/>
      <family val="2"/>
    </font>
    <font>
      <sz val="9"/>
      <name val="Arial"/>
      <family val="2"/>
    </font>
    <font>
      <b/>
      <sz val="10"/>
      <name val="Arial"/>
      <family val="2"/>
    </font>
    <font>
      <sz val="11"/>
      <name val="Arial"/>
      <family val="2"/>
    </font>
    <font>
      <sz val="10"/>
      <name val="Arial"/>
      <family val="2"/>
    </font>
    <font>
      <b/>
      <sz val="9"/>
      <name val="Arial"/>
      <family val="2"/>
    </font>
    <font>
      <b/>
      <sz val="11"/>
      <name val="Arial"/>
      <family val="2"/>
    </font>
    <font>
      <sz val="12"/>
      <name val="Arial"/>
      <family val="2"/>
    </font>
    <font>
      <sz val="12"/>
      <name val="Arial"/>
      <family val="2"/>
    </font>
    <font>
      <sz val="8"/>
      <name val="Arial"/>
      <family val="2"/>
    </font>
    <font>
      <b/>
      <sz val="11"/>
      <color indexed="10"/>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28">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medium">
        <color auto="1"/>
      </bottom>
      <diagonal/>
    </border>
    <border>
      <left/>
      <right/>
      <top style="medium">
        <color auto="1"/>
      </top>
      <bottom style="medium">
        <color auto="1"/>
      </bottom>
      <diagonal/>
    </border>
    <border>
      <left/>
      <right/>
      <top style="medium">
        <color auto="1"/>
      </top>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style="medium">
        <color auto="1"/>
      </left>
      <right/>
      <top/>
      <bottom style="double">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bottom/>
      <diagonal/>
    </border>
    <border>
      <left/>
      <right/>
      <top/>
      <bottom style="double">
        <color auto="1"/>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cellStyleXfs>
  <cellXfs count="151">
    <xf numFmtId="0" fontId="0" fillId="0" borderId="0" xfId="0"/>
    <xf numFmtId="0" fontId="0" fillId="0" borderId="0" xfId="0" applyAlignment="1">
      <alignment horizontal="center"/>
    </xf>
    <xf numFmtId="0" fontId="0" fillId="0" borderId="0" xfId="0" applyNumberFormat="1" applyAlignment="1">
      <alignment horizontal="left"/>
    </xf>
    <xf numFmtId="0" fontId="0" fillId="0" borderId="1" xfId="0" applyBorder="1" applyAlignment="1">
      <alignment horizontal="center"/>
    </xf>
    <xf numFmtId="0" fontId="0" fillId="0" borderId="0" xfId="0"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applyAlignment="1">
      <alignment horizontal="center"/>
    </xf>
    <xf numFmtId="0" fontId="0" fillId="0" borderId="0" xfId="0" applyBorder="1"/>
    <xf numFmtId="0" fontId="4" fillId="0" borderId="0" xfId="0" applyFont="1"/>
    <xf numFmtId="0" fontId="5" fillId="0" borderId="0" xfId="0" applyFont="1"/>
    <xf numFmtId="0" fontId="3" fillId="0" borderId="3" xfId="0" applyFont="1" applyBorder="1" applyAlignment="1">
      <alignment horizontal="center"/>
    </xf>
    <xf numFmtId="8" fontId="3" fillId="0" borderId="3" xfId="0" applyNumberFormat="1" applyFont="1" applyBorder="1"/>
    <xf numFmtId="0" fontId="0" fillId="0" borderId="3" xfId="0" applyBorder="1" applyAlignment="1">
      <alignment horizontal="center"/>
    </xf>
    <xf numFmtId="0" fontId="0" fillId="0" borderId="0" xfId="0" applyAlignment="1"/>
    <xf numFmtId="0" fontId="0" fillId="0" borderId="0" xfId="0" applyAlignment="1">
      <alignment horizontal="right"/>
    </xf>
    <xf numFmtId="44" fontId="0" fillId="0" borderId="0" xfId="2" applyFont="1" applyBorder="1" applyAlignment="1"/>
    <xf numFmtId="44" fontId="5" fillId="0" borderId="0" xfId="2" applyFont="1" applyBorder="1" applyAlignment="1"/>
    <xf numFmtId="0" fontId="9" fillId="0" borderId="0" xfId="0" applyFont="1"/>
    <xf numFmtId="0" fontId="2" fillId="0" borderId="0" xfId="0" applyFont="1" applyBorder="1" applyAlignment="1">
      <alignment horizontal="center" vertical="center"/>
    </xf>
    <xf numFmtId="0" fontId="0" fillId="0" borderId="0" xfId="0" applyFill="1" applyBorder="1" applyAlignment="1">
      <alignment horizontal="center"/>
    </xf>
    <xf numFmtId="0" fontId="0" fillId="0" borderId="5" xfId="0" applyFill="1" applyBorder="1" applyAlignment="1">
      <alignment horizontal="center"/>
    </xf>
    <xf numFmtId="0" fontId="0" fillId="2" borderId="4" xfId="0" applyFill="1" applyBorder="1" applyAlignment="1">
      <alignment horizontal="center"/>
    </xf>
    <xf numFmtId="0" fontId="3" fillId="0" borderId="0" xfId="0" applyFont="1" applyBorder="1" applyAlignment="1">
      <alignment horizontal="center"/>
    </xf>
    <xf numFmtId="8" fontId="3" fillId="0" borderId="0" xfId="0" applyNumberFormat="1" applyFont="1" applyBorder="1"/>
    <xf numFmtId="0" fontId="5" fillId="0" borderId="0" xfId="0" applyFont="1" applyAlignment="1">
      <alignment horizontal="right"/>
    </xf>
    <xf numFmtId="43" fontId="3" fillId="0" borderId="3" xfId="1" applyFont="1" applyBorder="1"/>
    <xf numFmtId="0" fontId="9" fillId="0" borderId="0" xfId="0" applyNumberFormat="1" applyFont="1" applyAlignment="1">
      <alignment vertical="top" wrapText="1"/>
    </xf>
    <xf numFmtId="0" fontId="0" fillId="0" borderId="0" xfId="0" applyAlignment="1">
      <alignment vertical="top" wrapText="1"/>
    </xf>
    <xf numFmtId="0" fontId="11" fillId="0" borderId="0" xfId="0" applyFont="1" applyBorder="1" applyAlignment="1"/>
    <xf numFmtId="0" fontId="0" fillId="3" borderId="4" xfId="0" applyFill="1" applyBorder="1" applyAlignment="1">
      <alignment horizontal="center"/>
    </xf>
    <xf numFmtId="0" fontId="0" fillId="3" borderId="6" xfId="0" applyFill="1" applyBorder="1" applyAlignment="1">
      <alignment horizontal="center"/>
    </xf>
    <xf numFmtId="44" fontId="3" fillId="0" borderId="7" xfId="0" quotePrefix="1" applyNumberFormat="1" applyFont="1" applyBorder="1" applyAlignment="1">
      <alignment horizontal="center" vertical="center"/>
    </xf>
    <xf numFmtId="0" fontId="0" fillId="2" borderId="4" xfId="0" applyFill="1" applyBorder="1" applyAlignment="1">
      <alignment horizontal="center" vertical="center"/>
    </xf>
    <xf numFmtId="0" fontId="3" fillId="0" borderId="0" xfId="0" applyFont="1"/>
    <xf numFmtId="0" fontId="0" fillId="0" borderId="6" xfId="0" applyBorder="1"/>
    <xf numFmtId="0" fontId="10" fillId="0" borderId="0" xfId="0" applyFont="1" applyAlignment="1"/>
    <xf numFmtId="0" fontId="10" fillId="0" borderId="0" xfId="0" applyFont="1"/>
    <xf numFmtId="0" fontId="5" fillId="0" borderId="8" xfId="0" applyFont="1" applyBorder="1" applyAlignment="1"/>
    <xf numFmtId="0" fontId="5" fillId="0" borderId="9" xfId="0" applyFont="1" applyBorder="1" applyAlignment="1"/>
    <xf numFmtId="0" fontId="5" fillId="0" borderId="6" xfId="0" applyFont="1" applyBorder="1" applyAlignment="1"/>
    <xf numFmtId="0" fontId="3" fillId="0" borderId="8" xfId="0" applyFont="1" applyBorder="1" applyAlignment="1">
      <alignment horizontal="center"/>
    </xf>
    <xf numFmtId="8" fontId="3" fillId="0" borderId="9" xfId="0" applyNumberFormat="1" applyFont="1" applyBorder="1"/>
    <xf numFmtId="0" fontId="10" fillId="0" borderId="0" xfId="0" applyFont="1" applyBorder="1" applyAlignment="1"/>
    <xf numFmtId="44" fontId="5" fillId="0" borderId="0" xfId="4" applyFont="1" applyBorder="1" applyAlignment="1"/>
    <xf numFmtId="44" fontId="0" fillId="0" borderId="0" xfId="4" applyFont="1" applyBorder="1" applyAlignment="1"/>
    <xf numFmtId="43" fontId="3" fillId="0" borderId="3" xfId="3" applyFont="1" applyBorder="1"/>
    <xf numFmtId="0" fontId="2" fillId="0" borderId="0" xfId="0" applyFont="1" applyAlignment="1">
      <alignment horizontal="center" wrapText="1"/>
    </xf>
    <xf numFmtId="0" fontId="0" fillId="0" borderId="0" xfId="0" applyAlignment="1">
      <alignment wrapText="1"/>
    </xf>
    <xf numFmtId="0" fontId="5" fillId="0" borderId="10" xfId="0" applyFont="1" applyBorder="1" applyAlignment="1">
      <alignment horizontal="center"/>
    </xf>
    <xf numFmtId="0" fontId="0" fillId="0" borderId="0" xfId="0" applyAlignment="1"/>
    <xf numFmtId="0" fontId="0" fillId="0" borderId="11" xfId="0" applyBorder="1" applyAlignment="1">
      <alignment horizontal="center"/>
    </xf>
    <xf numFmtId="0" fontId="0" fillId="0" borderId="12" xfId="0" applyBorder="1" applyAlignment="1">
      <alignment horizontal="right"/>
    </xf>
    <xf numFmtId="164" fontId="0" fillId="0" borderId="10" xfId="0" quotePrefix="1" applyNumberFormat="1" applyBorder="1" applyAlignment="1">
      <alignment horizontal="center"/>
    </xf>
    <xf numFmtId="164" fontId="0" fillId="0" borderId="10" xfId="0" applyNumberFormat="1" applyBorder="1" applyAlignment="1">
      <alignment horizontal="center"/>
    </xf>
    <xf numFmtId="0" fontId="2" fillId="0" borderId="0" xfId="0" applyFont="1" applyAlignment="1">
      <alignment horizontal="center"/>
    </xf>
    <xf numFmtId="0" fontId="0" fillId="0" borderId="0" xfId="0" applyAlignment="1">
      <alignment horizontal="center"/>
    </xf>
    <xf numFmtId="0" fontId="3" fillId="0" borderId="4" xfId="0" applyFont="1" applyBorder="1" applyAlignment="1">
      <alignment horizontal="left"/>
    </xf>
    <xf numFmtId="0" fontId="0" fillId="0" borderId="4" xfId="0" applyBorder="1" applyAlignment="1"/>
    <xf numFmtId="43" fontId="0" fillId="0" borderId="8" xfId="1" applyFont="1" applyBorder="1" applyAlignment="1"/>
    <xf numFmtId="43" fontId="0" fillId="0" borderId="9" xfId="1" applyFont="1" applyBorder="1" applyAlignment="1"/>
    <xf numFmtId="43" fontId="0" fillId="0" borderId="6" xfId="1" applyFont="1" applyBorder="1" applyAlignment="1"/>
    <xf numFmtId="0" fontId="9" fillId="0" borderId="0" xfId="0" applyFont="1" applyAlignment="1"/>
    <xf numFmtId="0" fontId="5" fillId="0" borderId="0" xfId="0" applyFont="1" applyAlignment="1"/>
    <xf numFmtId="0" fontId="0" fillId="0" borderId="13"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7" fillId="0" borderId="0" xfId="0" applyNumberFormat="1" applyFont="1" applyAlignment="1">
      <alignment horizontal="left" vertical="top"/>
    </xf>
    <xf numFmtId="0" fontId="0" fillId="0" borderId="0" xfId="0" applyAlignment="1">
      <alignment vertical="top"/>
    </xf>
    <xf numFmtId="0" fontId="3" fillId="0" borderId="4" xfId="0" applyFont="1" applyBorder="1" applyAlignment="1"/>
    <xf numFmtId="0" fontId="0" fillId="0" borderId="8" xfId="0" applyBorder="1" applyAlignment="1"/>
    <xf numFmtId="0" fontId="0" fillId="0" borderId="9" xfId="0" applyBorder="1" applyAlignment="1"/>
    <xf numFmtId="0" fontId="0" fillId="0" borderId="6" xfId="0" applyBorder="1" applyAlignment="1"/>
    <xf numFmtId="0" fontId="13" fillId="0" borderId="0" xfId="0" applyNumberFormat="1" applyFont="1" applyAlignment="1">
      <alignment vertical="top" wrapText="1"/>
    </xf>
    <xf numFmtId="0" fontId="0" fillId="0" borderId="15" xfId="0" applyBorder="1" applyAlignment="1">
      <alignment horizontal="center"/>
    </xf>
    <xf numFmtId="0" fontId="0" fillId="0" borderId="3" xfId="0" applyBorder="1" applyAlignment="1">
      <alignment horizontal="center"/>
    </xf>
    <xf numFmtId="0" fontId="0" fillId="0" borderId="16" xfId="0" applyBorder="1" applyAlignment="1">
      <alignment horizontal="center"/>
    </xf>
    <xf numFmtId="0" fontId="11" fillId="0" borderId="8" xfId="0" applyFont="1" applyBorder="1" applyAlignment="1"/>
    <xf numFmtId="0" fontId="11" fillId="0" borderId="6" xfId="0" applyFont="1" applyBorder="1" applyAlignment="1"/>
    <xf numFmtId="44" fontId="11" fillId="0" borderId="3" xfId="2" applyFont="1" applyBorder="1" applyAlignment="1"/>
    <xf numFmtId="44" fontId="11" fillId="0" borderId="16" xfId="2" applyFont="1" applyBorder="1" applyAlignment="1"/>
    <xf numFmtId="44" fontId="3" fillId="0" borderId="3" xfId="2" applyFont="1" applyBorder="1" applyAlignment="1"/>
    <xf numFmtId="44" fontId="3" fillId="0" borderId="16" xfId="2" applyFont="1" applyBorder="1" applyAlignment="1"/>
    <xf numFmtId="6" fontId="11" fillId="0" borderId="8" xfId="0" applyNumberFormat="1" applyFont="1" applyBorder="1" applyAlignment="1"/>
    <xf numFmtId="44" fontId="11" fillId="0" borderId="0" xfId="2" applyFont="1" applyBorder="1" applyAlignment="1"/>
    <xf numFmtId="44" fontId="11" fillId="0" borderId="17" xfId="2" applyFont="1" applyBorder="1" applyAlignment="1"/>
    <xf numFmtId="44" fontId="11" fillId="0" borderId="18" xfId="2" applyFont="1" applyBorder="1" applyAlignment="1"/>
    <xf numFmtId="44" fontId="11" fillId="0" borderId="11" xfId="2" applyFont="1" applyBorder="1" applyAlignment="1"/>
    <xf numFmtId="44" fontId="11" fillId="0" borderId="19" xfId="2" applyFont="1" applyBorder="1" applyAlignment="1"/>
    <xf numFmtId="0" fontId="0" fillId="0" borderId="0" xfId="0" applyBorder="1" applyAlignment="1">
      <alignment horizontal="center"/>
    </xf>
    <xf numFmtId="44" fontId="11" fillId="0" borderId="8" xfId="2" applyFont="1" applyBorder="1" applyAlignment="1"/>
    <xf numFmtId="0" fontId="11" fillId="0" borderId="9" xfId="0" applyFont="1" applyBorder="1" applyAlignment="1"/>
    <xf numFmtId="0" fontId="3" fillId="0" borderId="20" xfId="0" quotePrefix="1" applyFont="1" applyBorder="1" applyAlignment="1">
      <alignment horizontal="center" vertical="center" wrapText="1"/>
    </xf>
    <xf numFmtId="0" fontId="0" fillId="0" borderId="21" xfId="0" applyBorder="1" applyAlignment="1">
      <alignment horizontal="center" vertical="center" wrapText="1"/>
    </xf>
    <xf numFmtId="0" fontId="2" fillId="2" borderId="22" xfId="0" applyFont="1" applyFill="1" applyBorder="1" applyAlignment="1">
      <alignment horizontal="center" vertical="center" wrapText="1"/>
    </xf>
    <xf numFmtId="0" fontId="0" fillId="2" borderId="12" xfId="0" applyFill="1" applyBorder="1" applyAlignment="1">
      <alignment wrapText="1"/>
    </xf>
    <xf numFmtId="0" fontId="0" fillId="2" borderId="23" xfId="0" applyFill="1" applyBorder="1" applyAlignment="1">
      <alignment wrapText="1"/>
    </xf>
    <xf numFmtId="0" fontId="0" fillId="2" borderId="24" xfId="0" applyFill="1" applyBorder="1" applyAlignment="1">
      <alignment wrapText="1"/>
    </xf>
    <xf numFmtId="0" fontId="0" fillId="2" borderId="10" xfId="0" applyFill="1" applyBorder="1" applyAlignment="1">
      <alignment wrapText="1"/>
    </xf>
    <xf numFmtId="0" fontId="0" fillId="2" borderId="25" xfId="0" applyFill="1" applyBorder="1" applyAlignment="1">
      <alignment wrapText="1"/>
    </xf>
    <xf numFmtId="0" fontId="0" fillId="2" borderId="1" xfId="0" applyFill="1" applyBorder="1" applyAlignment="1">
      <alignment vertical="center"/>
    </xf>
    <xf numFmtId="0" fontId="0" fillId="0" borderId="2" xfId="0" applyBorder="1" applyAlignment="1">
      <alignment vertical="center"/>
    </xf>
    <xf numFmtId="0" fontId="2" fillId="0" borderId="22" xfId="0" applyFont="1" applyBorder="1" applyAlignment="1">
      <alignment horizontal="center" vertical="center" wrapText="1"/>
    </xf>
    <xf numFmtId="0" fontId="0" fillId="0" borderId="23"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20" xfId="0" applyBorder="1" applyAlignment="1">
      <alignment wrapText="1"/>
    </xf>
    <xf numFmtId="0" fontId="0" fillId="0" borderId="26" xfId="0" applyBorder="1" applyAlignment="1">
      <alignment wrapText="1"/>
    </xf>
    <xf numFmtId="0" fontId="0" fillId="0" borderId="24" xfId="0" applyBorder="1" applyAlignment="1">
      <alignment wrapText="1"/>
    </xf>
    <xf numFmtId="0" fontId="0" fillId="0" borderId="25" xfId="0" applyBorder="1" applyAlignment="1">
      <alignment wrapText="1"/>
    </xf>
    <xf numFmtId="0" fontId="5" fillId="0" borderId="4" xfId="0" applyFont="1" applyBorder="1" applyAlignment="1"/>
    <xf numFmtId="44" fontId="3" fillId="0" borderId="0" xfId="0" applyNumberFormat="1" applyFont="1" applyBorder="1" applyAlignment="1"/>
    <xf numFmtId="44" fontId="0" fillId="0" borderId="0" xfId="0" applyNumberFormat="1" applyAlignment="1"/>
    <xf numFmtId="44" fontId="0" fillId="0" borderId="27" xfId="0" applyNumberFormat="1" applyBorder="1" applyAlignment="1"/>
    <xf numFmtId="0" fontId="8" fillId="0" borderId="0" xfId="0" applyFont="1" applyBorder="1" applyAlignment="1">
      <alignment wrapText="1"/>
    </xf>
    <xf numFmtId="0" fontId="0" fillId="0" borderId="0" xfId="0" applyBorder="1" applyAlignment="1">
      <alignment wrapText="1"/>
    </xf>
    <xf numFmtId="44" fontId="3" fillId="3" borderId="18" xfId="2" applyFont="1" applyFill="1" applyBorder="1" applyAlignment="1"/>
    <xf numFmtId="44" fontId="3" fillId="3" borderId="11" xfId="2" applyFont="1" applyFill="1" applyBorder="1" applyAlignment="1"/>
    <xf numFmtId="44" fontId="3" fillId="3" borderId="19" xfId="2" applyFont="1" applyFill="1" applyBorder="1" applyAlignment="1"/>
    <xf numFmtId="0" fontId="11" fillId="0" borderId="0" xfId="0" applyFont="1" applyBorder="1" applyAlignment="1">
      <alignment horizontal="right"/>
    </xf>
    <xf numFmtId="0" fontId="0" fillId="0" borderId="0" xfId="0" applyBorder="1" applyAlignment="1"/>
    <xf numFmtId="0" fontId="7" fillId="0" borderId="0" xfId="0" applyFont="1" applyFill="1" applyBorder="1" applyAlignment="1">
      <alignment horizontal="center"/>
    </xf>
    <xf numFmtId="44" fontId="3" fillId="0" borderId="3" xfId="0" applyNumberFormat="1" applyFont="1" applyBorder="1" applyAlignment="1"/>
    <xf numFmtId="0" fontId="0" fillId="0" borderId="16" xfId="0" applyBorder="1" applyAlignment="1"/>
    <xf numFmtId="0" fontId="5" fillId="3" borderId="18" xfId="0" applyFont="1" applyFill="1" applyBorder="1" applyAlignment="1">
      <alignment horizontal="center" vertical="center" wrapText="1"/>
    </xf>
    <xf numFmtId="0" fontId="0" fillId="3" borderId="11" xfId="0" applyFill="1" applyBorder="1" applyAlignment="1">
      <alignment horizontal="center" vertical="center" wrapText="1"/>
    </xf>
    <xf numFmtId="0" fontId="0" fillId="3" borderId="19" xfId="0" applyFill="1" applyBorder="1" applyAlignment="1">
      <alignment horizontal="center" vertical="center" wrapText="1"/>
    </xf>
    <xf numFmtId="0" fontId="6" fillId="0" borderId="0" xfId="0" applyFont="1" applyFill="1" applyBorder="1" applyAlignment="1">
      <alignment horizontal="left" vertical="center"/>
    </xf>
    <xf numFmtId="0" fontId="7" fillId="0" borderId="0" xfId="0" applyFont="1" applyFill="1" applyBorder="1" applyAlignment="1">
      <alignment horizontal="left" vertical="center"/>
    </xf>
    <xf numFmtId="44" fontId="10" fillId="0" borderId="18" xfId="4" applyFont="1" applyBorder="1" applyAlignment="1"/>
    <xf numFmtId="44" fontId="10" fillId="0" borderId="11" xfId="4" applyFont="1" applyBorder="1" applyAlignment="1"/>
    <xf numFmtId="44" fontId="10" fillId="0" borderId="19" xfId="4" applyFont="1" applyBorder="1" applyAlignment="1"/>
    <xf numFmtId="0" fontId="10" fillId="0" borderId="0" xfId="0" applyFont="1" applyBorder="1" applyAlignment="1">
      <alignment horizontal="right"/>
    </xf>
    <xf numFmtId="44" fontId="3" fillId="3" borderId="18" xfId="4" applyFont="1" applyFill="1" applyBorder="1" applyAlignment="1"/>
    <xf numFmtId="44" fontId="3" fillId="3" borderId="11" xfId="4" applyFont="1" applyFill="1" applyBorder="1" applyAlignment="1"/>
    <xf numFmtId="44" fontId="3" fillId="3" borderId="19" xfId="4" applyFont="1" applyFill="1" applyBorder="1" applyAlignment="1"/>
    <xf numFmtId="6" fontId="10" fillId="0" borderId="8" xfId="0" applyNumberFormat="1" applyFont="1" applyBorder="1" applyAlignment="1"/>
    <xf numFmtId="0" fontId="10" fillId="0" borderId="6" xfId="0" applyFont="1" applyBorder="1" applyAlignment="1"/>
    <xf numFmtId="44" fontId="10" fillId="0" borderId="3" xfId="4" applyFont="1" applyBorder="1" applyAlignment="1"/>
    <xf numFmtId="44" fontId="10" fillId="0" borderId="16" xfId="4" applyFont="1" applyBorder="1" applyAlignment="1"/>
    <xf numFmtId="44" fontId="3" fillId="0" borderId="3" xfId="4" applyFont="1" applyBorder="1" applyAlignment="1"/>
    <xf numFmtId="44" fontId="3" fillId="0" borderId="16" xfId="4" applyFont="1" applyBorder="1" applyAlignment="1"/>
    <xf numFmtId="0" fontId="10" fillId="0" borderId="8" xfId="0" applyFont="1" applyBorder="1" applyAlignment="1"/>
    <xf numFmtId="44" fontId="10" fillId="0" borderId="8" xfId="4" applyFont="1" applyBorder="1" applyAlignment="1"/>
    <xf numFmtId="0" fontId="10" fillId="0" borderId="9" xfId="0" applyFont="1" applyBorder="1" applyAlignment="1"/>
    <xf numFmtId="44" fontId="10" fillId="0" borderId="0" xfId="4" applyFont="1" applyBorder="1" applyAlignment="1"/>
    <xf numFmtId="44" fontId="10" fillId="0" borderId="17" xfId="4" applyFont="1" applyBorder="1" applyAlignment="1"/>
    <xf numFmtId="3" fontId="0" fillId="0" borderId="8" xfId="0" applyNumberFormat="1" applyBorder="1" applyAlignment="1"/>
    <xf numFmtId="43" fontId="0" fillId="0" borderId="8" xfId="3" applyFont="1" applyBorder="1" applyAlignment="1"/>
    <xf numFmtId="43" fontId="0" fillId="0" borderId="9" xfId="3" applyFont="1" applyBorder="1" applyAlignment="1"/>
    <xf numFmtId="43" fontId="0" fillId="0" borderId="6" xfId="3" applyFont="1" applyBorder="1" applyAlignment="1"/>
  </cellXfs>
  <cellStyles count="5">
    <cellStyle name="Comma" xfId="1" builtinId="3"/>
    <cellStyle name="Comma 2" xfId="3"/>
    <cellStyle name="Currency" xfId="2" builtinId="4"/>
    <cellStyle name="Currency 2" xfId="4"/>
    <cellStyle name="Normal" xfId="0" builtinId="0"/>
  </cellStyles>
  <dxfs count="0"/>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12700</xdr:colOff>
      <xdr:row>35</xdr:row>
      <xdr:rowOff>254000</xdr:rowOff>
    </xdr:from>
    <xdr:to>
      <xdr:col>4</xdr:col>
      <xdr:colOff>368300</xdr:colOff>
      <xdr:row>35</xdr:row>
      <xdr:rowOff>254000</xdr:rowOff>
    </xdr:to>
    <xdr:sp macro="" textlink="">
      <xdr:nvSpPr>
        <xdr:cNvPr id="3194" name="Line 3"/>
        <xdr:cNvSpPr>
          <a:spLocks noChangeShapeType="1"/>
        </xdr:cNvSpPr>
      </xdr:nvSpPr>
      <xdr:spPr bwMode="auto">
        <a:xfrm>
          <a:off x="2857500" y="7683500"/>
          <a:ext cx="1600200" cy="0"/>
        </a:xfrm>
        <a:prstGeom prst="line">
          <a:avLst/>
        </a:prstGeom>
        <a:noFill/>
        <a:ln w="76200">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editAs="oneCell">
    <xdr:from>
      <xdr:col>0</xdr:col>
      <xdr:colOff>139700</xdr:colOff>
      <xdr:row>1</xdr:row>
      <xdr:rowOff>88900</xdr:rowOff>
    </xdr:from>
    <xdr:to>
      <xdr:col>0</xdr:col>
      <xdr:colOff>1066800</xdr:colOff>
      <xdr:row>5</xdr:row>
      <xdr:rowOff>63500</xdr:rowOff>
    </xdr:to>
    <xdr:pic>
      <xdr:nvPicPr>
        <xdr:cNvPr id="3195" name="Picture 4" descr="Oregon-Tilth-gray-sm"/>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 y="635000"/>
          <a:ext cx="9271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393700</xdr:colOff>
      <xdr:row>46</xdr:row>
      <xdr:rowOff>127000</xdr:rowOff>
    </xdr:from>
    <xdr:to>
      <xdr:col>0</xdr:col>
      <xdr:colOff>1092200</xdr:colOff>
      <xdr:row>51</xdr:row>
      <xdr:rowOff>0</xdr:rowOff>
    </xdr:to>
    <xdr:pic>
      <xdr:nvPicPr>
        <xdr:cNvPr id="3196" name="Picture 5" descr="Oregon-Tilth-gray-sm"/>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700" y="10871200"/>
          <a:ext cx="69850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12700</xdr:colOff>
      <xdr:row>35</xdr:row>
      <xdr:rowOff>254000</xdr:rowOff>
    </xdr:from>
    <xdr:to>
      <xdr:col>4</xdr:col>
      <xdr:colOff>368300</xdr:colOff>
      <xdr:row>35</xdr:row>
      <xdr:rowOff>254000</xdr:rowOff>
    </xdr:to>
    <xdr:sp macro="" textlink="">
      <xdr:nvSpPr>
        <xdr:cNvPr id="2" name="Line 3"/>
        <xdr:cNvSpPr>
          <a:spLocks noChangeShapeType="1"/>
        </xdr:cNvSpPr>
      </xdr:nvSpPr>
      <xdr:spPr bwMode="auto">
        <a:xfrm>
          <a:off x="2857500" y="7683500"/>
          <a:ext cx="1600200" cy="0"/>
        </a:xfrm>
        <a:prstGeom prst="line">
          <a:avLst/>
        </a:prstGeom>
        <a:noFill/>
        <a:ln w="76200">
          <a:solidFill>
            <a:srgbClr val="000000"/>
          </a:solidFill>
          <a:round/>
          <a:headEnd/>
          <a:tailEnd type="triangle" w="med" len="med"/>
        </a:ln>
        <a:extLst>
          <a:ext uri="{909E8E84-426E-40dd-AFC4-6F175D3DCCD1}">
            <a14:hiddenFill xmlns:a14="http://schemas.microsoft.com/office/drawing/2010/main">
              <a:noFill/>
            </a14:hiddenFill>
          </a:ext>
        </a:extLst>
      </xdr:spPr>
      <xdr:txBody>
        <a:bodyPr rtlCol="0"/>
        <a:lstStyle/>
        <a:p>
          <a:pPr algn="ctr"/>
          <a:endParaRPr lang="en-US"/>
        </a:p>
      </xdr:txBody>
    </xdr:sp>
    <xdr:clientData/>
  </xdr:twoCellAnchor>
  <xdr:twoCellAnchor editAs="oneCell">
    <xdr:from>
      <xdr:col>0</xdr:col>
      <xdr:colOff>139700</xdr:colOff>
      <xdr:row>1</xdr:row>
      <xdr:rowOff>88900</xdr:rowOff>
    </xdr:from>
    <xdr:to>
      <xdr:col>0</xdr:col>
      <xdr:colOff>1066800</xdr:colOff>
      <xdr:row>5</xdr:row>
      <xdr:rowOff>63500</xdr:rowOff>
    </xdr:to>
    <xdr:pic>
      <xdr:nvPicPr>
        <xdr:cNvPr id="3" name="Picture 4" descr="Oregon-Tilth-gray-sm"/>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00" y="635000"/>
          <a:ext cx="9271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393700</xdr:colOff>
      <xdr:row>46</xdr:row>
      <xdr:rowOff>127000</xdr:rowOff>
    </xdr:from>
    <xdr:to>
      <xdr:col>0</xdr:col>
      <xdr:colOff>1092200</xdr:colOff>
      <xdr:row>51</xdr:row>
      <xdr:rowOff>0</xdr:rowOff>
    </xdr:to>
    <xdr:pic>
      <xdr:nvPicPr>
        <xdr:cNvPr id="4" name="Picture 5" descr="Oregon-Tilth-gray-sm"/>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700" y="10871200"/>
          <a:ext cx="69850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60"/>
  <sheetViews>
    <sheetView tabSelected="1" view="pageLayout" zoomScale="75" workbookViewId="0">
      <selection activeCell="C2" sqref="C2:I2"/>
    </sheetView>
  </sheetViews>
  <sheetFormatPr baseColWidth="10" defaultColWidth="8.83203125" defaultRowHeight="12" x14ac:dyDescent="0"/>
  <cols>
    <col min="1" max="1" width="16.83203125" customWidth="1"/>
    <col min="2" max="2" width="20.5" customWidth="1"/>
    <col min="3" max="3" width="13" customWidth="1"/>
    <col min="4" max="4" width="3.33203125" customWidth="1"/>
    <col min="5" max="5" width="5.33203125" customWidth="1"/>
    <col min="6" max="6" width="8.1640625" customWidth="1"/>
    <col min="7" max="7" width="17.83203125" customWidth="1"/>
    <col min="8" max="8" width="6.33203125" customWidth="1"/>
    <col min="9" max="9" width="9.1640625" customWidth="1"/>
    <col min="10" max="10" width="15.1640625" bestFit="1" customWidth="1"/>
    <col min="11" max="11" width="1.6640625" customWidth="1"/>
    <col min="12" max="12" width="2.6640625" customWidth="1"/>
  </cols>
  <sheetData>
    <row r="1" spans="1:12" ht="43.5" customHeight="1">
      <c r="A1" s="47" t="s">
        <v>25</v>
      </c>
      <c r="B1" s="48"/>
      <c r="C1" s="48"/>
      <c r="D1" s="48"/>
      <c r="E1" s="48"/>
      <c r="F1" s="48"/>
      <c r="G1" s="48"/>
      <c r="H1" s="48"/>
      <c r="I1" s="48"/>
      <c r="J1" s="48"/>
      <c r="K1" s="48"/>
      <c r="L1" s="48"/>
    </row>
    <row r="2" spans="1:12" ht="18" customHeight="1" thickBot="1">
      <c r="B2" s="25" t="s">
        <v>51</v>
      </c>
      <c r="C2" s="49"/>
      <c r="D2" s="49"/>
      <c r="E2" s="49"/>
      <c r="F2" s="49"/>
      <c r="G2" s="49"/>
      <c r="H2" s="49"/>
      <c r="I2" s="49"/>
      <c r="J2" s="14"/>
      <c r="K2" s="8"/>
      <c r="L2" s="8"/>
    </row>
    <row r="3" spans="1:12" ht="25.5" customHeight="1" thickBot="1">
      <c r="A3" s="50"/>
      <c r="B3" s="15" t="s">
        <v>52</v>
      </c>
      <c r="C3" s="51"/>
      <c r="D3" s="51"/>
      <c r="E3" s="51"/>
      <c r="F3" s="51"/>
      <c r="G3" s="52" t="s">
        <v>53</v>
      </c>
      <c r="H3" s="52"/>
      <c r="I3" s="53"/>
      <c r="J3" s="54"/>
    </row>
    <row r="4" spans="1:12" ht="7.5" customHeight="1">
      <c r="A4" s="50"/>
    </row>
    <row r="5" spans="1:12" ht="24.75" customHeight="1">
      <c r="A5" s="50"/>
      <c r="B5" s="55" t="s">
        <v>26</v>
      </c>
      <c r="C5" s="56"/>
      <c r="D5" s="56"/>
      <c r="E5" s="56"/>
      <c r="F5" s="56"/>
      <c r="G5" s="56"/>
      <c r="H5" s="56"/>
      <c r="I5" s="56"/>
      <c r="J5" s="56"/>
      <c r="K5" s="56"/>
      <c r="L5" s="1"/>
    </row>
    <row r="6" spans="1:12">
      <c r="D6" s="2"/>
      <c r="E6" s="2"/>
      <c r="F6" s="2"/>
      <c r="G6" s="2"/>
      <c r="H6" s="2"/>
      <c r="I6" s="2"/>
      <c r="J6" s="2"/>
      <c r="K6" s="2"/>
      <c r="L6" s="2"/>
    </row>
    <row r="7" spans="1:12" ht="20.25" customHeight="1">
      <c r="A7" s="67" t="s">
        <v>54</v>
      </c>
      <c r="B7" s="68"/>
      <c r="C7" s="68"/>
      <c r="D7" s="68"/>
      <c r="E7" s="68"/>
      <c r="F7" s="68"/>
      <c r="G7" s="68"/>
      <c r="H7" s="68"/>
      <c r="I7" s="68"/>
      <c r="J7" s="68"/>
    </row>
    <row r="8" spans="1:12" ht="31.5" customHeight="1">
      <c r="A8" s="73" t="s">
        <v>24</v>
      </c>
      <c r="B8" s="73"/>
      <c r="C8" s="73"/>
      <c r="D8" s="73"/>
      <c r="E8" s="73"/>
      <c r="F8" s="73"/>
      <c r="G8" s="73"/>
      <c r="H8" s="73"/>
      <c r="I8" s="73"/>
      <c r="J8" s="73"/>
    </row>
    <row r="9" spans="1:12" ht="15" customHeight="1">
      <c r="A9" s="73"/>
      <c r="B9" s="73"/>
      <c r="C9" s="73"/>
      <c r="D9" s="73"/>
      <c r="E9" s="73"/>
      <c r="F9" s="73"/>
      <c r="G9" s="73"/>
      <c r="H9" s="73"/>
      <c r="I9" s="73"/>
      <c r="J9" s="73"/>
    </row>
    <row r="10" spans="1:12" ht="15" customHeight="1">
      <c r="A10" s="27"/>
      <c r="B10" s="27"/>
      <c r="C10" s="27"/>
      <c r="D10" s="27"/>
      <c r="E10" s="27"/>
      <c r="F10" s="27"/>
      <c r="G10" s="27"/>
      <c r="H10" s="27"/>
      <c r="I10" s="27"/>
      <c r="J10" s="27"/>
    </row>
    <row r="11" spans="1:12" ht="15">
      <c r="A11" s="69" t="s">
        <v>6</v>
      </c>
      <c r="B11" s="58"/>
      <c r="C11" s="70"/>
      <c r="D11" s="71"/>
      <c r="E11" s="71"/>
      <c r="F11" s="71"/>
      <c r="G11" s="72"/>
      <c r="H11" s="28"/>
      <c r="I11" s="28"/>
      <c r="J11" s="28"/>
    </row>
    <row r="12" spans="1:12" ht="15">
      <c r="A12" s="57" t="s">
        <v>23</v>
      </c>
      <c r="B12" s="58"/>
      <c r="C12" s="59"/>
      <c r="D12" s="60"/>
      <c r="E12" s="60"/>
      <c r="F12" s="60"/>
      <c r="G12" s="61"/>
      <c r="H12" s="28"/>
      <c r="I12" s="28"/>
      <c r="J12" s="28"/>
    </row>
    <row r="13" spans="1:12">
      <c r="C13" s="28"/>
      <c r="D13" s="28"/>
      <c r="E13" s="28"/>
      <c r="F13" s="28"/>
      <c r="G13" s="28"/>
      <c r="H13" s="28"/>
      <c r="I13" s="28"/>
      <c r="J13" s="28"/>
    </row>
    <row r="14" spans="1:12" ht="13">
      <c r="A14" s="62" t="s">
        <v>13</v>
      </c>
      <c r="B14" s="63"/>
      <c r="C14" s="63"/>
      <c r="D14" s="63"/>
      <c r="E14" s="63"/>
      <c r="F14" s="63"/>
      <c r="G14" s="63"/>
      <c r="H14" s="50"/>
      <c r="I14" s="50"/>
      <c r="J14" s="50"/>
    </row>
    <row r="15" spans="1:12" ht="11.25" customHeight="1"/>
    <row r="16" spans="1:12">
      <c r="C16" s="64" t="s">
        <v>27</v>
      </c>
      <c r="D16" s="65"/>
      <c r="E16" s="66"/>
      <c r="G16" s="3"/>
      <c r="H16" s="4"/>
    </row>
    <row r="17" spans="1:12">
      <c r="C17" s="74" t="s">
        <v>49</v>
      </c>
      <c r="D17" s="75"/>
      <c r="E17" s="76"/>
      <c r="G17" s="5" t="s">
        <v>28</v>
      </c>
      <c r="H17" s="4"/>
      <c r="J17" t="s">
        <v>29</v>
      </c>
    </row>
    <row r="18" spans="1:12" ht="18" customHeight="1">
      <c r="A18" s="77" t="s">
        <v>5</v>
      </c>
      <c r="B18" s="78"/>
      <c r="C18" s="79"/>
      <c r="D18" s="79"/>
      <c r="E18" s="80"/>
      <c r="F18" s="1" t="s">
        <v>30</v>
      </c>
      <c r="G18" s="7" t="s">
        <v>31</v>
      </c>
      <c r="H18" s="4" t="s">
        <v>32</v>
      </c>
      <c r="I18" s="81">
        <f>SUM(C18*0.005)</f>
        <v>0</v>
      </c>
      <c r="J18" s="81"/>
      <c r="K18" s="82"/>
      <c r="L18" s="7" t="s">
        <v>33</v>
      </c>
    </row>
    <row r="19" spans="1:12" ht="18" customHeight="1">
      <c r="A19" s="83" t="s">
        <v>14</v>
      </c>
      <c r="B19" s="78"/>
      <c r="C19" s="79"/>
      <c r="D19" s="79"/>
      <c r="E19" s="80"/>
      <c r="F19" s="1" t="s">
        <v>30</v>
      </c>
      <c r="G19" s="7" t="s">
        <v>34</v>
      </c>
      <c r="H19" s="4" t="s">
        <v>32</v>
      </c>
      <c r="I19" s="81">
        <f>SUM(C19*0.0025)</f>
        <v>0</v>
      </c>
      <c r="J19" s="81"/>
      <c r="K19" s="82"/>
      <c r="L19" s="7" t="s">
        <v>35</v>
      </c>
    </row>
    <row r="20" spans="1:12" ht="18" customHeight="1">
      <c r="A20" s="83" t="s">
        <v>15</v>
      </c>
      <c r="B20" s="78"/>
      <c r="C20" s="79"/>
      <c r="D20" s="79"/>
      <c r="E20" s="80"/>
      <c r="F20" s="1" t="s">
        <v>30</v>
      </c>
      <c r="G20" s="7" t="s">
        <v>36</v>
      </c>
      <c r="H20" s="4" t="s">
        <v>32</v>
      </c>
      <c r="I20" s="81">
        <f>SUM(C20*0.0005)</f>
        <v>0</v>
      </c>
      <c r="J20" s="81"/>
      <c r="K20" s="82"/>
      <c r="L20" s="7" t="s">
        <v>37</v>
      </c>
    </row>
    <row r="21" spans="1:12" ht="18" customHeight="1">
      <c r="A21" s="83" t="s">
        <v>16</v>
      </c>
      <c r="B21" s="78"/>
      <c r="C21" s="79"/>
      <c r="D21" s="79"/>
      <c r="E21" s="80"/>
      <c r="F21" s="1" t="s">
        <v>30</v>
      </c>
      <c r="G21" s="7" t="s">
        <v>38</v>
      </c>
      <c r="H21" s="4" t="s">
        <v>32</v>
      </c>
      <c r="I21" s="81">
        <f>SUM(C21*0.00025)</f>
        <v>0</v>
      </c>
      <c r="J21" s="81"/>
      <c r="K21" s="82"/>
      <c r="L21" s="7" t="s">
        <v>39</v>
      </c>
    </row>
    <row r="22" spans="1:12" ht="18" customHeight="1" thickBot="1">
      <c r="A22" s="77" t="s">
        <v>18</v>
      </c>
      <c r="B22" s="78"/>
      <c r="C22" s="84"/>
      <c r="D22" s="84"/>
      <c r="E22" s="85"/>
      <c r="F22" s="1" t="s">
        <v>30</v>
      </c>
      <c r="G22" s="7" t="s">
        <v>40</v>
      </c>
      <c r="H22" s="4" t="s">
        <v>32</v>
      </c>
      <c r="I22" s="81">
        <f>SUM(C22*0.000025)</f>
        <v>0</v>
      </c>
      <c r="J22" s="81"/>
      <c r="K22" s="82"/>
      <c r="L22" s="7" t="s">
        <v>41</v>
      </c>
    </row>
    <row r="23" spans="1:12" ht="18" customHeight="1" thickBot="1">
      <c r="A23" s="29"/>
      <c r="B23" s="29" t="s">
        <v>12</v>
      </c>
      <c r="C23" s="86">
        <f>SUM(C18:E22)</f>
        <v>0</v>
      </c>
      <c r="D23" s="87"/>
      <c r="E23" s="88"/>
      <c r="G23" s="119" t="s">
        <v>19</v>
      </c>
      <c r="H23" s="120"/>
      <c r="I23" s="116">
        <f>SUM(I18:K22)</f>
        <v>0</v>
      </c>
      <c r="J23" s="117"/>
      <c r="K23" s="118"/>
      <c r="L23" s="30" t="s">
        <v>43</v>
      </c>
    </row>
    <row r="24" spans="1:12">
      <c r="L24" s="1"/>
    </row>
    <row r="25" spans="1:12" ht="13">
      <c r="A25" s="62" t="s">
        <v>63</v>
      </c>
      <c r="B25" s="63"/>
      <c r="C25" s="63"/>
      <c r="D25" s="63"/>
      <c r="E25" s="63"/>
      <c r="F25" s="63"/>
      <c r="G25" s="63"/>
      <c r="H25" s="50"/>
      <c r="I25" s="50"/>
      <c r="J25" s="50"/>
      <c r="L25" s="1"/>
    </row>
    <row r="26" spans="1:12" ht="11.25" customHeight="1"/>
    <row r="27" spans="1:12">
      <c r="A27" s="89"/>
      <c r="B27" s="89"/>
      <c r="C27" s="64" t="s">
        <v>27</v>
      </c>
      <c r="D27" s="65"/>
      <c r="E27" s="66"/>
      <c r="G27" s="3"/>
      <c r="H27" s="4"/>
      <c r="L27" s="1"/>
    </row>
    <row r="28" spans="1:12">
      <c r="A28" s="13"/>
      <c r="B28" s="4"/>
      <c r="C28" s="74" t="s">
        <v>49</v>
      </c>
      <c r="D28" s="75"/>
      <c r="E28" s="76"/>
      <c r="G28" s="5" t="s">
        <v>28</v>
      </c>
      <c r="H28" s="4"/>
      <c r="J28" t="s">
        <v>29</v>
      </c>
      <c r="L28" s="1"/>
    </row>
    <row r="29" spans="1:12" ht="18" customHeight="1">
      <c r="A29" s="77" t="s">
        <v>17</v>
      </c>
      <c r="B29" s="78"/>
      <c r="C29" s="79"/>
      <c r="D29" s="79"/>
      <c r="E29" s="80"/>
      <c r="F29" s="1" t="s">
        <v>30</v>
      </c>
      <c r="G29" s="7" t="s">
        <v>42</v>
      </c>
      <c r="H29" s="4" t="s">
        <v>32</v>
      </c>
      <c r="I29" s="81">
        <f>SUM(C29*0.001)</f>
        <v>0</v>
      </c>
      <c r="J29" s="81"/>
      <c r="K29" s="82"/>
      <c r="L29" s="7" t="s">
        <v>44</v>
      </c>
    </row>
    <row r="30" spans="1:12" ht="18" customHeight="1">
      <c r="A30" s="83" t="s">
        <v>15</v>
      </c>
      <c r="B30" s="78"/>
      <c r="C30" s="90"/>
      <c r="D30" s="91"/>
      <c r="E30" s="78"/>
      <c r="F30" s="1" t="s">
        <v>30</v>
      </c>
      <c r="G30" s="7" t="s">
        <v>36</v>
      </c>
      <c r="H30" s="4"/>
      <c r="I30" s="81">
        <f>SUM(C30*0.0005)</f>
        <v>0</v>
      </c>
      <c r="J30" s="81"/>
      <c r="K30" s="82"/>
      <c r="L30" s="7" t="s">
        <v>45</v>
      </c>
    </row>
    <row r="31" spans="1:12" ht="18" customHeight="1">
      <c r="A31" s="83" t="s">
        <v>16</v>
      </c>
      <c r="B31" s="78"/>
      <c r="C31" s="79"/>
      <c r="D31" s="79"/>
      <c r="E31" s="80"/>
      <c r="F31" s="1" t="s">
        <v>30</v>
      </c>
      <c r="G31" s="7" t="s">
        <v>38</v>
      </c>
      <c r="H31" s="4" t="s">
        <v>32</v>
      </c>
      <c r="I31" s="81">
        <f>SUM(C31*0.00025)</f>
        <v>0</v>
      </c>
      <c r="J31" s="81"/>
      <c r="K31" s="82"/>
      <c r="L31" s="7" t="s">
        <v>46</v>
      </c>
    </row>
    <row r="32" spans="1:12" ht="18" customHeight="1" thickBot="1">
      <c r="A32" s="77" t="s">
        <v>18</v>
      </c>
      <c r="B32" s="78"/>
      <c r="C32" s="79"/>
      <c r="D32" s="79"/>
      <c r="E32" s="80"/>
      <c r="F32" s="1" t="s">
        <v>30</v>
      </c>
      <c r="G32" s="7" t="s">
        <v>40</v>
      </c>
      <c r="H32" s="4" t="s">
        <v>32</v>
      </c>
      <c r="I32" s="81">
        <f>SUM(C32*0.000025)</f>
        <v>0</v>
      </c>
      <c r="J32" s="81"/>
      <c r="K32" s="82"/>
      <c r="L32" s="7" t="s">
        <v>47</v>
      </c>
    </row>
    <row r="33" spans="1:12" ht="18" customHeight="1" thickBot="1">
      <c r="A33" s="29"/>
      <c r="B33" s="29" t="s">
        <v>12</v>
      </c>
      <c r="C33" s="86">
        <f>SUM(C29:E32)</f>
        <v>0</v>
      </c>
      <c r="D33" s="87"/>
      <c r="E33" s="88"/>
      <c r="F33" s="1"/>
      <c r="G33" s="119" t="s">
        <v>19</v>
      </c>
      <c r="H33" s="120"/>
      <c r="I33" s="116">
        <f>SUM(I29:K32)</f>
        <v>0</v>
      </c>
      <c r="J33" s="117"/>
      <c r="K33" s="118"/>
      <c r="L33" s="31" t="s">
        <v>3</v>
      </c>
    </row>
    <row r="34" spans="1:12" ht="18" customHeight="1" thickBot="1">
      <c r="A34" s="29"/>
      <c r="B34" s="29" t="s">
        <v>11</v>
      </c>
      <c r="C34" s="86">
        <f>+C33+C23</f>
        <v>0</v>
      </c>
      <c r="D34" s="87"/>
      <c r="E34" s="88"/>
      <c r="F34" s="1"/>
      <c r="G34" s="4"/>
      <c r="H34" s="4"/>
      <c r="I34" s="17"/>
      <c r="J34" s="17"/>
      <c r="K34" s="17"/>
      <c r="L34" s="4"/>
    </row>
    <row r="35" spans="1:12" ht="9.75" customHeight="1" thickBot="1">
      <c r="A35" s="8"/>
      <c r="B35" s="8"/>
      <c r="C35" s="16"/>
      <c r="D35" s="16"/>
      <c r="E35" s="16"/>
      <c r="F35" s="121"/>
      <c r="G35" s="121"/>
      <c r="H35" s="121"/>
      <c r="I35" s="17"/>
      <c r="J35" s="17"/>
      <c r="K35" s="17"/>
      <c r="L35" s="4"/>
    </row>
    <row r="36" spans="1:12" ht="43.5" customHeight="1" thickBot="1">
      <c r="A36" s="19"/>
      <c r="B36" s="19"/>
      <c r="F36" s="124" t="s">
        <v>57</v>
      </c>
      <c r="G36" s="125"/>
      <c r="H36" s="126"/>
      <c r="I36" s="32" t="s">
        <v>22</v>
      </c>
      <c r="J36" s="122">
        <f>IF((+I33+I23)&lt;1000,1000,IF((+I33+I23)&gt;40000,40000,+I33+I23))</f>
        <v>1000</v>
      </c>
      <c r="K36" s="123"/>
      <c r="L36" s="33" t="s">
        <v>4</v>
      </c>
    </row>
    <row r="37" spans="1:12" ht="26.25" customHeight="1">
      <c r="A37" s="127" t="s">
        <v>64</v>
      </c>
      <c r="B37" s="128"/>
      <c r="C37" s="128"/>
      <c r="D37" s="128"/>
      <c r="E37" s="128"/>
      <c r="F37" s="128"/>
      <c r="G37" s="128"/>
      <c r="H37" s="128"/>
      <c r="I37" s="128"/>
      <c r="J37" s="128"/>
      <c r="K37" s="128"/>
      <c r="L37" s="20"/>
    </row>
    <row r="38" spans="1:12" ht="20.25" customHeight="1" thickBot="1">
      <c r="A38" s="19"/>
      <c r="B38" s="19"/>
      <c r="E38" s="110" t="s">
        <v>50</v>
      </c>
      <c r="F38" s="58"/>
      <c r="G38" s="58"/>
      <c r="H38" s="58"/>
      <c r="I38" s="11" t="s">
        <v>48</v>
      </c>
      <c r="J38" s="26">
        <v>200</v>
      </c>
      <c r="K38" s="6"/>
      <c r="L38" s="22" t="s">
        <v>0</v>
      </c>
    </row>
    <row r="39" spans="1:12" ht="20.25" customHeight="1">
      <c r="A39" s="102" t="s">
        <v>10</v>
      </c>
      <c r="B39" s="103"/>
      <c r="E39" s="110" t="s">
        <v>56</v>
      </c>
      <c r="F39" s="110"/>
      <c r="G39" s="110"/>
      <c r="H39" s="110"/>
      <c r="I39" s="11" t="s">
        <v>48</v>
      </c>
      <c r="J39" s="12"/>
      <c r="K39" s="6"/>
      <c r="L39" s="22" t="s">
        <v>1</v>
      </c>
    </row>
    <row r="40" spans="1:12" ht="20.25" customHeight="1">
      <c r="A40" s="104"/>
      <c r="B40" s="105"/>
      <c r="E40" s="110" t="s">
        <v>58</v>
      </c>
      <c r="F40" s="110"/>
      <c r="G40" s="110"/>
      <c r="H40" s="110"/>
      <c r="I40" s="11" t="s">
        <v>48</v>
      </c>
      <c r="J40" s="12"/>
      <c r="K40" s="6"/>
      <c r="L40" s="22" t="s">
        <v>20</v>
      </c>
    </row>
    <row r="41" spans="1:12" ht="20.25" customHeight="1">
      <c r="A41" s="104"/>
      <c r="B41" s="105"/>
      <c r="E41" s="38" t="s">
        <v>62</v>
      </c>
      <c r="F41" s="39"/>
      <c r="G41" s="39"/>
      <c r="H41" s="40"/>
      <c r="I41" s="41" t="s">
        <v>48</v>
      </c>
      <c r="J41" s="42"/>
      <c r="K41" s="35"/>
      <c r="L41" s="22" t="s">
        <v>21</v>
      </c>
    </row>
    <row r="42" spans="1:12" ht="20.25" customHeight="1" thickBot="1">
      <c r="A42" s="104"/>
      <c r="B42" s="105"/>
      <c r="E42" s="10"/>
      <c r="F42" s="10"/>
      <c r="G42" s="10"/>
      <c r="H42" s="10"/>
      <c r="I42" s="23"/>
      <c r="J42" s="24"/>
      <c r="K42" s="8"/>
      <c r="L42" s="21"/>
    </row>
    <row r="43" spans="1:12" ht="8.25" customHeight="1">
      <c r="A43" s="106"/>
      <c r="B43" s="107"/>
      <c r="C43" s="94" t="s">
        <v>2</v>
      </c>
      <c r="D43" s="95"/>
      <c r="E43" s="95"/>
      <c r="F43" s="95"/>
      <c r="G43" s="95"/>
      <c r="H43" s="96"/>
      <c r="I43" s="92" t="s">
        <v>60</v>
      </c>
      <c r="J43" s="111">
        <f>J36+J38+J39+J40+J41</f>
        <v>1200</v>
      </c>
      <c r="K43" s="112"/>
      <c r="L43" s="100" t="s">
        <v>59</v>
      </c>
    </row>
    <row r="44" spans="1:12" ht="54" customHeight="1" thickBot="1">
      <c r="A44" s="106"/>
      <c r="B44" s="107"/>
      <c r="C44" s="97"/>
      <c r="D44" s="98"/>
      <c r="E44" s="98"/>
      <c r="F44" s="98"/>
      <c r="G44" s="98"/>
      <c r="H44" s="99"/>
      <c r="I44" s="93"/>
      <c r="J44" s="113"/>
      <c r="K44" s="113"/>
      <c r="L44" s="101"/>
    </row>
    <row r="45" spans="1:12" ht="18.75" customHeight="1" thickBot="1">
      <c r="A45" s="108"/>
      <c r="B45" s="109"/>
      <c r="G45" s="114"/>
      <c r="H45" s="115"/>
      <c r="I45" s="115"/>
      <c r="J45" s="115"/>
      <c r="K45" s="115"/>
      <c r="L45" s="115"/>
    </row>
    <row r="46" spans="1:12" ht="12" customHeight="1">
      <c r="E46" s="18"/>
    </row>
    <row r="49" spans="1:8" ht="15">
      <c r="B49" s="34" t="s">
        <v>55</v>
      </c>
    </row>
    <row r="50" spans="1:8" ht="15">
      <c r="B50" s="37" t="s">
        <v>61</v>
      </c>
    </row>
    <row r="52" spans="1:8" ht="15">
      <c r="C52" s="36"/>
      <c r="D52" s="36"/>
      <c r="E52" s="36"/>
      <c r="F52" s="36"/>
      <c r="G52" s="36"/>
      <c r="H52" s="36"/>
    </row>
    <row r="53" spans="1:8" ht="15">
      <c r="A53" s="36" t="s">
        <v>8</v>
      </c>
      <c r="B53" s="36"/>
      <c r="C53" s="36"/>
      <c r="D53" s="36"/>
      <c r="E53" s="36"/>
      <c r="F53" s="36"/>
      <c r="G53" s="36"/>
      <c r="H53" s="36"/>
    </row>
    <row r="54" spans="1:8" ht="15">
      <c r="A54" s="36" t="s">
        <v>7</v>
      </c>
      <c r="B54" s="36"/>
      <c r="C54" s="36"/>
      <c r="D54" s="36"/>
      <c r="E54" s="36"/>
      <c r="F54" s="36"/>
      <c r="G54" s="36"/>
      <c r="H54" s="36"/>
    </row>
    <row r="55" spans="1:8" ht="15">
      <c r="A55" s="36" t="s">
        <v>9</v>
      </c>
      <c r="B55" s="36"/>
    </row>
    <row r="58" spans="1:8">
      <c r="B58" s="9"/>
    </row>
    <row r="59" spans="1:8">
      <c r="A59" s="9"/>
      <c r="B59" s="9"/>
    </row>
    <row r="60" spans="1:8">
      <c r="A60" s="9"/>
      <c r="B60" s="9"/>
    </row>
  </sheetData>
  <customSheetViews>
    <customSheetView guid="{66220934-B751-4179-8BFC-B710892E08C3}" scale="75" showPageBreaks="1" fitToPage="1">
      <selection sqref="A1:L1"/>
      <pageSetup scale="67" orientation="portrait" horizontalDpi="1200"/>
      <headerFooter>
        <oddFooter>&amp;RRev. 5/1/14</oddFooter>
      </headerFooter>
    </customSheetView>
    <customSheetView guid="{624BBFF5-A0EC-42FC-BFF9-7389CCC6A663}" scale="75" fitToPage="1">
      <selection activeCell="W18" sqref="W18"/>
      <pageSetup scale="69" orientation="portrait" horizontalDpi="1200"/>
      <headerFooter>
        <oddFooter>&amp;RRev. 5/1/14</oddFooter>
      </headerFooter>
    </customSheetView>
    <customSheetView guid="{3FC4067A-F12F-1249-8B0A-699408A20D38}" scale="75" showPageBreaks="1" fitToPage="1" view="pageLayout" topLeftCell="A5">
      <selection activeCell="A39" sqref="A39:B45"/>
      <pageSetup scale="66" orientation="portrait" horizontalDpi="1200"/>
      <headerFooter>
        <oddFooter>&amp;RRev. 5/1/14</oddFooter>
      </headerFooter>
    </customSheetView>
  </customSheetViews>
  <mergeCells count="67">
    <mergeCell ref="E38:H38"/>
    <mergeCell ref="I23:K23"/>
    <mergeCell ref="G23:H23"/>
    <mergeCell ref="G33:H33"/>
    <mergeCell ref="I33:K33"/>
    <mergeCell ref="F35:H35"/>
    <mergeCell ref="J36:K36"/>
    <mergeCell ref="C34:E34"/>
    <mergeCell ref="F36:H36"/>
    <mergeCell ref="A37:K37"/>
    <mergeCell ref="I43:I44"/>
    <mergeCell ref="C43:H44"/>
    <mergeCell ref="L43:L44"/>
    <mergeCell ref="A39:B45"/>
    <mergeCell ref="E39:H39"/>
    <mergeCell ref="E40:H40"/>
    <mergeCell ref="J43:K44"/>
    <mergeCell ref="G45:L45"/>
    <mergeCell ref="A32:B32"/>
    <mergeCell ref="C32:E32"/>
    <mergeCell ref="I32:K32"/>
    <mergeCell ref="C33:E33"/>
    <mergeCell ref="C28:E28"/>
    <mergeCell ref="A30:B30"/>
    <mergeCell ref="C30:E30"/>
    <mergeCell ref="I30:K30"/>
    <mergeCell ref="A31:B31"/>
    <mergeCell ref="C31:E31"/>
    <mergeCell ref="I31:K31"/>
    <mergeCell ref="C23:E23"/>
    <mergeCell ref="A21:B21"/>
    <mergeCell ref="C21:E21"/>
    <mergeCell ref="I21:K21"/>
    <mergeCell ref="A29:B29"/>
    <mergeCell ref="C29:E29"/>
    <mergeCell ref="I29:K29"/>
    <mergeCell ref="A25:J25"/>
    <mergeCell ref="A27:B27"/>
    <mergeCell ref="C27:E27"/>
    <mergeCell ref="A20:B20"/>
    <mergeCell ref="C20:E20"/>
    <mergeCell ref="I20:K20"/>
    <mergeCell ref="A22:B22"/>
    <mergeCell ref="C22:E22"/>
    <mergeCell ref="I22:K22"/>
    <mergeCell ref="C17:E17"/>
    <mergeCell ref="A18:B18"/>
    <mergeCell ref="C18:E18"/>
    <mergeCell ref="I18:K18"/>
    <mergeCell ref="A19:B19"/>
    <mergeCell ref="C19:E19"/>
    <mergeCell ref="I19:K19"/>
    <mergeCell ref="A12:B12"/>
    <mergeCell ref="C12:G12"/>
    <mergeCell ref="A14:J14"/>
    <mergeCell ref="C16:E16"/>
    <mergeCell ref="A7:J7"/>
    <mergeCell ref="A11:B11"/>
    <mergeCell ref="C11:G11"/>
    <mergeCell ref="A8:J9"/>
    <mergeCell ref="A1:L1"/>
    <mergeCell ref="C2:I2"/>
    <mergeCell ref="A3:A5"/>
    <mergeCell ref="C3:F3"/>
    <mergeCell ref="G3:H3"/>
    <mergeCell ref="I3:J3"/>
    <mergeCell ref="B5:K5"/>
  </mergeCells>
  <phoneticPr fontId="12" type="noConversion"/>
  <pageMargins left="0.75" right="0.75" top="1" bottom="1" header="0.5" footer="0.5"/>
  <pageSetup scale="66" orientation="portrait" horizontalDpi="1200"/>
  <headerFooter>
    <oddFooter>&amp;R&amp;K000000Rev. 8/29/14</oddFooter>
  </headerFooter>
  <drawing r:id="rId1"/>
  <extLst>
    <ext xmlns:mx="http://schemas.microsoft.com/office/mac/excel/2008/main" uri="{64002731-A6B0-56B0-2670-7721B7C09600}">
      <mx:PLV Mode="1"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L55"/>
    </sheetView>
  </sheetViews>
  <sheetFormatPr baseColWidth="10" defaultColWidth="8.83203125" defaultRowHeight="12" x14ac:dyDescent="0"/>
  <sheetData/>
  <customSheetViews>
    <customSheetView guid="{66220934-B751-4179-8BFC-B710892E08C3}" state="hidden">
      <selection sqref="A1:L55"/>
    </customSheetView>
    <customSheetView guid="{624BBFF5-A0EC-42FC-BFF9-7389CCC6A663}" state="hidden"/>
    <customSheetView guid="{3FC4067A-F12F-1249-8B0A-699408A20D38}" state="hidden">
      <selection sqref="A1:L55"/>
    </customSheetView>
  </customSheetViews>
  <pageMargins left="0.7" right="0.7" top="0.75" bottom="0.75" header="0.3" footer="0.3"/>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L60"/>
  <sheetViews>
    <sheetView view="pageLayout" topLeftCell="A6" zoomScale="75" workbookViewId="0">
      <selection activeCell="C11" sqref="C11:G11"/>
    </sheetView>
  </sheetViews>
  <sheetFormatPr baseColWidth="10" defaultColWidth="8.83203125" defaultRowHeight="12" x14ac:dyDescent="0"/>
  <cols>
    <col min="1" max="1" width="16.83203125" customWidth="1"/>
    <col min="2" max="2" width="20.5" customWidth="1"/>
    <col min="3" max="3" width="13" customWidth="1"/>
    <col min="4" max="4" width="3.33203125" customWidth="1"/>
    <col min="5" max="5" width="5.33203125" customWidth="1"/>
    <col min="6" max="6" width="8.1640625" customWidth="1"/>
    <col min="7" max="7" width="17.83203125" customWidth="1"/>
    <col min="8" max="8" width="6.33203125" customWidth="1"/>
    <col min="9" max="9" width="9.1640625" customWidth="1"/>
    <col min="10" max="10" width="15.1640625" bestFit="1" customWidth="1"/>
    <col min="11" max="11" width="1.6640625" customWidth="1"/>
    <col min="12" max="12" width="2.6640625" customWidth="1"/>
  </cols>
  <sheetData>
    <row r="1" spans="1:12" ht="43.5" customHeight="1">
      <c r="A1" s="47" t="s">
        <v>25</v>
      </c>
      <c r="B1" s="48"/>
      <c r="C1" s="48"/>
      <c r="D1" s="48"/>
      <c r="E1" s="48"/>
      <c r="F1" s="48"/>
      <c r="G1" s="48"/>
      <c r="H1" s="48"/>
      <c r="I1" s="48"/>
      <c r="J1" s="48"/>
      <c r="K1" s="48"/>
      <c r="L1" s="48"/>
    </row>
    <row r="2" spans="1:12" ht="18" customHeight="1" thickBot="1">
      <c r="B2" s="25" t="s">
        <v>51</v>
      </c>
      <c r="C2" s="49" t="s">
        <v>65</v>
      </c>
      <c r="D2" s="49"/>
      <c r="E2" s="49"/>
      <c r="F2" s="49"/>
      <c r="G2" s="49"/>
      <c r="H2" s="49"/>
      <c r="I2" s="49"/>
      <c r="J2" s="14"/>
      <c r="K2" s="8"/>
      <c r="L2" s="8"/>
    </row>
    <row r="3" spans="1:12" ht="25.5" customHeight="1" thickBot="1">
      <c r="A3" s="50"/>
      <c r="B3" s="15" t="s">
        <v>52</v>
      </c>
      <c r="C3" s="51" t="s">
        <v>66</v>
      </c>
      <c r="D3" s="51"/>
      <c r="E3" s="51"/>
      <c r="F3" s="51"/>
      <c r="G3" s="52" t="s">
        <v>53</v>
      </c>
      <c r="H3" s="52"/>
      <c r="I3" s="53">
        <v>41852</v>
      </c>
      <c r="J3" s="54"/>
    </row>
    <row r="4" spans="1:12" ht="7.5" customHeight="1">
      <c r="A4" s="50"/>
    </row>
    <row r="5" spans="1:12" ht="24.75" customHeight="1">
      <c r="A5" s="50"/>
      <c r="B5" s="55" t="s">
        <v>26</v>
      </c>
      <c r="C5" s="56"/>
      <c r="D5" s="56"/>
      <c r="E5" s="56"/>
      <c r="F5" s="56"/>
      <c r="G5" s="56"/>
      <c r="H5" s="56"/>
      <c r="I5" s="56"/>
      <c r="J5" s="56"/>
      <c r="K5" s="56"/>
      <c r="L5" s="1"/>
    </row>
    <row r="6" spans="1:12">
      <c r="D6" s="2"/>
      <c r="E6" s="2"/>
      <c r="F6" s="2"/>
      <c r="G6" s="2"/>
      <c r="H6" s="2"/>
      <c r="I6" s="2"/>
      <c r="J6" s="2"/>
      <c r="K6" s="2"/>
      <c r="L6" s="2"/>
    </row>
    <row r="7" spans="1:12" ht="20.25" customHeight="1">
      <c r="A7" s="67" t="s">
        <v>54</v>
      </c>
      <c r="B7" s="68"/>
      <c r="C7" s="68"/>
      <c r="D7" s="68"/>
      <c r="E7" s="68"/>
      <c r="F7" s="68"/>
      <c r="G7" s="68"/>
      <c r="H7" s="68"/>
      <c r="I7" s="68"/>
      <c r="J7" s="68"/>
    </row>
    <row r="8" spans="1:12" ht="31.5" customHeight="1">
      <c r="A8" s="73" t="s">
        <v>24</v>
      </c>
      <c r="B8" s="73"/>
      <c r="C8" s="73"/>
      <c r="D8" s="73"/>
      <c r="E8" s="73"/>
      <c r="F8" s="73"/>
      <c r="G8" s="73"/>
      <c r="H8" s="73"/>
      <c r="I8" s="73"/>
      <c r="J8" s="73"/>
    </row>
    <row r="9" spans="1:12" ht="15" customHeight="1">
      <c r="A9" s="73"/>
      <c r="B9" s="73"/>
      <c r="C9" s="73"/>
      <c r="D9" s="73"/>
      <c r="E9" s="73"/>
      <c r="F9" s="73"/>
      <c r="G9" s="73"/>
      <c r="H9" s="73"/>
      <c r="I9" s="73"/>
      <c r="J9" s="73"/>
    </row>
    <row r="10" spans="1:12" ht="15" customHeight="1">
      <c r="A10" s="27"/>
      <c r="B10" s="27"/>
      <c r="C10" s="27"/>
      <c r="D10" s="27"/>
      <c r="E10" s="27"/>
      <c r="F10" s="27"/>
      <c r="G10" s="27"/>
      <c r="H10" s="27"/>
      <c r="I10" s="27"/>
      <c r="J10" s="27"/>
    </row>
    <row r="11" spans="1:12" ht="15">
      <c r="A11" s="69" t="s">
        <v>6</v>
      </c>
      <c r="B11" s="58"/>
      <c r="C11" s="147" t="s">
        <v>67</v>
      </c>
      <c r="D11" s="71"/>
      <c r="E11" s="71"/>
      <c r="F11" s="71"/>
      <c r="G11" s="72"/>
      <c r="H11" s="28"/>
      <c r="I11" s="28"/>
      <c r="J11" s="28"/>
    </row>
    <row r="12" spans="1:12" ht="15">
      <c r="A12" s="57" t="s">
        <v>23</v>
      </c>
      <c r="B12" s="58"/>
      <c r="C12" s="148">
        <v>2500000</v>
      </c>
      <c r="D12" s="149"/>
      <c r="E12" s="149"/>
      <c r="F12" s="149"/>
      <c r="G12" s="150"/>
      <c r="H12" s="28"/>
      <c r="I12" s="28"/>
      <c r="J12" s="28"/>
    </row>
    <row r="13" spans="1:12">
      <c r="C13" s="28"/>
      <c r="D13" s="28"/>
      <c r="E13" s="28"/>
      <c r="F13" s="28"/>
      <c r="G13" s="28"/>
      <c r="H13" s="28"/>
      <c r="I13" s="28"/>
      <c r="J13" s="28"/>
    </row>
    <row r="14" spans="1:12" ht="13">
      <c r="A14" s="62" t="s">
        <v>13</v>
      </c>
      <c r="B14" s="63"/>
      <c r="C14" s="63"/>
      <c r="D14" s="63"/>
      <c r="E14" s="63"/>
      <c r="F14" s="63"/>
      <c r="G14" s="63"/>
      <c r="H14" s="50"/>
      <c r="I14" s="50"/>
      <c r="J14" s="50"/>
    </row>
    <row r="15" spans="1:12" ht="11.25" customHeight="1"/>
    <row r="16" spans="1:12">
      <c r="C16" s="64" t="s">
        <v>27</v>
      </c>
      <c r="D16" s="65"/>
      <c r="E16" s="66"/>
      <c r="G16" s="3"/>
      <c r="H16" s="4"/>
    </row>
    <row r="17" spans="1:12">
      <c r="C17" s="74" t="s">
        <v>49</v>
      </c>
      <c r="D17" s="75"/>
      <c r="E17" s="76"/>
      <c r="G17" s="5" t="s">
        <v>28</v>
      </c>
      <c r="H17" s="4"/>
      <c r="J17" t="s">
        <v>29</v>
      </c>
    </row>
    <row r="18" spans="1:12" ht="18" customHeight="1">
      <c r="A18" s="142" t="s">
        <v>5</v>
      </c>
      <c r="B18" s="137"/>
      <c r="C18" s="138">
        <v>500000</v>
      </c>
      <c r="D18" s="138"/>
      <c r="E18" s="139"/>
      <c r="F18" s="1" t="s">
        <v>30</v>
      </c>
      <c r="G18" s="7" t="s">
        <v>31</v>
      </c>
      <c r="H18" s="4" t="s">
        <v>32</v>
      </c>
      <c r="I18" s="140">
        <f>SUM(C18*0.005)</f>
        <v>2500</v>
      </c>
      <c r="J18" s="140"/>
      <c r="K18" s="141"/>
      <c r="L18" s="7" t="s">
        <v>33</v>
      </c>
    </row>
    <row r="19" spans="1:12" ht="18" customHeight="1">
      <c r="A19" s="136" t="s">
        <v>14</v>
      </c>
      <c r="B19" s="137"/>
      <c r="C19" s="138">
        <v>1500000</v>
      </c>
      <c r="D19" s="138"/>
      <c r="E19" s="139"/>
      <c r="F19" s="1" t="s">
        <v>30</v>
      </c>
      <c r="G19" s="7" t="s">
        <v>34</v>
      </c>
      <c r="H19" s="4" t="s">
        <v>32</v>
      </c>
      <c r="I19" s="140">
        <f>SUM(C19*0.0025)</f>
        <v>3750</v>
      </c>
      <c r="J19" s="140"/>
      <c r="K19" s="141"/>
      <c r="L19" s="7" t="s">
        <v>35</v>
      </c>
    </row>
    <row r="20" spans="1:12" ht="18" customHeight="1">
      <c r="A20" s="136" t="s">
        <v>15</v>
      </c>
      <c r="B20" s="137"/>
      <c r="C20" s="138">
        <v>500000</v>
      </c>
      <c r="D20" s="138"/>
      <c r="E20" s="139"/>
      <c r="F20" s="1" t="s">
        <v>30</v>
      </c>
      <c r="G20" s="7" t="s">
        <v>36</v>
      </c>
      <c r="H20" s="4" t="s">
        <v>32</v>
      </c>
      <c r="I20" s="140">
        <f>SUM(C20*0.0005)</f>
        <v>250</v>
      </c>
      <c r="J20" s="140"/>
      <c r="K20" s="141"/>
      <c r="L20" s="7" t="s">
        <v>37</v>
      </c>
    </row>
    <row r="21" spans="1:12" ht="18" customHeight="1">
      <c r="A21" s="136" t="s">
        <v>16</v>
      </c>
      <c r="B21" s="137"/>
      <c r="C21" s="138"/>
      <c r="D21" s="138"/>
      <c r="E21" s="139"/>
      <c r="F21" s="1" t="s">
        <v>30</v>
      </c>
      <c r="G21" s="7" t="s">
        <v>38</v>
      </c>
      <c r="H21" s="4" t="s">
        <v>32</v>
      </c>
      <c r="I21" s="140">
        <f>SUM(C21*0.00025)</f>
        <v>0</v>
      </c>
      <c r="J21" s="140"/>
      <c r="K21" s="141"/>
      <c r="L21" s="7" t="s">
        <v>39</v>
      </c>
    </row>
    <row r="22" spans="1:12" ht="18" customHeight="1" thickBot="1">
      <c r="A22" s="142" t="s">
        <v>18</v>
      </c>
      <c r="B22" s="137"/>
      <c r="C22" s="145"/>
      <c r="D22" s="145"/>
      <c r="E22" s="146"/>
      <c r="F22" s="1" t="s">
        <v>30</v>
      </c>
      <c r="G22" s="7" t="s">
        <v>40</v>
      </c>
      <c r="H22" s="4" t="s">
        <v>32</v>
      </c>
      <c r="I22" s="140">
        <f>SUM(C22*0.000025)</f>
        <v>0</v>
      </c>
      <c r="J22" s="140"/>
      <c r="K22" s="141"/>
      <c r="L22" s="7" t="s">
        <v>41</v>
      </c>
    </row>
    <row r="23" spans="1:12" ht="18" customHeight="1" thickBot="1">
      <c r="A23" s="43"/>
      <c r="B23" s="43" t="s">
        <v>12</v>
      </c>
      <c r="C23" s="129">
        <f>SUM(C18:E22)</f>
        <v>2500000</v>
      </c>
      <c r="D23" s="130"/>
      <c r="E23" s="131"/>
      <c r="G23" s="132" t="s">
        <v>19</v>
      </c>
      <c r="H23" s="120"/>
      <c r="I23" s="133">
        <f>SUM(I18:K22)</f>
        <v>6500</v>
      </c>
      <c r="J23" s="134"/>
      <c r="K23" s="135"/>
      <c r="L23" s="30" t="s">
        <v>43</v>
      </c>
    </row>
    <row r="24" spans="1:12">
      <c r="L24" s="1"/>
    </row>
    <row r="25" spans="1:12" ht="13">
      <c r="A25" s="62" t="s">
        <v>63</v>
      </c>
      <c r="B25" s="63"/>
      <c r="C25" s="63"/>
      <c r="D25" s="63"/>
      <c r="E25" s="63"/>
      <c r="F25" s="63"/>
      <c r="G25" s="63"/>
      <c r="H25" s="50"/>
      <c r="I25" s="50"/>
      <c r="J25" s="50"/>
      <c r="L25" s="1"/>
    </row>
    <row r="26" spans="1:12" ht="11.25" customHeight="1"/>
    <row r="27" spans="1:12">
      <c r="A27" s="89"/>
      <c r="B27" s="89"/>
      <c r="C27" s="64" t="s">
        <v>27</v>
      </c>
      <c r="D27" s="65"/>
      <c r="E27" s="66"/>
      <c r="G27" s="3"/>
      <c r="H27" s="4"/>
      <c r="L27" s="1"/>
    </row>
    <row r="28" spans="1:12">
      <c r="A28" s="13"/>
      <c r="B28" s="4"/>
      <c r="C28" s="74" t="s">
        <v>49</v>
      </c>
      <c r="D28" s="75"/>
      <c r="E28" s="76"/>
      <c r="G28" s="5" t="s">
        <v>28</v>
      </c>
      <c r="H28" s="4"/>
      <c r="J28" t="s">
        <v>29</v>
      </c>
      <c r="L28" s="1"/>
    </row>
    <row r="29" spans="1:12" ht="18" customHeight="1">
      <c r="A29" s="142" t="s">
        <v>17</v>
      </c>
      <c r="B29" s="137"/>
      <c r="C29" s="138"/>
      <c r="D29" s="138"/>
      <c r="E29" s="139"/>
      <c r="F29" s="1" t="s">
        <v>30</v>
      </c>
      <c r="G29" s="7" t="s">
        <v>42</v>
      </c>
      <c r="H29" s="4" t="s">
        <v>32</v>
      </c>
      <c r="I29" s="140">
        <f>SUM(C29*0.001)</f>
        <v>0</v>
      </c>
      <c r="J29" s="140"/>
      <c r="K29" s="141"/>
      <c r="L29" s="7" t="s">
        <v>44</v>
      </c>
    </row>
    <row r="30" spans="1:12" ht="18" customHeight="1">
      <c r="A30" s="136" t="s">
        <v>15</v>
      </c>
      <c r="B30" s="137"/>
      <c r="C30" s="143"/>
      <c r="D30" s="144"/>
      <c r="E30" s="137"/>
      <c r="F30" s="1" t="s">
        <v>30</v>
      </c>
      <c r="G30" s="7" t="s">
        <v>36</v>
      </c>
      <c r="H30" s="4"/>
      <c r="I30" s="140">
        <f>SUM(C30*0.0005)</f>
        <v>0</v>
      </c>
      <c r="J30" s="140"/>
      <c r="K30" s="141"/>
      <c r="L30" s="7" t="s">
        <v>45</v>
      </c>
    </row>
    <row r="31" spans="1:12" ht="18" customHeight="1">
      <c r="A31" s="136" t="s">
        <v>16</v>
      </c>
      <c r="B31" s="137"/>
      <c r="C31" s="138"/>
      <c r="D31" s="138"/>
      <c r="E31" s="139"/>
      <c r="F31" s="1" t="s">
        <v>30</v>
      </c>
      <c r="G31" s="7" t="s">
        <v>38</v>
      </c>
      <c r="H31" s="4" t="s">
        <v>32</v>
      </c>
      <c r="I31" s="140">
        <f>SUM(C31*0.00025)</f>
        <v>0</v>
      </c>
      <c r="J31" s="140"/>
      <c r="K31" s="141"/>
      <c r="L31" s="7" t="s">
        <v>46</v>
      </c>
    </row>
    <row r="32" spans="1:12" ht="18" customHeight="1" thickBot="1">
      <c r="A32" s="142" t="s">
        <v>18</v>
      </c>
      <c r="B32" s="137"/>
      <c r="C32" s="138"/>
      <c r="D32" s="138"/>
      <c r="E32" s="139"/>
      <c r="F32" s="1" t="s">
        <v>30</v>
      </c>
      <c r="G32" s="7" t="s">
        <v>40</v>
      </c>
      <c r="H32" s="4" t="s">
        <v>32</v>
      </c>
      <c r="I32" s="140">
        <f>SUM(C32*0.000025)</f>
        <v>0</v>
      </c>
      <c r="J32" s="140"/>
      <c r="K32" s="141"/>
      <c r="L32" s="7" t="s">
        <v>47</v>
      </c>
    </row>
    <row r="33" spans="1:12" ht="18" customHeight="1" thickBot="1">
      <c r="A33" s="43"/>
      <c r="B33" s="43" t="s">
        <v>12</v>
      </c>
      <c r="C33" s="129">
        <f>SUM(C29:E32)</f>
        <v>0</v>
      </c>
      <c r="D33" s="130"/>
      <c r="E33" s="131"/>
      <c r="F33" s="1"/>
      <c r="G33" s="132" t="s">
        <v>19</v>
      </c>
      <c r="H33" s="120"/>
      <c r="I33" s="133">
        <f>SUM(I29:K32)</f>
        <v>0</v>
      </c>
      <c r="J33" s="134"/>
      <c r="K33" s="135"/>
      <c r="L33" s="31" t="s">
        <v>3</v>
      </c>
    </row>
    <row r="34" spans="1:12" ht="18" customHeight="1" thickBot="1">
      <c r="A34" s="43"/>
      <c r="B34" s="43" t="s">
        <v>11</v>
      </c>
      <c r="C34" s="129">
        <f>+C33+C23</f>
        <v>2500000</v>
      </c>
      <c r="D34" s="130"/>
      <c r="E34" s="131"/>
      <c r="F34" s="1"/>
      <c r="G34" s="4"/>
      <c r="H34" s="4"/>
      <c r="I34" s="44"/>
      <c r="J34" s="44"/>
      <c r="K34" s="44"/>
      <c r="L34" s="4"/>
    </row>
    <row r="35" spans="1:12" ht="9.75" customHeight="1" thickBot="1">
      <c r="A35" s="8"/>
      <c r="B35" s="8"/>
      <c r="C35" s="45"/>
      <c r="D35" s="45"/>
      <c r="E35" s="45"/>
      <c r="F35" s="121"/>
      <c r="G35" s="121"/>
      <c r="H35" s="121"/>
      <c r="I35" s="44"/>
      <c r="J35" s="44"/>
      <c r="K35" s="44"/>
      <c r="L35" s="4"/>
    </row>
    <row r="36" spans="1:12" ht="43.5" customHeight="1" thickBot="1">
      <c r="A36" s="19"/>
      <c r="B36" s="19"/>
      <c r="F36" s="124" t="s">
        <v>57</v>
      </c>
      <c r="G36" s="125"/>
      <c r="H36" s="126"/>
      <c r="I36" s="32" t="s">
        <v>22</v>
      </c>
      <c r="J36" s="122">
        <f>IF((+I33+I23)&lt;1000,1000,IF((+I33+I23)&gt;40000,40000,+I33+I23))</f>
        <v>6500</v>
      </c>
      <c r="K36" s="123"/>
      <c r="L36" s="33" t="s">
        <v>4</v>
      </c>
    </row>
    <row r="37" spans="1:12" ht="26.25" customHeight="1">
      <c r="A37" s="127" t="s">
        <v>64</v>
      </c>
      <c r="B37" s="128"/>
      <c r="C37" s="128"/>
      <c r="D37" s="128"/>
      <c r="E37" s="128"/>
      <c r="F37" s="128"/>
      <c r="G37" s="128"/>
      <c r="H37" s="128"/>
      <c r="I37" s="128"/>
      <c r="J37" s="128"/>
      <c r="K37" s="128"/>
      <c r="L37" s="20"/>
    </row>
    <row r="38" spans="1:12" ht="20.25" customHeight="1" thickBot="1">
      <c r="A38" s="19"/>
      <c r="B38" s="19"/>
      <c r="E38" s="110" t="s">
        <v>50</v>
      </c>
      <c r="F38" s="58"/>
      <c r="G38" s="58"/>
      <c r="H38" s="58"/>
      <c r="I38" s="11" t="s">
        <v>48</v>
      </c>
      <c r="J38" s="46">
        <v>200</v>
      </c>
      <c r="K38" s="6"/>
      <c r="L38" s="22" t="s">
        <v>0</v>
      </c>
    </row>
    <row r="39" spans="1:12" ht="20.25" customHeight="1">
      <c r="A39" s="102" t="s">
        <v>10</v>
      </c>
      <c r="B39" s="103"/>
      <c r="E39" s="110" t="s">
        <v>56</v>
      </c>
      <c r="F39" s="110"/>
      <c r="G39" s="110"/>
      <c r="H39" s="110"/>
      <c r="I39" s="11" t="s">
        <v>48</v>
      </c>
      <c r="J39" s="12"/>
      <c r="K39" s="6"/>
      <c r="L39" s="22" t="s">
        <v>1</v>
      </c>
    </row>
    <row r="40" spans="1:12" ht="20.25" customHeight="1">
      <c r="A40" s="104"/>
      <c r="B40" s="105"/>
      <c r="E40" s="110" t="s">
        <v>58</v>
      </c>
      <c r="F40" s="110"/>
      <c r="G40" s="110"/>
      <c r="H40" s="110"/>
      <c r="I40" s="11" t="s">
        <v>48</v>
      </c>
      <c r="J40" s="12"/>
      <c r="K40" s="6"/>
      <c r="L40" s="22" t="s">
        <v>20</v>
      </c>
    </row>
    <row r="41" spans="1:12" ht="20.25" customHeight="1">
      <c r="A41" s="104"/>
      <c r="B41" s="105"/>
      <c r="E41" s="38" t="s">
        <v>62</v>
      </c>
      <c r="F41" s="39"/>
      <c r="G41" s="39"/>
      <c r="H41" s="40"/>
      <c r="I41" s="41" t="s">
        <v>48</v>
      </c>
      <c r="J41" s="42"/>
      <c r="K41" s="35"/>
      <c r="L41" s="22" t="s">
        <v>21</v>
      </c>
    </row>
    <row r="42" spans="1:12" ht="20.25" customHeight="1" thickBot="1">
      <c r="A42" s="104"/>
      <c r="B42" s="105"/>
      <c r="E42" s="10"/>
      <c r="F42" s="10"/>
      <c r="G42" s="10"/>
      <c r="H42" s="10"/>
      <c r="I42" s="23"/>
      <c r="J42" s="24"/>
      <c r="K42" s="8"/>
      <c r="L42" s="21"/>
    </row>
    <row r="43" spans="1:12" ht="8.25" customHeight="1">
      <c r="A43" s="106"/>
      <c r="B43" s="107"/>
      <c r="C43" s="94" t="s">
        <v>2</v>
      </c>
      <c r="D43" s="95"/>
      <c r="E43" s="95"/>
      <c r="F43" s="95"/>
      <c r="G43" s="95"/>
      <c r="H43" s="96"/>
      <c r="I43" s="92" t="s">
        <v>60</v>
      </c>
      <c r="J43" s="111">
        <f>J36+J38+J39+J40+J41</f>
        <v>6700</v>
      </c>
      <c r="K43" s="112"/>
      <c r="L43" s="100" t="s">
        <v>59</v>
      </c>
    </row>
    <row r="44" spans="1:12" ht="54" customHeight="1" thickBot="1">
      <c r="A44" s="106"/>
      <c r="B44" s="107"/>
      <c r="C44" s="97"/>
      <c r="D44" s="98"/>
      <c r="E44" s="98"/>
      <c r="F44" s="98"/>
      <c r="G44" s="98"/>
      <c r="H44" s="99"/>
      <c r="I44" s="93"/>
      <c r="J44" s="113"/>
      <c r="K44" s="113"/>
      <c r="L44" s="101"/>
    </row>
    <row r="45" spans="1:12" ht="18.75" customHeight="1" thickBot="1">
      <c r="A45" s="108"/>
      <c r="B45" s="109"/>
      <c r="G45" s="114"/>
      <c r="H45" s="115"/>
      <c r="I45" s="115"/>
      <c r="J45" s="115"/>
      <c r="K45" s="115"/>
      <c r="L45" s="115"/>
    </row>
    <row r="46" spans="1:12" ht="12" customHeight="1">
      <c r="E46" s="18"/>
    </row>
    <row r="49" spans="1:8" ht="15">
      <c r="B49" s="34" t="s">
        <v>55</v>
      </c>
    </row>
    <row r="50" spans="1:8" ht="15">
      <c r="B50" s="37" t="s">
        <v>68</v>
      </c>
    </row>
    <row r="52" spans="1:8" ht="15">
      <c r="C52" s="36"/>
      <c r="D52" s="36"/>
      <c r="E52" s="36"/>
      <c r="F52" s="36"/>
      <c r="G52" s="36"/>
      <c r="H52" s="36"/>
    </row>
    <row r="53" spans="1:8" ht="15">
      <c r="A53" s="36" t="s">
        <v>8</v>
      </c>
      <c r="B53" s="36"/>
      <c r="C53" s="36"/>
      <c r="D53" s="36"/>
      <c r="E53" s="36"/>
      <c r="F53" s="36"/>
      <c r="G53" s="36"/>
      <c r="H53" s="36"/>
    </row>
    <row r="54" spans="1:8" ht="15">
      <c r="A54" s="36" t="s">
        <v>7</v>
      </c>
      <c r="B54" s="36"/>
      <c r="C54" s="36"/>
      <c r="D54" s="36"/>
      <c r="E54" s="36"/>
      <c r="F54" s="36"/>
      <c r="G54" s="36"/>
      <c r="H54" s="36"/>
    </row>
    <row r="55" spans="1:8" ht="15">
      <c r="A55" s="36" t="s">
        <v>9</v>
      </c>
      <c r="B55" s="36"/>
    </row>
    <row r="58" spans="1:8">
      <c r="B58" s="9"/>
    </row>
    <row r="59" spans="1:8">
      <c r="A59" s="9"/>
      <c r="B59" s="9"/>
    </row>
    <row r="60" spans="1:8">
      <c r="A60" s="9"/>
      <c r="B60" s="9"/>
    </row>
  </sheetData>
  <mergeCells count="67">
    <mergeCell ref="A1:L1"/>
    <mergeCell ref="C2:I2"/>
    <mergeCell ref="A3:A5"/>
    <mergeCell ref="C3:F3"/>
    <mergeCell ref="G3:H3"/>
    <mergeCell ref="I3:J3"/>
    <mergeCell ref="B5:K5"/>
    <mergeCell ref="A7:J7"/>
    <mergeCell ref="A8:J9"/>
    <mergeCell ref="A11:B11"/>
    <mergeCell ref="C11:G11"/>
    <mergeCell ref="A12:B12"/>
    <mergeCell ref="C12:G12"/>
    <mergeCell ref="A14:J14"/>
    <mergeCell ref="C16:E16"/>
    <mergeCell ref="C17:E17"/>
    <mergeCell ref="A18:B18"/>
    <mergeCell ref="C18:E18"/>
    <mergeCell ref="I18:K18"/>
    <mergeCell ref="A19:B19"/>
    <mergeCell ref="C19:E19"/>
    <mergeCell ref="I19:K19"/>
    <mergeCell ref="A20:B20"/>
    <mergeCell ref="C20:E20"/>
    <mergeCell ref="I20:K20"/>
    <mergeCell ref="A21:B21"/>
    <mergeCell ref="C21:E21"/>
    <mergeCell ref="I21:K21"/>
    <mergeCell ref="A22:B22"/>
    <mergeCell ref="C22:E22"/>
    <mergeCell ref="I22:K22"/>
    <mergeCell ref="C23:E23"/>
    <mergeCell ref="G23:H23"/>
    <mergeCell ref="I23:K23"/>
    <mergeCell ref="A25:J25"/>
    <mergeCell ref="A27:B27"/>
    <mergeCell ref="C27:E27"/>
    <mergeCell ref="C28:E28"/>
    <mergeCell ref="A29:B29"/>
    <mergeCell ref="C29:E29"/>
    <mergeCell ref="I29:K29"/>
    <mergeCell ref="A30:B30"/>
    <mergeCell ref="C30:E30"/>
    <mergeCell ref="I30:K30"/>
    <mergeCell ref="F36:H36"/>
    <mergeCell ref="J36:K36"/>
    <mergeCell ref="A31:B31"/>
    <mergeCell ref="C31:E31"/>
    <mergeCell ref="I31:K31"/>
    <mergeCell ref="A32:B32"/>
    <mergeCell ref="C32:E32"/>
    <mergeCell ref="I32:K32"/>
    <mergeCell ref="C33:E33"/>
    <mergeCell ref="G33:H33"/>
    <mergeCell ref="I33:K33"/>
    <mergeCell ref="C34:E34"/>
    <mergeCell ref="F35:H35"/>
    <mergeCell ref="L43:L44"/>
    <mergeCell ref="G45:L45"/>
    <mergeCell ref="A37:K37"/>
    <mergeCell ref="E38:H38"/>
    <mergeCell ref="A39:B45"/>
    <mergeCell ref="E39:H39"/>
    <mergeCell ref="E40:H40"/>
    <mergeCell ref="C43:H44"/>
    <mergeCell ref="I43:I44"/>
    <mergeCell ref="J43:K44"/>
  </mergeCells>
  <phoneticPr fontId="12" type="noConversion"/>
  <pageMargins left="0.75" right="0.75" top="1" bottom="1" header="0.5" footer="0.5"/>
  <pageSetup scale="66" orientation="portrait" horizontalDpi="1200"/>
  <headerFooter>
    <oddFooter>&amp;RRev. 5/1/14</oddFooter>
  </headerFooter>
  <drawing r:id="rId1"/>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Renewal Worksheet</vt:lpstr>
      <vt:lpstr>Example 1</vt:lpstr>
      <vt:lpstr>Example</vt:lpstr>
    </vt:vector>
  </TitlesOfParts>
  <Company>Oregon Tilth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dc:creator>
  <cp:lastModifiedBy>joel</cp:lastModifiedBy>
  <cp:lastPrinted>2014-08-18T17:45:33Z</cp:lastPrinted>
  <dcterms:created xsi:type="dcterms:W3CDTF">2002-05-06T19:03:46Z</dcterms:created>
  <dcterms:modified xsi:type="dcterms:W3CDTF">2014-08-18T18:39:20Z</dcterms:modified>
</cp:coreProperties>
</file>