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4656" windowWidth="20160" windowHeight="4776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57" i="1" l="1"/>
  <c r="P457" i="1"/>
  <c r="U457" i="1" s="1"/>
  <c r="Q457" i="1"/>
  <c r="R457" i="1"/>
  <c r="S457" i="1"/>
  <c r="T457" i="1"/>
  <c r="V457" i="1"/>
  <c r="W457" i="1"/>
  <c r="X457" i="1"/>
  <c r="Y457" i="1"/>
  <c r="Z457" i="1"/>
  <c r="N457" i="1"/>
  <c r="A457" i="1"/>
  <c r="O456" i="1" l="1"/>
  <c r="P456" i="1"/>
  <c r="Q456" i="1"/>
  <c r="R456" i="1"/>
  <c r="S456" i="1"/>
  <c r="T456" i="1"/>
  <c r="U456" i="1"/>
  <c r="V456" i="1"/>
  <c r="W456" i="1"/>
  <c r="X456" i="1"/>
  <c r="Y456" i="1"/>
  <c r="Z456" i="1"/>
  <c r="N456" i="1"/>
  <c r="A456" i="1"/>
  <c r="O455" i="1" l="1"/>
  <c r="P455" i="1"/>
  <c r="Q455" i="1"/>
  <c r="R455" i="1"/>
  <c r="S455" i="1"/>
  <c r="T455" i="1"/>
  <c r="U455" i="1"/>
  <c r="V455" i="1"/>
  <c r="W455" i="1"/>
  <c r="X455" i="1"/>
  <c r="Y455" i="1"/>
  <c r="Z455" i="1"/>
  <c r="N455" i="1"/>
  <c r="A455" i="1"/>
  <c r="O454" i="1" l="1"/>
  <c r="P454" i="1"/>
  <c r="Q454" i="1"/>
  <c r="R454" i="1"/>
  <c r="S454" i="1"/>
  <c r="T454" i="1"/>
  <c r="U454" i="1"/>
  <c r="V454" i="1"/>
  <c r="W454" i="1"/>
  <c r="X454" i="1"/>
  <c r="Y454" i="1"/>
  <c r="Z454" i="1"/>
  <c r="N454" i="1"/>
  <c r="A454" i="1"/>
  <c r="N453" i="1" l="1"/>
  <c r="O453" i="1"/>
  <c r="P453" i="1"/>
  <c r="Q453" i="1"/>
  <c r="S453" i="1"/>
  <c r="T453" i="1"/>
  <c r="V453" i="1"/>
  <c r="W453" i="1"/>
  <c r="X453" i="1"/>
  <c r="Y453" i="1"/>
  <c r="Z453" i="1"/>
  <c r="A453" i="1"/>
  <c r="R453" i="1" l="1"/>
  <c r="U453" i="1"/>
  <c r="N452" i="1"/>
  <c r="T452" i="1"/>
  <c r="O452" i="1"/>
  <c r="P452" i="1"/>
  <c r="Q452" i="1"/>
  <c r="V452" i="1"/>
  <c r="W452" i="1"/>
  <c r="X452" i="1"/>
  <c r="Y452" i="1"/>
  <c r="A452" i="1"/>
  <c r="U452" i="1" l="1"/>
  <c r="S452" i="1"/>
  <c r="R452" i="1"/>
  <c r="Z452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N451" i="1"/>
  <c r="A451" i="1"/>
  <c r="O450" i="1" l="1"/>
  <c r="P450" i="1"/>
  <c r="U450" i="1" s="1"/>
  <c r="Q450" i="1"/>
  <c r="R450" i="1"/>
  <c r="S450" i="1"/>
  <c r="T450" i="1"/>
  <c r="V450" i="1"/>
  <c r="W450" i="1"/>
  <c r="X450" i="1"/>
  <c r="Y450" i="1"/>
  <c r="Z450" i="1" s="1"/>
  <c r="N450" i="1"/>
  <c r="O449" i="1" l="1"/>
  <c r="P449" i="1"/>
  <c r="Q449" i="1"/>
  <c r="V449" i="1"/>
  <c r="W449" i="1"/>
  <c r="X449" i="1"/>
  <c r="N449" i="1"/>
  <c r="U449" i="1" l="1"/>
  <c r="O448" i="1"/>
  <c r="P448" i="1"/>
  <c r="Q448" i="1"/>
  <c r="U448" i="1"/>
  <c r="V448" i="1"/>
  <c r="W448" i="1"/>
  <c r="X448" i="1"/>
  <c r="N448" i="1"/>
  <c r="S449" i="1" s="1"/>
  <c r="S448" i="1" l="1"/>
  <c r="R449" i="1"/>
  <c r="R448" i="1"/>
  <c r="N447" i="1"/>
  <c r="O447" i="1" l="1"/>
  <c r="P447" i="1"/>
  <c r="Q447" i="1"/>
  <c r="V447" i="1"/>
  <c r="W447" i="1"/>
  <c r="X447" i="1"/>
  <c r="S447" i="1" l="1"/>
  <c r="R447" i="1"/>
  <c r="U447" i="1"/>
  <c r="O446" i="1"/>
  <c r="P446" i="1"/>
  <c r="Q446" i="1"/>
  <c r="V446" i="1"/>
  <c r="W446" i="1"/>
  <c r="X446" i="1"/>
  <c r="N446" i="1"/>
  <c r="U446" i="1" l="1"/>
  <c r="O445" i="1"/>
  <c r="P445" i="1"/>
  <c r="Q445" i="1"/>
  <c r="V445" i="1"/>
  <c r="W445" i="1"/>
  <c r="X445" i="1"/>
  <c r="N445" i="1"/>
  <c r="S446" i="1" s="1"/>
  <c r="U445" i="1" l="1"/>
  <c r="R445" i="1"/>
  <c r="R446" i="1"/>
  <c r="N444" i="1"/>
  <c r="O444" i="1"/>
  <c r="P444" i="1"/>
  <c r="U444" i="1" s="1"/>
  <c r="Q444" i="1"/>
  <c r="V444" i="1"/>
  <c r="W444" i="1"/>
  <c r="X444" i="1"/>
  <c r="S445" i="1" l="1"/>
  <c r="O443" i="1"/>
  <c r="P443" i="1"/>
  <c r="Q443" i="1"/>
  <c r="V443" i="1"/>
  <c r="W443" i="1"/>
  <c r="X443" i="1"/>
  <c r="N443" i="1"/>
  <c r="U443" i="1" l="1"/>
  <c r="R444" i="1"/>
  <c r="S444" i="1"/>
  <c r="O442" i="1"/>
  <c r="P442" i="1"/>
  <c r="U442" i="1" s="1"/>
  <c r="Q442" i="1"/>
  <c r="V442" i="1"/>
  <c r="W442" i="1"/>
  <c r="X442" i="1"/>
  <c r="N442" i="1"/>
  <c r="R443" i="1" s="1"/>
  <c r="S443" i="1" l="1"/>
  <c r="O441" i="1"/>
  <c r="P441" i="1"/>
  <c r="U441" i="1" s="1"/>
  <c r="Q441" i="1"/>
  <c r="V441" i="1"/>
  <c r="W441" i="1"/>
  <c r="X441" i="1"/>
  <c r="N441" i="1"/>
  <c r="S442" i="1" l="1"/>
  <c r="R442" i="1"/>
  <c r="X440" i="1"/>
  <c r="W440" i="1"/>
  <c r="V440" i="1"/>
  <c r="Q440" i="1"/>
  <c r="P440" i="1"/>
  <c r="O440" i="1"/>
  <c r="N440" i="1"/>
  <c r="S441" i="1" l="1"/>
  <c r="R441" i="1"/>
  <c r="U440" i="1"/>
  <c r="X439" i="1"/>
  <c r="W439" i="1"/>
  <c r="V439" i="1"/>
  <c r="Q439" i="1"/>
  <c r="P439" i="1"/>
  <c r="O439" i="1"/>
  <c r="N439" i="1"/>
  <c r="R440" i="1" s="1"/>
  <c r="S440" i="1" l="1"/>
  <c r="U439" i="1"/>
  <c r="S439" i="1"/>
  <c r="O438" i="1"/>
  <c r="P438" i="1"/>
  <c r="U438" i="1" s="1"/>
  <c r="Q438" i="1"/>
  <c r="V438" i="1"/>
  <c r="W438" i="1"/>
  <c r="X438" i="1"/>
  <c r="N438" i="1"/>
  <c r="R439" i="1" l="1"/>
  <c r="O437" i="1"/>
  <c r="P437" i="1"/>
  <c r="Q437" i="1"/>
  <c r="V437" i="1"/>
  <c r="W437" i="1"/>
  <c r="X437" i="1"/>
  <c r="N437" i="1"/>
  <c r="S438" i="1" s="1"/>
  <c r="U437" i="1" l="1"/>
  <c r="R438" i="1"/>
  <c r="O436" i="1" l="1"/>
  <c r="P436" i="1"/>
  <c r="Q436" i="1"/>
  <c r="V436" i="1"/>
  <c r="W436" i="1"/>
  <c r="X436" i="1"/>
  <c r="N436" i="1"/>
  <c r="U436" i="1" l="1"/>
  <c r="R437" i="1"/>
  <c r="S437" i="1"/>
  <c r="O435" i="1"/>
  <c r="P435" i="1"/>
  <c r="Q435" i="1"/>
  <c r="V435" i="1"/>
  <c r="W435" i="1"/>
  <c r="X435" i="1"/>
  <c r="N435" i="1"/>
  <c r="S436" i="1" s="1"/>
  <c r="U435" i="1" l="1"/>
  <c r="R436" i="1"/>
  <c r="R435" i="1"/>
  <c r="O434" i="1"/>
  <c r="P434" i="1"/>
  <c r="U434" i="1" s="1"/>
  <c r="Q434" i="1"/>
  <c r="V434" i="1"/>
  <c r="W434" i="1"/>
  <c r="X434" i="1"/>
  <c r="N434" i="1"/>
  <c r="S435" i="1" l="1"/>
  <c r="S434" i="1"/>
  <c r="O433" i="1"/>
  <c r="P433" i="1"/>
  <c r="U433" i="1" s="1"/>
  <c r="Q433" i="1"/>
  <c r="V433" i="1"/>
  <c r="W433" i="1"/>
  <c r="X433" i="1"/>
  <c r="N433" i="1"/>
  <c r="R434" i="1" s="1"/>
  <c r="O432" i="1" l="1"/>
  <c r="P432" i="1"/>
  <c r="Q432" i="1"/>
  <c r="U432" i="1"/>
  <c r="V432" i="1"/>
  <c r="W432" i="1"/>
  <c r="X432" i="1"/>
  <c r="N432" i="1"/>
  <c r="S433" i="1" s="1"/>
  <c r="O431" i="1"/>
  <c r="P431" i="1"/>
  <c r="U431" i="1" s="1"/>
  <c r="Q431" i="1"/>
  <c r="V431" i="1"/>
  <c r="W431" i="1"/>
  <c r="X431" i="1"/>
  <c r="N431" i="1"/>
  <c r="R431" i="1" s="1"/>
  <c r="O430" i="1"/>
  <c r="P430" i="1"/>
  <c r="Q430" i="1"/>
  <c r="V430" i="1"/>
  <c r="W430" i="1"/>
  <c r="X430" i="1"/>
  <c r="N430" i="1"/>
  <c r="S432" i="1" l="1"/>
  <c r="S431" i="1"/>
  <c r="R432" i="1"/>
  <c r="R433" i="1"/>
  <c r="U430" i="1"/>
  <c r="O429" i="1"/>
  <c r="P429" i="1"/>
  <c r="Q429" i="1"/>
  <c r="V429" i="1"/>
  <c r="W429" i="1"/>
  <c r="X429" i="1"/>
  <c r="N429" i="1"/>
  <c r="R430" i="1" l="1"/>
  <c r="S430" i="1"/>
  <c r="U429" i="1"/>
  <c r="O428" i="1"/>
  <c r="P428" i="1"/>
  <c r="Q428" i="1"/>
  <c r="V428" i="1"/>
  <c r="W428" i="1"/>
  <c r="X428" i="1"/>
  <c r="N428" i="1"/>
  <c r="R429" i="1" l="1"/>
  <c r="S429" i="1"/>
  <c r="U428" i="1"/>
  <c r="O427" i="1"/>
  <c r="P427" i="1"/>
  <c r="Q427" i="1"/>
  <c r="V427" i="1"/>
  <c r="W427" i="1"/>
  <c r="X427" i="1"/>
  <c r="N427" i="1"/>
  <c r="S428" i="1" l="1"/>
  <c r="R428" i="1"/>
  <c r="S427" i="1"/>
  <c r="U427" i="1"/>
  <c r="O426" i="1"/>
  <c r="P426" i="1"/>
  <c r="Q426" i="1"/>
  <c r="V426" i="1"/>
  <c r="W426" i="1"/>
  <c r="X426" i="1"/>
  <c r="N426" i="1"/>
  <c r="R427" i="1" l="1"/>
  <c r="U426" i="1"/>
  <c r="O425" i="1"/>
  <c r="P425" i="1"/>
  <c r="Q425" i="1"/>
  <c r="V425" i="1"/>
  <c r="W425" i="1"/>
  <c r="X425" i="1"/>
  <c r="N425" i="1"/>
  <c r="S426" i="1" s="1"/>
  <c r="R426" i="1" l="1"/>
  <c r="U425" i="1"/>
  <c r="S425" i="1"/>
  <c r="O424" i="1"/>
  <c r="P424" i="1"/>
  <c r="U424" i="1" s="1"/>
  <c r="Q424" i="1"/>
  <c r="V424" i="1"/>
  <c r="W424" i="1"/>
  <c r="X424" i="1"/>
  <c r="N424" i="1"/>
  <c r="R425" i="1" s="1"/>
  <c r="O423" i="1" l="1"/>
  <c r="P423" i="1"/>
  <c r="Q423" i="1"/>
  <c r="V423" i="1"/>
  <c r="W423" i="1"/>
  <c r="X423" i="1"/>
  <c r="N423" i="1"/>
  <c r="S424" i="1" s="1"/>
  <c r="R424" i="1" l="1"/>
  <c r="S423" i="1"/>
  <c r="U423" i="1"/>
  <c r="O422" i="1"/>
  <c r="P422" i="1"/>
  <c r="U422" i="1" s="1"/>
  <c r="Q422" i="1"/>
  <c r="V422" i="1"/>
  <c r="W422" i="1"/>
  <c r="X422" i="1"/>
  <c r="N422" i="1"/>
  <c r="R423" i="1" s="1"/>
  <c r="O421" i="1" l="1"/>
  <c r="P421" i="1"/>
  <c r="Q421" i="1"/>
  <c r="V421" i="1"/>
  <c r="W421" i="1"/>
  <c r="X421" i="1"/>
  <c r="N421" i="1"/>
  <c r="S422" i="1" s="1"/>
  <c r="U421" i="1" l="1"/>
  <c r="R422" i="1"/>
  <c r="O420" i="1"/>
  <c r="P420" i="1"/>
  <c r="Q420" i="1"/>
  <c r="V420" i="1"/>
  <c r="W420" i="1"/>
  <c r="X420" i="1"/>
  <c r="N420" i="1"/>
  <c r="U420" i="1" l="1"/>
  <c r="R421" i="1"/>
  <c r="S421" i="1"/>
  <c r="S420" i="1"/>
  <c r="O419" i="1"/>
  <c r="P419" i="1"/>
  <c r="U419" i="1" s="1"/>
  <c r="Q419" i="1"/>
  <c r="V419" i="1"/>
  <c r="W419" i="1"/>
  <c r="X419" i="1"/>
  <c r="N419" i="1"/>
  <c r="R420" i="1" s="1"/>
  <c r="O418" i="1" l="1"/>
  <c r="P418" i="1"/>
  <c r="Q418" i="1"/>
  <c r="U418" i="1"/>
  <c r="V418" i="1"/>
  <c r="W418" i="1"/>
  <c r="X418" i="1"/>
  <c r="N418" i="1"/>
  <c r="S419" i="1" s="1"/>
  <c r="R419" i="1" l="1"/>
  <c r="O417" i="1"/>
  <c r="P417" i="1"/>
  <c r="Q417" i="1"/>
  <c r="V417" i="1"/>
  <c r="W417" i="1"/>
  <c r="X417" i="1"/>
  <c r="N417" i="1"/>
  <c r="S418" i="1" s="1"/>
  <c r="R418" i="1" l="1"/>
  <c r="U417" i="1"/>
  <c r="O416" i="1"/>
  <c r="P416" i="1"/>
  <c r="U416" i="1" s="1"/>
  <c r="Q416" i="1"/>
  <c r="V416" i="1"/>
  <c r="W416" i="1"/>
  <c r="X416" i="1"/>
  <c r="O415" i="1"/>
  <c r="P415" i="1"/>
  <c r="Q415" i="1"/>
  <c r="V415" i="1"/>
  <c r="W415" i="1"/>
  <c r="X415" i="1"/>
  <c r="N416" i="1"/>
  <c r="S417" i="1" l="1"/>
  <c r="R417" i="1"/>
  <c r="N415" i="1"/>
  <c r="S416" i="1" s="1"/>
  <c r="U415" i="1" l="1"/>
  <c r="S415" i="1"/>
  <c r="R416" i="1"/>
  <c r="O414" i="1"/>
  <c r="P414" i="1"/>
  <c r="U414" i="1" s="1"/>
  <c r="Q414" i="1"/>
  <c r="V414" i="1"/>
  <c r="W414" i="1"/>
  <c r="X414" i="1"/>
  <c r="N414" i="1"/>
  <c r="R415" i="1" s="1"/>
  <c r="O413" i="1" l="1"/>
  <c r="P413" i="1"/>
  <c r="Q413" i="1"/>
  <c r="V413" i="1"/>
  <c r="W413" i="1"/>
  <c r="X413" i="1"/>
  <c r="N413" i="1"/>
  <c r="R414" i="1" s="1"/>
  <c r="S414" i="1" l="1"/>
  <c r="U413" i="1"/>
  <c r="O412" i="1"/>
  <c r="P412" i="1"/>
  <c r="U412" i="1" s="1"/>
  <c r="Q412" i="1"/>
  <c r="V412" i="1"/>
  <c r="W412" i="1"/>
  <c r="X412" i="1"/>
  <c r="N412" i="1"/>
  <c r="S413" i="1" s="1"/>
  <c r="R413" i="1" l="1"/>
  <c r="O411" i="1"/>
  <c r="P411" i="1"/>
  <c r="Q411" i="1"/>
  <c r="V411" i="1"/>
  <c r="W411" i="1"/>
  <c r="X411" i="1"/>
  <c r="N411" i="1"/>
  <c r="R412" i="1" s="1"/>
  <c r="U411" i="1" l="1"/>
  <c r="S412" i="1"/>
  <c r="O410" i="1"/>
  <c r="P410" i="1"/>
  <c r="Q410" i="1"/>
  <c r="V410" i="1"/>
  <c r="W410" i="1"/>
  <c r="X410" i="1"/>
  <c r="N410" i="1"/>
  <c r="R411" i="1" s="1"/>
  <c r="S411" i="1" l="1"/>
  <c r="U410" i="1"/>
  <c r="S410" i="1"/>
  <c r="R410" i="1"/>
  <c r="O409" i="1"/>
  <c r="P409" i="1"/>
  <c r="U409" i="1" s="1"/>
  <c r="Q409" i="1"/>
  <c r="V409" i="1"/>
  <c r="W409" i="1"/>
  <c r="X409" i="1"/>
  <c r="N409" i="1"/>
  <c r="O408" i="1" l="1"/>
  <c r="P408" i="1"/>
  <c r="Q408" i="1"/>
  <c r="V408" i="1"/>
  <c r="W408" i="1"/>
  <c r="X408" i="1"/>
  <c r="N408" i="1"/>
  <c r="R409" i="1" s="1"/>
  <c r="S409" i="1" l="1"/>
  <c r="U408" i="1"/>
  <c r="X407" i="1"/>
  <c r="W407" i="1"/>
  <c r="V407" i="1"/>
  <c r="Q407" i="1"/>
  <c r="P407" i="1"/>
  <c r="O407" i="1"/>
  <c r="N407" i="1"/>
  <c r="R408" i="1" l="1"/>
  <c r="S408" i="1"/>
  <c r="U407" i="1"/>
  <c r="S407" i="1"/>
  <c r="R407" i="1"/>
  <c r="O406" i="1"/>
  <c r="P406" i="1"/>
  <c r="Q406" i="1"/>
  <c r="V406" i="1"/>
  <c r="W406" i="1"/>
  <c r="X406" i="1"/>
  <c r="N406" i="1"/>
  <c r="U406" i="1" l="1"/>
  <c r="O405" i="1"/>
  <c r="P405" i="1"/>
  <c r="Q405" i="1"/>
  <c r="V405" i="1"/>
  <c r="W405" i="1"/>
  <c r="X405" i="1"/>
  <c r="N405" i="1"/>
  <c r="S406" i="1" s="1"/>
  <c r="U405" i="1" l="1"/>
  <c r="R406" i="1"/>
  <c r="O404" i="1"/>
  <c r="P404" i="1"/>
  <c r="Q404" i="1"/>
  <c r="V404" i="1"/>
  <c r="W404" i="1"/>
  <c r="X404" i="1"/>
  <c r="N404" i="1"/>
  <c r="S405" i="1" s="1"/>
  <c r="U404" i="1" l="1"/>
  <c r="R405" i="1"/>
  <c r="O403" i="1" l="1"/>
  <c r="P403" i="1"/>
  <c r="Q403" i="1"/>
  <c r="V403" i="1"/>
  <c r="W403" i="1"/>
  <c r="X403" i="1"/>
  <c r="N403" i="1"/>
  <c r="U403" i="1" l="1"/>
  <c r="S404" i="1"/>
  <c r="R404" i="1"/>
  <c r="R403" i="1"/>
  <c r="S403" i="1"/>
  <c r="O402" i="1"/>
  <c r="P402" i="1"/>
  <c r="Q402" i="1"/>
  <c r="V402" i="1"/>
  <c r="W402" i="1"/>
  <c r="X402" i="1"/>
  <c r="N402" i="1"/>
  <c r="S402" i="1" l="1"/>
  <c r="U402" i="1"/>
  <c r="O401" i="1"/>
  <c r="P401" i="1"/>
  <c r="U401" i="1" s="1"/>
  <c r="Q401" i="1"/>
  <c r="V401" i="1"/>
  <c r="W401" i="1"/>
  <c r="X401" i="1"/>
  <c r="N401" i="1"/>
  <c r="R402" i="1" l="1"/>
  <c r="O400" i="1"/>
  <c r="P400" i="1"/>
  <c r="Q400" i="1"/>
  <c r="V400" i="1"/>
  <c r="W400" i="1"/>
  <c r="X400" i="1"/>
  <c r="N400" i="1"/>
  <c r="R401" i="1" s="1"/>
  <c r="U400" i="1" l="1"/>
  <c r="S401" i="1"/>
  <c r="X399" i="1"/>
  <c r="W399" i="1"/>
  <c r="V399" i="1"/>
  <c r="O399" i="1"/>
  <c r="Q399" i="1"/>
  <c r="P399" i="1"/>
  <c r="U399" i="1" s="1"/>
  <c r="N399" i="1"/>
  <c r="R400" i="1" s="1"/>
  <c r="S400" i="1" l="1"/>
  <c r="O398" i="1" l="1"/>
  <c r="P398" i="1"/>
  <c r="Q398" i="1"/>
  <c r="V398" i="1"/>
  <c r="W398" i="1"/>
  <c r="X398" i="1"/>
  <c r="N398" i="1"/>
  <c r="U398" i="1" l="1"/>
  <c r="S399" i="1"/>
  <c r="R399" i="1"/>
  <c r="O397" i="1"/>
  <c r="P397" i="1"/>
  <c r="Q397" i="1"/>
  <c r="V397" i="1"/>
  <c r="W397" i="1"/>
  <c r="X397" i="1"/>
  <c r="N397" i="1"/>
  <c r="T449" i="1" l="1"/>
  <c r="S398" i="1"/>
  <c r="U397" i="1"/>
  <c r="S397" i="1"/>
  <c r="R398" i="1"/>
  <c r="O396" i="1"/>
  <c r="P396" i="1"/>
  <c r="Q396" i="1"/>
  <c r="V396" i="1"/>
  <c r="W396" i="1"/>
  <c r="X396" i="1"/>
  <c r="N396" i="1"/>
  <c r="T448" i="1" s="1"/>
  <c r="U396" i="1" l="1"/>
  <c r="R397" i="1"/>
  <c r="O395" i="1"/>
  <c r="P395" i="1"/>
  <c r="U395" i="1" s="1"/>
  <c r="Q395" i="1"/>
  <c r="V395" i="1"/>
  <c r="W395" i="1"/>
  <c r="X395" i="1"/>
  <c r="N395" i="1"/>
  <c r="T447" i="1" s="1"/>
  <c r="R396" i="1" l="1"/>
  <c r="S396" i="1"/>
  <c r="O394" i="1"/>
  <c r="P394" i="1"/>
  <c r="Q394" i="1"/>
  <c r="V394" i="1"/>
  <c r="W394" i="1"/>
  <c r="X394" i="1"/>
  <c r="N394" i="1"/>
  <c r="T446" i="1" s="1"/>
  <c r="R395" i="1" l="1"/>
  <c r="U394" i="1"/>
  <c r="S394" i="1"/>
  <c r="S395" i="1"/>
  <c r="O393" i="1"/>
  <c r="P393" i="1"/>
  <c r="Q393" i="1"/>
  <c r="V393" i="1"/>
  <c r="W393" i="1"/>
  <c r="X393" i="1"/>
  <c r="N393" i="1"/>
  <c r="T445" i="1" s="1"/>
  <c r="R394" i="1" l="1"/>
  <c r="U393" i="1"/>
  <c r="O392" i="1"/>
  <c r="P392" i="1"/>
  <c r="U392" i="1" s="1"/>
  <c r="Q392" i="1"/>
  <c r="V392" i="1"/>
  <c r="W392" i="1"/>
  <c r="X392" i="1"/>
  <c r="N392" i="1"/>
  <c r="T444" i="1" s="1"/>
  <c r="R393" i="1" l="1"/>
  <c r="R392" i="1"/>
  <c r="S393" i="1"/>
  <c r="O391" i="1"/>
  <c r="P391" i="1"/>
  <c r="U391" i="1" s="1"/>
  <c r="Q391" i="1"/>
  <c r="V391" i="1"/>
  <c r="W391" i="1"/>
  <c r="X391" i="1"/>
  <c r="N391" i="1"/>
  <c r="T443" i="1" s="1"/>
  <c r="S392" i="1" l="1"/>
  <c r="O390" i="1"/>
  <c r="P390" i="1"/>
  <c r="Q390" i="1"/>
  <c r="V390" i="1"/>
  <c r="W390" i="1"/>
  <c r="X390" i="1"/>
  <c r="N390" i="1"/>
  <c r="T442" i="1" s="1"/>
  <c r="S391" i="1" l="1"/>
  <c r="R391" i="1"/>
  <c r="U390" i="1"/>
  <c r="S390" i="1"/>
  <c r="O389" i="1"/>
  <c r="P389" i="1"/>
  <c r="Q389" i="1"/>
  <c r="U389" i="1"/>
  <c r="V389" i="1"/>
  <c r="W389" i="1"/>
  <c r="X389" i="1"/>
  <c r="N389" i="1"/>
  <c r="T441" i="1" s="1"/>
  <c r="R390" i="1" l="1"/>
  <c r="O388" i="1"/>
  <c r="P388" i="1"/>
  <c r="U388" i="1" s="1"/>
  <c r="Q388" i="1"/>
  <c r="V388" i="1"/>
  <c r="W388" i="1"/>
  <c r="X388" i="1"/>
  <c r="N388" i="1"/>
  <c r="T440" i="1" s="1"/>
  <c r="S389" i="1" l="1"/>
  <c r="R388" i="1"/>
  <c r="R389" i="1"/>
  <c r="O387" i="1"/>
  <c r="P387" i="1"/>
  <c r="U387" i="1" s="1"/>
  <c r="Q387" i="1"/>
  <c r="V387" i="1"/>
  <c r="W387" i="1"/>
  <c r="X387" i="1"/>
  <c r="N387" i="1"/>
  <c r="T439" i="1" s="1"/>
  <c r="S388" i="1" l="1"/>
  <c r="O386" i="1"/>
  <c r="P386" i="1"/>
  <c r="U386" i="1" s="1"/>
  <c r="Q386" i="1"/>
  <c r="V386" i="1"/>
  <c r="W386" i="1"/>
  <c r="X386" i="1"/>
  <c r="N386" i="1"/>
  <c r="T438" i="1" s="1"/>
  <c r="S387" i="1" l="1"/>
  <c r="R387" i="1"/>
  <c r="O385" i="1"/>
  <c r="P385" i="1"/>
  <c r="Q385" i="1"/>
  <c r="V385" i="1"/>
  <c r="W385" i="1"/>
  <c r="X385" i="1"/>
  <c r="N385" i="1"/>
  <c r="T437" i="1" l="1"/>
  <c r="R386" i="1"/>
  <c r="U385" i="1"/>
  <c r="S386" i="1"/>
  <c r="S385" i="1"/>
  <c r="O384" i="1"/>
  <c r="P384" i="1"/>
  <c r="Q384" i="1"/>
  <c r="V384" i="1"/>
  <c r="W384" i="1"/>
  <c r="X384" i="1"/>
  <c r="N384" i="1"/>
  <c r="T436" i="1" s="1"/>
  <c r="R385" i="1" l="1"/>
  <c r="U384" i="1"/>
  <c r="O383" i="1"/>
  <c r="P383" i="1"/>
  <c r="Q383" i="1"/>
  <c r="V383" i="1"/>
  <c r="W383" i="1"/>
  <c r="X383" i="1"/>
  <c r="N383" i="1"/>
  <c r="T435" i="1" s="1"/>
  <c r="U383" i="1" l="1"/>
  <c r="R384" i="1"/>
  <c r="S383" i="1"/>
  <c r="R383" i="1"/>
  <c r="S384" i="1"/>
  <c r="O382" i="1"/>
  <c r="P382" i="1"/>
  <c r="U382" i="1" s="1"/>
  <c r="Q382" i="1"/>
  <c r="V382" i="1"/>
  <c r="W382" i="1"/>
  <c r="X382" i="1"/>
  <c r="N382" i="1"/>
  <c r="T434" i="1" s="1"/>
  <c r="O381" i="1" l="1"/>
  <c r="P381" i="1"/>
  <c r="Q381" i="1"/>
  <c r="V381" i="1"/>
  <c r="W381" i="1"/>
  <c r="X381" i="1"/>
  <c r="N381" i="1"/>
  <c r="T433" i="1" s="1"/>
  <c r="R382" i="1" l="1"/>
  <c r="R381" i="1"/>
  <c r="U381" i="1"/>
  <c r="S382" i="1"/>
  <c r="O380" i="1"/>
  <c r="P380" i="1"/>
  <c r="Q380" i="1"/>
  <c r="V380" i="1"/>
  <c r="W380" i="1"/>
  <c r="X380" i="1"/>
  <c r="N380" i="1"/>
  <c r="T432" i="1" s="1"/>
  <c r="S381" i="1" l="1"/>
  <c r="U380" i="1"/>
  <c r="O379" i="1"/>
  <c r="P379" i="1"/>
  <c r="Q379" i="1"/>
  <c r="V379" i="1"/>
  <c r="W379" i="1"/>
  <c r="X379" i="1"/>
  <c r="N379" i="1"/>
  <c r="T431" i="1" l="1"/>
  <c r="S380" i="1"/>
  <c r="U379" i="1"/>
  <c r="R380" i="1"/>
  <c r="O378" i="1"/>
  <c r="P378" i="1"/>
  <c r="Q378" i="1"/>
  <c r="V378" i="1"/>
  <c r="W378" i="1"/>
  <c r="X378" i="1"/>
  <c r="N378" i="1"/>
  <c r="T430" i="1" s="1"/>
  <c r="R379" i="1" l="1"/>
  <c r="U378" i="1"/>
  <c r="S379" i="1"/>
  <c r="X377" i="1"/>
  <c r="W377" i="1"/>
  <c r="V377" i="1"/>
  <c r="Q377" i="1"/>
  <c r="P377" i="1"/>
  <c r="O377" i="1"/>
  <c r="N377" i="1"/>
  <c r="T429" i="1" s="1"/>
  <c r="R378" i="1" l="1"/>
  <c r="S378" i="1"/>
  <c r="U377" i="1"/>
  <c r="S377" i="1"/>
  <c r="R377" i="1"/>
  <c r="O376" i="1"/>
  <c r="P376" i="1"/>
  <c r="Q376" i="1"/>
  <c r="V376" i="1"/>
  <c r="W376" i="1"/>
  <c r="X376" i="1"/>
  <c r="N376" i="1"/>
  <c r="T428" i="1" s="1"/>
  <c r="U376" i="1" l="1"/>
  <c r="N375" i="1"/>
  <c r="O375" i="1"/>
  <c r="P375" i="1"/>
  <c r="Q375" i="1"/>
  <c r="V375" i="1"/>
  <c r="W375" i="1"/>
  <c r="X375" i="1"/>
  <c r="T427" i="1" l="1"/>
  <c r="S376" i="1"/>
  <c r="R376" i="1"/>
  <c r="U375" i="1"/>
  <c r="S375" i="1"/>
  <c r="O374" i="1"/>
  <c r="P374" i="1"/>
  <c r="Q374" i="1"/>
  <c r="U374" i="1"/>
  <c r="V374" i="1"/>
  <c r="W374" i="1"/>
  <c r="X374" i="1"/>
  <c r="N374" i="1"/>
  <c r="T426" i="1" s="1"/>
  <c r="R375" i="1" l="1"/>
  <c r="O373" i="1"/>
  <c r="P373" i="1"/>
  <c r="Q373" i="1"/>
  <c r="V373" i="1"/>
  <c r="W373" i="1"/>
  <c r="X373" i="1"/>
  <c r="N373" i="1"/>
  <c r="T425" i="1" l="1"/>
  <c r="S374" i="1"/>
  <c r="U373" i="1"/>
  <c r="R374" i="1"/>
  <c r="O372" i="1"/>
  <c r="P372" i="1"/>
  <c r="Q372" i="1"/>
  <c r="V372" i="1"/>
  <c r="W372" i="1"/>
  <c r="X372" i="1"/>
  <c r="N372" i="1"/>
  <c r="R373" i="1" s="1"/>
  <c r="T424" i="1" l="1"/>
  <c r="S373" i="1"/>
  <c r="S372" i="1"/>
  <c r="R372" i="1"/>
  <c r="U372" i="1"/>
  <c r="O371" i="1"/>
  <c r="P371" i="1"/>
  <c r="Q371" i="1"/>
  <c r="V371" i="1"/>
  <c r="W371" i="1"/>
  <c r="X371" i="1"/>
  <c r="N371" i="1"/>
  <c r="T423" i="1" s="1"/>
  <c r="U371" i="1" l="1"/>
  <c r="O370" i="1"/>
  <c r="P370" i="1"/>
  <c r="U370" i="1" s="1"/>
  <c r="Q370" i="1"/>
  <c r="V370" i="1"/>
  <c r="W370" i="1"/>
  <c r="X370" i="1"/>
  <c r="N370" i="1"/>
  <c r="T422" i="1" s="1"/>
  <c r="R371" i="1" l="1"/>
  <c r="S371" i="1"/>
  <c r="O369" i="1"/>
  <c r="P369" i="1"/>
  <c r="Q369" i="1"/>
  <c r="V369" i="1"/>
  <c r="W369" i="1"/>
  <c r="X369" i="1"/>
  <c r="N369" i="1"/>
  <c r="T421" i="1" l="1"/>
  <c r="R370" i="1"/>
  <c r="S370" i="1"/>
  <c r="S369" i="1"/>
  <c r="U369" i="1"/>
  <c r="O368" i="1"/>
  <c r="P368" i="1"/>
  <c r="Q368" i="1"/>
  <c r="V368" i="1"/>
  <c r="W368" i="1"/>
  <c r="X368" i="1"/>
  <c r="N368" i="1"/>
  <c r="T420" i="1" s="1"/>
  <c r="U368" i="1" l="1"/>
  <c r="R369" i="1"/>
  <c r="O367" i="1"/>
  <c r="P367" i="1"/>
  <c r="Q367" i="1"/>
  <c r="V367" i="1"/>
  <c r="W367" i="1"/>
  <c r="X367" i="1"/>
  <c r="N367" i="1" l="1"/>
  <c r="T419" i="1" l="1"/>
  <c r="S368" i="1"/>
  <c r="R368" i="1"/>
  <c r="U367" i="1"/>
  <c r="O366" i="1"/>
  <c r="P366" i="1"/>
  <c r="Q366" i="1"/>
  <c r="U366" i="1"/>
  <c r="V366" i="1"/>
  <c r="W366" i="1"/>
  <c r="X366" i="1"/>
  <c r="N366" i="1"/>
  <c r="T418" i="1" s="1"/>
  <c r="R367" i="1" l="1"/>
  <c r="S367" i="1"/>
  <c r="O365" i="1"/>
  <c r="P365" i="1"/>
  <c r="Q365" i="1"/>
  <c r="V365" i="1"/>
  <c r="W365" i="1"/>
  <c r="X365" i="1"/>
  <c r="N365" i="1"/>
  <c r="T417" i="1" s="1"/>
  <c r="R366" i="1" l="1"/>
  <c r="U365" i="1"/>
  <c r="S365" i="1"/>
  <c r="S366" i="1"/>
  <c r="O364" i="1"/>
  <c r="P364" i="1"/>
  <c r="U364" i="1" s="1"/>
  <c r="Q364" i="1"/>
  <c r="V364" i="1"/>
  <c r="W364" i="1"/>
  <c r="X364" i="1"/>
  <c r="N364" i="1"/>
  <c r="T416" i="1" s="1"/>
  <c r="R365" i="1" l="1"/>
  <c r="O363" i="1"/>
  <c r="P363" i="1"/>
  <c r="Q363" i="1"/>
  <c r="V363" i="1"/>
  <c r="W363" i="1"/>
  <c r="X363" i="1"/>
  <c r="N363" i="1"/>
  <c r="T415" i="1" l="1"/>
  <c r="S364" i="1"/>
  <c r="U363" i="1"/>
  <c r="R364" i="1"/>
  <c r="O357" i="1"/>
  <c r="P357" i="1"/>
  <c r="Q357" i="1"/>
  <c r="V357" i="1"/>
  <c r="W357" i="1"/>
  <c r="X357" i="1"/>
  <c r="O358" i="1"/>
  <c r="P358" i="1"/>
  <c r="Q358" i="1"/>
  <c r="V358" i="1"/>
  <c r="W358" i="1"/>
  <c r="X358" i="1"/>
  <c r="O359" i="1"/>
  <c r="P359" i="1"/>
  <c r="Q359" i="1"/>
  <c r="V359" i="1"/>
  <c r="W359" i="1"/>
  <c r="X359" i="1"/>
  <c r="O360" i="1"/>
  <c r="P360" i="1"/>
  <c r="Q360" i="1"/>
  <c r="V360" i="1"/>
  <c r="W360" i="1"/>
  <c r="X360" i="1"/>
  <c r="O361" i="1"/>
  <c r="P361" i="1"/>
  <c r="Q361" i="1"/>
  <c r="V361" i="1"/>
  <c r="W361" i="1"/>
  <c r="X361" i="1"/>
  <c r="O362" i="1"/>
  <c r="P362" i="1"/>
  <c r="Q362" i="1"/>
  <c r="V362" i="1"/>
  <c r="W362" i="1"/>
  <c r="X362" i="1"/>
  <c r="N362" i="1"/>
  <c r="R363" i="1" s="1"/>
  <c r="N358" i="1"/>
  <c r="T410" i="1" s="1"/>
  <c r="N359" i="1"/>
  <c r="T411" i="1" s="1"/>
  <c r="N360" i="1"/>
  <c r="N361" i="1"/>
  <c r="T413" i="1" s="1"/>
  <c r="R360" i="1" l="1"/>
  <c r="T412" i="1"/>
  <c r="R362" i="1"/>
  <c r="T414" i="1"/>
  <c r="S363" i="1"/>
  <c r="S361" i="1"/>
  <c r="S359" i="1"/>
  <c r="U362" i="1"/>
  <c r="R361" i="1"/>
  <c r="U360" i="1"/>
  <c r="S360" i="1"/>
  <c r="R359" i="1"/>
  <c r="U358" i="1"/>
  <c r="S362" i="1"/>
  <c r="U361" i="1"/>
  <c r="U359" i="1"/>
  <c r="N357" i="1"/>
  <c r="U357" i="1" l="1"/>
  <c r="T409" i="1"/>
  <c r="S358" i="1"/>
  <c r="R358" i="1"/>
  <c r="O356" i="1" l="1"/>
  <c r="P356" i="1"/>
  <c r="Q356" i="1"/>
  <c r="U356" i="1"/>
  <c r="V356" i="1"/>
  <c r="W356" i="1"/>
  <c r="X356" i="1"/>
  <c r="N356" i="1"/>
  <c r="T408" i="1" l="1"/>
  <c r="R357" i="1"/>
  <c r="S357" i="1"/>
  <c r="O355" i="1"/>
  <c r="P355" i="1"/>
  <c r="Q355" i="1"/>
  <c r="V355" i="1"/>
  <c r="W355" i="1"/>
  <c r="X355" i="1"/>
  <c r="N355" i="1"/>
  <c r="T407" i="1" s="1"/>
  <c r="S356" i="1" l="1"/>
  <c r="R356" i="1"/>
  <c r="R355" i="1"/>
  <c r="U355" i="1"/>
  <c r="O354" i="1"/>
  <c r="P354" i="1"/>
  <c r="Q354" i="1"/>
  <c r="U354" i="1"/>
  <c r="V354" i="1"/>
  <c r="W354" i="1"/>
  <c r="X354" i="1"/>
  <c r="N354" i="1"/>
  <c r="T406" i="1" s="1"/>
  <c r="S355" i="1" l="1"/>
  <c r="P353" i="1"/>
  <c r="Q353" i="1"/>
  <c r="V353" i="1"/>
  <c r="W353" i="1"/>
  <c r="X353" i="1"/>
  <c r="O353" i="1"/>
  <c r="N353" i="1"/>
  <c r="T405" i="1" l="1"/>
  <c r="S354" i="1"/>
  <c r="U353" i="1"/>
  <c r="R353" i="1"/>
  <c r="S353" i="1"/>
  <c r="R354" i="1"/>
  <c r="X352" i="1"/>
  <c r="W352" i="1"/>
  <c r="V352" i="1"/>
  <c r="Q352" i="1"/>
  <c r="O352" i="1"/>
  <c r="P352" i="1"/>
  <c r="N352" i="1"/>
  <c r="T404" i="1" l="1"/>
  <c r="U352" i="1"/>
  <c r="X351" i="1"/>
  <c r="W351" i="1"/>
  <c r="V351" i="1"/>
  <c r="Q351" i="1"/>
  <c r="O351" i="1"/>
  <c r="P351" i="1"/>
  <c r="N351" i="1"/>
  <c r="R352" i="1" s="1"/>
  <c r="U351" i="1" l="1"/>
  <c r="S352" i="1"/>
  <c r="T403" i="1"/>
  <c r="X350" i="1"/>
  <c r="W350" i="1"/>
  <c r="V350" i="1"/>
  <c r="Q350" i="1"/>
  <c r="P350" i="1"/>
  <c r="O350" i="1"/>
  <c r="N350" i="1"/>
  <c r="T402" i="1" s="1"/>
  <c r="R351" i="1" l="1"/>
  <c r="S351" i="1"/>
  <c r="S350" i="1"/>
  <c r="U350" i="1"/>
  <c r="O349" i="1"/>
  <c r="P349" i="1"/>
  <c r="Q349" i="1"/>
  <c r="U349" i="1"/>
  <c r="V349" i="1"/>
  <c r="W349" i="1"/>
  <c r="X349" i="1"/>
  <c r="N349" i="1"/>
  <c r="T401" i="1" s="1"/>
  <c r="R350" i="1" l="1"/>
  <c r="O348" i="1"/>
  <c r="P348" i="1"/>
  <c r="Q348" i="1"/>
  <c r="V348" i="1"/>
  <c r="W348" i="1"/>
  <c r="X348" i="1"/>
  <c r="N348" i="1"/>
  <c r="T400" i="1" s="1"/>
  <c r="R349" i="1" l="1"/>
  <c r="U348" i="1"/>
  <c r="S349" i="1"/>
  <c r="O347" i="1"/>
  <c r="P347" i="1"/>
  <c r="U347" i="1" s="1"/>
  <c r="Q347" i="1"/>
  <c r="V347" i="1"/>
  <c r="W347" i="1"/>
  <c r="X347" i="1"/>
  <c r="N347" i="1"/>
  <c r="T399" i="1" s="1"/>
  <c r="R348" i="1" l="1"/>
  <c r="S347" i="1"/>
  <c r="S348" i="1"/>
  <c r="O346" i="1"/>
  <c r="P346" i="1"/>
  <c r="U346" i="1" s="1"/>
  <c r="Q346" i="1"/>
  <c r="V346" i="1"/>
  <c r="W346" i="1"/>
  <c r="X346" i="1"/>
  <c r="N346" i="1"/>
  <c r="T398" i="1" s="1"/>
  <c r="R347" i="1" l="1"/>
  <c r="O345" i="1"/>
  <c r="P345" i="1"/>
  <c r="Q345" i="1"/>
  <c r="V345" i="1"/>
  <c r="W345" i="1"/>
  <c r="X345" i="1"/>
  <c r="N345" i="1"/>
  <c r="T397" i="1" s="1"/>
  <c r="S346" i="1" l="1"/>
  <c r="U345" i="1"/>
  <c r="R346" i="1"/>
  <c r="O344" i="1"/>
  <c r="P344" i="1"/>
  <c r="U344" i="1" s="1"/>
  <c r="Q344" i="1"/>
  <c r="V344" i="1"/>
  <c r="W344" i="1"/>
  <c r="X344" i="1"/>
  <c r="N344" i="1"/>
  <c r="T396" i="1" s="1"/>
  <c r="S345" i="1" l="1"/>
  <c r="R345" i="1"/>
  <c r="O343" i="1"/>
  <c r="P343" i="1"/>
  <c r="Q343" i="1"/>
  <c r="V343" i="1"/>
  <c r="W343" i="1"/>
  <c r="X343" i="1"/>
  <c r="N343" i="1"/>
  <c r="T395" i="1" s="1"/>
  <c r="U343" i="1" l="1"/>
  <c r="S344" i="1"/>
  <c r="S343" i="1"/>
  <c r="R344" i="1"/>
  <c r="O342" i="1"/>
  <c r="P342" i="1"/>
  <c r="U342" i="1" s="1"/>
  <c r="Q342" i="1"/>
  <c r="V342" i="1"/>
  <c r="W342" i="1"/>
  <c r="X342" i="1"/>
  <c r="N342" i="1"/>
  <c r="T394" i="1" s="1"/>
  <c r="R343" i="1" l="1"/>
  <c r="O341" i="1"/>
  <c r="P341" i="1"/>
  <c r="Q341" i="1"/>
  <c r="V341" i="1"/>
  <c r="W341" i="1"/>
  <c r="X341" i="1"/>
  <c r="N341" i="1"/>
  <c r="T393" i="1" s="1"/>
  <c r="R342" i="1" l="1"/>
  <c r="U341" i="1"/>
  <c r="S342" i="1"/>
  <c r="O340" i="1"/>
  <c r="P340" i="1"/>
  <c r="U340" i="1" s="1"/>
  <c r="Q340" i="1"/>
  <c r="V340" i="1"/>
  <c r="W340" i="1"/>
  <c r="X340" i="1"/>
  <c r="N340" i="1"/>
  <c r="T392" i="1" l="1"/>
  <c r="S341" i="1"/>
  <c r="R341" i="1"/>
  <c r="X339" i="1"/>
  <c r="W339" i="1"/>
  <c r="V339" i="1"/>
  <c r="Q339" i="1"/>
  <c r="P339" i="1"/>
  <c r="O339" i="1"/>
  <c r="N339" i="1"/>
  <c r="T391" i="1" l="1"/>
  <c r="S340" i="1"/>
  <c r="U339" i="1"/>
  <c r="R340" i="1"/>
  <c r="S339" i="1"/>
  <c r="R339" i="1"/>
  <c r="O338" i="1"/>
  <c r="P338" i="1"/>
  <c r="Q338" i="1"/>
  <c r="U338" i="1"/>
  <c r="V338" i="1"/>
  <c r="W338" i="1"/>
  <c r="X338" i="1"/>
  <c r="N338" i="1"/>
  <c r="T390" i="1" s="1"/>
  <c r="O337" i="1" l="1"/>
  <c r="P337" i="1"/>
  <c r="Q337" i="1"/>
  <c r="V337" i="1"/>
  <c r="W337" i="1"/>
  <c r="X337" i="1"/>
  <c r="N337" i="1"/>
  <c r="T389" i="1" s="1"/>
  <c r="R338" i="1" l="1"/>
  <c r="U337" i="1"/>
  <c r="S338" i="1"/>
  <c r="X336" i="1"/>
  <c r="W336" i="1"/>
  <c r="V336" i="1"/>
  <c r="Q336" i="1"/>
  <c r="P336" i="1"/>
  <c r="O336" i="1"/>
  <c r="N336" i="1"/>
  <c r="T388" i="1" l="1"/>
  <c r="R337" i="1"/>
  <c r="S337" i="1"/>
  <c r="U336" i="1"/>
  <c r="R336" i="1"/>
  <c r="O335" i="1"/>
  <c r="P335" i="1"/>
  <c r="Q335" i="1"/>
  <c r="U335" i="1"/>
  <c r="V335" i="1"/>
  <c r="W335" i="1"/>
  <c r="X335" i="1"/>
  <c r="N335" i="1"/>
  <c r="T387" i="1" s="1"/>
  <c r="S336" i="1" l="1"/>
  <c r="O334" i="1"/>
  <c r="P334" i="1"/>
  <c r="Q334" i="1"/>
  <c r="V334" i="1"/>
  <c r="W334" i="1"/>
  <c r="X334" i="1"/>
  <c r="N334" i="1"/>
  <c r="T386" i="1" s="1"/>
  <c r="R335" i="1" l="1"/>
  <c r="U334" i="1"/>
  <c r="S335" i="1"/>
  <c r="O333" i="1"/>
  <c r="P333" i="1"/>
  <c r="Q333" i="1"/>
  <c r="U333" i="1"/>
  <c r="V333" i="1"/>
  <c r="W333" i="1"/>
  <c r="X333" i="1"/>
  <c r="N333" i="1"/>
  <c r="T385" i="1" s="1"/>
  <c r="R333" i="1" l="1"/>
  <c r="R334" i="1"/>
  <c r="S334" i="1"/>
  <c r="O332" i="1"/>
  <c r="P332" i="1"/>
  <c r="U332" i="1" s="1"/>
  <c r="Q332" i="1"/>
  <c r="V332" i="1"/>
  <c r="W332" i="1"/>
  <c r="X332" i="1"/>
  <c r="N332" i="1"/>
  <c r="T384" i="1" s="1"/>
  <c r="S333" i="1" l="1"/>
  <c r="O331" i="1"/>
  <c r="P331" i="1"/>
  <c r="Q331" i="1"/>
  <c r="V331" i="1"/>
  <c r="W331" i="1"/>
  <c r="X331" i="1"/>
  <c r="N331" i="1"/>
  <c r="T383" i="1" s="1"/>
  <c r="R332" i="1" l="1"/>
  <c r="U331" i="1"/>
  <c r="S332" i="1"/>
  <c r="O330" i="1"/>
  <c r="P330" i="1"/>
  <c r="Q330" i="1"/>
  <c r="U330" i="1"/>
  <c r="V330" i="1"/>
  <c r="W330" i="1"/>
  <c r="X330" i="1"/>
  <c r="N330" i="1"/>
  <c r="T382" i="1" s="1"/>
  <c r="S331" i="1" l="1"/>
  <c r="R331" i="1"/>
  <c r="O329" i="1"/>
  <c r="P329" i="1"/>
  <c r="Q329" i="1"/>
  <c r="V329" i="1"/>
  <c r="W329" i="1"/>
  <c r="X329" i="1"/>
  <c r="N329" i="1"/>
  <c r="T381" i="1" s="1"/>
  <c r="S330" i="1" l="1"/>
  <c r="U329" i="1"/>
  <c r="S329" i="1"/>
  <c r="R330" i="1"/>
  <c r="O328" i="1"/>
  <c r="P328" i="1"/>
  <c r="U328" i="1" s="1"/>
  <c r="Q328" i="1"/>
  <c r="V328" i="1"/>
  <c r="W328" i="1"/>
  <c r="X328" i="1"/>
  <c r="N328" i="1"/>
  <c r="T380" i="1" s="1"/>
  <c r="R329" i="1" l="1"/>
  <c r="O327" i="1"/>
  <c r="P327" i="1"/>
  <c r="Q327" i="1"/>
  <c r="V327" i="1"/>
  <c r="W327" i="1"/>
  <c r="X327" i="1"/>
  <c r="N327" i="1"/>
  <c r="T379" i="1" s="1"/>
  <c r="S328" i="1" l="1"/>
  <c r="U327" i="1"/>
  <c r="R328" i="1"/>
  <c r="O326" i="1"/>
  <c r="P326" i="1"/>
  <c r="U326" i="1" s="1"/>
  <c r="Q326" i="1"/>
  <c r="V326" i="1"/>
  <c r="W326" i="1"/>
  <c r="X326" i="1"/>
  <c r="N326" i="1"/>
  <c r="T378" i="1" l="1"/>
  <c r="S327" i="1"/>
  <c r="R327" i="1"/>
  <c r="O325" i="1"/>
  <c r="P325" i="1"/>
  <c r="Q325" i="1"/>
  <c r="V325" i="1"/>
  <c r="W325" i="1"/>
  <c r="X325" i="1"/>
  <c r="N325" i="1"/>
  <c r="R326" i="1" s="1"/>
  <c r="T377" i="1" l="1"/>
  <c r="S326" i="1"/>
  <c r="U325" i="1"/>
  <c r="S325" i="1"/>
  <c r="O324" i="1"/>
  <c r="P324" i="1"/>
  <c r="U324" i="1" s="1"/>
  <c r="Q324" i="1"/>
  <c r="V324" i="1"/>
  <c r="W324" i="1"/>
  <c r="X324" i="1"/>
  <c r="N324" i="1"/>
  <c r="T376" i="1" s="1"/>
  <c r="R325" i="1" l="1"/>
  <c r="O323" i="1"/>
  <c r="P323" i="1"/>
  <c r="Q323" i="1"/>
  <c r="V323" i="1"/>
  <c r="W323" i="1"/>
  <c r="X323" i="1"/>
  <c r="N323" i="1"/>
  <c r="T375" i="1" s="1"/>
  <c r="R324" i="1" l="1"/>
  <c r="U323" i="1"/>
  <c r="S324" i="1"/>
  <c r="O322" i="1"/>
  <c r="P322" i="1"/>
  <c r="Q322" i="1"/>
  <c r="V322" i="1"/>
  <c r="W322" i="1"/>
  <c r="X322" i="1"/>
  <c r="N322" i="1"/>
  <c r="T374" i="1" s="1"/>
  <c r="R323" i="1" l="1"/>
  <c r="S323" i="1"/>
  <c r="U322" i="1"/>
  <c r="O321" i="1"/>
  <c r="P321" i="1"/>
  <c r="Q321" i="1"/>
  <c r="V321" i="1"/>
  <c r="W321" i="1"/>
  <c r="X321" i="1"/>
  <c r="N321" i="1"/>
  <c r="T373" i="1" s="1"/>
  <c r="R322" i="1" l="1"/>
  <c r="S322" i="1"/>
  <c r="U321" i="1"/>
  <c r="O320" i="1"/>
  <c r="P320" i="1"/>
  <c r="U320" i="1" s="1"/>
  <c r="Q320" i="1"/>
  <c r="V320" i="1"/>
  <c r="W320" i="1"/>
  <c r="X320" i="1"/>
  <c r="N320" i="1"/>
  <c r="S321" i="1" l="1"/>
  <c r="T372" i="1"/>
  <c r="R321" i="1"/>
  <c r="N319" i="1"/>
  <c r="S320" i="1" l="1"/>
  <c r="T371" i="1"/>
  <c r="R320" i="1"/>
  <c r="O319" i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T370" i="1" s="1"/>
  <c r="S319" i="1" l="1"/>
  <c r="R319" i="1"/>
  <c r="U318" i="1"/>
  <c r="O317" i="1"/>
  <c r="P317" i="1"/>
  <c r="Q317" i="1"/>
  <c r="V317" i="1"/>
  <c r="W317" i="1"/>
  <c r="X317" i="1"/>
  <c r="N317" i="1"/>
  <c r="R318" i="1" s="1"/>
  <c r="S318" i="1" l="1"/>
  <c r="T369" i="1"/>
  <c r="U317" i="1"/>
  <c r="O316" i="1"/>
  <c r="P316" i="1"/>
  <c r="Q316" i="1"/>
  <c r="U316" i="1"/>
  <c r="V316" i="1"/>
  <c r="W316" i="1"/>
  <c r="X316" i="1"/>
  <c r="N316" i="1"/>
  <c r="S317" i="1" l="1"/>
  <c r="T368" i="1"/>
  <c r="R317" i="1"/>
  <c r="O315" i="1"/>
  <c r="P315" i="1"/>
  <c r="Q315" i="1"/>
  <c r="V315" i="1"/>
  <c r="W315" i="1"/>
  <c r="X315" i="1"/>
  <c r="N315" i="1"/>
  <c r="S316" i="1" l="1"/>
  <c r="T367" i="1"/>
  <c r="R316" i="1"/>
  <c r="U315" i="1"/>
  <c r="O314" i="1"/>
  <c r="P314" i="1"/>
  <c r="Q314" i="1"/>
  <c r="V314" i="1"/>
  <c r="W314" i="1"/>
  <c r="X314" i="1"/>
  <c r="N314" i="1"/>
  <c r="R315" i="1" s="1"/>
  <c r="S315" i="1" l="1"/>
  <c r="T366" i="1"/>
  <c r="U314" i="1"/>
  <c r="O313" i="1"/>
  <c r="P313" i="1"/>
  <c r="Q313" i="1"/>
  <c r="U313" i="1"/>
  <c r="V313" i="1"/>
  <c r="W313" i="1"/>
  <c r="X313" i="1"/>
  <c r="N313" i="1"/>
  <c r="S314" i="1" l="1"/>
  <c r="T365" i="1"/>
  <c r="R314" i="1"/>
  <c r="O312" i="1"/>
  <c r="P312" i="1"/>
  <c r="Q312" i="1"/>
  <c r="V312" i="1"/>
  <c r="W312" i="1"/>
  <c r="X312" i="1"/>
  <c r="N312" i="1"/>
  <c r="S313" i="1" l="1"/>
  <c r="T364" i="1"/>
  <c r="R313" i="1"/>
  <c r="U312" i="1"/>
  <c r="O311" i="1"/>
  <c r="P311" i="1"/>
  <c r="Q311" i="1"/>
  <c r="V311" i="1"/>
  <c r="W311" i="1"/>
  <c r="X311" i="1"/>
  <c r="N311" i="1"/>
  <c r="R312" i="1" s="1"/>
  <c r="S312" i="1" l="1"/>
  <c r="T363" i="1"/>
  <c r="U311" i="1"/>
  <c r="O310" i="1"/>
  <c r="P310" i="1"/>
  <c r="Q310" i="1"/>
  <c r="V310" i="1"/>
  <c r="W310" i="1"/>
  <c r="X310" i="1"/>
  <c r="N310" i="1"/>
  <c r="S311" i="1" l="1"/>
  <c r="T362" i="1"/>
  <c r="R311" i="1"/>
  <c r="U310" i="1"/>
  <c r="O309" i="1"/>
  <c r="P309" i="1"/>
  <c r="Q309" i="1"/>
  <c r="V309" i="1"/>
  <c r="W309" i="1"/>
  <c r="X309" i="1"/>
  <c r="N309" i="1"/>
  <c r="S310" i="1" l="1"/>
  <c r="T361" i="1"/>
  <c r="R310" i="1"/>
  <c r="U309" i="1"/>
  <c r="O308" i="1"/>
  <c r="P308" i="1"/>
  <c r="Q308" i="1"/>
  <c r="V308" i="1"/>
  <c r="W308" i="1"/>
  <c r="X308" i="1"/>
  <c r="N308" i="1"/>
  <c r="S309" i="1" l="1"/>
  <c r="T360" i="1"/>
  <c r="U308" i="1"/>
  <c r="R309" i="1"/>
  <c r="O307" i="1"/>
  <c r="P307" i="1"/>
  <c r="Q307" i="1"/>
  <c r="V307" i="1"/>
  <c r="W307" i="1"/>
  <c r="X307" i="1"/>
  <c r="N307" i="1"/>
  <c r="T359" i="1" s="1"/>
  <c r="S308" i="1" l="1"/>
  <c r="R308" i="1"/>
  <c r="U307" i="1"/>
  <c r="O306" i="1"/>
  <c r="P306" i="1"/>
  <c r="Q306" i="1"/>
  <c r="V306" i="1"/>
  <c r="W306" i="1"/>
  <c r="X306" i="1"/>
  <c r="N306" i="1"/>
  <c r="O305" i="1"/>
  <c r="P305" i="1"/>
  <c r="Q305" i="1"/>
  <c r="V305" i="1"/>
  <c r="W305" i="1"/>
  <c r="X305" i="1"/>
  <c r="N305" i="1"/>
  <c r="T357" i="1" s="1"/>
  <c r="O304" i="1"/>
  <c r="P304" i="1"/>
  <c r="Q304" i="1"/>
  <c r="V304" i="1"/>
  <c r="W304" i="1"/>
  <c r="X304" i="1"/>
  <c r="N304" i="1"/>
  <c r="T356" i="1" s="1"/>
  <c r="O303" i="1"/>
  <c r="P303" i="1"/>
  <c r="Q303" i="1"/>
  <c r="V303" i="1"/>
  <c r="W303" i="1"/>
  <c r="X303" i="1"/>
  <c r="N303" i="1"/>
  <c r="T355" i="1" s="1"/>
  <c r="O302" i="1"/>
  <c r="P302" i="1"/>
  <c r="Q302" i="1"/>
  <c r="V302" i="1"/>
  <c r="W302" i="1"/>
  <c r="X302" i="1"/>
  <c r="N302" i="1"/>
  <c r="T354" i="1" s="1"/>
  <c r="P301" i="1"/>
  <c r="Q301" i="1"/>
  <c r="V301" i="1"/>
  <c r="W301" i="1"/>
  <c r="X301" i="1"/>
  <c r="O301" i="1"/>
  <c r="N301" i="1"/>
  <c r="T353" i="1" s="1"/>
  <c r="V300" i="1"/>
  <c r="W300" i="1"/>
  <c r="X300" i="1"/>
  <c r="Q300" i="1"/>
  <c r="O300" i="1"/>
  <c r="P300" i="1"/>
  <c r="N300" i="1"/>
  <c r="V299" i="1"/>
  <c r="W299" i="1"/>
  <c r="X299" i="1"/>
  <c r="Q299" i="1"/>
  <c r="O299" i="1"/>
  <c r="P299" i="1"/>
  <c r="N299" i="1"/>
  <c r="T351" i="1" s="1"/>
  <c r="R298" i="1"/>
  <c r="V298" i="1"/>
  <c r="W298" i="1"/>
  <c r="X298" i="1"/>
  <c r="Q298" i="1"/>
  <c r="O298" i="1"/>
  <c r="P298" i="1"/>
  <c r="N298" i="1"/>
  <c r="T350" i="1" s="1"/>
  <c r="O297" i="1"/>
  <c r="P297" i="1"/>
  <c r="Q297" i="1"/>
  <c r="V297" i="1"/>
  <c r="W297" i="1"/>
  <c r="X297" i="1"/>
  <c r="N297" i="1"/>
  <c r="T349" i="1" s="1"/>
  <c r="R296" i="1"/>
  <c r="V296" i="1"/>
  <c r="W296" i="1"/>
  <c r="X296" i="1"/>
  <c r="Q296" i="1"/>
  <c r="O296" i="1"/>
  <c r="P296" i="1"/>
  <c r="N296" i="1"/>
  <c r="T348" i="1" s="1"/>
  <c r="R295" i="1"/>
  <c r="V295" i="1"/>
  <c r="W295" i="1"/>
  <c r="X295" i="1"/>
  <c r="Q295" i="1"/>
  <c r="O295" i="1"/>
  <c r="P295" i="1"/>
  <c r="N295" i="1"/>
  <c r="T347" i="1" s="1"/>
  <c r="V294" i="1"/>
  <c r="W294" i="1"/>
  <c r="X294" i="1"/>
  <c r="Q294" i="1"/>
  <c r="O294" i="1"/>
  <c r="P294" i="1"/>
  <c r="N294" i="1"/>
  <c r="T346" i="1" s="1"/>
  <c r="O293" i="1"/>
  <c r="P293" i="1"/>
  <c r="Q293" i="1"/>
  <c r="V293" i="1"/>
  <c r="W293" i="1"/>
  <c r="X293" i="1"/>
  <c r="N293" i="1"/>
  <c r="O292" i="1"/>
  <c r="P292" i="1"/>
  <c r="Q292" i="1"/>
  <c r="V292" i="1"/>
  <c r="W292" i="1"/>
  <c r="X292" i="1"/>
  <c r="N292" i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R294" i="1" l="1"/>
  <c r="Y449" i="1"/>
  <c r="Z449" i="1" s="1"/>
  <c r="T345" i="1"/>
  <c r="S307" i="1"/>
  <c r="T358" i="1"/>
  <c r="U292" i="1"/>
  <c r="Y448" i="1"/>
  <c r="Z448" i="1" s="1"/>
  <c r="T344" i="1"/>
  <c r="Y447" i="1"/>
  <c r="Z447" i="1" s="1"/>
  <c r="T343" i="1"/>
  <c r="Y446" i="1"/>
  <c r="Z446" i="1" s="1"/>
  <c r="T342" i="1"/>
  <c r="Y445" i="1"/>
  <c r="Z445" i="1" s="1"/>
  <c r="T341" i="1"/>
  <c r="S300" i="1"/>
  <c r="T352" i="1"/>
  <c r="S301" i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Y444" i="1" l="1"/>
  <c r="Z444" i="1" s="1"/>
  <c r="T340" i="1"/>
  <c r="Y441" i="1"/>
  <c r="Z441" i="1" s="1"/>
  <c r="T337" i="1"/>
  <c r="Y443" i="1"/>
  <c r="Z443" i="1" s="1"/>
  <c r="T339" i="1"/>
  <c r="Y442" i="1"/>
  <c r="Z442" i="1" s="1"/>
  <c r="T338" i="1"/>
  <c r="S287" i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O269" i="1"/>
  <c r="P269" i="1"/>
  <c r="Q269" i="1"/>
  <c r="V269" i="1"/>
  <c r="W269" i="1"/>
  <c r="X269" i="1"/>
  <c r="N269" i="1"/>
  <c r="V268" i="1"/>
  <c r="W268" i="1"/>
  <c r="X268" i="1"/>
  <c r="Q268" i="1"/>
  <c r="O268" i="1"/>
  <c r="P268" i="1"/>
  <c r="N268" i="1"/>
  <c r="V267" i="1"/>
  <c r="W267" i="1"/>
  <c r="X267" i="1"/>
  <c r="Q267" i="1"/>
  <c r="O267" i="1"/>
  <c r="P267" i="1"/>
  <c r="N267" i="1"/>
  <c r="V266" i="1"/>
  <c r="W266" i="1"/>
  <c r="X266" i="1"/>
  <c r="Q266" i="1"/>
  <c r="O266" i="1"/>
  <c r="P266" i="1"/>
  <c r="N266" i="1"/>
  <c r="Q265" i="1"/>
  <c r="V265" i="1"/>
  <c r="W265" i="1"/>
  <c r="X265" i="1"/>
  <c r="O265" i="1"/>
  <c r="P265" i="1"/>
  <c r="N265" i="1"/>
  <c r="X264" i="1"/>
  <c r="W264" i="1"/>
  <c r="V264" i="1"/>
  <c r="Q264" i="1"/>
  <c r="O264" i="1"/>
  <c r="P264" i="1"/>
  <c r="N264" i="1"/>
  <c r="Y429" i="1" l="1"/>
  <c r="Z429" i="1" s="1"/>
  <c r="T325" i="1"/>
  <c r="Y436" i="1"/>
  <c r="Z436" i="1" s="1"/>
  <c r="T332" i="1"/>
  <c r="Y428" i="1"/>
  <c r="Z428" i="1" s="1"/>
  <c r="T324" i="1"/>
  <c r="T321" i="1"/>
  <c r="Y425" i="1"/>
  <c r="Z425" i="1" s="1"/>
  <c r="Y438" i="1"/>
  <c r="Z438" i="1" s="1"/>
  <c r="T334" i="1"/>
  <c r="Y440" i="1"/>
  <c r="Z440" i="1" s="1"/>
  <c r="T336" i="1"/>
  <c r="Y435" i="1"/>
  <c r="Z435" i="1" s="1"/>
  <c r="T331" i="1"/>
  <c r="T322" i="1"/>
  <c r="Y426" i="1"/>
  <c r="Z426" i="1" s="1"/>
  <c r="Y433" i="1"/>
  <c r="Z433" i="1" s="1"/>
  <c r="T329" i="1"/>
  <c r="T320" i="1"/>
  <c r="Y424" i="1"/>
  <c r="Z424" i="1" s="1"/>
  <c r="Y439" i="1"/>
  <c r="Z439" i="1" s="1"/>
  <c r="T335" i="1"/>
  <c r="T318" i="1"/>
  <c r="Y422" i="1"/>
  <c r="Z422" i="1" s="1"/>
  <c r="Y430" i="1"/>
  <c r="Z430" i="1" s="1"/>
  <c r="T326" i="1"/>
  <c r="Y437" i="1"/>
  <c r="Z437" i="1" s="1"/>
  <c r="T333" i="1"/>
  <c r="T317" i="1"/>
  <c r="Y421" i="1"/>
  <c r="Z421" i="1" s="1"/>
  <c r="T316" i="1"/>
  <c r="Y420" i="1"/>
  <c r="Z420" i="1" s="1"/>
  <c r="Y427" i="1"/>
  <c r="Z427" i="1" s="1"/>
  <c r="T323" i="1"/>
  <c r="Y434" i="1"/>
  <c r="Z434" i="1" s="1"/>
  <c r="T330" i="1"/>
  <c r="T319" i="1"/>
  <c r="Y423" i="1"/>
  <c r="Z423" i="1" s="1"/>
  <c r="Y431" i="1"/>
  <c r="Z431" i="1" s="1"/>
  <c r="T327" i="1"/>
  <c r="R282" i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V262" i="1"/>
  <c r="W262" i="1"/>
  <c r="X262" i="1"/>
  <c r="Q262" i="1"/>
  <c r="O262" i="1"/>
  <c r="P262" i="1"/>
  <c r="N262" i="1"/>
  <c r="V261" i="1"/>
  <c r="W261" i="1"/>
  <c r="X261" i="1"/>
  <c r="Q261" i="1"/>
  <c r="O261" i="1"/>
  <c r="P261" i="1"/>
  <c r="N261" i="1"/>
  <c r="O260" i="1"/>
  <c r="P260" i="1"/>
  <c r="Q260" i="1"/>
  <c r="V260" i="1"/>
  <c r="W260" i="1"/>
  <c r="X260" i="1"/>
  <c r="N260" i="1"/>
  <c r="V259" i="1"/>
  <c r="W259" i="1"/>
  <c r="X259" i="1"/>
  <c r="Q259" i="1"/>
  <c r="O259" i="1"/>
  <c r="P259" i="1"/>
  <c r="N259" i="1"/>
  <c r="V258" i="1"/>
  <c r="W258" i="1"/>
  <c r="X258" i="1"/>
  <c r="Q258" i="1"/>
  <c r="O258" i="1"/>
  <c r="P258" i="1"/>
  <c r="N258" i="1"/>
  <c r="V257" i="1"/>
  <c r="W257" i="1"/>
  <c r="X257" i="1"/>
  <c r="Q257" i="1"/>
  <c r="O257" i="1"/>
  <c r="P257" i="1"/>
  <c r="N257" i="1"/>
  <c r="V256" i="1"/>
  <c r="W256" i="1"/>
  <c r="X256" i="1"/>
  <c r="Q256" i="1"/>
  <c r="O256" i="1"/>
  <c r="P256" i="1"/>
  <c r="N256" i="1"/>
  <c r="V255" i="1"/>
  <c r="W255" i="1"/>
  <c r="X255" i="1"/>
  <c r="Q255" i="1"/>
  <c r="O255" i="1"/>
  <c r="P255" i="1"/>
  <c r="N255" i="1"/>
  <c r="Q254" i="1"/>
  <c r="V254" i="1"/>
  <c r="W254" i="1"/>
  <c r="X254" i="1"/>
  <c r="O254" i="1"/>
  <c r="P254" i="1"/>
  <c r="N254" i="1"/>
  <c r="V253" i="1"/>
  <c r="W253" i="1"/>
  <c r="X253" i="1"/>
  <c r="Q253" i="1"/>
  <c r="O253" i="1"/>
  <c r="P253" i="1"/>
  <c r="N253" i="1"/>
  <c r="Y409" i="1" s="1"/>
  <c r="Z409" i="1" s="1"/>
  <c r="Q252" i="1"/>
  <c r="V252" i="1"/>
  <c r="W252" i="1"/>
  <c r="X252" i="1"/>
  <c r="O252" i="1"/>
  <c r="P252" i="1"/>
  <c r="N252" i="1"/>
  <c r="Y408" i="1" s="1"/>
  <c r="Z408" i="1" s="1"/>
  <c r="V251" i="1"/>
  <c r="W251" i="1"/>
  <c r="X251" i="1"/>
  <c r="Q251" i="1"/>
  <c r="O251" i="1"/>
  <c r="P251" i="1"/>
  <c r="N251" i="1"/>
  <c r="Y407" i="1" s="1"/>
  <c r="Z407" i="1" s="1"/>
  <c r="Q250" i="1"/>
  <c r="V250" i="1"/>
  <c r="W250" i="1"/>
  <c r="X250" i="1"/>
  <c r="O250" i="1"/>
  <c r="P250" i="1"/>
  <c r="N250" i="1"/>
  <c r="Y406" i="1" s="1"/>
  <c r="Z406" i="1" s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Y405" i="1" s="1"/>
  <c r="Z405" i="1" s="1"/>
  <c r="Q248" i="1"/>
  <c r="O248" i="1"/>
  <c r="P248" i="1"/>
  <c r="N248" i="1"/>
  <c r="Y404" i="1" s="1"/>
  <c r="Z404" i="1" s="1"/>
  <c r="Q247" i="1"/>
  <c r="O247" i="1"/>
  <c r="P247" i="1"/>
  <c r="N247" i="1"/>
  <c r="Y403" i="1" s="1"/>
  <c r="Z403" i="1" s="1"/>
  <c r="Q246" i="1"/>
  <c r="O246" i="1"/>
  <c r="P246" i="1"/>
  <c r="N246" i="1"/>
  <c r="Y402" i="1" s="1"/>
  <c r="Z402" i="1" s="1"/>
  <c r="Q245" i="1"/>
  <c r="O245" i="1"/>
  <c r="P245" i="1"/>
  <c r="N245" i="1"/>
  <c r="Y401" i="1" s="1"/>
  <c r="Z401" i="1" s="1"/>
  <c r="Q244" i="1"/>
  <c r="O244" i="1"/>
  <c r="P244" i="1"/>
  <c r="N244" i="1"/>
  <c r="Y400" i="1" s="1"/>
  <c r="Z400" i="1" s="1"/>
  <c r="Q243" i="1"/>
  <c r="O243" i="1"/>
  <c r="P243" i="1"/>
  <c r="N243" i="1"/>
  <c r="Y399" i="1" s="1"/>
  <c r="Z399" i="1" s="1"/>
  <c r="Q242" i="1"/>
  <c r="O242" i="1"/>
  <c r="P242" i="1"/>
  <c r="N242" i="1"/>
  <c r="Y398" i="1" s="1"/>
  <c r="Z398" i="1" s="1"/>
  <c r="Q241" i="1"/>
  <c r="O241" i="1"/>
  <c r="P241" i="1"/>
  <c r="N241" i="1"/>
  <c r="Y397" i="1" s="1"/>
  <c r="Z397" i="1" s="1"/>
  <c r="Q240" i="1"/>
  <c r="O240" i="1"/>
  <c r="P240" i="1"/>
  <c r="N240" i="1"/>
  <c r="Y396" i="1" s="1"/>
  <c r="Z396" i="1" s="1"/>
  <c r="Q239" i="1"/>
  <c r="O239" i="1"/>
  <c r="P239" i="1"/>
  <c r="N239" i="1"/>
  <c r="Y395" i="1" s="1"/>
  <c r="Z395" i="1" s="1"/>
  <c r="Q238" i="1"/>
  <c r="O238" i="1"/>
  <c r="P238" i="1"/>
  <c r="N238" i="1"/>
  <c r="Y394" i="1" s="1"/>
  <c r="Z394" i="1" s="1"/>
  <c r="Q237" i="1"/>
  <c r="O237" i="1"/>
  <c r="P237" i="1"/>
  <c r="N237" i="1"/>
  <c r="Y393" i="1" s="1"/>
  <c r="Z393" i="1" s="1"/>
  <c r="Q236" i="1"/>
  <c r="O236" i="1"/>
  <c r="P236" i="1"/>
  <c r="N236" i="1"/>
  <c r="Y392" i="1" s="1"/>
  <c r="Z392" i="1" s="1"/>
  <c r="Q235" i="1"/>
  <c r="O235" i="1"/>
  <c r="P235" i="1"/>
  <c r="N235" i="1"/>
  <c r="Y391" i="1" s="1"/>
  <c r="Z391" i="1" s="1"/>
  <c r="Q234" i="1"/>
  <c r="O234" i="1"/>
  <c r="P234" i="1"/>
  <c r="N234" i="1"/>
  <c r="Y390" i="1" s="1"/>
  <c r="Z390" i="1" s="1"/>
  <c r="Q233" i="1"/>
  <c r="O233" i="1"/>
  <c r="P233" i="1"/>
  <c r="N233" i="1"/>
  <c r="Y389" i="1" s="1"/>
  <c r="Z389" i="1" s="1"/>
  <c r="Q232" i="1"/>
  <c r="O232" i="1"/>
  <c r="P232" i="1"/>
  <c r="N232" i="1"/>
  <c r="Y388" i="1" s="1"/>
  <c r="Z388" i="1" s="1"/>
  <c r="Q231" i="1"/>
  <c r="O231" i="1"/>
  <c r="P231" i="1"/>
  <c r="N231" i="1"/>
  <c r="Y387" i="1" s="1"/>
  <c r="Z387" i="1" s="1"/>
  <c r="Q230" i="1"/>
  <c r="O230" i="1"/>
  <c r="P230" i="1"/>
  <c r="N230" i="1"/>
  <c r="Y386" i="1" s="1"/>
  <c r="Z386" i="1" s="1"/>
  <c r="Q229" i="1"/>
  <c r="O229" i="1"/>
  <c r="P229" i="1"/>
  <c r="N229" i="1"/>
  <c r="Y385" i="1" s="1"/>
  <c r="Z385" i="1" s="1"/>
  <c r="Q228" i="1"/>
  <c r="O228" i="1"/>
  <c r="P228" i="1"/>
  <c r="N228" i="1"/>
  <c r="Y384" i="1" s="1"/>
  <c r="Z384" i="1" s="1"/>
  <c r="Q227" i="1"/>
  <c r="O227" i="1"/>
  <c r="P227" i="1"/>
  <c r="N227" i="1"/>
  <c r="Y383" i="1" s="1"/>
  <c r="Z383" i="1" s="1"/>
  <c r="Q226" i="1"/>
  <c r="O226" i="1"/>
  <c r="P226" i="1"/>
  <c r="N226" i="1"/>
  <c r="Y382" i="1" s="1"/>
  <c r="Z382" i="1" s="1"/>
  <c r="Q225" i="1"/>
  <c r="O225" i="1"/>
  <c r="P225" i="1"/>
  <c r="N225" i="1"/>
  <c r="Y381" i="1" s="1"/>
  <c r="Z381" i="1" s="1"/>
  <c r="Q224" i="1"/>
  <c r="O224" i="1"/>
  <c r="P224" i="1"/>
  <c r="N224" i="1"/>
  <c r="Y380" i="1" s="1"/>
  <c r="Z380" i="1" s="1"/>
  <c r="Q223" i="1"/>
  <c r="O223" i="1"/>
  <c r="P223" i="1"/>
  <c r="N223" i="1"/>
  <c r="Y379" i="1" s="1"/>
  <c r="Z379" i="1" s="1"/>
  <c r="Q222" i="1"/>
  <c r="O222" i="1"/>
  <c r="P222" i="1"/>
  <c r="N222" i="1"/>
  <c r="Y378" i="1" s="1"/>
  <c r="Z378" i="1" s="1"/>
  <c r="Q221" i="1"/>
  <c r="O221" i="1"/>
  <c r="P221" i="1"/>
  <c r="N221" i="1"/>
  <c r="Y377" i="1" s="1"/>
  <c r="Z377" i="1" s="1"/>
  <c r="Q220" i="1"/>
  <c r="O220" i="1"/>
  <c r="P220" i="1"/>
  <c r="N220" i="1"/>
  <c r="Y376" i="1" s="1"/>
  <c r="Z376" i="1" s="1"/>
  <c r="Q219" i="1"/>
  <c r="O219" i="1"/>
  <c r="P219" i="1"/>
  <c r="N219" i="1"/>
  <c r="Y375" i="1" s="1"/>
  <c r="Z375" i="1" s="1"/>
  <c r="Q218" i="1"/>
  <c r="O218" i="1"/>
  <c r="P218" i="1"/>
  <c r="N218" i="1"/>
  <c r="Y374" i="1" s="1"/>
  <c r="Z374" i="1" s="1"/>
  <c r="Q217" i="1"/>
  <c r="O217" i="1"/>
  <c r="P217" i="1"/>
  <c r="N217" i="1"/>
  <c r="Y373" i="1" s="1"/>
  <c r="Z373" i="1" s="1"/>
  <c r="Q216" i="1"/>
  <c r="O216" i="1"/>
  <c r="P216" i="1"/>
  <c r="N216" i="1"/>
  <c r="Y372" i="1" s="1"/>
  <c r="Z372" i="1" s="1"/>
  <c r="Q215" i="1"/>
  <c r="O215" i="1"/>
  <c r="P215" i="1"/>
  <c r="N215" i="1"/>
  <c r="Y371" i="1" s="1"/>
  <c r="Z371" i="1" s="1"/>
  <c r="Q214" i="1"/>
  <c r="O214" i="1"/>
  <c r="P214" i="1"/>
  <c r="N214" i="1"/>
  <c r="Y370" i="1" s="1"/>
  <c r="Z370" i="1" s="1"/>
  <c r="Q213" i="1"/>
  <c r="O213" i="1"/>
  <c r="P213" i="1"/>
  <c r="N213" i="1"/>
  <c r="Y369" i="1" s="1"/>
  <c r="Z369" i="1" s="1"/>
  <c r="Q212" i="1"/>
  <c r="O212" i="1"/>
  <c r="P212" i="1"/>
  <c r="N212" i="1"/>
  <c r="Y368" i="1" s="1"/>
  <c r="Z368" i="1" s="1"/>
  <c r="Q211" i="1"/>
  <c r="O211" i="1"/>
  <c r="P211" i="1"/>
  <c r="N211" i="1"/>
  <c r="Y367" i="1" s="1"/>
  <c r="Z367" i="1" s="1"/>
  <c r="Q210" i="1"/>
  <c r="O210" i="1"/>
  <c r="P210" i="1"/>
  <c r="N210" i="1"/>
  <c r="Y366" i="1" s="1"/>
  <c r="Z366" i="1" s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Y361" i="1" s="1"/>
  <c r="Z361" i="1" s="1"/>
  <c r="Q204" i="1"/>
  <c r="O204" i="1"/>
  <c r="P204" i="1"/>
  <c r="N204" i="1"/>
  <c r="Y360" i="1" s="1"/>
  <c r="Z360" i="1" s="1"/>
  <c r="Q203" i="1"/>
  <c r="P203" i="1"/>
  <c r="O203" i="1"/>
  <c r="N203" i="1"/>
  <c r="Y359" i="1" s="1"/>
  <c r="Z359" i="1" s="1"/>
  <c r="Q202" i="1"/>
  <c r="O202" i="1"/>
  <c r="P202" i="1"/>
  <c r="N202" i="1"/>
  <c r="Y358" i="1" s="1"/>
  <c r="Z358" i="1" s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Y353" i="1" s="1"/>
  <c r="Z353" i="1" s="1"/>
  <c r="Q196" i="1"/>
  <c r="O196" i="1"/>
  <c r="P196" i="1"/>
  <c r="N196" i="1"/>
  <c r="Y352" i="1" s="1"/>
  <c r="Z352" i="1" s="1"/>
  <c r="Q195" i="1"/>
  <c r="O195" i="1"/>
  <c r="P195" i="1"/>
  <c r="N195" i="1"/>
  <c r="Y351" i="1" s="1"/>
  <c r="Z351" i="1" s="1"/>
  <c r="Q194" i="1"/>
  <c r="O194" i="1"/>
  <c r="P194" i="1"/>
  <c r="N194" i="1"/>
  <c r="Y350" i="1" s="1"/>
  <c r="Z350" i="1" s="1"/>
  <c r="Q193" i="1"/>
  <c r="O193" i="1"/>
  <c r="P193" i="1"/>
  <c r="N193" i="1"/>
  <c r="Y349" i="1" s="1"/>
  <c r="Z349" i="1" s="1"/>
  <c r="Q192" i="1"/>
  <c r="O192" i="1"/>
  <c r="P192" i="1"/>
  <c r="N192" i="1"/>
  <c r="Y348" i="1" s="1"/>
  <c r="Z348" i="1" s="1"/>
  <c r="Q191" i="1"/>
  <c r="O191" i="1"/>
  <c r="P191" i="1"/>
  <c r="N191" i="1"/>
  <c r="Y347" i="1" s="1"/>
  <c r="Z347" i="1" s="1"/>
  <c r="Q190" i="1"/>
  <c r="O190" i="1"/>
  <c r="P190" i="1"/>
  <c r="N190" i="1"/>
  <c r="Y346" i="1" s="1"/>
  <c r="Z346" i="1" s="1"/>
  <c r="Q189" i="1"/>
  <c r="O189" i="1"/>
  <c r="P189" i="1"/>
  <c r="N189" i="1"/>
  <c r="Y345" i="1" s="1"/>
  <c r="Z345" i="1" s="1"/>
  <c r="Q188" i="1"/>
  <c r="O188" i="1"/>
  <c r="P188" i="1"/>
  <c r="N188" i="1"/>
  <c r="Y344" i="1" s="1"/>
  <c r="Z344" i="1" s="1"/>
  <c r="Q187" i="1"/>
  <c r="O187" i="1"/>
  <c r="P187" i="1"/>
  <c r="N187" i="1"/>
  <c r="Y343" i="1" s="1"/>
  <c r="Z343" i="1" s="1"/>
  <c r="Q186" i="1"/>
  <c r="O186" i="1"/>
  <c r="P186" i="1"/>
  <c r="N186" i="1"/>
  <c r="Y342" i="1" s="1"/>
  <c r="Z342" i="1" s="1"/>
  <c r="Q185" i="1"/>
  <c r="O185" i="1"/>
  <c r="P185" i="1"/>
  <c r="N185" i="1"/>
  <c r="Y341" i="1" s="1"/>
  <c r="Z341" i="1" s="1"/>
  <c r="Q184" i="1"/>
  <c r="O184" i="1"/>
  <c r="P184" i="1"/>
  <c r="N184" i="1"/>
  <c r="Y340" i="1" s="1"/>
  <c r="Z340" i="1" s="1"/>
  <c r="Q183" i="1"/>
  <c r="O183" i="1"/>
  <c r="P183" i="1"/>
  <c r="N183" i="1"/>
  <c r="Y339" i="1" s="1"/>
  <c r="Z339" i="1" s="1"/>
  <c r="Q182" i="1"/>
  <c r="O182" i="1"/>
  <c r="P182" i="1"/>
  <c r="N182" i="1"/>
  <c r="Y338" i="1" s="1"/>
  <c r="Z338" i="1" s="1"/>
  <c r="N181" i="1"/>
  <c r="P181" i="1"/>
  <c r="Q181" i="1"/>
  <c r="O181" i="1"/>
  <c r="N7" i="1"/>
  <c r="U7" i="1" s="1"/>
  <c r="O7" i="1"/>
  <c r="P7" i="1"/>
  <c r="Q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U12" i="1" s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U33" i="1" s="1"/>
  <c r="O33" i="1"/>
  <c r="P33" i="1"/>
  <c r="Q33" i="1"/>
  <c r="N34" i="1"/>
  <c r="O34" i="1"/>
  <c r="P34" i="1"/>
  <c r="Q34" i="1"/>
  <c r="N35" i="1"/>
  <c r="U35" i="1" s="1"/>
  <c r="O35" i="1"/>
  <c r="P35" i="1"/>
  <c r="Q35" i="1"/>
  <c r="N36" i="1"/>
  <c r="O36" i="1"/>
  <c r="P36" i="1"/>
  <c r="Q36" i="1"/>
  <c r="N37" i="1"/>
  <c r="S38" i="1" s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U43" i="1" s="1"/>
  <c r="O43" i="1"/>
  <c r="P43" i="1"/>
  <c r="Q43" i="1"/>
  <c r="N44" i="1"/>
  <c r="O44" i="1"/>
  <c r="P44" i="1"/>
  <c r="Q44" i="1"/>
  <c r="N45" i="1"/>
  <c r="O45" i="1"/>
  <c r="P45" i="1"/>
  <c r="Q45" i="1"/>
  <c r="U45" i="1"/>
  <c r="N46" i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S51" i="1" s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S55" i="1" s="1"/>
  <c r="O54" i="1"/>
  <c r="P54" i="1"/>
  <c r="Q54" i="1"/>
  <c r="N55" i="1"/>
  <c r="O55" i="1"/>
  <c r="P55" i="1"/>
  <c r="Q55" i="1"/>
  <c r="U55" i="1"/>
  <c r="N56" i="1"/>
  <c r="O56" i="1"/>
  <c r="P56" i="1"/>
  <c r="Q56" i="1"/>
  <c r="N57" i="1"/>
  <c r="U57" i="1" s="1"/>
  <c r="O57" i="1"/>
  <c r="P57" i="1"/>
  <c r="Q57" i="1"/>
  <c r="N58" i="1"/>
  <c r="O58" i="1"/>
  <c r="P58" i="1"/>
  <c r="Q58" i="1"/>
  <c r="N59" i="1"/>
  <c r="T111" i="1" s="1"/>
  <c r="O59" i="1"/>
  <c r="P59" i="1"/>
  <c r="Q59" i="1"/>
  <c r="N60" i="1"/>
  <c r="O60" i="1"/>
  <c r="P60" i="1"/>
  <c r="Q60" i="1"/>
  <c r="N61" i="1"/>
  <c r="R62" i="1" s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Y288" i="1" s="1"/>
  <c r="Z288" i="1" s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Y300" i="1" s="1"/>
  <c r="Z300" i="1" s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U156" i="1" s="1"/>
  <c r="O156" i="1"/>
  <c r="P156" i="1"/>
  <c r="Q156" i="1"/>
  <c r="N157" i="1"/>
  <c r="O157" i="1"/>
  <c r="P157" i="1"/>
  <c r="Q157" i="1"/>
  <c r="N158" i="1"/>
  <c r="Y314" i="1" s="1"/>
  <c r="Z314" i="1" s="1"/>
  <c r="O158" i="1"/>
  <c r="P158" i="1"/>
  <c r="Q158" i="1"/>
  <c r="N159" i="1"/>
  <c r="O159" i="1"/>
  <c r="P159" i="1"/>
  <c r="Q159" i="1"/>
  <c r="N160" i="1"/>
  <c r="Y316" i="1" s="1"/>
  <c r="Z316" i="1" s="1"/>
  <c r="O160" i="1"/>
  <c r="P160" i="1"/>
  <c r="Q160" i="1"/>
  <c r="N161" i="1"/>
  <c r="O161" i="1"/>
  <c r="P161" i="1"/>
  <c r="Q161" i="1"/>
  <c r="N162" i="1"/>
  <c r="Y318" i="1" s="1"/>
  <c r="Z318" i="1" s="1"/>
  <c r="O162" i="1"/>
  <c r="P162" i="1"/>
  <c r="Q162" i="1"/>
  <c r="N163" i="1"/>
  <c r="O163" i="1"/>
  <c r="P163" i="1"/>
  <c r="Q163" i="1"/>
  <c r="N164" i="1"/>
  <c r="Y320" i="1" s="1"/>
  <c r="Z320" i="1" s="1"/>
  <c r="O164" i="1"/>
  <c r="P164" i="1"/>
  <c r="Q164" i="1"/>
  <c r="N165" i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Y324" i="1" s="1"/>
  <c r="Z324" i="1" s="1"/>
  <c r="O168" i="1"/>
  <c r="P168" i="1"/>
  <c r="Q168" i="1"/>
  <c r="N169" i="1"/>
  <c r="O169" i="1"/>
  <c r="P169" i="1"/>
  <c r="U169" i="1" s="1"/>
  <c r="Q169" i="1"/>
  <c r="N170" i="1"/>
  <c r="Y326" i="1" s="1"/>
  <c r="Z326" i="1" s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U173" i="1"/>
  <c r="N174" i="1"/>
  <c r="Y330" i="1" s="1"/>
  <c r="Z330" i="1" s="1"/>
  <c r="O174" i="1"/>
  <c r="P174" i="1"/>
  <c r="Q174" i="1"/>
  <c r="U174" i="1"/>
  <c r="N175" i="1"/>
  <c r="Y331" i="1" s="1"/>
  <c r="Z331" i="1" s="1"/>
  <c r="O175" i="1"/>
  <c r="P175" i="1"/>
  <c r="Q175" i="1"/>
  <c r="N176" i="1"/>
  <c r="Y332" i="1" s="1"/>
  <c r="Z332" i="1" s="1"/>
  <c r="O176" i="1"/>
  <c r="P176" i="1"/>
  <c r="Q176" i="1"/>
  <c r="N177" i="1"/>
  <c r="Y333" i="1" s="1"/>
  <c r="Z333" i="1" s="1"/>
  <c r="O177" i="1"/>
  <c r="P177" i="1"/>
  <c r="Q177" i="1"/>
  <c r="N178" i="1"/>
  <c r="Y334" i="1" s="1"/>
  <c r="Z334" i="1" s="1"/>
  <c r="O178" i="1"/>
  <c r="P178" i="1"/>
  <c r="Q178" i="1"/>
  <c r="U178" i="1"/>
  <c r="N179" i="1"/>
  <c r="Y335" i="1" s="1"/>
  <c r="Z335" i="1" s="1"/>
  <c r="O179" i="1"/>
  <c r="P179" i="1"/>
  <c r="Q179" i="1"/>
  <c r="N180" i="1"/>
  <c r="Y336" i="1" s="1"/>
  <c r="Z336" i="1" s="1"/>
  <c r="O180" i="1"/>
  <c r="P180" i="1"/>
  <c r="Q180" i="1"/>
  <c r="T135" i="1"/>
  <c r="T122" i="1"/>
  <c r="T107" i="1"/>
  <c r="T99" i="1"/>
  <c r="T75" i="1"/>
  <c r="U48" i="1"/>
  <c r="T312" i="1" l="1"/>
  <c r="Y416" i="1"/>
  <c r="Z416" i="1" s="1"/>
  <c r="Y304" i="1"/>
  <c r="Z304" i="1" s="1"/>
  <c r="T311" i="1"/>
  <c r="Y415" i="1"/>
  <c r="Z415" i="1" s="1"/>
  <c r="Y357" i="1"/>
  <c r="Z357" i="1" s="1"/>
  <c r="Y365" i="1"/>
  <c r="Z365" i="1" s="1"/>
  <c r="T310" i="1"/>
  <c r="Y414" i="1"/>
  <c r="Z414" i="1" s="1"/>
  <c r="U176" i="1"/>
  <c r="Y329" i="1"/>
  <c r="Z329" i="1" s="1"/>
  <c r="Y327" i="1"/>
  <c r="Z327" i="1" s="1"/>
  <c r="Y325" i="1"/>
  <c r="Z325" i="1" s="1"/>
  <c r="Y323" i="1"/>
  <c r="Z323" i="1" s="1"/>
  <c r="Y321" i="1"/>
  <c r="Z321" i="1" s="1"/>
  <c r="T309" i="1"/>
  <c r="Y413" i="1"/>
  <c r="Z413" i="1" s="1"/>
  <c r="U46" i="1"/>
  <c r="U164" i="1"/>
  <c r="Y319" i="1"/>
  <c r="Z319" i="1" s="1"/>
  <c r="Y317" i="1"/>
  <c r="Z317" i="1" s="1"/>
  <c r="Y315" i="1"/>
  <c r="Z315" i="1" s="1"/>
  <c r="Y313" i="1"/>
  <c r="Z313" i="1" s="1"/>
  <c r="S54" i="1"/>
  <c r="S27" i="1"/>
  <c r="T308" i="1"/>
  <c r="Y412" i="1"/>
  <c r="Z412" i="1" s="1"/>
  <c r="T313" i="1"/>
  <c r="Y417" i="1"/>
  <c r="Z417" i="1" s="1"/>
  <c r="T85" i="1"/>
  <c r="U168" i="1"/>
  <c r="Y301" i="1"/>
  <c r="Z301" i="1" s="1"/>
  <c r="Y299" i="1"/>
  <c r="Z299" i="1" s="1"/>
  <c r="Y295" i="1"/>
  <c r="Z295" i="1" s="1"/>
  <c r="Y291" i="1"/>
  <c r="Z291" i="1" s="1"/>
  <c r="Y289" i="1"/>
  <c r="Z289" i="1" s="1"/>
  <c r="Y287" i="1"/>
  <c r="Z287" i="1" s="1"/>
  <c r="T97" i="1"/>
  <c r="T95" i="1"/>
  <c r="T125" i="1"/>
  <c r="U59" i="1"/>
  <c r="Y337" i="1"/>
  <c r="Z337" i="1" s="1"/>
  <c r="T307" i="1"/>
  <c r="Y411" i="1"/>
  <c r="Z411" i="1" s="1"/>
  <c r="T315" i="1"/>
  <c r="Y419" i="1"/>
  <c r="Z419" i="1" s="1"/>
  <c r="S172" i="1"/>
  <c r="Y328" i="1"/>
  <c r="Z328" i="1" s="1"/>
  <c r="Y312" i="1"/>
  <c r="Z312" i="1" s="1"/>
  <c r="Y355" i="1"/>
  <c r="Z355" i="1" s="1"/>
  <c r="Y363" i="1"/>
  <c r="Z363" i="1" s="1"/>
  <c r="U160" i="1"/>
  <c r="Y354" i="1"/>
  <c r="Z354" i="1" s="1"/>
  <c r="Y356" i="1"/>
  <c r="Z356" i="1" s="1"/>
  <c r="Y362" i="1"/>
  <c r="Z362" i="1" s="1"/>
  <c r="Y364" i="1"/>
  <c r="Z364" i="1" s="1"/>
  <c r="T306" i="1"/>
  <c r="Y410" i="1"/>
  <c r="Z410" i="1" s="1"/>
  <c r="T314" i="1"/>
  <c r="Y418" i="1"/>
  <c r="Z418" i="1" s="1"/>
  <c r="Y432" i="1"/>
  <c r="Z432" i="1" s="1"/>
  <c r="T328" i="1"/>
  <c r="T73" i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<sst xmlns="http://schemas.openxmlformats.org/spreadsheetml/2006/main" count="45" uniqueCount="35">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</sst>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90272"/>
        <c:axId val="32186752"/>
      </c:barChart>
      <c:catAx>
        <c:axId val="31590272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21867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2186752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590272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data'!$A$440:$A$457</c:f>
              <c:numCache>
                <c:formatCode>m/d/yy;@</c:formatCode>
                <c:ptCount val="18"/>
                <c:pt idx="0">
                  <c:v>41622</c:v>
                </c:pt>
                <c:pt idx="1">
                  <c:v>41629</c:v>
                </c:pt>
                <c:pt idx="2">
                  <c:v>41636</c:v>
                </c:pt>
                <c:pt idx="3">
                  <c:v>41643</c:v>
                </c:pt>
                <c:pt idx="4">
                  <c:v>41650</c:v>
                </c:pt>
                <c:pt idx="5">
                  <c:v>41657</c:v>
                </c:pt>
                <c:pt idx="6">
                  <c:v>41664</c:v>
                </c:pt>
                <c:pt idx="7">
                  <c:v>41671</c:v>
                </c:pt>
                <c:pt idx="8">
                  <c:v>41678</c:v>
                </c:pt>
                <c:pt idx="9">
                  <c:v>41685</c:v>
                </c:pt>
                <c:pt idx="10">
                  <c:v>41692</c:v>
                </c:pt>
                <c:pt idx="11">
                  <c:v>41699</c:v>
                </c:pt>
                <c:pt idx="12">
                  <c:v>41706</c:v>
                </c:pt>
                <c:pt idx="13">
                  <c:v>41713</c:v>
                </c:pt>
                <c:pt idx="14">
                  <c:v>41720</c:v>
                </c:pt>
                <c:pt idx="15">
                  <c:v>41727</c:v>
                </c:pt>
                <c:pt idx="16">
                  <c:v>41734</c:v>
                </c:pt>
                <c:pt idx="17">
                  <c:v>41741</c:v>
                </c:pt>
              </c:numCache>
            </c:numRef>
          </c:cat>
          <c:val>
            <c:numRef>
              <c:f>'upbound data'!$B$440:$B$457</c:f>
              <c:numCache>
                <c:formatCode>General</c:formatCode>
                <c:ptCount val="18"/>
                <c:pt idx="0">
                  <c:v>318</c:v>
                </c:pt>
                <c:pt idx="1">
                  <c:v>334</c:v>
                </c:pt>
                <c:pt idx="2">
                  <c:v>382</c:v>
                </c:pt>
                <c:pt idx="3">
                  <c:v>267</c:v>
                </c:pt>
                <c:pt idx="4">
                  <c:v>120</c:v>
                </c:pt>
                <c:pt idx="5">
                  <c:v>276</c:v>
                </c:pt>
                <c:pt idx="6">
                  <c:v>167</c:v>
                </c:pt>
                <c:pt idx="7">
                  <c:v>117</c:v>
                </c:pt>
                <c:pt idx="8">
                  <c:v>120</c:v>
                </c:pt>
                <c:pt idx="9">
                  <c:v>134</c:v>
                </c:pt>
                <c:pt idx="10">
                  <c:v>139</c:v>
                </c:pt>
                <c:pt idx="11">
                  <c:v>167</c:v>
                </c:pt>
                <c:pt idx="12">
                  <c:v>118</c:v>
                </c:pt>
                <c:pt idx="13">
                  <c:v>251</c:v>
                </c:pt>
                <c:pt idx="14">
                  <c:v>422</c:v>
                </c:pt>
                <c:pt idx="15">
                  <c:v>417</c:v>
                </c:pt>
                <c:pt idx="16">
                  <c:v>404</c:v>
                </c:pt>
                <c:pt idx="17">
                  <c:v>378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data'!$A$440:$A$457</c:f>
              <c:numCache>
                <c:formatCode>m/d/yy;@</c:formatCode>
                <c:ptCount val="18"/>
                <c:pt idx="0">
                  <c:v>41622</c:v>
                </c:pt>
                <c:pt idx="1">
                  <c:v>41629</c:v>
                </c:pt>
                <c:pt idx="2">
                  <c:v>41636</c:v>
                </c:pt>
                <c:pt idx="3">
                  <c:v>41643</c:v>
                </c:pt>
                <c:pt idx="4">
                  <c:v>41650</c:v>
                </c:pt>
                <c:pt idx="5">
                  <c:v>41657</c:v>
                </c:pt>
                <c:pt idx="6">
                  <c:v>41664</c:v>
                </c:pt>
                <c:pt idx="7">
                  <c:v>41671</c:v>
                </c:pt>
                <c:pt idx="8">
                  <c:v>41678</c:v>
                </c:pt>
                <c:pt idx="9">
                  <c:v>41685</c:v>
                </c:pt>
                <c:pt idx="10">
                  <c:v>41692</c:v>
                </c:pt>
                <c:pt idx="11">
                  <c:v>41699</c:v>
                </c:pt>
                <c:pt idx="12">
                  <c:v>41706</c:v>
                </c:pt>
                <c:pt idx="13">
                  <c:v>41713</c:v>
                </c:pt>
                <c:pt idx="14">
                  <c:v>41720</c:v>
                </c:pt>
                <c:pt idx="15">
                  <c:v>41727</c:v>
                </c:pt>
                <c:pt idx="16">
                  <c:v>41734</c:v>
                </c:pt>
                <c:pt idx="17">
                  <c:v>41741</c:v>
                </c:pt>
              </c:numCache>
            </c:numRef>
          </c:cat>
          <c:val>
            <c:numRef>
              <c:f>'upbound data'!$F$440:$F$457</c:f>
              <c:numCache>
                <c:formatCode>General</c:formatCode>
                <c:ptCount val="18"/>
                <c:pt idx="0">
                  <c:v>17</c:v>
                </c:pt>
                <c:pt idx="1">
                  <c:v>34</c:v>
                </c:pt>
                <c:pt idx="2">
                  <c:v>21</c:v>
                </c:pt>
                <c:pt idx="3">
                  <c:v>30</c:v>
                </c:pt>
                <c:pt idx="4">
                  <c:v>31</c:v>
                </c:pt>
                <c:pt idx="5">
                  <c:v>41</c:v>
                </c:pt>
                <c:pt idx="6">
                  <c:v>11</c:v>
                </c:pt>
                <c:pt idx="7">
                  <c:v>22</c:v>
                </c:pt>
                <c:pt idx="8">
                  <c:v>11</c:v>
                </c:pt>
                <c:pt idx="9">
                  <c:v>40</c:v>
                </c:pt>
                <c:pt idx="10">
                  <c:v>19</c:v>
                </c:pt>
                <c:pt idx="11">
                  <c:v>21</c:v>
                </c:pt>
                <c:pt idx="12">
                  <c:v>6</c:v>
                </c:pt>
                <c:pt idx="13">
                  <c:v>38</c:v>
                </c:pt>
                <c:pt idx="14">
                  <c:v>13</c:v>
                </c:pt>
                <c:pt idx="15">
                  <c:v>15</c:v>
                </c:pt>
                <c:pt idx="16">
                  <c:v>10</c:v>
                </c:pt>
                <c:pt idx="17">
                  <c:v>10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data'!$A$440:$A$457</c:f>
              <c:numCache>
                <c:formatCode>m/d/yy;@</c:formatCode>
                <c:ptCount val="18"/>
                <c:pt idx="0">
                  <c:v>41622</c:v>
                </c:pt>
                <c:pt idx="1">
                  <c:v>41629</c:v>
                </c:pt>
                <c:pt idx="2">
                  <c:v>41636</c:v>
                </c:pt>
                <c:pt idx="3">
                  <c:v>41643</c:v>
                </c:pt>
                <c:pt idx="4">
                  <c:v>41650</c:v>
                </c:pt>
                <c:pt idx="5">
                  <c:v>41657</c:v>
                </c:pt>
                <c:pt idx="6">
                  <c:v>41664</c:v>
                </c:pt>
                <c:pt idx="7">
                  <c:v>41671</c:v>
                </c:pt>
                <c:pt idx="8">
                  <c:v>41678</c:v>
                </c:pt>
                <c:pt idx="9">
                  <c:v>41685</c:v>
                </c:pt>
                <c:pt idx="10">
                  <c:v>41692</c:v>
                </c:pt>
                <c:pt idx="11">
                  <c:v>41699</c:v>
                </c:pt>
                <c:pt idx="12">
                  <c:v>41706</c:v>
                </c:pt>
                <c:pt idx="13">
                  <c:v>41713</c:v>
                </c:pt>
                <c:pt idx="14">
                  <c:v>41720</c:v>
                </c:pt>
                <c:pt idx="15">
                  <c:v>41727</c:v>
                </c:pt>
                <c:pt idx="16">
                  <c:v>41734</c:v>
                </c:pt>
                <c:pt idx="17">
                  <c:v>41741</c:v>
                </c:pt>
              </c:numCache>
            </c:numRef>
          </c:cat>
          <c:val>
            <c:numRef>
              <c:f>'upbound data'!$J$440:$J$457</c:f>
              <c:numCache>
                <c:formatCode>General</c:formatCode>
                <c:ptCount val="18"/>
                <c:pt idx="0">
                  <c:v>311</c:v>
                </c:pt>
                <c:pt idx="1">
                  <c:v>272</c:v>
                </c:pt>
                <c:pt idx="2">
                  <c:v>358</c:v>
                </c:pt>
                <c:pt idx="3">
                  <c:v>279</c:v>
                </c:pt>
                <c:pt idx="4">
                  <c:v>466</c:v>
                </c:pt>
                <c:pt idx="5">
                  <c:v>291</c:v>
                </c:pt>
                <c:pt idx="6">
                  <c:v>333</c:v>
                </c:pt>
                <c:pt idx="7">
                  <c:v>403</c:v>
                </c:pt>
                <c:pt idx="8">
                  <c:v>389</c:v>
                </c:pt>
                <c:pt idx="9">
                  <c:v>205</c:v>
                </c:pt>
                <c:pt idx="10">
                  <c:v>405</c:v>
                </c:pt>
                <c:pt idx="11">
                  <c:v>223</c:v>
                </c:pt>
                <c:pt idx="12">
                  <c:v>170</c:v>
                </c:pt>
                <c:pt idx="13">
                  <c:v>376</c:v>
                </c:pt>
                <c:pt idx="14">
                  <c:v>220</c:v>
                </c:pt>
                <c:pt idx="15">
                  <c:v>293</c:v>
                </c:pt>
                <c:pt idx="16">
                  <c:v>324</c:v>
                </c:pt>
                <c:pt idx="17">
                  <c:v>178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84224"/>
        <c:axId val="55153024"/>
      </c:lineChart>
      <c:dateAx>
        <c:axId val="4208422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5153024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55153024"/>
        <c:scaling>
          <c:orientation val="minMax"/>
          <c:max val="5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084224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0.32115</cdr:x>
      <cdr:y>0.05721</cdr:y>
    </cdr:from>
    <cdr:to>
      <cdr:x>0.74839</cdr:x>
      <cdr:y>0.2038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06889" y="178094"/>
          <a:ext cx="2270758" cy="45630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April 12:  566 total barges, down 172 barges from the previous week and 2 percent lower than the 3-year avg.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7"/>
  <sheetViews>
    <sheetView zoomScale="80" zoomScaleNormal="80" workbookViewId="0">
      <pane xSplit="1" ySplit="6" topLeftCell="B439" activePane="bottomRight" state="frozen"/>
      <selection pane="topRight" activeCell="B1" sqref="B1"/>
      <selection pane="bottomLeft" activeCell="A5" sqref="A5"/>
      <selection pane="bottomRight" activeCell="S457" sqref="S457"/>
    </sheetView>
  </sheetViews>
  <sheetFormatPr defaultColWidth="9.21875" defaultRowHeight="15.6" x14ac:dyDescent="0.3"/>
  <cols>
    <col min="1" max="1" width="17.77734375" style="2" customWidth="1"/>
    <col min="2" max="2" width="10.77734375" style="4" bestFit="1" customWidth="1"/>
    <col min="3" max="3" width="9" style="4" bestFit="1" customWidth="1"/>
    <col min="4" max="4" width="7.5546875" style="4" bestFit="1" customWidth="1"/>
    <col min="5" max="5" width="11.77734375" style="4" bestFit="1" customWidth="1"/>
    <col min="6" max="6" width="10.77734375" style="4" bestFit="1" customWidth="1"/>
    <col min="7" max="7" width="9" style="4" bestFit="1" customWidth="1"/>
    <col min="8" max="8" width="7.5546875" style="4" bestFit="1" customWidth="1"/>
    <col min="9" max="9" width="11.77734375" style="4" bestFit="1" customWidth="1"/>
    <col min="10" max="10" width="10.77734375" style="4" bestFit="1" customWidth="1"/>
    <col min="11" max="11" width="9" style="4" bestFit="1" customWidth="1"/>
    <col min="12" max="12" width="7.5546875" style="4" bestFit="1" customWidth="1"/>
    <col min="13" max="13" width="11.77734375" style="4" bestFit="1" customWidth="1"/>
    <col min="14" max="14" width="18.21875" style="4" customWidth="1"/>
    <col min="15" max="15" width="9.44140625" style="4" bestFit="1" customWidth="1"/>
    <col min="16" max="16" width="9.77734375" style="4" bestFit="1" customWidth="1"/>
    <col min="17" max="17" width="8.21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21875" style="4" bestFit="1" customWidth="1"/>
    <col min="22" max="25" width="9.77734375" style="2" bestFit="1" customWidth="1"/>
    <col min="26" max="26" width="11.5546875" style="2" customWidth="1"/>
    <col min="27" max="27" width="16.5546875" style="30" customWidth="1"/>
    <col min="28" max="16384" width="9.21875" style="2"/>
  </cols>
  <sheetData>
    <row r="1" spans="1:27" ht="18.75" customHeight="1" x14ac:dyDescent="0.3">
      <c r="A1" s="31" t="s">
        <v>29</v>
      </c>
      <c r="B1" s="31"/>
      <c r="C1" s="31"/>
      <c r="D1" s="31"/>
    </row>
    <row r="3" spans="1:27" ht="17.399999999999999" x14ac:dyDescent="0.3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.2" thickBot="1" x14ac:dyDescent="0.35">
      <c r="Q4" s="9"/>
    </row>
    <row r="5" spans="1:27" ht="16.2" thickBot="1" x14ac:dyDescent="0.35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.2" thickBot="1" x14ac:dyDescent="0.35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.2" thickBot="1" x14ac:dyDescent="0.35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.2" thickBot="1" x14ac:dyDescent="0.35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.2" thickBot="1" x14ac:dyDescent="0.35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.2" thickBot="1" x14ac:dyDescent="0.35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.2" thickBot="1" x14ac:dyDescent="0.35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.2" thickBot="1" x14ac:dyDescent="0.35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.2" thickBot="1" x14ac:dyDescent="0.35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.2" thickBot="1" x14ac:dyDescent="0.35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.2" thickBot="1" x14ac:dyDescent="0.35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.2" thickBot="1" x14ac:dyDescent="0.35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.2" thickBot="1" x14ac:dyDescent="0.35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.2" thickBot="1" x14ac:dyDescent="0.35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.2" thickBot="1" x14ac:dyDescent="0.35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.2" thickBot="1" x14ac:dyDescent="0.35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.2" thickBot="1" x14ac:dyDescent="0.35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.2" thickBot="1" x14ac:dyDescent="0.35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.2" thickBot="1" x14ac:dyDescent="0.35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.2" thickBot="1" x14ac:dyDescent="0.35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.2" thickBot="1" x14ac:dyDescent="0.35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.2" thickBot="1" x14ac:dyDescent="0.35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.2" thickBot="1" x14ac:dyDescent="0.35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.2" thickBot="1" x14ac:dyDescent="0.35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.2" thickBot="1" x14ac:dyDescent="0.35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.2" thickBot="1" x14ac:dyDescent="0.35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.2" thickBot="1" x14ac:dyDescent="0.35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.2" thickBot="1" x14ac:dyDescent="0.35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.2" thickBot="1" x14ac:dyDescent="0.35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.2" thickBot="1" x14ac:dyDescent="0.35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.2" thickBot="1" x14ac:dyDescent="0.35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.2" thickBot="1" x14ac:dyDescent="0.35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.2" thickBot="1" x14ac:dyDescent="0.35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.2" thickBot="1" x14ac:dyDescent="0.35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.2" thickBot="1" x14ac:dyDescent="0.35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.2" thickBot="1" x14ac:dyDescent="0.35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.2" thickBot="1" x14ac:dyDescent="0.35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.2" thickBot="1" x14ac:dyDescent="0.35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.2" thickBot="1" x14ac:dyDescent="0.35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.2" thickBot="1" x14ac:dyDescent="0.35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.2" thickBot="1" x14ac:dyDescent="0.35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.2" thickBot="1" x14ac:dyDescent="0.35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.2" thickBot="1" x14ac:dyDescent="0.35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.2" thickBot="1" x14ac:dyDescent="0.35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.2" thickBot="1" x14ac:dyDescent="0.35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.2" thickBot="1" x14ac:dyDescent="0.35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.2" thickBot="1" x14ac:dyDescent="0.35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.2" thickBot="1" x14ac:dyDescent="0.35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.2" thickBot="1" x14ac:dyDescent="0.35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.2" thickBot="1" x14ac:dyDescent="0.35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.2" thickBot="1" x14ac:dyDescent="0.35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.2" thickBot="1" x14ac:dyDescent="0.35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.2" thickBot="1" x14ac:dyDescent="0.35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.2" thickBot="1" x14ac:dyDescent="0.35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.2" thickBot="1" x14ac:dyDescent="0.35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.2" thickBot="1" x14ac:dyDescent="0.35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.2" thickBot="1" x14ac:dyDescent="0.35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.2" thickBot="1" x14ac:dyDescent="0.35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.2" thickBot="1" x14ac:dyDescent="0.35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.2" thickBot="1" x14ac:dyDescent="0.35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.2" thickBot="1" x14ac:dyDescent="0.35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.2" thickBot="1" x14ac:dyDescent="0.35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.2" thickBot="1" x14ac:dyDescent="0.35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.2" thickBot="1" x14ac:dyDescent="0.35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.2" thickBot="1" x14ac:dyDescent="0.35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.2" thickBot="1" x14ac:dyDescent="0.35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.2" thickBot="1" x14ac:dyDescent="0.35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.2" thickBot="1" x14ac:dyDescent="0.35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.2" thickBot="1" x14ac:dyDescent="0.35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.2" thickBot="1" x14ac:dyDescent="0.35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.2" thickBot="1" x14ac:dyDescent="0.35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.2" thickBot="1" x14ac:dyDescent="0.35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.2" thickBot="1" x14ac:dyDescent="0.35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.2" thickBot="1" x14ac:dyDescent="0.35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.2" thickBot="1" x14ac:dyDescent="0.35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.2" thickBot="1" x14ac:dyDescent="0.35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.2" thickBot="1" x14ac:dyDescent="0.35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.2" thickBot="1" x14ac:dyDescent="0.35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.2" thickBot="1" x14ac:dyDescent="0.35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.2" thickBot="1" x14ac:dyDescent="0.35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.2" thickBot="1" x14ac:dyDescent="0.35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.2" thickBot="1" x14ac:dyDescent="0.35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.2" thickBot="1" x14ac:dyDescent="0.35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.2" thickBot="1" x14ac:dyDescent="0.35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.2" thickBot="1" x14ac:dyDescent="0.35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.2" thickBot="1" x14ac:dyDescent="0.35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.2" thickBot="1" x14ac:dyDescent="0.35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.2" thickBot="1" x14ac:dyDescent="0.35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.2" thickBot="1" x14ac:dyDescent="0.35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.2" thickBot="1" x14ac:dyDescent="0.35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.2" thickBot="1" x14ac:dyDescent="0.35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.2" thickBot="1" x14ac:dyDescent="0.35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.2" thickBot="1" x14ac:dyDescent="0.35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.2" thickBot="1" x14ac:dyDescent="0.35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.2" thickBot="1" x14ac:dyDescent="0.35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.2" thickBot="1" x14ac:dyDescent="0.35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.2" thickBot="1" x14ac:dyDescent="0.35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.2" thickBot="1" x14ac:dyDescent="0.35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.2" thickBot="1" x14ac:dyDescent="0.35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.2" thickBot="1" x14ac:dyDescent="0.35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.2" thickBot="1" x14ac:dyDescent="0.35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.2" thickBot="1" x14ac:dyDescent="0.35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.2" thickBot="1" x14ac:dyDescent="0.35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.2" thickBot="1" x14ac:dyDescent="0.35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.2" thickBot="1" x14ac:dyDescent="0.35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.2" thickBot="1" x14ac:dyDescent="0.35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.2" thickBot="1" x14ac:dyDescent="0.35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.2" thickBot="1" x14ac:dyDescent="0.35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.2" thickBot="1" x14ac:dyDescent="0.35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.2" thickBot="1" x14ac:dyDescent="0.35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.2" thickBot="1" x14ac:dyDescent="0.35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.2" thickBot="1" x14ac:dyDescent="0.35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.2" thickBot="1" x14ac:dyDescent="0.35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.2" thickBot="1" x14ac:dyDescent="0.35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.2" thickBot="1" x14ac:dyDescent="0.35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.2" thickBot="1" x14ac:dyDescent="0.35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.2" thickBot="1" x14ac:dyDescent="0.35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.2" thickBot="1" x14ac:dyDescent="0.35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.2" thickBot="1" x14ac:dyDescent="0.35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.2" thickBot="1" x14ac:dyDescent="0.35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.2" thickBot="1" x14ac:dyDescent="0.35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.2" thickBot="1" x14ac:dyDescent="0.35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.2" thickBot="1" x14ac:dyDescent="0.35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.2" thickBot="1" x14ac:dyDescent="0.35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.2" thickBot="1" x14ac:dyDescent="0.35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.2" thickBot="1" x14ac:dyDescent="0.35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.2" thickBot="1" x14ac:dyDescent="0.35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.2" thickBot="1" x14ac:dyDescent="0.35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.2" thickBot="1" x14ac:dyDescent="0.35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.2" thickBot="1" x14ac:dyDescent="0.35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.2" thickBot="1" x14ac:dyDescent="0.35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.2" thickBot="1" x14ac:dyDescent="0.35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.2" thickBot="1" x14ac:dyDescent="0.35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.2" thickBot="1" x14ac:dyDescent="0.35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.2" thickBot="1" x14ac:dyDescent="0.35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.2" thickBot="1" x14ac:dyDescent="0.35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.2" thickBot="1" x14ac:dyDescent="0.35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.2" thickBot="1" x14ac:dyDescent="0.35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.2" thickBot="1" x14ac:dyDescent="0.35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.2" thickBot="1" x14ac:dyDescent="0.35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.2" thickBot="1" x14ac:dyDescent="0.35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.2" thickBot="1" x14ac:dyDescent="0.35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.2" thickBot="1" x14ac:dyDescent="0.35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.2" thickBot="1" x14ac:dyDescent="0.35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.2" thickBot="1" x14ac:dyDescent="0.35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.2" thickBot="1" x14ac:dyDescent="0.35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.2" thickBot="1" x14ac:dyDescent="0.35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.2" thickBot="1" x14ac:dyDescent="0.35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.2" thickBot="1" x14ac:dyDescent="0.35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.2" thickBot="1" x14ac:dyDescent="0.35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.2" thickBot="1" x14ac:dyDescent="0.35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.2" thickBot="1" x14ac:dyDescent="0.35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.2" thickBot="1" x14ac:dyDescent="0.35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.2" thickBot="1" x14ac:dyDescent="0.35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.2" thickBot="1" x14ac:dyDescent="0.35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.2" thickBot="1" x14ac:dyDescent="0.35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.2" thickBot="1" x14ac:dyDescent="0.35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.2" thickBot="1" x14ac:dyDescent="0.35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.2" thickBot="1" x14ac:dyDescent="0.35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.2" thickBot="1" x14ac:dyDescent="0.35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.2" thickBot="1" x14ac:dyDescent="0.35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.2" thickBot="1" x14ac:dyDescent="0.35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.2" thickBot="1" x14ac:dyDescent="0.35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.2" thickBot="1" x14ac:dyDescent="0.35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.2" thickBot="1" x14ac:dyDescent="0.35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.2" thickBot="1" x14ac:dyDescent="0.35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.2" thickBot="1" x14ac:dyDescent="0.35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.2" thickBot="1" x14ac:dyDescent="0.35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.2" thickBot="1" x14ac:dyDescent="0.35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.2" thickBot="1" x14ac:dyDescent="0.35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.2" thickBot="1" x14ac:dyDescent="0.35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.2" thickBot="1" x14ac:dyDescent="0.35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.2" thickBot="1" x14ac:dyDescent="0.35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.2" thickBot="1" x14ac:dyDescent="0.35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.2" thickBot="1" x14ac:dyDescent="0.35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.2" thickBot="1" x14ac:dyDescent="0.35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.2" thickBot="1" x14ac:dyDescent="0.35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.2" thickBot="1" x14ac:dyDescent="0.35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.2" thickBot="1" x14ac:dyDescent="0.35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.2" thickBot="1" x14ac:dyDescent="0.35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.2" thickBot="1" x14ac:dyDescent="0.35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.2" thickBot="1" x14ac:dyDescent="0.35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.2" thickBot="1" x14ac:dyDescent="0.35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.2" thickBot="1" x14ac:dyDescent="0.35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.2" thickBot="1" x14ac:dyDescent="0.35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.2" thickBot="1" x14ac:dyDescent="0.35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.2" thickBot="1" x14ac:dyDescent="0.35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.2" thickBot="1" x14ac:dyDescent="0.35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.2" thickBot="1" x14ac:dyDescent="0.35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.2" thickBot="1" x14ac:dyDescent="0.35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.2" thickBot="1" x14ac:dyDescent="0.35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.2" thickBot="1" x14ac:dyDescent="0.35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.2" thickBot="1" x14ac:dyDescent="0.35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.2" thickBot="1" x14ac:dyDescent="0.35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.2" thickBot="1" x14ac:dyDescent="0.35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.2" thickBot="1" x14ac:dyDescent="0.35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.2" thickBot="1" x14ac:dyDescent="0.35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.2" thickBot="1" x14ac:dyDescent="0.35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.2" thickBot="1" x14ac:dyDescent="0.35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.2" thickBot="1" x14ac:dyDescent="0.35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.2" thickBot="1" x14ac:dyDescent="0.35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.2" thickBot="1" x14ac:dyDescent="0.35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.2" thickBot="1" x14ac:dyDescent="0.35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.2" thickBot="1" x14ac:dyDescent="0.35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.2" thickBot="1" x14ac:dyDescent="0.35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.2" thickBot="1" x14ac:dyDescent="0.35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.2" thickBot="1" x14ac:dyDescent="0.35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.2" thickBot="1" x14ac:dyDescent="0.35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.2" thickBot="1" x14ac:dyDescent="0.35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.2" thickBot="1" x14ac:dyDescent="0.35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.2" thickBot="1" x14ac:dyDescent="0.35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.2" thickBot="1" x14ac:dyDescent="0.35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.2" thickBot="1" x14ac:dyDescent="0.35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.2" thickBot="1" x14ac:dyDescent="0.35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.2" thickBot="1" x14ac:dyDescent="0.35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.2" thickBot="1" x14ac:dyDescent="0.35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.2" thickBot="1" x14ac:dyDescent="0.35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.2" thickBot="1" x14ac:dyDescent="0.35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.2" thickBot="1" x14ac:dyDescent="0.35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.2" thickBot="1" x14ac:dyDescent="0.35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.2" thickBot="1" x14ac:dyDescent="0.35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.2" thickBot="1" x14ac:dyDescent="0.35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.2" thickBot="1" x14ac:dyDescent="0.35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.2" thickBot="1" x14ac:dyDescent="0.35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.2" thickBot="1" x14ac:dyDescent="0.35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.2" thickBot="1" x14ac:dyDescent="0.35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.2" thickBot="1" x14ac:dyDescent="0.35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.2" thickBot="1" x14ac:dyDescent="0.35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.2" thickBot="1" x14ac:dyDescent="0.35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.2" thickBot="1" x14ac:dyDescent="0.35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.2" thickBot="1" x14ac:dyDescent="0.35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.2" thickBot="1" x14ac:dyDescent="0.35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.2" thickBot="1" x14ac:dyDescent="0.35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.2" thickBot="1" x14ac:dyDescent="0.35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.2" thickBot="1" x14ac:dyDescent="0.35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.2" thickBot="1" x14ac:dyDescent="0.35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.2" thickBot="1" x14ac:dyDescent="0.35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.2" thickBot="1" x14ac:dyDescent="0.35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.2" thickBot="1" x14ac:dyDescent="0.35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.2" thickBot="1" x14ac:dyDescent="0.35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.2" thickBot="1" x14ac:dyDescent="0.35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.2" thickBot="1" x14ac:dyDescent="0.35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.2" thickBot="1" x14ac:dyDescent="0.35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.2" thickBot="1" x14ac:dyDescent="0.35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.2" thickBot="1" x14ac:dyDescent="0.35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.2" thickBot="1" x14ac:dyDescent="0.35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.2" thickBot="1" x14ac:dyDescent="0.35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.2" thickBot="1" x14ac:dyDescent="0.35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.2" thickBot="1" x14ac:dyDescent="0.35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.2" thickBot="1" x14ac:dyDescent="0.35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.2" thickBot="1" x14ac:dyDescent="0.35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.2" thickBot="1" x14ac:dyDescent="0.35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.2" thickBot="1" x14ac:dyDescent="0.35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.2" thickBot="1" x14ac:dyDescent="0.35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.2" thickBot="1" x14ac:dyDescent="0.35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.2" thickBot="1" x14ac:dyDescent="0.35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.2" thickBot="1" x14ac:dyDescent="0.35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.2" thickBot="1" x14ac:dyDescent="0.35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.2" thickBot="1" x14ac:dyDescent="0.35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.2" thickBot="1" x14ac:dyDescent="0.35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.2" thickBot="1" x14ac:dyDescent="0.35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.2" thickBot="1" x14ac:dyDescent="0.35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.2" thickBot="1" x14ac:dyDescent="0.35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.2" thickBot="1" x14ac:dyDescent="0.35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.2" thickBot="1" x14ac:dyDescent="0.35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.2" thickBot="1" x14ac:dyDescent="0.35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.2" thickBot="1" x14ac:dyDescent="0.35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.2" thickBot="1" x14ac:dyDescent="0.35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.2" thickBot="1" x14ac:dyDescent="0.35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.2" thickBot="1" x14ac:dyDescent="0.35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.2" thickBot="1" x14ac:dyDescent="0.35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.2" thickBot="1" x14ac:dyDescent="0.35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.2" thickBot="1" x14ac:dyDescent="0.35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.2" thickBot="1" x14ac:dyDescent="0.35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.2" thickBot="1" x14ac:dyDescent="0.35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.2" thickBot="1" x14ac:dyDescent="0.35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.2" thickBot="1" x14ac:dyDescent="0.35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.2" thickBot="1" x14ac:dyDescent="0.35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.2" thickBot="1" x14ac:dyDescent="0.35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.2" thickBot="1" x14ac:dyDescent="0.35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.2" thickBot="1" x14ac:dyDescent="0.35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.2" thickBot="1" x14ac:dyDescent="0.35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.2" thickBot="1" x14ac:dyDescent="0.35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.2" thickBot="1" x14ac:dyDescent="0.35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.2" thickBot="1" x14ac:dyDescent="0.35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.2" thickBot="1" x14ac:dyDescent="0.35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.2" thickBot="1" x14ac:dyDescent="0.35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.2" thickBot="1" x14ac:dyDescent="0.35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.2" thickBot="1" x14ac:dyDescent="0.35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.2" thickBot="1" x14ac:dyDescent="0.35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.2" thickBot="1" x14ac:dyDescent="0.35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.2" thickBot="1" x14ac:dyDescent="0.35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.2" thickBot="1" x14ac:dyDescent="0.35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.2" thickBot="1" x14ac:dyDescent="0.35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.2" thickBot="1" x14ac:dyDescent="0.35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.2" thickBot="1" x14ac:dyDescent="0.35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.2" thickBot="1" x14ac:dyDescent="0.35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.2" thickBot="1" x14ac:dyDescent="0.35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.2" thickBot="1" x14ac:dyDescent="0.35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.2" thickBot="1" x14ac:dyDescent="0.35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.2" thickBot="1" x14ac:dyDescent="0.35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.2" thickBot="1" x14ac:dyDescent="0.35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.2" thickBot="1" x14ac:dyDescent="0.35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.2" thickBot="1" x14ac:dyDescent="0.35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.2" thickBot="1" x14ac:dyDescent="0.35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.2" thickBot="1" x14ac:dyDescent="0.35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.2" thickBot="1" x14ac:dyDescent="0.35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.2" thickBot="1" x14ac:dyDescent="0.35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.2" thickBot="1" x14ac:dyDescent="0.35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.2" thickBot="1" x14ac:dyDescent="0.35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.2" thickBot="1" x14ac:dyDescent="0.35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.2" thickBot="1" x14ac:dyDescent="0.35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.2" thickBot="1" x14ac:dyDescent="0.35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.2" thickBot="1" x14ac:dyDescent="0.35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.2" thickBot="1" x14ac:dyDescent="0.35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.2" thickBot="1" x14ac:dyDescent="0.35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.2" thickBot="1" x14ac:dyDescent="0.35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.2" thickBot="1" x14ac:dyDescent="0.35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.2" thickBot="1" x14ac:dyDescent="0.35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.2" thickBot="1" x14ac:dyDescent="0.35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.2" thickBot="1" x14ac:dyDescent="0.35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.2" thickBot="1" x14ac:dyDescent="0.35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.2" thickBot="1" x14ac:dyDescent="0.35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.2" thickBot="1" x14ac:dyDescent="0.35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.2" thickBot="1" x14ac:dyDescent="0.35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.2" thickBot="1" x14ac:dyDescent="0.35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.2" thickBot="1" x14ac:dyDescent="0.35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.2" thickBot="1" x14ac:dyDescent="0.35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.2" thickBot="1" x14ac:dyDescent="0.35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.2" thickBot="1" x14ac:dyDescent="0.35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.2" thickBot="1" x14ac:dyDescent="0.35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.2" thickBot="1" x14ac:dyDescent="0.35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.2" thickBot="1" x14ac:dyDescent="0.35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.2" thickBot="1" x14ac:dyDescent="0.35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.2" thickBot="1" x14ac:dyDescent="0.35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.2" thickBot="1" x14ac:dyDescent="0.35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.2" thickBot="1" x14ac:dyDescent="0.35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.2" thickBot="1" x14ac:dyDescent="0.35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.2" thickBot="1" x14ac:dyDescent="0.35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.2" thickBot="1" x14ac:dyDescent="0.35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.2" thickBot="1" x14ac:dyDescent="0.35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.2" thickBot="1" x14ac:dyDescent="0.35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.2" thickBot="1" x14ac:dyDescent="0.35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.2" thickBot="1" x14ac:dyDescent="0.35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.2" thickBot="1" x14ac:dyDescent="0.35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.2" thickBot="1" x14ac:dyDescent="0.35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.2" thickBot="1" x14ac:dyDescent="0.35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.2" thickBot="1" x14ac:dyDescent="0.35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.2" thickBot="1" x14ac:dyDescent="0.35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.2" thickBot="1" x14ac:dyDescent="0.35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.2" thickBot="1" x14ac:dyDescent="0.35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.2" thickBot="1" x14ac:dyDescent="0.35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.2" thickBot="1" x14ac:dyDescent="0.35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.2" thickBot="1" x14ac:dyDescent="0.35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.2" thickBot="1" x14ac:dyDescent="0.35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.2" thickBot="1" x14ac:dyDescent="0.35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.2" thickBot="1" x14ac:dyDescent="0.35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.2" thickBot="1" x14ac:dyDescent="0.35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.2" thickBot="1" x14ac:dyDescent="0.35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.2" thickBot="1" x14ac:dyDescent="0.35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.2" thickBot="1" x14ac:dyDescent="0.35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.2" thickBot="1" x14ac:dyDescent="0.35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.2" thickBot="1" x14ac:dyDescent="0.35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.2" thickBot="1" x14ac:dyDescent="0.35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.2" thickBot="1" x14ac:dyDescent="0.35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.2" thickBot="1" x14ac:dyDescent="0.35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.2" thickBot="1" x14ac:dyDescent="0.35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.2" thickBot="1" x14ac:dyDescent="0.35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.2" thickBot="1" x14ac:dyDescent="0.35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.2" thickBot="1" x14ac:dyDescent="0.35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.2" thickBot="1" x14ac:dyDescent="0.35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.2" thickBot="1" x14ac:dyDescent="0.35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.2" thickBot="1" x14ac:dyDescent="0.35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.2" thickBot="1" x14ac:dyDescent="0.35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.2" thickBot="1" x14ac:dyDescent="0.35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.2" thickBot="1" x14ac:dyDescent="0.35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.2" thickBot="1" x14ac:dyDescent="0.35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.2" thickBot="1" x14ac:dyDescent="0.35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.2" thickBot="1" x14ac:dyDescent="0.35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.2" thickBot="1" x14ac:dyDescent="0.35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.2" thickBot="1" x14ac:dyDescent="0.35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.2" thickBot="1" x14ac:dyDescent="0.35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.2" thickBot="1" x14ac:dyDescent="0.35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.2" thickBot="1" x14ac:dyDescent="0.35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.2" thickBot="1" x14ac:dyDescent="0.35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.2" thickBot="1" x14ac:dyDescent="0.35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.2" thickBot="1" x14ac:dyDescent="0.35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.2" thickBot="1" x14ac:dyDescent="0.35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.2" thickBot="1" x14ac:dyDescent="0.35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.2" thickBot="1" x14ac:dyDescent="0.35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.2" thickBot="1" x14ac:dyDescent="0.35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.2" thickBot="1" x14ac:dyDescent="0.35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.2" thickBot="1" x14ac:dyDescent="0.35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.2" thickBot="1" x14ac:dyDescent="0.35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.2" thickBot="1" x14ac:dyDescent="0.35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.2" thickBot="1" x14ac:dyDescent="0.35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.2" thickBot="1" x14ac:dyDescent="0.35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.2" thickBot="1" x14ac:dyDescent="0.35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.2" thickBot="1" x14ac:dyDescent="0.35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.2" thickBot="1" x14ac:dyDescent="0.35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.2" thickBot="1" x14ac:dyDescent="0.35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.2" thickBot="1" x14ac:dyDescent="0.35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.2" thickBot="1" x14ac:dyDescent="0.35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.2" thickBot="1" x14ac:dyDescent="0.35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.2" thickBot="1" x14ac:dyDescent="0.35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.2" thickBot="1" x14ac:dyDescent="0.35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.2" thickBot="1" x14ac:dyDescent="0.35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.2" thickBot="1" x14ac:dyDescent="0.35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.2" thickBot="1" x14ac:dyDescent="0.35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.2" thickBot="1" x14ac:dyDescent="0.35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.2" thickBot="1" x14ac:dyDescent="0.35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.2" thickBot="1" x14ac:dyDescent="0.35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.2" thickBot="1" x14ac:dyDescent="0.35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.2" thickBot="1" x14ac:dyDescent="0.35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.2" thickBot="1" x14ac:dyDescent="0.35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.2" thickBot="1" x14ac:dyDescent="0.35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.2" thickBot="1" x14ac:dyDescent="0.35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.2" thickBot="1" x14ac:dyDescent="0.35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.2" thickBot="1" x14ac:dyDescent="0.35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.2" thickBot="1" x14ac:dyDescent="0.35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.2" thickBot="1" x14ac:dyDescent="0.35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.2" thickBot="1" x14ac:dyDescent="0.35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.2" thickBot="1" x14ac:dyDescent="0.35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.2" thickBot="1" x14ac:dyDescent="0.35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.2" thickBot="1" x14ac:dyDescent="0.35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.2" thickBot="1" x14ac:dyDescent="0.35">
      <c r="A431" s="20">
        <f t="shared" ref="A431:A457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.2" thickBot="1" x14ac:dyDescent="0.35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.2" thickBot="1" x14ac:dyDescent="0.35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.2" thickBot="1" x14ac:dyDescent="0.35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.2" thickBot="1" x14ac:dyDescent="0.35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.2" thickBot="1" x14ac:dyDescent="0.35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.2" thickBot="1" x14ac:dyDescent="0.35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.2" thickBot="1" x14ac:dyDescent="0.35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.2" thickBot="1" x14ac:dyDescent="0.35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216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915</v>
      </c>
      <c r="P439" s="22">
        <f t="shared" ref="P439" si="2391">SUM(C439,E439,G439,I439,K439,M439)</f>
        <v>2467</v>
      </c>
      <c r="Q439" s="22">
        <f t="shared" ref="Q439" si="2392">SUM(D439,H439,L439)</f>
        <v>292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  <row r="440" spans="1:27" ht="16.2" thickBot="1" x14ac:dyDescent="0.35">
      <c r="A440" s="20">
        <f t="shared" si="2292"/>
        <v>41622</v>
      </c>
      <c r="B440" s="22">
        <v>318</v>
      </c>
      <c r="C440" s="22">
        <v>442</v>
      </c>
      <c r="D440" s="22">
        <v>32</v>
      </c>
      <c r="E440" s="22">
        <v>559</v>
      </c>
      <c r="F440" s="22">
        <v>17</v>
      </c>
      <c r="G440" s="22">
        <v>82</v>
      </c>
      <c r="H440" s="22">
        <v>13</v>
      </c>
      <c r="I440" s="22">
        <v>86</v>
      </c>
      <c r="J440" s="22">
        <v>311</v>
      </c>
      <c r="K440" s="22">
        <v>751</v>
      </c>
      <c r="L440" s="22">
        <v>181</v>
      </c>
      <c r="M440" s="22">
        <v>662</v>
      </c>
      <c r="N440" s="43">
        <f t="shared" ref="N440:N452" si="2402">SUM(B440,F440,J440)</f>
        <v>646</v>
      </c>
      <c r="O440" s="22">
        <f t="shared" ref="O440" si="2403">SUM(B440,D440,F440,H440,J440,L440)</f>
        <v>872</v>
      </c>
      <c r="P440" s="22">
        <f t="shared" ref="P440" si="2404">SUM(C440,E440,G440,I440,K440,M440)</f>
        <v>2582</v>
      </c>
      <c r="Q440" s="22">
        <f t="shared" ref="Q440" si="2405">SUM(D440,H440,L440)</f>
        <v>226</v>
      </c>
      <c r="R440" s="34">
        <f t="shared" ref="R440" si="2406">(N440-N439)/N439</f>
        <v>3.691813804173355E-2</v>
      </c>
      <c r="S440" s="32">
        <f t="shared" ref="S440" si="2407">N440-N439</f>
        <v>23</v>
      </c>
      <c r="T440" s="34">
        <f t="shared" ref="T440" si="2408">(N440-N388)/N388</f>
        <v>-4.0118870728083213E-2</v>
      </c>
      <c r="U440" s="34">
        <f t="shared" ref="U440" si="2409">N440/P440</f>
        <v>0.25019364833462432</v>
      </c>
      <c r="V440" s="40">
        <f t="shared" ref="V440" si="2410">AVERAGE(B284,B336,B388)</f>
        <v>227.33333333333334</v>
      </c>
      <c r="W440" s="40">
        <f t="shared" ref="W440" si="2411">AVERAGE(F284,F336,F388)</f>
        <v>19.666666666666668</v>
      </c>
      <c r="X440" s="40">
        <f t="shared" ref="X440" si="2412">AVERAGE(J284,J336,J388)</f>
        <v>398</v>
      </c>
      <c r="Y440" s="40">
        <f t="shared" ref="Y440" si="2413">AVERAGE(N284,N336,N388)</f>
        <v>645</v>
      </c>
      <c r="Z440" s="61">
        <f t="shared" ref="Z440" si="2414">(N440-Y440)/Y440</f>
        <v>1.5503875968992248E-3</v>
      </c>
      <c r="AA440" s="61"/>
    </row>
    <row r="441" spans="1:27" ht="16.2" thickBot="1" x14ac:dyDescent="0.35">
      <c r="A441" s="20">
        <f t="shared" si="2292"/>
        <v>41629</v>
      </c>
      <c r="B441" s="22">
        <v>334</v>
      </c>
      <c r="C441" s="22">
        <v>431</v>
      </c>
      <c r="D441" s="22">
        <v>45</v>
      </c>
      <c r="E441" s="22">
        <v>514</v>
      </c>
      <c r="F441" s="22">
        <v>34</v>
      </c>
      <c r="G441" s="22">
        <v>89</v>
      </c>
      <c r="H441" s="22">
        <v>2</v>
      </c>
      <c r="I441" s="22">
        <v>61</v>
      </c>
      <c r="J441" s="22">
        <v>272</v>
      </c>
      <c r="K441" s="22">
        <v>636</v>
      </c>
      <c r="L441" s="22">
        <v>197</v>
      </c>
      <c r="M441" s="22">
        <v>681</v>
      </c>
      <c r="N441" s="43">
        <f t="shared" si="2402"/>
        <v>640</v>
      </c>
      <c r="O441" s="22">
        <f t="shared" ref="O441" si="2415">SUM(B441,D441,F441,H441,J441,L441)</f>
        <v>884</v>
      </c>
      <c r="P441" s="22">
        <f t="shared" ref="P441" si="2416">SUM(C441,E441,G441,I441,K441,M441)</f>
        <v>2412</v>
      </c>
      <c r="Q441" s="22">
        <f t="shared" ref="Q441" si="2417">SUM(D441,H441,L441)</f>
        <v>244</v>
      </c>
      <c r="R441" s="34">
        <f t="shared" ref="R441" si="2418">(N441-N440)/N440</f>
        <v>-9.2879256965944269E-3</v>
      </c>
      <c r="S441" s="32">
        <f t="shared" ref="S441" si="2419">N441-N440</f>
        <v>-6</v>
      </c>
      <c r="T441" s="34">
        <f t="shared" ref="T441" si="2420">(N441-N389)/N389</f>
        <v>-3.1152647975077881E-3</v>
      </c>
      <c r="U441" s="34">
        <f t="shared" ref="U441" si="2421">N441/P441</f>
        <v>0.26533996683250416</v>
      </c>
      <c r="V441" s="40">
        <f t="shared" ref="V441" si="2422">AVERAGE(B285,B337,B389)</f>
        <v>216</v>
      </c>
      <c r="W441" s="40">
        <f t="shared" ref="W441" si="2423">AVERAGE(F285,F337,F389)</f>
        <v>25.333333333333332</v>
      </c>
      <c r="X441" s="40">
        <f t="shared" ref="X441" si="2424">AVERAGE(J285,J337,J389)</f>
        <v>425.66666666666669</v>
      </c>
      <c r="Y441" s="40">
        <f t="shared" ref="Y441" si="2425">AVERAGE(N285,N337,N389)</f>
        <v>667</v>
      </c>
      <c r="Z441" s="61">
        <f t="shared" ref="Z441" si="2426">(N441-Y441)/Y441</f>
        <v>-4.0479760119940027E-2</v>
      </c>
      <c r="AA441" s="61"/>
    </row>
    <row r="442" spans="1:27" ht="16.2" thickBot="1" x14ac:dyDescent="0.35">
      <c r="A442" s="20">
        <f t="shared" si="2292"/>
        <v>41636</v>
      </c>
      <c r="B442" s="22">
        <v>382</v>
      </c>
      <c r="C442" s="22">
        <v>506</v>
      </c>
      <c r="D442" s="22">
        <v>27</v>
      </c>
      <c r="E442" s="22">
        <v>412</v>
      </c>
      <c r="F442" s="22">
        <v>21</v>
      </c>
      <c r="G442" s="22">
        <v>72</v>
      </c>
      <c r="H442" s="22">
        <v>4</v>
      </c>
      <c r="I442" s="22">
        <v>81</v>
      </c>
      <c r="J442" s="22">
        <v>358</v>
      </c>
      <c r="K442" s="22">
        <v>691</v>
      </c>
      <c r="L442" s="22">
        <v>215</v>
      </c>
      <c r="M442" s="22">
        <v>746</v>
      </c>
      <c r="N442" s="43">
        <f t="shared" si="2402"/>
        <v>761</v>
      </c>
      <c r="O442" s="22">
        <f t="shared" ref="O442" si="2427">SUM(B442,D442,F442,H442,J442,L442)</f>
        <v>1007</v>
      </c>
      <c r="P442" s="22">
        <f t="shared" ref="P442" si="2428">SUM(C442,E442,G442,I442,K442,M442)</f>
        <v>2508</v>
      </c>
      <c r="Q442" s="22">
        <f t="shared" ref="Q442" si="2429">SUM(D442,H442,L442)</f>
        <v>246</v>
      </c>
      <c r="R442" s="34">
        <f t="shared" ref="R442" si="2430">(N442-N441)/N441</f>
        <v>0.18906249999999999</v>
      </c>
      <c r="S442" s="32">
        <f t="shared" ref="S442" si="2431">N442-N441</f>
        <v>121</v>
      </c>
      <c r="T442" s="34">
        <f t="shared" ref="T442" si="2432">(N442-N390)/N390</f>
        <v>0.18167701863354038</v>
      </c>
      <c r="U442" s="34">
        <f t="shared" ref="U442" si="2433">N442/P442</f>
        <v>0.30342902711323766</v>
      </c>
      <c r="V442" s="40">
        <f t="shared" ref="V442" si="2434">AVERAGE(B286,B338,B390)</f>
        <v>225.33333333333334</v>
      </c>
      <c r="W442" s="40">
        <f t="shared" ref="W442" si="2435">AVERAGE(F286,F338,F390)</f>
        <v>21</v>
      </c>
      <c r="X442" s="40">
        <f t="shared" ref="X442" si="2436">AVERAGE(J286,J338,J390)</f>
        <v>307.66666666666669</v>
      </c>
      <c r="Y442" s="40">
        <f t="shared" ref="Y442" si="2437">AVERAGE(N286,N338,N390)</f>
        <v>554</v>
      </c>
      <c r="Z442" s="61">
        <f t="shared" ref="Z442" si="2438">(N442-Y442)/Y442</f>
        <v>0.37364620938628157</v>
      </c>
      <c r="AA442" s="61"/>
    </row>
    <row r="443" spans="1:27" ht="16.2" thickBot="1" x14ac:dyDescent="0.35">
      <c r="A443" s="20">
        <f t="shared" si="2292"/>
        <v>41643</v>
      </c>
      <c r="B443" s="22">
        <v>267</v>
      </c>
      <c r="C443" s="22">
        <v>382</v>
      </c>
      <c r="D443" s="22">
        <v>30</v>
      </c>
      <c r="E443" s="22">
        <v>385</v>
      </c>
      <c r="F443" s="22">
        <v>30</v>
      </c>
      <c r="G443" s="22">
        <v>80</v>
      </c>
      <c r="H443" s="22">
        <v>9</v>
      </c>
      <c r="I443" s="22">
        <v>65</v>
      </c>
      <c r="J443" s="22">
        <v>279</v>
      </c>
      <c r="K443" s="22">
        <v>702</v>
      </c>
      <c r="L443" s="22">
        <v>259</v>
      </c>
      <c r="M443" s="22">
        <v>604</v>
      </c>
      <c r="N443" s="43">
        <f t="shared" si="2402"/>
        <v>576</v>
      </c>
      <c r="O443" s="22">
        <f t="shared" ref="O443" si="2439">SUM(B443,D443,F443,H443,J443,L443)</f>
        <v>874</v>
      </c>
      <c r="P443" s="22">
        <f t="shared" ref="P443" si="2440">SUM(C443,E443,G443,I443,K443,M443)</f>
        <v>2218</v>
      </c>
      <c r="Q443" s="22">
        <f t="shared" ref="Q443" si="2441">SUM(D443,H443,L443)</f>
        <v>298</v>
      </c>
      <c r="R443" s="34">
        <f t="shared" ref="R443" si="2442">(N443-N442)/N442</f>
        <v>-0.24310118265440211</v>
      </c>
      <c r="S443" s="32">
        <f t="shared" ref="S443" si="2443">N443-N442</f>
        <v>-185</v>
      </c>
      <c r="T443" s="34">
        <f t="shared" ref="T443" si="2444">(N443-N391)/N391</f>
        <v>-0.25485122897800777</v>
      </c>
      <c r="U443" s="34">
        <f t="shared" ref="U443" si="2445">N443/P443</f>
        <v>0.25969341749323716</v>
      </c>
      <c r="V443" s="40">
        <f t="shared" ref="V443" si="2446">AVERAGE(B287,B339,B391)</f>
        <v>200</v>
      </c>
      <c r="W443" s="40">
        <f t="shared" ref="W443" si="2447">AVERAGE(F287,F339,F391)</f>
        <v>35.333333333333336</v>
      </c>
      <c r="X443" s="40">
        <f t="shared" ref="X443" si="2448">AVERAGE(J287,J339,J391)</f>
        <v>437</v>
      </c>
      <c r="Y443" s="40">
        <f t="shared" ref="Y443" si="2449">AVERAGE(N287,N339,N391)</f>
        <v>672.33333333333337</v>
      </c>
      <c r="Z443" s="61">
        <f t="shared" ref="Z443" si="2450">(N443-Y443)/Y443</f>
        <v>-0.14328210213187909</v>
      </c>
      <c r="AA443" s="61"/>
    </row>
    <row r="444" spans="1:27" ht="16.2" thickBot="1" x14ac:dyDescent="0.35">
      <c r="A444" s="20">
        <f t="shared" si="2292"/>
        <v>41650</v>
      </c>
      <c r="B444" s="22">
        <v>120</v>
      </c>
      <c r="C444" s="22">
        <v>188</v>
      </c>
      <c r="D444" s="22">
        <v>9</v>
      </c>
      <c r="E444" s="22">
        <v>214</v>
      </c>
      <c r="F444" s="22">
        <v>31</v>
      </c>
      <c r="G444" s="22">
        <v>81</v>
      </c>
      <c r="H444" s="22">
        <v>5</v>
      </c>
      <c r="I444" s="22">
        <v>38</v>
      </c>
      <c r="J444" s="22">
        <v>466</v>
      </c>
      <c r="K444" s="22">
        <v>878</v>
      </c>
      <c r="L444" s="22">
        <v>240</v>
      </c>
      <c r="M444" s="22">
        <v>646</v>
      </c>
      <c r="N444" s="43">
        <f t="shared" si="2402"/>
        <v>617</v>
      </c>
      <c r="O444" s="22">
        <f t="shared" ref="O444" si="2451">SUM(B444,D444,F444,H444,J444,L444)</f>
        <v>871</v>
      </c>
      <c r="P444" s="22">
        <f t="shared" ref="P444" si="2452">SUM(C444,E444,G444,I444,K444,M444)</f>
        <v>2045</v>
      </c>
      <c r="Q444" s="22">
        <f t="shared" ref="Q444" si="2453">SUM(D444,H444,L444)</f>
        <v>254</v>
      </c>
      <c r="R444" s="34">
        <f t="shared" ref="R444" si="2454">(N444-N443)/N443</f>
        <v>7.1180555555555552E-2</v>
      </c>
      <c r="S444" s="32">
        <f t="shared" ref="S444" si="2455">N444-N443</f>
        <v>41</v>
      </c>
      <c r="T444" s="34">
        <f t="shared" ref="T444" si="2456">(N444-N392)/N392</f>
        <v>0</v>
      </c>
      <c r="U444" s="34">
        <f t="shared" ref="U444" si="2457">N444/P444</f>
        <v>0.30171149144254278</v>
      </c>
      <c r="V444" s="40">
        <f t="shared" ref="V444" si="2458">AVERAGE(B288,B340,B392)</f>
        <v>208.33333333333334</v>
      </c>
      <c r="W444" s="40">
        <f t="shared" ref="W444" si="2459">AVERAGE(F288,F340,F392)</f>
        <v>19.666666666666668</v>
      </c>
      <c r="X444" s="40">
        <f t="shared" ref="X444" si="2460">AVERAGE(J288,J340,J392)</f>
        <v>342.66666666666669</v>
      </c>
      <c r="Y444" s="40">
        <f t="shared" ref="Y444" si="2461">AVERAGE(N288,N340,N392)</f>
        <v>570.66666666666663</v>
      </c>
      <c r="Z444" s="61">
        <f t="shared" ref="Z444" si="2462">(N444-Y444)/Y444</f>
        <v>8.11915887850468E-2</v>
      </c>
      <c r="AA444" s="61"/>
    </row>
    <row r="445" spans="1:27" ht="16.2" thickBot="1" x14ac:dyDescent="0.35">
      <c r="A445" s="20">
        <f t="shared" si="2292"/>
        <v>41657</v>
      </c>
      <c r="B445" s="22">
        <v>276</v>
      </c>
      <c r="C445" s="22">
        <v>373</v>
      </c>
      <c r="D445" s="22">
        <v>14</v>
      </c>
      <c r="E445" s="22">
        <v>229</v>
      </c>
      <c r="F445" s="22">
        <v>41</v>
      </c>
      <c r="G445" s="22">
        <v>92</v>
      </c>
      <c r="H445" s="22">
        <v>10</v>
      </c>
      <c r="I445" s="22">
        <v>74</v>
      </c>
      <c r="J445" s="22">
        <v>291</v>
      </c>
      <c r="K445" s="22">
        <v>692</v>
      </c>
      <c r="L445" s="22">
        <v>240</v>
      </c>
      <c r="M445" s="22">
        <v>786</v>
      </c>
      <c r="N445" s="43">
        <f t="shared" si="2402"/>
        <v>608</v>
      </c>
      <c r="O445" s="22">
        <f t="shared" ref="O445" si="2463">SUM(B445,D445,F445,H445,J445,L445)</f>
        <v>872</v>
      </c>
      <c r="P445" s="22">
        <f t="shared" ref="P445" si="2464">SUM(C445,E445,G445,I445,K445,M445)</f>
        <v>2246</v>
      </c>
      <c r="Q445" s="22">
        <f t="shared" ref="Q445" si="2465">SUM(D445,H445,L445)</f>
        <v>264</v>
      </c>
      <c r="R445" s="34">
        <f t="shared" ref="R445" si="2466">(N445-N444)/N444</f>
        <v>-1.4586709886547812E-2</v>
      </c>
      <c r="S445" s="32">
        <f t="shared" ref="S445" si="2467">N445-N444</f>
        <v>-9</v>
      </c>
      <c r="T445" s="34">
        <f t="shared" ref="T445" si="2468">(N445-N393)/N393</f>
        <v>0.22828282828282828</v>
      </c>
      <c r="U445" s="34">
        <f t="shared" ref="U445" si="2469">N445/P445</f>
        <v>0.27070347284060553</v>
      </c>
      <c r="V445" s="40">
        <f t="shared" ref="V445" si="2470">AVERAGE(B289,B341,B393)</f>
        <v>192.33333333333334</v>
      </c>
      <c r="W445" s="40">
        <f t="shared" ref="W445" si="2471">AVERAGE(F289,F341,F393)</f>
        <v>25.333333333333332</v>
      </c>
      <c r="X445" s="40">
        <f t="shared" ref="X445" si="2472">AVERAGE(J289,J341,J393)</f>
        <v>337.33333333333331</v>
      </c>
      <c r="Y445" s="40">
        <f t="shared" ref="Y445" si="2473">AVERAGE(N289,N341,N393)</f>
        <v>555</v>
      </c>
      <c r="Z445" s="61">
        <f t="shared" ref="Z445" si="2474">(N445-Y445)/Y445</f>
        <v>9.5495495495495492E-2</v>
      </c>
      <c r="AA445" s="61"/>
    </row>
    <row r="446" spans="1:27" ht="16.2" thickBot="1" x14ac:dyDescent="0.35">
      <c r="A446" s="20">
        <f t="shared" si="2292"/>
        <v>41664</v>
      </c>
      <c r="B446" s="22">
        <v>167</v>
      </c>
      <c r="C446" s="22">
        <v>218</v>
      </c>
      <c r="D446" s="22">
        <v>21</v>
      </c>
      <c r="E446" s="22">
        <v>345</v>
      </c>
      <c r="F446" s="22">
        <v>11</v>
      </c>
      <c r="G446" s="22">
        <v>42</v>
      </c>
      <c r="H446" s="22">
        <v>6</v>
      </c>
      <c r="I446" s="22">
        <v>67</v>
      </c>
      <c r="J446" s="22">
        <v>333</v>
      </c>
      <c r="K446" s="22">
        <v>730</v>
      </c>
      <c r="L446" s="22">
        <v>247</v>
      </c>
      <c r="M446" s="22">
        <v>808</v>
      </c>
      <c r="N446" s="43">
        <f t="shared" si="2402"/>
        <v>511</v>
      </c>
      <c r="O446" s="22">
        <f t="shared" ref="O446" si="2475">SUM(B446,D446,F446,H446,J446,L446)</f>
        <v>785</v>
      </c>
      <c r="P446" s="22">
        <f t="shared" ref="P446" si="2476">SUM(C446,E446,G446,I446,K446,M446)</f>
        <v>2210</v>
      </c>
      <c r="Q446" s="22">
        <f t="shared" ref="Q446" si="2477">SUM(D446,H446,L446)</f>
        <v>274</v>
      </c>
      <c r="R446" s="34">
        <f t="shared" ref="R446" si="2478">(N446-N445)/N445</f>
        <v>-0.15953947368421054</v>
      </c>
      <c r="S446" s="32">
        <f t="shared" ref="S446" si="2479">N446-N445</f>
        <v>-97</v>
      </c>
      <c r="T446" s="34">
        <f t="shared" ref="T446" si="2480">(N446-N394)/N394</f>
        <v>7.3529411764705885E-2</v>
      </c>
      <c r="U446" s="34">
        <f t="shared" ref="U446" si="2481">N446/P446</f>
        <v>0.23122171945701359</v>
      </c>
      <c r="V446" s="40">
        <f t="shared" ref="V446" si="2482">AVERAGE(B290,B342,B394)</f>
        <v>215.33333333333334</v>
      </c>
      <c r="W446" s="40">
        <f t="shared" ref="W446" si="2483">AVERAGE(F290,F342,F394)</f>
        <v>26.333333333333332</v>
      </c>
      <c r="X446" s="40">
        <f t="shared" ref="X446" si="2484">AVERAGE(J290,J342,J394)</f>
        <v>239</v>
      </c>
      <c r="Y446" s="40">
        <f t="shared" ref="Y446" si="2485">AVERAGE(N290,N342,N394)</f>
        <v>480.66666666666669</v>
      </c>
      <c r="Z446" s="61">
        <f t="shared" ref="Z446" si="2486">(N446-Y446)/Y446</f>
        <v>6.3106796116504812E-2</v>
      </c>
      <c r="AA446" s="61"/>
    </row>
    <row r="447" spans="1:27" ht="16.2" thickBot="1" x14ac:dyDescent="0.35">
      <c r="A447" s="20">
        <f t="shared" si="2292"/>
        <v>41671</v>
      </c>
      <c r="B447" s="22">
        <v>117</v>
      </c>
      <c r="C447" s="22">
        <v>199</v>
      </c>
      <c r="D447" s="22">
        <v>37</v>
      </c>
      <c r="E447" s="22">
        <v>353</v>
      </c>
      <c r="F447" s="22">
        <v>22</v>
      </c>
      <c r="G447" s="22">
        <v>57</v>
      </c>
      <c r="H447" s="22">
        <v>7</v>
      </c>
      <c r="I447" s="22">
        <v>60</v>
      </c>
      <c r="J447" s="22">
        <v>403</v>
      </c>
      <c r="K447" s="22">
        <v>805</v>
      </c>
      <c r="L447" s="22">
        <v>198</v>
      </c>
      <c r="M447" s="22">
        <v>640</v>
      </c>
      <c r="N447" s="43">
        <f t="shared" si="2402"/>
        <v>542</v>
      </c>
      <c r="O447" s="22">
        <f t="shared" ref="O447" si="2487">SUM(B447,D447,F447,H447,J447,L447)</f>
        <v>784</v>
      </c>
      <c r="P447" s="22">
        <f t="shared" ref="P447" si="2488">SUM(C447,E447,G447,I447,K447,M447)</f>
        <v>2114</v>
      </c>
      <c r="Q447" s="22">
        <f t="shared" ref="Q447" si="2489">SUM(D447,H447,L447)</f>
        <v>242</v>
      </c>
      <c r="R447" s="34">
        <f t="shared" ref="R447" si="2490">(N447-N446)/N446</f>
        <v>6.0665362035225046E-2</v>
      </c>
      <c r="S447" s="32">
        <f t="shared" ref="S447" si="2491">N447-N446</f>
        <v>31</v>
      </c>
      <c r="T447" s="34">
        <f t="shared" ref="T447" si="2492">(N447-N395)/N395</f>
        <v>0.11065573770491803</v>
      </c>
      <c r="U447" s="34">
        <f t="shared" ref="U447" si="2493">N447/P447</f>
        <v>0.2563859981078524</v>
      </c>
      <c r="V447" s="40">
        <f t="shared" ref="V447" si="2494">AVERAGE(B291,B343,B395)</f>
        <v>208.66666666666666</v>
      </c>
      <c r="W447" s="40">
        <f t="shared" ref="W447" si="2495">AVERAGE(F291,F343,F395)</f>
        <v>29</v>
      </c>
      <c r="X447" s="40">
        <f t="shared" ref="X447" si="2496">AVERAGE(J291,J343,J395)</f>
        <v>300.66666666666669</v>
      </c>
      <c r="Y447" s="40">
        <f t="shared" ref="Y447" si="2497">AVERAGE(N291,N343,N395)</f>
        <v>538.33333333333337</v>
      </c>
      <c r="Z447" s="61">
        <f t="shared" ref="Z447" si="2498">(N447-Y447)/Y447</f>
        <v>6.8111455108358426E-3</v>
      </c>
      <c r="AA447" s="61"/>
    </row>
    <row r="448" spans="1:27" ht="16.2" thickBot="1" x14ac:dyDescent="0.35">
      <c r="A448" s="20">
        <f t="shared" si="2292"/>
        <v>41678</v>
      </c>
      <c r="B448" s="22">
        <v>120</v>
      </c>
      <c r="C448" s="22">
        <v>195</v>
      </c>
      <c r="D448" s="22">
        <v>24</v>
      </c>
      <c r="E448" s="22">
        <v>156</v>
      </c>
      <c r="F448" s="22">
        <v>11</v>
      </c>
      <c r="G448" s="22">
        <v>49</v>
      </c>
      <c r="H448" s="22">
        <v>14</v>
      </c>
      <c r="I448" s="22">
        <v>109</v>
      </c>
      <c r="J448" s="22">
        <v>389</v>
      </c>
      <c r="K448" s="22">
        <v>758</v>
      </c>
      <c r="L448" s="22">
        <v>212</v>
      </c>
      <c r="M448" s="22">
        <v>806</v>
      </c>
      <c r="N448" s="43">
        <f t="shared" si="2402"/>
        <v>520</v>
      </c>
      <c r="O448" s="22">
        <f t="shared" ref="O448" si="2499">SUM(B448,D448,F448,H448,J448,L448)</f>
        <v>770</v>
      </c>
      <c r="P448" s="22">
        <f t="shared" ref="P448" si="2500">SUM(C448,E448,G448,I448,K448,M448)</f>
        <v>2073</v>
      </c>
      <c r="Q448" s="22">
        <f t="shared" ref="Q448" si="2501">SUM(D448,H448,L448)</f>
        <v>250</v>
      </c>
      <c r="R448" s="34">
        <f t="shared" ref="R448" si="2502">(N448-N447)/N447</f>
        <v>-4.0590405904059039E-2</v>
      </c>
      <c r="S448" s="32">
        <f t="shared" ref="S448" si="2503">N448-N447</f>
        <v>-22</v>
      </c>
      <c r="T448" s="34">
        <f t="shared" ref="T448" si="2504">(N448-N396)/N396</f>
        <v>-7.4733096085409248E-2</v>
      </c>
      <c r="U448" s="34">
        <f t="shared" ref="U448" si="2505">N448/P448</f>
        <v>0.25084418716835505</v>
      </c>
      <c r="V448" s="40">
        <f t="shared" ref="V448" si="2506">AVERAGE(B292,B344,B396)</f>
        <v>209</v>
      </c>
      <c r="W448" s="40">
        <f t="shared" ref="W448" si="2507">AVERAGE(F292,F344,F396)</f>
        <v>25.666666666666668</v>
      </c>
      <c r="X448" s="40">
        <f t="shared" ref="X448" si="2508">AVERAGE(J292,J344,J396)</f>
        <v>278</v>
      </c>
      <c r="Y448" s="40">
        <f t="shared" ref="Y448" si="2509">AVERAGE(N292,N344,N396)</f>
        <v>512.66666666666663</v>
      </c>
      <c r="Z448" s="61">
        <f t="shared" ref="Z448" si="2510">(N448-Y448)/Y448</f>
        <v>1.430429128738629E-2</v>
      </c>
      <c r="AA448" s="61"/>
    </row>
    <row r="449" spans="1:27" ht="16.2" thickBot="1" x14ac:dyDescent="0.35">
      <c r="A449" s="20">
        <f t="shared" si="2292"/>
        <v>41685</v>
      </c>
      <c r="B449" s="22">
        <v>134</v>
      </c>
      <c r="C449" s="22">
        <v>203</v>
      </c>
      <c r="D449" s="22">
        <v>25</v>
      </c>
      <c r="E449" s="22">
        <v>218</v>
      </c>
      <c r="F449" s="22">
        <v>40</v>
      </c>
      <c r="G449" s="22">
        <v>102</v>
      </c>
      <c r="H449" s="22">
        <v>7</v>
      </c>
      <c r="I449" s="22">
        <v>66</v>
      </c>
      <c r="J449" s="22">
        <v>205</v>
      </c>
      <c r="K449" s="22">
        <v>591</v>
      </c>
      <c r="L449" s="22">
        <v>266</v>
      </c>
      <c r="M449" s="22">
        <v>802</v>
      </c>
      <c r="N449" s="43">
        <f t="shared" si="2402"/>
        <v>379</v>
      </c>
      <c r="O449" s="22">
        <f t="shared" ref="O449" si="2511">SUM(B449,D449,F449,H449,J449,L449)</f>
        <v>677</v>
      </c>
      <c r="P449" s="22">
        <f t="shared" ref="P449" si="2512">SUM(C449,E449,G449,I449,K449,M449)</f>
        <v>1982</v>
      </c>
      <c r="Q449" s="22">
        <f t="shared" ref="Q449" si="2513">SUM(D449,H449,L449)</f>
        <v>298</v>
      </c>
      <c r="R449" s="34">
        <f t="shared" ref="R449" si="2514">(N449-N448)/N448</f>
        <v>-0.27115384615384613</v>
      </c>
      <c r="S449" s="32">
        <f t="shared" ref="S449" si="2515">N449-N448</f>
        <v>-141</v>
      </c>
      <c r="T449" s="34">
        <f t="shared" ref="T449" si="2516">(N449-N397)/N397</f>
        <v>-0.33856893542757416</v>
      </c>
      <c r="U449" s="34">
        <f t="shared" ref="U449" si="2517">N449/P449</f>
        <v>0.19122098890010092</v>
      </c>
      <c r="V449" s="40">
        <f t="shared" ref="V449" si="2518">AVERAGE(B293,B345,B397)</f>
        <v>247</v>
      </c>
      <c r="W449" s="40">
        <f t="shared" ref="W449" si="2519">AVERAGE(F293,F345,F397)</f>
        <v>19.666666666666668</v>
      </c>
      <c r="X449" s="40">
        <f t="shared" ref="X449" si="2520">AVERAGE(J293,J345,J397)</f>
        <v>287.33333333333331</v>
      </c>
      <c r="Y449" s="40">
        <f t="shared" ref="Y449" si="2521">AVERAGE(N293,N345,N397)</f>
        <v>554</v>
      </c>
      <c r="Z449" s="61">
        <f t="shared" ref="Z449" si="2522">(N449-Y449)/Y449</f>
        <v>-0.31588447653429602</v>
      </c>
      <c r="AA449" s="61"/>
    </row>
    <row r="450" spans="1:27" ht="16.2" thickBot="1" x14ac:dyDescent="0.35">
      <c r="A450" s="20">
        <f t="shared" si="2292"/>
        <v>41692</v>
      </c>
      <c r="B450" s="22">
        <v>139</v>
      </c>
      <c r="C450" s="22">
        <v>261</v>
      </c>
      <c r="D450" s="22">
        <v>16</v>
      </c>
      <c r="E450" s="22">
        <v>170</v>
      </c>
      <c r="F450" s="22">
        <v>19</v>
      </c>
      <c r="G450" s="22">
        <v>109</v>
      </c>
      <c r="H450" s="22">
        <v>4</v>
      </c>
      <c r="I450" s="22">
        <v>83</v>
      </c>
      <c r="J450" s="22">
        <v>405</v>
      </c>
      <c r="K450" s="22">
        <v>870</v>
      </c>
      <c r="L450" s="22">
        <v>213</v>
      </c>
      <c r="M450" s="22">
        <v>699</v>
      </c>
      <c r="N450" s="43">
        <f t="shared" si="2402"/>
        <v>563</v>
      </c>
      <c r="O450" s="22">
        <f t="shared" ref="O450" si="2523">SUM(B450,D450,F450,H450,J450,L450)</f>
        <v>796</v>
      </c>
      <c r="P450" s="22">
        <f t="shared" ref="P450" si="2524">SUM(C450,E450,G450,I450,K450,M450)</f>
        <v>2192</v>
      </c>
      <c r="Q450" s="22">
        <f t="shared" ref="Q450" si="2525">SUM(D450,H450,L450)</f>
        <v>233</v>
      </c>
      <c r="R450" s="34">
        <f t="shared" ref="R450" si="2526">(N450-N449)/N449</f>
        <v>0.48548812664907653</v>
      </c>
      <c r="S450" s="32">
        <f t="shared" ref="S450" si="2527">N450-N449</f>
        <v>184</v>
      </c>
      <c r="T450" s="34">
        <f t="shared" ref="T450" si="2528">(N450-N398)/N398</f>
        <v>0.12825651302605209</v>
      </c>
      <c r="U450" s="34">
        <f t="shared" ref="U450" si="2529">N450/P450</f>
        <v>0.25684306569343068</v>
      </c>
      <c r="V450" s="40">
        <f t="shared" ref="V450" si="2530">AVERAGE(B294,B346,B398)</f>
        <v>254</v>
      </c>
      <c r="W450" s="40">
        <f t="shared" ref="W450" si="2531">AVERAGE(F294,F346,F398)</f>
        <v>19</v>
      </c>
      <c r="X450" s="40">
        <f t="shared" ref="X450" si="2532">AVERAGE(J294,J346,J398)</f>
        <v>329.33333333333331</v>
      </c>
      <c r="Y450" s="40">
        <f t="shared" ref="Y450" si="2533">AVERAGE(N294,N346,N398)</f>
        <v>602.33333333333337</v>
      </c>
      <c r="Z450" s="61">
        <f t="shared" ref="Z450" si="2534">(N450-Y450)/Y450</f>
        <v>-6.530160486995025E-2</v>
      </c>
      <c r="AA450" s="61"/>
    </row>
    <row r="451" spans="1:27" ht="16.2" thickBot="1" x14ac:dyDescent="0.35">
      <c r="A451" s="20">
        <f t="shared" si="2292"/>
        <v>41699</v>
      </c>
      <c r="B451" s="22">
        <v>167</v>
      </c>
      <c r="C451" s="22">
        <v>336</v>
      </c>
      <c r="D451" s="22">
        <v>37</v>
      </c>
      <c r="E451" s="22">
        <v>305</v>
      </c>
      <c r="F451" s="22">
        <v>21</v>
      </c>
      <c r="G451" s="22">
        <v>79</v>
      </c>
      <c r="H451" s="22">
        <v>17</v>
      </c>
      <c r="I451" s="22">
        <v>99</v>
      </c>
      <c r="J451" s="22">
        <v>223</v>
      </c>
      <c r="K451" s="22">
        <v>726</v>
      </c>
      <c r="L451" s="22">
        <v>295</v>
      </c>
      <c r="M451" s="22">
        <v>832</v>
      </c>
      <c r="N451" s="43">
        <f t="shared" si="2402"/>
        <v>411</v>
      </c>
      <c r="O451" s="22">
        <f t="shared" ref="O451" si="2535">SUM(B451,D451,F451,H451,J451,L451)</f>
        <v>760</v>
      </c>
      <c r="P451" s="22">
        <f t="shared" ref="P451" si="2536">SUM(C451,E451,G451,I451,K451,M451)</f>
        <v>2377</v>
      </c>
      <c r="Q451" s="22">
        <f t="shared" ref="Q451" si="2537">SUM(D451,H451,L451)</f>
        <v>349</v>
      </c>
      <c r="R451" s="34">
        <f t="shared" ref="R451" si="2538">(N451-N450)/N450</f>
        <v>-0.26998223801065718</v>
      </c>
      <c r="S451" s="32">
        <f t="shared" ref="S451" si="2539">N451-N450</f>
        <v>-152</v>
      </c>
      <c r="T451" s="34">
        <f t="shared" ref="T451" si="2540">(N451-N399)/N399</f>
        <v>-0.29015544041450775</v>
      </c>
      <c r="U451" s="34">
        <f t="shared" ref="U451" si="2541">N451/P451</f>
        <v>0.17290702566259991</v>
      </c>
      <c r="V451" s="40">
        <f t="shared" ref="V451" si="2542">AVERAGE(B295,B347,B399)</f>
        <v>258.33333333333331</v>
      </c>
      <c r="W451" s="40">
        <f t="shared" ref="W451" si="2543">AVERAGE(F295,F347,F399)</f>
        <v>25</v>
      </c>
      <c r="X451" s="40">
        <f t="shared" ref="X451" si="2544">AVERAGE(J295,J347,J399)</f>
        <v>253.66666666666666</v>
      </c>
      <c r="Y451" s="40">
        <f t="shared" ref="Y451" si="2545">AVERAGE(N295,N347,N399)</f>
        <v>537</v>
      </c>
      <c r="Z451" s="61">
        <f t="shared" ref="Z451" si="2546">(N451-Y451)/Y451</f>
        <v>-0.23463687150837989</v>
      </c>
      <c r="AA451" s="61"/>
    </row>
    <row r="452" spans="1:27" ht="16.2" thickBot="1" x14ac:dyDescent="0.35">
      <c r="A452" s="20">
        <f t="shared" si="2292"/>
        <v>41706</v>
      </c>
      <c r="B452" s="22">
        <v>118</v>
      </c>
      <c r="C452" s="22">
        <v>239</v>
      </c>
      <c r="D452" s="22">
        <v>16</v>
      </c>
      <c r="E452" s="22">
        <v>294</v>
      </c>
      <c r="F452" s="22">
        <v>6</v>
      </c>
      <c r="G452" s="22">
        <v>71</v>
      </c>
      <c r="H452" s="22">
        <v>35</v>
      </c>
      <c r="I452" s="22">
        <v>121</v>
      </c>
      <c r="J452" s="22">
        <v>170</v>
      </c>
      <c r="K452" s="22">
        <v>679</v>
      </c>
      <c r="L452" s="22">
        <v>162</v>
      </c>
      <c r="M452" s="22">
        <v>629</v>
      </c>
      <c r="N452" s="43">
        <f t="shared" si="2402"/>
        <v>294</v>
      </c>
      <c r="O452" s="22">
        <f t="shared" ref="O452" si="2547">SUM(B452,D452,F452,H452,J452,L452)</f>
        <v>507</v>
      </c>
      <c r="P452" s="22">
        <f t="shared" ref="P452" si="2548">SUM(C452,E452,G452,I452,K452,M452)</f>
        <v>2033</v>
      </c>
      <c r="Q452" s="22">
        <f t="shared" ref="Q452" si="2549">SUM(D452,H452,L452)</f>
        <v>213</v>
      </c>
      <c r="R452" s="34">
        <f t="shared" ref="R452" si="2550">(N452-N451)/N451</f>
        <v>-0.28467153284671531</v>
      </c>
      <c r="S452" s="32">
        <f t="shared" ref="S452" si="2551">N452-N451</f>
        <v>-117</v>
      </c>
      <c r="T452" s="34">
        <f t="shared" ref="T452" si="2552">(N452-N400)/N400</f>
        <v>-0.52884615384615385</v>
      </c>
      <c r="U452" s="34">
        <f t="shared" ref="U452" si="2553">N452/P452</f>
        <v>0.14461387112641416</v>
      </c>
      <c r="V452" s="40">
        <f t="shared" ref="V452" si="2554">AVERAGE(B296,B348,B400)</f>
        <v>346.33333333333331</v>
      </c>
      <c r="W452" s="40">
        <f t="shared" ref="W452" si="2555">AVERAGE(F296,F348,F400)</f>
        <v>18</v>
      </c>
      <c r="X452" s="40">
        <f t="shared" ref="X452" si="2556">AVERAGE(J296,J348,J400)</f>
        <v>284.33333333333331</v>
      </c>
      <c r="Y452" s="40">
        <f t="shared" ref="Y452" si="2557">AVERAGE(N296,N348,N400)</f>
        <v>648.66666666666663</v>
      </c>
      <c r="Z452" s="61">
        <f t="shared" ref="Z452" si="2558">(N452-Y452)/Y452</f>
        <v>-0.54676258992805749</v>
      </c>
      <c r="AA452" s="61"/>
    </row>
    <row r="453" spans="1:27" ht="16.2" thickBot="1" x14ac:dyDescent="0.35">
      <c r="A453" s="20">
        <f t="shared" si="2292"/>
        <v>41713</v>
      </c>
      <c r="B453" s="22">
        <v>251</v>
      </c>
      <c r="C453" s="22">
        <v>452</v>
      </c>
      <c r="D453" s="22">
        <v>35</v>
      </c>
      <c r="E453" s="22">
        <v>396</v>
      </c>
      <c r="F453" s="22">
        <v>38</v>
      </c>
      <c r="G453" s="22">
        <v>118</v>
      </c>
      <c r="H453" s="22">
        <v>15</v>
      </c>
      <c r="I453" s="22">
        <v>75</v>
      </c>
      <c r="J453" s="22">
        <v>376</v>
      </c>
      <c r="K453" s="22">
        <v>917</v>
      </c>
      <c r="L453" s="22">
        <v>269</v>
      </c>
      <c r="M453" s="22">
        <v>825</v>
      </c>
      <c r="N453" s="43">
        <f>SUM(B453,F453,J453)</f>
        <v>665</v>
      </c>
      <c r="O453" s="22">
        <f t="shared" ref="O453" si="2559">SUM(B453,D453,F453,H453,J453,L453)</f>
        <v>984</v>
      </c>
      <c r="P453" s="22">
        <f t="shared" ref="P453" si="2560">SUM(C453,E453,G453,I453,K453,M453)</f>
        <v>2783</v>
      </c>
      <c r="Q453" s="22">
        <f t="shared" ref="Q453" si="2561">SUM(D453,H453,L453)</f>
        <v>319</v>
      </c>
      <c r="R453" s="34">
        <f t="shared" ref="R453" si="2562">(N453-N452)/N452</f>
        <v>1.2619047619047619</v>
      </c>
      <c r="S453" s="32">
        <f t="shared" ref="S453" si="2563">N453-N452</f>
        <v>371</v>
      </c>
      <c r="T453" s="34">
        <f t="shared" ref="T453" si="2564">(N453-N401)/N401</f>
        <v>0.16666666666666666</v>
      </c>
      <c r="U453" s="34">
        <f t="shared" ref="U453" si="2565">N453/P453</f>
        <v>0.23895077254761049</v>
      </c>
      <c r="V453" s="40">
        <f t="shared" ref="V453" si="2566">AVERAGE(B297,B349,B401)</f>
        <v>421.33333333333331</v>
      </c>
      <c r="W453" s="40">
        <f t="shared" ref="W453" si="2567">AVERAGE(F297,F349,F401)</f>
        <v>16.333333333333332</v>
      </c>
      <c r="X453" s="40">
        <f t="shared" ref="X453" si="2568">AVERAGE(J297,J349,J401)</f>
        <v>259.66666666666669</v>
      </c>
      <c r="Y453" s="40">
        <f t="shared" ref="Y453" si="2569">AVERAGE(N297,N349,N401)</f>
        <v>697.33333333333337</v>
      </c>
      <c r="Z453" s="61">
        <f t="shared" ref="Z453" si="2570">(N453-Y453)/Y453</f>
        <v>-4.636711281070751E-2</v>
      </c>
      <c r="AA453" s="61"/>
    </row>
    <row r="454" spans="1:27" ht="16.2" thickBot="1" x14ac:dyDescent="0.35">
      <c r="A454" s="20">
        <f t="shared" si="2292"/>
        <v>41720</v>
      </c>
      <c r="B454" s="22">
        <v>422</v>
      </c>
      <c r="C454" s="22">
        <v>637</v>
      </c>
      <c r="D454" s="22">
        <v>23</v>
      </c>
      <c r="E454" s="22">
        <v>329</v>
      </c>
      <c r="F454" s="22">
        <v>13</v>
      </c>
      <c r="G454" s="22">
        <v>122</v>
      </c>
      <c r="H454" s="22">
        <v>24</v>
      </c>
      <c r="I454" s="22">
        <v>110</v>
      </c>
      <c r="J454" s="22">
        <v>220</v>
      </c>
      <c r="K454" s="22">
        <v>719</v>
      </c>
      <c r="L454" s="22">
        <v>294</v>
      </c>
      <c r="M454" s="22">
        <v>888</v>
      </c>
      <c r="N454" s="43">
        <f>SUM(B454,F454,J454)</f>
        <v>655</v>
      </c>
      <c r="O454" s="22">
        <f t="shared" ref="O454" si="2571">SUM(B454,D454,F454,H454,J454,L454)</f>
        <v>996</v>
      </c>
      <c r="P454" s="22">
        <f t="shared" ref="P454" si="2572">SUM(C454,E454,G454,I454,K454,M454)</f>
        <v>2805</v>
      </c>
      <c r="Q454" s="22">
        <f t="shared" ref="Q454" si="2573">SUM(D454,H454,L454)</f>
        <v>341</v>
      </c>
      <c r="R454" s="34">
        <f t="shared" ref="R454" si="2574">(N454-N453)/N453</f>
        <v>-1.5037593984962405E-2</v>
      </c>
      <c r="S454" s="32">
        <f t="shared" ref="S454" si="2575">N454-N453</f>
        <v>-10</v>
      </c>
      <c r="T454" s="34">
        <f t="shared" ref="T454" si="2576">(N454-N402)/N402</f>
        <v>0.17383512544802868</v>
      </c>
      <c r="U454" s="34">
        <f t="shared" ref="U454" si="2577">N454/P454</f>
        <v>0.23351158645276293</v>
      </c>
      <c r="V454" s="40">
        <f t="shared" ref="V454" si="2578">AVERAGE(B298,B350,B402)</f>
        <v>303.33333333333331</v>
      </c>
      <c r="W454" s="40">
        <f t="shared" ref="W454" si="2579">AVERAGE(F298,F350,F402)</f>
        <v>13.666666666666666</v>
      </c>
      <c r="X454" s="40">
        <f t="shared" ref="X454" si="2580">AVERAGE(J298,J350,J402)</f>
        <v>268.33333333333331</v>
      </c>
      <c r="Y454" s="40">
        <f t="shared" ref="Y454" si="2581">AVERAGE(N298,N350,N402)</f>
        <v>585.33333333333337</v>
      </c>
      <c r="Z454" s="61">
        <f t="shared" ref="Z454" si="2582">(N454-Y454)/Y454</f>
        <v>0.11902050113895209</v>
      </c>
      <c r="AA454" s="61"/>
    </row>
    <row r="455" spans="1:27" ht="16.2" thickBot="1" x14ac:dyDescent="0.35">
      <c r="A455" s="20">
        <f t="shared" si="2292"/>
        <v>41727</v>
      </c>
      <c r="B455" s="22">
        <v>417</v>
      </c>
      <c r="C455" s="22">
        <v>635</v>
      </c>
      <c r="D455" s="22">
        <v>41</v>
      </c>
      <c r="E455" s="22">
        <v>545</v>
      </c>
      <c r="F455" s="22">
        <v>15</v>
      </c>
      <c r="G455" s="22">
        <v>83</v>
      </c>
      <c r="H455" s="22">
        <v>21</v>
      </c>
      <c r="I455" s="22">
        <v>71</v>
      </c>
      <c r="J455" s="22">
        <v>293</v>
      </c>
      <c r="K455" s="22">
        <v>817</v>
      </c>
      <c r="L455" s="22">
        <v>284</v>
      </c>
      <c r="M455" s="22">
        <v>811</v>
      </c>
      <c r="N455" s="43">
        <f>SUM(B455,F455,J455)</f>
        <v>725</v>
      </c>
      <c r="O455" s="22">
        <f t="shared" ref="O455" si="2583">SUM(B455,D455,F455,H455,J455,L455)</f>
        <v>1071</v>
      </c>
      <c r="P455" s="22">
        <f t="shared" ref="P455" si="2584">SUM(C455,E455,G455,I455,K455,M455)</f>
        <v>2962</v>
      </c>
      <c r="Q455" s="22">
        <f t="shared" ref="Q455" si="2585">SUM(D455,H455,L455)</f>
        <v>346</v>
      </c>
      <c r="R455" s="34">
        <f t="shared" ref="R455" si="2586">(N455-N454)/N454</f>
        <v>0.10687022900763359</v>
      </c>
      <c r="S455" s="32">
        <f t="shared" ref="S455" si="2587">N455-N454</f>
        <v>70</v>
      </c>
      <c r="T455" s="34">
        <f t="shared" ref="T455" si="2588">(N455-N403)/N403</f>
        <v>0.54584221748400852</v>
      </c>
      <c r="U455" s="34">
        <f t="shared" ref="U455" si="2589">N455/P455</f>
        <v>0.24476704929101958</v>
      </c>
      <c r="V455" s="40">
        <f t="shared" ref="V455" si="2590">AVERAGE(B299,B351,B403)</f>
        <v>293.66666666666669</v>
      </c>
      <c r="W455" s="40">
        <f t="shared" ref="W455" si="2591">AVERAGE(F299,F351,F403)</f>
        <v>19.666666666666668</v>
      </c>
      <c r="X455" s="40">
        <f t="shared" ref="X455" si="2592">AVERAGE(J299,J351,J403)</f>
        <v>281</v>
      </c>
      <c r="Y455" s="40">
        <f t="shared" ref="Y455" si="2593">AVERAGE(N299,N351,N403)</f>
        <v>594.33333333333337</v>
      </c>
      <c r="Z455" s="61">
        <f t="shared" ref="Z455" si="2594">(N455-Y455)/Y455</f>
        <v>0.21985417835109358</v>
      </c>
      <c r="AA455" s="61"/>
    </row>
    <row r="456" spans="1:27" ht="16.2" thickBot="1" x14ac:dyDescent="0.35">
      <c r="A456" s="20">
        <f t="shared" si="2292"/>
        <v>41734</v>
      </c>
      <c r="B456" s="22">
        <v>404</v>
      </c>
      <c r="C456" s="22">
        <v>641</v>
      </c>
      <c r="D456" s="22">
        <v>48</v>
      </c>
      <c r="E456" s="22">
        <v>500</v>
      </c>
      <c r="F456" s="22">
        <v>10</v>
      </c>
      <c r="G456" s="22">
        <v>106</v>
      </c>
      <c r="H456" s="22">
        <v>23</v>
      </c>
      <c r="I456" s="22">
        <v>74</v>
      </c>
      <c r="J456" s="22">
        <v>324</v>
      </c>
      <c r="K456" s="22">
        <v>867</v>
      </c>
      <c r="L456" s="22">
        <v>267</v>
      </c>
      <c r="M456" s="22">
        <v>820</v>
      </c>
      <c r="N456" s="43">
        <f>SUM(B456,F456,J456)</f>
        <v>738</v>
      </c>
      <c r="O456" s="22">
        <f t="shared" ref="O456:O457" si="2595">SUM(B456,D456,F456,H456,J456,L456)</f>
        <v>1076</v>
      </c>
      <c r="P456" s="22">
        <f t="shared" ref="P456:P457" si="2596">SUM(C456,E456,G456,I456,K456,M456)</f>
        <v>3008</v>
      </c>
      <c r="Q456" s="22">
        <f t="shared" ref="Q456:Q457" si="2597">SUM(D456,H456,L456)</f>
        <v>338</v>
      </c>
      <c r="R456" s="34">
        <f t="shared" ref="R456" si="2598">(N456-N455)/N455</f>
        <v>1.793103448275862E-2</v>
      </c>
      <c r="S456" s="32">
        <f t="shared" ref="S456" si="2599">N456-N455</f>
        <v>13</v>
      </c>
      <c r="T456" s="34">
        <f t="shared" ref="T456" si="2600">(N456-N404)/N404</f>
        <v>0.63274336283185839</v>
      </c>
      <c r="U456" s="34">
        <f t="shared" ref="U456:U457" si="2601">N456/P456</f>
        <v>0.24534574468085107</v>
      </c>
      <c r="V456" s="40">
        <f t="shared" ref="V456" si="2602">AVERAGE(B300,B352,B404)</f>
        <v>278.66666666666669</v>
      </c>
      <c r="W456" s="40">
        <f t="shared" ref="W456" si="2603">AVERAGE(F300,F352,F404)</f>
        <v>7.333333333333333</v>
      </c>
      <c r="X456" s="40">
        <f t="shared" ref="X456" si="2604">AVERAGE(J300,J352,J404)</f>
        <v>244.33333333333334</v>
      </c>
      <c r="Y456" s="40">
        <f t="shared" ref="Y456" si="2605">AVERAGE(N300,N352,N404)</f>
        <v>530.33333333333337</v>
      </c>
      <c r="Z456" s="61">
        <f t="shared" ref="Z456" si="2606">(N456-Y456)/Y456</f>
        <v>0.39157762413576358</v>
      </c>
      <c r="AA456" s="61"/>
    </row>
    <row r="457" spans="1:27" ht="16.2" thickBot="1" x14ac:dyDescent="0.35">
      <c r="A457" s="20">
        <f t="shared" si="2292"/>
        <v>41741</v>
      </c>
      <c r="B457" s="22">
        <v>378</v>
      </c>
      <c r="C457" s="22">
        <v>662</v>
      </c>
      <c r="D457" s="22">
        <v>34</v>
      </c>
      <c r="E457" s="22">
        <v>482</v>
      </c>
      <c r="F457" s="22">
        <v>10</v>
      </c>
      <c r="G457" s="22">
        <v>75</v>
      </c>
      <c r="H457" s="22">
        <v>37</v>
      </c>
      <c r="I457" s="22">
        <v>84</v>
      </c>
      <c r="J457" s="22">
        <v>178</v>
      </c>
      <c r="K457" s="22">
        <v>551</v>
      </c>
      <c r="L457" s="22">
        <v>250</v>
      </c>
      <c r="M457" s="22">
        <v>699</v>
      </c>
      <c r="N457" s="43">
        <f>SUM(B457,F457,J457)</f>
        <v>566</v>
      </c>
      <c r="O457" s="22">
        <f t="shared" ref="O457" si="2607">SUM(B457,D457,F457,H457,J457,L457)</f>
        <v>887</v>
      </c>
      <c r="P457" s="22">
        <f t="shared" ref="P457" si="2608">SUM(C457,E457,G457,I457,K457,M457)</f>
        <v>2553</v>
      </c>
      <c r="Q457" s="22">
        <f t="shared" ref="Q457" si="2609">SUM(D457,H457,L457)</f>
        <v>321</v>
      </c>
      <c r="R457" s="34">
        <f t="shared" ref="R457" si="2610">(N457-N456)/N456</f>
        <v>-0.23306233062330622</v>
      </c>
      <c r="S457" s="32">
        <f t="shared" ref="S457" si="2611">N457-N456</f>
        <v>-172</v>
      </c>
      <c r="T457" s="34">
        <f t="shared" ref="T457" si="2612">(N457-N405)/N405</f>
        <v>0.25777777777777777</v>
      </c>
      <c r="U457" s="34">
        <f t="shared" ref="U457" si="2613">N457/P457</f>
        <v>0.22169996083039561</v>
      </c>
      <c r="V457" s="40">
        <f t="shared" ref="V457" si="2614">AVERAGE(B301,B353,B405)</f>
        <v>314</v>
      </c>
      <c r="W457" s="40">
        <f t="shared" ref="W457" si="2615">AVERAGE(F301,F353,F405)</f>
        <v>12.666666666666666</v>
      </c>
      <c r="X457" s="40">
        <f t="shared" ref="X457" si="2616">AVERAGE(J301,J353,J405)</f>
        <v>251</v>
      </c>
      <c r="Y457" s="40">
        <f t="shared" ref="Y457" si="2617">AVERAGE(N301,N353,N405)</f>
        <v>577.66666666666663</v>
      </c>
      <c r="Z457" s="61">
        <f t="shared" ref="Z457" si="2618">(N457-Y457)/Y457</f>
        <v>-2.0196191575302877E-2</v>
      </c>
      <c r="AA457" s="61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4"/>
    </sheetView>
  </sheetViews>
  <sheetFormatPr defaultColWidth="8.77734375" defaultRowHeight="13.2" x14ac:dyDescent="0.25"/>
  <cols>
    <col min="1" max="7" width="8.77734375" style="1"/>
    <col min="8" max="8" width="8" style="1" customWidth="1"/>
    <col min="9" max="9" width="8.5546875" style="1" customWidth="1"/>
    <col min="10" max="10" width="8.77734375" style="19"/>
    <col min="11" max="11" width="6.77734375" style="19" customWidth="1"/>
    <col min="12" max="16384" width="8.77734375" style="1"/>
  </cols>
  <sheetData>
    <row r="1" spans="1:10" x14ac:dyDescent="0.25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199999999999999" customHeight="1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8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3.8" x14ac:dyDescent="0.25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2014-04-14T15:33:16Z</dcterms:modified>
</cp:coreProperties>
</file>