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75" windowWidth="17370" windowHeight="8355"/>
  </bookViews>
  <sheets>
    <sheet name="FY15 based on Nov 13 forecast" sheetId="1" r:id="rId1"/>
  </sheets>
  <definedNames>
    <definedName name="_xlnm.Print_Area" localSheetId="0">'FY15 based on Nov 13 forecast'!$A$1:$P$335</definedName>
    <definedName name="_xlnm.Print_Titles" localSheetId="0">'FY15 based on Nov 13 forecast'!$A:$C,'FY15 based on Nov 13 forecast'!$2:$3</definedName>
    <definedName name="TitleRegion1.a2.p335.1">'FY15 based on Nov 13 forecast'!$A$2</definedName>
  </definedNames>
  <calcPr calcId="145621"/>
</workbook>
</file>

<file path=xl/calcChain.xml><?xml version="1.0" encoding="utf-8"?>
<calcChain xmlns="http://schemas.openxmlformats.org/spreadsheetml/2006/main">
  <c r="K333" i="1" l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334" i="1"/>
  <c r="L333" i="1" l="1"/>
  <c r="L331" i="1"/>
  <c r="L323" i="1"/>
  <c r="L322" i="1"/>
  <c r="L320" i="1"/>
  <c r="L319" i="1"/>
  <c r="L318" i="1"/>
  <c r="L317" i="1"/>
  <c r="L316" i="1"/>
  <c r="L315" i="1"/>
  <c r="L310" i="1"/>
  <c r="L309" i="1"/>
  <c r="L308" i="1"/>
  <c r="L307" i="1"/>
  <c r="L306" i="1"/>
  <c r="L305" i="1"/>
  <c r="L303" i="1"/>
  <c r="L301" i="1"/>
  <c r="L299" i="1"/>
  <c r="L296" i="1"/>
  <c r="L295" i="1"/>
  <c r="L294" i="1"/>
  <c r="L293" i="1"/>
  <c r="L291" i="1"/>
  <c r="L290" i="1"/>
  <c r="L288" i="1"/>
  <c r="L286" i="1"/>
  <c r="L285" i="1"/>
  <c r="L284" i="1"/>
  <c r="L283" i="1"/>
  <c r="L282" i="1"/>
  <c r="L280" i="1"/>
  <c r="L277" i="1"/>
  <c r="L276" i="1"/>
  <c r="L275" i="1"/>
  <c r="L274" i="1"/>
  <c r="L273" i="1"/>
  <c r="L272" i="1"/>
  <c r="L270" i="1"/>
  <c r="L269" i="1"/>
  <c r="L267" i="1"/>
  <c r="L266" i="1"/>
  <c r="L264" i="1"/>
  <c r="L263" i="1"/>
  <c r="L262" i="1"/>
  <c r="L260" i="1"/>
  <c r="L258" i="1"/>
  <c r="L257" i="1"/>
  <c r="L256" i="1"/>
  <c r="L253" i="1"/>
  <c r="L252" i="1"/>
  <c r="L251" i="1"/>
  <c r="L250" i="1"/>
  <c r="L249" i="1"/>
  <c r="M249" i="1" s="1"/>
  <c r="N249" i="1" s="1"/>
  <c r="L248" i="1"/>
  <c r="L240" i="1"/>
  <c r="L239" i="1"/>
  <c r="L238" i="1"/>
  <c r="L237" i="1"/>
  <c r="N236" i="1"/>
  <c r="L236" i="1"/>
  <c r="L235" i="1"/>
  <c r="L234" i="1"/>
  <c r="L233" i="1"/>
  <c r="L232" i="1"/>
  <c r="L231" i="1"/>
  <c r="L230" i="1"/>
  <c r="L229" i="1"/>
  <c r="L227" i="1"/>
  <c r="L226" i="1"/>
  <c r="L225" i="1"/>
  <c r="L224" i="1"/>
  <c r="L223" i="1"/>
  <c r="L222" i="1"/>
  <c r="L221" i="1"/>
  <c r="L220" i="1"/>
  <c r="L217" i="1"/>
  <c r="L212" i="1"/>
  <c r="L210" i="1"/>
  <c r="L205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87" i="1"/>
  <c r="L181" i="1"/>
  <c r="L180" i="1"/>
  <c r="L179" i="1"/>
  <c r="L178" i="1"/>
  <c r="L177" i="1"/>
  <c r="L176" i="1"/>
  <c r="L175" i="1"/>
  <c r="L172" i="1"/>
  <c r="L171" i="1"/>
  <c r="L170" i="1"/>
  <c r="L166" i="1"/>
  <c r="L165" i="1"/>
  <c r="L155" i="1"/>
  <c r="L151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5" i="1"/>
  <c r="L134" i="1"/>
  <c r="L133" i="1"/>
  <c r="L132" i="1"/>
  <c r="L131" i="1"/>
  <c r="L130" i="1"/>
  <c r="L126" i="1"/>
  <c r="L123" i="1"/>
  <c r="L122" i="1"/>
  <c r="L121" i="1"/>
  <c r="L119" i="1"/>
  <c r="L118" i="1"/>
  <c r="L117" i="1"/>
  <c r="L116" i="1"/>
  <c r="L113" i="1"/>
  <c r="L112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0" i="1"/>
  <c r="L89" i="1"/>
  <c r="L83" i="1"/>
  <c r="L82" i="1"/>
  <c r="L81" i="1"/>
  <c r="L80" i="1"/>
  <c r="L79" i="1"/>
  <c r="L78" i="1"/>
  <c r="L77" i="1"/>
  <c r="L75" i="1"/>
  <c r="L74" i="1"/>
  <c r="L73" i="1"/>
  <c r="L70" i="1"/>
  <c r="L69" i="1"/>
  <c r="L67" i="1"/>
  <c r="L63" i="1"/>
  <c r="L61" i="1"/>
  <c r="L59" i="1"/>
  <c r="L58" i="1"/>
  <c r="L57" i="1"/>
  <c r="L54" i="1"/>
  <c r="L53" i="1"/>
  <c r="L52" i="1"/>
  <c r="L49" i="1"/>
  <c r="L48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27" i="1"/>
  <c r="L26" i="1"/>
  <c r="L23" i="1"/>
  <c r="L22" i="1"/>
  <c r="L21" i="1"/>
  <c r="L20" i="1"/>
  <c r="L19" i="1"/>
  <c r="L15" i="1"/>
  <c r="L12" i="1"/>
  <c r="L9" i="1"/>
  <c r="L8" i="1"/>
  <c r="L6" i="1"/>
  <c r="H334" i="1"/>
  <c r="I334" i="1" s="1"/>
  <c r="L334" i="1" s="1"/>
  <c r="H333" i="1"/>
  <c r="I333" i="1" s="1"/>
  <c r="H332" i="1"/>
  <c r="H331" i="1"/>
  <c r="I331" i="1" s="1"/>
  <c r="H330" i="1"/>
  <c r="H329" i="1"/>
  <c r="H328" i="1"/>
  <c r="I328" i="1" s="1"/>
  <c r="L328" i="1" s="1"/>
  <c r="H327" i="1"/>
  <c r="H326" i="1"/>
  <c r="I326" i="1" s="1"/>
  <c r="L326" i="1" s="1"/>
  <c r="H325" i="1"/>
  <c r="H324" i="1"/>
  <c r="H323" i="1"/>
  <c r="I323" i="1" s="1"/>
  <c r="H322" i="1"/>
  <c r="I322" i="1" s="1"/>
  <c r="H321" i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H313" i="1"/>
  <c r="H312" i="1"/>
  <c r="I312" i="1" s="1"/>
  <c r="L312" i="1" s="1"/>
  <c r="H311" i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L304" i="1" s="1"/>
  <c r="H303" i="1"/>
  <c r="I303" i="1" s="1"/>
  <c r="H302" i="1"/>
  <c r="I302" i="1" s="1"/>
  <c r="L302" i="1" s="1"/>
  <c r="H301" i="1"/>
  <c r="I301" i="1" s="1"/>
  <c r="H300" i="1"/>
  <c r="H299" i="1"/>
  <c r="I299" i="1" s="1"/>
  <c r="H298" i="1"/>
  <c r="H297" i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H288" i="1"/>
  <c r="I288" i="1" s="1"/>
  <c r="H287" i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H280" i="1"/>
  <c r="I280" i="1" s="1"/>
  <c r="H279" i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H264" i="1"/>
  <c r="I264" i="1" s="1"/>
  <c r="H263" i="1"/>
  <c r="I263" i="1" s="1"/>
  <c r="H262" i="1"/>
  <c r="I262" i="1" s="1"/>
  <c r="H261" i="1"/>
  <c r="H260" i="1"/>
  <c r="I260" i="1" s="1"/>
  <c r="H259" i="1"/>
  <c r="H258" i="1"/>
  <c r="I258" i="1" s="1"/>
  <c r="H257" i="1"/>
  <c r="I257" i="1" s="1"/>
  <c r="H256" i="1"/>
  <c r="I256" i="1" s="1"/>
  <c r="H255" i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L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L206" i="1" s="1"/>
  <c r="H205" i="1"/>
  <c r="I205" i="1" s="1"/>
  <c r="H204" i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L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L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H163" i="1"/>
  <c r="I163" i="1" s="1"/>
  <c r="H162" i="1"/>
  <c r="I162" i="1" s="1"/>
  <c r="H161" i="1"/>
  <c r="I161" i="1" s="1"/>
  <c r="L160" i="1"/>
  <c r="H160" i="1"/>
  <c r="I160" i="1" s="1"/>
  <c r="H159" i="1"/>
  <c r="I159" i="1" s="1"/>
  <c r="H158" i="1"/>
  <c r="I158" i="1" s="1"/>
  <c r="H157" i="1"/>
  <c r="I157" i="1" s="1"/>
  <c r="H156" i="1"/>
  <c r="H155" i="1"/>
  <c r="I155" i="1" s="1"/>
  <c r="H154" i="1"/>
  <c r="H153" i="1"/>
  <c r="H152" i="1"/>
  <c r="I152" i="1" s="1"/>
  <c r="L152" i="1" s="1"/>
  <c r="H151" i="1"/>
  <c r="I151" i="1" s="1"/>
  <c r="H150" i="1"/>
  <c r="I150" i="1" s="1"/>
  <c r="L150" i="1" s="1"/>
  <c r="H149" i="1"/>
  <c r="I149" i="1" s="1"/>
  <c r="H148" i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L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L128" i="1" s="1"/>
  <c r="H127" i="1"/>
  <c r="I127" i="1" s="1"/>
  <c r="H126" i="1"/>
  <c r="I126" i="1" s="1"/>
  <c r="H125" i="1"/>
  <c r="I125" i="1" s="1"/>
  <c r="H124" i="1"/>
  <c r="H123" i="1"/>
  <c r="I123" i="1" s="1"/>
  <c r="H122" i="1"/>
  <c r="I122" i="1" s="1"/>
  <c r="H121" i="1"/>
  <c r="I121" i="1" s="1"/>
  <c r="H120" i="1"/>
  <c r="I120" i="1" s="1"/>
  <c r="L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L96" i="1" s="1"/>
  <c r="H95" i="1"/>
  <c r="I95" i="1" s="1"/>
  <c r="H94" i="1"/>
  <c r="H93" i="1"/>
  <c r="I93" i="1" s="1"/>
  <c r="H92" i="1"/>
  <c r="H91" i="1"/>
  <c r="I91" i="1" s="1"/>
  <c r="H90" i="1"/>
  <c r="I90" i="1" s="1"/>
  <c r="H89" i="1"/>
  <c r="I89" i="1" s="1"/>
  <c r="H88" i="1"/>
  <c r="I88" i="1" s="1"/>
  <c r="L88" i="1" s="1"/>
  <c r="H87" i="1"/>
  <c r="I87" i="1" s="1"/>
  <c r="H86" i="1"/>
  <c r="H85" i="1"/>
  <c r="I85" i="1" s="1"/>
  <c r="H84" i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H75" i="1"/>
  <c r="I75" i="1" s="1"/>
  <c r="H74" i="1"/>
  <c r="I74" i="1" s="1"/>
  <c r="H73" i="1"/>
  <c r="I73" i="1" s="1"/>
  <c r="H72" i="1"/>
  <c r="I72" i="1" s="1"/>
  <c r="L72" i="1" s="1"/>
  <c r="H71" i="1"/>
  <c r="I71" i="1" s="1"/>
  <c r="H70" i="1"/>
  <c r="I70" i="1" s="1"/>
  <c r="H69" i="1"/>
  <c r="I69" i="1" s="1"/>
  <c r="H68" i="1"/>
  <c r="H67" i="1"/>
  <c r="I67" i="1" s="1"/>
  <c r="H66" i="1"/>
  <c r="H65" i="1"/>
  <c r="H64" i="1"/>
  <c r="I64" i="1" s="1"/>
  <c r="L64" i="1" s="1"/>
  <c r="H63" i="1"/>
  <c r="I63" i="1" s="1"/>
  <c r="H62" i="1"/>
  <c r="I62" i="1" s="1"/>
  <c r="L62" i="1" s="1"/>
  <c r="H61" i="1"/>
  <c r="I61" i="1" s="1"/>
  <c r="H60" i="1"/>
  <c r="I60" i="1" s="1"/>
  <c r="L60" i="1" s="1"/>
  <c r="H59" i="1"/>
  <c r="I59" i="1" s="1"/>
  <c r="H58" i="1"/>
  <c r="I58" i="1" s="1"/>
  <c r="H57" i="1"/>
  <c r="I57" i="1" s="1"/>
  <c r="H56" i="1"/>
  <c r="I56" i="1" s="1"/>
  <c r="L56" i="1" s="1"/>
  <c r="H55" i="1"/>
  <c r="H54" i="1"/>
  <c r="I54" i="1" s="1"/>
  <c r="H53" i="1"/>
  <c r="I53" i="1" s="1"/>
  <c r="H52" i="1"/>
  <c r="I52" i="1" s="1"/>
  <c r="H51" i="1"/>
  <c r="H50" i="1"/>
  <c r="I50" i="1" s="1"/>
  <c r="L50" i="1" s="1"/>
  <c r="H49" i="1"/>
  <c r="I49" i="1" s="1"/>
  <c r="H48" i="1"/>
  <c r="I48" i="1" s="1"/>
  <c r="H47" i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L30" i="1" s="1"/>
  <c r="H29" i="1"/>
  <c r="I29" i="1" s="1"/>
  <c r="H28" i="1"/>
  <c r="I28" i="1" s="1"/>
  <c r="L28" i="1" s="1"/>
  <c r="H27" i="1"/>
  <c r="I27" i="1" s="1"/>
  <c r="H26" i="1"/>
  <c r="I26" i="1" s="1"/>
  <c r="H25" i="1"/>
  <c r="I25" i="1" s="1"/>
  <c r="H24" i="1"/>
  <c r="I24" i="1" s="1"/>
  <c r="L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L18" i="1" s="1"/>
  <c r="H17" i="1"/>
  <c r="I17" i="1" s="1"/>
  <c r="H16" i="1"/>
  <c r="I16" i="1" s="1"/>
  <c r="L16" i="1" s="1"/>
  <c r="H15" i="1"/>
  <c r="I15" i="1" s="1"/>
  <c r="H14" i="1"/>
  <c r="I14" i="1" s="1"/>
  <c r="L14" i="1" s="1"/>
  <c r="H13" i="1"/>
  <c r="I13" i="1" s="1"/>
  <c r="H12" i="1"/>
  <c r="I12" i="1" s="1"/>
  <c r="H11" i="1"/>
  <c r="I11" i="1" s="1"/>
  <c r="H10" i="1"/>
  <c r="I10" i="1" s="1"/>
  <c r="L10" i="1" s="1"/>
  <c r="H9" i="1"/>
  <c r="I9" i="1" s="1"/>
  <c r="H8" i="1"/>
  <c r="I8" i="1" s="1"/>
  <c r="H7" i="1"/>
  <c r="I7" i="1" s="1"/>
  <c r="H6" i="1"/>
  <c r="I6" i="1" s="1"/>
  <c r="J4" i="1"/>
  <c r="G4" i="1"/>
  <c r="F4" i="1"/>
  <c r="E4" i="1"/>
  <c r="D4" i="1"/>
  <c r="H4" i="1" l="1"/>
  <c r="P16" i="1"/>
  <c r="O16" i="1"/>
  <c r="P50" i="1"/>
  <c r="O50" i="1"/>
  <c r="P64" i="1"/>
  <c r="O64" i="1"/>
  <c r="P184" i="1"/>
  <c r="O184" i="1"/>
  <c r="O28" i="1"/>
  <c r="P28" i="1"/>
  <c r="P88" i="1"/>
  <c r="O88" i="1"/>
  <c r="P96" i="1"/>
  <c r="O96" i="1"/>
  <c r="P120" i="1"/>
  <c r="O120" i="1"/>
  <c r="P304" i="1"/>
  <c r="O304" i="1"/>
  <c r="P312" i="1"/>
  <c r="O312" i="1"/>
  <c r="P328" i="1"/>
  <c r="O328" i="1"/>
  <c r="P10" i="1"/>
  <c r="O10" i="1"/>
  <c r="P14" i="1"/>
  <c r="O14" i="1"/>
  <c r="P18" i="1"/>
  <c r="O18" i="1"/>
  <c r="P136" i="1"/>
  <c r="O136" i="1"/>
  <c r="O60" i="1"/>
  <c r="P60" i="1"/>
  <c r="P152" i="1"/>
  <c r="O152" i="1"/>
  <c r="P206" i="1"/>
  <c r="O206" i="1"/>
  <c r="P214" i="1"/>
  <c r="O214" i="1"/>
  <c r="P302" i="1"/>
  <c r="O302" i="1"/>
  <c r="P326" i="1"/>
  <c r="O326" i="1"/>
  <c r="P62" i="1"/>
  <c r="O62" i="1"/>
  <c r="I65" i="1"/>
  <c r="L65" i="1" s="1"/>
  <c r="L76" i="1"/>
  <c r="I76" i="1"/>
  <c r="I66" i="1"/>
  <c r="L66" i="1" s="1"/>
  <c r="I55" i="1"/>
  <c r="L55" i="1" s="1"/>
  <c r="M55" i="1" s="1"/>
  <c r="N55" i="1" s="1"/>
  <c r="I86" i="1"/>
  <c r="L86" i="1" s="1"/>
  <c r="I68" i="1"/>
  <c r="L68" i="1" s="1"/>
  <c r="M68" i="1" s="1"/>
  <c r="N68" i="1" s="1"/>
  <c r="I94" i="1"/>
  <c r="L94" i="1" s="1"/>
  <c r="I124" i="1"/>
  <c r="L124" i="1" s="1"/>
  <c r="M124" i="1" s="1"/>
  <c r="N124" i="1" s="1"/>
  <c r="I156" i="1"/>
  <c r="L156" i="1" s="1"/>
  <c r="I255" i="1"/>
  <c r="L255" i="1" s="1"/>
  <c r="M255" i="1" s="1"/>
  <c r="N255" i="1" s="1"/>
  <c r="I259" i="1"/>
  <c r="L259" i="1" s="1"/>
  <c r="I271" i="1"/>
  <c r="L271" i="1" s="1"/>
  <c r="M271" i="1" s="1"/>
  <c r="N271" i="1" s="1"/>
  <c r="I279" i="1"/>
  <c r="L279" i="1" s="1"/>
  <c r="I287" i="1"/>
  <c r="L287" i="1" s="1"/>
  <c r="M287" i="1" s="1"/>
  <c r="N287" i="1" s="1"/>
  <c r="I324" i="1"/>
  <c r="L324" i="1" s="1"/>
  <c r="I327" i="1"/>
  <c r="L327" i="1" s="1"/>
  <c r="M327" i="1" s="1"/>
  <c r="N327" i="1" s="1"/>
  <c r="I330" i="1"/>
  <c r="L330" i="1" s="1"/>
  <c r="O9" i="1"/>
  <c r="P9" i="1"/>
  <c r="O20" i="1"/>
  <c r="P20" i="1"/>
  <c r="P26" i="1"/>
  <c r="O26" i="1"/>
  <c r="P34" i="1"/>
  <c r="O34" i="1"/>
  <c r="P38" i="1"/>
  <c r="O38" i="1"/>
  <c r="P42" i="1"/>
  <c r="O42" i="1"/>
  <c r="P46" i="1"/>
  <c r="O46" i="1"/>
  <c r="O53" i="1"/>
  <c r="P53" i="1"/>
  <c r="O59" i="1"/>
  <c r="P59" i="1"/>
  <c r="O69" i="1"/>
  <c r="P69" i="1"/>
  <c r="O75" i="1"/>
  <c r="P75" i="1"/>
  <c r="P80" i="1"/>
  <c r="O80" i="1"/>
  <c r="O89" i="1"/>
  <c r="P89" i="1"/>
  <c r="O100" i="1"/>
  <c r="P100" i="1"/>
  <c r="P104" i="1"/>
  <c r="O104" i="1"/>
  <c r="O108" i="1"/>
  <c r="P108" i="1"/>
  <c r="O113" i="1"/>
  <c r="P113" i="1"/>
  <c r="O119" i="1"/>
  <c r="P119" i="1"/>
  <c r="P126" i="1"/>
  <c r="O126" i="1"/>
  <c r="O133" i="1"/>
  <c r="P133" i="1"/>
  <c r="P138" i="1"/>
  <c r="O138" i="1"/>
  <c r="P142" i="1"/>
  <c r="O142" i="1"/>
  <c r="P146" i="1"/>
  <c r="O146" i="1"/>
  <c r="P155" i="1"/>
  <c r="O155" i="1"/>
  <c r="O171" i="1"/>
  <c r="P171" i="1"/>
  <c r="O177" i="1"/>
  <c r="P177" i="1"/>
  <c r="O181" i="1"/>
  <c r="P181" i="1"/>
  <c r="O193" i="1"/>
  <c r="P193" i="1"/>
  <c r="O197" i="1"/>
  <c r="P197" i="1"/>
  <c r="O201" i="1"/>
  <c r="P201" i="1"/>
  <c r="O210" i="1"/>
  <c r="P210" i="1"/>
  <c r="O221" i="1"/>
  <c r="P221" i="1"/>
  <c r="O225" i="1"/>
  <c r="P225" i="1"/>
  <c r="P230" i="1"/>
  <c r="O230" i="1"/>
  <c r="O234" i="1"/>
  <c r="P234" i="1"/>
  <c r="O237" i="1"/>
  <c r="P237" i="1"/>
  <c r="P248" i="1"/>
  <c r="O248" i="1"/>
  <c r="O251" i="1"/>
  <c r="P251" i="1"/>
  <c r="O257" i="1"/>
  <c r="P257" i="1"/>
  <c r="O263" i="1"/>
  <c r="P263" i="1"/>
  <c r="O269" i="1"/>
  <c r="P269" i="1"/>
  <c r="O274" i="1"/>
  <c r="P274" i="1"/>
  <c r="P280" i="1"/>
  <c r="O280" i="1"/>
  <c r="O285" i="1"/>
  <c r="P285" i="1"/>
  <c r="O291" i="1"/>
  <c r="P291" i="1"/>
  <c r="P296" i="1"/>
  <c r="O296" i="1"/>
  <c r="O305" i="1"/>
  <c r="P305" i="1"/>
  <c r="O309" i="1"/>
  <c r="P309" i="1"/>
  <c r="O317" i="1"/>
  <c r="P317" i="1"/>
  <c r="O322" i="1"/>
  <c r="P322" i="1"/>
  <c r="P56" i="1"/>
  <c r="O56" i="1"/>
  <c r="P72" i="1"/>
  <c r="O72" i="1"/>
  <c r="L84" i="1"/>
  <c r="I84" i="1"/>
  <c r="I114" i="1"/>
  <c r="L114" i="1" s="1"/>
  <c r="P128" i="1"/>
  <c r="O128" i="1"/>
  <c r="P150" i="1"/>
  <c r="O150" i="1"/>
  <c r="I153" i="1"/>
  <c r="L153" i="1" s="1"/>
  <c r="M153" i="1" s="1"/>
  <c r="N153" i="1" s="1"/>
  <c r="P160" i="1"/>
  <c r="O160" i="1"/>
  <c r="I164" i="1"/>
  <c r="L164" i="1" s="1"/>
  <c r="M164" i="1" s="1"/>
  <c r="N164" i="1" s="1"/>
  <c r="P190" i="1"/>
  <c r="O190" i="1"/>
  <c r="I228" i="1"/>
  <c r="L228" i="1" s="1"/>
  <c r="M228" i="1" s="1"/>
  <c r="N228" i="1" s="1"/>
  <c r="I300" i="1"/>
  <c r="L300" i="1" s="1"/>
  <c r="L313" i="1"/>
  <c r="I313" i="1"/>
  <c r="I321" i="1"/>
  <c r="L321" i="1" s="1"/>
  <c r="I325" i="1"/>
  <c r="L325" i="1" s="1"/>
  <c r="M325" i="1" s="1"/>
  <c r="N325" i="1" s="1"/>
  <c r="P334" i="1"/>
  <c r="O334" i="1"/>
  <c r="O12" i="1"/>
  <c r="P12" i="1"/>
  <c r="O21" i="1"/>
  <c r="P21" i="1"/>
  <c r="O27" i="1"/>
  <c r="P27" i="1"/>
  <c r="O35" i="1"/>
  <c r="P35" i="1"/>
  <c r="O39" i="1"/>
  <c r="P39" i="1"/>
  <c r="O43" i="1"/>
  <c r="P43" i="1"/>
  <c r="P48" i="1"/>
  <c r="O48" i="1"/>
  <c r="P54" i="1"/>
  <c r="O54" i="1"/>
  <c r="O61" i="1"/>
  <c r="P61" i="1"/>
  <c r="P70" i="1"/>
  <c r="O70" i="1"/>
  <c r="O77" i="1"/>
  <c r="P77" i="1"/>
  <c r="O81" i="1"/>
  <c r="P81" i="1"/>
  <c r="P90" i="1"/>
  <c r="O90" i="1"/>
  <c r="O101" i="1"/>
  <c r="P101" i="1"/>
  <c r="O105" i="1"/>
  <c r="P105" i="1"/>
  <c r="O109" i="1"/>
  <c r="P109" i="1"/>
  <c r="P116" i="1"/>
  <c r="O116" i="1"/>
  <c r="O121" i="1"/>
  <c r="P121" i="1"/>
  <c r="P130" i="1"/>
  <c r="O130" i="1"/>
  <c r="P134" i="1"/>
  <c r="O134" i="1"/>
  <c r="O139" i="1"/>
  <c r="P139" i="1"/>
  <c r="O143" i="1"/>
  <c r="P143" i="1"/>
  <c r="O147" i="1"/>
  <c r="P147" i="1"/>
  <c r="O165" i="1"/>
  <c r="P165" i="1"/>
  <c r="P172" i="1"/>
  <c r="O172" i="1"/>
  <c r="O178" i="1"/>
  <c r="P178" i="1"/>
  <c r="O187" i="1"/>
  <c r="P187" i="1"/>
  <c r="O194" i="1"/>
  <c r="P194" i="1"/>
  <c r="P198" i="1"/>
  <c r="O198" i="1"/>
  <c r="O202" i="1"/>
  <c r="P202" i="1"/>
  <c r="P212" i="1"/>
  <c r="O212" i="1"/>
  <c r="P222" i="1"/>
  <c r="O222" i="1"/>
  <c r="O226" i="1"/>
  <c r="P226" i="1"/>
  <c r="O231" i="1"/>
  <c r="P231" i="1"/>
  <c r="O235" i="1"/>
  <c r="P235" i="1"/>
  <c r="P238" i="1"/>
  <c r="O238" i="1"/>
  <c r="O249" i="1"/>
  <c r="P249" i="1"/>
  <c r="P252" i="1"/>
  <c r="O252" i="1"/>
  <c r="O258" i="1"/>
  <c r="P258" i="1"/>
  <c r="P264" i="1"/>
  <c r="O264" i="1"/>
  <c r="P270" i="1"/>
  <c r="O270" i="1"/>
  <c r="O275" i="1"/>
  <c r="P275" i="1"/>
  <c r="O282" i="1"/>
  <c r="P282" i="1"/>
  <c r="P286" i="1"/>
  <c r="O286" i="1"/>
  <c r="O293" i="1"/>
  <c r="P293" i="1"/>
  <c r="O299" i="1"/>
  <c r="P299" i="1"/>
  <c r="O306" i="1"/>
  <c r="P306" i="1"/>
  <c r="P310" i="1"/>
  <c r="O310" i="1"/>
  <c r="P318" i="1"/>
  <c r="O318" i="1"/>
  <c r="O323" i="1"/>
  <c r="P323" i="1"/>
  <c r="P24" i="1"/>
  <c r="O24" i="1"/>
  <c r="I47" i="1"/>
  <c r="L47" i="1" s="1"/>
  <c r="L92" i="1"/>
  <c r="I92" i="1"/>
  <c r="I148" i="1"/>
  <c r="L148" i="1" s="1"/>
  <c r="I154" i="1"/>
  <c r="L154" i="1" s="1"/>
  <c r="M154" i="1" s="1"/>
  <c r="N154" i="1" s="1"/>
  <c r="I261" i="1"/>
  <c r="L261" i="1" s="1"/>
  <c r="I265" i="1"/>
  <c r="L265" i="1" s="1"/>
  <c r="M265" i="1" s="1"/>
  <c r="N265" i="1" s="1"/>
  <c r="I281" i="1"/>
  <c r="L281" i="1" s="1"/>
  <c r="I289" i="1"/>
  <c r="L289" i="1" s="1"/>
  <c r="M289" i="1" s="1"/>
  <c r="N289" i="1" s="1"/>
  <c r="I297" i="1"/>
  <c r="L297" i="1" s="1"/>
  <c r="I311" i="1"/>
  <c r="L311" i="1" s="1"/>
  <c r="M311" i="1" s="1"/>
  <c r="N311" i="1" s="1"/>
  <c r="I314" i="1"/>
  <c r="L314" i="1" s="1"/>
  <c r="I332" i="1"/>
  <c r="L332" i="1" s="1"/>
  <c r="M332" i="1" s="1"/>
  <c r="N332" i="1" s="1"/>
  <c r="P6" i="1"/>
  <c r="O6" i="1"/>
  <c r="O15" i="1"/>
  <c r="P15" i="1"/>
  <c r="P22" i="1"/>
  <c r="O22" i="1"/>
  <c r="P32" i="1"/>
  <c r="O32" i="1"/>
  <c r="O36" i="1"/>
  <c r="P36" i="1"/>
  <c r="P40" i="1"/>
  <c r="O40" i="1"/>
  <c r="O44" i="1"/>
  <c r="P44" i="1"/>
  <c r="O49" i="1"/>
  <c r="P49" i="1"/>
  <c r="O57" i="1"/>
  <c r="P57" i="1"/>
  <c r="O63" i="1"/>
  <c r="P63" i="1"/>
  <c r="O73" i="1"/>
  <c r="P73" i="1"/>
  <c r="P78" i="1"/>
  <c r="O78" i="1"/>
  <c r="P82" i="1"/>
  <c r="O82" i="1"/>
  <c r="P98" i="1"/>
  <c r="O98" i="1"/>
  <c r="P102" i="1"/>
  <c r="O102" i="1"/>
  <c r="P106" i="1"/>
  <c r="O106" i="1"/>
  <c r="P110" i="1"/>
  <c r="O110" i="1"/>
  <c r="O117" i="1"/>
  <c r="P117" i="1"/>
  <c r="P122" i="1"/>
  <c r="O122" i="1"/>
  <c r="O131" i="1"/>
  <c r="P131" i="1"/>
  <c r="O135" i="1"/>
  <c r="P135" i="1"/>
  <c r="P140" i="1"/>
  <c r="O140" i="1"/>
  <c r="P144" i="1"/>
  <c r="O144" i="1"/>
  <c r="O149" i="1"/>
  <c r="P149" i="1"/>
  <c r="P166" i="1"/>
  <c r="O166" i="1"/>
  <c r="O175" i="1"/>
  <c r="P175" i="1"/>
  <c r="O179" i="1"/>
  <c r="P179" i="1"/>
  <c r="O191" i="1"/>
  <c r="P191" i="1"/>
  <c r="O195" i="1"/>
  <c r="P195" i="1"/>
  <c r="O199" i="1"/>
  <c r="P199" i="1"/>
  <c r="O203" i="1"/>
  <c r="P203" i="1"/>
  <c r="O217" i="1"/>
  <c r="P217" i="1"/>
  <c r="O223" i="1"/>
  <c r="P223" i="1"/>
  <c r="O227" i="1"/>
  <c r="P227" i="1"/>
  <c r="P232" i="1"/>
  <c r="O232" i="1"/>
  <c r="P236" i="1"/>
  <c r="O236" i="1"/>
  <c r="O239" i="1"/>
  <c r="P239" i="1"/>
  <c r="O253" i="1"/>
  <c r="P253" i="1"/>
  <c r="P260" i="1"/>
  <c r="O260" i="1"/>
  <c r="O266" i="1"/>
  <c r="P266" i="1"/>
  <c r="P272" i="1"/>
  <c r="O272" i="1"/>
  <c r="P276" i="1"/>
  <c r="O276" i="1"/>
  <c r="O283" i="1"/>
  <c r="P283" i="1"/>
  <c r="P288" i="1"/>
  <c r="O288" i="1"/>
  <c r="P294" i="1"/>
  <c r="O294" i="1"/>
  <c r="O301" i="1"/>
  <c r="P301" i="1"/>
  <c r="O307" i="1"/>
  <c r="P307" i="1"/>
  <c r="O315" i="1"/>
  <c r="P315" i="1"/>
  <c r="O319" i="1"/>
  <c r="P319" i="1"/>
  <c r="P331" i="1"/>
  <c r="O331" i="1"/>
  <c r="P30" i="1"/>
  <c r="O30" i="1"/>
  <c r="I51" i="1"/>
  <c r="L51" i="1" s="1"/>
  <c r="M51" i="1" s="1"/>
  <c r="N51" i="1" s="1"/>
  <c r="I204" i="1"/>
  <c r="L204" i="1" s="1"/>
  <c r="I298" i="1"/>
  <c r="L298" i="1" s="1"/>
  <c r="M298" i="1" s="1"/>
  <c r="N298" i="1" s="1"/>
  <c r="I329" i="1"/>
  <c r="L329" i="1" s="1"/>
  <c r="P8" i="1"/>
  <c r="O8" i="1"/>
  <c r="O19" i="1"/>
  <c r="P19" i="1"/>
  <c r="O23" i="1"/>
  <c r="P23" i="1"/>
  <c r="O33" i="1"/>
  <c r="P33" i="1"/>
  <c r="O37" i="1"/>
  <c r="P37" i="1"/>
  <c r="O41" i="1"/>
  <c r="P41" i="1"/>
  <c r="O45" i="1"/>
  <c r="P45" i="1"/>
  <c r="O52" i="1"/>
  <c r="P52" i="1"/>
  <c r="P58" i="1"/>
  <c r="O58" i="1"/>
  <c r="O67" i="1"/>
  <c r="P67" i="1"/>
  <c r="P74" i="1"/>
  <c r="O74" i="1"/>
  <c r="O79" i="1"/>
  <c r="P79" i="1"/>
  <c r="O83" i="1"/>
  <c r="P83" i="1"/>
  <c r="O99" i="1"/>
  <c r="P99" i="1"/>
  <c r="O103" i="1"/>
  <c r="P103" i="1"/>
  <c r="O107" i="1"/>
  <c r="P107" i="1"/>
  <c r="P112" i="1"/>
  <c r="O112" i="1"/>
  <c r="P118" i="1"/>
  <c r="O118" i="1"/>
  <c r="O123" i="1"/>
  <c r="P123" i="1"/>
  <c r="P132" i="1"/>
  <c r="O132" i="1"/>
  <c r="O137" i="1"/>
  <c r="P137" i="1"/>
  <c r="O141" i="1"/>
  <c r="P141" i="1"/>
  <c r="O145" i="1"/>
  <c r="P145" i="1"/>
  <c r="O151" i="1"/>
  <c r="P151" i="1"/>
  <c r="O170" i="1"/>
  <c r="P170" i="1"/>
  <c r="P176" i="1"/>
  <c r="O176" i="1"/>
  <c r="P180" i="1"/>
  <c r="O180" i="1"/>
  <c r="P192" i="1"/>
  <c r="O192" i="1"/>
  <c r="P196" i="1"/>
  <c r="O196" i="1"/>
  <c r="P200" i="1"/>
  <c r="O200" i="1"/>
  <c r="O205" i="1"/>
  <c r="P205" i="1"/>
  <c r="P220" i="1"/>
  <c r="O220" i="1"/>
  <c r="P224" i="1"/>
  <c r="O224" i="1"/>
  <c r="O229" i="1"/>
  <c r="P229" i="1"/>
  <c r="O233" i="1"/>
  <c r="P233" i="1"/>
  <c r="P240" i="1"/>
  <c r="O240" i="1"/>
  <c r="O250" i="1"/>
  <c r="P250" i="1"/>
  <c r="P256" i="1"/>
  <c r="O256" i="1"/>
  <c r="P262" i="1"/>
  <c r="O262" i="1"/>
  <c r="O267" i="1"/>
  <c r="P267" i="1"/>
  <c r="O273" i="1"/>
  <c r="P273" i="1"/>
  <c r="O277" i="1"/>
  <c r="P277" i="1"/>
  <c r="P284" i="1"/>
  <c r="O284" i="1"/>
  <c r="O290" i="1"/>
  <c r="P290" i="1"/>
  <c r="O295" i="1"/>
  <c r="P295" i="1"/>
  <c r="O303" i="1"/>
  <c r="P303" i="1"/>
  <c r="P308" i="1"/>
  <c r="O308" i="1"/>
  <c r="P316" i="1"/>
  <c r="O316" i="1"/>
  <c r="P320" i="1"/>
  <c r="O320" i="1"/>
  <c r="P333" i="1"/>
  <c r="O333" i="1"/>
  <c r="M50" i="1"/>
  <c r="N50" i="1" s="1"/>
  <c r="M60" i="1"/>
  <c r="N60" i="1" s="1"/>
  <c r="M32" i="1"/>
  <c r="N32" i="1" s="1"/>
  <c r="M36" i="1"/>
  <c r="N36" i="1" s="1"/>
  <c r="M40" i="1"/>
  <c r="N40" i="1" s="1"/>
  <c r="M73" i="1"/>
  <c r="N73" i="1" s="1"/>
  <c r="M117" i="1"/>
  <c r="N117" i="1" s="1"/>
  <c r="M191" i="1"/>
  <c r="N191" i="1" s="1"/>
  <c r="M203" i="1"/>
  <c r="N203" i="1" s="1"/>
  <c r="M223" i="1"/>
  <c r="N223" i="1" s="1"/>
  <c r="M227" i="1"/>
  <c r="N227" i="1" s="1"/>
  <c r="M232" i="1"/>
  <c r="N232" i="1" s="1"/>
  <c r="M258" i="1"/>
  <c r="N258" i="1" s="1"/>
  <c r="M264" i="1"/>
  <c r="N264" i="1" s="1"/>
  <c r="M274" i="1"/>
  <c r="N274" i="1" s="1"/>
  <c r="M280" i="1"/>
  <c r="N280" i="1" s="1"/>
  <c r="M296" i="1"/>
  <c r="N296" i="1" s="1"/>
  <c r="M317" i="1"/>
  <c r="N317" i="1" s="1"/>
  <c r="M23" i="1"/>
  <c r="N23" i="1" s="1"/>
  <c r="M52" i="1"/>
  <c r="N52" i="1" s="1"/>
  <c r="M58" i="1"/>
  <c r="N58" i="1" s="1"/>
  <c r="M79" i="1"/>
  <c r="N79" i="1" s="1"/>
  <c r="M83" i="1"/>
  <c r="N83" i="1" s="1"/>
  <c r="M99" i="1"/>
  <c r="N99" i="1" s="1"/>
  <c r="M103" i="1"/>
  <c r="N103" i="1" s="1"/>
  <c r="M233" i="1"/>
  <c r="N233" i="1" s="1"/>
  <c r="M250" i="1"/>
  <c r="N250" i="1" s="1"/>
  <c r="M260" i="1"/>
  <c r="N260" i="1" s="1"/>
  <c r="M270" i="1"/>
  <c r="N270" i="1" s="1"/>
  <c r="M282" i="1"/>
  <c r="N282" i="1" s="1"/>
  <c r="M286" i="1"/>
  <c r="N286" i="1" s="1"/>
  <c r="M323" i="1"/>
  <c r="N323" i="1" s="1"/>
  <c r="M64" i="1"/>
  <c r="N64" i="1" s="1"/>
  <c r="M9" i="1"/>
  <c r="N9" i="1" s="1"/>
  <c r="M34" i="1"/>
  <c r="N34" i="1" s="1"/>
  <c r="M38" i="1"/>
  <c r="N38" i="1" s="1"/>
  <c r="M42" i="1"/>
  <c r="N42" i="1" s="1"/>
  <c r="M46" i="1"/>
  <c r="N46" i="1" s="1"/>
  <c r="M69" i="1"/>
  <c r="N69" i="1" s="1"/>
  <c r="M75" i="1"/>
  <c r="N75" i="1" s="1"/>
  <c r="M89" i="1"/>
  <c r="N89" i="1" s="1"/>
  <c r="M113" i="1"/>
  <c r="N113" i="1" s="1"/>
  <c r="M119" i="1"/>
  <c r="N119" i="1" s="1"/>
  <c r="M171" i="1"/>
  <c r="N171" i="1" s="1"/>
  <c r="M181" i="1"/>
  <c r="N181" i="1" s="1"/>
  <c r="M193" i="1"/>
  <c r="N193" i="1" s="1"/>
  <c r="M197" i="1"/>
  <c r="N197" i="1" s="1"/>
  <c r="M221" i="1"/>
  <c r="N221" i="1" s="1"/>
  <c r="M248" i="1"/>
  <c r="N248" i="1" s="1"/>
  <c r="M256" i="1"/>
  <c r="N256" i="1" s="1"/>
  <c r="M262" i="1"/>
  <c r="N262" i="1" s="1"/>
  <c r="M266" i="1"/>
  <c r="N266" i="1" s="1"/>
  <c r="M272" i="1"/>
  <c r="N272" i="1" s="1"/>
  <c r="M276" i="1"/>
  <c r="N276" i="1" s="1"/>
  <c r="M288" i="1"/>
  <c r="N288" i="1" s="1"/>
  <c r="M294" i="1"/>
  <c r="N294" i="1" s="1"/>
  <c r="M319" i="1"/>
  <c r="N319" i="1" s="1"/>
  <c r="M331" i="1"/>
  <c r="N331" i="1" s="1"/>
  <c r="M56" i="1"/>
  <c r="N56" i="1" s="1"/>
  <c r="M62" i="1"/>
  <c r="N62" i="1" s="1"/>
  <c r="M48" i="1"/>
  <c r="N48" i="1" s="1"/>
  <c r="M54" i="1"/>
  <c r="N54" i="1" s="1"/>
  <c r="M77" i="1"/>
  <c r="N77" i="1" s="1"/>
  <c r="M81" i="1"/>
  <c r="N81" i="1" s="1"/>
  <c r="M101" i="1"/>
  <c r="N101" i="1" s="1"/>
  <c r="M105" i="1"/>
  <c r="N105" i="1" s="1"/>
  <c r="M109" i="1"/>
  <c r="N109" i="1" s="1"/>
  <c r="M121" i="1"/>
  <c r="N121" i="1" s="1"/>
  <c r="M178" i="1"/>
  <c r="N178" i="1" s="1"/>
  <c r="M231" i="1"/>
  <c r="N231" i="1" s="1"/>
  <c r="M252" i="1"/>
  <c r="N252" i="1" s="1"/>
  <c r="M284" i="1"/>
  <c r="N284" i="1" s="1"/>
  <c r="M290" i="1"/>
  <c r="N290" i="1" s="1"/>
  <c r="M333" i="1"/>
  <c r="N333" i="1" s="1"/>
  <c r="M238" i="1"/>
  <c r="N238" i="1" s="1"/>
  <c r="M237" i="1"/>
  <c r="N237" i="1" s="1"/>
  <c r="M175" i="1"/>
  <c r="N175" i="1" s="1"/>
  <c r="M180" i="1"/>
  <c r="N180" i="1" s="1"/>
  <c r="M229" i="1"/>
  <c r="N229" i="1" s="1"/>
  <c r="M239" i="1"/>
  <c r="N239" i="1" s="1"/>
  <c r="M205" i="1"/>
  <c r="N205" i="1" s="1"/>
  <c r="M285" i="1"/>
  <c r="N285" i="1" s="1"/>
  <c r="M199" i="1"/>
  <c r="N199" i="1" s="1"/>
  <c r="M240" i="1"/>
  <c r="N240" i="1" s="1"/>
  <c r="M19" i="1"/>
  <c r="N19" i="1" s="1"/>
  <c r="I4" i="1"/>
  <c r="L7" i="1"/>
  <c r="L13" i="1"/>
  <c r="L17" i="1"/>
  <c r="L11" i="1"/>
  <c r="L29" i="1"/>
  <c r="L93" i="1"/>
  <c r="M107" i="1"/>
  <c r="N107" i="1" s="1"/>
  <c r="L115" i="1"/>
  <c r="M123" i="1"/>
  <c r="N123" i="1" s="1"/>
  <c r="L129" i="1"/>
  <c r="L71" i="1"/>
  <c r="L91" i="1"/>
  <c r="M165" i="1"/>
  <c r="N165" i="1" s="1"/>
  <c r="M176" i="1"/>
  <c r="N176" i="1" s="1"/>
  <c r="L87" i="1"/>
  <c r="M87" i="1" s="1"/>
  <c r="N87" i="1" s="1"/>
  <c r="L95" i="1"/>
  <c r="M95" i="1" s="1"/>
  <c r="N95" i="1" s="1"/>
  <c r="L157" i="1"/>
  <c r="L169" i="1"/>
  <c r="L173" i="1"/>
  <c r="L25" i="1"/>
  <c r="L31" i="1"/>
  <c r="L85" i="1"/>
  <c r="L111" i="1"/>
  <c r="L161" i="1"/>
  <c r="M161" i="1" s="1"/>
  <c r="N161" i="1" s="1"/>
  <c r="M177" i="1"/>
  <c r="N177" i="1" s="1"/>
  <c r="L97" i="1"/>
  <c r="L125" i="1"/>
  <c r="L127" i="1"/>
  <c r="L168" i="1"/>
  <c r="M168" i="1" s="1"/>
  <c r="N168" i="1" s="1"/>
  <c r="M179" i="1"/>
  <c r="N179" i="1" s="1"/>
  <c r="L182" i="1"/>
  <c r="M182" i="1" s="1"/>
  <c r="N182" i="1" s="1"/>
  <c r="L208" i="1"/>
  <c r="M208" i="1" s="1"/>
  <c r="N208" i="1" s="1"/>
  <c r="L254" i="1"/>
  <c r="L183" i="1"/>
  <c r="L188" i="1"/>
  <c r="L209" i="1"/>
  <c r="L213" i="1"/>
  <c r="L218" i="1"/>
  <c r="L241" i="1"/>
  <c r="L245" i="1"/>
  <c r="M245" i="1" s="1"/>
  <c r="N245" i="1" s="1"/>
  <c r="L158" i="1"/>
  <c r="L162" i="1"/>
  <c r="L174" i="1"/>
  <c r="L185" i="1"/>
  <c r="M187" i="1"/>
  <c r="N187" i="1" s="1"/>
  <c r="L189" i="1"/>
  <c r="M195" i="1"/>
  <c r="N195" i="1" s="1"/>
  <c r="M201" i="1"/>
  <c r="N201" i="1" s="1"/>
  <c r="M212" i="1"/>
  <c r="N212" i="1" s="1"/>
  <c r="L215" i="1"/>
  <c r="M217" i="1"/>
  <c r="N217" i="1" s="1"/>
  <c r="L219" i="1"/>
  <c r="M225" i="1"/>
  <c r="N225" i="1" s="1"/>
  <c r="M235" i="1"/>
  <c r="N235" i="1" s="1"/>
  <c r="M236" i="1"/>
  <c r="L243" i="1"/>
  <c r="L247" i="1"/>
  <c r="M247" i="1" s="1"/>
  <c r="N247" i="1" s="1"/>
  <c r="L268" i="1"/>
  <c r="M293" i="1"/>
  <c r="N293" i="1" s="1"/>
  <c r="L159" i="1"/>
  <c r="L163" i="1"/>
  <c r="L167" i="1"/>
  <c r="L186" i="1"/>
  <c r="L207" i="1"/>
  <c r="L211" i="1"/>
  <c r="L216" i="1"/>
  <c r="L242" i="1"/>
  <c r="L244" i="1"/>
  <c r="L246" i="1"/>
  <c r="L278" i="1"/>
  <c r="L292" i="1"/>
  <c r="M292" i="1" s="1"/>
  <c r="N292" i="1" s="1"/>
  <c r="M14" i="1"/>
  <c r="N14" i="1" s="1"/>
  <c r="M24" i="1"/>
  <c r="N24" i="1" s="1"/>
  <c r="M6" i="1"/>
  <c r="M10" i="1"/>
  <c r="N10" i="1" s="1"/>
  <c r="M22" i="1"/>
  <c r="N22" i="1" s="1"/>
  <c r="M26" i="1"/>
  <c r="N26" i="1" s="1"/>
  <c r="M29" i="1"/>
  <c r="N29" i="1" s="1"/>
  <c r="M125" i="1"/>
  <c r="N125" i="1" s="1"/>
  <c r="M8" i="1"/>
  <c r="N8" i="1" s="1"/>
  <c r="M12" i="1"/>
  <c r="N12" i="1" s="1"/>
  <c r="M16" i="1"/>
  <c r="N16" i="1" s="1"/>
  <c r="M20" i="1"/>
  <c r="N20" i="1" s="1"/>
  <c r="M25" i="1"/>
  <c r="N25" i="1" s="1"/>
  <c r="M18" i="1"/>
  <c r="N18" i="1" s="1"/>
  <c r="K4" i="1"/>
  <c r="M15" i="1"/>
  <c r="N15" i="1" s="1"/>
  <c r="M21" i="1"/>
  <c r="N21" i="1" s="1"/>
  <c r="M27" i="1"/>
  <c r="N27" i="1" s="1"/>
  <c r="M33" i="1"/>
  <c r="N33" i="1" s="1"/>
  <c r="M35" i="1"/>
  <c r="N35" i="1" s="1"/>
  <c r="M37" i="1"/>
  <c r="N37" i="1" s="1"/>
  <c r="M39" i="1"/>
  <c r="N39" i="1" s="1"/>
  <c r="M41" i="1"/>
  <c r="N41" i="1" s="1"/>
  <c r="M43" i="1"/>
  <c r="N43" i="1" s="1"/>
  <c r="M45" i="1"/>
  <c r="N45" i="1" s="1"/>
  <c r="M49" i="1"/>
  <c r="N49" i="1" s="1"/>
  <c r="M53" i="1"/>
  <c r="N53" i="1" s="1"/>
  <c r="M57" i="1"/>
  <c r="N57" i="1" s="1"/>
  <c r="M59" i="1"/>
  <c r="N59" i="1" s="1"/>
  <c r="M61" i="1"/>
  <c r="N61" i="1" s="1"/>
  <c r="M63" i="1"/>
  <c r="N63" i="1" s="1"/>
  <c r="M67" i="1"/>
  <c r="N67" i="1" s="1"/>
  <c r="M70" i="1"/>
  <c r="N70" i="1" s="1"/>
  <c r="M74" i="1"/>
  <c r="N74" i="1" s="1"/>
  <c r="M78" i="1"/>
  <c r="N78" i="1" s="1"/>
  <c r="M82" i="1"/>
  <c r="N82" i="1" s="1"/>
  <c r="M90" i="1"/>
  <c r="N90" i="1" s="1"/>
  <c r="M98" i="1"/>
  <c r="N98" i="1" s="1"/>
  <c r="M102" i="1"/>
  <c r="N102" i="1" s="1"/>
  <c r="M106" i="1"/>
  <c r="N106" i="1" s="1"/>
  <c r="M110" i="1"/>
  <c r="N110" i="1" s="1"/>
  <c r="M118" i="1"/>
  <c r="N118" i="1" s="1"/>
  <c r="M122" i="1"/>
  <c r="N122" i="1" s="1"/>
  <c r="M126" i="1"/>
  <c r="N126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9" i="1"/>
  <c r="N149" i="1" s="1"/>
  <c r="M150" i="1"/>
  <c r="N150" i="1" s="1"/>
  <c r="M151" i="1"/>
  <c r="N151" i="1" s="1"/>
  <c r="M152" i="1"/>
  <c r="N152" i="1" s="1"/>
  <c r="M218" i="1"/>
  <c r="N218" i="1" s="1"/>
  <c r="M28" i="1"/>
  <c r="N28" i="1" s="1"/>
  <c r="M30" i="1"/>
  <c r="N30" i="1" s="1"/>
  <c r="M44" i="1"/>
  <c r="N44" i="1" s="1"/>
  <c r="M72" i="1"/>
  <c r="N72" i="1" s="1"/>
  <c r="M76" i="1"/>
  <c r="N76" i="1" s="1"/>
  <c r="M80" i="1"/>
  <c r="N80" i="1" s="1"/>
  <c r="M84" i="1"/>
  <c r="N84" i="1" s="1"/>
  <c r="M88" i="1"/>
  <c r="N88" i="1" s="1"/>
  <c r="M92" i="1"/>
  <c r="N92" i="1" s="1"/>
  <c r="M96" i="1"/>
  <c r="N96" i="1" s="1"/>
  <c r="M100" i="1"/>
  <c r="N100" i="1" s="1"/>
  <c r="M104" i="1"/>
  <c r="N104" i="1" s="1"/>
  <c r="M108" i="1"/>
  <c r="N108" i="1" s="1"/>
  <c r="M112" i="1"/>
  <c r="N112" i="1" s="1"/>
  <c r="M116" i="1"/>
  <c r="N116" i="1" s="1"/>
  <c r="M120" i="1"/>
  <c r="N120" i="1" s="1"/>
  <c r="M128" i="1"/>
  <c r="N128" i="1" s="1"/>
  <c r="M157" i="1"/>
  <c r="N157" i="1" s="1"/>
  <c r="M158" i="1"/>
  <c r="N158" i="1" s="1"/>
  <c r="M155" i="1"/>
  <c r="N155" i="1" s="1"/>
  <c r="M160" i="1"/>
  <c r="N160" i="1" s="1"/>
  <c r="M166" i="1"/>
  <c r="N166" i="1" s="1"/>
  <c r="M172" i="1"/>
  <c r="N172" i="1" s="1"/>
  <c r="M173" i="1"/>
  <c r="N173" i="1" s="1"/>
  <c r="M192" i="1"/>
  <c r="N192" i="1" s="1"/>
  <c r="M196" i="1"/>
  <c r="N196" i="1" s="1"/>
  <c r="M200" i="1"/>
  <c r="N200" i="1" s="1"/>
  <c r="M210" i="1"/>
  <c r="N210" i="1" s="1"/>
  <c r="M211" i="1"/>
  <c r="N211" i="1" s="1"/>
  <c r="M222" i="1"/>
  <c r="N222" i="1" s="1"/>
  <c r="M226" i="1"/>
  <c r="N226" i="1" s="1"/>
  <c r="M230" i="1"/>
  <c r="N230" i="1" s="1"/>
  <c r="M234" i="1"/>
  <c r="N234" i="1" s="1"/>
  <c r="M254" i="1"/>
  <c r="N254" i="1" s="1"/>
  <c r="M170" i="1"/>
  <c r="N170" i="1" s="1"/>
  <c r="M184" i="1"/>
  <c r="N184" i="1" s="1"/>
  <c r="M190" i="1"/>
  <c r="N190" i="1" s="1"/>
  <c r="M194" i="1"/>
  <c r="N194" i="1" s="1"/>
  <c r="M198" i="1"/>
  <c r="N198" i="1" s="1"/>
  <c r="M202" i="1"/>
  <c r="N202" i="1" s="1"/>
  <c r="M206" i="1"/>
  <c r="N206" i="1" s="1"/>
  <c r="M214" i="1"/>
  <c r="N214" i="1" s="1"/>
  <c r="M220" i="1"/>
  <c r="N220" i="1" s="1"/>
  <c r="M224" i="1"/>
  <c r="N224" i="1" s="1"/>
  <c r="M278" i="1"/>
  <c r="N278" i="1" s="1"/>
  <c r="M251" i="1"/>
  <c r="N251" i="1" s="1"/>
  <c r="M263" i="1"/>
  <c r="N263" i="1" s="1"/>
  <c r="M267" i="1"/>
  <c r="N267" i="1" s="1"/>
  <c r="M275" i="1"/>
  <c r="N275" i="1" s="1"/>
  <c r="M283" i="1"/>
  <c r="N283" i="1" s="1"/>
  <c r="M291" i="1"/>
  <c r="N291" i="1" s="1"/>
  <c r="M295" i="1"/>
  <c r="N295" i="1" s="1"/>
  <c r="M318" i="1"/>
  <c r="N318" i="1" s="1"/>
  <c r="M253" i="1"/>
  <c r="N253" i="1" s="1"/>
  <c r="M257" i="1"/>
  <c r="N257" i="1" s="1"/>
  <c r="M269" i="1"/>
  <c r="N269" i="1" s="1"/>
  <c r="M273" i="1"/>
  <c r="N273" i="1" s="1"/>
  <c r="M277" i="1"/>
  <c r="N277" i="1" s="1"/>
  <c r="M299" i="1"/>
  <c r="N299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2" i="1"/>
  <c r="N312" i="1" s="1"/>
  <c r="M313" i="1"/>
  <c r="N313" i="1" s="1"/>
  <c r="M315" i="1"/>
  <c r="N315" i="1" s="1"/>
  <c r="M316" i="1"/>
  <c r="N316" i="1" s="1"/>
  <c r="M320" i="1"/>
  <c r="N320" i="1" s="1"/>
  <c r="M322" i="1"/>
  <c r="N322" i="1" s="1"/>
  <c r="M326" i="1"/>
  <c r="N326" i="1" s="1"/>
  <c r="M328" i="1"/>
  <c r="N328" i="1" s="1"/>
  <c r="M334" i="1"/>
  <c r="N334" i="1" s="1"/>
  <c r="P204" i="1" l="1"/>
  <c r="O204" i="1"/>
  <c r="M204" i="1"/>
  <c r="N204" i="1" s="1"/>
  <c r="O261" i="1"/>
  <c r="P261" i="1"/>
  <c r="M261" i="1"/>
  <c r="N261" i="1" s="1"/>
  <c r="P300" i="1"/>
  <c r="O300" i="1"/>
  <c r="M300" i="1"/>
  <c r="N300" i="1" s="1"/>
  <c r="P329" i="1"/>
  <c r="O329" i="1"/>
  <c r="M329" i="1"/>
  <c r="N329" i="1" s="1"/>
  <c r="O281" i="1"/>
  <c r="P281" i="1"/>
  <c r="M281" i="1"/>
  <c r="N281" i="1" s="1"/>
  <c r="O321" i="1"/>
  <c r="P321" i="1"/>
  <c r="M321" i="1"/>
  <c r="N321" i="1" s="1"/>
  <c r="P324" i="1"/>
  <c r="O324" i="1"/>
  <c r="M324" i="1"/>
  <c r="N324" i="1" s="1"/>
  <c r="P94" i="1"/>
  <c r="O94" i="1"/>
  <c r="M94" i="1"/>
  <c r="N94" i="1" s="1"/>
  <c r="O297" i="1"/>
  <c r="P297" i="1"/>
  <c r="M297" i="1"/>
  <c r="N297" i="1" s="1"/>
  <c r="O47" i="1"/>
  <c r="P47" i="1"/>
  <c r="M47" i="1"/>
  <c r="N47" i="1" s="1"/>
  <c r="P330" i="1"/>
  <c r="O330" i="1"/>
  <c r="M330" i="1"/>
  <c r="N330" i="1" s="1"/>
  <c r="P156" i="1"/>
  <c r="O156" i="1"/>
  <c r="M156" i="1"/>
  <c r="N156" i="1" s="1"/>
  <c r="O65" i="1"/>
  <c r="P65" i="1"/>
  <c r="M65" i="1"/>
  <c r="N65" i="1" s="1"/>
  <c r="O314" i="1"/>
  <c r="P314" i="1"/>
  <c r="M314" i="1"/>
  <c r="N314" i="1" s="1"/>
  <c r="P148" i="1"/>
  <c r="O148" i="1"/>
  <c r="M148" i="1"/>
  <c r="N148" i="1" s="1"/>
  <c r="P114" i="1"/>
  <c r="O114" i="1"/>
  <c r="M114" i="1"/>
  <c r="N114" i="1" s="1"/>
  <c r="O259" i="1"/>
  <c r="P259" i="1"/>
  <c r="M259" i="1"/>
  <c r="N259" i="1" s="1"/>
  <c r="P66" i="1"/>
  <c r="O66" i="1"/>
  <c r="M66" i="1"/>
  <c r="N66" i="1" s="1"/>
  <c r="O279" i="1"/>
  <c r="P279" i="1"/>
  <c r="M279" i="1"/>
  <c r="N279" i="1" s="1"/>
  <c r="P86" i="1"/>
  <c r="O86" i="1"/>
  <c r="M86" i="1"/>
  <c r="N86" i="1" s="1"/>
  <c r="M207" i="1"/>
  <c r="N207" i="1" s="1"/>
  <c r="O207" i="1"/>
  <c r="P207" i="1"/>
  <c r="O185" i="1"/>
  <c r="P185" i="1"/>
  <c r="M185" i="1"/>
  <c r="N185" i="1" s="1"/>
  <c r="P216" i="1"/>
  <c r="O216" i="1"/>
  <c r="M167" i="1"/>
  <c r="N167" i="1" s="1"/>
  <c r="O167" i="1"/>
  <c r="P167" i="1"/>
  <c r="M215" i="1"/>
  <c r="N215" i="1" s="1"/>
  <c r="O215" i="1"/>
  <c r="P215" i="1"/>
  <c r="O189" i="1"/>
  <c r="P189" i="1"/>
  <c r="P162" i="1"/>
  <c r="O162" i="1"/>
  <c r="O218" i="1"/>
  <c r="P218" i="1"/>
  <c r="O97" i="1"/>
  <c r="P97" i="1"/>
  <c r="O85" i="1"/>
  <c r="P85" i="1"/>
  <c r="O169" i="1"/>
  <c r="P169" i="1"/>
  <c r="O129" i="1"/>
  <c r="P129" i="1"/>
  <c r="M93" i="1"/>
  <c r="N93" i="1" s="1"/>
  <c r="O93" i="1"/>
  <c r="P93" i="1"/>
  <c r="O13" i="1"/>
  <c r="P13" i="1"/>
  <c r="M216" i="1"/>
  <c r="N216" i="1" s="1"/>
  <c r="M162" i="1"/>
  <c r="N162" i="1" s="1"/>
  <c r="P246" i="1"/>
  <c r="O246" i="1"/>
  <c r="O211" i="1"/>
  <c r="P211" i="1"/>
  <c r="P163" i="1"/>
  <c r="O163" i="1"/>
  <c r="O247" i="1"/>
  <c r="P247" i="1"/>
  <c r="P158" i="1"/>
  <c r="O158" i="1"/>
  <c r="O213" i="1"/>
  <c r="P213" i="1"/>
  <c r="P254" i="1"/>
  <c r="O254" i="1"/>
  <c r="P168" i="1"/>
  <c r="O168" i="1"/>
  <c r="O31" i="1"/>
  <c r="P31" i="1"/>
  <c r="P157" i="1"/>
  <c r="O157" i="1"/>
  <c r="O29" i="1"/>
  <c r="P29" i="1"/>
  <c r="O7" i="1"/>
  <c r="P7" i="1"/>
  <c r="P159" i="1"/>
  <c r="O159" i="1"/>
  <c r="M243" i="1"/>
  <c r="N243" i="1" s="1"/>
  <c r="O243" i="1"/>
  <c r="P243" i="1"/>
  <c r="O209" i="1"/>
  <c r="P209" i="1"/>
  <c r="P208" i="1"/>
  <c r="O208" i="1"/>
  <c r="M127" i="1"/>
  <c r="N127" i="1" s="1"/>
  <c r="O127" i="1"/>
  <c r="P127" i="1"/>
  <c r="P161" i="1"/>
  <c r="O161" i="1"/>
  <c r="O25" i="1"/>
  <c r="P25" i="1"/>
  <c r="O95" i="1"/>
  <c r="P95" i="1"/>
  <c r="O91" i="1"/>
  <c r="P91" i="1"/>
  <c r="M115" i="1"/>
  <c r="N115" i="1" s="1"/>
  <c r="O115" i="1"/>
  <c r="P115" i="1"/>
  <c r="M11" i="1"/>
  <c r="N11" i="1" s="1"/>
  <c r="O11" i="1"/>
  <c r="P11" i="1"/>
  <c r="O298" i="1"/>
  <c r="P298" i="1"/>
  <c r="O51" i="1"/>
  <c r="P51" i="1"/>
  <c r="P332" i="1"/>
  <c r="O332" i="1"/>
  <c r="O311" i="1"/>
  <c r="P311" i="1"/>
  <c r="O289" i="1"/>
  <c r="P289" i="1"/>
  <c r="O265" i="1"/>
  <c r="P265" i="1"/>
  <c r="P154" i="1"/>
  <c r="O154" i="1"/>
  <c r="O92" i="1"/>
  <c r="P92" i="1"/>
  <c r="P325" i="1"/>
  <c r="O325" i="1"/>
  <c r="O313" i="1"/>
  <c r="P313" i="1"/>
  <c r="P228" i="1"/>
  <c r="O228" i="1"/>
  <c r="P164" i="1"/>
  <c r="O164" i="1"/>
  <c r="P153" i="1"/>
  <c r="O153" i="1"/>
  <c r="O84" i="1"/>
  <c r="P84" i="1"/>
  <c r="P327" i="1"/>
  <c r="O327" i="1"/>
  <c r="O287" i="1"/>
  <c r="P287" i="1"/>
  <c r="O271" i="1"/>
  <c r="P271" i="1"/>
  <c r="O255" i="1"/>
  <c r="P255" i="1"/>
  <c r="P124" i="1"/>
  <c r="O124" i="1"/>
  <c r="O68" i="1"/>
  <c r="P68" i="1"/>
  <c r="O55" i="1"/>
  <c r="P55" i="1"/>
  <c r="O76" i="1"/>
  <c r="P76" i="1"/>
  <c r="O219" i="1"/>
  <c r="P219" i="1"/>
  <c r="P292" i="1"/>
  <c r="O292" i="1"/>
  <c r="O242" i="1"/>
  <c r="P242" i="1"/>
  <c r="O186" i="1"/>
  <c r="P186" i="1"/>
  <c r="P174" i="1"/>
  <c r="O174" i="1"/>
  <c r="M241" i="1"/>
  <c r="N241" i="1" s="1"/>
  <c r="O241" i="1"/>
  <c r="P241" i="1"/>
  <c r="P188" i="1"/>
  <c r="O188" i="1"/>
  <c r="P182" i="1"/>
  <c r="O182" i="1"/>
  <c r="O125" i="1"/>
  <c r="P125" i="1"/>
  <c r="O111" i="1"/>
  <c r="P111" i="1"/>
  <c r="O173" i="1"/>
  <c r="P173" i="1"/>
  <c r="O87" i="1"/>
  <c r="P87" i="1"/>
  <c r="M71" i="1"/>
  <c r="N71" i="1" s="1"/>
  <c r="O71" i="1"/>
  <c r="P71" i="1"/>
  <c r="M17" i="1"/>
  <c r="N17" i="1" s="1"/>
  <c r="O17" i="1"/>
  <c r="P17" i="1"/>
  <c r="P244" i="1"/>
  <c r="O244" i="1"/>
  <c r="O245" i="1"/>
  <c r="P245" i="1"/>
  <c r="P278" i="1"/>
  <c r="O278" i="1"/>
  <c r="M268" i="1"/>
  <c r="N268" i="1" s="1"/>
  <c r="P268" i="1"/>
  <c r="O268" i="1"/>
  <c r="O183" i="1"/>
  <c r="P183" i="1"/>
  <c r="M31" i="1"/>
  <c r="N31" i="1" s="1"/>
  <c r="M7" i="1"/>
  <c r="N7" i="1" s="1"/>
  <c r="M91" i="1"/>
  <c r="N91" i="1" s="1"/>
  <c r="M186" i="1"/>
  <c r="N186" i="1" s="1"/>
  <c r="M174" i="1"/>
  <c r="N174" i="1" s="1"/>
  <c r="M188" i="1"/>
  <c r="N188" i="1" s="1"/>
  <c r="M111" i="1"/>
  <c r="N111" i="1" s="1"/>
  <c r="M85" i="1"/>
  <c r="N85" i="1" s="1"/>
  <c r="M129" i="1"/>
  <c r="N129" i="1" s="1"/>
  <c r="M97" i="1"/>
  <c r="N97" i="1" s="1"/>
  <c r="M13" i="1"/>
  <c r="N13" i="1" s="1"/>
  <c r="M244" i="1"/>
  <c r="N244" i="1" s="1"/>
  <c r="M159" i="1"/>
  <c r="N159" i="1" s="1"/>
  <c r="M169" i="1"/>
  <c r="N169" i="1" s="1"/>
  <c r="M242" i="1"/>
  <c r="N242" i="1" s="1"/>
  <c r="M213" i="1"/>
  <c r="N213" i="1" s="1"/>
  <c r="M183" i="1"/>
  <c r="N183" i="1" s="1"/>
  <c r="M189" i="1"/>
  <c r="N189" i="1" s="1"/>
  <c r="M246" i="1"/>
  <c r="N246" i="1" s="1"/>
  <c r="M163" i="1"/>
  <c r="N163" i="1" s="1"/>
  <c r="M219" i="1"/>
  <c r="N219" i="1" s="1"/>
  <c r="M209" i="1"/>
  <c r="N209" i="1" s="1"/>
  <c r="L4" i="1"/>
  <c r="N6" i="1"/>
  <c r="M4" i="1" l="1"/>
  <c r="N4" i="1" s="1"/>
  <c r="O4" i="1"/>
  <c r="P4" i="1"/>
</calcChain>
</file>

<file path=xl/sharedStrings.xml><?xml version="1.0" encoding="utf-8"?>
<sst xmlns="http://schemas.openxmlformats.org/spreadsheetml/2006/main" count="349" uniqueCount="349">
  <si>
    <t>Part 2</t>
  </si>
  <si>
    <t>STATE TOTAL</t>
  </si>
  <si>
    <t>AITKIN</t>
  </si>
  <si>
    <t>MINNEAPOLIS PUBLIC SCHOOL DIST.</t>
  </si>
  <si>
    <t>HILL CITY</t>
  </si>
  <si>
    <t>MCGREGOR</t>
  </si>
  <si>
    <t>SOUTH ST. PAUL PUBLIC SCHOOL DIST.</t>
  </si>
  <si>
    <t>ANOKA-HENNEPIN PUBLIC SCHOOL DIST.</t>
  </si>
  <si>
    <t>CENTENNIAL</t>
  </si>
  <si>
    <t>COLUMBIA HEIGHTS PUBLIC SCHOOL DIST</t>
  </si>
  <si>
    <t>FRIDLEY PUBLIC SCHOOL DISTRICT</t>
  </si>
  <si>
    <t>ST. FRANCIS</t>
  </si>
  <si>
    <t>SPRING LAKE PARK PUBLIC SCHOOLS</t>
  </si>
  <si>
    <t>DETROIT LAKES PUBLIC SCHOOL DIST.</t>
  </si>
  <si>
    <t>FRAZEE-VERGAS PUBLIC SCHOOL DIST.</t>
  </si>
  <si>
    <t>PINE POINT</t>
  </si>
  <si>
    <t>BEMIDJI</t>
  </si>
  <si>
    <t>BLACKDUCK</t>
  </si>
  <si>
    <t>KELLIHER</t>
  </si>
  <si>
    <t>RED LAKE</t>
  </si>
  <si>
    <t>SAUK RAPIDS PUBLIC SCHOOL DISTRICT</t>
  </si>
  <si>
    <t>FOLEY PUBLIC SCHOOL DISTRICT</t>
  </si>
  <si>
    <t>ST. CLAIR</t>
  </si>
  <si>
    <t>MANKATO</t>
  </si>
  <si>
    <t>COMFREY PUBLIC SCHOOL DISTRICT</t>
  </si>
  <si>
    <t>SLEEPY EYE PUBLIC SCHOOL DISTRICT</t>
  </si>
  <si>
    <t>SPRINGFIELD PUBLIC SCHOOL DISTRICT</t>
  </si>
  <si>
    <t>NEW ULM PUBLIC SCHOOL DISTRICT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</si>
  <si>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</si>
  <si>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</si>
  <si>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</si>
  <si>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</si>
  <si>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</si>
  <si>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</si>
  <si>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</si>
  <si>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</si>
  <si>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</si>
  <si>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</si>
  <si>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EASTERN CARVER CTY</t>
  </si>
  <si>
    <t>WALKER-AKELEY</t>
  </si>
  <si>
    <t>CASS LAKE</t>
  </si>
  <si>
    <t>PILLAGER</t>
  </si>
  <si>
    <t>NORTHLAND</t>
  </si>
  <si>
    <t>MONTEVIDEO PUBLIC SCHOOL DISTRICT</t>
  </si>
  <si>
    <t>NORTH BRANCH</t>
  </si>
  <si>
    <t>RUSH CITY</t>
  </si>
  <si>
    <t>BARNESVILLE PUBLIC SCHOOL DIST.</t>
  </si>
  <si>
    <t>HAWLEY PUBLIC SCHOOL DISTRICT</t>
  </si>
  <si>
    <t>MOORHEAD</t>
  </si>
  <si>
    <t>BAGLEY</t>
  </si>
  <si>
    <t>COOK COUNTY</t>
  </si>
  <si>
    <t>MOUNTAIN LAKE PUBLIC SCHOOLS</t>
  </si>
  <si>
    <t>WINDOM PUBLIC SCHOOL DISTRICT</t>
  </si>
  <si>
    <t>BRAINERD</t>
  </si>
  <si>
    <t>CROSBY</t>
  </si>
  <si>
    <t>PEQUOT LAKES</t>
  </si>
  <si>
    <t>BURNSVILLE PUBLIC SCHOOL DISTRICT</t>
  </si>
  <si>
    <t>FARMINGTON</t>
  </si>
  <si>
    <t>LAKEVILLE PUBLIC SCHOOL DISTRICT</t>
  </si>
  <si>
    <t>RANDOLPH</t>
  </si>
  <si>
    <t>ROSEMOUNT-APPLE VALLEY-EAGAN</t>
  </si>
  <si>
    <t>WEST ST. PAUL-MENDOTA HTS.-EAGAN</t>
  </si>
  <si>
    <t>INVER GROVE HEIGHTS SCHOOLS</t>
  </si>
  <si>
    <t>HASTINGS</t>
  </si>
  <si>
    <t>HAYFIELD PUBLIC SCHOOL DISTRICT</t>
  </si>
  <si>
    <t>KASSON-MANTORVIL</t>
  </si>
  <si>
    <t>ALEXANDRIA</t>
  </si>
  <si>
    <t>OSAKIS PUBLIC SCHOOL DISTRICT</t>
  </si>
  <si>
    <t>CHATFIELD PUBLIC SCHOOLS</t>
  </si>
  <si>
    <t>LANESBORO</t>
  </si>
  <si>
    <t>MABEL-CANTON</t>
  </si>
  <si>
    <t>RUSHFORD-PETERSO</t>
  </si>
  <si>
    <t>ALBERT LEA PUBLIC SCHOOL DISTRICT</t>
  </si>
  <si>
    <t>ALDEN</t>
  </si>
  <si>
    <t>CANNON FALLS</t>
  </si>
  <si>
    <t>GOODHUE</t>
  </si>
  <si>
    <t>PINE ISLAND PUBLIC SCHOOL DIST.</t>
  </si>
  <si>
    <t>RED WING</t>
  </si>
  <si>
    <t>ASHBY</t>
  </si>
  <si>
    <t>HERMAN-NORCROSS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</si>
  <si>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</si>
  <si>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</si>
  <si>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</si>
  <si>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</si>
  <si>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</si>
  <si>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</t>
  </si>
  <si>
    <t>ORONO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</si>
  <si>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</si>
  <si>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</si>
  <si>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</si>
  <si>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</si>
  <si>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</si>
  <si>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</si>
  <si>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</si>
  <si>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</si>
  <si>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</si>
  <si>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</si>
  <si>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</si>
  <si>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</si>
  <si>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</si>
  <si>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</si>
  <si>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</si>
  <si>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</si>
  <si>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</si>
  <si>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</si>
  <si>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</si>
  <si>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</si>
  <si>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</si>
  <si>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</si>
  <si>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</si>
  <si>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LONDON-SPICER SCHOOL DISTRICT</t>
  </si>
  <si>
    <t>WILLMAR PUBLIC SCHOOL DISTRICT</t>
  </si>
  <si>
    <t>LANCASTER</t>
  </si>
  <si>
    <t>INTERNATIONAL FA</t>
  </si>
  <si>
    <t>LITTLEFORK-BIG F</t>
  </si>
  <si>
    <t>SOUTH KOOCHICHIN</t>
  </si>
  <si>
    <t>DAWSON-BOYD PUBLIC SCHOOL DISTRICT</t>
  </si>
  <si>
    <t>LAKE SUPERIOR</t>
  </si>
  <si>
    <t>LAKE OF THE WOOD</t>
  </si>
  <si>
    <t>CLEVELAND PUBLIC SCHOOL DISTRICT</t>
  </si>
  <si>
    <t>HENDRICKS PUBLIC SCHOOL DISTRICT</t>
  </si>
  <si>
    <t>IVANHOE PUBLIC SCHOOL DISTRICT</t>
  </si>
  <si>
    <t>LAKE BENTON</t>
  </si>
  <si>
    <t>MARSHALL PUBLIC SCHOOL DISTRICT</t>
  </si>
  <si>
    <t>MINNEOTA PUBLIC SCHOOL DISTRICT</t>
  </si>
  <si>
    <t>LYND PUBLIC SCHOOL DISTRICT</t>
  </si>
  <si>
    <t>HUTCHINSON</t>
  </si>
  <si>
    <t>LESTER PRAIRIE</t>
  </si>
  <si>
    <t>MAHNOMEN</t>
  </si>
  <si>
    <t>WAUBUN</t>
  </si>
  <si>
    <t>MARSHALL CTY CENTRAL</t>
  </si>
  <si>
    <t>GRYGLA</t>
  </si>
  <si>
    <t>TRUMAN PUBLIC SCHOOL DISTRICT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</si>
  <si>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</si>
  <si>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</si>
  <si>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</si>
  <si>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</si>
  <si>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</si>
  <si>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</si>
  <si>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</si>
  <si>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</si>
  <si>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</si>
  <si>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 PUBLIC SCHOOL DISTRICT</t>
  </si>
  <si>
    <t>UPSALA PUBLIC SCHOOL DISTRICT</t>
  </si>
  <si>
    <t>AUSTIN PUBLIC SCHOOL DISTRICT</t>
  </si>
  <si>
    <t>GRAND MEADOW</t>
  </si>
  <si>
    <t>LYLE PUBLIC SCHOOL DISTRICT</t>
  </si>
  <si>
    <t>LEROY</t>
  </si>
  <si>
    <t>SOUTHLAND PUBLIC SCHOOL DISTRICT</t>
  </si>
  <si>
    <t>FULDA PUBLIC SCHOOL DISTRICT</t>
  </si>
  <si>
    <t>NICOLLET PUBLIC SCHOOL DISTRICT</t>
  </si>
  <si>
    <t>ST. PETER</t>
  </si>
  <si>
    <t>ADRIAN PUBLIC SCHOOL DISTRICT</t>
  </si>
  <si>
    <t>ELLSWORTH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</si>
  <si>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</si>
  <si>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</si>
  <si>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</si>
  <si>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</si>
  <si>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</si>
  <si>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</si>
  <si>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</si>
  <si>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</t>
  </si>
  <si>
    <t>PARKERS PRAIRIE</t>
  </si>
  <si>
    <t>PELICAN RAPIDS PUBLIC SCHOOL DIST.</t>
  </si>
  <si>
    <t>PERHAM PUBLIC SCHOOL DISTRICT</t>
  </si>
  <si>
    <t>UNDERWOOD PUBLIC SCHOOL DISTRICT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</si>
  <si>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</si>
  <si>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</si>
  <si>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</si>
  <si>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</si>
  <si>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</si>
  <si>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</si>
  <si>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</si>
  <si>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</si>
  <si>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</si>
  <si>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</si>
  <si>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</si>
  <si>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</si>
  <si>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</si>
  <si>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</si>
  <si>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</si>
  <si>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</si>
  <si>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</si>
  <si>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RED LAKE FALLS</t>
  </si>
  <si>
    <t>MILROY PUBLIC SCHOOL DISTRICT</t>
  </si>
  <si>
    <t>WABASSO PUBLIC SCHOOL DISTRICT</t>
  </si>
  <si>
    <t>FARIBAULT PUBLIC SCHOOL DISTRICT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</si>
  <si>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</si>
  <si>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</si>
  <si>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</si>
  <si>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</si>
  <si>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</si>
  <si>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</si>
  <si>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</si>
  <si>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</si>
  <si>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</si>
  <si>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</si>
  <si>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</si>
  <si>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</si>
  <si>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</si>
  <si>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 PUBLIC SCHOOL DISTRICT</t>
  </si>
  <si>
    <t>MOUNTAIN IRON-BU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</si>
  <si>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</si>
  <si>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</si>
  <si>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</si>
  <si>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</si>
  <si>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</si>
  <si>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</si>
  <si>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</t>
  </si>
  <si>
    <t>ELK RIVER PUBLIC SCHOOL DISTRICT</t>
  </si>
  <si>
    <t>HOLDINGFORD PUBLIC SCHOOL DISTRICT</t>
  </si>
  <si>
    <t>KIMBALL PUBLIC SCHOOL DISTRICT</t>
  </si>
  <si>
    <t>MELROSE PUBLIC SCHOOL DISTRICT</t>
  </si>
  <si>
    <t>PAYNESVILLE</t>
  </si>
  <si>
    <t>ST. CLOUD PUBLIC SCHOOL DISTRICT</t>
  </si>
  <si>
    <t>SAUK CENTRE PUBLIC SCHOOL DISTRICT</t>
  </si>
  <si>
    <t>ALBANY PUBLIC SCHOOL DISTRICT</t>
  </si>
  <si>
    <t>SARTELL-ST. STEPHEN SCHOOL DISTRICT</t>
  </si>
  <si>
    <t>ROCORI</t>
  </si>
  <si>
    <t>BLOOMING PRAIRIE PUBLIC SCHOOL DIST</t>
  </si>
  <si>
    <t>OWATONNA</t>
  </si>
  <si>
    <t>MEDFORD</t>
  </si>
  <si>
    <t>HANCOCK</t>
  </si>
  <si>
    <t>CHOKIO-ALBERTA</t>
  </si>
  <si>
    <t>KERKHOVEN-MURDOCK-SUNBURG</t>
  </si>
  <si>
    <t>BENSON</t>
  </si>
  <si>
    <t>BERTHA-HEWITT</t>
  </si>
  <si>
    <t>BROWERVILLE PUBLIC SCHOOL DISTRICT</t>
  </si>
  <si>
    <t>BROWNS VALLEY</t>
  </si>
  <si>
    <t>WHEATON</t>
  </si>
  <si>
    <t>WABASHA</t>
  </si>
  <si>
    <t>LAKE CITY PUBLIC SCHOOL DISTRICT</t>
  </si>
  <si>
    <t>PRINSBURG</t>
  </si>
  <si>
    <t>VERNDALE</t>
  </si>
  <si>
    <t>SEBEKA</t>
  </si>
  <si>
    <t>MENAHGA</t>
  </si>
  <si>
    <t>WASECA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</si>
  <si>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</si>
  <si>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</si>
  <si>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</si>
  <si>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</si>
  <si>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</si>
  <si>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</si>
  <si>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</si>
  <si>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</t>
  </si>
  <si>
    <t>ROTHSAY PUBLIC SCHOOL DISTRICT</t>
  </si>
  <si>
    <t>CAMPBELL-TINTAH</t>
  </si>
  <si>
    <t>LEWISTON</t>
  </si>
  <si>
    <t>ST. CHARLES</t>
  </si>
  <si>
    <t>WINONA</t>
  </si>
  <si>
    <t>ANNANDALE PUBLIC SCHOOL DISTRICT</t>
  </si>
  <si>
    <t>BUFFALO PUBLIC SCHOOL DISTRICT</t>
  </si>
  <si>
    <t>DELANO</t>
  </si>
  <si>
    <t>MAPLE LAKE</t>
  </si>
  <si>
    <t>MONTICELLO</t>
  </si>
  <si>
    <t>ROCKFORD PUBLIC SCHOOL DISTRICT</t>
  </si>
  <si>
    <t>ST. MICHAEL-ALBE</t>
  </si>
  <si>
    <t>CANBY PUBLIC SCHOOL DISTRICT</t>
  </si>
  <si>
    <t>CAMBRIDGE-ISANTI</t>
  </si>
  <si>
    <t>MILACA</t>
  </si>
  <si>
    <t>ULEN-HITTERDAL</t>
  </si>
  <si>
    <t>LAKE CRYSTAL-WELLCOME MEMORIAL</t>
  </si>
  <si>
    <t>TRITON</t>
  </si>
  <si>
    <t>UNITED SOUTH CENTRAL</t>
  </si>
  <si>
    <t>MAPLE RIVER SCHOOL DISTRICT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</si>
  <si>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</si>
  <si>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</si>
  <si>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</si>
  <si>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</si>
  <si>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</si>
  <si>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</si>
  <si>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</si>
  <si>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</si>
  <si>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</si>
  <si>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</si>
  <si>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 SCHOOL DISTRICT</t>
  </si>
  <si>
    <t>NRHEG SCHOOL DISTRICT</t>
  </si>
  <si>
    <t>MURRAY COUNTY CENTRAL SCHOOL DIST.</t>
  </si>
  <si>
    <t>STAPLES-MOTLEY</t>
  </si>
  <si>
    <t>KITTSON CENTRAL</t>
  </si>
  <si>
    <t>KENYON-WANAMINGO</t>
  </si>
  <si>
    <t>PINE RIVER-BACKU</t>
  </si>
  <si>
    <t>WARREN-ALVARADO-</t>
  </si>
  <si>
    <t>M.A.C.C.R.A.Y. SCHOOL DISTRICT</t>
  </si>
  <si>
    <t>LUVERNE</t>
  </si>
  <si>
    <t>YELLOW MEDICINE EAST</t>
  </si>
  <si>
    <t xml:space="preserve">FILLMORE CENTRAL                   </t>
  </si>
  <si>
    <t>NORMAN COUNTY EAST</t>
  </si>
  <si>
    <t>SIBLEY EAST SCHOOL DISTRICT</t>
  </si>
  <si>
    <t>CLEARBROOK-GONVICK</t>
  </si>
  <si>
    <t>WEST CENTRAL AREA</t>
  </si>
  <si>
    <t>TRI-COUNTY</t>
  </si>
  <si>
    <t>BELGRADE-BROOTEN-ELR</t>
  </si>
  <si>
    <t>G.F.W.</t>
  </si>
  <si>
    <t>A.C.G.C.</t>
  </si>
  <si>
    <t>LESUEUR-HENDERSO</t>
  </si>
  <si>
    <t>MARTIN COUNTY WEST SCHOOL DISTRICT</t>
  </si>
  <si>
    <t>NORMAN CTY WEST</t>
  </si>
  <si>
    <t>BIRD ISLAND-OLIVIA-LAKE LILLIAN</t>
  </si>
  <si>
    <t>GRANADA HUNTLEY-</t>
  </si>
  <si>
    <t>EAST CENTRAL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</si>
  <si>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</si>
  <si>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</si>
  <si>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</si>
  <si>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</si>
  <si>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</si>
  <si>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</si>
  <si>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</si>
  <si>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</si>
  <si>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</si>
  <si>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</si>
  <si>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</t>
  </si>
  <si>
    <t>LAC QUI PARLE</t>
  </si>
  <si>
    <t>ADA-BORUP</t>
  </si>
  <si>
    <t>STEPHEN-ARGYLE</t>
  </si>
  <si>
    <t>GLENCOE-SILVER LAKE</t>
  </si>
  <si>
    <t>BLUE EARTH-DELAVAN-ELMORE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</si>
  <si>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</si>
  <si>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</si>
  <si>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</si>
  <si>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</si>
  <si>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</si>
  <si>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</si>
  <si>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SCHOOLS</t>
  </si>
  <si>
    <t>WESTBROOK-WALNUT GROVE SCHOOLS</t>
  </si>
  <si>
    <t>PLAINVIEW-ELGIN-MILLVILLE</t>
  </si>
  <si>
    <t>RTR PUBLIC SCHOOLS</t>
  </si>
  <si>
    <t>ORTONVILLE</t>
  </si>
  <si>
    <t>TRACY AREA PUBLIC SCHOOL DISTRICT</t>
  </si>
  <si>
    <t>TRI-CITY UNITED</t>
  </si>
  <si>
    <t>ROUND LAKE BREWSTER PUBLIC SCHOOLS</t>
  </si>
  <si>
    <t>FY 2013 Revenue Feb 13</t>
  </si>
  <si>
    <t>CURRENT Year Proposed Pupil Units</t>
  </si>
  <si>
    <t>Prior Year Total Enrolled</t>
  </si>
  <si>
    <t>Prior Year Minority Enrolled</t>
  </si>
  <si>
    <t>Minority Portion Enrolled</t>
  </si>
  <si>
    <t>Hold Harmless = zero or FY13 Rev - FY14 Rev * 0.66</t>
  </si>
  <si>
    <t>Incentive Revenue</t>
  </si>
  <si>
    <t>Revenue Revised Total</t>
  </si>
  <si>
    <t>change in revenue vs FY13</t>
  </si>
  <si>
    <t>change in P/U vs FY13</t>
  </si>
  <si>
    <t>Integration Aid</t>
  </si>
  <si>
    <t>Integration Levy</t>
  </si>
  <si>
    <t>END OF WORKSHEET</t>
  </si>
  <si>
    <t>This row intentionally left blank</t>
  </si>
  <si>
    <t>District Number</t>
  </si>
  <si>
    <t>District Type</t>
  </si>
  <si>
    <t>District Name</t>
  </si>
  <si>
    <t>Fiscal Year 2015 Achievement Integration Revenue estimates from November 2013 forecast.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</si>
</sst>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1" applyNumberFormat="0" applyFill="0" applyAlignment="0" applyProtection="0"/>
  </cellStyleXfs>
  <cellXfs count="34">
    <xf numFmtId="0" fontId="0" fillId="0" borderId="0" xfId="0"/>
    <xf numFmtId="0" fontId="2" fillId="0" borderId="0" xfId="0" applyNumberFormat="1" applyFont="1" applyFill="1" applyAlignment="1" applyProtection="1">
      <alignment horizontal="left"/>
      <protection locked="0"/>
    </xf>
    <xf numFmtId="0" fontId="2" fillId="0" borderId="0" xfId="0" applyNumberFormat="1" applyFont="1" applyFill="1" applyAlignment="1" applyProtection="1">
      <alignment horizontal="right"/>
      <protection locked="0"/>
    </xf>
    <xf numFmtId="0" fontId="3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3" fillId="0" borderId="0" xfId="0" applyFont="1" applyFill="1" applyAlignment="1"/>
    <xf numFmtId="0" fontId="0" fillId="0" borderId="0" xfId="0" applyFont="1" applyFill="1"/>
    <xf numFmtId="3" fontId="3" fillId="0" borderId="0" xfId="0" applyNumberFormat="1" applyFont="1" applyFill="1"/>
    <xf numFmtId="3" fontId="2" fillId="0" borderId="0" xfId="0" applyNumberFormat="1" applyFont="1" applyFill="1" applyAlignment="1" applyProtection="1">
      <alignment horizontal="right"/>
    </xf>
    <xf numFmtId="3" fontId="0" fillId="0" borderId="0" xfId="0" applyNumberFormat="1" applyFont="1" applyFill="1"/>
    <xf numFmtId="3" fontId="3" fillId="0" borderId="0" xfId="0" applyNumberFormat="1" applyFont="1" applyFill="1" applyAlignment="1"/>
    <xf numFmtId="164" fontId="3" fillId="0" borderId="0" xfId="0" applyNumberFormat="1" applyFont="1" applyFill="1"/>
    <xf numFmtId="37" fontId="0" fillId="0" borderId="0" xfId="1" applyNumberFormat="1" applyFont="1" applyFill="1"/>
    <xf numFmtId="1" fontId="0" fillId="0" borderId="0" xfId="0" applyNumberFormat="1" applyFont="1" applyFill="1" applyProtection="1"/>
    <xf numFmtId="0" fontId="0" fillId="0" borderId="0" xfId="0" applyFont="1" applyFill="1" applyAlignment="1" applyProtection="1">
      <alignment horizontal="left"/>
    </xf>
    <xf numFmtId="1" fontId="2" fillId="0" borderId="0" xfId="0" applyNumberFormat="1" applyFont="1" applyFill="1" applyAlignment="1" applyProtection="1">
      <alignment horizontal="right"/>
      <protection locked="0"/>
    </xf>
    <xf numFmtId="1" fontId="0" fillId="0" borderId="0" xfId="0" applyNumberFormat="1" applyFont="1" applyFill="1" applyBorder="1" applyProtection="1"/>
    <xf numFmtId="3" fontId="2" fillId="0" borderId="0" xfId="1" applyNumberFormat="1" applyFont="1" applyFill="1" applyAlignment="1" applyProtection="1">
      <alignment horizontal="right"/>
    </xf>
    <xf numFmtId="37" fontId="0" fillId="0" borderId="0" xfId="0" applyNumberFormat="1" applyFont="1" applyFill="1"/>
    <xf numFmtId="3" fontId="0" fillId="0" borderId="0" xfId="0" applyNumberFormat="1"/>
    <xf numFmtId="165" fontId="0" fillId="0" borderId="0" xfId="1" applyNumberFormat="1" applyFont="1" applyFill="1"/>
    <xf numFmtId="3" fontId="0" fillId="2" borderId="0" xfId="0" applyNumberFormat="1" applyFont="1" applyFill="1"/>
    <xf numFmtId="37" fontId="0" fillId="2" borderId="0" xfId="1" applyNumberFormat="1" applyFont="1" applyFill="1"/>
    <xf numFmtId="0" fontId="0" fillId="2" borderId="0" xfId="0" applyFont="1" applyFill="1"/>
    <xf numFmtId="3" fontId="2" fillId="0" borderId="0" xfId="0" applyNumberFormat="1" applyFont="1" applyFill="1" applyAlignment="1" applyProtection="1">
      <alignment horizontal="center" vertical="distributed"/>
    </xf>
    <xf numFmtId="0" fontId="3" fillId="0" borderId="0" xfId="0" applyFont="1" applyFill="1" applyAlignment="1">
      <alignment horizontal="center" vertical="distributed"/>
    </xf>
    <xf numFmtId="0" fontId="3" fillId="0" borderId="0" xfId="0" quotePrefix="1" applyFont="1" applyFill="1" applyAlignment="1">
      <alignment horizontal="center" vertical="distributed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distributed"/>
    </xf>
    <xf numFmtId="0" fontId="0" fillId="0" borderId="0" xfId="0" applyAlignment="1">
      <alignment horizontal="center" vertical="distributed"/>
    </xf>
    <xf numFmtId="0" fontId="0" fillId="2" borderId="0" xfId="0" applyFont="1" applyFill="1" applyAlignment="1">
      <alignment horizontal="center" vertical="distributed"/>
    </xf>
    <xf numFmtId="0" fontId="4" fillId="0" borderId="1" xfId="2" applyNumberFormat="1" applyFill="1" applyAlignment="1" applyProtection="1">
      <alignment horizontal="left"/>
      <protection locked="0"/>
    </xf>
  </cellXfs>
  <cellStyles count="3">
    <cellStyle name="Comma 3" xfId="1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5"/>
  <sheetViews>
    <sheetView tabSelected="1" zoomScale="75" zoomScaleNormal="75" workbookViewId="0">
      <pane xSplit="3" ySplit="4" topLeftCell="D5" activePane="bottomRight" state="frozen"/>
      <selection pane="topRight" activeCell="D1" sqref="D1"/>
      <selection pane="bottomLeft" activeCell="A13" sqref="A13"/>
      <selection pane="bottomRight" activeCell="A2" sqref="A2"/>
    </sheetView>
  </sheetViews>
  <sheetFormatPr defaultRowHeight="15" x14ac:dyDescent="0.25"/>
  <cols>
    <col min="1" max="1" width="7.5703125" bestFit="1" customWidth="1"/>
    <col min="2" max="2" width="12.42578125" customWidth="1"/>
    <col min="3" max="3" width="39.7109375" bestFit="1" customWidth="1"/>
    <col min="4" max="4" width="12.7109375" bestFit="1" customWidth="1"/>
    <col min="5" max="5" width="14.85546875" bestFit="1" customWidth="1"/>
    <col min="6" max="6" width="10" bestFit="1" customWidth="1"/>
    <col min="7" max="7" width="10.42578125" bestFit="1" customWidth="1"/>
    <col min="8" max="8" width="8.85546875" bestFit="1" customWidth="1"/>
    <col min="9" max="9" width="11.5703125" bestFit="1" customWidth="1"/>
    <col min="10" max="10" width="22.5703125" bestFit="1" customWidth="1"/>
    <col min="11" max="11" width="10.42578125" bestFit="1" customWidth="1"/>
    <col min="12" max="12" width="13.28515625" bestFit="1" customWidth="1"/>
    <col min="13" max="13" width="12.140625" bestFit="1" customWidth="1"/>
    <col min="14" max="14" width="13.42578125" bestFit="1" customWidth="1"/>
    <col min="15" max="15" width="14.5703125" bestFit="1" customWidth="1"/>
    <col min="16" max="16" width="11.5703125" bestFit="1" customWidth="1"/>
  </cols>
  <sheetData>
    <row r="1" spans="1:16" ht="20.25" thickBot="1" x14ac:dyDescent="0.35">
      <c r="A1" s="33" t="s">
        <v>348</v>
      </c>
      <c r="B1" s="2"/>
      <c r="C1" s="1"/>
      <c r="D1" s="3"/>
      <c r="E1" s="4"/>
      <c r="F1" s="5"/>
      <c r="G1" s="5"/>
      <c r="H1" s="5"/>
      <c r="I1" s="5"/>
      <c r="J1" s="6"/>
      <c r="K1" s="6"/>
      <c r="L1" s="6"/>
      <c r="M1" s="6"/>
      <c r="N1" s="6"/>
      <c r="O1" s="6"/>
      <c r="P1" s="6"/>
    </row>
    <row r="2" spans="1:16" ht="45.75" thickTop="1" x14ac:dyDescent="0.25">
      <c r="A2" s="1" t="s">
        <v>345</v>
      </c>
      <c r="B2" s="1" t="s">
        <v>346</v>
      </c>
      <c r="C2" s="1" t="s">
        <v>347</v>
      </c>
      <c r="D2" s="26" t="s">
        <v>331</v>
      </c>
      <c r="E2" s="27" t="s">
        <v>332</v>
      </c>
      <c r="F2" s="28" t="s">
        <v>333</v>
      </c>
      <c r="G2" s="28" t="s">
        <v>334</v>
      </c>
      <c r="H2" s="27" t="s">
        <v>335</v>
      </c>
      <c r="I2" s="29" t="s">
        <v>0</v>
      </c>
      <c r="J2" s="30" t="s">
        <v>336</v>
      </c>
      <c r="K2" s="31" t="s">
        <v>337</v>
      </c>
      <c r="L2" s="32" t="s">
        <v>338</v>
      </c>
      <c r="M2" s="27" t="s">
        <v>339</v>
      </c>
      <c r="N2" s="27" t="s">
        <v>340</v>
      </c>
      <c r="O2" s="32" t="s">
        <v>341</v>
      </c>
      <c r="P2" s="32" t="s">
        <v>342</v>
      </c>
    </row>
    <row r="3" spans="1:16" ht="14.45" x14ac:dyDescent="0.3">
      <c r="A3" s="1" t="s">
        <v>344</v>
      </c>
      <c r="B3" s="2"/>
      <c r="C3" s="1"/>
      <c r="D3" s="11"/>
      <c r="E3" s="5"/>
      <c r="F3" s="7"/>
      <c r="G3" s="12"/>
      <c r="H3" s="7"/>
      <c r="I3" s="3"/>
      <c r="J3" s="8"/>
      <c r="L3" s="8"/>
      <c r="M3" s="8"/>
      <c r="N3" s="8"/>
      <c r="O3" s="8"/>
      <c r="P3" s="8"/>
    </row>
    <row r="4" spans="1:16" ht="14.45" x14ac:dyDescent="0.3">
      <c r="A4" s="2"/>
      <c r="B4" s="2"/>
      <c r="C4" s="1" t="s">
        <v>1</v>
      </c>
      <c r="D4" s="10">
        <f>SUM(D6:D334)</f>
        <v>93443689.73999998</v>
      </c>
      <c r="E4" s="10">
        <f t="shared" ref="E4:G4" si="0">SUM(E6:E334)</f>
        <v>861370.15450000041</v>
      </c>
      <c r="F4" s="10">
        <f t="shared" si="0"/>
        <v>793090</v>
      </c>
      <c r="G4" s="10">
        <f t="shared" si="0"/>
        <v>209938.10000000009</v>
      </c>
      <c r="H4" s="13">
        <f>IF(F4=0,0,G4/F4)</f>
        <v>0.26470904941431628</v>
      </c>
      <c r="I4" s="10">
        <f t="shared" ref="I4:M4" si="1">SUM(I6:I334)</f>
        <v>81175549.428758934</v>
      </c>
      <c r="J4" s="10">
        <f t="shared" si="1"/>
        <v>20377489.962645091</v>
      </c>
      <c r="K4" s="10">
        <f t="shared" si="1"/>
        <v>5735257.5600000033</v>
      </c>
      <c r="L4" s="10">
        <f t="shared" si="1"/>
        <v>95478059.250000015</v>
      </c>
      <c r="M4" s="10">
        <f t="shared" si="1"/>
        <v>2034369.5100000026</v>
      </c>
      <c r="N4" s="14">
        <f>IF(E6=0,0,M4/E6)</f>
        <v>1521.7930782212186</v>
      </c>
      <c r="O4" s="10">
        <f t="shared" ref="O4:P4" si="2">SUM(O6:O334)</f>
        <v>66834641.474999964</v>
      </c>
      <c r="P4" s="10">
        <f t="shared" si="2"/>
        <v>28643417.775000002</v>
      </c>
    </row>
    <row r="5" spans="1:16" ht="14.45" x14ac:dyDescent="0.3">
      <c r="A5" s="2"/>
      <c r="B5" s="2"/>
      <c r="C5" s="1"/>
      <c r="H5" s="19"/>
      <c r="I5" s="19"/>
      <c r="K5" s="8"/>
      <c r="L5" s="25"/>
      <c r="M5" s="8"/>
      <c r="N5" s="20"/>
      <c r="O5" s="25"/>
      <c r="P5" s="25"/>
    </row>
    <row r="6" spans="1:16" ht="14.45" x14ac:dyDescent="0.3">
      <c r="A6" s="15">
        <v>1</v>
      </c>
      <c r="B6" s="15">
        <v>1</v>
      </c>
      <c r="C6" s="16" t="s">
        <v>2</v>
      </c>
      <c r="D6">
        <v>0</v>
      </c>
      <c r="E6">
        <v>1336.8240000000001</v>
      </c>
      <c r="F6">
        <v>1284</v>
      </c>
      <c r="G6">
        <v>57.68</v>
      </c>
      <c r="H6" s="13">
        <f t="shared" ref="H6:H69" si="3">IF(F6=0,0,G6/F6)</f>
        <v>4.4922118380062305E-2</v>
      </c>
      <c r="I6" s="9">
        <f>E6*H6*350</f>
        <v>21018.538093457944</v>
      </c>
      <c r="J6">
        <v>0</v>
      </c>
      <c r="K6" s="21">
        <f t="shared" ref="K6:K69" si="4">IF(D6&gt;0,E6*10,0)</f>
        <v>0</v>
      </c>
      <c r="L6" s="23">
        <f t="shared" ref="L6:L69" si="5">IF(D6=0,0,ROUND(I6+J6+K6,2))</f>
        <v>0</v>
      </c>
      <c r="M6" s="22">
        <f t="shared" ref="M6:M69" si="6">L6-D6</f>
        <v>0</v>
      </c>
      <c r="N6" s="14">
        <f>IF(E6=0,0,M6/E6)</f>
        <v>0</v>
      </c>
      <c r="O6" s="24">
        <f>0.7*L6</f>
        <v>0</v>
      </c>
      <c r="P6" s="24">
        <f>0.3*L6</f>
        <v>0</v>
      </c>
    </row>
    <row r="7" spans="1:16" ht="14.45" x14ac:dyDescent="0.3">
      <c r="A7" s="17">
        <v>1.2</v>
      </c>
      <c r="B7" s="17">
        <v>3</v>
      </c>
      <c r="C7" s="1" t="s">
        <v>3</v>
      </c>
      <c r="D7">
        <v>18368750.399999999</v>
      </c>
      <c r="E7">
        <v>39480.942000000003</v>
      </c>
      <c r="F7">
        <v>35262</v>
      </c>
      <c r="G7">
        <v>22978.27</v>
      </c>
      <c r="H7" s="13">
        <f t="shared" si="3"/>
        <v>0.65164397935454599</v>
      </c>
      <c r="I7" s="9">
        <f t="shared" ref="I7:I70" si="7">E7*H7*350</f>
        <v>9004631.3537411094</v>
      </c>
      <c r="J7">
        <v>6215590.093051305</v>
      </c>
      <c r="K7" s="21">
        <f t="shared" si="4"/>
        <v>394809.42000000004</v>
      </c>
      <c r="L7" s="23">
        <f t="shared" si="5"/>
        <v>15615030.869999999</v>
      </c>
      <c r="M7" s="22">
        <f t="shared" si="6"/>
        <v>-2753719.5299999993</v>
      </c>
      <c r="N7" s="14">
        <f t="shared" ref="N7:N70" si="8">IF(E7=0,0,M7/E7)</f>
        <v>-69.748070600747042</v>
      </c>
      <c r="O7" s="24">
        <f>0.7*L7</f>
        <v>10930521.608999999</v>
      </c>
      <c r="P7" s="24">
        <f>0.3*L7</f>
        <v>4684509.2609999999</v>
      </c>
    </row>
    <row r="8" spans="1:16" ht="14.45" x14ac:dyDescent="0.3">
      <c r="A8" s="15">
        <v>2</v>
      </c>
      <c r="B8" s="15">
        <v>1</v>
      </c>
      <c r="C8" s="16" t="s">
        <v>4</v>
      </c>
      <c r="D8">
        <v>0</v>
      </c>
      <c r="E8">
        <v>300.74849999999998</v>
      </c>
      <c r="F8">
        <v>289</v>
      </c>
      <c r="G8">
        <v>12.36</v>
      </c>
      <c r="H8" s="13">
        <f t="shared" si="3"/>
        <v>4.2768166089965393E-2</v>
      </c>
      <c r="I8" s="9">
        <f t="shared" si="7"/>
        <v>4501.8616297577846</v>
      </c>
      <c r="J8">
        <v>0</v>
      </c>
      <c r="K8" s="21">
        <f t="shared" si="4"/>
        <v>0</v>
      </c>
      <c r="L8" s="23">
        <f t="shared" si="5"/>
        <v>0</v>
      </c>
      <c r="M8" s="22">
        <f t="shared" si="6"/>
        <v>0</v>
      </c>
      <c r="N8" s="14">
        <f t="shared" si="8"/>
        <v>0</v>
      </c>
      <c r="O8" s="24">
        <f t="shared" ref="O8:O71" si="9">0.7*L8</f>
        <v>0</v>
      </c>
      <c r="P8" s="24">
        <f t="shared" ref="P8:P71" si="10">0.3*L8</f>
        <v>0</v>
      </c>
    </row>
    <row r="9" spans="1:16" ht="14.45" x14ac:dyDescent="0.3">
      <c r="A9" s="15">
        <v>4</v>
      </c>
      <c r="B9" s="15">
        <v>1</v>
      </c>
      <c r="C9" s="16" t="s">
        <v>5</v>
      </c>
      <c r="D9">
        <v>0</v>
      </c>
      <c r="E9">
        <v>443.77800000000002</v>
      </c>
      <c r="F9">
        <v>399</v>
      </c>
      <c r="G9">
        <v>88.58</v>
      </c>
      <c r="H9" s="13">
        <f t="shared" si="3"/>
        <v>0.22200501253132832</v>
      </c>
      <c r="I9" s="9">
        <f t="shared" si="7"/>
        <v>34482.329157894739</v>
      </c>
      <c r="J9">
        <v>0</v>
      </c>
      <c r="K9" s="21">
        <f t="shared" si="4"/>
        <v>0</v>
      </c>
      <c r="L9" s="23">
        <f t="shared" si="5"/>
        <v>0</v>
      </c>
      <c r="M9" s="22">
        <f t="shared" si="6"/>
        <v>0</v>
      </c>
      <c r="N9" s="14">
        <f t="shared" si="8"/>
        <v>0</v>
      </c>
      <c r="O9" s="24">
        <f t="shared" si="9"/>
        <v>0</v>
      </c>
      <c r="P9" s="24">
        <f t="shared" si="10"/>
        <v>0</v>
      </c>
    </row>
    <row r="10" spans="1:16" ht="14.45" x14ac:dyDescent="0.3">
      <c r="A10" s="17">
        <v>6</v>
      </c>
      <c r="B10" s="17">
        <v>3</v>
      </c>
      <c r="C10" s="1" t="s">
        <v>6</v>
      </c>
      <c r="D10">
        <v>497215</v>
      </c>
      <c r="E10">
        <v>3763.2840000000001</v>
      </c>
      <c r="F10">
        <v>3371</v>
      </c>
      <c r="G10">
        <v>1241.1500000000001</v>
      </c>
      <c r="H10" s="13">
        <f t="shared" si="3"/>
        <v>0.36818451498071791</v>
      </c>
      <c r="I10" s="9">
        <f t="shared" si="7"/>
        <v>484954.01299614366</v>
      </c>
      <c r="J10">
        <v>0</v>
      </c>
      <c r="K10" s="21">
        <f t="shared" si="4"/>
        <v>37632.840000000004</v>
      </c>
      <c r="L10" s="23">
        <f t="shared" si="5"/>
        <v>522586.85</v>
      </c>
      <c r="M10" s="22">
        <f t="shared" si="6"/>
        <v>25371.849999999977</v>
      </c>
      <c r="N10" s="14">
        <f t="shared" si="8"/>
        <v>6.7419440042260899</v>
      </c>
      <c r="O10" s="24">
        <f t="shared" si="9"/>
        <v>365810.79499999998</v>
      </c>
      <c r="P10" s="24">
        <f t="shared" si="10"/>
        <v>156776.05499999999</v>
      </c>
    </row>
    <row r="11" spans="1:16" ht="14.45" x14ac:dyDescent="0.3">
      <c r="A11" s="17">
        <v>11</v>
      </c>
      <c r="B11" s="17">
        <v>1</v>
      </c>
      <c r="C11" s="1" t="s">
        <v>7</v>
      </c>
      <c r="D11">
        <v>5589628.0499999998</v>
      </c>
      <c r="E11">
        <v>40564.498</v>
      </c>
      <c r="F11">
        <v>38403</v>
      </c>
      <c r="G11">
        <v>8876.5400000000009</v>
      </c>
      <c r="H11" s="13">
        <f t="shared" si="3"/>
        <v>0.23114183787724921</v>
      </c>
      <c r="I11" s="9">
        <f t="shared" si="7"/>
        <v>3281653.4171007997</v>
      </c>
      <c r="J11">
        <v>1423307.2782562301</v>
      </c>
      <c r="K11" s="21">
        <f t="shared" si="4"/>
        <v>405644.98</v>
      </c>
      <c r="L11" s="23">
        <f t="shared" si="5"/>
        <v>5110605.68</v>
      </c>
      <c r="M11" s="22">
        <f t="shared" si="6"/>
        <v>-479022.37000000011</v>
      </c>
      <c r="N11" s="14">
        <f t="shared" si="8"/>
        <v>-11.808906645411959</v>
      </c>
      <c r="O11" s="24">
        <f t="shared" si="9"/>
        <v>3577423.9759999998</v>
      </c>
      <c r="P11" s="24">
        <f t="shared" si="10"/>
        <v>1533181.7039999999</v>
      </c>
    </row>
    <row r="12" spans="1:16" ht="14.45" x14ac:dyDescent="0.3">
      <c r="A12" s="15">
        <v>12</v>
      </c>
      <c r="B12" s="15">
        <v>1</v>
      </c>
      <c r="C12" s="16" t="s">
        <v>8</v>
      </c>
      <c r="D12">
        <v>0</v>
      </c>
      <c r="E12">
        <v>7029.7179999999989</v>
      </c>
      <c r="F12">
        <v>6548</v>
      </c>
      <c r="G12">
        <v>966.14</v>
      </c>
      <c r="H12" s="13">
        <f t="shared" si="3"/>
        <v>0.14754734270006109</v>
      </c>
      <c r="I12" s="9">
        <f t="shared" si="7"/>
        <v>363025.67379077582</v>
      </c>
      <c r="J12">
        <v>0</v>
      </c>
      <c r="K12" s="21">
        <f t="shared" si="4"/>
        <v>0</v>
      </c>
      <c r="L12" s="23">
        <f t="shared" si="5"/>
        <v>0</v>
      </c>
      <c r="M12" s="22">
        <f t="shared" si="6"/>
        <v>0</v>
      </c>
      <c r="N12" s="14">
        <f t="shared" si="8"/>
        <v>0</v>
      </c>
      <c r="O12" s="24">
        <f t="shared" si="9"/>
        <v>0</v>
      </c>
      <c r="P12" s="24">
        <f t="shared" si="10"/>
        <v>0</v>
      </c>
    </row>
    <row r="13" spans="1:16" ht="14.45" x14ac:dyDescent="0.3">
      <c r="A13" s="17">
        <v>13</v>
      </c>
      <c r="B13" s="17">
        <v>1</v>
      </c>
      <c r="C13" s="1" t="s">
        <v>9</v>
      </c>
      <c r="D13">
        <v>629202.47</v>
      </c>
      <c r="E13">
        <v>3144.4010000000003</v>
      </c>
      <c r="F13">
        <v>3043</v>
      </c>
      <c r="G13">
        <v>2254.67</v>
      </c>
      <c r="H13" s="13">
        <f t="shared" si="3"/>
        <v>0.74093657574761751</v>
      </c>
      <c r="I13" s="9">
        <f t="shared" si="7"/>
        <v>815430.59840108454</v>
      </c>
      <c r="J13">
        <v>0</v>
      </c>
      <c r="K13" s="21">
        <f t="shared" si="4"/>
        <v>31444.010000000002</v>
      </c>
      <c r="L13" s="23">
        <f t="shared" si="5"/>
        <v>846874.61</v>
      </c>
      <c r="M13" s="22">
        <f t="shared" si="6"/>
        <v>217672.14</v>
      </c>
      <c r="N13" s="14">
        <f t="shared" si="8"/>
        <v>69.225311911553263</v>
      </c>
      <c r="O13" s="24">
        <f t="shared" si="9"/>
        <v>592812.22699999996</v>
      </c>
      <c r="P13" s="24">
        <f t="shared" si="10"/>
        <v>254062.38299999997</v>
      </c>
    </row>
    <row r="14" spans="1:16" ht="14.45" x14ac:dyDescent="0.3">
      <c r="A14" s="17">
        <v>14</v>
      </c>
      <c r="B14" s="17">
        <v>1</v>
      </c>
      <c r="C14" s="1" t="s">
        <v>10</v>
      </c>
      <c r="D14">
        <v>465949.63</v>
      </c>
      <c r="E14">
        <v>3218.8179999999998</v>
      </c>
      <c r="F14">
        <v>2919</v>
      </c>
      <c r="G14">
        <v>1308.1000000000001</v>
      </c>
      <c r="H14" s="13">
        <f t="shared" si="3"/>
        <v>0.44813292223364171</v>
      </c>
      <c r="I14" s="9">
        <f t="shared" si="7"/>
        <v>504860.41076738609</v>
      </c>
      <c r="J14">
        <v>0</v>
      </c>
      <c r="K14" s="21">
        <f t="shared" si="4"/>
        <v>32188.179999999997</v>
      </c>
      <c r="L14" s="23">
        <f t="shared" si="5"/>
        <v>537048.59</v>
      </c>
      <c r="M14" s="22">
        <f t="shared" si="6"/>
        <v>71098.959999999963</v>
      </c>
      <c r="N14" s="14">
        <f t="shared" si="8"/>
        <v>22.088530634537264</v>
      </c>
      <c r="O14" s="24">
        <f t="shared" si="9"/>
        <v>375934.01299999998</v>
      </c>
      <c r="P14" s="24">
        <f t="shared" si="10"/>
        <v>161114.57699999999</v>
      </c>
    </row>
    <row r="15" spans="1:16" ht="14.45" x14ac:dyDescent="0.3">
      <c r="A15" s="15">
        <v>15</v>
      </c>
      <c r="B15" s="15">
        <v>1</v>
      </c>
      <c r="C15" s="16" t="s">
        <v>11</v>
      </c>
      <c r="D15">
        <v>0</v>
      </c>
      <c r="E15">
        <v>4889.0389999999998</v>
      </c>
      <c r="F15">
        <v>5067</v>
      </c>
      <c r="G15">
        <v>409.94</v>
      </c>
      <c r="H15" s="13">
        <f t="shared" si="3"/>
        <v>8.0903887902111699E-2</v>
      </c>
      <c r="I15" s="9">
        <f t="shared" si="7"/>
        <v>138439.79212176829</v>
      </c>
      <c r="J15">
        <v>0</v>
      </c>
      <c r="K15" s="21">
        <f t="shared" si="4"/>
        <v>0</v>
      </c>
      <c r="L15" s="23">
        <f t="shared" si="5"/>
        <v>0</v>
      </c>
      <c r="M15" s="22">
        <f t="shared" si="6"/>
        <v>0</v>
      </c>
      <c r="N15" s="14">
        <f t="shared" si="8"/>
        <v>0</v>
      </c>
      <c r="O15" s="24">
        <f t="shared" si="9"/>
        <v>0</v>
      </c>
      <c r="P15" s="24">
        <f t="shared" si="10"/>
        <v>0</v>
      </c>
    </row>
    <row r="16" spans="1:16" ht="14.45" x14ac:dyDescent="0.3">
      <c r="A16" s="17">
        <v>16</v>
      </c>
      <c r="B16" s="17">
        <v>1</v>
      </c>
      <c r="C16" s="1" t="s">
        <v>12</v>
      </c>
      <c r="D16">
        <v>267129.3</v>
      </c>
      <c r="E16">
        <v>6024.7179999999998</v>
      </c>
      <c r="F16">
        <v>5453</v>
      </c>
      <c r="G16">
        <v>1835.46</v>
      </c>
      <c r="H16" s="13">
        <f t="shared" si="3"/>
        <v>0.33659636897120854</v>
      </c>
      <c r="I16" s="9">
        <f t="shared" si="7"/>
        <v>709764.37100641849</v>
      </c>
      <c r="J16">
        <v>0</v>
      </c>
      <c r="K16" s="21">
        <f t="shared" si="4"/>
        <v>60247.18</v>
      </c>
      <c r="L16" s="23">
        <f t="shared" si="5"/>
        <v>770011.55</v>
      </c>
      <c r="M16" s="22">
        <f t="shared" si="6"/>
        <v>502882.25000000006</v>
      </c>
      <c r="N16" s="14">
        <f t="shared" si="8"/>
        <v>83.469840414107367</v>
      </c>
      <c r="O16" s="24">
        <f t="shared" si="9"/>
        <v>539008.08499999996</v>
      </c>
      <c r="P16" s="24">
        <f t="shared" si="10"/>
        <v>231003.465</v>
      </c>
    </row>
    <row r="17" spans="1:16" ht="14.45" x14ac:dyDescent="0.3">
      <c r="A17" s="17">
        <v>22</v>
      </c>
      <c r="B17" s="17">
        <v>1</v>
      </c>
      <c r="C17" s="1" t="s">
        <v>13</v>
      </c>
      <c r="D17">
        <v>284556</v>
      </c>
      <c r="E17">
        <v>3175.1960000000004</v>
      </c>
      <c r="F17">
        <v>2942</v>
      </c>
      <c r="G17">
        <v>516.03</v>
      </c>
      <c r="H17" s="13">
        <f t="shared" si="3"/>
        <v>0.17540108769544527</v>
      </c>
      <c r="I17" s="9">
        <f t="shared" si="7"/>
        <v>194926.49121617948</v>
      </c>
      <c r="J17">
        <v>55182.812534694094</v>
      </c>
      <c r="K17" s="21">
        <f t="shared" si="4"/>
        <v>31751.960000000003</v>
      </c>
      <c r="L17" s="23">
        <f t="shared" si="5"/>
        <v>281861.26</v>
      </c>
      <c r="M17" s="22">
        <f t="shared" si="6"/>
        <v>-2694.7399999999907</v>
      </c>
      <c r="N17" s="14">
        <f t="shared" si="8"/>
        <v>-0.84868461663468664</v>
      </c>
      <c r="O17" s="24">
        <f t="shared" si="9"/>
        <v>197302.88199999998</v>
      </c>
      <c r="P17" s="24">
        <f t="shared" si="10"/>
        <v>84558.377999999997</v>
      </c>
    </row>
    <row r="18" spans="1:16" ht="14.45" x14ac:dyDescent="0.3">
      <c r="A18" s="17">
        <v>23</v>
      </c>
      <c r="B18" s="17">
        <v>1</v>
      </c>
      <c r="C18" s="1" t="s">
        <v>14</v>
      </c>
      <c r="D18">
        <v>69885.710000000006</v>
      </c>
      <c r="E18">
        <v>995.12800000000016</v>
      </c>
      <c r="F18">
        <v>907</v>
      </c>
      <c r="G18">
        <v>108.15</v>
      </c>
      <c r="H18" s="13">
        <f t="shared" si="3"/>
        <v>0.11923925027563397</v>
      </c>
      <c r="I18" s="9">
        <f t="shared" si="7"/>
        <v>41530.410826901883</v>
      </c>
      <c r="J18">
        <v>17387.585025744218</v>
      </c>
      <c r="K18" s="21">
        <f t="shared" si="4"/>
        <v>9951.2800000000025</v>
      </c>
      <c r="L18" s="23">
        <f t="shared" si="5"/>
        <v>68869.279999999999</v>
      </c>
      <c r="M18" s="22">
        <f t="shared" si="6"/>
        <v>-1016.4300000000076</v>
      </c>
      <c r="N18" s="14">
        <f t="shared" si="8"/>
        <v>-1.0214062914519613</v>
      </c>
      <c r="O18" s="24">
        <f t="shared" si="9"/>
        <v>48208.495999999999</v>
      </c>
      <c r="P18" s="24">
        <f t="shared" si="10"/>
        <v>20660.784</v>
      </c>
    </row>
    <row r="19" spans="1:16" ht="14.45" x14ac:dyDescent="0.3">
      <c r="A19" s="15">
        <v>25</v>
      </c>
      <c r="B19" s="15">
        <v>1</v>
      </c>
      <c r="C19" s="16" t="s">
        <v>15</v>
      </c>
      <c r="D19">
        <v>0</v>
      </c>
      <c r="E19">
        <v>74.358000000000004</v>
      </c>
      <c r="F19">
        <v>53</v>
      </c>
      <c r="G19">
        <v>53</v>
      </c>
      <c r="H19" s="13">
        <f t="shared" si="3"/>
        <v>1</v>
      </c>
      <c r="I19" s="9">
        <f t="shared" si="7"/>
        <v>26025.300000000003</v>
      </c>
      <c r="J19">
        <v>0</v>
      </c>
      <c r="K19" s="21">
        <f t="shared" si="4"/>
        <v>0</v>
      </c>
      <c r="L19" s="23">
        <f t="shared" si="5"/>
        <v>0</v>
      </c>
      <c r="M19" s="22">
        <f t="shared" si="6"/>
        <v>0</v>
      </c>
      <c r="N19" s="14">
        <f t="shared" si="8"/>
        <v>0</v>
      </c>
      <c r="O19" s="24">
        <f t="shared" si="9"/>
        <v>0</v>
      </c>
      <c r="P19" s="24">
        <f t="shared" si="10"/>
        <v>0</v>
      </c>
    </row>
    <row r="20" spans="1:16" ht="14.45" x14ac:dyDescent="0.3">
      <c r="A20" s="15">
        <v>31</v>
      </c>
      <c r="B20" s="15">
        <v>1</v>
      </c>
      <c r="C20" s="16" t="s">
        <v>16</v>
      </c>
      <c r="D20">
        <v>0</v>
      </c>
      <c r="E20">
        <v>5618.3180000000011</v>
      </c>
      <c r="F20">
        <v>5196</v>
      </c>
      <c r="G20">
        <v>1310.1600000000001</v>
      </c>
      <c r="H20" s="13">
        <f t="shared" si="3"/>
        <v>0.25214780600461895</v>
      </c>
      <c r="I20" s="9">
        <f t="shared" si="7"/>
        <v>495826.29499769065</v>
      </c>
      <c r="J20">
        <v>0</v>
      </c>
      <c r="K20" s="21">
        <f t="shared" si="4"/>
        <v>0</v>
      </c>
      <c r="L20" s="23">
        <f t="shared" si="5"/>
        <v>0</v>
      </c>
      <c r="M20" s="22">
        <f t="shared" si="6"/>
        <v>0</v>
      </c>
      <c r="N20" s="14">
        <f t="shared" si="8"/>
        <v>0</v>
      </c>
      <c r="O20" s="24">
        <f t="shared" si="9"/>
        <v>0</v>
      </c>
      <c r="P20" s="24">
        <f t="shared" si="10"/>
        <v>0</v>
      </c>
    </row>
    <row r="21" spans="1:16" ht="14.45" x14ac:dyDescent="0.3">
      <c r="A21" s="15">
        <v>32</v>
      </c>
      <c r="B21" s="15">
        <v>1</v>
      </c>
      <c r="C21" s="16" t="s">
        <v>17</v>
      </c>
      <c r="D21">
        <v>0</v>
      </c>
      <c r="E21">
        <v>627.17400000000009</v>
      </c>
      <c r="F21">
        <v>614</v>
      </c>
      <c r="G21">
        <v>99.91</v>
      </c>
      <c r="H21" s="13">
        <f t="shared" si="3"/>
        <v>0.16271986970684038</v>
      </c>
      <c r="I21" s="9">
        <f t="shared" si="7"/>
        <v>35718.785047231271</v>
      </c>
      <c r="J21">
        <v>0</v>
      </c>
      <c r="K21" s="21">
        <f t="shared" si="4"/>
        <v>0</v>
      </c>
      <c r="L21" s="23">
        <f t="shared" si="5"/>
        <v>0</v>
      </c>
      <c r="M21" s="22">
        <f t="shared" si="6"/>
        <v>0</v>
      </c>
      <c r="N21" s="14">
        <f t="shared" si="8"/>
        <v>0</v>
      </c>
      <c r="O21" s="24">
        <f t="shared" si="9"/>
        <v>0</v>
      </c>
      <c r="P21" s="24">
        <f t="shared" si="10"/>
        <v>0</v>
      </c>
    </row>
    <row r="22" spans="1:16" ht="14.45" x14ac:dyDescent="0.3">
      <c r="A22" s="15">
        <v>36</v>
      </c>
      <c r="B22" s="15">
        <v>1</v>
      </c>
      <c r="C22" s="16" t="s">
        <v>18</v>
      </c>
      <c r="D22">
        <v>0</v>
      </c>
      <c r="E22">
        <v>272.03100000000001</v>
      </c>
      <c r="F22">
        <v>265</v>
      </c>
      <c r="G22">
        <v>127.72</v>
      </c>
      <c r="H22" s="13">
        <f t="shared" si="3"/>
        <v>0.4819622641509434</v>
      </c>
      <c r="I22" s="9">
        <f t="shared" si="7"/>
        <v>45888.036837735854</v>
      </c>
      <c r="J22">
        <v>0</v>
      </c>
      <c r="K22" s="21">
        <f t="shared" si="4"/>
        <v>0</v>
      </c>
      <c r="L22" s="23">
        <f t="shared" si="5"/>
        <v>0</v>
      </c>
      <c r="M22" s="22">
        <f t="shared" si="6"/>
        <v>0</v>
      </c>
      <c r="N22" s="14">
        <f t="shared" si="8"/>
        <v>0</v>
      </c>
      <c r="O22" s="24">
        <f t="shared" si="9"/>
        <v>0</v>
      </c>
      <c r="P22" s="24">
        <f t="shared" si="10"/>
        <v>0</v>
      </c>
    </row>
    <row r="23" spans="1:16" ht="14.45" x14ac:dyDescent="0.3">
      <c r="A23" s="15">
        <v>38</v>
      </c>
      <c r="B23" s="15">
        <v>1</v>
      </c>
      <c r="C23" s="16" t="s">
        <v>19</v>
      </c>
      <c r="D23">
        <v>0</v>
      </c>
      <c r="E23">
        <v>1385.8420000000003</v>
      </c>
      <c r="F23">
        <v>1365</v>
      </c>
      <c r="G23">
        <v>1365</v>
      </c>
      <c r="H23" s="13">
        <f t="shared" si="3"/>
        <v>1</v>
      </c>
      <c r="I23" s="9">
        <f t="shared" si="7"/>
        <v>485044.70000000013</v>
      </c>
      <c r="J23">
        <v>0</v>
      </c>
      <c r="K23" s="21">
        <f t="shared" si="4"/>
        <v>0</v>
      </c>
      <c r="L23" s="23">
        <f t="shared" si="5"/>
        <v>0</v>
      </c>
      <c r="M23" s="22">
        <f t="shared" si="6"/>
        <v>0</v>
      </c>
      <c r="N23" s="14">
        <f t="shared" si="8"/>
        <v>0</v>
      </c>
      <c r="O23" s="24">
        <f t="shared" si="9"/>
        <v>0</v>
      </c>
      <c r="P23" s="24">
        <f t="shared" si="10"/>
        <v>0</v>
      </c>
    </row>
    <row r="24" spans="1:16" ht="14.45" x14ac:dyDescent="0.3">
      <c r="A24" s="17">
        <v>47</v>
      </c>
      <c r="B24" s="17">
        <v>1</v>
      </c>
      <c r="C24" s="1" t="s">
        <v>20</v>
      </c>
      <c r="D24">
        <v>368000</v>
      </c>
      <c r="E24">
        <v>4395.3279999999995</v>
      </c>
      <c r="F24">
        <v>3987</v>
      </c>
      <c r="G24">
        <v>396.55</v>
      </c>
      <c r="H24" s="13">
        <f t="shared" si="3"/>
        <v>9.9460747429144722E-2</v>
      </c>
      <c r="I24" s="9">
        <f t="shared" si="7"/>
        <v>153006.91282668672</v>
      </c>
      <c r="J24">
        <v>137816.00849082018</v>
      </c>
      <c r="K24" s="21">
        <f t="shared" si="4"/>
        <v>43953.279999999999</v>
      </c>
      <c r="L24" s="23">
        <f t="shared" si="5"/>
        <v>334776.2</v>
      </c>
      <c r="M24" s="22">
        <f t="shared" si="6"/>
        <v>-33223.799999999988</v>
      </c>
      <c r="N24" s="14">
        <f t="shared" si="8"/>
        <v>-7.5588898029908105</v>
      </c>
      <c r="O24" s="24">
        <f t="shared" si="9"/>
        <v>234343.34</v>
      </c>
      <c r="P24" s="24">
        <f t="shared" si="10"/>
        <v>100432.86</v>
      </c>
    </row>
    <row r="25" spans="1:16" ht="14.45" x14ac:dyDescent="0.3">
      <c r="A25" s="17">
        <v>51</v>
      </c>
      <c r="B25" s="17">
        <v>1</v>
      </c>
      <c r="C25" s="1" t="s">
        <v>21</v>
      </c>
      <c r="D25">
        <v>176227</v>
      </c>
      <c r="E25">
        <v>1899.9834999999998</v>
      </c>
      <c r="F25">
        <v>1769</v>
      </c>
      <c r="G25">
        <v>40.17</v>
      </c>
      <c r="H25" s="13">
        <f t="shared" si="3"/>
        <v>2.2707744488411532E-2</v>
      </c>
      <c r="I25" s="9">
        <f t="shared" si="7"/>
        <v>15100.518947569246</v>
      </c>
      <c r="J25">
        <v>105762.74077784059</v>
      </c>
      <c r="K25" s="21">
        <f t="shared" si="4"/>
        <v>18999.834999999999</v>
      </c>
      <c r="L25" s="23">
        <f t="shared" si="5"/>
        <v>139863.09</v>
      </c>
      <c r="M25" s="22">
        <f t="shared" si="6"/>
        <v>-36363.910000000003</v>
      </c>
      <c r="N25" s="14">
        <f t="shared" si="8"/>
        <v>-19.139066207680226</v>
      </c>
      <c r="O25" s="24">
        <f t="shared" si="9"/>
        <v>97904.162999999986</v>
      </c>
      <c r="P25" s="24">
        <f t="shared" si="10"/>
        <v>41958.926999999996</v>
      </c>
    </row>
    <row r="26" spans="1:16" ht="14.45" x14ac:dyDescent="0.3">
      <c r="A26" s="15">
        <v>75</v>
      </c>
      <c r="B26" s="15">
        <v>1</v>
      </c>
      <c r="C26" s="16" t="s">
        <v>22</v>
      </c>
      <c r="D26">
        <v>0</v>
      </c>
      <c r="E26">
        <v>714.61199999999997</v>
      </c>
      <c r="F26">
        <v>630</v>
      </c>
      <c r="G26">
        <v>14.42</v>
      </c>
      <c r="H26" s="13">
        <f t="shared" si="3"/>
        <v>2.2888888888888889E-2</v>
      </c>
      <c r="I26" s="9">
        <f t="shared" si="7"/>
        <v>5724.8361333333332</v>
      </c>
      <c r="J26">
        <v>0</v>
      </c>
      <c r="K26" s="21">
        <f t="shared" si="4"/>
        <v>0</v>
      </c>
      <c r="L26" s="23">
        <f t="shared" si="5"/>
        <v>0</v>
      </c>
      <c r="M26" s="22">
        <f t="shared" si="6"/>
        <v>0</v>
      </c>
      <c r="N26" s="14">
        <f t="shared" si="8"/>
        <v>0</v>
      </c>
      <c r="O26" s="24">
        <f t="shared" si="9"/>
        <v>0</v>
      </c>
      <c r="P26" s="24">
        <f t="shared" si="10"/>
        <v>0</v>
      </c>
    </row>
    <row r="27" spans="1:16" ht="14.45" x14ac:dyDescent="0.3">
      <c r="A27" s="15">
        <v>77</v>
      </c>
      <c r="B27" s="15">
        <v>1</v>
      </c>
      <c r="C27" s="16" t="s">
        <v>23</v>
      </c>
      <c r="D27">
        <v>0</v>
      </c>
      <c r="E27">
        <v>8117.88</v>
      </c>
      <c r="F27">
        <v>7765</v>
      </c>
      <c r="G27">
        <v>1501.74</v>
      </c>
      <c r="H27" s="13">
        <f t="shared" si="3"/>
        <v>0.19339858338699292</v>
      </c>
      <c r="I27" s="9">
        <f t="shared" si="7"/>
        <v>549495.27223696071</v>
      </c>
      <c r="J27">
        <v>0</v>
      </c>
      <c r="K27" s="21">
        <f t="shared" si="4"/>
        <v>0</v>
      </c>
      <c r="L27" s="23">
        <f t="shared" si="5"/>
        <v>0</v>
      </c>
      <c r="M27" s="22">
        <f t="shared" si="6"/>
        <v>0</v>
      </c>
      <c r="N27" s="14">
        <f t="shared" si="8"/>
        <v>0</v>
      </c>
      <c r="O27" s="24">
        <f t="shared" si="9"/>
        <v>0</v>
      </c>
      <c r="P27" s="24">
        <f t="shared" si="10"/>
        <v>0</v>
      </c>
    </row>
    <row r="28" spans="1:16" ht="14.45" x14ac:dyDescent="0.3">
      <c r="A28" s="17">
        <v>81</v>
      </c>
      <c r="B28" s="17">
        <v>1</v>
      </c>
      <c r="C28" s="1" t="s">
        <v>24</v>
      </c>
      <c r="D28">
        <v>14219.08</v>
      </c>
      <c r="E28">
        <v>168.67149999999998</v>
      </c>
      <c r="F28">
        <v>167</v>
      </c>
      <c r="G28">
        <v>12.36</v>
      </c>
      <c r="H28" s="13">
        <f t="shared" si="3"/>
        <v>7.4011976047904188E-2</v>
      </c>
      <c r="I28" s="9">
        <f t="shared" si="7"/>
        <v>4369.2988562874243</v>
      </c>
      <c r="J28">
        <v>6244.8395274251498</v>
      </c>
      <c r="K28" s="21">
        <f t="shared" si="4"/>
        <v>1686.7149999999997</v>
      </c>
      <c r="L28" s="23">
        <f t="shared" si="5"/>
        <v>12300.85</v>
      </c>
      <c r="M28" s="22">
        <f t="shared" si="6"/>
        <v>-1918.2299999999996</v>
      </c>
      <c r="N28" s="14">
        <f t="shared" si="8"/>
        <v>-11.372579244270668</v>
      </c>
      <c r="O28" s="24">
        <f t="shared" si="9"/>
        <v>8610.5949999999993</v>
      </c>
      <c r="P28" s="24">
        <f t="shared" si="10"/>
        <v>3690.2550000000001</v>
      </c>
    </row>
    <row r="29" spans="1:16" ht="14.45" x14ac:dyDescent="0.3">
      <c r="A29" s="17">
        <v>84</v>
      </c>
      <c r="B29" s="17">
        <v>1</v>
      </c>
      <c r="C29" s="1" t="s">
        <v>25</v>
      </c>
      <c r="D29">
        <v>78760.95</v>
      </c>
      <c r="E29">
        <v>571.87349999999992</v>
      </c>
      <c r="F29">
        <v>609</v>
      </c>
      <c r="G29">
        <v>211.15</v>
      </c>
      <c r="H29" s="13">
        <f t="shared" si="3"/>
        <v>0.34671592775041049</v>
      </c>
      <c r="I29" s="9">
        <f t="shared" si="7"/>
        <v>69397.17788793103</v>
      </c>
      <c r="J29">
        <v>4474.7590913793019</v>
      </c>
      <c r="K29" s="21">
        <f t="shared" si="4"/>
        <v>5718.7349999999988</v>
      </c>
      <c r="L29" s="23">
        <f t="shared" si="5"/>
        <v>79590.67</v>
      </c>
      <c r="M29" s="22">
        <f t="shared" si="6"/>
        <v>829.72000000000116</v>
      </c>
      <c r="N29" s="14">
        <f t="shared" si="8"/>
        <v>1.4508803083199366</v>
      </c>
      <c r="O29" s="24">
        <f t="shared" si="9"/>
        <v>55713.468999999997</v>
      </c>
      <c r="P29" s="24">
        <f t="shared" si="10"/>
        <v>23877.200999999997</v>
      </c>
    </row>
    <row r="30" spans="1:16" ht="14.45" x14ac:dyDescent="0.3">
      <c r="A30" s="17">
        <v>85</v>
      </c>
      <c r="B30" s="17">
        <v>1</v>
      </c>
      <c r="C30" s="1" t="s">
        <v>26</v>
      </c>
      <c r="D30">
        <v>56750</v>
      </c>
      <c r="E30">
        <v>587.52549999999997</v>
      </c>
      <c r="F30">
        <v>620</v>
      </c>
      <c r="G30">
        <v>53.56</v>
      </c>
      <c r="H30" s="13">
        <f t="shared" si="3"/>
        <v>8.6387096774193553E-2</v>
      </c>
      <c r="I30" s="9">
        <f t="shared" si="7"/>
        <v>17764.117779032258</v>
      </c>
      <c r="J30">
        <v>24663.916404387095</v>
      </c>
      <c r="K30" s="21">
        <f t="shared" si="4"/>
        <v>5875.2549999999992</v>
      </c>
      <c r="L30" s="23">
        <f t="shared" si="5"/>
        <v>48303.29</v>
      </c>
      <c r="M30" s="22">
        <f t="shared" si="6"/>
        <v>-8446.7099999999991</v>
      </c>
      <c r="N30" s="14">
        <f t="shared" si="8"/>
        <v>-14.376754711072115</v>
      </c>
      <c r="O30" s="24">
        <f t="shared" si="9"/>
        <v>33812.303</v>
      </c>
      <c r="P30" s="24">
        <f t="shared" si="10"/>
        <v>14490.986999999999</v>
      </c>
    </row>
    <row r="31" spans="1:16" ht="14.45" x14ac:dyDescent="0.3">
      <c r="A31" s="17">
        <v>88</v>
      </c>
      <c r="B31" s="17">
        <v>1</v>
      </c>
      <c r="C31" s="1" t="s">
        <v>27</v>
      </c>
      <c r="D31">
        <v>209346</v>
      </c>
      <c r="E31">
        <v>2130.402</v>
      </c>
      <c r="F31">
        <v>1917</v>
      </c>
      <c r="G31">
        <v>113.3</v>
      </c>
      <c r="H31" s="13">
        <f t="shared" si="3"/>
        <v>5.9102764736567552E-2</v>
      </c>
      <c r="I31" s="9">
        <f t="shared" si="7"/>
        <v>44069.426870109543</v>
      </c>
      <c r="J31">
        <v>106203.1229059468</v>
      </c>
      <c r="K31" s="21">
        <f t="shared" si="4"/>
        <v>21304.02</v>
      </c>
      <c r="L31" s="23">
        <f t="shared" si="5"/>
        <v>171576.57</v>
      </c>
      <c r="M31" s="22">
        <f t="shared" si="6"/>
        <v>-37769.429999999993</v>
      </c>
      <c r="N31" s="14">
        <f t="shared" si="8"/>
        <v>-17.728780765320344</v>
      </c>
      <c r="O31" s="24">
        <f t="shared" si="9"/>
        <v>120103.599</v>
      </c>
      <c r="P31" s="24">
        <f t="shared" si="10"/>
        <v>51472.970999999998</v>
      </c>
    </row>
    <row r="32" spans="1:16" ht="14.45" x14ac:dyDescent="0.3">
      <c r="A32" s="15">
        <v>91</v>
      </c>
      <c r="B32" s="15">
        <v>1</v>
      </c>
      <c r="C32" s="16" t="s">
        <v>28</v>
      </c>
      <c r="D32">
        <v>0</v>
      </c>
      <c r="E32">
        <v>875.77200000000005</v>
      </c>
      <c r="F32">
        <v>802</v>
      </c>
      <c r="G32">
        <v>39.14</v>
      </c>
      <c r="H32" s="13">
        <f t="shared" si="3"/>
        <v>4.8802992518703243E-2</v>
      </c>
      <c r="I32" s="9">
        <f t="shared" si="7"/>
        <v>14959.103027431422</v>
      </c>
      <c r="J32">
        <v>0</v>
      </c>
      <c r="K32" s="21">
        <f t="shared" si="4"/>
        <v>0</v>
      </c>
      <c r="L32" s="23">
        <f t="shared" si="5"/>
        <v>0</v>
      </c>
      <c r="M32" s="22">
        <f t="shared" si="6"/>
        <v>0</v>
      </c>
      <c r="N32" s="14">
        <f t="shared" si="8"/>
        <v>0</v>
      </c>
      <c r="O32" s="24">
        <f t="shared" si="9"/>
        <v>0</v>
      </c>
      <c r="P32" s="24">
        <f t="shared" si="10"/>
        <v>0</v>
      </c>
    </row>
    <row r="33" spans="1:16" ht="14.45" x14ac:dyDescent="0.3">
      <c r="A33" s="15">
        <v>93</v>
      </c>
      <c r="B33" s="15">
        <v>1</v>
      </c>
      <c r="C33" s="16" t="s">
        <v>29</v>
      </c>
      <c r="D33">
        <v>0</v>
      </c>
      <c r="E33">
        <v>486.98599999999993</v>
      </c>
      <c r="F33">
        <v>486</v>
      </c>
      <c r="G33">
        <v>98.88</v>
      </c>
      <c r="H33" s="13">
        <f t="shared" si="3"/>
        <v>0.20345679012345677</v>
      </c>
      <c r="I33" s="9">
        <f t="shared" si="7"/>
        <v>34678.212938271594</v>
      </c>
      <c r="J33">
        <v>0</v>
      </c>
      <c r="K33" s="21">
        <f t="shared" si="4"/>
        <v>0</v>
      </c>
      <c r="L33" s="23">
        <f t="shared" si="5"/>
        <v>0</v>
      </c>
      <c r="M33" s="22">
        <f t="shared" si="6"/>
        <v>0</v>
      </c>
      <c r="N33" s="14">
        <f t="shared" si="8"/>
        <v>0</v>
      </c>
      <c r="O33" s="24">
        <f t="shared" si="9"/>
        <v>0</v>
      </c>
      <c r="P33" s="24">
        <f t="shared" si="10"/>
        <v>0</v>
      </c>
    </row>
    <row r="34" spans="1:16" ht="14.45" x14ac:dyDescent="0.3">
      <c r="A34" s="15">
        <v>94</v>
      </c>
      <c r="B34" s="15">
        <v>1</v>
      </c>
      <c r="C34" s="16" t="s">
        <v>30</v>
      </c>
      <c r="D34">
        <v>0</v>
      </c>
      <c r="E34">
        <v>2660.3434999999999</v>
      </c>
      <c r="F34">
        <v>2452</v>
      </c>
      <c r="G34">
        <v>587.1</v>
      </c>
      <c r="H34" s="13">
        <f t="shared" si="3"/>
        <v>0.23943719412724307</v>
      </c>
      <c r="I34" s="9">
        <f t="shared" si="7"/>
        <v>222944.81406912726</v>
      </c>
      <c r="J34">
        <v>0</v>
      </c>
      <c r="K34" s="21">
        <f t="shared" si="4"/>
        <v>0</v>
      </c>
      <c r="L34" s="23">
        <f t="shared" si="5"/>
        <v>0</v>
      </c>
      <c r="M34" s="22">
        <f t="shared" si="6"/>
        <v>0</v>
      </c>
      <c r="N34" s="14">
        <f t="shared" si="8"/>
        <v>0</v>
      </c>
      <c r="O34" s="24">
        <f t="shared" si="9"/>
        <v>0</v>
      </c>
      <c r="P34" s="24">
        <f t="shared" si="10"/>
        <v>0</v>
      </c>
    </row>
    <row r="35" spans="1:16" ht="14.45" x14ac:dyDescent="0.3">
      <c r="A35" s="15">
        <v>95</v>
      </c>
      <c r="B35" s="15">
        <v>1</v>
      </c>
      <c r="C35" s="16" t="s">
        <v>31</v>
      </c>
      <c r="D35">
        <v>0</v>
      </c>
      <c r="E35">
        <v>358.678</v>
      </c>
      <c r="F35">
        <v>333</v>
      </c>
      <c r="G35">
        <v>19.57</v>
      </c>
      <c r="H35" s="13">
        <f t="shared" si="3"/>
        <v>5.876876876876877E-2</v>
      </c>
      <c r="I35" s="9">
        <f t="shared" si="7"/>
        <v>7377.6725555555558</v>
      </c>
      <c r="J35">
        <v>0</v>
      </c>
      <c r="K35" s="21">
        <f t="shared" si="4"/>
        <v>0</v>
      </c>
      <c r="L35" s="23">
        <f t="shared" si="5"/>
        <v>0</v>
      </c>
      <c r="M35" s="22">
        <f t="shared" si="6"/>
        <v>0</v>
      </c>
      <c r="N35" s="14">
        <f t="shared" si="8"/>
        <v>0</v>
      </c>
      <c r="O35" s="24">
        <f t="shared" si="9"/>
        <v>0</v>
      </c>
      <c r="P35" s="24">
        <f t="shared" si="10"/>
        <v>0</v>
      </c>
    </row>
    <row r="36" spans="1:16" ht="14.45" x14ac:dyDescent="0.3">
      <c r="A36" s="15">
        <v>97</v>
      </c>
      <c r="B36" s="15">
        <v>1</v>
      </c>
      <c r="C36" s="16" t="s">
        <v>32</v>
      </c>
      <c r="D36">
        <v>0</v>
      </c>
      <c r="E36">
        <v>705.09</v>
      </c>
      <c r="F36">
        <v>646</v>
      </c>
      <c r="G36">
        <v>26.78</v>
      </c>
      <c r="H36" s="13">
        <f t="shared" si="3"/>
        <v>4.145510835913313E-2</v>
      </c>
      <c r="I36" s="9">
        <f t="shared" si="7"/>
        <v>10230.353823529413</v>
      </c>
      <c r="J36">
        <v>0</v>
      </c>
      <c r="K36" s="21">
        <f t="shared" si="4"/>
        <v>0</v>
      </c>
      <c r="L36" s="23">
        <f t="shared" si="5"/>
        <v>0</v>
      </c>
      <c r="M36" s="22">
        <f t="shared" si="6"/>
        <v>0</v>
      </c>
      <c r="N36" s="14">
        <f t="shared" si="8"/>
        <v>0</v>
      </c>
      <c r="O36" s="24">
        <f t="shared" si="9"/>
        <v>0</v>
      </c>
      <c r="P36" s="24">
        <f t="shared" si="10"/>
        <v>0</v>
      </c>
    </row>
    <row r="37" spans="1:16" ht="14.45" x14ac:dyDescent="0.3">
      <c r="A37" s="15">
        <v>99</v>
      </c>
      <c r="B37" s="15">
        <v>1</v>
      </c>
      <c r="C37" s="16" t="s">
        <v>33</v>
      </c>
      <c r="D37">
        <v>0</v>
      </c>
      <c r="E37">
        <v>1315.3039999999999</v>
      </c>
      <c r="F37">
        <v>1242</v>
      </c>
      <c r="G37">
        <v>47.38</v>
      </c>
      <c r="H37" s="13">
        <f t="shared" si="3"/>
        <v>3.8148148148148153E-2</v>
      </c>
      <c r="I37" s="9">
        <f t="shared" si="7"/>
        <v>17561.744148148147</v>
      </c>
      <c r="J37">
        <v>0</v>
      </c>
      <c r="K37" s="21">
        <f t="shared" si="4"/>
        <v>0</v>
      </c>
      <c r="L37" s="23">
        <f t="shared" si="5"/>
        <v>0</v>
      </c>
      <c r="M37" s="22">
        <f t="shared" si="6"/>
        <v>0</v>
      </c>
      <c r="N37" s="14">
        <f t="shared" si="8"/>
        <v>0</v>
      </c>
      <c r="O37" s="24">
        <f t="shared" si="9"/>
        <v>0</v>
      </c>
      <c r="P37" s="24">
        <f t="shared" si="10"/>
        <v>0</v>
      </c>
    </row>
    <row r="38" spans="1:16" ht="14.45" x14ac:dyDescent="0.3">
      <c r="A38" s="15">
        <v>100</v>
      </c>
      <c r="B38" s="15">
        <v>1</v>
      </c>
      <c r="C38" s="16" t="s">
        <v>34</v>
      </c>
      <c r="D38">
        <v>0</v>
      </c>
      <c r="E38">
        <v>326.9425</v>
      </c>
      <c r="F38">
        <v>323</v>
      </c>
      <c r="G38">
        <v>6.18</v>
      </c>
      <c r="H38" s="13">
        <f t="shared" si="3"/>
        <v>1.9133126934984521E-2</v>
      </c>
      <c r="I38" s="9">
        <f t="shared" si="7"/>
        <v>2189.4013235294119</v>
      </c>
      <c r="J38">
        <v>0</v>
      </c>
      <c r="K38" s="21">
        <f t="shared" si="4"/>
        <v>0</v>
      </c>
      <c r="L38" s="23">
        <f t="shared" si="5"/>
        <v>0</v>
      </c>
      <c r="M38" s="22">
        <f t="shared" si="6"/>
        <v>0</v>
      </c>
      <c r="N38" s="14">
        <f t="shared" si="8"/>
        <v>0</v>
      </c>
      <c r="O38" s="24">
        <f t="shared" si="9"/>
        <v>0</v>
      </c>
      <c r="P38" s="24">
        <f t="shared" si="10"/>
        <v>0</v>
      </c>
    </row>
    <row r="39" spans="1:16" ht="14.45" x14ac:dyDescent="0.3">
      <c r="A39" s="15">
        <v>108</v>
      </c>
      <c r="B39" s="15">
        <v>1</v>
      </c>
      <c r="C39" s="16" t="s">
        <v>35</v>
      </c>
      <c r="D39">
        <v>0</v>
      </c>
      <c r="E39">
        <v>1021.6139999999999</v>
      </c>
      <c r="F39">
        <v>1021</v>
      </c>
      <c r="G39">
        <v>97.850000000000009</v>
      </c>
      <c r="H39" s="13">
        <f t="shared" si="3"/>
        <v>9.5837414299706172E-2</v>
      </c>
      <c r="I39" s="9">
        <f t="shared" si="7"/>
        <v>34268.095460333003</v>
      </c>
      <c r="J39">
        <v>0</v>
      </c>
      <c r="K39" s="21">
        <f t="shared" si="4"/>
        <v>0</v>
      </c>
      <c r="L39" s="23">
        <f t="shared" si="5"/>
        <v>0</v>
      </c>
      <c r="M39" s="22">
        <f t="shared" si="6"/>
        <v>0</v>
      </c>
      <c r="N39" s="14">
        <f t="shared" si="8"/>
        <v>0</v>
      </c>
      <c r="O39" s="24">
        <f t="shared" si="9"/>
        <v>0</v>
      </c>
      <c r="P39" s="24">
        <f t="shared" si="10"/>
        <v>0</v>
      </c>
    </row>
    <row r="40" spans="1:16" x14ac:dyDescent="0.25">
      <c r="A40" s="15">
        <v>110</v>
      </c>
      <c r="B40" s="15">
        <v>1</v>
      </c>
      <c r="C40" s="16" t="s">
        <v>36</v>
      </c>
      <c r="D40">
        <v>0</v>
      </c>
      <c r="E40">
        <v>4019.3679999999995</v>
      </c>
      <c r="F40">
        <v>3604</v>
      </c>
      <c r="G40">
        <v>230.72</v>
      </c>
      <c r="H40" s="13">
        <f t="shared" si="3"/>
        <v>6.4017758046614873E-2</v>
      </c>
      <c r="I40" s="9">
        <f t="shared" si="7"/>
        <v>90058.824843507216</v>
      </c>
      <c r="J40">
        <v>0</v>
      </c>
      <c r="K40" s="21">
        <f t="shared" si="4"/>
        <v>0</v>
      </c>
      <c r="L40" s="23">
        <f t="shared" si="5"/>
        <v>0</v>
      </c>
      <c r="M40" s="22">
        <f t="shared" si="6"/>
        <v>0</v>
      </c>
      <c r="N40" s="14">
        <f t="shared" si="8"/>
        <v>0</v>
      </c>
      <c r="O40" s="24">
        <f t="shared" si="9"/>
        <v>0</v>
      </c>
      <c r="P40" s="24">
        <f t="shared" si="10"/>
        <v>0</v>
      </c>
    </row>
    <row r="41" spans="1:16" x14ac:dyDescent="0.25">
      <c r="A41" s="15">
        <v>111</v>
      </c>
      <c r="B41" s="15">
        <v>1</v>
      </c>
      <c r="C41" s="16" t="s">
        <v>37</v>
      </c>
      <c r="D41">
        <v>0</v>
      </c>
      <c r="E41">
        <v>1712.2750000000003</v>
      </c>
      <c r="F41">
        <v>1610</v>
      </c>
      <c r="G41">
        <v>81.37</v>
      </c>
      <c r="H41" s="13">
        <f t="shared" si="3"/>
        <v>5.0540372670807458E-2</v>
      </c>
      <c r="I41" s="9">
        <f t="shared" si="7"/>
        <v>30288.6558152174</v>
      </c>
      <c r="J41">
        <v>0</v>
      </c>
      <c r="K41" s="21">
        <f t="shared" si="4"/>
        <v>0</v>
      </c>
      <c r="L41" s="23">
        <f t="shared" si="5"/>
        <v>0</v>
      </c>
      <c r="M41" s="22">
        <f t="shared" si="6"/>
        <v>0</v>
      </c>
      <c r="N41" s="14">
        <f t="shared" si="8"/>
        <v>0</v>
      </c>
      <c r="O41" s="24">
        <f t="shared" si="9"/>
        <v>0</v>
      </c>
      <c r="P41" s="24">
        <f t="shared" si="10"/>
        <v>0</v>
      </c>
    </row>
    <row r="42" spans="1:16" x14ac:dyDescent="0.25">
      <c r="A42" s="15">
        <v>112</v>
      </c>
      <c r="B42" s="15">
        <v>1</v>
      </c>
      <c r="C42" s="16" t="s">
        <v>38</v>
      </c>
      <c r="D42">
        <v>0</v>
      </c>
      <c r="E42">
        <v>10085.111999999999</v>
      </c>
      <c r="F42">
        <v>9323</v>
      </c>
      <c r="G42">
        <v>1560.45</v>
      </c>
      <c r="H42" s="13">
        <f t="shared" si="3"/>
        <v>0.16737638099324254</v>
      </c>
      <c r="I42" s="9">
        <f t="shared" si="7"/>
        <v>590803.34196503274</v>
      </c>
      <c r="J42">
        <v>0</v>
      </c>
      <c r="K42" s="21">
        <f t="shared" si="4"/>
        <v>0</v>
      </c>
      <c r="L42" s="23">
        <f t="shared" si="5"/>
        <v>0</v>
      </c>
      <c r="M42" s="22">
        <f t="shared" si="6"/>
        <v>0</v>
      </c>
      <c r="N42" s="14">
        <f t="shared" si="8"/>
        <v>0</v>
      </c>
      <c r="O42" s="24">
        <f t="shared" si="9"/>
        <v>0</v>
      </c>
      <c r="P42" s="24">
        <f t="shared" si="10"/>
        <v>0</v>
      </c>
    </row>
    <row r="43" spans="1:16" x14ac:dyDescent="0.25">
      <c r="A43" s="15">
        <v>113</v>
      </c>
      <c r="B43" s="15">
        <v>1</v>
      </c>
      <c r="C43" s="16" t="s">
        <v>39</v>
      </c>
      <c r="D43">
        <v>0</v>
      </c>
      <c r="E43">
        <v>850.00400000000002</v>
      </c>
      <c r="F43">
        <v>794</v>
      </c>
      <c r="G43">
        <v>187.46</v>
      </c>
      <c r="H43" s="13">
        <f t="shared" si="3"/>
        <v>0.236095717884131</v>
      </c>
      <c r="I43" s="9">
        <f t="shared" si="7"/>
        <v>70238.806604534024</v>
      </c>
      <c r="J43">
        <v>0</v>
      </c>
      <c r="K43" s="21">
        <f t="shared" si="4"/>
        <v>0</v>
      </c>
      <c r="L43" s="23">
        <f t="shared" si="5"/>
        <v>0</v>
      </c>
      <c r="M43" s="22">
        <f t="shared" si="6"/>
        <v>0</v>
      </c>
      <c r="N43" s="14">
        <f t="shared" si="8"/>
        <v>0</v>
      </c>
      <c r="O43" s="24">
        <f t="shared" si="9"/>
        <v>0</v>
      </c>
      <c r="P43" s="24">
        <f t="shared" si="10"/>
        <v>0</v>
      </c>
    </row>
    <row r="44" spans="1:16" x14ac:dyDescent="0.25">
      <c r="A44" s="15">
        <v>115</v>
      </c>
      <c r="B44" s="15">
        <v>1</v>
      </c>
      <c r="C44" s="16" t="s">
        <v>40</v>
      </c>
      <c r="D44">
        <v>0</v>
      </c>
      <c r="E44">
        <v>1151.6815000000001</v>
      </c>
      <c r="F44">
        <v>1131</v>
      </c>
      <c r="G44">
        <v>1079.44</v>
      </c>
      <c r="H44" s="13">
        <f t="shared" si="3"/>
        <v>0.95441202475685238</v>
      </c>
      <c r="I44" s="9">
        <f t="shared" si="7"/>
        <v>384712.53530150314</v>
      </c>
      <c r="J44">
        <v>0</v>
      </c>
      <c r="K44" s="21">
        <f t="shared" si="4"/>
        <v>0</v>
      </c>
      <c r="L44" s="23">
        <f t="shared" si="5"/>
        <v>0</v>
      </c>
      <c r="M44" s="22">
        <f t="shared" si="6"/>
        <v>0</v>
      </c>
      <c r="N44" s="14">
        <f t="shared" si="8"/>
        <v>0</v>
      </c>
      <c r="O44" s="24">
        <f t="shared" si="9"/>
        <v>0</v>
      </c>
      <c r="P44" s="24">
        <f t="shared" si="10"/>
        <v>0</v>
      </c>
    </row>
    <row r="45" spans="1:16" x14ac:dyDescent="0.25">
      <c r="A45" s="15">
        <v>116</v>
      </c>
      <c r="B45" s="15">
        <v>1</v>
      </c>
      <c r="C45" s="16" t="s">
        <v>41</v>
      </c>
      <c r="D45">
        <v>0</v>
      </c>
      <c r="E45">
        <v>1058.9280000000001</v>
      </c>
      <c r="F45">
        <v>872</v>
      </c>
      <c r="G45">
        <v>11.33</v>
      </c>
      <c r="H45" s="13">
        <f t="shared" si="3"/>
        <v>1.2993119266055045E-2</v>
      </c>
      <c r="I45" s="9">
        <f t="shared" si="7"/>
        <v>4815.5722293577983</v>
      </c>
      <c r="J45">
        <v>0</v>
      </c>
      <c r="K45" s="21">
        <f t="shared" si="4"/>
        <v>0</v>
      </c>
      <c r="L45" s="23">
        <f t="shared" si="5"/>
        <v>0</v>
      </c>
      <c r="M45" s="22">
        <f t="shared" si="6"/>
        <v>0</v>
      </c>
      <c r="N45" s="14">
        <f t="shared" si="8"/>
        <v>0</v>
      </c>
      <c r="O45" s="24">
        <f t="shared" si="9"/>
        <v>0</v>
      </c>
      <c r="P45" s="24">
        <f t="shared" si="10"/>
        <v>0</v>
      </c>
    </row>
    <row r="46" spans="1:16" x14ac:dyDescent="0.25">
      <c r="A46" s="15">
        <v>118</v>
      </c>
      <c r="B46" s="15">
        <v>1</v>
      </c>
      <c r="C46" s="16" t="s">
        <v>42</v>
      </c>
      <c r="D46">
        <v>0</v>
      </c>
      <c r="E46">
        <v>338.17850000000004</v>
      </c>
      <c r="F46">
        <v>351</v>
      </c>
      <c r="G46">
        <v>95.79</v>
      </c>
      <c r="H46" s="13">
        <f t="shared" si="3"/>
        <v>0.27290598290598295</v>
      </c>
      <c r="I46" s="9">
        <f t="shared" si="7"/>
        <v>32301.827579059838</v>
      </c>
      <c r="J46">
        <v>0</v>
      </c>
      <c r="K46" s="21">
        <f t="shared" si="4"/>
        <v>0</v>
      </c>
      <c r="L46" s="23">
        <f t="shared" si="5"/>
        <v>0</v>
      </c>
      <c r="M46" s="22">
        <f t="shared" si="6"/>
        <v>0</v>
      </c>
      <c r="N46" s="14">
        <f t="shared" si="8"/>
        <v>0</v>
      </c>
      <c r="O46" s="24">
        <f t="shared" si="9"/>
        <v>0</v>
      </c>
      <c r="P46" s="24">
        <f t="shared" si="10"/>
        <v>0</v>
      </c>
    </row>
    <row r="47" spans="1:16" x14ac:dyDescent="0.25">
      <c r="A47" s="17">
        <v>129</v>
      </c>
      <c r="B47" s="17">
        <v>1</v>
      </c>
      <c r="C47" s="1" t="s">
        <v>43</v>
      </c>
      <c r="D47">
        <v>151012.48000000001</v>
      </c>
      <c r="E47">
        <v>1457.693</v>
      </c>
      <c r="F47">
        <v>1327</v>
      </c>
      <c r="G47">
        <v>187.46</v>
      </c>
      <c r="H47" s="13">
        <f t="shared" si="3"/>
        <v>0.14126601356443105</v>
      </c>
      <c r="I47" s="9">
        <f t="shared" si="7"/>
        <v>72072.867688771657</v>
      </c>
      <c r="J47">
        <v>48145.417540331589</v>
      </c>
      <c r="K47" s="21">
        <f t="shared" si="4"/>
        <v>14576.93</v>
      </c>
      <c r="L47" s="23">
        <f t="shared" si="5"/>
        <v>134795.22</v>
      </c>
      <c r="M47" s="22">
        <f t="shared" si="6"/>
        <v>-16217.260000000009</v>
      </c>
      <c r="N47" s="14">
        <f t="shared" si="8"/>
        <v>-11.125291813845584</v>
      </c>
      <c r="O47" s="24">
        <f t="shared" si="9"/>
        <v>94356.653999999995</v>
      </c>
      <c r="P47" s="24">
        <f t="shared" si="10"/>
        <v>40438.565999999999</v>
      </c>
    </row>
    <row r="48" spans="1:16" x14ac:dyDescent="0.25">
      <c r="A48" s="15">
        <v>138</v>
      </c>
      <c r="B48" s="15">
        <v>1</v>
      </c>
      <c r="C48" s="16" t="s">
        <v>44</v>
      </c>
      <c r="D48">
        <v>0</v>
      </c>
      <c r="E48">
        <v>3176.2020000000002</v>
      </c>
      <c r="F48">
        <v>3201</v>
      </c>
      <c r="G48">
        <v>176.13</v>
      </c>
      <c r="H48" s="13">
        <f t="shared" si="3"/>
        <v>5.5023430178069349E-2</v>
      </c>
      <c r="I48" s="9">
        <f t="shared" si="7"/>
        <v>61167.935142455477</v>
      </c>
      <c r="J48">
        <v>0</v>
      </c>
      <c r="K48" s="21">
        <f t="shared" si="4"/>
        <v>0</v>
      </c>
      <c r="L48" s="23">
        <f t="shared" si="5"/>
        <v>0</v>
      </c>
      <c r="M48" s="22">
        <f t="shared" si="6"/>
        <v>0</v>
      </c>
      <c r="N48" s="14">
        <f t="shared" si="8"/>
        <v>0</v>
      </c>
      <c r="O48" s="24">
        <f t="shared" si="9"/>
        <v>0</v>
      </c>
      <c r="P48" s="24">
        <f t="shared" si="10"/>
        <v>0</v>
      </c>
    </row>
    <row r="49" spans="1:16" x14ac:dyDescent="0.25">
      <c r="A49" s="15">
        <v>139</v>
      </c>
      <c r="B49" s="15">
        <v>1</v>
      </c>
      <c r="C49" s="16" t="s">
        <v>45</v>
      </c>
      <c r="D49">
        <v>0</v>
      </c>
      <c r="E49">
        <v>1009.914</v>
      </c>
      <c r="F49">
        <v>896</v>
      </c>
      <c r="G49">
        <v>42.230000000000004</v>
      </c>
      <c r="H49" s="13">
        <f t="shared" si="3"/>
        <v>4.7131696428571436E-2</v>
      </c>
      <c r="I49" s="9">
        <f t="shared" si="7"/>
        <v>16659.636023437502</v>
      </c>
      <c r="J49">
        <v>0</v>
      </c>
      <c r="K49" s="21">
        <f t="shared" si="4"/>
        <v>0</v>
      </c>
      <c r="L49" s="23">
        <f t="shared" si="5"/>
        <v>0</v>
      </c>
      <c r="M49" s="22">
        <f t="shared" si="6"/>
        <v>0</v>
      </c>
      <c r="N49" s="14">
        <f t="shared" si="8"/>
        <v>0</v>
      </c>
      <c r="O49" s="24">
        <f t="shared" si="9"/>
        <v>0</v>
      </c>
      <c r="P49" s="24">
        <f t="shared" si="10"/>
        <v>0</v>
      </c>
    </row>
    <row r="50" spans="1:16" x14ac:dyDescent="0.25">
      <c r="A50" s="17">
        <v>146</v>
      </c>
      <c r="B50" s="17">
        <v>1</v>
      </c>
      <c r="C50" s="1" t="s">
        <v>46</v>
      </c>
      <c r="D50">
        <v>47198</v>
      </c>
      <c r="E50">
        <v>893.06299999999999</v>
      </c>
      <c r="F50">
        <v>863</v>
      </c>
      <c r="G50">
        <v>17.510000000000002</v>
      </c>
      <c r="H50" s="13">
        <f t="shared" si="3"/>
        <v>2.0289687137891078E-2</v>
      </c>
      <c r="I50" s="9">
        <f t="shared" si="7"/>
        <v>6341.9891025492461</v>
      </c>
      <c r="J50">
        <v>26620.763685643105</v>
      </c>
      <c r="K50" s="21">
        <f t="shared" si="4"/>
        <v>8930.6299999999992</v>
      </c>
      <c r="L50" s="23">
        <f t="shared" si="5"/>
        <v>41893.379999999997</v>
      </c>
      <c r="M50" s="22">
        <f t="shared" si="6"/>
        <v>-5304.6200000000026</v>
      </c>
      <c r="N50" s="14">
        <f t="shared" si="8"/>
        <v>-5.939804918577976</v>
      </c>
      <c r="O50" s="24">
        <f t="shared" si="9"/>
        <v>29325.365999999995</v>
      </c>
      <c r="P50" s="24">
        <f t="shared" si="10"/>
        <v>12568.013999999999</v>
      </c>
    </row>
    <row r="51" spans="1:16" x14ac:dyDescent="0.25">
      <c r="A51" s="17">
        <v>150</v>
      </c>
      <c r="B51" s="17">
        <v>1</v>
      </c>
      <c r="C51" s="1" t="s">
        <v>47</v>
      </c>
      <c r="D51">
        <v>52756.73</v>
      </c>
      <c r="E51">
        <v>977.45300000000009</v>
      </c>
      <c r="F51">
        <v>938</v>
      </c>
      <c r="G51">
        <v>28.84</v>
      </c>
      <c r="H51" s="13">
        <f t="shared" si="3"/>
        <v>3.0746268656716418E-2</v>
      </c>
      <c r="I51" s="9">
        <f t="shared" si="7"/>
        <v>10518.561388059703</v>
      </c>
      <c r="J51">
        <v>27419.017333432839</v>
      </c>
      <c r="K51" s="21">
        <f t="shared" si="4"/>
        <v>9774.5300000000007</v>
      </c>
      <c r="L51" s="23">
        <f t="shared" si="5"/>
        <v>47712.11</v>
      </c>
      <c r="M51" s="22">
        <f t="shared" si="6"/>
        <v>-5044.6200000000026</v>
      </c>
      <c r="N51" s="14">
        <f t="shared" si="8"/>
        <v>-5.1609847225390908</v>
      </c>
      <c r="O51" s="24">
        <f t="shared" si="9"/>
        <v>33398.476999999999</v>
      </c>
      <c r="P51" s="24">
        <f t="shared" si="10"/>
        <v>14313.633</v>
      </c>
    </row>
    <row r="52" spans="1:16" x14ac:dyDescent="0.25">
      <c r="A52" s="15">
        <v>152</v>
      </c>
      <c r="B52" s="15">
        <v>1</v>
      </c>
      <c r="C52" s="16" t="s">
        <v>48</v>
      </c>
      <c r="D52">
        <v>0</v>
      </c>
      <c r="E52">
        <v>5959.5524999999998</v>
      </c>
      <c r="F52">
        <v>5717</v>
      </c>
      <c r="G52">
        <v>1060.9000000000001</v>
      </c>
      <c r="H52" s="13">
        <f t="shared" si="3"/>
        <v>0.18556935455658563</v>
      </c>
      <c r="I52" s="9">
        <f t="shared" si="7"/>
        <v>387068.60880488018</v>
      </c>
      <c r="J52">
        <v>0</v>
      </c>
      <c r="K52" s="21">
        <f t="shared" si="4"/>
        <v>0</v>
      </c>
      <c r="L52" s="23">
        <f t="shared" si="5"/>
        <v>0</v>
      </c>
      <c r="M52" s="22">
        <f t="shared" si="6"/>
        <v>0</v>
      </c>
      <c r="N52" s="14">
        <f t="shared" si="8"/>
        <v>0</v>
      </c>
      <c r="O52" s="24">
        <f t="shared" si="9"/>
        <v>0</v>
      </c>
      <c r="P52" s="24">
        <f t="shared" si="10"/>
        <v>0</v>
      </c>
    </row>
    <row r="53" spans="1:16" x14ac:dyDescent="0.25">
      <c r="A53" s="15">
        <v>162</v>
      </c>
      <c r="B53" s="15">
        <v>1</v>
      </c>
      <c r="C53" s="16" t="s">
        <v>49</v>
      </c>
      <c r="D53">
        <v>0</v>
      </c>
      <c r="E53">
        <v>1017.9665</v>
      </c>
      <c r="F53">
        <v>1016</v>
      </c>
      <c r="G53">
        <v>287.37</v>
      </c>
      <c r="H53" s="13">
        <f t="shared" si="3"/>
        <v>0.2828444881889764</v>
      </c>
      <c r="I53" s="9">
        <f t="shared" si="7"/>
        <v>100774.17479010827</v>
      </c>
      <c r="J53">
        <v>0</v>
      </c>
      <c r="K53" s="21">
        <f t="shared" si="4"/>
        <v>0</v>
      </c>
      <c r="L53" s="23">
        <f t="shared" si="5"/>
        <v>0</v>
      </c>
      <c r="M53" s="22">
        <f t="shared" si="6"/>
        <v>0</v>
      </c>
      <c r="N53" s="14">
        <f t="shared" si="8"/>
        <v>0</v>
      </c>
      <c r="O53" s="24">
        <f t="shared" si="9"/>
        <v>0</v>
      </c>
      <c r="P53" s="24">
        <f t="shared" si="10"/>
        <v>0</v>
      </c>
    </row>
    <row r="54" spans="1:16" x14ac:dyDescent="0.25">
      <c r="A54" s="15">
        <v>166</v>
      </c>
      <c r="B54" s="15">
        <v>1</v>
      </c>
      <c r="C54" s="16" t="s">
        <v>50</v>
      </c>
      <c r="D54">
        <v>0</v>
      </c>
      <c r="E54">
        <v>508.072</v>
      </c>
      <c r="F54">
        <v>468</v>
      </c>
      <c r="G54">
        <v>104.03</v>
      </c>
      <c r="H54" s="13">
        <f t="shared" si="3"/>
        <v>0.22228632478632479</v>
      </c>
      <c r="I54" s="9">
        <f t="shared" si="7"/>
        <v>39528.110162393161</v>
      </c>
      <c r="J54">
        <v>0</v>
      </c>
      <c r="K54" s="21">
        <f t="shared" si="4"/>
        <v>0</v>
      </c>
      <c r="L54" s="23">
        <f t="shared" si="5"/>
        <v>0</v>
      </c>
      <c r="M54" s="22">
        <f t="shared" si="6"/>
        <v>0</v>
      </c>
      <c r="N54" s="14">
        <f t="shared" si="8"/>
        <v>0</v>
      </c>
      <c r="O54" s="24">
        <f t="shared" si="9"/>
        <v>0</v>
      </c>
      <c r="P54" s="24">
        <f t="shared" si="10"/>
        <v>0</v>
      </c>
    </row>
    <row r="55" spans="1:16" x14ac:dyDescent="0.25">
      <c r="A55" s="17">
        <v>173</v>
      </c>
      <c r="B55" s="17">
        <v>1</v>
      </c>
      <c r="C55" s="1" t="s">
        <v>51</v>
      </c>
      <c r="D55">
        <v>69690</v>
      </c>
      <c r="E55">
        <v>535.93200000000002</v>
      </c>
      <c r="F55">
        <v>488</v>
      </c>
      <c r="G55">
        <v>161.71</v>
      </c>
      <c r="H55" s="13">
        <f t="shared" si="3"/>
        <v>0.33137295081967216</v>
      </c>
      <c r="I55" s="9">
        <f t="shared" si="7"/>
        <v>62157.678897540995</v>
      </c>
      <c r="J55">
        <v>2806.2774928893405</v>
      </c>
      <c r="K55" s="21">
        <f t="shared" si="4"/>
        <v>5359.32</v>
      </c>
      <c r="L55" s="23">
        <f t="shared" si="5"/>
        <v>70323.28</v>
      </c>
      <c r="M55" s="22">
        <f t="shared" si="6"/>
        <v>633.27999999999884</v>
      </c>
      <c r="N55" s="14">
        <f t="shared" si="8"/>
        <v>1.181642447176132</v>
      </c>
      <c r="O55" s="24">
        <f t="shared" si="9"/>
        <v>49226.295999999995</v>
      </c>
      <c r="P55" s="24">
        <f t="shared" si="10"/>
        <v>21096.984</v>
      </c>
    </row>
    <row r="56" spans="1:16" x14ac:dyDescent="0.25">
      <c r="A56" s="17">
        <v>177</v>
      </c>
      <c r="B56" s="17">
        <v>1</v>
      </c>
      <c r="C56" s="1" t="s">
        <v>52</v>
      </c>
      <c r="D56">
        <v>99600</v>
      </c>
      <c r="E56">
        <v>1106.0119999999999</v>
      </c>
      <c r="F56">
        <v>976</v>
      </c>
      <c r="G56">
        <v>221.45000000000002</v>
      </c>
      <c r="H56" s="13">
        <f t="shared" si="3"/>
        <v>0.2268954918032787</v>
      </c>
      <c r="I56" s="9">
        <f t="shared" si="7"/>
        <v>87832.197838114749</v>
      </c>
      <c r="J56">
        <v>6701.2128038422115</v>
      </c>
      <c r="K56" s="21">
        <f t="shared" si="4"/>
        <v>11060.119999999999</v>
      </c>
      <c r="L56" s="23">
        <f t="shared" si="5"/>
        <v>105593.53</v>
      </c>
      <c r="M56" s="22">
        <f t="shared" si="6"/>
        <v>5993.5299999999988</v>
      </c>
      <c r="N56" s="14">
        <f t="shared" si="8"/>
        <v>5.419046086299244</v>
      </c>
      <c r="O56" s="24">
        <f t="shared" si="9"/>
        <v>73915.47099999999</v>
      </c>
      <c r="P56" s="24">
        <f t="shared" si="10"/>
        <v>31678.058999999997</v>
      </c>
    </row>
    <row r="57" spans="1:16" x14ac:dyDescent="0.25">
      <c r="A57" s="15">
        <v>181</v>
      </c>
      <c r="B57" s="15">
        <v>1</v>
      </c>
      <c r="C57" s="16" t="s">
        <v>53</v>
      </c>
      <c r="D57">
        <v>0</v>
      </c>
      <c r="E57">
        <v>6908.1179999999995</v>
      </c>
      <c r="F57">
        <v>6550</v>
      </c>
      <c r="G57">
        <v>373.89</v>
      </c>
      <c r="H57" s="13">
        <f t="shared" si="3"/>
        <v>5.70824427480916E-2</v>
      </c>
      <c r="I57" s="9">
        <f t="shared" si="7"/>
        <v>138016.28758122135</v>
      </c>
      <c r="J57">
        <v>0</v>
      </c>
      <c r="K57" s="21">
        <f t="shared" si="4"/>
        <v>0</v>
      </c>
      <c r="L57" s="23">
        <f t="shared" si="5"/>
        <v>0</v>
      </c>
      <c r="M57" s="22">
        <f t="shared" si="6"/>
        <v>0</v>
      </c>
      <c r="N57" s="14">
        <f t="shared" si="8"/>
        <v>0</v>
      </c>
      <c r="O57" s="24">
        <f t="shared" si="9"/>
        <v>0</v>
      </c>
      <c r="P57" s="24">
        <f t="shared" si="10"/>
        <v>0</v>
      </c>
    </row>
    <row r="58" spans="1:16" x14ac:dyDescent="0.25">
      <c r="A58" s="15">
        <v>182</v>
      </c>
      <c r="B58" s="15">
        <v>1</v>
      </c>
      <c r="C58" s="16" t="s">
        <v>54</v>
      </c>
      <c r="D58">
        <v>0</v>
      </c>
      <c r="E58">
        <v>1213.3979999999999</v>
      </c>
      <c r="F58">
        <v>1178</v>
      </c>
      <c r="G58">
        <v>51.5</v>
      </c>
      <c r="H58" s="13">
        <f t="shared" si="3"/>
        <v>4.3718166383701192E-2</v>
      </c>
      <c r="I58" s="9">
        <f t="shared" si="7"/>
        <v>18566.637478777589</v>
      </c>
      <c r="J58">
        <v>0</v>
      </c>
      <c r="K58" s="21">
        <f t="shared" si="4"/>
        <v>0</v>
      </c>
      <c r="L58" s="23">
        <f t="shared" si="5"/>
        <v>0</v>
      </c>
      <c r="M58" s="22">
        <f t="shared" si="6"/>
        <v>0</v>
      </c>
      <c r="N58" s="14">
        <f t="shared" si="8"/>
        <v>0</v>
      </c>
      <c r="O58" s="24">
        <f t="shared" si="9"/>
        <v>0</v>
      </c>
      <c r="P58" s="24">
        <f t="shared" si="10"/>
        <v>0</v>
      </c>
    </row>
    <row r="59" spans="1:16" x14ac:dyDescent="0.25">
      <c r="A59" s="15">
        <v>186</v>
      </c>
      <c r="B59" s="15">
        <v>1</v>
      </c>
      <c r="C59" s="16" t="s">
        <v>55</v>
      </c>
      <c r="D59">
        <v>0</v>
      </c>
      <c r="E59">
        <v>1783.836</v>
      </c>
      <c r="F59">
        <v>1639</v>
      </c>
      <c r="G59">
        <v>37.08</v>
      </c>
      <c r="H59" s="13">
        <f t="shared" si="3"/>
        <v>2.2623550945698595E-2</v>
      </c>
      <c r="I59" s="9">
        <f t="shared" si="7"/>
        <v>14124.846618669919</v>
      </c>
      <c r="J59">
        <v>0</v>
      </c>
      <c r="K59" s="21">
        <f t="shared" si="4"/>
        <v>0</v>
      </c>
      <c r="L59" s="23">
        <f t="shared" si="5"/>
        <v>0</v>
      </c>
      <c r="M59" s="22">
        <f t="shared" si="6"/>
        <v>0</v>
      </c>
      <c r="N59" s="14">
        <f t="shared" si="8"/>
        <v>0</v>
      </c>
      <c r="O59" s="24">
        <f t="shared" si="9"/>
        <v>0</v>
      </c>
      <c r="P59" s="24">
        <f t="shared" si="10"/>
        <v>0</v>
      </c>
    </row>
    <row r="60" spans="1:16" x14ac:dyDescent="0.25">
      <c r="A60" s="17">
        <v>191</v>
      </c>
      <c r="B60" s="17">
        <v>1</v>
      </c>
      <c r="C60" s="1" t="s">
        <v>56</v>
      </c>
      <c r="D60">
        <v>1375714.05</v>
      </c>
      <c r="E60">
        <v>10439.692000000001</v>
      </c>
      <c r="F60">
        <v>9710</v>
      </c>
      <c r="G60">
        <v>4462.99</v>
      </c>
      <c r="H60" s="13">
        <f t="shared" si="3"/>
        <v>0.45962821833161688</v>
      </c>
      <c r="I60" s="9">
        <f t="shared" si="7"/>
        <v>1679431.961861792</v>
      </c>
      <c r="J60">
        <v>0</v>
      </c>
      <c r="K60" s="21">
        <f t="shared" si="4"/>
        <v>104396.92000000001</v>
      </c>
      <c r="L60" s="23">
        <f t="shared" si="5"/>
        <v>1783828.88</v>
      </c>
      <c r="M60" s="22">
        <f t="shared" si="6"/>
        <v>408114.82999999984</v>
      </c>
      <c r="N60" s="14">
        <f t="shared" si="8"/>
        <v>39.092612119208098</v>
      </c>
      <c r="O60" s="24">
        <f t="shared" si="9"/>
        <v>1248680.2159999998</v>
      </c>
      <c r="P60" s="24">
        <f t="shared" si="10"/>
        <v>535148.66399999999</v>
      </c>
    </row>
    <row r="61" spans="1:16" x14ac:dyDescent="0.25">
      <c r="A61" s="15">
        <v>192</v>
      </c>
      <c r="B61" s="15">
        <v>1</v>
      </c>
      <c r="C61" s="16" t="s">
        <v>57</v>
      </c>
      <c r="D61">
        <v>0</v>
      </c>
      <c r="E61">
        <v>7144.7119999999995</v>
      </c>
      <c r="F61">
        <v>6779</v>
      </c>
      <c r="G61">
        <v>965.11</v>
      </c>
      <c r="H61" s="13">
        <f t="shared" si="3"/>
        <v>0.14236760584156954</v>
      </c>
      <c r="I61" s="9">
        <f t="shared" si="7"/>
        <v>356011.43965363619</v>
      </c>
      <c r="J61">
        <v>0</v>
      </c>
      <c r="K61" s="21">
        <f t="shared" si="4"/>
        <v>0</v>
      </c>
      <c r="L61" s="23">
        <f t="shared" si="5"/>
        <v>0</v>
      </c>
      <c r="M61" s="22">
        <f t="shared" si="6"/>
        <v>0</v>
      </c>
      <c r="N61" s="14">
        <f t="shared" si="8"/>
        <v>0</v>
      </c>
      <c r="O61" s="24">
        <f t="shared" si="9"/>
        <v>0</v>
      </c>
      <c r="P61" s="24">
        <f t="shared" si="10"/>
        <v>0</v>
      </c>
    </row>
    <row r="62" spans="1:16" x14ac:dyDescent="0.25">
      <c r="A62" s="17">
        <v>194</v>
      </c>
      <c r="B62" s="17">
        <v>1</v>
      </c>
      <c r="C62" s="1" t="s">
        <v>58</v>
      </c>
      <c r="D62">
        <v>1110700</v>
      </c>
      <c r="E62">
        <v>11640.76</v>
      </c>
      <c r="F62">
        <v>10919</v>
      </c>
      <c r="G62">
        <v>1531.6100000000001</v>
      </c>
      <c r="H62" s="13">
        <f t="shared" si="3"/>
        <v>0.1402701712611045</v>
      </c>
      <c r="I62" s="9">
        <f t="shared" si="7"/>
        <v>571497.98958329519</v>
      </c>
      <c r="J62">
        <v>346486.8744991548</v>
      </c>
      <c r="K62" s="21">
        <f t="shared" si="4"/>
        <v>116407.6</v>
      </c>
      <c r="L62" s="23">
        <f t="shared" si="5"/>
        <v>1034392.46</v>
      </c>
      <c r="M62" s="22">
        <f t="shared" si="6"/>
        <v>-76307.540000000037</v>
      </c>
      <c r="N62" s="14">
        <f t="shared" si="8"/>
        <v>-6.5552025812747656</v>
      </c>
      <c r="O62" s="24">
        <f t="shared" si="9"/>
        <v>724074.72199999995</v>
      </c>
      <c r="P62" s="24">
        <f t="shared" si="10"/>
        <v>310317.73799999995</v>
      </c>
    </row>
    <row r="63" spans="1:16" x14ac:dyDescent="0.25">
      <c r="A63" s="15">
        <v>195</v>
      </c>
      <c r="B63" s="15">
        <v>1</v>
      </c>
      <c r="C63" s="16" t="s">
        <v>59</v>
      </c>
      <c r="D63">
        <v>0</v>
      </c>
      <c r="E63">
        <v>650.54599999999994</v>
      </c>
      <c r="F63">
        <v>578</v>
      </c>
      <c r="G63">
        <v>17.510000000000002</v>
      </c>
      <c r="H63" s="13">
        <f t="shared" si="3"/>
        <v>3.0294117647058826E-2</v>
      </c>
      <c r="I63" s="9">
        <f t="shared" si="7"/>
        <v>6897.7009705882356</v>
      </c>
      <c r="J63">
        <v>0</v>
      </c>
      <c r="K63" s="21">
        <f t="shared" si="4"/>
        <v>0</v>
      </c>
      <c r="L63" s="23">
        <f t="shared" si="5"/>
        <v>0</v>
      </c>
      <c r="M63" s="22">
        <f t="shared" si="6"/>
        <v>0</v>
      </c>
      <c r="N63" s="14">
        <f t="shared" si="8"/>
        <v>0</v>
      </c>
      <c r="O63" s="24">
        <f t="shared" si="9"/>
        <v>0</v>
      </c>
      <c r="P63" s="24">
        <f t="shared" si="10"/>
        <v>0</v>
      </c>
    </row>
    <row r="64" spans="1:16" x14ac:dyDescent="0.25">
      <c r="A64" s="17">
        <v>196</v>
      </c>
      <c r="B64" s="17">
        <v>1</v>
      </c>
      <c r="C64" s="1" t="s">
        <v>60</v>
      </c>
      <c r="D64">
        <v>4022834.04</v>
      </c>
      <c r="E64">
        <v>29354.7585</v>
      </c>
      <c r="F64">
        <v>27174</v>
      </c>
      <c r="G64">
        <v>7869.2</v>
      </c>
      <c r="H64" s="13">
        <f t="shared" si="3"/>
        <v>0.28958563332597337</v>
      </c>
      <c r="I64" s="9">
        <f t="shared" si="7"/>
        <v>2975250.7159737251</v>
      </c>
      <c r="J64">
        <v>664757.08805255045</v>
      </c>
      <c r="K64" s="21">
        <f t="shared" si="4"/>
        <v>293547.58500000002</v>
      </c>
      <c r="L64" s="23">
        <f t="shared" si="5"/>
        <v>3933555.39</v>
      </c>
      <c r="M64" s="22">
        <f t="shared" si="6"/>
        <v>-89278.649999999907</v>
      </c>
      <c r="N64" s="14">
        <f t="shared" si="8"/>
        <v>-3.0413689146854983</v>
      </c>
      <c r="O64" s="24">
        <f t="shared" si="9"/>
        <v>2753488.773</v>
      </c>
      <c r="P64" s="24">
        <f t="shared" si="10"/>
        <v>1180066.6170000001</v>
      </c>
    </row>
    <row r="65" spans="1:16" x14ac:dyDescent="0.25">
      <c r="A65" s="17">
        <v>197</v>
      </c>
      <c r="B65" s="17">
        <v>1</v>
      </c>
      <c r="C65" s="1" t="s">
        <v>61</v>
      </c>
      <c r="D65">
        <v>758142</v>
      </c>
      <c r="E65">
        <v>5206.2210000000005</v>
      </c>
      <c r="F65">
        <v>4786</v>
      </c>
      <c r="G65">
        <v>2115.62</v>
      </c>
      <c r="H65" s="13">
        <f t="shared" si="3"/>
        <v>0.44204346009193479</v>
      </c>
      <c r="I65" s="9">
        <f t="shared" si="7"/>
        <v>805481.58069515252</v>
      </c>
      <c r="J65">
        <v>0</v>
      </c>
      <c r="K65" s="21">
        <f t="shared" si="4"/>
        <v>52062.210000000006</v>
      </c>
      <c r="L65" s="23">
        <f t="shared" si="5"/>
        <v>857543.79</v>
      </c>
      <c r="M65" s="22">
        <f t="shared" si="6"/>
        <v>99401.790000000037</v>
      </c>
      <c r="N65" s="14">
        <f t="shared" si="8"/>
        <v>19.092887144053243</v>
      </c>
      <c r="O65" s="24">
        <f t="shared" si="9"/>
        <v>600280.65299999993</v>
      </c>
      <c r="P65" s="24">
        <f t="shared" si="10"/>
        <v>257263.13699999999</v>
      </c>
    </row>
    <row r="66" spans="1:16" x14ac:dyDescent="0.25">
      <c r="A66" s="17">
        <v>199</v>
      </c>
      <c r="B66" s="17">
        <v>1</v>
      </c>
      <c r="C66" s="1" t="s">
        <v>62</v>
      </c>
      <c r="D66">
        <v>397151</v>
      </c>
      <c r="E66">
        <v>4221.8779999999997</v>
      </c>
      <c r="F66">
        <v>3798</v>
      </c>
      <c r="G66">
        <v>1390.5</v>
      </c>
      <c r="H66" s="13">
        <f t="shared" si="3"/>
        <v>0.36611374407582936</v>
      </c>
      <c r="I66" s="9">
        <f t="shared" si="7"/>
        <v>540990.64656398096</v>
      </c>
      <c r="J66">
        <v>0</v>
      </c>
      <c r="K66" s="21">
        <f t="shared" si="4"/>
        <v>42218.78</v>
      </c>
      <c r="L66" s="23">
        <f t="shared" si="5"/>
        <v>583209.43000000005</v>
      </c>
      <c r="M66" s="22">
        <f t="shared" si="6"/>
        <v>186058.43000000005</v>
      </c>
      <c r="N66" s="14">
        <f t="shared" si="8"/>
        <v>44.070063133041756</v>
      </c>
      <c r="O66" s="24">
        <f t="shared" si="9"/>
        <v>408246.60100000002</v>
      </c>
      <c r="P66" s="24">
        <f t="shared" si="10"/>
        <v>174962.829</v>
      </c>
    </row>
    <row r="67" spans="1:16" x14ac:dyDescent="0.25">
      <c r="A67" s="15">
        <v>200</v>
      </c>
      <c r="B67" s="15">
        <v>1</v>
      </c>
      <c r="C67" s="16" t="s">
        <v>63</v>
      </c>
      <c r="D67">
        <v>0</v>
      </c>
      <c r="E67">
        <v>4980.293999999999</v>
      </c>
      <c r="F67">
        <v>4659</v>
      </c>
      <c r="G67">
        <v>425.39</v>
      </c>
      <c r="H67" s="13">
        <f t="shared" si="3"/>
        <v>9.1305001073191672E-2</v>
      </c>
      <c r="I67" s="9">
        <f t="shared" si="7"/>
        <v>159154.01215518347</v>
      </c>
      <c r="J67">
        <v>0</v>
      </c>
      <c r="K67" s="21">
        <f t="shared" si="4"/>
        <v>0</v>
      </c>
      <c r="L67" s="23">
        <f t="shared" si="5"/>
        <v>0</v>
      </c>
      <c r="M67" s="22">
        <f t="shared" si="6"/>
        <v>0</v>
      </c>
      <c r="N67" s="14">
        <f t="shared" si="8"/>
        <v>0</v>
      </c>
      <c r="O67" s="24">
        <f t="shared" si="9"/>
        <v>0</v>
      </c>
      <c r="P67" s="24">
        <f t="shared" si="10"/>
        <v>0</v>
      </c>
    </row>
    <row r="68" spans="1:16" x14ac:dyDescent="0.25">
      <c r="A68" s="17">
        <v>203</v>
      </c>
      <c r="B68" s="17">
        <v>1</v>
      </c>
      <c r="C68" s="1" t="s">
        <v>64</v>
      </c>
      <c r="D68">
        <v>48619</v>
      </c>
      <c r="E68">
        <v>781.00800000000004</v>
      </c>
      <c r="F68">
        <v>762</v>
      </c>
      <c r="G68">
        <v>72.100000000000009</v>
      </c>
      <c r="H68" s="13">
        <f t="shared" si="3"/>
        <v>9.4619422572178494E-2</v>
      </c>
      <c r="I68" s="9">
        <f t="shared" si="7"/>
        <v>25864.484094488198</v>
      </c>
      <c r="J68">
        <v>13796.757375196854</v>
      </c>
      <c r="K68" s="21">
        <f t="shared" si="4"/>
        <v>7810.08</v>
      </c>
      <c r="L68" s="23">
        <f t="shared" si="5"/>
        <v>47471.32</v>
      </c>
      <c r="M68" s="22">
        <f t="shared" si="6"/>
        <v>-1147.6800000000003</v>
      </c>
      <c r="N68" s="14">
        <f t="shared" si="8"/>
        <v>-1.4694855878556945</v>
      </c>
      <c r="O68" s="24">
        <f t="shared" si="9"/>
        <v>33229.923999999999</v>
      </c>
      <c r="P68" s="24">
        <f t="shared" si="10"/>
        <v>14241.395999999999</v>
      </c>
    </row>
    <row r="69" spans="1:16" x14ac:dyDescent="0.25">
      <c r="A69" s="15">
        <v>204</v>
      </c>
      <c r="B69" s="15">
        <v>1</v>
      </c>
      <c r="C69" s="16" t="s">
        <v>65</v>
      </c>
      <c r="D69">
        <v>0</v>
      </c>
      <c r="E69">
        <v>2300.65</v>
      </c>
      <c r="F69">
        <v>2091</v>
      </c>
      <c r="G69">
        <v>118.45</v>
      </c>
      <c r="H69" s="13">
        <f t="shared" si="3"/>
        <v>5.6647537063605931E-2</v>
      </c>
      <c r="I69" s="9">
        <f t="shared" si="7"/>
        <v>45614.154650884753</v>
      </c>
      <c r="J69">
        <v>0</v>
      </c>
      <c r="K69" s="21">
        <f t="shared" si="4"/>
        <v>0</v>
      </c>
      <c r="L69" s="23">
        <f t="shared" si="5"/>
        <v>0</v>
      </c>
      <c r="M69" s="22">
        <f t="shared" si="6"/>
        <v>0</v>
      </c>
      <c r="N69" s="14">
        <f t="shared" si="8"/>
        <v>0</v>
      </c>
      <c r="O69" s="24">
        <f t="shared" si="9"/>
        <v>0</v>
      </c>
      <c r="P69" s="24">
        <f t="shared" si="10"/>
        <v>0</v>
      </c>
    </row>
    <row r="70" spans="1:16" x14ac:dyDescent="0.25">
      <c r="A70" s="15">
        <v>206</v>
      </c>
      <c r="B70" s="15">
        <v>1</v>
      </c>
      <c r="C70" s="16" t="s">
        <v>66</v>
      </c>
      <c r="D70">
        <v>0</v>
      </c>
      <c r="E70">
        <v>4149.1314999999995</v>
      </c>
      <c r="F70">
        <v>3943</v>
      </c>
      <c r="G70">
        <v>202.91</v>
      </c>
      <c r="H70" s="13">
        <f t="shared" ref="H70:H133" si="11">IF(F70=0,0,G70/F70)</f>
        <v>5.1460816637078369E-2</v>
      </c>
      <c r="I70" s="9">
        <f t="shared" si="7"/>
        <v>74731.193363619066</v>
      </c>
      <c r="J70">
        <v>0</v>
      </c>
      <c r="K70" s="21">
        <f t="shared" ref="K70:K133" si="12">IF(D70&gt;0,E70*10,0)</f>
        <v>0</v>
      </c>
      <c r="L70" s="23">
        <f t="shared" ref="L70:L133" si="13">IF(D70=0,0,ROUND(I70+J70+K70,2))</f>
        <v>0</v>
      </c>
      <c r="M70" s="22">
        <f t="shared" ref="M70:M133" si="14">L70-D70</f>
        <v>0</v>
      </c>
      <c r="N70" s="14">
        <f t="shared" si="8"/>
        <v>0</v>
      </c>
      <c r="O70" s="24">
        <f t="shared" si="9"/>
        <v>0</v>
      </c>
      <c r="P70" s="24">
        <f t="shared" si="10"/>
        <v>0</v>
      </c>
    </row>
    <row r="71" spans="1:16" x14ac:dyDescent="0.25">
      <c r="A71" s="17">
        <v>213</v>
      </c>
      <c r="B71" s="17">
        <v>1</v>
      </c>
      <c r="C71" s="1" t="s">
        <v>67</v>
      </c>
      <c r="D71">
        <v>84000</v>
      </c>
      <c r="E71">
        <v>943.51599999999985</v>
      </c>
      <c r="F71">
        <v>861</v>
      </c>
      <c r="G71">
        <v>33.99</v>
      </c>
      <c r="H71" s="13">
        <f t="shared" si="11"/>
        <v>3.9477351916376309E-2</v>
      </c>
      <c r="I71" s="9">
        <f t="shared" ref="I71:I134" si="15">E71*H71*350</f>
        <v>13036.629609756095</v>
      </c>
      <c r="J71">
        <v>46305.051435365851</v>
      </c>
      <c r="K71" s="21">
        <f t="shared" si="12"/>
        <v>9435.159999999998</v>
      </c>
      <c r="L71" s="23">
        <f t="shared" si="13"/>
        <v>68776.84</v>
      </c>
      <c r="M71" s="22">
        <f t="shared" si="14"/>
        <v>-15223.160000000003</v>
      </c>
      <c r="N71" s="14">
        <f t="shared" ref="N71:N134" si="16">IF(E71=0,0,M71/E71)</f>
        <v>-16.13450116373226</v>
      </c>
      <c r="O71" s="24">
        <f t="shared" si="9"/>
        <v>48143.787999999993</v>
      </c>
      <c r="P71" s="24">
        <f t="shared" si="10"/>
        <v>20633.052</v>
      </c>
    </row>
    <row r="72" spans="1:16" x14ac:dyDescent="0.25">
      <c r="A72" s="17">
        <v>227</v>
      </c>
      <c r="B72" s="17">
        <v>1</v>
      </c>
      <c r="C72" s="1" t="s">
        <v>68</v>
      </c>
      <c r="D72">
        <v>30700</v>
      </c>
      <c r="E72">
        <v>943.75549999999998</v>
      </c>
      <c r="F72">
        <v>908</v>
      </c>
      <c r="G72">
        <v>35.020000000000003</v>
      </c>
      <c r="H72" s="13">
        <f t="shared" si="11"/>
        <v>3.8568281938325996E-2</v>
      </c>
      <c r="I72" s="9">
        <f t="shared" si="15"/>
        <v>12739.659871696036</v>
      </c>
      <c r="J72">
        <v>11404.656689867841</v>
      </c>
      <c r="K72" s="21">
        <f t="shared" si="12"/>
        <v>9437.5550000000003</v>
      </c>
      <c r="L72" s="23">
        <f t="shared" si="13"/>
        <v>33581.870000000003</v>
      </c>
      <c r="M72" s="22">
        <f t="shared" si="14"/>
        <v>2881.8700000000026</v>
      </c>
      <c r="N72" s="14">
        <f t="shared" si="16"/>
        <v>3.0536192901657291</v>
      </c>
      <c r="O72" s="24">
        <f t="shared" ref="O72:O135" si="17">0.7*L72</f>
        <v>23507.309000000001</v>
      </c>
      <c r="P72" s="24">
        <f t="shared" ref="P72:P135" si="18">0.3*L72</f>
        <v>10074.561</v>
      </c>
    </row>
    <row r="73" spans="1:16" x14ac:dyDescent="0.25">
      <c r="A73" s="15">
        <v>229</v>
      </c>
      <c r="B73" s="15">
        <v>1</v>
      </c>
      <c r="C73" s="16" t="s">
        <v>69</v>
      </c>
      <c r="D73">
        <v>0</v>
      </c>
      <c r="E73">
        <v>365.726</v>
      </c>
      <c r="F73">
        <v>335</v>
      </c>
      <c r="G73">
        <v>13.39</v>
      </c>
      <c r="H73" s="13">
        <f t="shared" si="11"/>
        <v>3.9970149253731345E-2</v>
      </c>
      <c r="I73" s="9">
        <f t="shared" si="15"/>
        <v>5116.3429820895526</v>
      </c>
      <c r="J73">
        <v>0</v>
      </c>
      <c r="K73" s="21">
        <f t="shared" si="12"/>
        <v>0</v>
      </c>
      <c r="L73" s="23">
        <f t="shared" si="13"/>
        <v>0</v>
      </c>
      <c r="M73" s="22">
        <f t="shared" si="14"/>
        <v>0</v>
      </c>
      <c r="N73" s="14">
        <f t="shared" si="16"/>
        <v>0</v>
      </c>
      <c r="O73" s="24">
        <f t="shared" si="17"/>
        <v>0</v>
      </c>
      <c r="P73" s="24">
        <f t="shared" si="18"/>
        <v>0</v>
      </c>
    </row>
    <row r="74" spans="1:16" x14ac:dyDescent="0.25">
      <c r="A74" s="15">
        <v>238</v>
      </c>
      <c r="B74" s="15">
        <v>1</v>
      </c>
      <c r="C74" s="16" t="s">
        <v>70</v>
      </c>
      <c r="D74">
        <v>0</v>
      </c>
      <c r="E74">
        <v>262.70999999999998</v>
      </c>
      <c r="F74">
        <v>260</v>
      </c>
      <c r="G74">
        <v>0</v>
      </c>
      <c r="H74" s="13">
        <f t="shared" si="11"/>
        <v>0</v>
      </c>
      <c r="I74" s="9">
        <f t="shared" si="15"/>
        <v>0</v>
      </c>
      <c r="J74">
        <v>0</v>
      </c>
      <c r="K74" s="21">
        <f t="shared" si="12"/>
        <v>0</v>
      </c>
      <c r="L74" s="23">
        <f t="shared" si="13"/>
        <v>0</v>
      </c>
      <c r="M74" s="22">
        <f t="shared" si="14"/>
        <v>0</v>
      </c>
      <c r="N74" s="14">
        <f t="shared" si="16"/>
        <v>0</v>
      </c>
      <c r="O74" s="24">
        <f t="shared" si="17"/>
        <v>0</v>
      </c>
      <c r="P74" s="24">
        <f t="shared" si="18"/>
        <v>0</v>
      </c>
    </row>
    <row r="75" spans="1:16" x14ac:dyDescent="0.25">
      <c r="A75" s="15">
        <v>239</v>
      </c>
      <c r="B75" s="15">
        <v>1</v>
      </c>
      <c r="C75" s="16" t="s">
        <v>71</v>
      </c>
      <c r="D75">
        <v>0</v>
      </c>
      <c r="E75">
        <v>739.04000000000008</v>
      </c>
      <c r="F75">
        <v>664</v>
      </c>
      <c r="G75">
        <v>17.510000000000002</v>
      </c>
      <c r="H75" s="13">
        <f t="shared" si="11"/>
        <v>2.6370481927710847E-2</v>
      </c>
      <c r="I75" s="9">
        <f t="shared" si="15"/>
        <v>6821.0943373493992</v>
      </c>
      <c r="J75">
        <v>0</v>
      </c>
      <c r="K75" s="21">
        <f t="shared" si="12"/>
        <v>0</v>
      </c>
      <c r="L75" s="23">
        <f t="shared" si="13"/>
        <v>0</v>
      </c>
      <c r="M75" s="22">
        <f t="shared" si="14"/>
        <v>0</v>
      </c>
      <c r="N75" s="14">
        <f t="shared" si="16"/>
        <v>0</v>
      </c>
      <c r="O75" s="24">
        <f t="shared" si="17"/>
        <v>0</v>
      </c>
      <c r="P75" s="24">
        <f t="shared" si="18"/>
        <v>0</v>
      </c>
    </row>
    <row r="76" spans="1:16" x14ac:dyDescent="0.25">
      <c r="A76" s="17">
        <v>241</v>
      </c>
      <c r="B76" s="17">
        <v>1</v>
      </c>
      <c r="C76" s="1" t="s">
        <v>72</v>
      </c>
      <c r="D76">
        <v>332439</v>
      </c>
      <c r="E76">
        <v>3606.5639999999999</v>
      </c>
      <c r="F76">
        <v>3335</v>
      </c>
      <c r="G76">
        <v>809.58</v>
      </c>
      <c r="H76" s="13">
        <f t="shared" si="11"/>
        <v>0.24275262368815592</v>
      </c>
      <c r="I76" s="9">
        <f t="shared" si="15"/>
        <v>306426.0057247376</v>
      </c>
      <c r="J76">
        <v>11040.580537691172</v>
      </c>
      <c r="K76" s="21">
        <f t="shared" si="12"/>
        <v>36065.64</v>
      </c>
      <c r="L76" s="23">
        <f t="shared" si="13"/>
        <v>353532.23</v>
      </c>
      <c r="M76" s="22">
        <f t="shared" si="14"/>
        <v>21093.229999999981</v>
      </c>
      <c r="N76" s="14">
        <f t="shared" si="16"/>
        <v>5.8485666689957485</v>
      </c>
      <c r="O76" s="24">
        <f t="shared" si="17"/>
        <v>247472.56099999996</v>
      </c>
      <c r="P76" s="24">
        <f t="shared" si="18"/>
        <v>106059.66899999999</v>
      </c>
    </row>
    <row r="77" spans="1:16" x14ac:dyDescent="0.25">
      <c r="A77" s="15">
        <v>242</v>
      </c>
      <c r="B77" s="15">
        <v>1</v>
      </c>
      <c r="C77" s="16" t="s">
        <v>73</v>
      </c>
      <c r="D77">
        <v>0</v>
      </c>
      <c r="E77">
        <v>531.29499999999996</v>
      </c>
      <c r="F77">
        <v>507</v>
      </c>
      <c r="G77">
        <v>35.020000000000003</v>
      </c>
      <c r="H77" s="13">
        <f t="shared" si="11"/>
        <v>6.9072978303747534E-2</v>
      </c>
      <c r="I77" s="9">
        <f t="shared" si="15"/>
        <v>12844.344802761339</v>
      </c>
      <c r="J77">
        <v>0</v>
      </c>
      <c r="K77" s="21">
        <f t="shared" si="12"/>
        <v>0</v>
      </c>
      <c r="L77" s="23">
        <f t="shared" si="13"/>
        <v>0</v>
      </c>
      <c r="M77" s="22">
        <f t="shared" si="14"/>
        <v>0</v>
      </c>
      <c r="N77" s="14">
        <f t="shared" si="16"/>
        <v>0</v>
      </c>
      <c r="O77" s="24">
        <f t="shared" si="17"/>
        <v>0</v>
      </c>
      <c r="P77" s="24">
        <f t="shared" si="18"/>
        <v>0</v>
      </c>
    </row>
    <row r="78" spans="1:16" x14ac:dyDescent="0.25">
      <c r="A78" s="15">
        <v>252</v>
      </c>
      <c r="B78" s="15">
        <v>1</v>
      </c>
      <c r="C78" s="16" t="s">
        <v>74</v>
      </c>
      <c r="D78">
        <v>0</v>
      </c>
      <c r="E78">
        <v>1231.3715</v>
      </c>
      <c r="F78">
        <v>1174</v>
      </c>
      <c r="G78">
        <v>87.55</v>
      </c>
      <c r="H78" s="13">
        <f t="shared" si="11"/>
        <v>7.4574105621805789E-2</v>
      </c>
      <c r="I78" s="9">
        <f t="shared" si="15"/>
        <v>32139.9499052385</v>
      </c>
      <c r="J78">
        <v>0</v>
      </c>
      <c r="K78" s="21">
        <f t="shared" si="12"/>
        <v>0</v>
      </c>
      <c r="L78" s="23">
        <f t="shared" si="13"/>
        <v>0</v>
      </c>
      <c r="M78" s="22">
        <f t="shared" si="14"/>
        <v>0</v>
      </c>
      <c r="N78" s="14">
        <f t="shared" si="16"/>
        <v>0</v>
      </c>
      <c r="O78" s="24">
        <f t="shared" si="17"/>
        <v>0</v>
      </c>
      <c r="P78" s="24">
        <f t="shared" si="18"/>
        <v>0</v>
      </c>
    </row>
    <row r="79" spans="1:16" x14ac:dyDescent="0.25">
      <c r="A79" s="15">
        <v>253</v>
      </c>
      <c r="B79" s="15">
        <v>1</v>
      </c>
      <c r="C79" s="16" t="s">
        <v>75</v>
      </c>
      <c r="D79">
        <v>0</v>
      </c>
      <c r="E79">
        <v>722.92000000000007</v>
      </c>
      <c r="F79">
        <v>661</v>
      </c>
      <c r="G79">
        <v>52.53</v>
      </c>
      <c r="H79" s="13">
        <f t="shared" si="11"/>
        <v>7.9470499243570344E-2</v>
      </c>
      <c r="I79" s="9">
        <f t="shared" si="15"/>
        <v>20107.784659606659</v>
      </c>
      <c r="J79">
        <v>0</v>
      </c>
      <c r="K79" s="21">
        <f t="shared" si="12"/>
        <v>0</v>
      </c>
      <c r="L79" s="23">
        <f t="shared" si="13"/>
        <v>0</v>
      </c>
      <c r="M79" s="22">
        <f t="shared" si="14"/>
        <v>0</v>
      </c>
      <c r="N79" s="14">
        <f t="shared" si="16"/>
        <v>0</v>
      </c>
      <c r="O79" s="24">
        <f t="shared" si="17"/>
        <v>0</v>
      </c>
      <c r="P79" s="24">
        <f t="shared" si="18"/>
        <v>0</v>
      </c>
    </row>
    <row r="80" spans="1:16" x14ac:dyDescent="0.25">
      <c r="A80" s="17">
        <v>255</v>
      </c>
      <c r="B80" s="17">
        <v>1</v>
      </c>
      <c r="C80" s="1" t="s">
        <v>76</v>
      </c>
      <c r="D80">
        <v>0</v>
      </c>
      <c r="E80">
        <v>1364.192</v>
      </c>
      <c r="F80">
        <v>1170</v>
      </c>
      <c r="G80">
        <v>58.71</v>
      </c>
      <c r="H80" s="13">
        <f t="shared" si="11"/>
        <v>5.0179487179487177E-2</v>
      </c>
      <c r="I80" s="9">
        <f t="shared" si="15"/>
        <v>23959.059241025639</v>
      </c>
      <c r="J80">
        <v>0</v>
      </c>
      <c r="K80" s="21">
        <f t="shared" si="12"/>
        <v>0</v>
      </c>
      <c r="L80" s="23">
        <f t="shared" si="13"/>
        <v>0</v>
      </c>
      <c r="M80" s="22">
        <f t="shared" si="14"/>
        <v>0</v>
      </c>
      <c r="N80" s="14">
        <f t="shared" si="16"/>
        <v>0</v>
      </c>
      <c r="O80" s="24">
        <f t="shared" si="17"/>
        <v>0</v>
      </c>
      <c r="P80" s="24">
        <f t="shared" si="18"/>
        <v>0</v>
      </c>
    </row>
    <row r="81" spans="1:16" x14ac:dyDescent="0.25">
      <c r="A81" s="15">
        <v>256</v>
      </c>
      <c r="B81" s="15">
        <v>1</v>
      </c>
      <c r="C81" s="16" t="s">
        <v>77</v>
      </c>
      <c r="D81">
        <v>0</v>
      </c>
      <c r="E81">
        <v>2958.846</v>
      </c>
      <c r="F81">
        <v>2834</v>
      </c>
      <c r="G81">
        <v>508.82</v>
      </c>
      <c r="H81" s="13">
        <f t="shared" si="11"/>
        <v>0.17954128440366973</v>
      </c>
      <c r="I81" s="9">
        <f t="shared" si="15"/>
        <v>185932.2539174312</v>
      </c>
      <c r="J81">
        <v>0</v>
      </c>
      <c r="K81" s="21">
        <f t="shared" si="12"/>
        <v>0</v>
      </c>
      <c r="L81" s="23">
        <f t="shared" si="13"/>
        <v>0</v>
      </c>
      <c r="M81" s="22">
        <f t="shared" si="14"/>
        <v>0</v>
      </c>
      <c r="N81" s="14">
        <f t="shared" si="16"/>
        <v>0</v>
      </c>
      <c r="O81" s="24">
        <f t="shared" si="17"/>
        <v>0</v>
      </c>
      <c r="P81" s="24">
        <f t="shared" si="18"/>
        <v>0</v>
      </c>
    </row>
    <row r="82" spans="1:16" x14ac:dyDescent="0.25">
      <c r="A82" s="15">
        <v>261</v>
      </c>
      <c r="B82" s="15">
        <v>1</v>
      </c>
      <c r="C82" s="16" t="s">
        <v>78</v>
      </c>
      <c r="D82">
        <v>0</v>
      </c>
      <c r="E82">
        <v>268.07000000000005</v>
      </c>
      <c r="F82">
        <v>247</v>
      </c>
      <c r="G82">
        <v>6.18</v>
      </c>
      <c r="H82" s="13">
        <f t="shared" si="11"/>
        <v>2.5020242914979757E-2</v>
      </c>
      <c r="I82" s="9">
        <f t="shared" si="15"/>
        <v>2347.5117813765187</v>
      </c>
      <c r="J82">
        <v>0</v>
      </c>
      <c r="K82" s="21">
        <f t="shared" si="12"/>
        <v>0</v>
      </c>
      <c r="L82" s="23">
        <f t="shared" si="13"/>
        <v>0</v>
      </c>
      <c r="M82" s="22">
        <f t="shared" si="14"/>
        <v>0</v>
      </c>
      <c r="N82" s="14">
        <f t="shared" si="16"/>
        <v>0</v>
      </c>
      <c r="O82" s="24">
        <f t="shared" si="17"/>
        <v>0</v>
      </c>
      <c r="P82" s="24">
        <f t="shared" si="18"/>
        <v>0</v>
      </c>
    </row>
    <row r="83" spans="1:16" x14ac:dyDescent="0.25">
      <c r="A83" s="15">
        <v>264</v>
      </c>
      <c r="B83" s="15">
        <v>1</v>
      </c>
      <c r="C83" s="16" t="s">
        <v>79</v>
      </c>
      <c r="D83">
        <v>0</v>
      </c>
      <c r="E83">
        <v>103.17799999999998</v>
      </c>
      <c r="F83">
        <v>96</v>
      </c>
      <c r="G83">
        <v>9.27</v>
      </c>
      <c r="H83" s="13">
        <f t="shared" si="11"/>
        <v>9.6562499999999996E-2</v>
      </c>
      <c r="I83" s="9">
        <f t="shared" si="15"/>
        <v>3487.0939687499995</v>
      </c>
      <c r="J83">
        <v>0</v>
      </c>
      <c r="K83" s="21">
        <f t="shared" si="12"/>
        <v>0</v>
      </c>
      <c r="L83" s="23">
        <f t="shared" si="13"/>
        <v>0</v>
      </c>
      <c r="M83" s="22">
        <f t="shared" si="14"/>
        <v>0</v>
      </c>
      <c r="N83" s="14">
        <f t="shared" si="16"/>
        <v>0</v>
      </c>
      <c r="O83" s="24">
        <f t="shared" si="17"/>
        <v>0</v>
      </c>
      <c r="P83" s="24">
        <f t="shared" si="18"/>
        <v>0</v>
      </c>
    </row>
    <row r="84" spans="1:16" x14ac:dyDescent="0.25">
      <c r="A84" s="17">
        <v>270</v>
      </c>
      <c r="B84" s="17">
        <v>1</v>
      </c>
      <c r="C84" s="1" t="s">
        <v>80</v>
      </c>
      <c r="D84">
        <v>1207774.6499999999</v>
      </c>
      <c r="E84">
        <v>7522.942</v>
      </c>
      <c r="F84">
        <v>7034</v>
      </c>
      <c r="G84">
        <v>2734.65</v>
      </c>
      <c r="H84" s="13">
        <f t="shared" si="11"/>
        <v>0.38877594540801819</v>
      </c>
      <c r="I84" s="9">
        <f t="shared" si="15"/>
        <v>1023658.6109048905</v>
      </c>
      <c r="J84">
        <v>89320.79936338494</v>
      </c>
      <c r="K84" s="21">
        <f t="shared" si="12"/>
        <v>75229.42</v>
      </c>
      <c r="L84" s="23">
        <f t="shared" si="13"/>
        <v>1188208.83</v>
      </c>
      <c r="M84" s="22">
        <f t="shared" si="14"/>
        <v>-19565.819999999832</v>
      </c>
      <c r="N84" s="14">
        <f t="shared" si="16"/>
        <v>-2.6008202641998079</v>
      </c>
      <c r="O84" s="24">
        <f t="shared" si="17"/>
        <v>831746.18099999998</v>
      </c>
      <c r="P84" s="24">
        <f t="shared" si="18"/>
        <v>356462.64900000003</v>
      </c>
    </row>
    <row r="85" spans="1:16" x14ac:dyDescent="0.25">
      <c r="A85" s="17">
        <v>271</v>
      </c>
      <c r="B85" s="17">
        <v>1</v>
      </c>
      <c r="C85" s="1" t="s">
        <v>81</v>
      </c>
      <c r="D85">
        <v>1504275</v>
      </c>
      <c r="E85">
        <v>11287.608</v>
      </c>
      <c r="F85">
        <v>10439</v>
      </c>
      <c r="G85">
        <v>4804.95</v>
      </c>
      <c r="H85" s="13">
        <f t="shared" si="11"/>
        <v>0.46028834179519107</v>
      </c>
      <c r="I85" s="9">
        <f t="shared" si="15"/>
        <v>1818444.0292039467</v>
      </c>
      <c r="J85">
        <v>0</v>
      </c>
      <c r="K85" s="21">
        <f t="shared" si="12"/>
        <v>112876.08</v>
      </c>
      <c r="L85" s="23">
        <f t="shared" si="13"/>
        <v>1931320.11</v>
      </c>
      <c r="M85" s="22">
        <f t="shared" si="14"/>
        <v>427045.1100000001</v>
      </c>
      <c r="N85" s="14">
        <f t="shared" si="16"/>
        <v>37.833091829553268</v>
      </c>
      <c r="O85" s="24">
        <f t="shared" si="17"/>
        <v>1351924.077</v>
      </c>
      <c r="P85" s="24">
        <f t="shared" si="18"/>
        <v>579396.03300000005</v>
      </c>
    </row>
    <row r="86" spans="1:16" x14ac:dyDescent="0.25">
      <c r="A86" s="17">
        <v>272</v>
      </c>
      <c r="B86" s="17">
        <v>1</v>
      </c>
      <c r="C86" s="1" t="s">
        <v>82</v>
      </c>
      <c r="D86">
        <v>1009647.52</v>
      </c>
      <c r="E86">
        <v>10216.194000000001</v>
      </c>
      <c r="F86">
        <v>9269</v>
      </c>
      <c r="G86">
        <v>2899.4500000000003</v>
      </c>
      <c r="H86" s="13">
        <f t="shared" si="11"/>
        <v>0.31281152227856296</v>
      </c>
      <c r="I86" s="9">
        <f t="shared" si="15"/>
        <v>1118510.1189615927</v>
      </c>
      <c r="J86">
        <v>0</v>
      </c>
      <c r="K86" s="21">
        <f t="shared" si="12"/>
        <v>102161.94000000002</v>
      </c>
      <c r="L86" s="23">
        <f t="shared" si="13"/>
        <v>1220672.06</v>
      </c>
      <c r="M86" s="22">
        <f t="shared" si="14"/>
        <v>211024.54000000004</v>
      </c>
      <c r="N86" s="14">
        <f t="shared" si="16"/>
        <v>20.655886135286782</v>
      </c>
      <c r="O86" s="24">
        <f t="shared" si="17"/>
        <v>854470.44200000004</v>
      </c>
      <c r="P86" s="24">
        <f t="shared" si="18"/>
        <v>366201.61800000002</v>
      </c>
    </row>
    <row r="87" spans="1:16" x14ac:dyDescent="0.25">
      <c r="A87" s="17">
        <v>273</v>
      </c>
      <c r="B87" s="17">
        <v>1</v>
      </c>
      <c r="C87" s="1" t="s">
        <v>83</v>
      </c>
      <c r="D87">
        <v>981047</v>
      </c>
      <c r="E87">
        <v>9349.7519999999986</v>
      </c>
      <c r="F87">
        <v>8435</v>
      </c>
      <c r="G87">
        <v>1636.67</v>
      </c>
      <c r="H87" s="13">
        <f t="shared" si="11"/>
        <v>0.1940331950207469</v>
      </c>
      <c r="I87" s="9">
        <f t="shared" si="15"/>
        <v>634956.78862406628</v>
      </c>
      <c r="J87">
        <v>223192.94185150205</v>
      </c>
      <c r="K87" s="21">
        <f t="shared" si="12"/>
        <v>93497.51999999999</v>
      </c>
      <c r="L87" s="23">
        <f t="shared" si="13"/>
        <v>951647.25</v>
      </c>
      <c r="M87" s="22">
        <f t="shared" si="14"/>
        <v>-29399.75</v>
      </c>
      <c r="N87" s="14">
        <f t="shared" si="16"/>
        <v>-3.1444416921432787</v>
      </c>
      <c r="O87" s="24">
        <f t="shared" si="17"/>
        <v>666153.07499999995</v>
      </c>
      <c r="P87" s="24">
        <f t="shared" si="18"/>
        <v>285494.17499999999</v>
      </c>
    </row>
    <row r="88" spans="1:16" x14ac:dyDescent="0.25">
      <c r="A88" s="17">
        <v>276</v>
      </c>
      <c r="B88" s="17">
        <v>1</v>
      </c>
      <c r="C88" s="1" t="s">
        <v>84</v>
      </c>
      <c r="D88">
        <v>144836.70000000001</v>
      </c>
      <c r="E88">
        <v>10858.172</v>
      </c>
      <c r="F88">
        <v>9567</v>
      </c>
      <c r="G88">
        <v>1139.18</v>
      </c>
      <c r="H88" s="13">
        <f t="shared" si="11"/>
        <v>0.11907389986411623</v>
      </c>
      <c r="I88" s="9">
        <f t="shared" si="15"/>
        <v>452523.70990237274</v>
      </c>
      <c r="J88">
        <v>0</v>
      </c>
      <c r="K88" s="21">
        <f t="shared" si="12"/>
        <v>108581.72</v>
      </c>
      <c r="L88" s="23">
        <f t="shared" si="13"/>
        <v>561105.43000000005</v>
      </c>
      <c r="M88" s="22">
        <f t="shared" si="14"/>
        <v>416268.73000000004</v>
      </c>
      <c r="N88" s="14">
        <f t="shared" si="16"/>
        <v>38.336906985816768</v>
      </c>
      <c r="O88" s="24">
        <f t="shared" si="17"/>
        <v>392773.80100000004</v>
      </c>
      <c r="P88" s="24">
        <f t="shared" si="18"/>
        <v>168331.62900000002</v>
      </c>
    </row>
    <row r="89" spans="1:16" x14ac:dyDescent="0.25">
      <c r="A89" s="15">
        <v>277</v>
      </c>
      <c r="B89" s="15">
        <v>1</v>
      </c>
      <c r="C89" s="16" t="s">
        <v>85</v>
      </c>
      <c r="D89">
        <v>0</v>
      </c>
      <c r="E89">
        <v>2300.1014999999998</v>
      </c>
      <c r="F89">
        <v>2265</v>
      </c>
      <c r="G89">
        <v>160.68</v>
      </c>
      <c r="H89" s="13">
        <f t="shared" si="11"/>
        <v>7.0940397350993376E-2</v>
      </c>
      <c r="I89" s="9">
        <f t="shared" si="15"/>
        <v>57109.540025165552</v>
      </c>
      <c r="J89">
        <v>0</v>
      </c>
      <c r="K89" s="21">
        <f t="shared" si="12"/>
        <v>0</v>
      </c>
      <c r="L89" s="23">
        <f t="shared" si="13"/>
        <v>0</v>
      </c>
      <c r="M89" s="22">
        <f t="shared" si="14"/>
        <v>0</v>
      </c>
      <c r="N89" s="14">
        <f t="shared" si="16"/>
        <v>0</v>
      </c>
      <c r="O89" s="24">
        <f t="shared" si="17"/>
        <v>0</v>
      </c>
      <c r="P89" s="24">
        <f t="shared" si="18"/>
        <v>0</v>
      </c>
    </row>
    <row r="90" spans="1:16" x14ac:dyDescent="0.25">
      <c r="A90" s="15">
        <v>278</v>
      </c>
      <c r="B90" s="15">
        <v>1</v>
      </c>
      <c r="C90" s="16" t="s">
        <v>86</v>
      </c>
      <c r="D90">
        <v>0</v>
      </c>
      <c r="E90">
        <v>2988.636</v>
      </c>
      <c r="F90">
        <v>2789</v>
      </c>
      <c r="G90">
        <v>188.49</v>
      </c>
      <c r="H90" s="13">
        <f t="shared" si="11"/>
        <v>6.7583363212621012E-2</v>
      </c>
      <c r="I90" s="9">
        <f t="shared" si="15"/>
        <v>70693.725304410182</v>
      </c>
      <c r="J90">
        <v>0</v>
      </c>
      <c r="K90" s="21">
        <f t="shared" si="12"/>
        <v>0</v>
      </c>
      <c r="L90" s="23">
        <f t="shared" si="13"/>
        <v>0</v>
      </c>
      <c r="M90" s="22">
        <f t="shared" si="14"/>
        <v>0</v>
      </c>
      <c r="N90" s="14">
        <f t="shared" si="16"/>
        <v>0</v>
      </c>
      <c r="O90" s="24">
        <f t="shared" si="17"/>
        <v>0</v>
      </c>
      <c r="P90" s="24">
        <f t="shared" si="18"/>
        <v>0</v>
      </c>
    </row>
    <row r="91" spans="1:16" x14ac:dyDescent="0.25">
      <c r="A91" s="17">
        <v>279</v>
      </c>
      <c r="B91" s="17">
        <v>1</v>
      </c>
      <c r="C91" s="1" t="s">
        <v>87</v>
      </c>
      <c r="D91">
        <v>3037197.19</v>
      </c>
      <c r="E91">
        <v>22532.504000000001</v>
      </c>
      <c r="F91">
        <v>20623</v>
      </c>
      <c r="G91">
        <v>10557.5</v>
      </c>
      <c r="H91" s="13">
        <f t="shared" si="11"/>
        <v>0.51192842942345929</v>
      </c>
      <c r="I91" s="9">
        <f t="shared" si="15"/>
        <v>4037260.2842942351</v>
      </c>
      <c r="J91">
        <v>0</v>
      </c>
      <c r="K91" s="21">
        <f t="shared" si="12"/>
        <v>225325.04</v>
      </c>
      <c r="L91" s="23">
        <f t="shared" si="13"/>
        <v>4262585.32</v>
      </c>
      <c r="M91" s="22">
        <f t="shared" si="14"/>
        <v>1225388.1300000004</v>
      </c>
      <c r="N91" s="14">
        <f t="shared" si="16"/>
        <v>54.383131586263133</v>
      </c>
      <c r="O91" s="24">
        <f t="shared" si="17"/>
        <v>2983809.7239999999</v>
      </c>
      <c r="P91" s="24">
        <f t="shared" si="18"/>
        <v>1278775.5960000001</v>
      </c>
    </row>
    <row r="92" spans="1:16" x14ac:dyDescent="0.25">
      <c r="A92" s="17">
        <v>280</v>
      </c>
      <c r="B92" s="17">
        <v>1</v>
      </c>
      <c r="C92" s="1" t="s">
        <v>88</v>
      </c>
      <c r="D92">
        <v>694244</v>
      </c>
      <c r="E92">
        <v>5027.4139999999989</v>
      </c>
      <c r="F92">
        <v>4403</v>
      </c>
      <c r="G92">
        <v>3106.48</v>
      </c>
      <c r="H92" s="13">
        <f t="shared" si="11"/>
        <v>0.70553713377242788</v>
      </c>
      <c r="I92" s="9">
        <f t="shared" si="15"/>
        <v>1241459.5423465816</v>
      </c>
      <c r="J92">
        <v>0</v>
      </c>
      <c r="K92" s="21">
        <f t="shared" si="12"/>
        <v>50274.139999999985</v>
      </c>
      <c r="L92" s="23">
        <f t="shared" si="13"/>
        <v>1291733.68</v>
      </c>
      <c r="M92" s="22">
        <f t="shared" si="14"/>
        <v>597489.67999999993</v>
      </c>
      <c r="N92" s="14">
        <f t="shared" si="16"/>
        <v>118.84632536727631</v>
      </c>
      <c r="O92" s="24">
        <f t="shared" si="17"/>
        <v>904213.57599999988</v>
      </c>
      <c r="P92" s="24">
        <f t="shared" si="18"/>
        <v>387520.10399999999</v>
      </c>
    </row>
    <row r="93" spans="1:16" x14ac:dyDescent="0.25">
      <c r="A93" s="17">
        <v>281</v>
      </c>
      <c r="B93" s="17">
        <v>1</v>
      </c>
      <c r="C93" s="1" t="s">
        <v>89</v>
      </c>
      <c r="D93">
        <v>2050515</v>
      </c>
      <c r="E93">
        <v>13363.958500000001</v>
      </c>
      <c r="F93">
        <v>12181</v>
      </c>
      <c r="G93">
        <v>6375.7</v>
      </c>
      <c r="H93" s="13">
        <f t="shared" si="11"/>
        <v>0.52341351284787785</v>
      </c>
      <c r="I93" s="9">
        <f t="shared" si="15"/>
        <v>2448206.76241339</v>
      </c>
      <c r="J93">
        <v>0</v>
      </c>
      <c r="K93" s="21">
        <f t="shared" si="12"/>
        <v>133639.58500000002</v>
      </c>
      <c r="L93" s="23">
        <f t="shared" si="13"/>
        <v>2581846.35</v>
      </c>
      <c r="M93" s="22">
        <f t="shared" si="14"/>
        <v>531331.35000000009</v>
      </c>
      <c r="N93" s="14">
        <f t="shared" si="16"/>
        <v>39.758530378555129</v>
      </c>
      <c r="O93" s="24">
        <f t="shared" si="17"/>
        <v>1807292.4450000001</v>
      </c>
      <c r="P93" s="24">
        <f t="shared" si="18"/>
        <v>774553.90500000003</v>
      </c>
    </row>
    <row r="94" spans="1:16" x14ac:dyDescent="0.25">
      <c r="A94" s="17">
        <v>282</v>
      </c>
      <c r="B94" s="17">
        <v>1</v>
      </c>
      <c r="C94" s="1" t="s">
        <v>90</v>
      </c>
      <c r="D94">
        <v>194029</v>
      </c>
      <c r="E94">
        <v>1811.9920000000002</v>
      </c>
      <c r="F94">
        <v>1762</v>
      </c>
      <c r="G94">
        <v>430.54</v>
      </c>
      <c r="H94" s="13">
        <f t="shared" si="11"/>
        <v>0.2443473325766175</v>
      </c>
      <c r="I94" s="9">
        <f t="shared" si="15"/>
        <v>154964.39414755962</v>
      </c>
      <c r="J94">
        <v>19646.557063348468</v>
      </c>
      <c r="K94" s="21">
        <f t="shared" si="12"/>
        <v>18119.920000000002</v>
      </c>
      <c r="L94" s="23">
        <f t="shared" si="13"/>
        <v>192730.87</v>
      </c>
      <c r="M94" s="22">
        <f t="shared" si="14"/>
        <v>-1298.1300000000047</v>
      </c>
      <c r="N94" s="14">
        <f t="shared" si="16"/>
        <v>-0.71641044772824858</v>
      </c>
      <c r="O94" s="24">
        <f t="shared" si="17"/>
        <v>134911.609</v>
      </c>
      <c r="P94" s="24">
        <f t="shared" si="18"/>
        <v>57819.260999999999</v>
      </c>
    </row>
    <row r="95" spans="1:16" x14ac:dyDescent="0.25">
      <c r="A95" s="17">
        <v>283</v>
      </c>
      <c r="B95" s="17">
        <v>1</v>
      </c>
      <c r="C95" s="1" t="s">
        <v>91</v>
      </c>
      <c r="D95">
        <v>777591</v>
      </c>
      <c r="E95">
        <v>4579.5854999999992</v>
      </c>
      <c r="F95">
        <v>4605</v>
      </c>
      <c r="G95">
        <v>1827.22</v>
      </c>
      <c r="H95" s="13">
        <f t="shared" si="11"/>
        <v>0.39679044516829531</v>
      </c>
      <c r="I95" s="9">
        <f t="shared" si="15"/>
        <v>635997.51923094445</v>
      </c>
      <c r="J95">
        <v>53717.391568482053</v>
      </c>
      <c r="K95" s="21">
        <f t="shared" si="12"/>
        <v>45795.854999999996</v>
      </c>
      <c r="L95" s="23">
        <f t="shared" si="13"/>
        <v>735510.77</v>
      </c>
      <c r="M95" s="22">
        <f t="shared" si="14"/>
        <v>-42080.229999999981</v>
      </c>
      <c r="N95" s="14">
        <f t="shared" si="16"/>
        <v>-9.1886547374211034</v>
      </c>
      <c r="O95" s="24">
        <f t="shared" si="17"/>
        <v>514857.53899999999</v>
      </c>
      <c r="P95" s="24">
        <f t="shared" si="18"/>
        <v>220653.231</v>
      </c>
    </row>
    <row r="96" spans="1:16" x14ac:dyDescent="0.25">
      <c r="A96" s="17">
        <v>284</v>
      </c>
      <c r="B96" s="17">
        <v>1</v>
      </c>
      <c r="C96" s="1" t="s">
        <v>92</v>
      </c>
      <c r="D96">
        <v>1670000</v>
      </c>
      <c r="E96">
        <v>12390.218000000001</v>
      </c>
      <c r="F96">
        <v>10622</v>
      </c>
      <c r="G96">
        <v>2870.61</v>
      </c>
      <c r="H96" s="13">
        <f t="shared" si="11"/>
        <v>0.27025136509131992</v>
      </c>
      <c r="I96" s="9">
        <f t="shared" si="15"/>
        <v>1171965.6648976654</v>
      </c>
      <c r="J96">
        <v>341681.45771788462</v>
      </c>
      <c r="K96" s="21">
        <f t="shared" si="12"/>
        <v>123902.18000000001</v>
      </c>
      <c r="L96" s="23">
        <f t="shared" si="13"/>
        <v>1637549.3</v>
      </c>
      <c r="M96" s="22">
        <f t="shared" si="14"/>
        <v>-32450.699999999953</v>
      </c>
      <c r="N96" s="14">
        <f t="shared" si="16"/>
        <v>-2.6190580343299814</v>
      </c>
      <c r="O96" s="24">
        <f t="shared" si="17"/>
        <v>1146284.51</v>
      </c>
      <c r="P96" s="24">
        <f t="shared" si="18"/>
        <v>491264.79</v>
      </c>
    </row>
    <row r="97" spans="1:16" x14ac:dyDescent="0.25">
      <c r="A97" s="17">
        <v>286</v>
      </c>
      <c r="B97" s="17">
        <v>1</v>
      </c>
      <c r="C97" s="1" t="s">
        <v>93</v>
      </c>
      <c r="D97">
        <v>301000</v>
      </c>
      <c r="E97">
        <v>2461.8040000000001</v>
      </c>
      <c r="F97">
        <v>2177</v>
      </c>
      <c r="G97">
        <v>1616.07</v>
      </c>
      <c r="H97" s="13">
        <f t="shared" si="11"/>
        <v>0.74233807992650436</v>
      </c>
      <c r="I97" s="9">
        <f t="shared" si="15"/>
        <v>639621.79908038594</v>
      </c>
      <c r="J97">
        <v>0</v>
      </c>
      <c r="K97" s="21">
        <f t="shared" si="12"/>
        <v>24618.04</v>
      </c>
      <c r="L97" s="23">
        <f t="shared" si="13"/>
        <v>664239.84</v>
      </c>
      <c r="M97" s="22">
        <f t="shared" si="14"/>
        <v>363239.83999999997</v>
      </c>
      <c r="N97" s="14">
        <f t="shared" si="16"/>
        <v>147.55026801483788</v>
      </c>
      <c r="O97" s="24">
        <f t="shared" si="17"/>
        <v>464967.88799999992</v>
      </c>
      <c r="P97" s="24">
        <f t="shared" si="18"/>
        <v>199271.95199999999</v>
      </c>
    </row>
    <row r="98" spans="1:16" x14ac:dyDescent="0.25">
      <c r="A98" s="15">
        <v>294</v>
      </c>
      <c r="B98" s="15">
        <v>1</v>
      </c>
      <c r="C98" s="16" t="s">
        <v>94</v>
      </c>
      <c r="D98">
        <v>0</v>
      </c>
      <c r="E98">
        <v>2759.5365000000002</v>
      </c>
      <c r="F98">
        <v>2571</v>
      </c>
      <c r="G98">
        <v>303.85000000000002</v>
      </c>
      <c r="H98" s="13">
        <f t="shared" si="11"/>
        <v>0.11818358615324777</v>
      </c>
      <c r="I98" s="9">
        <f t="shared" si="15"/>
        <v>114146.17189177364</v>
      </c>
      <c r="J98">
        <v>0</v>
      </c>
      <c r="K98" s="21">
        <f t="shared" si="12"/>
        <v>0</v>
      </c>
      <c r="L98" s="23">
        <f t="shared" si="13"/>
        <v>0</v>
      </c>
      <c r="M98" s="22">
        <f t="shared" si="14"/>
        <v>0</v>
      </c>
      <c r="N98" s="14">
        <f t="shared" si="16"/>
        <v>0</v>
      </c>
      <c r="O98" s="24">
        <f t="shared" si="17"/>
        <v>0</v>
      </c>
      <c r="P98" s="24">
        <f t="shared" si="18"/>
        <v>0</v>
      </c>
    </row>
    <row r="99" spans="1:16" x14ac:dyDescent="0.25">
      <c r="A99" s="15">
        <v>297</v>
      </c>
      <c r="B99" s="15">
        <v>1</v>
      </c>
      <c r="C99" s="16" t="s">
        <v>95</v>
      </c>
      <c r="D99">
        <v>0</v>
      </c>
      <c r="E99">
        <v>376.07400000000001</v>
      </c>
      <c r="F99">
        <v>344</v>
      </c>
      <c r="G99">
        <v>7.21</v>
      </c>
      <c r="H99" s="13">
        <f t="shared" si="11"/>
        <v>2.0959302325581394E-2</v>
      </c>
      <c r="I99" s="9">
        <f t="shared" si="15"/>
        <v>2758.7870319767439</v>
      </c>
      <c r="J99">
        <v>0</v>
      </c>
      <c r="K99" s="21">
        <f t="shared" si="12"/>
        <v>0</v>
      </c>
      <c r="L99" s="23">
        <f t="shared" si="13"/>
        <v>0</v>
      </c>
      <c r="M99" s="22">
        <f t="shared" si="14"/>
        <v>0</v>
      </c>
      <c r="N99" s="14">
        <f t="shared" si="16"/>
        <v>0</v>
      </c>
      <c r="O99" s="24">
        <f t="shared" si="17"/>
        <v>0</v>
      </c>
      <c r="P99" s="24">
        <f t="shared" si="18"/>
        <v>0</v>
      </c>
    </row>
    <row r="100" spans="1:16" x14ac:dyDescent="0.25">
      <c r="A100" s="15">
        <v>299</v>
      </c>
      <c r="B100" s="15">
        <v>1</v>
      </c>
      <c r="C100" s="16" t="s">
        <v>96</v>
      </c>
      <c r="D100">
        <v>0</v>
      </c>
      <c r="E100">
        <v>721.84199999999998</v>
      </c>
      <c r="F100">
        <v>699</v>
      </c>
      <c r="G100">
        <v>31.93</v>
      </c>
      <c r="H100" s="13">
        <f t="shared" si="11"/>
        <v>4.567954220314735E-2</v>
      </c>
      <c r="I100" s="9">
        <f t="shared" si="15"/>
        <v>11540.6942360515</v>
      </c>
      <c r="J100">
        <v>0</v>
      </c>
      <c r="K100" s="21">
        <f t="shared" si="12"/>
        <v>0</v>
      </c>
      <c r="L100" s="23">
        <f t="shared" si="13"/>
        <v>0</v>
      </c>
      <c r="M100" s="22">
        <f t="shared" si="14"/>
        <v>0</v>
      </c>
      <c r="N100" s="14">
        <f t="shared" si="16"/>
        <v>0</v>
      </c>
      <c r="O100" s="24">
        <f t="shared" si="17"/>
        <v>0</v>
      </c>
      <c r="P100" s="24">
        <f t="shared" si="18"/>
        <v>0</v>
      </c>
    </row>
    <row r="101" spans="1:16" x14ac:dyDescent="0.25">
      <c r="A101" s="15">
        <v>300</v>
      </c>
      <c r="B101" s="15">
        <v>1</v>
      </c>
      <c r="C101" s="16" t="s">
        <v>97</v>
      </c>
      <c r="D101">
        <v>0</v>
      </c>
      <c r="E101">
        <v>1390.248</v>
      </c>
      <c r="F101">
        <v>1254</v>
      </c>
      <c r="G101">
        <v>85.490000000000009</v>
      </c>
      <c r="H101" s="13">
        <f t="shared" si="11"/>
        <v>6.8173843700159498E-2</v>
      </c>
      <c r="I101" s="9">
        <f t="shared" si="15"/>
        <v>33172.492449760772</v>
      </c>
      <c r="J101">
        <v>0</v>
      </c>
      <c r="K101" s="21">
        <f t="shared" si="12"/>
        <v>0</v>
      </c>
      <c r="L101" s="23">
        <f t="shared" si="13"/>
        <v>0</v>
      </c>
      <c r="M101" s="22">
        <f t="shared" si="14"/>
        <v>0</v>
      </c>
      <c r="N101" s="14">
        <f t="shared" si="16"/>
        <v>0</v>
      </c>
      <c r="O101" s="24">
        <f t="shared" si="17"/>
        <v>0</v>
      </c>
      <c r="P101" s="24">
        <f t="shared" si="18"/>
        <v>0</v>
      </c>
    </row>
    <row r="102" spans="1:16" x14ac:dyDescent="0.25">
      <c r="A102" s="15">
        <v>306</v>
      </c>
      <c r="B102" s="15">
        <v>1</v>
      </c>
      <c r="C102" s="16" t="s">
        <v>98</v>
      </c>
      <c r="D102">
        <v>0</v>
      </c>
      <c r="E102">
        <v>287.14800000000002</v>
      </c>
      <c r="F102">
        <v>263</v>
      </c>
      <c r="G102">
        <v>39.14</v>
      </c>
      <c r="H102" s="13">
        <f t="shared" si="11"/>
        <v>0.14882129277566541</v>
      </c>
      <c r="I102" s="9">
        <f t="shared" si="15"/>
        <v>14956.807802281373</v>
      </c>
      <c r="J102">
        <v>0</v>
      </c>
      <c r="K102" s="21">
        <f t="shared" si="12"/>
        <v>0</v>
      </c>
      <c r="L102" s="23">
        <f t="shared" si="13"/>
        <v>0</v>
      </c>
      <c r="M102" s="22">
        <f t="shared" si="14"/>
        <v>0</v>
      </c>
      <c r="N102" s="14">
        <f t="shared" si="16"/>
        <v>0</v>
      </c>
      <c r="O102" s="24">
        <f t="shared" si="17"/>
        <v>0</v>
      </c>
      <c r="P102" s="24">
        <f t="shared" si="18"/>
        <v>0</v>
      </c>
    </row>
    <row r="103" spans="1:16" x14ac:dyDescent="0.25">
      <c r="A103" s="15">
        <v>308</v>
      </c>
      <c r="B103" s="15">
        <v>1</v>
      </c>
      <c r="C103" s="16" t="s">
        <v>99</v>
      </c>
      <c r="D103">
        <v>0</v>
      </c>
      <c r="E103">
        <v>622.32599999999991</v>
      </c>
      <c r="F103">
        <v>542</v>
      </c>
      <c r="G103">
        <v>46.35</v>
      </c>
      <c r="H103" s="13">
        <f t="shared" si="11"/>
        <v>8.5516605166051668E-2</v>
      </c>
      <c r="I103" s="9">
        <f t="shared" si="15"/>
        <v>18626.722389298891</v>
      </c>
      <c r="J103">
        <v>0</v>
      </c>
      <c r="K103" s="21">
        <f t="shared" si="12"/>
        <v>0</v>
      </c>
      <c r="L103" s="23">
        <f t="shared" si="13"/>
        <v>0</v>
      </c>
      <c r="M103" s="22">
        <f t="shared" si="14"/>
        <v>0</v>
      </c>
      <c r="N103" s="14">
        <f t="shared" si="16"/>
        <v>0</v>
      </c>
      <c r="O103" s="24">
        <f t="shared" si="17"/>
        <v>0</v>
      </c>
      <c r="P103" s="24">
        <f t="shared" si="18"/>
        <v>0</v>
      </c>
    </row>
    <row r="104" spans="1:16" x14ac:dyDescent="0.25">
      <c r="A104" s="15">
        <v>309</v>
      </c>
      <c r="B104" s="15">
        <v>1</v>
      </c>
      <c r="C104" s="16" t="s">
        <v>100</v>
      </c>
      <c r="D104">
        <v>0</v>
      </c>
      <c r="E104">
        <v>1667.606</v>
      </c>
      <c r="F104">
        <v>1538</v>
      </c>
      <c r="G104">
        <v>189.52</v>
      </c>
      <c r="H104" s="13">
        <f t="shared" si="11"/>
        <v>0.12322496749024708</v>
      </c>
      <c r="I104" s="9">
        <f t="shared" si="15"/>
        <v>71921.743297789348</v>
      </c>
      <c r="J104">
        <v>0</v>
      </c>
      <c r="K104" s="21">
        <f t="shared" si="12"/>
        <v>0</v>
      </c>
      <c r="L104" s="23">
        <f t="shared" si="13"/>
        <v>0</v>
      </c>
      <c r="M104" s="22">
        <f t="shared" si="14"/>
        <v>0</v>
      </c>
      <c r="N104" s="14">
        <f t="shared" si="16"/>
        <v>0</v>
      </c>
      <c r="O104" s="24">
        <f t="shared" si="17"/>
        <v>0</v>
      </c>
      <c r="P104" s="24">
        <f t="shared" si="18"/>
        <v>0</v>
      </c>
    </row>
    <row r="105" spans="1:16" x14ac:dyDescent="0.25">
      <c r="A105" s="15">
        <v>314</v>
      </c>
      <c r="B105" s="15">
        <v>1</v>
      </c>
      <c r="C105" s="16" t="s">
        <v>101</v>
      </c>
      <c r="D105">
        <v>0</v>
      </c>
      <c r="E105">
        <v>887.12750000000005</v>
      </c>
      <c r="F105">
        <v>852</v>
      </c>
      <c r="G105">
        <v>42.230000000000004</v>
      </c>
      <c r="H105" s="13">
        <f t="shared" si="11"/>
        <v>4.9565727699530521E-2</v>
      </c>
      <c r="I105" s="9">
        <f t="shared" si="15"/>
        <v>15389.892034917842</v>
      </c>
      <c r="J105">
        <v>0</v>
      </c>
      <c r="K105" s="21">
        <f t="shared" si="12"/>
        <v>0</v>
      </c>
      <c r="L105" s="23">
        <f t="shared" si="13"/>
        <v>0</v>
      </c>
      <c r="M105" s="22">
        <f t="shared" si="14"/>
        <v>0</v>
      </c>
      <c r="N105" s="14">
        <f t="shared" si="16"/>
        <v>0</v>
      </c>
      <c r="O105" s="24">
        <f t="shared" si="17"/>
        <v>0</v>
      </c>
      <c r="P105" s="24">
        <f t="shared" si="18"/>
        <v>0</v>
      </c>
    </row>
    <row r="106" spans="1:16" x14ac:dyDescent="0.25">
      <c r="A106" s="15">
        <v>316</v>
      </c>
      <c r="B106" s="15">
        <v>1</v>
      </c>
      <c r="C106" s="16" t="s">
        <v>102</v>
      </c>
      <c r="D106">
        <v>0</v>
      </c>
      <c r="E106">
        <v>1100.4275</v>
      </c>
      <c r="F106">
        <v>1052</v>
      </c>
      <c r="G106">
        <v>129.78</v>
      </c>
      <c r="H106" s="13">
        <f t="shared" si="11"/>
        <v>0.12336501901140684</v>
      </c>
      <c r="I106" s="9">
        <f t="shared" si="15"/>
        <v>47513.990810361218</v>
      </c>
      <c r="J106">
        <v>0</v>
      </c>
      <c r="K106" s="21">
        <f t="shared" si="12"/>
        <v>0</v>
      </c>
      <c r="L106" s="23">
        <f t="shared" si="13"/>
        <v>0</v>
      </c>
      <c r="M106" s="22">
        <f t="shared" si="14"/>
        <v>0</v>
      </c>
      <c r="N106" s="14">
        <f t="shared" si="16"/>
        <v>0</v>
      </c>
      <c r="O106" s="24">
        <f t="shared" si="17"/>
        <v>0</v>
      </c>
      <c r="P106" s="24">
        <f t="shared" si="18"/>
        <v>0</v>
      </c>
    </row>
    <row r="107" spans="1:16" x14ac:dyDescent="0.25">
      <c r="A107" s="15">
        <v>317</v>
      </c>
      <c r="B107" s="15">
        <v>1</v>
      </c>
      <c r="C107" s="16" t="s">
        <v>103</v>
      </c>
      <c r="D107">
        <v>0</v>
      </c>
      <c r="E107">
        <v>984.45799999999986</v>
      </c>
      <c r="F107">
        <v>903</v>
      </c>
      <c r="G107">
        <v>381.1</v>
      </c>
      <c r="H107" s="13">
        <f t="shared" si="11"/>
        <v>0.42203765227021045</v>
      </c>
      <c r="I107" s="9">
        <f t="shared" si="15"/>
        <v>145417.42007751937</v>
      </c>
      <c r="J107">
        <v>0</v>
      </c>
      <c r="K107" s="21">
        <f t="shared" si="12"/>
        <v>0</v>
      </c>
      <c r="L107" s="23">
        <f t="shared" si="13"/>
        <v>0</v>
      </c>
      <c r="M107" s="22">
        <f t="shared" si="14"/>
        <v>0</v>
      </c>
      <c r="N107" s="14">
        <f t="shared" si="16"/>
        <v>0</v>
      </c>
      <c r="O107" s="24">
        <f t="shared" si="17"/>
        <v>0</v>
      </c>
      <c r="P107" s="24">
        <f t="shared" si="18"/>
        <v>0</v>
      </c>
    </row>
    <row r="108" spans="1:16" x14ac:dyDescent="0.25">
      <c r="A108" s="15">
        <v>318</v>
      </c>
      <c r="B108" s="15">
        <v>1</v>
      </c>
      <c r="C108" s="16" t="s">
        <v>104</v>
      </c>
      <c r="D108">
        <v>0</v>
      </c>
      <c r="E108">
        <v>4327.2389999999996</v>
      </c>
      <c r="F108">
        <v>4035</v>
      </c>
      <c r="G108">
        <v>497.49</v>
      </c>
      <c r="H108" s="13">
        <f t="shared" si="11"/>
        <v>0.12329368029739778</v>
      </c>
      <c r="I108" s="9">
        <f t="shared" si="15"/>
        <v>186732.42764275093</v>
      </c>
      <c r="J108">
        <v>0</v>
      </c>
      <c r="K108" s="21">
        <f t="shared" si="12"/>
        <v>0</v>
      </c>
      <c r="L108" s="23">
        <f t="shared" si="13"/>
        <v>0</v>
      </c>
      <c r="M108" s="22">
        <f t="shared" si="14"/>
        <v>0</v>
      </c>
      <c r="N108" s="14">
        <f t="shared" si="16"/>
        <v>0</v>
      </c>
      <c r="O108" s="24">
        <f t="shared" si="17"/>
        <v>0</v>
      </c>
      <c r="P108" s="24">
        <f t="shared" si="18"/>
        <v>0</v>
      </c>
    </row>
    <row r="109" spans="1:16" x14ac:dyDescent="0.25">
      <c r="A109" s="15">
        <v>319</v>
      </c>
      <c r="B109" s="15">
        <v>1</v>
      </c>
      <c r="C109" s="16" t="s">
        <v>105</v>
      </c>
      <c r="D109">
        <v>0</v>
      </c>
      <c r="E109">
        <v>583.01900000000012</v>
      </c>
      <c r="F109">
        <v>555</v>
      </c>
      <c r="G109">
        <v>47.38</v>
      </c>
      <c r="H109" s="13">
        <f t="shared" si="11"/>
        <v>8.5369369369369369E-2</v>
      </c>
      <c r="I109" s="9">
        <f t="shared" si="15"/>
        <v>17420.18752612613</v>
      </c>
      <c r="J109">
        <v>0</v>
      </c>
      <c r="K109" s="21">
        <f t="shared" si="12"/>
        <v>0</v>
      </c>
      <c r="L109" s="23">
        <f t="shared" si="13"/>
        <v>0</v>
      </c>
      <c r="M109" s="22">
        <f t="shared" si="14"/>
        <v>0</v>
      </c>
      <c r="N109" s="14">
        <f t="shared" si="16"/>
        <v>0</v>
      </c>
      <c r="O109" s="24">
        <f t="shared" si="17"/>
        <v>0</v>
      </c>
      <c r="P109" s="24">
        <f t="shared" si="18"/>
        <v>0</v>
      </c>
    </row>
    <row r="110" spans="1:16" x14ac:dyDescent="0.25">
      <c r="A110" s="15">
        <v>323</v>
      </c>
      <c r="B110" s="15">
        <v>2</v>
      </c>
      <c r="C110" s="16" t="s">
        <v>106</v>
      </c>
      <c r="D110">
        <v>0</v>
      </c>
      <c r="E110">
        <v>32.860500000000002</v>
      </c>
      <c r="F110">
        <v>0</v>
      </c>
      <c r="G110">
        <v>0</v>
      </c>
      <c r="H110" s="13">
        <f t="shared" si="11"/>
        <v>0</v>
      </c>
      <c r="I110" s="9">
        <f t="shared" si="15"/>
        <v>0</v>
      </c>
      <c r="J110">
        <v>0</v>
      </c>
      <c r="K110" s="21">
        <f t="shared" si="12"/>
        <v>0</v>
      </c>
      <c r="L110" s="23">
        <f t="shared" si="13"/>
        <v>0</v>
      </c>
      <c r="M110" s="22">
        <f t="shared" si="14"/>
        <v>0</v>
      </c>
      <c r="N110" s="14">
        <f t="shared" si="16"/>
        <v>0</v>
      </c>
      <c r="O110" s="24">
        <f t="shared" si="17"/>
        <v>0</v>
      </c>
      <c r="P110" s="24">
        <f t="shared" si="18"/>
        <v>0</v>
      </c>
    </row>
    <row r="111" spans="1:16" x14ac:dyDescent="0.25">
      <c r="A111" s="15">
        <v>330</v>
      </c>
      <c r="B111" s="15">
        <v>1</v>
      </c>
      <c r="C111" s="16" t="s">
        <v>107</v>
      </c>
      <c r="D111">
        <v>47730</v>
      </c>
      <c r="E111">
        <v>315.30599999999998</v>
      </c>
      <c r="F111">
        <v>354</v>
      </c>
      <c r="G111">
        <v>58.71</v>
      </c>
      <c r="H111" s="13">
        <f t="shared" si="11"/>
        <v>0.16584745762711864</v>
      </c>
      <c r="I111" s="9">
        <f t="shared" si="15"/>
        <v>18302.444466101693</v>
      </c>
      <c r="J111">
        <v>18432.017093898306</v>
      </c>
      <c r="K111" s="21">
        <f t="shared" si="12"/>
        <v>3153.06</v>
      </c>
      <c r="L111" s="23">
        <f t="shared" si="13"/>
        <v>39887.519999999997</v>
      </c>
      <c r="M111" s="22">
        <f t="shared" si="14"/>
        <v>-7842.4800000000032</v>
      </c>
      <c r="N111" s="14">
        <f t="shared" si="16"/>
        <v>-24.872599950524265</v>
      </c>
      <c r="O111" s="24">
        <f t="shared" si="17"/>
        <v>27921.263999999996</v>
      </c>
      <c r="P111" s="24">
        <f t="shared" si="18"/>
        <v>11966.255999999999</v>
      </c>
    </row>
    <row r="112" spans="1:16" x14ac:dyDescent="0.25">
      <c r="A112" s="15">
        <v>332</v>
      </c>
      <c r="B112" s="15">
        <v>1</v>
      </c>
      <c r="C112" s="16" t="s">
        <v>108</v>
      </c>
      <c r="D112">
        <v>0</v>
      </c>
      <c r="E112">
        <v>1904.402</v>
      </c>
      <c r="F112">
        <v>1783</v>
      </c>
      <c r="G112">
        <v>126.69</v>
      </c>
      <c r="H112" s="13">
        <f t="shared" si="11"/>
        <v>7.1054402692091984E-2</v>
      </c>
      <c r="I112" s="9">
        <f t="shared" si="15"/>
        <v>47360.651308468878</v>
      </c>
      <c r="J112">
        <v>0</v>
      </c>
      <c r="K112" s="21">
        <f t="shared" si="12"/>
        <v>0</v>
      </c>
      <c r="L112" s="23">
        <f t="shared" si="13"/>
        <v>0</v>
      </c>
      <c r="M112" s="22">
        <f t="shared" si="14"/>
        <v>0</v>
      </c>
      <c r="N112" s="14">
        <f t="shared" si="16"/>
        <v>0</v>
      </c>
      <c r="O112" s="24">
        <f t="shared" si="17"/>
        <v>0</v>
      </c>
      <c r="P112" s="24">
        <f t="shared" si="18"/>
        <v>0</v>
      </c>
    </row>
    <row r="113" spans="1:16" x14ac:dyDescent="0.25">
      <c r="A113" s="15">
        <v>333</v>
      </c>
      <c r="B113" s="15">
        <v>1</v>
      </c>
      <c r="C113" s="16" t="s">
        <v>109</v>
      </c>
      <c r="D113">
        <v>0</v>
      </c>
      <c r="E113">
        <v>596.12199999999996</v>
      </c>
      <c r="F113">
        <v>555</v>
      </c>
      <c r="G113">
        <v>8.24</v>
      </c>
      <c r="H113" s="13">
        <f t="shared" si="11"/>
        <v>1.4846846846846846E-2</v>
      </c>
      <c r="I113" s="9">
        <f t="shared" si="15"/>
        <v>3097.6862126126125</v>
      </c>
      <c r="J113">
        <v>0</v>
      </c>
      <c r="K113" s="21">
        <f t="shared" si="12"/>
        <v>0</v>
      </c>
      <c r="L113" s="23">
        <f t="shared" si="13"/>
        <v>0</v>
      </c>
      <c r="M113" s="22">
        <f t="shared" si="14"/>
        <v>0</v>
      </c>
      <c r="N113" s="14">
        <f t="shared" si="16"/>
        <v>0</v>
      </c>
      <c r="O113" s="24">
        <f t="shared" si="17"/>
        <v>0</v>
      </c>
      <c r="P113" s="24">
        <f t="shared" si="18"/>
        <v>0</v>
      </c>
    </row>
    <row r="114" spans="1:16" x14ac:dyDescent="0.25">
      <c r="A114" s="17">
        <v>345</v>
      </c>
      <c r="B114" s="17">
        <v>1</v>
      </c>
      <c r="C114" s="1" t="s">
        <v>110</v>
      </c>
      <c r="D114">
        <v>150604</v>
      </c>
      <c r="E114">
        <v>1424.7045000000001</v>
      </c>
      <c r="F114">
        <v>1423</v>
      </c>
      <c r="G114">
        <v>101.97</v>
      </c>
      <c r="H114" s="13">
        <f t="shared" si="11"/>
        <v>7.1658468025298669E-2</v>
      </c>
      <c r="I114" s="9">
        <f t="shared" si="15"/>
        <v>35732.249650562197</v>
      </c>
      <c r="J114">
        <v>71140.613297624717</v>
      </c>
      <c r="K114" s="21">
        <f t="shared" si="12"/>
        <v>14247.045</v>
      </c>
      <c r="L114" s="23">
        <f t="shared" si="13"/>
        <v>121119.91</v>
      </c>
      <c r="M114" s="22">
        <f t="shared" si="14"/>
        <v>-29484.089999999997</v>
      </c>
      <c r="N114" s="14">
        <f t="shared" si="16"/>
        <v>-20.694880938468291</v>
      </c>
      <c r="O114" s="24">
        <f t="shared" si="17"/>
        <v>84783.936999999991</v>
      </c>
      <c r="P114" s="24">
        <f t="shared" si="18"/>
        <v>36335.972999999998</v>
      </c>
    </row>
    <row r="115" spans="1:16" x14ac:dyDescent="0.25">
      <c r="A115" s="17">
        <v>347</v>
      </c>
      <c r="B115" s="17">
        <v>1</v>
      </c>
      <c r="C115" s="1" t="s">
        <v>111</v>
      </c>
      <c r="D115">
        <v>595155.68999999994</v>
      </c>
      <c r="E115">
        <v>4567.1059999999998</v>
      </c>
      <c r="F115">
        <v>4197</v>
      </c>
      <c r="G115">
        <v>1890.05</v>
      </c>
      <c r="H115" s="13">
        <f t="shared" si="11"/>
        <v>0.45033357159876103</v>
      </c>
      <c r="I115" s="9">
        <f t="shared" si="15"/>
        <v>719852.40489754593</v>
      </c>
      <c r="J115">
        <v>0</v>
      </c>
      <c r="K115" s="21">
        <f t="shared" si="12"/>
        <v>45671.06</v>
      </c>
      <c r="L115" s="23">
        <f t="shared" si="13"/>
        <v>765523.46</v>
      </c>
      <c r="M115" s="22">
        <f t="shared" si="14"/>
        <v>170367.77000000002</v>
      </c>
      <c r="N115" s="14">
        <f t="shared" si="16"/>
        <v>37.303222215556204</v>
      </c>
      <c r="O115" s="24">
        <f t="shared" si="17"/>
        <v>535866.4219999999</v>
      </c>
      <c r="P115" s="24">
        <f t="shared" si="18"/>
        <v>229657.03799999997</v>
      </c>
    </row>
    <row r="116" spans="1:16" x14ac:dyDescent="0.25">
      <c r="A116" s="15">
        <v>356</v>
      </c>
      <c r="B116" s="15">
        <v>1</v>
      </c>
      <c r="C116" s="16" t="s">
        <v>112</v>
      </c>
      <c r="D116">
        <v>0</v>
      </c>
      <c r="E116">
        <v>163.71250000000001</v>
      </c>
      <c r="F116">
        <v>157</v>
      </c>
      <c r="G116">
        <v>5.15</v>
      </c>
      <c r="H116" s="13">
        <f t="shared" si="11"/>
        <v>3.2802547770700637E-2</v>
      </c>
      <c r="I116" s="9">
        <f t="shared" si="15"/>
        <v>1879.5654856687897</v>
      </c>
      <c r="J116">
        <v>0</v>
      </c>
      <c r="K116" s="21">
        <f t="shared" si="12"/>
        <v>0</v>
      </c>
      <c r="L116" s="23">
        <f t="shared" si="13"/>
        <v>0</v>
      </c>
      <c r="M116" s="22">
        <f t="shared" si="14"/>
        <v>0</v>
      </c>
      <c r="N116" s="14">
        <f t="shared" si="16"/>
        <v>0</v>
      </c>
      <c r="O116" s="24">
        <f t="shared" si="17"/>
        <v>0</v>
      </c>
      <c r="P116" s="24">
        <f t="shared" si="18"/>
        <v>0</v>
      </c>
    </row>
    <row r="117" spans="1:16" x14ac:dyDescent="0.25">
      <c r="A117" s="15">
        <v>361</v>
      </c>
      <c r="B117" s="15">
        <v>1</v>
      </c>
      <c r="C117" s="16" t="s">
        <v>113</v>
      </c>
      <c r="D117">
        <v>0</v>
      </c>
      <c r="E117">
        <v>1197.2139999999997</v>
      </c>
      <c r="F117">
        <v>1216</v>
      </c>
      <c r="G117">
        <v>126.69</v>
      </c>
      <c r="H117" s="13">
        <f t="shared" si="11"/>
        <v>0.10418585526315789</v>
      </c>
      <c r="I117" s="9">
        <f t="shared" si="15"/>
        <v>43656.467583059195</v>
      </c>
      <c r="J117">
        <v>0</v>
      </c>
      <c r="K117" s="21">
        <f t="shared" si="12"/>
        <v>0</v>
      </c>
      <c r="L117" s="23">
        <f t="shared" si="13"/>
        <v>0</v>
      </c>
      <c r="M117" s="22">
        <f t="shared" si="14"/>
        <v>0</v>
      </c>
      <c r="N117" s="14">
        <f t="shared" si="16"/>
        <v>0</v>
      </c>
      <c r="O117" s="24">
        <f t="shared" si="17"/>
        <v>0</v>
      </c>
      <c r="P117" s="24">
        <f t="shared" si="18"/>
        <v>0</v>
      </c>
    </row>
    <row r="118" spans="1:16" x14ac:dyDescent="0.25">
      <c r="A118" s="15">
        <v>362</v>
      </c>
      <c r="B118" s="15">
        <v>1</v>
      </c>
      <c r="C118" s="16" t="s">
        <v>114</v>
      </c>
      <c r="D118">
        <v>0</v>
      </c>
      <c r="E118">
        <v>352.77050000000003</v>
      </c>
      <c r="F118">
        <v>311</v>
      </c>
      <c r="G118">
        <v>12.36</v>
      </c>
      <c r="H118" s="13">
        <f t="shared" si="11"/>
        <v>3.9742765273311893E-2</v>
      </c>
      <c r="I118" s="9">
        <f t="shared" si="15"/>
        <v>4907.0263118971061</v>
      </c>
      <c r="J118">
        <v>0</v>
      </c>
      <c r="K118" s="21">
        <f t="shared" si="12"/>
        <v>0</v>
      </c>
      <c r="L118" s="23">
        <f t="shared" si="13"/>
        <v>0</v>
      </c>
      <c r="M118" s="22">
        <f t="shared" si="14"/>
        <v>0</v>
      </c>
      <c r="N118" s="14">
        <f t="shared" si="16"/>
        <v>0</v>
      </c>
      <c r="O118" s="24">
        <f t="shared" si="17"/>
        <v>0</v>
      </c>
      <c r="P118" s="24">
        <f t="shared" si="18"/>
        <v>0</v>
      </c>
    </row>
    <row r="119" spans="1:16" x14ac:dyDescent="0.25">
      <c r="A119" s="15">
        <v>363</v>
      </c>
      <c r="B119" s="15">
        <v>1</v>
      </c>
      <c r="C119" s="16" t="s">
        <v>115</v>
      </c>
      <c r="D119">
        <v>0</v>
      </c>
      <c r="E119">
        <v>349.60650000000004</v>
      </c>
      <c r="F119">
        <v>349</v>
      </c>
      <c r="G119">
        <v>37.08</v>
      </c>
      <c r="H119" s="13">
        <f t="shared" si="11"/>
        <v>0.10624641833810888</v>
      </c>
      <c r="I119" s="9">
        <f t="shared" si="15"/>
        <v>13000.553458452725</v>
      </c>
      <c r="J119">
        <v>0</v>
      </c>
      <c r="K119" s="21">
        <f t="shared" si="12"/>
        <v>0</v>
      </c>
      <c r="L119" s="23">
        <f t="shared" si="13"/>
        <v>0</v>
      </c>
      <c r="M119" s="22">
        <f t="shared" si="14"/>
        <v>0</v>
      </c>
      <c r="N119" s="14">
        <f t="shared" si="16"/>
        <v>0</v>
      </c>
      <c r="O119" s="24">
        <f t="shared" si="17"/>
        <v>0</v>
      </c>
      <c r="P119" s="24">
        <f t="shared" si="18"/>
        <v>0</v>
      </c>
    </row>
    <row r="120" spans="1:16" x14ac:dyDescent="0.25">
      <c r="A120" s="17">
        <v>378</v>
      </c>
      <c r="B120" s="17">
        <v>1</v>
      </c>
      <c r="C120" s="1" t="s">
        <v>116</v>
      </c>
      <c r="D120">
        <v>51980</v>
      </c>
      <c r="E120">
        <v>535.51800000000003</v>
      </c>
      <c r="F120">
        <v>500</v>
      </c>
      <c r="G120">
        <v>42.230000000000004</v>
      </c>
      <c r="H120" s="13">
        <f t="shared" si="11"/>
        <v>8.4460000000000007E-2</v>
      </c>
      <c r="I120" s="9">
        <f t="shared" si="15"/>
        <v>15830.447598000002</v>
      </c>
      <c r="J120">
        <v>23141.18787618</v>
      </c>
      <c r="K120" s="21">
        <f t="shared" si="12"/>
        <v>5355.18</v>
      </c>
      <c r="L120" s="23">
        <f t="shared" si="13"/>
        <v>44326.82</v>
      </c>
      <c r="M120" s="22">
        <f t="shared" si="14"/>
        <v>-7653.18</v>
      </c>
      <c r="N120" s="14">
        <f t="shared" si="16"/>
        <v>-14.291172285525416</v>
      </c>
      <c r="O120" s="24">
        <f t="shared" si="17"/>
        <v>31028.773999999998</v>
      </c>
      <c r="P120" s="24">
        <f t="shared" si="18"/>
        <v>13298.046</v>
      </c>
    </row>
    <row r="121" spans="1:16" x14ac:dyDescent="0.25">
      <c r="A121" s="15">
        <v>381</v>
      </c>
      <c r="B121" s="15">
        <v>1</v>
      </c>
      <c r="C121" s="16" t="s">
        <v>117</v>
      </c>
      <c r="D121">
        <v>0</v>
      </c>
      <c r="E121">
        <v>1542.9740000000002</v>
      </c>
      <c r="F121">
        <v>1400</v>
      </c>
      <c r="G121">
        <v>48.410000000000004</v>
      </c>
      <c r="H121" s="13">
        <f t="shared" si="11"/>
        <v>3.4578571428571431E-2</v>
      </c>
      <c r="I121" s="9">
        <f t="shared" si="15"/>
        <v>18673.842835000003</v>
      </c>
      <c r="J121">
        <v>0</v>
      </c>
      <c r="K121" s="21">
        <f t="shared" si="12"/>
        <v>0</v>
      </c>
      <c r="L121" s="23">
        <f t="shared" si="13"/>
        <v>0</v>
      </c>
      <c r="M121" s="22">
        <f t="shared" si="14"/>
        <v>0</v>
      </c>
      <c r="N121" s="14">
        <f t="shared" si="16"/>
        <v>0</v>
      </c>
      <c r="O121" s="24">
        <f t="shared" si="17"/>
        <v>0</v>
      </c>
      <c r="P121" s="24">
        <f t="shared" si="18"/>
        <v>0</v>
      </c>
    </row>
    <row r="122" spans="1:16" x14ac:dyDescent="0.25">
      <c r="A122" s="15">
        <v>390</v>
      </c>
      <c r="B122" s="15">
        <v>1</v>
      </c>
      <c r="C122" s="16" t="s">
        <v>118</v>
      </c>
      <c r="D122">
        <v>0</v>
      </c>
      <c r="E122">
        <v>492.55999999999995</v>
      </c>
      <c r="F122">
        <v>484</v>
      </c>
      <c r="G122">
        <v>37.08</v>
      </c>
      <c r="H122" s="13">
        <f t="shared" si="11"/>
        <v>7.6611570247933886E-2</v>
      </c>
      <c r="I122" s="9">
        <f t="shared" si="15"/>
        <v>13207.52826446281</v>
      </c>
      <c r="J122">
        <v>0</v>
      </c>
      <c r="K122" s="21">
        <f t="shared" si="12"/>
        <v>0</v>
      </c>
      <c r="L122" s="23">
        <f t="shared" si="13"/>
        <v>0</v>
      </c>
      <c r="M122" s="22">
        <f t="shared" si="14"/>
        <v>0</v>
      </c>
      <c r="N122" s="14">
        <f t="shared" si="16"/>
        <v>0</v>
      </c>
      <c r="O122" s="24">
        <f t="shared" si="17"/>
        <v>0</v>
      </c>
      <c r="P122" s="24">
        <f t="shared" si="18"/>
        <v>0</v>
      </c>
    </row>
    <row r="123" spans="1:16" x14ac:dyDescent="0.25">
      <c r="A123" s="17">
        <v>391</v>
      </c>
      <c r="B123" s="17">
        <v>1</v>
      </c>
      <c r="C123" s="1" t="s">
        <v>119</v>
      </c>
      <c r="D123">
        <v>0</v>
      </c>
      <c r="E123">
        <v>478.18799999999999</v>
      </c>
      <c r="F123">
        <v>440</v>
      </c>
      <c r="G123">
        <v>19.57</v>
      </c>
      <c r="H123" s="13">
        <f t="shared" si="11"/>
        <v>4.4477272727272726E-2</v>
      </c>
      <c r="I123" s="9">
        <f t="shared" si="15"/>
        <v>7443.9743318181818</v>
      </c>
      <c r="J123">
        <v>0</v>
      </c>
      <c r="K123" s="21">
        <f t="shared" si="12"/>
        <v>0</v>
      </c>
      <c r="L123" s="23">
        <f t="shared" si="13"/>
        <v>0</v>
      </c>
      <c r="M123" s="22">
        <f t="shared" si="14"/>
        <v>0</v>
      </c>
      <c r="N123" s="14">
        <f t="shared" si="16"/>
        <v>0</v>
      </c>
      <c r="O123" s="24">
        <f t="shared" si="17"/>
        <v>0</v>
      </c>
      <c r="P123" s="24">
        <f t="shared" si="18"/>
        <v>0</v>
      </c>
    </row>
    <row r="124" spans="1:16" x14ac:dyDescent="0.25">
      <c r="A124" s="17">
        <v>402</v>
      </c>
      <c r="B124" s="17">
        <v>1</v>
      </c>
      <c r="C124" s="1" t="s">
        <v>120</v>
      </c>
      <c r="D124">
        <v>9980.16</v>
      </c>
      <c r="E124">
        <v>105.92349999999999</v>
      </c>
      <c r="F124">
        <v>100</v>
      </c>
      <c r="G124">
        <v>1.03</v>
      </c>
      <c r="H124" s="13">
        <f t="shared" si="11"/>
        <v>1.03E-2</v>
      </c>
      <c r="I124" s="9">
        <f t="shared" si="15"/>
        <v>381.8542175</v>
      </c>
      <c r="J124">
        <v>5869.7154285000015</v>
      </c>
      <c r="K124" s="21">
        <f t="shared" si="12"/>
        <v>1059.2349999999999</v>
      </c>
      <c r="L124" s="23">
        <f t="shared" si="13"/>
        <v>7310.8</v>
      </c>
      <c r="M124" s="22">
        <f t="shared" si="14"/>
        <v>-2669.3599999999997</v>
      </c>
      <c r="N124" s="14">
        <f t="shared" si="16"/>
        <v>-25.200828900102433</v>
      </c>
      <c r="O124" s="24">
        <f t="shared" si="17"/>
        <v>5117.5599999999995</v>
      </c>
      <c r="P124" s="24">
        <f t="shared" si="18"/>
        <v>2193.2399999999998</v>
      </c>
    </row>
    <row r="125" spans="1:16" x14ac:dyDescent="0.25">
      <c r="A125" s="17">
        <v>403</v>
      </c>
      <c r="B125" s="17">
        <v>1</v>
      </c>
      <c r="C125" s="1" t="s">
        <v>121</v>
      </c>
      <c r="D125">
        <v>20060.599999999999</v>
      </c>
      <c r="E125">
        <v>186.81399999999996</v>
      </c>
      <c r="F125">
        <v>200</v>
      </c>
      <c r="G125">
        <v>1.03</v>
      </c>
      <c r="H125" s="13">
        <f t="shared" si="11"/>
        <v>5.1500000000000001E-3</v>
      </c>
      <c r="I125" s="9">
        <f t="shared" si="15"/>
        <v>336.73223499999995</v>
      </c>
      <c r="J125">
        <v>13376.194718699999</v>
      </c>
      <c r="K125" s="21">
        <f t="shared" si="12"/>
        <v>1868.1399999999996</v>
      </c>
      <c r="L125" s="23">
        <f t="shared" si="13"/>
        <v>15581.07</v>
      </c>
      <c r="M125" s="22">
        <f t="shared" si="14"/>
        <v>-4479.5299999999988</v>
      </c>
      <c r="N125" s="14">
        <f t="shared" si="16"/>
        <v>-23.978556210990611</v>
      </c>
      <c r="O125" s="24">
        <f t="shared" si="17"/>
        <v>10906.749</v>
      </c>
      <c r="P125" s="24">
        <f t="shared" si="18"/>
        <v>4674.3209999999999</v>
      </c>
    </row>
    <row r="126" spans="1:16" x14ac:dyDescent="0.25">
      <c r="A126" s="15">
        <v>404</v>
      </c>
      <c r="B126" s="15">
        <v>1</v>
      </c>
      <c r="C126" s="16" t="s">
        <v>122</v>
      </c>
      <c r="D126">
        <v>0</v>
      </c>
      <c r="E126">
        <v>186.06399999999999</v>
      </c>
      <c r="F126">
        <v>105</v>
      </c>
      <c r="G126">
        <v>6.18</v>
      </c>
      <c r="H126" s="13">
        <f t="shared" si="11"/>
        <v>5.8857142857142858E-2</v>
      </c>
      <c r="I126" s="9">
        <f t="shared" si="15"/>
        <v>3832.9183999999996</v>
      </c>
      <c r="J126">
        <v>0</v>
      </c>
      <c r="K126" s="21">
        <f t="shared" si="12"/>
        <v>0</v>
      </c>
      <c r="L126" s="23">
        <f t="shared" si="13"/>
        <v>0</v>
      </c>
      <c r="M126" s="22">
        <f t="shared" si="14"/>
        <v>0</v>
      </c>
      <c r="N126" s="14">
        <f t="shared" si="16"/>
        <v>0</v>
      </c>
      <c r="O126" s="24">
        <f t="shared" si="17"/>
        <v>0</v>
      </c>
      <c r="P126" s="24">
        <f t="shared" si="18"/>
        <v>0</v>
      </c>
    </row>
    <row r="127" spans="1:16" x14ac:dyDescent="0.25">
      <c r="A127" s="17">
        <v>413</v>
      </c>
      <c r="B127" s="17">
        <v>1</v>
      </c>
      <c r="C127" s="1" t="s">
        <v>123</v>
      </c>
      <c r="D127">
        <v>317762</v>
      </c>
      <c r="E127">
        <v>2510.6759999999999</v>
      </c>
      <c r="F127">
        <v>2270</v>
      </c>
      <c r="G127">
        <v>546.93000000000006</v>
      </c>
      <c r="H127" s="13">
        <f t="shared" si="11"/>
        <v>0.24093832599118944</v>
      </c>
      <c r="I127" s="9">
        <f t="shared" si="15"/>
        <v>211721.32539118943</v>
      </c>
      <c r="J127">
        <v>66565.862913581514</v>
      </c>
      <c r="K127" s="21">
        <f t="shared" si="12"/>
        <v>25106.76</v>
      </c>
      <c r="L127" s="23">
        <f t="shared" si="13"/>
        <v>303393.95</v>
      </c>
      <c r="M127" s="22">
        <f t="shared" si="14"/>
        <v>-14368.049999999988</v>
      </c>
      <c r="N127" s="14">
        <f t="shared" si="16"/>
        <v>-5.7227814341635437</v>
      </c>
      <c r="O127" s="24">
        <f t="shared" si="17"/>
        <v>212375.76499999998</v>
      </c>
      <c r="P127" s="24">
        <f t="shared" si="18"/>
        <v>91018.184999999998</v>
      </c>
    </row>
    <row r="128" spans="1:16" x14ac:dyDescent="0.25">
      <c r="A128" s="17">
        <v>414</v>
      </c>
      <c r="B128" s="17">
        <v>1</v>
      </c>
      <c r="C128" s="1" t="s">
        <v>124</v>
      </c>
      <c r="D128">
        <v>46561.2</v>
      </c>
      <c r="E128">
        <v>511.13500000000005</v>
      </c>
      <c r="F128">
        <v>438</v>
      </c>
      <c r="G128">
        <v>56.65</v>
      </c>
      <c r="H128" s="13">
        <f t="shared" si="11"/>
        <v>0.12933789954337899</v>
      </c>
      <c r="I128" s="9">
        <f t="shared" si="15"/>
        <v>23138.194549086758</v>
      </c>
      <c r="J128">
        <v>15069.302494520551</v>
      </c>
      <c r="K128" s="21">
        <f t="shared" si="12"/>
        <v>5111.3500000000004</v>
      </c>
      <c r="L128" s="23">
        <f t="shared" si="13"/>
        <v>43318.85</v>
      </c>
      <c r="M128" s="22">
        <f t="shared" si="14"/>
        <v>-3242.3499999999985</v>
      </c>
      <c r="N128" s="14">
        <f t="shared" si="16"/>
        <v>-6.343431774384455</v>
      </c>
      <c r="O128" s="24">
        <f t="shared" si="17"/>
        <v>30323.194999999996</v>
      </c>
      <c r="P128" s="24">
        <f t="shared" si="18"/>
        <v>12995.654999999999</v>
      </c>
    </row>
    <row r="129" spans="1:16" x14ac:dyDescent="0.25">
      <c r="A129" s="17">
        <v>415</v>
      </c>
      <c r="B129" s="17">
        <v>1</v>
      </c>
      <c r="C129" s="1" t="s">
        <v>125</v>
      </c>
      <c r="D129">
        <v>23610.87</v>
      </c>
      <c r="E129">
        <v>159.87049999999999</v>
      </c>
      <c r="F129">
        <v>121</v>
      </c>
      <c r="G129">
        <v>52.53</v>
      </c>
      <c r="H129" s="13">
        <f t="shared" si="11"/>
        <v>0.43413223140495871</v>
      </c>
      <c r="I129" s="9">
        <f t="shared" si="15"/>
        <v>24291.727915289255</v>
      </c>
      <c r="J129">
        <v>0</v>
      </c>
      <c r="K129" s="21">
        <f t="shared" si="12"/>
        <v>1598.7049999999999</v>
      </c>
      <c r="L129" s="23">
        <f t="shared" si="13"/>
        <v>25890.43</v>
      </c>
      <c r="M129" s="22">
        <f t="shared" si="14"/>
        <v>2279.5600000000013</v>
      </c>
      <c r="N129" s="14">
        <f t="shared" si="16"/>
        <v>14.258790708729887</v>
      </c>
      <c r="O129" s="24">
        <f t="shared" si="17"/>
        <v>18123.300999999999</v>
      </c>
      <c r="P129" s="24">
        <f t="shared" si="18"/>
        <v>7767.1289999999999</v>
      </c>
    </row>
    <row r="130" spans="1:16" x14ac:dyDescent="0.25">
      <c r="A130" s="15">
        <v>423</v>
      </c>
      <c r="B130" s="15">
        <v>1</v>
      </c>
      <c r="C130" s="16" t="s">
        <v>126</v>
      </c>
      <c r="D130">
        <v>0</v>
      </c>
      <c r="E130">
        <v>3208.7940000000003</v>
      </c>
      <c r="F130">
        <v>2947</v>
      </c>
      <c r="G130">
        <v>233.81</v>
      </c>
      <c r="H130" s="13">
        <f t="shared" si="11"/>
        <v>7.9338310145911098E-2</v>
      </c>
      <c r="I130" s="9">
        <f t="shared" si="15"/>
        <v>89103.102748218531</v>
      </c>
      <c r="J130">
        <v>0</v>
      </c>
      <c r="K130" s="21">
        <f t="shared" si="12"/>
        <v>0</v>
      </c>
      <c r="L130" s="23">
        <f t="shared" si="13"/>
        <v>0</v>
      </c>
      <c r="M130" s="22">
        <f t="shared" si="14"/>
        <v>0</v>
      </c>
      <c r="N130" s="14">
        <f t="shared" si="16"/>
        <v>0</v>
      </c>
      <c r="O130" s="24">
        <f t="shared" si="17"/>
        <v>0</v>
      </c>
      <c r="P130" s="24">
        <f t="shared" si="18"/>
        <v>0</v>
      </c>
    </row>
    <row r="131" spans="1:16" x14ac:dyDescent="0.25">
      <c r="A131" s="15">
        <v>424</v>
      </c>
      <c r="B131" s="15">
        <v>1</v>
      </c>
      <c r="C131" s="16" t="s">
        <v>127</v>
      </c>
      <c r="D131">
        <v>0</v>
      </c>
      <c r="E131">
        <v>410.58350000000002</v>
      </c>
      <c r="F131">
        <v>410</v>
      </c>
      <c r="G131">
        <v>54.59</v>
      </c>
      <c r="H131" s="13">
        <f t="shared" si="11"/>
        <v>0.13314634146341464</v>
      </c>
      <c r="I131" s="9">
        <f t="shared" si="15"/>
        <v>19133.69181158537</v>
      </c>
      <c r="J131">
        <v>0</v>
      </c>
      <c r="K131" s="21">
        <f t="shared" si="12"/>
        <v>0</v>
      </c>
      <c r="L131" s="23">
        <f t="shared" si="13"/>
        <v>0</v>
      </c>
      <c r="M131" s="22">
        <f t="shared" si="14"/>
        <v>0</v>
      </c>
      <c r="N131" s="14">
        <f t="shared" si="16"/>
        <v>0</v>
      </c>
      <c r="O131" s="24">
        <f t="shared" si="17"/>
        <v>0</v>
      </c>
      <c r="P131" s="24">
        <f t="shared" si="18"/>
        <v>0</v>
      </c>
    </row>
    <row r="132" spans="1:16" x14ac:dyDescent="0.25">
      <c r="A132" s="15">
        <v>432</v>
      </c>
      <c r="B132" s="15">
        <v>1</v>
      </c>
      <c r="C132" s="16" t="s">
        <v>128</v>
      </c>
      <c r="D132">
        <v>0</v>
      </c>
      <c r="E132">
        <v>598.66800000000001</v>
      </c>
      <c r="F132">
        <v>655</v>
      </c>
      <c r="G132">
        <v>490.28000000000003</v>
      </c>
      <c r="H132" s="13">
        <f t="shared" si="11"/>
        <v>0.74851908396946565</v>
      </c>
      <c r="I132" s="9">
        <f t="shared" si="15"/>
        <v>156840.04803664124</v>
      </c>
      <c r="J132">
        <v>0</v>
      </c>
      <c r="K132" s="21">
        <f t="shared" si="12"/>
        <v>0</v>
      </c>
      <c r="L132" s="23">
        <f t="shared" si="13"/>
        <v>0</v>
      </c>
      <c r="M132" s="22">
        <f t="shared" si="14"/>
        <v>0</v>
      </c>
      <c r="N132" s="14">
        <f t="shared" si="16"/>
        <v>0</v>
      </c>
      <c r="O132" s="24">
        <f t="shared" si="17"/>
        <v>0</v>
      </c>
      <c r="P132" s="24">
        <f t="shared" si="18"/>
        <v>0</v>
      </c>
    </row>
    <row r="133" spans="1:16" x14ac:dyDescent="0.25">
      <c r="A133" s="15">
        <v>435</v>
      </c>
      <c r="B133" s="15">
        <v>1</v>
      </c>
      <c r="C133" s="16" t="s">
        <v>129</v>
      </c>
      <c r="D133">
        <v>0</v>
      </c>
      <c r="E133">
        <v>647.79000000000008</v>
      </c>
      <c r="F133">
        <v>554</v>
      </c>
      <c r="G133">
        <v>434.66</v>
      </c>
      <c r="H133" s="13">
        <f t="shared" si="11"/>
        <v>0.78458483754512642</v>
      </c>
      <c r="I133" s="9">
        <f t="shared" si="15"/>
        <v>177886.17416967513</v>
      </c>
      <c r="J133">
        <v>0</v>
      </c>
      <c r="K133" s="21">
        <f t="shared" si="12"/>
        <v>0</v>
      </c>
      <c r="L133" s="23">
        <f t="shared" si="13"/>
        <v>0</v>
      </c>
      <c r="M133" s="22">
        <f t="shared" si="14"/>
        <v>0</v>
      </c>
      <c r="N133" s="14">
        <f t="shared" si="16"/>
        <v>0</v>
      </c>
      <c r="O133" s="24">
        <f t="shared" si="17"/>
        <v>0</v>
      </c>
      <c r="P133" s="24">
        <f t="shared" si="18"/>
        <v>0</v>
      </c>
    </row>
    <row r="134" spans="1:16" x14ac:dyDescent="0.25">
      <c r="A134" s="15">
        <v>441</v>
      </c>
      <c r="B134" s="15">
        <v>1</v>
      </c>
      <c r="C134" s="16" t="s">
        <v>130</v>
      </c>
      <c r="D134">
        <v>0</v>
      </c>
      <c r="E134">
        <v>419.98350000000005</v>
      </c>
      <c r="F134">
        <v>405</v>
      </c>
      <c r="G134">
        <v>11.33</v>
      </c>
      <c r="H134" s="13">
        <f t="shared" ref="H134:H197" si="19">IF(F134=0,0,G134/F134)</f>
        <v>2.7975308641975311E-2</v>
      </c>
      <c r="I134" s="9">
        <f t="shared" si="15"/>
        <v>4112.2088129629637</v>
      </c>
      <c r="J134">
        <v>0</v>
      </c>
      <c r="K134" s="21">
        <f t="shared" ref="K134:K197" si="20">IF(D134&gt;0,E134*10,0)</f>
        <v>0</v>
      </c>
      <c r="L134" s="23">
        <f t="shared" ref="L134:L197" si="21">IF(D134=0,0,ROUND(I134+J134+K134,2))</f>
        <v>0</v>
      </c>
      <c r="M134" s="22">
        <f t="shared" ref="M134:M197" si="22">L134-D134</f>
        <v>0</v>
      </c>
      <c r="N134" s="14">
        <f t="shared" si="16"/>
        <v>0</v>
      </c>
      <c r="O134" s="24">
        <f t="shared" si="17"/>
        <v>0</v>
      </c>
      <c r="P134" s="24">
        <f t="shared" si="18"/>
        <v>0</v>
      </c>
    </row>
    <row r="135" spans="1:16" x14ac:dyDescent="0.25">
      <c r="A135" s="15">
        <v>447</v>
      </c>
      <c r="B135" s="15">
        <v>1</v>
      </c>
      <c r="C135" s="16" t="s">
        <v>131</v>
      </c>
      <c r="D135">
        <v>0</v>
      </c>
      <c r="E135">
        <v>163.70999999999998</v>
      </c>
      <c r="F135">
        <v>165</v>
      </c>
      <c r="G135">
        <v>5.15</v>
      </c>
      <c r="H135" s="13">
        <f t="shared" si="19"/>
        <v>3.1212121212121215E-2</v>
      </c>
      <c r="I135" s="9">
        <f t="shared" ref="I135:I198" si="23">E135*H135*350</f>
        <v>1788.4077272727272</v>
      </c>
      <c r="J135">
        <v>0</v>
      </c>
      <c r="K135" s="21">
        <f t="shared" si="20"/>
        <v>0</v>
      </c>
      <c r="L135" s="23">
        <f t="shared" si="21"/>
        <v>0</v>
      </c>
      <c r="M135" s="22">
        <f t="shared" si="22"/>
        <v>0</v>
      </c>
      <c r="N135" s="14">
        <f t="shared" ref="N135:N198" si="24">IF(E135=0,0,M135/E135)</f>
        <v>0</v>
      </c>
      <c r="O135" s="24">
        <f t="shared" si="17"/>
        <v>0</v>
      </c>
      <c r="P135" s="24">
        <f t="shared" si="18"/>
        <v>0</v>
      </c>
    </row>
    <row r="136" spans="1:16" x14ac:dyDescent="0.25">
      <c r="A136" s="17">
        <v>458</v>
      </c>
      <c r="B136" s="17">
        <v>1</v>
      </c>
      <c r="C136" s="1" t="s">
        <v>132</v>
      </c>
      <c r="D136">
        <v>28833.72</v>
      </c>
      <c r="E136">
        <v>216.74799999999999</v>
      </c>
      <c r="F136">
        <v>257</v>
      </c>
      <c r="G136">
        <v>17.510000000000002</v>
      </c>
      <c r="H136" s="13">
        <f t="shared" si="19"/>
        <v>6.813229571984436E-2</v>
      </c>
      <c r="I136" s="9">
        <f t="shared" si="23"/>
        <v>5168.6385914396888</v>
      </c>
      <c r="J136">
        <v>14537.277702140078</v>
      </c>
      <c r="K136" s="21">
        <f t="shared" si="20"/>
        <v>2167.48</v>
      </c>
      <c r="L136" s="23">
        <f t="shared" si="21"/>
        <v>21873.4</v>
      </c>
      <c r="M136" s="22">
        <f t="shared" si="22"/>
        <v>-6960.32</v>
      </c>
      <c r="N136" s="14">
        <f t="shared" si="24"/>
        <v>-32.112499307952092</v>
      </c>
      <c r="O136" s="24">
        <f t="shared" ref="O136:O199" si="25">0.7*L136</f>
        <v>15311.38</v>
      </c>
      <c r="P136" s="24">
        <f t="shared" ref="P136:P199" si="26">0.3*L136</f>
        <v>6562.02</v>
      </c>
    </row>
    <row r="137" spans="1:16" x14ac:dyDescent="0.25">
      <c r="A137" s="15">
        <v>463</v>
      </c>
      <c r="B137" s="15">
        <v>1</v>
      </c>
      <c r="C137" s="16" t="s">
        <v>133</v>
      </c>
      <c r="D137">
        <v>0</v>
      </c>
      <c r="E137">
        <v>979.36850000000004</v>
      </c>
      <c r="F137">
        <v>937</v>
      </c>
      <c r="G137">
        <v>48.410000000000004</v>
      </c>
      <c r="H137" s="13">
        <f t="shared" si="19"/>
        <v>5.1664887940234792E-2</v>
      </c>
      <c r="I137" s="9">
        <f t="shared" si="23"/>
        <v>17709.637331643546</v>
      </c>
      <c r="J137">
        <v>0</v>
      </c>
      <c r="K137" s="21">
        <f t="shared" si="20"/>
        <v>0</v>
      </c>
      <c r="L137" s="23">
        <f t="shared" si="21"/>
        <v>0</v>
      </c>
      <c r="M137" s="22">
        <f t="shared" si="22"/>
        <v>0</v>
      </c>
      <c r="N137" s="14">
        <f t="shared" si="24"/>
        <v>0</v>
      </c>
      <c r="O137" s="24">
        <f t="shared" si="25"/>
        <v>0</v>
      </c>
      <c r="P137" s="24">
        <f t="shared" si="26"/>
        <v>0</v>
      </c>
    </row>
    <row r="138" spans="1:16" x14ac:dyDescent="0.25">
      <c r="A138" s="15">
        <v>465</v>
      </c>
      <c r="B138" s="15">
        <v>1</v>
      </c>
      <c r="C138" s="16" t="s">
        <v>134</v>
      </c>
      <c r="D138">
        <v>0</v>
      </c>
      <c r="E138">
        <v>1762.296</v>
      </c>
      <c r="F138">
        <v>1694</v>
      </c>
      <c r="G138">
        <v>125.66</v>
      </c>
      <c r="H138" s="13">
        <f t="shared" si="19"/>
        <v>7.4179456906729627E-2</v>
      </c>
      <c r="I138" s="9">
        <f t="shared" si="23"/>
        <v>45754.156066115698</v>
      </c>
      <c r="J138">
        <v>0</v>
      </c>
      <c r="K138" s="21">
        <f t="shared" si="20"/>
        <v>0</v>
      </c>
      <c r="L138" s="23">
        <f t="shared" si="21"/>
        <v>0</v>
      </c>
      <c r="M138" s="22">
        <f t="shared" si="22"/>
        <v>0</v>
      </c>
      <c r="N138" s="14">
        <f t="shared" si="24"/>
        <v>0</v>
      </c>
      <c r="O138" s="24">
        <f t="shared" si="25"/>
        <v>0</v>
      </c>
      <c r="P138" s="24">
        <f t="shared" si="26"/>
        <v>0</v>
      </c>
    </row>
    <row r="139" spans="1:16" x14ac:dyDescent="0.25">
      <c r="A139" s="15">
        <v>466</v>
      </c>
      <c r="B139" s="15">
        <v>1</v>
      </c>
      <c r="C139" s="16" t="s">
        <v>135</v>
      </c>
      <c r="D139">
        <v>0</v>
      </c>
      <c r="E139">
        <v>2420.3219999999997</v>
      </c>
      <c r="F139">
        <v>2266</v>
      </c>
      <c r="G139">
        <v>85.490000000000009</v>
      </c>
      <c r="H139" s="13">
        <f t="shared" si="19"/>
        <v>3.7727272727272734E-2</v>
      </c>
      <c r="I139" s="9">
        <f t="shared" si="23"/>
        <v>31959.251863636367</v>
      </c>
      <c r="J139">
        <v>0</v>
      </c>
      <c r="K139" s="21">
        <f t="shared" si="20"/>
        <v>0</v>
      </c>
      <c r="L139" s="23">
        <f t="shared" si="21"/>
        <v>0</v>
      </c>
      <c r="M139" s="22">
        <f t="shared" si="22"/>
        <v>0</v>
      </c>
      <c r="N139" s="14">
        <f t="shared" si="24"/>
        <v>0</v>
      </c>
      <c r="O139" s="24">
        <f t="shared" si="25"/>
        <v>0</v>
      </c>
      <c r="P139" s="24">
        <f t="shared" si="26"/>
        <v>0</v>
      </c>
    </row>
    <row r="140" spans="1:16" x14ac:dyDescent="0.25">
      <c r="A140" s="15">
        <v>473</v>
      </c>
      <c r="B140" s="15">
        <v>1</v>
      </c>
      <c r="C140" s="16" t="s">
        <v>136</v>
      </c>
      <c r="D140">
        <v>0</v>
      </c>
      <c r="E140">
        <v>524.73200000000008</v>
      </c>
      <c r="F140">
        <v>499</v>
      </c>
      <c r="G140">
        <v>61.800000000000004</v>
      </c>
      <c r="H140" s="13">
        <f t="shared" si="19"/>
        <v>0.12384769539078157</v>
      </c>
      <c r="I140" s="9">
        <f t="shared" si="23"/>
        <v>22745.397114228464</v>
      </c>
      <c r="J140">
        <v>0</v>
      </c>
      <c r="K140" s="21">
        <f t="shared" si="20"/>
        <v>0</v>
      </c>
      <c r="L140" s="23">
        <f t="shared" si="21"/>
        <v>0</v>
      </c>
      <c r="M140" s="22">
        <f t="shared" si="22"/>
        <v>0</v>
      </c>
      <c r="N140" s="14">
        <f t="shared" si="24"/>
        <v>0</v>
      </c>
      <c r="O140" s="24">
        <f t="shared" si="25"/>
        <v>0</v>
      </c>
      <c r="P140" s="24">
        <f t="shared" si="26"/>
        <v>0</v>
      </c>
    </row>
    <row r="141" spans="1:16" x14ac:dyDescent="0.25">
      <c r="A141" s="15">
        <v>477</v>
      </c>
      <c r="B141" s="15">
        <v>1</v>
      </c>
      <c r="C141" s="16" t="s">
        <v>137</v>
      </c>
      <c r="D141">
        <v>0</v>
      </c>
      <c r="E141">
        <v>3544.0859999999998</v>
      </c>
      <c r="F141">
        <v>3269</v>
      </c>
      <c r="G141">
        <v>155.53</v>
      </c>
      <c r="H141" s="13">
        <f t="shared" si="19"/>
        <v>4.7577240746405632E-2</v>
      </c>
      <c r="I141" s="9">
        <f t="shared" si="23"/>
        <v>59016.241496788003</v>
      </c>
      <c r="J141">
        <v>0</v>
      </c>
      <c r="K141" s="21">
        <f t="shared" si="20"/>
        <v>0</v>
      </c>
      <c r="L141" s="23">
        <f t="shared" si="21"/>
        <v>0</v>
      </c>
      <c r="M141" s="22">
        <f t="shared" si="22"/>
        <v>0</v>
      </c>
      <c r="N141" s="14">
        <f t="shared" si="24"/>
        <v>0</v>
      </c>
      <c r="O141" s="24">
        <f t="shared" si="25"/>
        <v>0</v>
      </c>
      <c r="P141" s="24">
        <f t="shared" si="26"/>
        <v>0</v>
      </c>
    </row>
    <row r="142" spans="1:16" x14ac:dyDescent="0.25">
      <c r="A142" s="15">
        <v>480</v>
      </c>
      <c r="B142" s="15">
        <v>1</v>
      </c>
      <c r="C142" s="16" t="s">
        <v>138</v>
      </c>
      <c r="D142">
        <v>0</v>
      </c>
      <c r="E142">
        <v>630.09350000000006</v>
      </c>
      <c r="F142">
        <v>686</v>
      </c>
      <c r="G142">
        <v>284.28000000000003</v>
      </c>
      <c r="H142" s="13">
        <f t="shared" si="19"/>
        <v>0.41440233236151608</v>
      </c>
      <c r="I142" s="9">
        <f t="shared" si="23"/>
        <v>91389.275602040827</v>
      </c>
      <c r="J142">
        <v>0</v>
      </c>
      <c r="K142" s="21">
        <f t="shared" si="20"/>
        <v>0</v>
      </c>
      <c r="L142" s="23">
        <f t="shared" si="21"/>
        <v>0</v>
      </c>
      <c r="M142" s="22">
        <f t="shared" si="22"/>
        <v>0</v>
      </c>
      <c r="N142" s="14">
        <f t="shared" si="24"/>
        <v>0</v>
      </c>
      <c r="O142" s="24">
        <f t="shared" si="25"/>
        <v>0</v>
      </c>
      <c r="P142" s="24">
        <f t="shared" si="26"/>
        <v>0</v>
      </c>
    </row>
    <row r="143" spans="1:16" x14ac:dyDescent="0.25">
      <c r="A143" s="15">
        <v>482</v>
      </c>
      <c r="B143" s="15">
        <v>1</v>
      </c>
      <c r="C143" s="16" t="s">
        <v>139</v>
      </c>
      <c r="D143">
        <v>0</v>
      </c>
      <c r="E143">
        <v>2727.2879999999996</v>
      </c>
      <c r="F143">
        <v>2504</v>
      </c>
      <c r="G143">
        <v>152.44</v>
      </c>
      <c r="H143" s="13">
        <f t="shared" si="19"/>
        <v>6.0878594249201279E-2</v>
      </c>
      <c r="I143" s="9">
        <f t="shared" si="23"/>
        <v>58111.710843450477</v>
      </c>
      <c r="J143">
        <v>0</v>
      </c>
      <c r="K143" s="21">
        <f t="shared" si="20"/>
        <v>0</v>
      </c>
      <c r="L143" s="23">
        <f t="shared" si="21"/>
        <v>0</v>
      </c>
      <c r="M143" s="22">
        <f t="shared" si="22"/>
        <v>0</v>
      </c>
      <c r="N143" s="14">
        <f t="shared" si="24"/>
        <v>0</v>
      </c>
      <c r="O143" s="24">
        <f t="shared" si="25"/>
        <v>0</v>
      </c>
      <c r="P143" s="24">
        <f t="shared" si="26"/>
        <v>0</v>
      </c>
    </row>
    <row r="144" spans="1:16" x14ac:dyDescent="0.25">
      <c r="A144" s="15">
        <v>484</v>
      </c>
      <c r="B144" s="15">
        <v>1</v>
      </c>
      <c r="C144" s="16" t="s">
        <v>140</v>
      </c>
      <c r="D144">
        <v>0</v>
      </c>
      <c r="E144">
        <v>1248.8899999999999</v>
      </c>
      <c r="F144">
        <v>1117</v>
      </c>
      <c r="G144">
        <v>40.17</v>
      </c>
      <c r="H144" s="13">
        <f t="shared" si="19"/>
        <v>3.5962399283795882E-2</v>
      </c>
      <c r="I144" s="9">
        <f t="shared" si="23"/>
        <v>15719.57829453894</v>
      </c>
      <c r="J144">
        <v>0</v>
      </c>
      <c r="K144" s="21">
        <f t="shared" si="20"/>
        <v>0</v>
      </c>
      <c r="L144" s="23">
        <f t="shared" si="21"/>
        <v>0</v>
      </c>
      <c r="M144" s="22">
        <f t="shared" si="22"/>
        <v>0</v>
      </c>
      <c r="N144" s="14">
        <f t="shared" si="24"/>
        <v>0</v>
      </c>
      <c r="O144" s="24">
        <f t="shared" si="25"/>
        <v>0</v>
      </c>
      <c r="P144" s="24">
        <f t="shared" si="26"/>
        <v>0</v>
      </c>
    </row>
    <row r="145" spans="1:16" x14ac:dyDescent="0.25">
      <c r="A145" s="15">
        <v>485</v>
      </c>
      <c r="B145" s="15">
        <v>1</v>
      </c>
      <c r="C145" s="16" t="s">
        <v>141</v>
      </c>
      <c r="D145">
        <v>0</v>
      </c>
      <c r="E145">
        <v>904.52249999999992</v>
      </c>
      <c r="F145">
        <v>880</v>
      </c>
      <c r="G145">
        <v>23.69</v>
      </c>
      <c r="H145" s="13">
        <f t="shared" si="19"/>
        <v>2.6920454545454546E-2</v>
      </c>
      <c r="I145" s="9">
        <f t="shared" si="23"/>
        <v>8522.5548963068177</v>
      </c>
      <c r="J145">
        <v>0</v>
      </c>
      <c r="K145" s="21">
        <f t="shared" si="20"/>
        <v>0</v>
      </c>
      <c r="L145" s="23">
        <f t="shared" si="21"/>
        <v>0</v>
      </c>
      <c r="M145" s="22">
        <f t="shared" si="22"/>
        <v>0</v>
      </c>
      <c r="N145" s="14">
        <f t="shared" si="24"/>
        <v>0</v>
      </c>
      <c r="O145" s="24">
        <f t="shared" si="25"/>
        <v>0</v>
      </c>
      <c r="P145" s="24">
        <f t="shared" si="26"/>
        <v>0</v>
      </c>
    </row>
    <row r="146" spans="1:16" x14ac:dyDescent="0.25">
      <c r="A146" s="17">
        <v>486</v>
      </c>
      <c r="B146" s="17">
        <v>1</v>
      </c>
      <c r="C146" s="1" t="s">
        <v>142</v>
      </c>
      <c r="D146">
        <v>0</v>
      </c>
      <c r="E146">
        <v>292.06650000000002</v>
      </c>
      <c r="F146">
        <v>341</v>
      </c>
      <c r="G146">
        <v>5.15</v>
      </c>
      <c r="H146" s="13">
        <f t="shared" si="19"/>
        <v>1.5102639296187685E-2</v>
      </c>
      <c r="I146" s="9">
        <f t="shared" si="23"/>
        <v>1543.8412500000002</v>
      </c>
      <c r="J146">
        <v>0</v>
      </c>
      <c r="K146" s="21">
        <f t="shared" si="20"/>
        <v>0</v>
      </c>
      <c r="L146" s="23">
        <f t="shared" si="21"/>
        <v>0</v>
      </c>
      <c r="M146" s="22">
        <f t="shared" si="22"/>
        <v>0</v>
      </c>
      <c r="N146" s="14">
        <f t="shared" si="24"/>
        <v>0</v>
      </c>
      <c r="O146" s="24">
        <f t="shared" si="25"/>
        <v>0</v>
      </c>
      <c r="P146" s="24">
        <f t="shared" si="26"/>
        <v>0</v>
      </c>
    </row>
    <row r="147" spans="1:16" x14ac:dyDescent="0.25">
      <c r="A147" s="17">
        <v>487</v>
      </c>
      <c r="B147" s="17">
        <v>1</v>
      </c>
      <c r="C147" s="1" t="s">
        <v>143</v>
      </c>
      <c r="D147">
        <v>0</v>
      </c>
      <c r="E147">
        <v>365.91699999999997</v>
      </c>
      <c r="F147">
        <v>381</v>
      </c>
      <c r="G147">
        <v>11.33</v>
      </c>
      <c r="H147" s="13">
        <f t="shared" si="19"/>
        <v>2.9737532808398949E-2</v>
      </c>
      <c r="I147" s="9">
        <f t="shared" si="23"/>
        <v>3808.5140774278211</v>
      </c>
      <c r="J147">
        <v>0</v>
      </c>
      <c r="K147" s="21">
        <f t="shared" si="20"/>
        <v>0</v>
      </c>
      <c r="L147" s="23">
        <f t="shared" si="21"/>
        <v>0</v>
      </c>
      <c r="M147" s="22">
        <f t="shared" si="22"/>
        <v>0</v>
      </c>
      <c r="N147" s="14">
        <f t="shared" si="24"/>
        <v>0</v>
      </c>
      <c r="O147" s="24">
        <f t="shared" si="25"/>
        <v>0</v>
      </c>
      <c r="P147" s="24">
        <f t="shared" si="26"/>
        <v>0</v>
      </c>
    </row>
    <row r="148" spans="1:16" x14ac:dyDescent="0.25">
      <c r="A148" s="17">
        <v>492</v>
      </c>
      <c r="B148" s="17">
        <v>1</v>
      </c>
      <c r="C148" s="1" t="s">
        <v>144</v>
      </c>
      <c r="D148">
        <v>640993</v>
      </c>
      <c r="E148">
        <v>5146.1140000000005</v>
      </c>
      <c r="F148">
        <v>4582</v>
      </c>
      <c r="G148">
        <v>1729.3700000000001</v>
      </c>
      <c r="H148" s="13">
        <f t="shared" si="19"/>
        <v>0.37742688782191186</v>
      </c>
      <c r="I148" s="9">
        <f t="shared" si="23"/>
        <v>679798.62698886963</v>
      </c>
      <c r="J148">
        <v>0</v>
      </c>
      <c r="K148" s="21">
        <f t="shared" si="20"/>
        <v>51461.140000000007</v>
      </c>
      <c r="L148" s="23">
        <f t="shared" si="21"/>
        <v>731259.77</v>
      </c>
      <c r="M148" s="22">
        <f t="shared" si="22"/>
        <v>90266.770000000019</v>
      </c>
      <c r="N148" s="14">
        <f t="shared" si="24"/>
        <v>17.540763768544579</v>
      </c>
      <c r="O148" s="24">
        <f t="shared" si="25"/>
        <v>511881.83899999998</v>
      </c>
      <c r="P148" s="24">
        <f t="shared" si="26"/>
        <v>219377.93100000001</v>
      </c>
    </row>
    <row r="149" spans="1:16" x14ac:dyDescent="0.25">
      <c r="A149" s="15">
        <v>495</v>
      </c>
      <c r="B149" s="15">
        <v>1</v>
      </c>
      <c r="C149" s="16" t="s">
        <v>145</v>
      </c>
      <c r="D149">
        <v>0</v>
      </c>
      <c r="E149">
        <v>405.96550000000002</v>
      </c>
      <c r="F149">
        <v>402</v>
      </c>
      <c r="G149">
        <v>26.78</v>
      </c>
      <c r="H149" s="13">
        <f t="shared" si="19"/>
        <v>6.6616915422885573E-2</v>
      </c>
      <c r="I149" s="9">
        <f t="shared" si="23"/>
        <v>9465.45928233831</v>
      </c>
      <c r="J149">
        <v>0</v>
      </c>
      <c r="K149" s="21">
        <f t="shared" si="20"/>
        <v>0</v>
      </c>
      <c r="L149" s="23">
        <f t="shared" si="21"/>
        <v>0</v>
      </c>
      <c r="M149" s="22">
        <f t="shared" si="22"/>
        <v>0</v>
      </c>
      <c r="N149" s="14">
        <f t="shared" si="24"/>
        <v>0</v>
      </c>
      <c r="O149" s="24">
        <f t="shared" si="25"/>
        <v>0</v>
      </c>
      <c r="P149" s="24">
        <f t="shared" si="26"/>
        <v>0</v>
      </c>
    </row>
    <row r="150" spans="1:16" x14ac:dyDescent="0.25">
      <c r="A150" s="17">
        <v>497</v>
      </c>
      <c r="B150" s="17">
        <v>1</v>
      </c>
      <c r="C150" s="1" t="s">
        <v>146</v>
      </c>
      <c r="D150">
        <v>20400</v>
      </c>
      <c r="E150">
        <v>244.34700000000001</v>
      </c>
      <c r="F150">
        <v>240</v>
      </c>
      <c r="G150">
        <v>8.24</v>
      </c>
      <c r="H150" s="13">
        <f t="shared" si="19"/>
        <v>3.4333333333333334E-2</v>
      </c>
      <c r="I150" s="9">
        <f t="shared" si="23"/>
        <v>2936.2364500000003</v>
      </c>
      <c r="J150">
        <v>11459.654349</v>
      </c>
      <c r="K150" s="21">
        <f t="shared" si="20"/>
        <v>2443.4700000000003</v>
      </c>
      <c r="L150" s="23">
        <f t="shared" si="21"/>
        <v>16839.36</v>
      </c>
      <c r="M150" s="22">
        <f t="shared" si="22"/>
        <v>-3560.6399999999994</v>
      </c>
      <c r="N150" s="14">
        <f t="shared" si="24"/>
        <v>-14.572063499858805</v>
      </c>
      <c r="O150" s="24">
        <f t="shared" si="25"/>
        <v>11787.552</v>
      </c>
      <c r="P150" s="24">
        <f t="shared" si="26"/>
        <v>5051.808</v>
      </c>
    </row>
    <row r="151" spans="1:16" x14ac:dyDescent="0.25">
      <c r="A151" s="15">
        <v>499</v>
      </c>
      <c r="B151" s="15">
        <v>1</v>
      </c>
      <c r="C151" s="16" t="s">
        <v>147</v>
      </c>
      <c r="D151">
        <v>0</v>
      </c>
      <c r="E151">
        <v>311.19400000000002</v>
      </c>
      <c r="F151">
        <v>294</v>
      </c>
      <c r="G151">
        <v>18.54</v>
      </c>
      <c r="H151" s="13">
        <f t="shared" si="19"/>
        <v>6.3061224489795911E-2</v>
      </c>
      <c r="I151" s="9">
        <f t="shared" si="23"/>
        <v>6868.4961428571423</v>
      </c>
      <c r="J151">
        <v>0</v>
      </c>
      <c r="K151" s="21">
        <f t="shared" si="20"/>
        <v>0</v>
      </c>
      <c r="L151" s="23">
        <f t="shared" si="21"/>
        <v>0</v>
      </c>
      <c r="M151" s="22">
        <f t="shared" si="22"/>
        <v>0</v>
      </c>
      <c r="N151" s="14">
        <f t="shared" si="24"/>
        <v>0</v>
      </c>
      <c r="O151" s="24">
        <f t="shared" si="25"/>
        <v>0</v>
      </c>
      <c r="P151" s="24">
        <f t="shared" si="26"/>
        <v>0</v>
      </c>
    </row>
    <row r="152" spans="1:16" x14ac:dyDescent="0.25">
      <c r="A152" s="17">
        <v>500</v>
      </c>
      <c r="B152" s="17">
        <v>1</v>
      </c>
      <c r="C152" s="1" t="s">
        <v>148</v>
      </c>
      <c r="D152">
        <v>42329</v>
      </c>
      <c r="E152">
        <v>450.18550000000005</v>
      </c>
      <c r="F152">
        <v>507</v>
      </c>
      <c r="G152">
        <v>30.900000000000002</v>
      </c>
      <c r="H152" s="13">
        <f t="shared" si="19"/>
        <v>6.0946745562130179E-2</v>
      </c>
      <c r="I152" s="9">
        <f t="shared" si="23"/>
        <v>9603.0693934911269</v>
      </c>
      <c r="J152">
        <v>20791.666617159764</v>
      </c>
      <c r="K152" s="21">
        <f t="shared" si="20"/>
        <v>4501.8550000000005</v>
      </c>
      <c r="L152" s="23">
        <f t="shared" si="21"/>
        <v>34896.589999999997</v>
      </c>
      <c r="M152" s="22">
        <f t="shared" si="22"/>
        <v>-7432.4100000000035</v>
      </c>
      <c r="N152" s="14">
        <f t="shared" si="24"/>
        <v>-16.509661017513899</v>
      </c>
      <c r="O152" s="24">
        <f t="shared" si="25"/>
        <v>24427.612999999998</v>
      </c>
      <c r="P152" s="24">
        <f t="shared" si="26"/>
        <v>10468.976999999999</v>
      </c>
    </row>
    <row r="153" spans="1:16" x14ac:dyDescent="0.25">
      <c r="A153" s="17">
        <v>505</v>
      </c>
      <c r="B153" s="17">
        <v>1</v>
      </c>
      <c r="C153" s="1" t="s">
        <v>149</v>
      </c>
      <c r="D153">
        <v>32108</v>
      </c>
      <c r="E153">
        <v>344.97100000000006</v>
      </c>
      <c r="F153">
        <v>302</v>
      </c>
      <c r="G153">
        <v>18.54</v>
      </c>
      <c r="H153" s="13">
        <f t="shared" si="19"/>
        <v>6.1390728476821192E-2</v>
      </c>
      <c r="I153" s="9">
        <f t="shared" si="23"/>
        <v>7412.3073476821201</v>
      </c>
      <c r="J153">
        <v>15762.840549536426</v>
      </c>
      <c r="K153" s="21">
        <f t="shared" si="20"/>
        <v>3449.7100000000005</v>
      </c>
      <c r="L153" s="23">
        <f t="shared" si="21"/>
        <v>26624.86</v>
      </c>
      <c r="M153" s="22">
        <f t="shared" si="22"/>
        <v>-5483.1399999999994</v>
      </c>
      <c r="N153" s="14">
        <f t="shared" si="24"/>
        <v>-15.894495479330143</v>
      </c>
      <c r="O153" s="24">
        <f t="shared" si="25"/>
        <v>18637.401999999998</v>
      </c>
      <c r="P153" s="24">
        <f t="shared" si="26"/>
        <v>7987.4579999999996</v>
      </c>
    </row>
    <row r="154" spans="1:16" x14ac:dyDescent="0.25">
      <c r="A154" s="17">
        <v>507</v>
      </c>
      <c r="B154" s="17">
        <v>1</v>
      </c>
      <c r="C154" s="1" t="s">
        <v>150</v>
      </c>
      <c r="D154">
        <v>32776</v>
      </c>
      <c r="E154">
        <v>383.73200000000008</v>
      </c>
      <c r="F154">
        <v>330</v>
      </c>
      <c r="G154">
        <v>11.33</v>
      </c>
      <c r="H154" s="13">
        <f t="shared" si="19"/>
        <v>3.4333333333333334E-2</v>
      </c>
      <c r="I154" s="9">
        <f t="shared" si="23"/>
        <v>4611.1795333333339</v>
      </c>
      <c r="J154">
        <v>18648.572855000002</v>
      </c>
      <c r="K154" s="21">
        <f t="shared" si="20"/>
        <v>3837.3200000000006</v>
      </c>
      <c r="L154" s="23">
        <f t="shared" si="21"/>
        <v>27097.07</v>
      </c>
      <c r="M154" s="22">
        <f t="shared" si="22"/>
        <v>-5678.93</v>
      </c>
      <c r="N154" s="14">
        <f t="shared" si="24"/>
        <v>-14.79920882282426</v>
      </c>
      <c r="O154" s="24">
        <f t="shared" si="25"/>
        <v>18967.948999999997</v>
      </c>
      <c r="P154" s="24">
        <f t="shared" si="26"/>
        <v>8129.1209999999992</v>
      </c>
    </row>
    <row r="155" spans="1:16" x14ac:dyDescent="0.25">
      <c r="A155" s="15">
        <v>508</v>
      </c>
      <c r="B155" s="15">
        <v>1</v>
      </c>
      <c r="C155" s="16" t="s">
        <v>151</v>
      </c>
      <c r="D155">
        <v>0</v>
      </c>
      <c r="E155">
        <v>2123.1960000000004</v>
      </c>
      <c r="F155">
        <v>1946</v>
      </c>
      <c r="G155">
        <v>395.52</v>
      </c>
      <c r="H155" s="13">
        <f t="shared" si="19"/>
        <v>0.20324768756423431</v>
      </c>
      <c r="I155" s="9">
        <f t="shared" si="23"/>
        <v>151037.13703597125</v>
      </c>
      <c r="J155">
        <v>0</v>
      </c>
      <c r="K155" s="21">
        <f t="shared" si="20"/>
        <v>0</v>
      </c>
      <c r="L155" s="23">
        <f t="shared" si="21"/>
        <v>0</v>
      </c>
      <c r="M155" s="22">
        <f t="shared" si="22"/>
        <v>0</v>
      </c>
      <c r="N155" s="14">
        <f t="shared" si="24"/>
        <v>0</v>
      </c>
      <c r="O155" s="24">
        <f t="shared" si="25"/>
        <v>0</v>
      </c>
      <c r="P155" s="24">
        <f t="shared" si="26"/>
        <v>0</v>
      </c>
    </row>
    <row r="156" spans="1:16" x14ac:dyDescent="0.25">
      <c r="A156" s="17">
        <v>511</v>
      </c>
      <c r="B156" s="17">
        <v>1</v>
      </c>
      <c r="C156" s="1" t="s">
        <v>152</v>
      </c>
      <c r="D156">
        <v>58788</v>
      </c>
      <c r="E156">
        <v>651.60400000000016</v>
      </c>
      <c r="F156">
        <v>612</v>
      </c>
      <c r="G156">
        <v>90.64</v>
      </c>
      <c r="H156" s="13">
        <f t="shared" si="19"/>
        <v>0.1481045751633987</v>
      </c>
      <c r="I156" s="9">
        <f t="shared" si="23"/>
        <v>33776.936758169941</v>
      </c>
      <c r="J156">
        <v>14966.353310980392</v>
      </c>
      <c r="K156" s="21">
        <f t="shared" si="20"/>
        <v>6516.0400000000018</v>
      </c>
      <c r="L156" s="23">
        <f t="shared" si="21"/>
        <v>55259.33</v>
      </c>
      <c r="M156" s="22">
        <f t="shared" si="22"/>
        <v>-3528.6699999999983</v>
      </c>
      <c r="N156" s="14">
        <f t="shared" si="24"/>
        <v>-5.4153596356068983</v>
      </c>
      <c r="O156" s="24">
        <f t="shared" si="25"/>
        <v>38681.530999999995</v>
      </c>
      <c r="P156" s="24">
        <f t="shared" si="26"/>
        <v>16577.798999999999</v>
      </c>
    </row>
    <row r="157" spans="1:16" x14ac:dyDescent="0.25">
      <c r="A157" s="17">
        <v>514</v>
      </c>
      <c r="B157" s="17">
        <v>1</v>
      </c>
      <c r="C157" s="1" t="s">
        <v>153</v>
      </c>
      <c r="D157">
        <v>17480</v>
      </c>
      <c r="E157">
        <v>158.48050000000001</v>
      </c>
      <c r="F157">
        <v>168</v>
      </c>
      <c r="G157">
        <v>4.12</v>
      </c>
      <c r="H157" s="13">
        <f t="shared" si="19"/>
        <v>2.4523809523809524E-2</v>
      </c>
      <c r="I157" s="9">
        <f t="shared" si="23"/>
        <v>1360.2909583333335</v>
      </c>
      <c r="J157">
        <v>10528.977250000002</v>
      </c>
      <c r="K157" s="21">
        <f t="shared" si="20"/>
        <v>1584.8050000000001</v>
      </c>
      <c r="L157" s="23">
        <f t="shared" si="21"/>
        <v>13474.07</v>
      </c>
      <c r="M157" s="22">
        <f t="shared" si="22"/>
        <v>-4005.9300000000003</v>
      </c>
      <c r="N157" s="14">
        <f t="shared" si="24"/>
        <v>-25.277116112076882</v>
      </c>
      <c r="O157" s="24">
        <f t="shared" si="25"/>
        <v>9431.8489999999983</v>
      </c>
      <c r="P157" s="24">
        <f t="shared" si="26"/>
        <v>4042.2209999999995</v>
      </c>
    </row>
    <row r="158" spans="1:16" x14ac:dyDescent="0.25">
      <c r="A158" s="17">
        <v>518</v>
      </c>
      <c r="B158" s="17">
        <v>1</v>
      </c>
      <c r="C158" s="1" t="s">
        <v>154</v>
      </c>
      <c r="D158">
        <v>379260</v>
      </c>
      <c r="E158">
        <v>2930.6305000000002</v>
      </c>
      <c r="F158">
        <v>2730</v>
      </c>
      <c r="G158">
        <v>1827.22</v>
      </c>
      <c r="H158" s="13">
        <f t="shared" si="19"/>
        <v>0.66931135531135533</v>
      </c>
      <c r="I158" s="9">
        <f t="shared" si="23"/>
        <v>686526.4951551283</v>
      </c>
      <c r="J158">
        <v>0</v>
      </c>
      <c r="K158" s="21">
        <f t="shared" si="20"/>
        <v>29306.305</v>
      </c>
      <c r="L158" s="23">
        <f t="shared" si="21"/>
        <v>715832.8</v>
      </c>
      <c r="M158" s="22">
        <f t="shared" si="22"/>
        <v>336572.80000000005</v>
      </c>
      <c r="N158" s="14">
        <f t="shared" si="24"/>
        <v>114.84654923232391</v>
      </c>
      <c r="O158" s="24">
        <f t="shared" si="25"/>
        <v>501082.96</v>
      </c>
      <c r="P158" s="24">
        <f t="shared" si="26"/>
        <v>214749.84</v>
      </c>
    </row>
    <row r="159" spans="1:16" x14ac:dyDescent="0.25">
      <c r="A159" s="17">
        <v>531</v>
      </c>
      <c r="B159" s="17">
        <v>1</v>
      </c>
      <c r="C159" s="1" t="s">
        <v>155</v>
      </c>
      <c r="D159">
        <v>13085</v>
      </c>
      <c r="E159">
        <v>1996.5240000000001</v>
      </c>
      <c r="F159">
        <v>1856</v>
      </c>
      <c r="G159">
        <v>92.7</v>
      </c>
      <c r="H159" s="13">
        <f t="shared" si="19"/>
        <v>4.9946120689655177E-2</v>
      </c>
      <c r="I159" s="9">
        <f t="shared" si="23"/>
        <v>34901.520032327586</v>
      </c>
      <c r="J159">
        <v>0</v>
      </c>
      <c r="K159" s="21">
        <f t="shared" si="20"/>
        <v>19965.240000000002</v>
      </c>
      <c r="L159" s="23">
        <f t="shared" si="21"/>
        <v>54866.76</v>
      </c>
      <c r="M159" s="22">
        <f t="shared" si="22"/>
        <v>41781.760000000002</v>
      </c>
      <c r="N159" s="14">
        <f t="shared" si="24"/>
        <v>20.927251563216871</v>
      </c>
      <c r="O159" s="24">
        <f t="shared" si="25"/>
        <v>38406.731999999996</v>
      </c>
      <c r="P159" s="24">
        <f t="shared" si="26"/>
        <v>16460.027999999998</v>
      </c>
    </row>
    <row r="160" spans="1:16" x14ac:dyDescent="0.25">
      <c r="A160" s="17">
        <v>533</v>
      </c>
      <c r="B160" s="17">
        <v>1</v>
      </c>
      <c r="C160" s="1" t="s">
        <v>156</v>
      </c>
      <c r="D160">
        <v>51313</v>
      </c>
      <c r="E160">
        <v>1293.7654999999997</v>
      </c>
      <c r="F160">
        <v>1153</v>
      </c>
      <c r="G160">
        <v>50.47</v>
      </c>
      <c r="H160" s="13">
        <f t="shared" si="19"/>
        <v>4.3772766695576754E-2</v>
      </c>
      <c r="I160" s="9">
        <f t="shared" si="23"/>
        <v>19821.093386600169</v>
      </c>
      <c r="J160">
        <v>20029.83848042498</v>
      </c>
      <c r="K160" s="21">
        <f t="shared" si="20"/>
        <v>12937.654999999997</v>
      </c>
      <c r="L160" s="23">
        <f t="shared" si="21"/>
        <v>52788.59</v>
      </c>
      <c r="M160" s="22">
        <f t="shared" si="22"/>
        <v>1475.5899999999965</v>
      </c>
      <c r="N160" s="14">
        <f t="shared" si="24"/>
        <v>1.1405389925763183</v>
      </c>
      <c r="O160" s="24">
        <f t="shared" si="25"/>
        <v>36952.012999999992</v>
      </c>
      <c r="P160" s="24">
        <f t="shared" si="26"/>
        <v>15836.576999999997</v>
      </c>
    </row>
    <row r="161" spans="1:16" x14ac:dyDescent="0.25">
      <c r="A161" s="17">
        <v>534</v>
      </c>
      <c r="B161" s="17">
        <v>1</v>
      </c>
      <c r="C161" s="1" t="s">
        <v>157</v>
      </c>
      <c r="D161">
        <v>79000</v>
      </c>
      <c r="E161">
        <v>2009.6714999999997</v>
      </c>
      <c r="F161">
        <v>1943</v>
      </c>
      <c r="G161">
        <v>96.820000000000007</v>
      </c>
      <c r="H161" s="13">
        <f t="shared" si="19"/>
        <v>4.9830159547092127E-2</v>
      </c>
      <c r="I161" s="9">
        <f t="shared" si="23"/>
        <v>35049.788018785381</v>
      </c>
      <c r="J161">
        <v>27554.041095069479</v>
      </c>
      <c r="K161" s="21">
        <f t="shared" si="20"/>
        <v>20096.714999999997</v>
      </c>
      <c r="L161" s="23">
        <f t="shared" si="21"/>
        <v>82700.539999999994</v>
      </c>
      <c r="M161" s="22">
        <f t="shared" si="22"/>
        <v>3700.5399999999936</v>
      </c>
      <c r="N161" s="14">
        <f t="shared" si="24"/>
        <v>1.8413656162213548</v>
      </c>
      <c r="O161" s="24">
        <f t="shared" si="25"/>
        <v>57890.37799999999</v>
      </c>
      <c r="P161" s="24">
        <f t="shared" si="26"/>
        <v>24810.161999999997</v>
      </c>
    </row>
    <row r="162" spans="1:16" x14ac:dyDescent="0.25">
      <c r="A162" s="17">
        <v>535</v>
      </c>
      <c r="B162" s="17">
        <v>1</v>
      </c>
      <c r="C162" s="1" t="s">
        <v>158</v>
      </c>
      <c r="D162">
        <v>2401140.21</v>
      </c>
      <c r="E162">
        <v>17899.245999999999</v>
      </c>
      <c r="F162">
        <v>16441</v>
      </c>
      <c r="G162">
        <v>5644.4000000000005</v>
      </c>
      <c r="H162" s="13">
        <f t="shared" si="19"/>
        <v>0.34331245058086496</v>
      </c>
      <c r="I162" s="9">
        <f t="shared" si="23"/>
        <v>2150761.9027334107</v>
      </c>
      <c r="J162">
        <v>140634.42173533258</v>
      </c>
      <c r="K162" s="21">
        <f t="shared" si="20"/>
        <v>178992.46</v>
      </c>
      <c r="L162" s="23">
        <f t="shared" si="21"/>
        <v>2470388.7799999998</v>
      </c>
      <c r="M162" s="22">
        <f t="shared" si="22"/>
        <v>69248.569999999832</v>
      </c>
      <c r="N162" s="14">
        <f t="shared" si="24"/>
        <v>3.8687981605482062</v>
      </c>
      <c r="O162" s="24">
        <f t="shared" si="25"/>
        <v>1729272.1459999997</v>
      </c>
      <c r="P162" s="24">
        <f t="shared" si="26"/>
        <v>741116.63399999996</v>
      </c>
    </row>
    <row r="163" spans="1:16" x14ac:dyDescent="0.25">
      <c r="A163" s="17">
        <v>542</v>
      </c>
      <c r="B163" s="17">
        <v>1</v>
      </c>
      <c r="C163" s="1" t="s">
        <v>159</v>
      </c>
      <c r="D163">
        <v>46781.3</v>
      </c>
      <c r="E163">
        <v>453.61750000000006</v>
      </c>
      <c r="F163">
        <v>447</v>
      </c>
      <c r="G163">
        <v>24.72</v>
      </c>
      <c r="H163" s="13">
        <f t="shared" si="19"/>
        <v>5.5302013422818791E-2</v>
      </c>
      <c r="I163" s="9">
        <f t="shared" si="23"/>
        <v>8780.086375838926</v>
      </c>
      <c r="J163">
        <v>24688.515675704701</v>
      </c>
      <c r="K163" s="21">
        <f t="shared" si="20"/>
        <v>4536.1750000000011</v>
      </c>
      <c r="L163" s="23">
        <f t="shared" si="21"/>
        <v>38004.78</v>
      </c>
      <c r="M163" s="22">
        <f t="shared" si="22"/>
        <v>-8776.5200000000041</v>
      </c>
      <c r="N163" s="14">
        <f t="shared" si="24"/>
        <v>-19.347842620710185</v>
      </c>
      <c r="O163" s="24">
        <f t="shared" si="25"/>
        <v>26603.345999999998</v>
      </c>
      <c r="P163" s="24">
        <f t="shared" si="26"/>
        <v>11401.433999999999</v>
      </c>
    </row>
    <row r="164" spans="1:16" x14ac:dyDescent="0.25">
      <c r="A164" s="17">
        <v>544</v>
      </c>
      <c r="B164" s="17">
        <v>1</v>
      </c>
      <c r="C164" s="1" t="s">
        <v>160</v>
      </c>
      <c r="D164">
        <v>270000</v>
      </c>
      <c r="E164">
        <v>2491.4074999999998</v>
      </c>
      <c r="F164">
        <v>2495</v>
      </c>
      <c r="G164">
        <v>216.3</v>
      </c>
      <c r="H164" s="13">
        <f t="shared" si="19"/>
        <v>8.6693386773547099E-2</v>
      </c>
      <c r="I164" s="9">
        <f t="shared" si="23"/>
        <v>75595.993902805611</v>
      </c>
      <c r="J164">
        <v>122414.60591134269</v>
      </c>
      <c r="K164" s="21">
        <f t="shared" si="20"/>
        <v>24914.074999999997</v>
      </c>
      <c r="L164" s="23">
        <f t="shared" si="21"/>
        <v>222924.67</v>
      </c>
      <c r="M164" s="22">
        <f t="shared" si="22"/>
        <v>-47075.329999999987</v>
      </c>
      <c r="N164" s="14">
        <f t="shared" si="24"/>
        <v>-18.895074370611788</v>
      </c>
      <c r="O164" s="24">
        <f t="shared" si="25"/>
        <v>156047.269</v>
      </c>
      <c r="P164" s="24">
        <f t="shared" si="26"/>
        <v>66877.400999999998</v>
      </c>
    </row>
    <row r="165" spans="1:16" x14ac:dyDescent="0.25">
      <c r="A165" s="15">
        <v>545</v>
      </c>
      <c r="B165" s="15">
        <v>1</v>
      </c>
      <c r="C165" s="16" t="s">
        <v>161</v>
      </c>
      <c r="D165">
        <v>0</v>
      </c>
      <c r="E165">
        <v>420.23</v>
      </c>
      <c r="F165">
        <v>376</v>
      </c>
      <c r="G165">
        <v>4.12</v>
      </c>
      <c r="H165" s="13">
        <f t="shared" si="19"/>
        <v>1.0957446808510638E-2</v>
      </c>
      <c r="I165" s="9">
        <f t="shared" si="23"/>
        <v>1611.626755319149</v>
      </c>
      <c r="J165">
        <v>0</v>
      </c>
      <c r="K165" s="21">
        <f t="shared" si="20"/>
        <v>0</v>
      </c>
      <c r="L165" s="23">
        <f t="shared" si="21"/>
        <v>0</v>
      </c>
      <c r="M165" s="22">
        <f t="shared" si="22"/>
        <v>0</v>
      </c>
      <c r="N165" s="14">
        <f t="shared" si="24"/>
        <v>0</v>
      </c>
      <c r="O165" s="24">
        <f t="shared" si="25"/>
        <v>0</v>
      </c>
      <c r="P165" s="24">
        <f t="shared" si="26"/>
        <v>0</v>
      </c>
    </row>
    <row r="166" spans="1:16" x14ac:dyDescent="0.25">
      <c r="A166" s="15">
        <v>547</v>
      </c>
      <c r="B166" s="15">
        <v>1</v>
      </c>
      <c r="C166" s="16" t="s">
        <v>162</v>
      </c>
      <c r="D166">
        <v>0</v>
      </c>
      <c r="E166">
        <v>511.85299999999995</v>
      </c>
      <c r="F166">
        <v>535</v>
      </c>
      <c r="G166">
        <v>12.36</v>
      </c>
      <c r="H166" s="13">
        <f t="shared" si="19"/>
        <v>2.3102803738317756E-2</v>
      </c>
      <c r="I166" s="9">
        <f t="shared" si="23"/>
        <v>4138.8337906542047</v>
      </c>
      <c r="J166">
        <v>0</v>
      </c>
      <c r="K166" s="21">
        <f t="shared" si="20"/>
        <v>0</v>
      </c>
      <c r="L166" s="23">
        <f t="shared" si="21"/>
        <v>0</v>
      </c>
      <c r="M166" s="22">
        <f t="shared" si="22"/>
        <v>0</v>
      </c>
      <c r="N166" s="14">
        <f t="shared" si="24"/>
        <v>0</v>
      </c>
      <c r="O166" s="24">
        <f t="shared" si="25"/>
        <v>0</v>
      </c>
      <c r="P166" s="24">
        <f t="shared" si="26"/>
        <v>0</v>
      </c>
    </row>
    <row r="167" spans="1:16" x14ac:dyDescent="0.25">
      <c r="A167" s="17">
        <v>548</v>
      </c>
      <c r="B167" s="17">
        <v>1</v>
      </c>
      <c r="C167" s="1" t="s">
        <v>163</v>
      </c>
      <c r="D167">
        <v>133782</v>
      </c>
      <c r="E167">
        <v>915.68899999999996</v>
      </c>
      <c r="F167">
        <v>913</v>
      </c>
      <c r="G167">
        <v>356.38</v>
      </c>
      <c r="H167" s="13">
        <f t="shared" si="19"/>
        <v>0.39033953997809417</v>
      </c>
      <c r="I167" s="9">
        <f t="shared" si="23"/>
        <v>125100.36805805037</v>
      </c>
      <c r="J167">
        <v>0</v>
      </c>
      <c r="K167" s="21">
        <f t="shared" si="20"/>
        <v>9156.89</v>
      </c>
      <c r="L167" s="23">
        <f t="shared" si="21"/>
        <v>134257.26</v>
      </c>
      <c r="M167" s="22">
        <f t="shared" si="22"/>
        <v>475.26000000000931</v>
      </c>
      <c r="N167" s="14">
        <f t="shared" si="24"/>
        <v>0.51901901191344368</v>
      </c>
      <c r="O167" s="24">
        <f t="shared" si="25"/>
        <v>93980.081999999995</v>
      </c>
      <c r="P167" s="24">
        <f t="shared" si="26"/>
        <v>40277.178</v>
      </c>
    </row>
    <row r="168" spans="1:16" x14ac:dyDescent="0.25">
      <c r="A168" s="17">
        <v>549</v>
      </c>
      <c r="B168" s="17">
        <v>1</v>
      </c>
      <c r="C168" s="1" t="s">
        <v>164</v>
      </c>
      <c r="D168">
        <v>143944.12</v>
      </c>
      <c r="E168">
        <v>1369.011</v>
      </c>
      <c r="F168">
        <v>1357</v>
      </c>
      <c r="G168">
        <v>114.33</v>
      </c>
      <c r="H168" s="13">
        <f t="shared" si="19"/>
        <v>8.425202652910832E-2</v>
      </c>
      <c r="I168" s="9">
        <f t="shared" si="23"/>
        <v>40369.682881724388</v>
      </c>
      <c r="J168">
        <v>67160.41539654386</v>
      </c>
      <c r="K168" s="21">
        <f t="shared" si="20"/>
        <v>13690.11</v>
      </c>
      <c r="L168" s="23">
        <f t="shared" si="21"/>
        <v>121220.21</v>
      </c>
      <c r="M168" s="22">
        <f t="shared" si="22"/>
        <v>-22723.909999999989</v>
      </c>
      <c r="N168" s="14">
        <f t="shared" si="24"/>
        <v>-16.598778242103233</v>
      </c>
      <c r="O168" s="24">
        <f t="shared" si="25"/>
        <v>84854.146999999997</v>
      </c>
      <c r="P168" s="24">
        <f t="shared" si="26"/>
        <v>36366.063000000002</v>
      </c>
    </row>
    <row r="169" spans="1:16" x14ac:dyDescent="0.25">
      <c r="A169" s="17">
        <v>550</v>
      </c>
      <c r="B169" s="17">
        <v>1</v>
      </c>
      <c r="C169" s="1" t="s">
        <v>165</v>
      </c>
      <c r="D169">
        <v>38728.300000000003</v>
      </c>
      <c r="E169">
        <v>571.78049999999996</v>
      </c>
      <c r="F169">
        <v>601</v>
      </c>
      <c r="G169">
        <v>19.57</v>
      </c>
      <c r="H169" s="13">
        <f t="shared" si="19"/>
        <v>3.2562396006655572E-2</v>
      </c>
      <c r="I169" s="9">
        <f t="shared" si="23"/>
        <v>6516.4900744592342</v>
      </c>
      <c r="J169">
        <v>20979.347419217971</v>
      </c>
      <c r="K169" s="21">
        <f t="shared" si="20"/>
        <v>5717.8049999999994</v>
      </c>
      <c r="L169" s="23">
        <f t="shared" si="21"/>
        <v>33213.64</v>
      </c>
      <c r="M169" s="22">
        <f t="shared" si="22"/>
        <v>-5514.6600000000035</v>
      </c>
      <c r="N169" s="14">
        <f t="shared" si="24"/>
        <v>-9.6447150611117447</v>
      </c>
      <c r="O169" s="24">
        <f t="shared" si="25"/>
        <v>23249.547999999999</v>
      </c>
      <c r="P169" s="24">
        <f t="shared" si="26"/>
        <v>9964.0919999999987</v>
      </c>
    </row>
    <row r="170" spans="1:16" x14ac:dyDescent="0.25">
      <c r="A170" s="15">
        <v>553</v>
      </c>
      <c r="B170" s="15">
        <v>1</v>
      </c>
      <c r="C170" s="16" t="s">
        <v>166</v>
      </c>
      <c r="D170">
        <v>0</v>
      </c>
      <c r="E170">
        <v>796.52800000000002</v>
      </c>
      <c r="F170">
        <v>692</v>
      </c>
      <c r="G170">
        <v>27.810000000000002</v>
      </c>
      <c r="H170" s="13">
        <f t="shared" si="19"/>
        <v>4.0187861271676305E-2</v>
      </c>
      <c r="I170" s="9">
        <f t="shared" si="23"/>
        <v>11203.764867052025</v>
      </c>
      <c r="J170">
        <v>0</v>
      </c>
      <c r="K170" s="21">
        <f t="shared" si="20"/>
        <v>0</v>
      </c>
      <c r="L170" s="23">
        <f t="shared" si="21"/>
        <v>0</v>
      </c>
      <c r="M170" s="22">
        <f t="shared" si="22"/>
        <v>0</v>
      </c>
      <c r="N170" s="14">
        <f t="shared" si="24"/>
        <v>0</v>
      </c>
      <c r="O170" s="24">
        <f t="shared" si="25"/>
        <v>0</v>
      </c>
      <c r="P170" s="24">
        <f t="shared" si="26"/>
        <v>0</v>
      </c>
    </row>
    <row r="171" spans="1:16" x14ac:dyDescent="0.25">
      <c r="A171" s="15">
        <v>561</v>
      </c>
      <c r="B171" s="15">
        <v>1</v>
      </c>
      <c r="C171" s="16" t="s">
        <v>167</v>
      </c>
      <c r="D171">
        <v>0</v>
      </c>
      <c r="E171">
        <v>225.03200000000001</v>
      </c>
      <c r="F171">
        <v>175</v>
      </c>
      <c r="G171">
        <v>20.6</v>
      </c>
      <c r="H171" s="13">
        <f t="shared" si="19"/>
        <v>0.11771428571428572</v>
      </c>
      <c r="I171" s="9">
        <f t="shared" si="23"/>
        <v>9271.3184000000001</v>
      </c>
      <c r="J171">
        <v>0</v>
      </c>
      <c r="K171" s="21">
        <f t="shared" si="20"/>
        <v>0</v>
      </c>
      <c r="L171" s="23">
        <f t="shared" si="21"/>
        <v>0</v>
      </c>
      <c r="M171" s="22">
        <f t="shared" si="22"/>
        <v>0</v>
      </c>
      <c r="N171" s="14">
        <f t="shared" si="24"/>
        <v>0</v>
      </c>
      <c r="O171" s="24">
        <f t="shared" si="25"/>
        <v>0</v>
      </c>
      <c r="P171" s="24">
        <f t="shared" si="26"/>
        <v>0</v>
      </c>
    </row>
    <row r="172" spans="1:16" x14ac:dyDescent="0.25">
      <c r="A172" s="15">
        <v>564</v>
      </c>
      <c r="B172" s="15">
        <v>1</v>
      </c>
      <c r="C172" s="16" t="s">
        <v>168</v>
      </c>
      <c r="D172">
        <v>0</v>
      </c>
      <c r="E172">
        <v>2063.6534999999999</v>
      </c>
      <c r="F172">
        <v>1979</v>
      </c>
      <c r="G172">
        <v>270.89</v>
      </c>
      <c r="H172" s="13">
        <f t="shared" si="19"/>
        <v>0.1368822637695806</v>
      </c>
      <c r="I172" s="9">
        <f t="shared" si="23"/>
        <v>98867.146950606359</v>
      </c>
      <c r="J172">
        <v>0</v>
      </c>
      <c r="K172" s="21">
        <f t="shared" si="20"/>
        <v>0</v>
      </c>
      <c r="L172" s="23">
        <f t="shared" si="21"/>
        <v>0</v>
      </c>
      <c r="M172" s="22">
        <f t="shared" si="22"/>
        <v>0</v>
      </c>
      <c r="N172" s="14">
        <f t="shared" si="24"/>
        <v>0</v>
      </c>
      <c r="O172" s="24">
        <f t="shared" si="25"/>
        <v>0</v>
      </c>
      <c r="P172" s="24">
        <f t="shared" si="26"/>
        <v>0</v>
      </c>
    </row>
    <row r="173" spans="1:16" x14ac:dyDescent="0.25">
      <c r="A173" s="15">
        <v>577</v>
      </c>
      <c r="B173" s="15">
        <v>1</v>
      </c>
      <c r="C173" s="16" t="s">
        <v>169</v>
      </c>
      <c r="D173">
        <v>6000</v>
      </c>
      <c r="E173">
        <v>445.21600000000012</v>
      </c>
      <c r="F173">
        <v>448</v>
      </c>
      <c r="G173">
        <v>11.33</v>
      </c>
      <c r="H173" s="13">
        <f t="shared" si="19"/>
        <v>2.5290178571428571E-2</v>
      </c>
      <c r="I173" s="9">
        <f t="shared" si="23"/>
        <v>3940.8572500000009</v>
      </c>
      <c r="J173">
        <v>1167.7244803124997</v>
      </c>
      <c r="K173" s="21">
        <f t="shared" si="20"/>
        <v>4452.1600000000017</v>
      </c>
      <c r="L173" s="23">
        <f t="shared" si="21"/>
        <v>9560.74</v>
      </c>
      <c r="M173" s="22">
        <f t="shared" si="22"/>
        <v>3560.74</v>
      </c>
      <c r="N173" s="14">
        <f t="shared" si="24"/>
        <v>7.9977808524401608</v>
      </c>
      <c r="O173" s="24">
        <f t="shared" si="25"/>
        <v>6692.5179999999991</v>
      </c>
      <c r="P173" s="24">
        <f t="shared" si="26"/>
        <v>2868.2219999999998</v>
      </c>
    </row>
    <row r="174" spans="1:16" x14ac:dyDescent="0.25">
      <c r="A174" s="15">
        <v>578</v>
      </c>
      <c r="B174" s="15">
        <v>1</v>
      </c>
      <c r="C174" s="16" t="s">
        <v>170</v>
      </c>
      <c r="D174">
        <v>6000</v>
      </c>
      <c r="E174">
        <v>1861.5360000000001</v>
      </c>
      <c r="F174">
        <v>1679</v>
      </c>
      <c r="G174">
        <v>90.64</v>
      </c>
      <c r="H174" s="13">
        <f t="shared" si="19"/>
        <v>5.3984514592019056E-2</v>
      </c>
      <c r="I174" s="9">
        <f t="shared" si="23"/>
        <v>35172.941074449074</v>
      </c>
      <c r="J174">
        <v>0</v>
      </c>
      <c r="K174" s="21">
        <f t="shared" si="20"/>
        <v>18615.36</v>
      </c>
      <c r="L174" s="23">
        <f t="shared" si="21"/>
        <v>53788.3</v>
      </c>
      <c r="M174" s="22">
        <f t="shared" si="22"/>
        <v>47788.3</v>
      </c>
      <c r="N174" s="14">
        <f t="shared" si="24"/>
        <v>25.671434772145155</v>
      </c>
      <c r="O174" s="24">
        <f t="shared" si="25"/>
        <v>37651.81</v>
      </c>
      <c r="P174" s="24">
        <f t="shared" si="26"/>
        <v>16136.49</v>
      </c>
    </row>
    <row r="175" spans="1:16" x14ac:dyDescent="0.25">
      <c r="A175" s="15">
        <v>581</v>
      </c>
      <c r="B175" s="15">
        <v>1</v>
      </c>
      <c r="C175" s="16" t="s">
        <v>171</v>
      </c>
      <c r="D175">
        <v>0</v>
      </c>
      <c r="E175">
        <v>378.81400000000008</v>
      </c>
      <c r="F175">
        <v>343</v>
      </c>
      <c r="G175">
        <v>46.35</v>
      </c>
      <c r="H175" s="13">
        <f t="shared" si="19"/>
        <v>0.13513119533527698</v>
      </c>
      <c r="I175" s="9">
        <f t="shared" si="23"/>
        <v>17916.35602040817</v>
      </c>
      <c r="J175">
        <v>0</v>
      </c>
      <c r="K175" s="21">
        <f t="shared" si="20"/>
        <v>0</v>
      </c>
      <c r="L175" s="23">
        <f t="shared" si="21"/>
        <v>0</v>
      </c>
      <c r="M175" s="22">
        <f t="shared" si="22"/>
        <v>0</v>
      </c>
      <c r="N175" s="14">
        <f t="shared" si="24"/>
        <v>0</v>
      </c>
      <c r="O175" s="24">
        <f t="shared" si="25"/>
        <v>0</v>
      </c>
      <c r="P175" s="24">
        <f t="shared" si="26"/>
        <v>0</v>
      </c>
    </row>
    <row r="176" spans="1:16" x14ac:dyDescent="0.25">
      <c r="A176" s="15">
        <v>592</v>
      </c>
      <c r="B176" s="15">
        <v>1</v>
      </c>
      <c r="C176" s="16" t="s">
        <v>172</v>
      </c>
      <c r="D176">
        <v>0</v>
      </c>
      <c r="E176">
        <v>122.37899999999999</v>
      </c>
      <c r="F176">
        <v>174</v>
      </c>
      <c r="G176">
        <v>30.900000000000002</v>
      </c>
      <c r="H176" s="13">
        <f t="shared" si="19"/>
        <v>0.17758620689655175</v>
      </c>
      <c r="I176" s="9">
        <f t="shared" si="23"/>
        <v>7606.4878448275867</v>
      </c>
      <c r="J176">
        <v>0</v>
      </c>
      <c r="K176" s="21">
        <f t="shared" si="20"/>
        <v>0</v>
      </c>
      <c r="L176" s="23">
        <f t="shared" si="21"/>
        <v>0</v>
      </c>
      <c r="M176" s="22">
        <f t="shared" si="22"/>
        <v>0</v>
      </c>
      <c r="N176" s="14">
        <f t="shared" si="24"/>
        <v>0</v>
      </c>
      <c r="O176" s="24">
        <f t="shared" si="25"/>
        <v>0</v>
      </c>
      <c r="P176" s="24">
        <f t="shared" si="26"/>
        <v>0</v>
      </c>
    </row>
    <row r="177" spans="1:16" x14ac:dyDescent="0.25">
      <c r="A177" s="15">
        <v>593</v>
      </c>
      <c r="B177" s="15">
        <v>1</v>
      </c>
      <c r="C177" s="16" t="s">
        <v>173</v>
      </c>
      <c r="D177">
        <v>0</v>
      </c>
      <c r="E177">
        <v>1391.6560000000002</v>
      </c>
      <c r="F177">
        <v>1299</v>
      </c>
      <c r="G177">
        <v>306.94</v>
      </c>
      <c r="H177" s="13">
        <f t="shared" si="19"/>
        <v>0.23628945342571209</v>
      </c>
      <c r="I177" s="9">
        <f t="shared" si="23"/>
        <v>115091.77245881448</v>
      </c>
      <c r="J177">
        <v>0</v>
      </c>
      <c r="K177" s="21">
        <f t="shared" si="20"/>
        <v>0</v>
      </c>
      <c r="L177" s="23">
        <f t="shared" si="21"/>
        <v>0</v>
      </c>
      <c r="M177" s="22">
        <f t="shared" si="22"/>
        <v>0</v>
      </c>
      <c r="N177" s="14">
        <f t="shared" si="24"/>
        <v>0</v>
      </c>
      <c r="O177" s="24">
        <f t="shared" si="25"/>
        <v>0</v>
      </c>
      <c r="P177" s="24">
        <f t="shared" si="26"/>
        <v>0</v>
      </c>
    </row>
    <row r="178" spans="1:16" x14ac:dyDescent="0.25">
      <c r="A178" s="15">
        <v>595</v>
      </c>
      <c r="B178" s="15">
        <v>1</v>
      </c>
      <c r="C178" s="16" t="s">
        <v>174</v>
      </c>
      <c r="D178">
        <v>0</v>
      </c>
      <c r="E178">
        <v>1756.769</v>
      </c>
      <c r="F178">
        <v>1751</v>
      </c>
      <c r="G178">
        <v>258.53000000000003</v>
      </c>
      <c r="H178" s="13">
        <f t="shared" si="19"/>
        <v>0.14764705882352944</v>
      </c>
      <c r="I178" s="9">
        <f t="shared" si="23"/>
        <v>90783.62155882355</v>
      </c>
      <c r="J178">
        <v>0</v>
      </c>
      <c r="K178" s="21">
        <f t="shared" si="20"/>
        <v>0</v>
      </c>
      <c r="L178" s="23">
        <f t="shared" si="21"/>
        <v>0</v>
      </c>
      <c r="M178" s="22">
        <f t="shared" si="22"/>
        <v>0</v>
      </c>
      <c r="N178" s="14">
        <f t="shared" si="24"/>
        <v>0</v>
      </c>
      <c r="O178" s="24">
        <f t="shared" si="25"/>
        <v>0</v>
      </c>
      <c r="P178" s="24">
        <f t="shared" si="26"/>
        <v>0</v>
      </c>
    </row>
    <row r="179" spans="1:16" x14ac:dyDescent="0.25">
      <c r="A179" s="15">
        <v>599</v>
      </c>
      <c r="B179" s="15">
        <v>1</v>
      </c>
      <c r="C179" s="16" t="s">
        <v>175</v>
      </c>
      <c r="D179">
        <v>0</v>
      </c>
      <c r="E179">
        <v>474.04399999999998</v>
      </c>
      <c r="F179">
        <v>457</v>
      </c>
      <c r="G179">
        <v>29.87</v>
      </c>
      <c r="H179" s="13">
        <f t="shared" si="19"/>
        <v>6.5361050328227574E-2</v>
      </c>
      <c r="I179" s="9">
        <f t="shared" si="23"/>
        <v>10844.404809628009</v>
      </c>
      <c r="J179">
        <v>0</v>
      </c>
      <c r="K179" s="21">
        <f t="shared" si="20"/>
        <v>0</v>
      </c>
      <c r="L179" s="23">
        <f t="shared" si="21"/>
        <v>0</v>
      </c>
      <c r="M179" s="22">
        <f t="shared" si="22"/>
        <v>0</v>
      </c>
      <c r="N179" s="14">
        <f t="shared" si="24"/>
        <v>0</v>
      </c>
      <c r="O179" s="24">
        <f t="shared" si="25"/>
        <v>0</v>
      </c>
      <c r="P179" s="24">
        <f t="shared" si="26"/>
        <v>0</v>
      </c>
    </row>
    <row r="180" spans="1:16" x14ac:dyDescent="0.25">
      <c r="A180" s="15">
        <v>600</v>
      </c>
      <c r="B180" s="15">
        <v>1</v>
      </c>
      <c r="C180" s="16" t="s">
        <v>176</v>
      </c>
      <c r="D180">
        <v>0</v>
      </c>
      <c r="E180">
        <v>265.38299999999998</v>
      </c>
      <c r="F180">
        <v>259</v>
      </c>
      <c r="G180">
        <v>20.6</v>
      </c>
      <c r="H180" s="13">
        <f t="shared" si="19"/>
        <v>7.9536679536679547E-2</v>
      </c>
      <c r="I180" s="9">
        <f t="shared" si="23"/>
        <v>7387.6889189189196</v>
      </c>
      <c r="J180">
        <v>0</v>
      </c>
      <c r="K180" s="21">
        <f t="shared" si="20"/>
        <v>0</v>
      </c>
      <c r="L180" s="23">
        <f t="shared" si="21"/>
        <v>0</v>
      </c>
      <c r="M180" s="22">
        <f t="shared" si="22"/>
        <v>0</v>
      </c>
      <c r="N180" s="14">
        <f t="shared" si="24"/>
        <v>0</v>
      </c>
      <c r="O180" s="24">
        <f t="shared" si="25"/>
        <v>0</v>
      </c>
      <c r="P180" s="24">
        <f t="shared" si="26"/>
        <v>0</v>
      </c>
    </row>
    <row r="181" spans="1:16" x14ac:dyDescent="0.25">
      <c r="A181" s="15">
        <v>601</v>
      </c>
      <c r="B181" s="15">
        <v>1</v>
      </c>
      <c r="C181" s="16" t="s">
        <v>177</v>
      </c>
      <c r="D181">
        <v>0</v>
      </c>
      <c r="E181">
        <v>707.76800000000003</v>
      </c>
      <c r="F181">
        <v>678</v>
      </c>
      <c r="G181">
        <v>64.89</v>
      </c>
      <c r="H181" s="13">
        <f t="shared" si="19"/>
        <v>9.5707964601769918E-2</v>
      </c>
      <c r="I181" s="9">
        <f t="shared" si="23"/>
        <v>23708.662141592926</v>
      </c>
      <c r="J181">
        <v>0</v>
      </c>
      <c r="K181" s="21">
        <f t="shared" si="20"/>
        <v>0</v>
      </c>
      <c r="L181" s="23">
        <f t="shared" si="21"/>
        <v>0</v>
      </c>
      <c r="M181" s="22">
        <f t="shared" si="22"/>
        <v>0</v>
      </c>
      <c r="N181" s="14">
        <f t="shared" si="24"/>
        <v>0</v>
      </c>
      <c r="O181" s="24">
        <f t="shared" si="25"/>
        <v>0</v>
      </c>
      <c r="P181" s="24">
        <f t="shared" si="26"/>
        <v>0</v>
      </c>
    </row>
    <row r="182" spans="1:16" x14ac:dyDescent="0.25">
      <c r="A182" s="17">
        <v>621</v>
      </c>
      <c r="B182" s="17">
        <v>1</v>
      </c>
      <c r="C182" s="1" t="s">
        <v>178</v>
      </c>
      <c r="D182">
        <v>1467000</v>
      </c>
      <c r="E182">
        <v>11346.18</v>
      </c>
      <c r="F182">
        <v>10480</v>
      </c>
      <c r="G182">
        <v>3136.35</v>
      </c>
      <c r="H182" s="13">
        <f t="shared" si="19"/>
        <v>0.2992700381679389</v>
      </c>
      <c r="I182" s="9">
        <f t="shared" si="23"/>
        <v>1188450.1025811068</v>
      </c>
      <c r="J182">
        <v>194166.21303545302</v>
      </c>
      <c r="K182" s="21">
        <f t="shared" si="20"/>
        <v>113461.8</v>
      </c>
      <c r="L182" s="23">
        <f t="shared" si="21"/>
        <v>1496078.12</v>
      </c>
      <c r="M182" s="22">
        <f t="shared" si="22"/>
        <v>29078.120000000112</v>
      </c>
      <c r="N182" s="14">
        <f t="shared" si="24"/>
        <v>2.5628114484346369</v>
      </c>
      <c r="O182" s="24">
        <f t="shared" si="25"/>
        <v>1047254.684</v>
      </c>
      <c r="P182" s="24">
        <f t="shared" si="26"/>
        <v>448823.43600000005</v>
      </c>
    </row>
    <row r="183" spans="1:16" x14ac:dyDescent="0.25">
      <c r="A183" s="17">
        <v>622</v>
      </c>
      <c r="B183" s="17">
        <v>1</v>
      </c>
      <c r="C183" s="1" t="s">
        <v>179</v>
      </c>
      <c r="D183">
        <v>1700123.04</v>
      </c>
      <c r="E183">
        <v>12111.504000000001</v>
      </c>
      <c r="F183">
        <v>10715</v>
      </c>
      <c r="G183">
        <v>4902.8</v>
      </c>
      <c r="H183" s="13">
        <f t="shared" si="19"/>
        <v>0.45756416238917408</v>
      </c>
      <c r="I183" s="9">
        <f t="shared" si="23"/>
        <v>1939626.5640615963</v>
      </c>
      <c r="J183">
        <v>0</v>
      </c>
      <c r="K183" s="21">
        <f t="shared" si="20"/>
        <v>121115.04000000001</v>
      </c>
      <c r="L183" s="23">
        <f t="shared" si="21"/>
        <v>2060741.6</v>
      </c>
      <c r="M183" s="22">
        <f t="shared" si="22"/>
        <v>360618.56000000006</v>
      </c>
      <c r="N183" s="14">
        <f t="shared" si="24"/>
        <v>29.774878495684767</v>
      </c>
      <c r="O183" s="24">
        <f t="shared" si="25"/>
        <v>1442519.1199999999</v>
      </c>
      <c r="P183" s="24">
        <f t="shared" si="26"/>
        <v>618222.48</v>
      </c>
    </row>
    <row r="184" spans="1:16" x14ac:dyDescent="0.25">
      <c r="A184" s="17">
        <v>623</v>
      </c>
      <c r="B184" s="17">
        <v>1</v>
      </c>
      <c r="C184" s="1" t="s">
        <v>180</v>
      </c>
      <c r="D184">
        <v>1084473</v>
      </c>
      <c r="E184">
        <v>8005.2340000000004</v>
      </c>
      <c r="F184">
        <v>6998</v>
      </c>
      <c r="G184">
        <v>3212.57</v>
      </c>
      <c r="H184" s="13">
        <f t="shared" si="19"/>
        <v>0.45906973420977426</v>
      </c>
      <c r="I184" s="9">
        <f t="shared" si="23"/>
        <v>1286236.2256334668</v>
      </c>
      <c r="J184">
        <v>0</v>
      </c>
      <c r="K184" s="21">
        <f t="shared" si="20"/>
        <v>80052.34</v>
      </c>
      <c r="L184" s="23">
        <f t="shared" si="21"/>
        <v>1366288.57</v>
      </c>
      <c r="M184" s="22">
        <f t="shared" si="22"/>
        <v>281815.57000000007</v>
      </c>
      <c r="N184" s="14">
        <f t="shared" si="24"/>
        <v>35.203914089207146</v>
      </c>
      <c r="O184" s="24">
        <f t="shared" si="25"/>
        <v>956401.99899999995</v>
      </c>
      <c r="P184" s="24">
        <f t="shared" si="26"/>
        <v>409886.571</v>
      </c>
    </row>
    <row r="185" spans="1:16" x14ac:dyDescent="0.25">
      <c r="A185" s="17">
        <v>624</v>
      </c>
      <c r="B185" s="17">
        <v>1</v>
      </c>
      <c r="C185" s="1" t="s">
        <v>181</v>
      </c>
      <c r="D185">
        <v>872995</v>
      </c>
      <c r="E185">
        <v>8687.0159999999996</v>
      </c>
      <c r="F185">
        <v>8147</v>
      </c>
      <c r="G185">
        <v>1570.75</v>
      </c>
      <c r="H185" s="13">
        <f t="shared" si="19"/>
        <v>0.19280103105437585</v>
      </c>
      <c r="I185" s="9">
        <f t="shared" si="23"/>
        <v>586202.97455505095</v>
      </c>
      <c r="J185">
        <v>172898.23628835761</v>
      </c>
      <c r="K185" s="21">
        <f t="shared" si="20"/>
        <v>86870.16</v>
      </c>
      <c r="L185" s="23">
        <f t="shared" si="21"/>
        <v>845971.37</v>
      </c>
      <c r="M185" s="22">
        <f t="shared" si="22"/>
        <v>-27023.630000000005</v>
      </c>
      <c r="N185" s="14">
        <f t="shared" si="24"/>
        <v>-3.1108069790593231</v>
      </c>
      <c r="O185" s="24">
        <f t="shared" si="25"/>
        <v>592179.95899999992</v>
      </c>
      <c r="P185" s="24">
        <f t="shared" si="26"/>
        <v>253791.41099999999</v>
      </c>
    </row>
    <row r="186" spans="1:16" x14ac:dyDescent="0.25">
      <c r="A186" s="17">
        <v>625</v>
      </c>
      <c r="B186" s="17">
        <v>1</v>
      </c>
      <c r="C186" s="1" t="s">
        <v>182</v>
      </c>
      <c r="D186">
        <v>19535215.199999999</v>
      </c>
      <c r="E186">
        <v>45510.91</v>
      </c>
      <c r="F186">
        <v>37913</v>
      </c>
      <c r="G186">
        <v>29813.350000000002</v>
      </c>
      <c r="H186" s="13">
        <f t="shared" si="19"/>
        <v>0.78636219766307081</v>
      </c>
      <c r="I186" s="9">
        <f t="shared" si="23"/>
        <v>12525820.721836181</v>
      </c>
      <c r="J186">
        <v>5002443.6816363763</v>
      </c>
      <c r="K186" s="21">
        <f t="shared" si="20"/>
        <v>455109.10000000003</v>
      </c>
      <c r="L186" s="23">
        <f t="shared" si="21"/>
        <v>17983373.5</v>
      </c>
      <c r="M186" s="22">
        <f t="shared" si="22"/>
        <v>-1551841.6999999993</v>
      </c>
      <c r="N186" s="14">
        <f t="shared" si="24"/>
        <v>-34.098234906750911</v>
      </c>
      <c r="O186" s="24">
        <f t="shared" si="25"/>
        <v>12588361.449999999</v>
      </c>
      <c r="P186" s="24">
        <f t="shared" si="26"/>
        <v>5395012.0499999998</v>
      </c>
    </row>
    <row r="187" spans="1:16" x14ac:dyDescent="0.25">
      <c r="A187" s="15">
        <v>630</v>
      </c>
      <c r="B187" s="15">
        <v>1</v>
      </c>
      <c r="C187" s="16" t="s">
        <v>183</v>
      </c>
      <c r="D187">
        <v>0</v>
      </c>
      <c r="E187">
        <v>396.49399999999997</v>
      </c>
      <c r="F187">
        <v>372</v>
      </c>
      <c r="G187">
        <v>36.050000000000004</v>
      </c>
      <c r="H187" s="13">
        <f t="shared" si="19"/>
        <v>9.6908602150537648E-2</v>
      </c>
      <c r="I187" s="9">
        <f t="shared" si="23"/>
        <v>13448.287755376346</v>
      </c>
      <c r="J187">
        <v>0</v>
      </c>
      <c r="K187" s="21">
        <f t="shared" si="20"/>
        <v>0</v>
      </c>
      <c r="L187" s="23">
        <f t="shared" si="21"/>
        <v>0</v>
      </c>
      <c r="M187" s="22">
        <f t="shared" si="22"/>
        <v>0</v>
      </c>
      <c r="N187" s="14">
        <f t="shared" si="24"/>
        <v>0</v>
      </c>
      <c r="O187" s="24">
        <f t="shared" si="25"/>
        <v>0</v>
      </c>
      <c r="P187" s="24">
        <f t="shared" si="26"/>
        <v>0</v>
      </c>
    </row>
    <row r="188" spans="1:16" x14ac:dyDescent="0.25">
      <c r="A188" s="17">
        <v>635</v>
      </c>
      <c r="B188" s="17">
        <v>1</v>
      </c>
      <c r="C188" s="1" t="s">
        <v>184</v>
      </c>
      <c r="D188">
        <v>6472.2</v>
      </c>
      <c r="E188">
        <v>54.56</v>
      </c>
      <c r="F188">
        <v>27</v>
      </c>
      <c r="G188">
        <v>1.03</v>
      </c>
      <c r="H188" s="13">
        <f t="shared" si="19"/>
        <v>3.8148148148148146E-2</v>
      </c>
      <c r="I188" s="9">
        <f t="shared" si="23"/>
        <v>728.47703703703712</v>
      </c>
      <c r="J188">
        <v>3615.0659111111113</v>
      </c>
      <c r="K188" s="21">
        <f t="shared" si="20"/>
        <v>545.6</v>
      </c>
      <c r="L188" s="23">
        <f t="shared" si="21"/>
        <v>4889.1400000000003</v>
      </c>
      <c r="M188" s="22">
        <f t="shared" si="22"/>
        <v>-1583.0599999999995</v>
      </c>
      <c r="N188" s="14">
        <f t="shared" si="24"/>
        <v>-29.015029325513186</v>
      </c>
      <c r="O188" s="24">
        <f t="shared" si="25"/>
        <v>3422.3980000000001</v>
      </c>
      <c r="P188" s="24">
        <f t="shared" si="26"/>
        <v>1466.742</v>
      </c>
    </row>
    <row r="189" spans="1:16" x14ac:dyDescent="0.25">
      <c r="A189" s="17">
        <v>640</v>
      </c>
      <c r="B189" s="17">
        <v>1</v>
      </c>
      <c r="C189" s="1" t="s">
        <v>185</v>
      </c>
      <c r="D189">
        <v>40000</v>
      </c>
      <c r="E189">
        <v>412.26200000000006</v>
      </c>
      <c r="F189">
        <v>381</v>
      </c>
      <c r="G189">
        <v>11.33</v>
      </c>
      <c r="H189" s="13">
        <f t="shared" si="19"/>
        <v>2.9737532808398949E-2</v>
      </c>
      <c r="I189" s="9">
        <f t="shared" si="23"/>
        <v>4290.8791627296596</v>
      </c>
      <c r="J189">
        <v>23292.450303385831</v>
      </c>
      <c r="K189" s="21">
        <f t="shared" si="20"/>
        <v>4122.6200000000008</v>
      </c>
      <c r="L189" s="23">
        <f t="shared" si="21"/>
        <v>31705.95</v>
      </c>
      <c r="M189" s="22">
        <f t="shared" si="22"/>
        <v>-8294.0499999999993</v>
      </c>
      <c r="N189" s="14">
        <f t="shared" si="24"/>
        <v>-20.118395583391141</v>
      </c>
      <c r="O189" s="24">
        <f t="shared" si="25"/>
        <v>22194.165000000001</v>
      </c>
      <c r="P189" s="24">
        <f t="shared" si="26"/>
        <v>9511.7849999999999</v>
      </c>
    </row>
    <row r="190" spans="1:16" x14ac:dyDescent="0.25">
      <c r="A190" s="17">
        <v>656</v>
      </c>
      <c r="B190" s="17">
        <v>1</v>
      </c>
      <c r="C190" s="1" t="s">
        <v>186</v>
      </c>
      <c r="D190">
        <v>549574</v>
      </c>
      <c r="E190">
        <v>4014.6730000000007</v>
      </c>
      <c r="F190">
        <v>3953</v>
      </c>
      <c r="G190">
        <v>1378.14</v>
      </c>
      <c r="H190" s="13">
        <f t="shared" si="19"/>
        <v>0.34863141917530993</v>
      </c>
      <c r="I190" s="9">
        <f t="shared" si="23"/>
        <v>489874.40093017975</v>
      </c>
      <c r="J190">
        <v>19560.629161563265</v>
      </c>
      <c r="K190" s="21">
        <f t="shared" si="20"/>
        <v>40146.73000000001</v>
      </c>
      <c r="L190" s="23">
        <f t="shared" si="21"/>
        <v>549581.76</v>
      </c>
      <c r="M190" s="22">
        <f t="shared" si="22"/>
        <v>7.7600000000093132</v>
      </c>
      <c r="N190" s="14">
        <f t="shared" si="24"/>
        <v>1.9329096043461851E-3</v>
      </c>
      <c r="O190" s="24">
        <f t="shared" si="25"/>
        <v>384707.23199999996</v>
      </c>
      <c r="P190" s="24">
        <f t="shared" si="26"/>
        <v>164874.52799999999</v>
      </c>
    </row>
    <row r="191" spans="1:16" x14ac:dyDescent="0.25">
      <c r="A191" s="15">
        <v>659</v>
      </c>
      <c r="B191" s="15">
        <v>1</v>
      </c>
      <c r="C191" s="16" t="s">
        <v>187</v>
      </c>
      <c r="D191">
        <v>0</v>
      </c>
      <c r="E191">
        <v>4092.5440000000003</v>
      </c>
      <c r="F191">
        <v>3901</v>
      </c>
      <c r="G191">
        <v>656.11</v>
      </c>
      <c r="H191" s="13">
        <f t="shared" si="19"/>
        <v>0.16819020763906692</v>
      </c>
      <c r="I191" s="9">
        <f t="shared" si="23"/>
        <v>240914.03879620612</v>
      </c>
      <c r="J191">
        <v>0</v>
      </c>
      <c r="K191" s="21">
        <f t="shared" si="20"/>
        <v>0</v>
      </c>
      <c r="L191" s="23">
        <f t="shared" si="21"/>
        <v>0</v>
      </c>
      <c r="M191" s="22">
        <f t="shared" si="22"/>
        <v>0</v>
      </c>
      <c r="N191" s="14">
        <f t="shared" si="24"/>
        <v>0</v>
      </c>
      <c r="O191" s="24">
        <f t="shared" si="25"/>
        <v>0</v>
      </c>
      <c r="P191" s="24">
        <f t="shared" si="26"/>
        <v>0</v>
      </c>
    </row>
    <row r="192" spans="1:16" x14ac:dyDescent="0.25">
      <c r="A192" s="15">
        <v>671</v>
      </c>
      <c r="B192" s="15">
        <v>1</v>
      </c>
      <c r="C192" s="16" t="s">
        <v>188</v>
      </c>
      <c r="D192">
        <v>0</v>
      </c>
      <c r="E192">
        <v>379.91999999999996</v>
      </c>
      <c r="F192">
        <v>346</v>
      </c>
      <c r="G192">
        <v>8.24</v>
      </c>
      <c r="H192" s="13">
        <f t="shared" si="19"/>
        <v>2.3815028901734106E-2</v>
      </c>
      <c r="I192" s="9">
        <f t="shared" si="23"/>
        <v>3166.7320231213871</v>
      </c>
      <c r="J192">
        <v>0</v>
      </c>
      <c r="K192" s="21">
        <f t="shared" si="20"/>
        <v>0</v>
      </c>
      <c r="L192" s="23">
        <f t="shared" si="21"/>
        <v>0</v>
      </c>
      <c r="M192" s="22">
        <f t="shared" si="22"/>
        <v>0</v>
      </c>
      <c r="N192" s="14">
        <f t="shared" si="24"/>
        <v>0</v>
      </c>
      <c r="O192" s="24">
        <f t="shared" si="25"/>
        <v>0</v>
      </c>
      <c r="P192" s="24">
        <f t="shared" si="26"/>
        <v>0</v>
      </c>
    </row>
    <row r="193" spans="1:16" x14ac:dyDescent="0.25">
      <c r="A193" s="15">
        <v>676</v>
      </c>
      <c r="B193" s="15">
        <v>1</v>
      </c>
      <c r="C193" s="16" t="s">
        <v>189</v>
      </c>
      <c r="D193">
        <v>0</v>
      </c>
      <c r="E193">
        <v>218.01750000000001</v>
      </c>
      <c r="F193">
        <v>257</v>
      </c>
      <c r="G193">
        <v>11.33</v>
      </c>
      <c r="H193" s="13">
        <f t="shared" si="19"/>
        <v>4.4085603112840467E-2</v>
      </c>
      <c r="I193" s="9">
        <f t="shared" si="23"/>
        <v>3364.001541828794</v>
      </c>
      <c r="J193">
        <v>0</v>
      </c>
      <c r="K193" s="21">
        <f t="shared" si="20"/>
        <v>0</v>
      </c>
      <c r="L193" s="23">
        <f t="shared" si="21"/>
        <v>0</v>
      </c>
      <c r="M193" s="22">
        <f t="shared" si="22"/>
        <v>0</v>
      </c>
      <c r="N193" s="14">
        <f t="shared" si="24"/>
        <v>0</v>
      </c>
      <c r="O193" s="24">
        <f t="shared" si="25"/>
        <v>0</v>
      </c>
      <c r="P193" s="24">
        <f t="shared" si="26"/>
        <v>0</v>
      </c>
    </row>
    <row r="194" spans="1:16" x14ac:dyDescent="0.25">
      <c r="A194" s="15">
        <v>682</v>
      </c>
      <c r="B194" s="15">
        <v>1</v>
      </c>
      <c r="C194" s="16" t="s">
        <v>190</v>
      </c>
      <c r="D194">
        <v>0</v>
      </c>
      <c r="E194">
        <v>1348.6320000000001</v>
      </c>
      <c r="F194">
        <v>1238</v>
      </c>
      <c r="G194">
        <v>36.050000000000004</v>
      </c>
      <c r="H194" s="13">
        <f t="shared" si="19"/>
        <v>2.911954765751212E-2</v>
      </c>
      <c r="I194" s="9">
        <f t="shared" si="23"/>
        <v>13745.043828756061</v>
      </c>
      <c r="J194">
        <v>0</v>
      </c>
      <c r="K194" s="21">
        <f t="shared" si="20"/>
        <v>0</v>
      </c>
      <c r="L194" s="23">
        <f t="shared" si="21"/>
        <v>0</v>
      </c>
      <c r="M194" s="22">
        <f t="shared" si="22"/>
        <v>0</v>
      </c>
      <c r="N194" s="14">
        <f t="shared" si="24"/>
        <v>0</v>
      </c>
      <c r="O194" s="24">
        <f t="shared" si="25"/>
        <v>0</v>
      </c>
      <c r="P194" s="24">
        <f t="shared" si="26"/>
        <v>0</v>
      </c>
    </row>
    <row r="195" spans="1:16" x14ac:dyDescent="0.25">
      <c r="A195" s="15">
        <v>690</v>
      </c>
      <c r="B195" s="15">
        <v>1</v>
      </c>
      <c r="C195" s="16" t="s">
        <v>191</v>
      </c>
      <c r="D195">
        <v>0</v>
      </c>
      <c r="E195">
        <v>1028.3135</v>
      </c>
      <c r="F195">
        <v>999</v>
      </c>
      <c r="G195">
        <v>200.85</v>
      </c>
      <c r="H195" s="13">
        <f t="shared" si="19"/>
        <v>0.20105105105105103</v>
      </c>
      <c r="I195" s="9">
        <f t="shared" si="23"/>
        <v>72360.228494744733</v>
      </c>
      <c r="J195">
        <v>0</v>
      </c>
      <c r="K195" s="21">
        <f t="shared" si="20"/>
        <v>0</v>
      </c>
      <c r="L195" s="23">
        <f t="shared" si="21"/>
        <v>0</v>
      </c>
      <c r="M195" s="22">
        <f t="shared" si="22"/>
        <v>0</v>
      </c>
      <c r="N195" s="14">
        <f t="shared" si="24"/>
        <v>0</v>
      </c>
      <c r="O195" s="24">
        <f t="shared" si="25"/>
        <v>0</v>
      </c>
      <c r="P195" s="24">
        <f t="shared" si="26"/>
        <v>0</v>
      </c>
    </row>
    <row r="196" spans="1:16" x14ac:dyDescent="0.25">
      <c r="A196" s="15">
        <v>695</v>
      </c>
      <c r="B196" s="15">
        <v>1</v>
      </c>
      <c r="C196" s="16" t="s">
        <v>192</v>
      </c>
      <c r="D196">
        <v>0</v>
      </c>
      <c r="E196">
        <v>819.05399999999997</v>
      </c>
      <c r="F196">
        <v>754</v>
      </c>
      <c r="G196">
        <v>49.44</v>
      </c>
      <c r="H196" s="13">
        <f t="shared" si="19"/>
        <v>6.557029177718833E-2</v>
      </c>
      <c r="I196" s="9">
        <f t="shared" si="23"/>
        <v>18796.963416445622</v>
      </c>
      <c r="J196">
        <v>0</v>
      </c>
      <c r="K196" s="21">
        <f t="shared" si="20"/>
        <v>0</v>
      </c>
      <c r="L196" s="23">
        <f t="shared" si="21"/>
        <v>0</v>
      </c>
      <c r="M196" s="22">
        <f t="shared" si="22"/>
        <v>0</v>
      </c>
      <c r="N196" s="14">
        <f t="shared" si="24"/>
        <v>0</v>
      </c>
      <c r="O196" s="24">
        <f t="shared" si="25"/>
        <v>0</v>
      </c>
      <c r="P196" s="24">
        <f t="shared" si="26"/>
        <v>0</v>
      </c>
    </row>
    <row r="197" spans="1:16" x14ac:dyDescent="0.25">
      <c r="A197" s="15">
        <v>696</v>
      </c>
      <c r="B197" s="15">
        <v>1</v>
      </c>
      <c r="C197" s="16" t="s">
        <v>193</v>
      </c>
      <c r="D197">
        <v>0</v>
      </c>
      <c r="E197">
        <v>568.43349999999998</v>
      </c>
      <c r="F197">
        <v>556</v>
      </c>
      <c r="G197">
        <v>32.96</v>
      </c>
      <c r="H197" s="13">
        <f t="shared" si="19"/>
        <v>5.9280575539568343E-2</v>
      </c>
      <c r="I197" s="9">
        <f t="shared" si="23"/>
        <v>11793.972762589927</v>
      </c>
      <c r="J197">
        <v>0</v>
      </c>
      <c r="K197" s="21">
        <f t="shared" si="20"/>
        <v>0</v>
      </c>
      <c r="L197" s="23">
        <f t="shared" si="21"/>
        <v>0</v>
      </c>
      <c r="M197" s="22">
        <f t="shared" si="22"/>
        <v>0</v>
      </c>
      <c r="N197" s="14">
        <f t="shared" si="24"/>
        <v>0</v>
      </c>
      <c r="O197" s="24">
        <f t="shared" si="25"/>
        <v>0</v>
      </c>
      <c r="P197" s="24">
        <f t="shared" si="26"/>
        <v>0</v>
      </c>
    </row>
    <row r="198" spans="1:16" x14ac:dyDescent="0.25">
      <c r="A198" s="15">
        <v>698</v>
      </c>
      <c r="B198" s="15">
        <v>1</v>
      </c>
      <c r="C198" s="16" t="s">
        <v>194</v>
      </c>
      <c r="D198">
        <v>0</v>
      </c>
      <c r="E198">
        <v>273.81699999999995</v>
      </c>
      <c r="F198">
        <v>272</v>
      </c>
      <c r="G198">
        <v>7.21</v>
      </c>
      <c r="H198" s="13">
        <f t="shared" ref="H198:H261" si="27">IF(F198=0,0,G198/F198)</f>
        <v>2.6507352941176471E-2</v>
      </c>
      <c r="I198" s="9">
        <f t="shared" si="23"/>
        <v>2540.3573511029408</v>
      </c>
      <c r="J198">
        <v>0</v>
      </c>
      <c r="K198" s="21">
        <f t="shared" ref="K198:K261" si="28">IF(D198&gt;0,E198*10,0)</f>
        <v>0</v>
      </c>
      <c r="L198" s="23">
        <f t="shared" ref="L198:L261" si="29">IF(D198=0,0,ROUND(I198+J198+K198,2))</f>
        <v>0</v>
      </c>
      <c r="M198" s="22">
        <f t="shared" ref="M198:M261" si="30">L198-D198</f>
        <v>0</v>
      </c>
      <c r="N198" s="14">
        <f t="shared" si="24"/>
        <v>0</v>
      </c>
      <c r="O198" s="24">
        <f t="shared" si="25"/>
        <v>0</v>
      </c>
      <c r="P198" s="24">
        <f t="shared" si="26"/>
        <v>0</v>
      </c>
    </row>
    <row r="199" spans="1:16" x14ac:dyDescent="0.25">
      <c r="A199" s="15">
        <v>700</v>
      </c>
      <c r="B199" s="15">
        <v>1</v>
      </c>
      <c r="C199" s="16" t="s">
        <v>195</v>
      </c>
      <c r="D199">
        <v>0</v>
      </c>
      <c r="E199">
        <v>2113.3184999999999</v>
      </c>
      <c r="F199">
        <v>2070</v>
      </c>
      <c r="G199">
        <v>136.99</v>
      </c>
      <c r="H199" s="13">
        <f t="shared" si="27"/>
        <v>6.6178743961352662E-2</v>
      </c>
      <c r="I199" s="9">
        <f t="shared" ref="I199:I262" si="31">E199*H199*350</f>
        <v>48949.867372101449</v>
      </c>
      <c r="J199">
        <v>0</v>
      </c>
      <c r="K199" s="21">
        <f t="shared" si="28"/>
        <v>0</v>
      </c>
      <c r="L199" s="23">
        <f t="shared" si="29"/>
        <v>0</v>
      </c>
      <c r="M199" s="22">
        <f t="shared" si="30"/>
        <v>0</v>
      </c>
      <c r="N199" s="14">
        <f t="shared" ref="N199:N262" si="32">IF(E199=0,0,M199/E199)</f>
        <v>0</v>
      </c>
      <c r="O199" s="24">
        <f t="shared" si="25"/>
        <v>0</v>
      </c>
      <c r="P199" s="24">
        <f t="shared" si="26"/>
        <v>0</v>
      </c>
    </row>
    <row r="200" spans="1:16" x14ac:dyDescent="0.25">
      <c r="A200" s="15">
        <v>701</v>
      </c>
      <c r="B200" s="15">
        <v>1</v>
      </c>
      <c r="C200" s="16" t="s">
        <v>196</v>
      </c>
      <c r="D200">
        <v>0</v>
      </c>
      <c r="E200">
        <v>2566.1959999999999</v>
      </c>
      <c r="F200">
        <v>2431</v>
      </c>
      <c r="G200">
        <v>207.03</v>
      </c>
      <c r="H200" s="13">
        <f t="shared" si="27"/>
        <v>8.5162484574249284E-2</v>
      </c>
      <c r="I200" s="9">
        <f t="shared" si="31"/>
        <v>76490.269542575072</v>
      </c>
      <c r="J200">
        <v>0</v>
      </c>
      <c r="K200" s="21">
        <f t="shared" si="28"/>
        <v>0</v>
      </c>
      <c r="L200" s="23">
        <f t="shared" si="29"/>
        <v>0</v>
      </c>
      <c r="M200" s="22">
        <f t="shared" si="30"/>
        <v>0</v>
      </c>
      <c r="N200" s="14">
        <f t="shared" si="32"/>
        <v>0</v>
      </c>
      <c r="O200" s="24">
        <f t="shared" ref="O200:O263" si="33">0.7*L200</f>
        <v>0</v>
      </c>
      <c r="P200" s="24">
        <f t="shared" ref="P200:P263" si="34">0.3*L200</f>
        <v>0</v>
      </c>
    </row>
    <row r="201" spans="1:16" x14ac:dyDescent="0.25">
      <c r="A201" s="15">
        <v>704</v>
      </c>
      <c r="B201" s="15">
        <v>1</v>
      </c>
      <c r="C201" s="16" t="s">
        <v>197</v>
      </c>
      <c r="D201">
        <v>0</v>
      </c>
      <c r="E201">
        <v>1982.38</v>
      </c>
      <c r="F201">
        <v>1739</v>
      </c>
      <c r="G201">
        <v>77.25</v>
      </c>
      <c r="H201" s="13">
        <f t="shared" si="27"/>
        <v>4.4422081656124213E-2</v>
      </c>
      <c r="I201" s="9">
        <f t="shared" si="31"/>
        <v>30821.506181713634</v>
      </c>
      <c r="J201">
        <v>0</v>
      </c>
      <c r="K201" s="21">
        <f t="shared" si="28"/>
        <v>0</v>
      </c>
      <c r="L201" s="23">
        <f t="shared" si="29"/>
        <v>0</v>
      </c>
      <c r="M201" s="22">
        <f t="shared" si="30"/>
        <v>0</v>
      </c>
      <c r="N201" s="14">
        <f t="shared" si="32"/>
        <v>0</v>
      </c>
      <c r="O201" s="24">
        <f t="shared" si="33"/>
        <v>0</v>
      </c>
      <c r="P201" s="24">
        <f t="shared" si="34"/>
        <v>0</v>
      </c>
    </row>
    <row r="202" spans="1:16" x14ac:dyDescent="0.25">
      <c r="A202" s="15">
        <v>706</v>
      </c>
      <c r="B202" s="15">
        <v>1</v>
      </c>
      <c r="C202" s="16" t="s">
        <v>198</v>
      </c>
      <c r="D202">
        <v>0</v>
      </c>
      <c r="E202">
        <v>1909.1880000000001</v>
      </c>
      <c r="F202">
        <v>1695</v>
      </c>
      <c r="G202">
        <v>286.34000000000003</v>
      </c>
      <c r="H202" s="13">
        <f t="shared" si="27"/>
        <v>0.16893215339233039</v>
      </c>
      <c r="I202" s="9">
        <f t="shared" si="31"/>
        <v>112883.13402477876</v>
      </c>
      <c r="J202">
        <v>0</v>
      </c>
      <c r="K202" s="21">
        <f t="shared" si="28"/>
        <v>0</v>
      </c>
      <c r="L202" s="23">
        <f t="shared" si="29"/>
        <v>0</v>
      </c>
      <c r="M202" s="22">
        <f t="shared" si="30"/>
        <v>0</v>
      </c>
      <c r="N202" s="14">
        <f t="shared" si="32"/>
        <v>0</v>
      </c>
      <c r="O202" s="24">
        <f t="shared" si="33"/>
        <v>0</v>
      </c>
      <c r="P202" s="24">
        <f t="shared" si="34"/>
        <v>0</v>
      </c>
    </row>
    <row r="203" spans="1:16" x14ac:dyDescent="0.25">
      <c r="A203" s="15">
        <v>707</v>
      </c>
      <c r="B203" s="15">
        <v>1</v>
      </c>
      <c r="C203" s="16" t="s">
        <v>199</v>
      </c>
      <c r="D203">
        <v>0</v>
      </c>
      <c r="E203">
        <v>127.508</v>
      </c>
      <c r="F203">
        <v>79</v>
      </c>
      <c r="G203">
        <v>79</v>
      </c>
      <c r="H203" s="13">
        <f t="shared" si="27"/>
        <v>1</v>
      </c>
      <c r="I203" s="9">
        <f t="shared" si="31"/>
        <v>44627.799999999996</v>
      </c>
      <c r="J203">
        <v>0</v>
      </c>
      <c r="K203" s="21">
        <f t="shared" si="28"/>
        <v>0</v>
      </c>
      <c r="L203" s="23">
        <f t="shared" si="29"/>
        <v>0</v>
      </c>
      <c r="M203" s="22">
        <f t="shared" si="30"/>
        <v>0</v>
      </c>
      <c r="N203" s="14">
        <f t="shared" si="32"/>
        <v>0</v>
      </c>
      <c r="O203" s="24">
        <f t="shared" si="33"/>
        <v>0</v>
      </c>
      <c r="P203" s="24">
        <f t="shared" si="34"/>
        <v>0</v>
      </c>
    </row>
    <row r="204" spans="1:16" x14ac:dyDescent="0.25">
      <c r="A204" s="17">
        <v>709</v>
      </c>
      <c r="B204" s="17">
        <v>1</v>
      </c>
      <c r="C204" s="1" t="s">
        <v>200</v>
      </c>
      <c r="D204">
        <v>2021510.96</v>
      </c>
      <c r="E204">
        <v>9187.2479999999996</v>
      </c>
      <c r="F204">
        <v>9020</v>
      </c>
      <c r="G204">
        <v>1756.15</v>
      </c>
      <c r="H204" s="13">
        <f t="shared" si="27"/>
        <v>0.19469512195121952</v>
      </c>
      <c r="I204" s="9">
        <f t="shared" si="31"/>
        <v>626049.32941463415</v>
      </c>
      <c r="J204">
        <v>899611.00097670732</v>
      </c>
      <c r="K204" s="21">
        <f t="shared" si="28"/>
        <v>91872.48</v>
      </c>
      <c r="L204" s="23">
        <f t="shared" si="29"/>
        <v>1617532.81</v>
      </c>
      <c r="M204" s="22">
        <f t="shared" si="30"/>
        <v>-403978.14999999991</v>
      </c>
      <c r="N204" s="14">
        <f t="shared" si="32"/>
        <v>-43.971616962990431</v>
      </c>
      <c r="O204" s="24">
        <f t="shared" si="33"/>
        <v>1132272.9669999999</v>
      </c>
      <c r="P204" s="24">
        <f t="shared" si="34"/>
        <v>485259.84299999999</v>
      </c>
    </row>
    <row r="205" spans="1:16" x14ac:dyDescent="0.25">
      <c r="A205" s="15">
        <v>712</v>
      </c>
      <c r="B205" s="15">
        <v>1</v>
      </c>
      <c r="C205" s="16" t="s">
        <v>201</v>
      </c>
      <c r="D205">
        <v>0</v>
      </c>
      <c r="E205">
        <v>550.80799999999999</v>
      </c>
      <c r="F205">
        <v>574</v>
      </c>
      <c r="G205">
        <v>103</v>
      </c>
      <c r="H205" s="13">
        <f t="shared" si="27"/>
        <v>0.17944250871080139</v>
      </c>
      <c r="I205" s="9">
        <f t="shared" si="31"/>
        <v>34593.429268292683</v>
      </c>
      <c r="J205">
        <v>0</v>
      </c>
      <c r="K205" s="21">
        <f t="shared" si="28"/>
        <v>0</v>
      </c>
      <c r="L205" s="23">
        <f t="shared" si="29"/>
        <v>0</v>
      </c>
      <c r="M205" s="22">
        <f t="shared" si="30"/>
        <v>0</v>
      </c>
      <c r="N205" s="14">
        <f t="shared" si="32"/>
        <v>0</v>
      </c>
      <c r="O205" s="24">
        <f t="shared" si="33"/>
        <v>0</v>
      </c>
      <c r="P205" s="24">
        <f t="shared" si="34"/>
        <v>0</v>
      </c>
    </row>
    <row r="206" spans="1:16" x14ac:dyDescent="0.25">
      <c r="A206" s="17">
        <v>716</v>
      </c>
      <c r="B206" s="17">
        <v>1</v>
      </c>
      <c r="C206" s="1" t="s">
        <v>202</v>
      </c>
      <c r="D206">
        <v>45900</v>
      </c>
      <c r="E206">
        <v>1688.0140000000001</v>
      </c>
      <c r="F206">
        <v>1630</v>
      </c>
      <c r="G206">
        <v>120.51</v>
      </c>
      <c r="H206" s="13">
        <f t="shared" si="27"/>
        <v>7.3932515337423316E-2</v>
      </c>
      <c r="I206" s="9">
        <f t="shared" si="31"/>
        <v>43679.69233067485</v>
      </c>
      <c r="J206">
        <v>0</v>
      </c>
      <c r="K206" s="21">
        <f t="shared" si="28"/>
        <v>16880.14</v>
      </c>
      <c r="L206" s="23">
        <f t="shared" si="29"/>
        <v>60559.83</v>
      </c>
      <c r="M206" s="22">
        <f t="shared" si="30"/>
        <v>14659.830000000002</v>
      </c>
      <c r="N206" s="14">
        <f t="shared" si="32"/>
        <v>8.6846613831401882</v>
      </c>
      <c r="O206" s="24">
        <f t="shared" si="33"/>
        <v>42391.881000000001</v>
      </c>
      <c r="P206" s="24">
        <f t="shared" si="34"/>
        <v>18167.949000000001</v>
      </c>
    </row>
    <row r="207" spans="1:16" x14ac:dyDescent="0.25">
      <c r="A207" s="17">
        <v>717</v>
      </c>
      <c r="B207" s="17">
        <v>1</v>
      </c>
      <c r="C207" s="1" t="s">
        <v>203</v>
      </c>
      <c r="D207">
        <v>12800</v>
      </c>
      <c r="E207">
        <v>1957.1079999999999</v>
      </c>
      <c r="F207">
        <v>1761</v>
      </c>
      <c r="G207">
        <v>186.43</v>
      </c>
      <c r="H207" s="13">
        <f t="shared" si="27"/>
        <v>0.10586598523566156</v>
      </c>
      <c r="I207" s="9">
        <f t="shared" si="31"/>
        <v>72516.908321408278</v>
      </c>
      <c r="J207">
        <v>0</v>
      </c>
      <c r="K207" s="21">
        <f t="shared" si="28"/>
        <v>19571.079999999998</v>
      </c>
      <c r="L207" s="23">
        <f t="shared" si="29"/>
        <v>92087.99</v>
      </c>
      <c r="M207" s="22">
        <f t="shared" si="30"/>
        <v>79287.990000000005</v>
      </c>
      <c r="N207" s="14">
        <f t="shared" si="32"/>
        <v>40.512833221263215</v>
      </c>
      <c r="O207" s="24">
        <f t="shared" si="33"/>
        <v>64461.593000000001</v>
      </c>
      <c r="P207" s="24">
        <f t="shared" si="34"/>
        <v>27626.397000000001</v>
      </c>
    </row>
    <row r="208" spans="1:16" x14ac:dyDescent="0.25">
      <c r="A208" s="17">
        <v>719</v>
      </c>
      <c r="B208" s="17">
        <v>1</v>
      </c>
      <c r="C208" s="1" t="s">
        <v>204</v>
      </c>
      <c r="D208">
        <v>18500</v>
      </c>
      <c r="E208">
        <v>8021.1605</v>
      </c>
      <c r="F208">
        <v>7356</v>
      </c>
      <c r="G208">
        <v>982.62</v>
      </c>
      <c r="H208" s="13">
        <f t="shared" si="27"/>
        <v>0.13358075040783035</v>
      </c>
      <c r="I208" s="9">
        <f t="shared" si="31"/>
        <v>375015.42355607671</v>
      </c>
      <c r="J208">
        <v>0</v>
      </c>
      <c r="K208" s="21">
        <f t="shared" si="28"/>
        <v>80211.604999999996</v>
      </c>
      <c r="L208" s="23">
        <f t="shared" si="29"/>
        <v>455227.03</v>
      </c>
      <c r="M208" s="22">
        <f t="shared" si="30"/>
        <v>436727.03</v>
      </c>
      <c r="N208" s="14">
        <f t="shared" si="32"/>
        <v>54.44686339339551</v>
      </c>
      <c r="O208" s="24">
        <f t="shared" si="33"/>
        <v>318658.92099999997</v>
      </c>
      <c r="P208" s="24">
        <f t="shared" si="34"/>
        <v>136568.109</v>
      </c>
    </row>
    <row r="209" spans="1:16" x14ac:dyDescent="0.25">
      <c r="A209" s="17">
        <v>720</v>
      </c>
      <c r="B209" s="17">
        <v>1</v>
      </c>
      <c r="C209" s="1" t="s">
        <v>205</v>
      </c>
      <c r="D209">
        <v>45000</v>
      </c>
      <c r="E209">
        <v>9325.844000000001</v>
      </c>
      <c r="F209">
        <v>7614</v>
      </c>
      <c r="G209">
        <v>2720.23</v>
      </c>
      <c r="H209" s="13">
        <f t="shared" si="27"/>
        <v>0.35726687680588393</v>
      </c>
      <c r="I209" s="9">
        <f t="shared" si="31"/>
        <v>1166135.3058106122</v>
      </c>
      <c r="J209">
        <v>0</v>
      </c>
      <c r="K209" s="21">
        <f t="shared" si="28"/>
        <v>93258.44</v>
      </c>
      <c r="L209" s="23">
        <f t="shared" si="29"/>
        <v>1259393.75</v>
      </c>
      <c r="M209" s="22">
        <f t="shared" si="30"/>
        <v>1214393.75</v>
      </c>
      <c r="N209" s="14">
        <f t="shared" si="32"/>
        <v>130.21810680084289</v>
      </c>
      <c r="O209" s="24">
        <f t="shared" si="33"/>
        <v>881575.625</v>
      </c>
      <c r="P209" s="24">
        <f t="shared" si="34"/>
        <v>377818.125</v>
      </c>
    </row>
    <row r="210" spans="1:16" x14ac:dyDescent="0.25">
      <c r="A210" s="17">
        <v>721</v>
      </c>
      <c r="B210" s="17">
        <v>1</v>
      </c>
      <c r="C210" s="1" t="s">
        <v>206</v>
      </c>
      <c r="D210">
        <v>0</v>
      </c>
      <c r="E210">
        <v>4371.1479999999992</v>
      </c>
      <c r="F210">
        <v>3945</v>
      </c>
      <c r="G210">
        <v>152.44</v>
      </c>
      <c r="H210" s="13">
        <f t="shared" si="27"/>
        <v>3.864131812420786E-2</v>
      </c>
      <c r="I210" s="9">
        <f t="shared" si="31"/>
        <v>59117.422152598221</v>
      </c>
      <c r="J210">
        <v>0</v>
      </c>
      <c r="K210" s="21">
        <f t="shared" si="28"/>
        <v>0</v>
      </c>
      <c r="L210" s="23">
        <f t="shared" si="29"/>
        <v>0</v>
      </c>
      <c r="M210" s="22">
        <f t="shared" si="30"/>
        <v>0</v>
      </c>
      <c r="N210" s="14">
        <f t="shared" si="32"/>
        <v>0</v>
      </c>
      <c r="O210" s="24">
        <f t="shared" si="33"/>
        <v>0</v>
      </c>
      <c r="P210" s="24">
        <f t="shared" si="34"/>
        <v>0</v>
      </c>
    </row>
    <row r="211" spans="1:16" x14ac:dyDescent="0.25">
      <c r="A211" s="17">
        <v>726</v>
      </c>
      <c r="B211" s="17">
        <v>1</v>
      </c>
      <c r="C211" s="1" t="s">
        <v>207</v>
      </c>
      <c r="D211">
        <v>292500</v>
      </c>
      <c r="E211">
        <v>3077.9340000000002</v>
      </c>
      <c r="F211">
        <v>2778</v>
      </c>
      <c r="G211">
        <v>92.7</v>
      </c>
      <c r="H211" s="13">
        <f t="shared" si="27"/>
        <v>3.3369330453563717E-2</v>
      </c>
      <c r="I211" s="9">
        <f t="shared" si="31"/>
        <v>35948.00886609072</v>
      </c>
      <c r="J211">
        <v>167349.31366976246</v>
      </c>
      <c r="K211" s="21">
        <f t="shared" si="28"/>
        <v>30779.340000000004</v>
      </c>
      <c r="L211" s="23">
        <f t="shared" si="29"/>
        <v>234076.66</v>
      </c>
      <c r="M211" s="22">
        <f t="shared" si="30"/>
        <v>-58423.34</v>
      </c>
      <c r="N211" s="14">
        <f t="shared" si="32"/>
        <v>-18.981349177727655</v>
      </c>
      <c r="O211" s="24">
        <f t="shared" si="33"/>
        <v>163853.66199999998</v>
      </c>
      <c r="P211" s="24">
        <f t="shared" si="34"/>
        <v>70222.997999999992</v>
      </c>
    </row>
    <row r="212" spans="1:16" x14ac:dyDescent="0.25">
      <c r="A212" s="15">
        <v>727</v>
      </c>
      <c r="B212" s="15">
        <v>1</v>
      </c>
      <c r="C212" s="16" t="s">
        <v>208</v>
      </c>
      <c r="D212">
        <v>0</v>
      </c>
      <c r="E212">
        <v>3631.97</v>
      </c>
      <c r="F212">
        <v>3336</v>
      </c>
      <c r="G212">
        <v>311.06</v>
      </c>
      <c r="H212" s="13">
        <f t="shared" si="27"/>
        <v>9.3243405275779373E-2</v>
      </c>
      <c r="I212" s="9">
        <f t="shared" si="31"/>
        <v>118530.03773081533</v>
      </c>
      <c r="J212">
        <v>0</v>
      </c>
      <c r="K212" s="21">
        <f t="shared" si="28"/>
        <v>0</v>
      </c>
      <c r="L212" s="23">
        <f t="shared" si="29"/>
        <v>0</v>
      </c>
      <c r="M212" s="22">
        <f t="shared" si="30"/>
        <v>0</v>
      </c>
      <c r="N212" s="14">
        <f t="shared" si="32"/>
        <v>0</v>
      </c>
      <c r="O212" s="24">
        <f t="shared" si="33"/>
        <v>0</v>
      </c>
      <c r="P212" s="24">
        <f t="shared" si="34"/>
        <v>0</v>
      </c>
    </row>
    <row r="213" spans="1:16" x14ac:dyDescent="0.25">
      <c r="A213" s="17">
        <v>728</v>
      </c>
      <c r="B213" s="17">
        <v>1</v>
      </c>
      <c r="C213" s="1" t="s">
        <v>209</v>
      </c>
      <c r="D213">
        <v>1326534.2</v>
      </c>
      <c r="E213">
        <v>14204.616</v>
      </c>
      <c r="F213">
        <v>12753</v>
      </c>
      <c r="G213">
        <v>1193.77</v>
      </c>
      <c r="H213" s="13">
        <f t="shared" si="27"/>
        <v>9.36069944326825E-2</v>
      </c>
      <c r="I213" s="9">
        <f t="shared" si="31"/>
        <v>465377.99379063747</v>
      </c>
      <c r="J213">
        <v>552776.48083538003</v>
      </c>
      <c r="K213" s="21">
        <f t="shared" si="28"/>
        <v>142046.16</v>
      </c>
      <c r="L213" s="23">
        <f t="shared" si="29"/>
        <v>1160200.6299999999</v>
      </c>
      <c r="M213" s="22">
        <f t="shared" si="30"/>
        <v>-166333.57000000007</v>
      </c>
      <c r="N213" s="14">
        <f t="shared" si="32"/>
        <v>-11.709825172324269</v>
      </c>
      <c r="O213" s="24">
        <f t="shared" si="33"/>
        <v>812140.44099999988</v>
      </c>
      <c r="P213" s="24">
        <f t="shared" si="34"/>
        <v>348060.18899999995</v>
      </c>
    </row>
    <row r="214" spans="1:16" x14ac:dyDescent="0.25">
      <c r="A214" s="17">
        <v>738</v>
      </c>
      <c r="B214" s="17">
        <v>1</v>
      </c>
      <c r="C214" s="1" t="s">
        <v>210</v>
      </c>
      <c r="D214">
        <v>91216.05</v>
      </c>
      <c r="E214">
        <v>1122.3319999999999</v>
      </c>
      <c r="F214">
        <v>1003</v>
      </c>
      <c r="G214">
        <v>19.57</v>
      </c>
      <c r="H214" s="13">
        <f t="shared" si="27"/>
        <v>1.951146560319043E-2</v>
      </c>
      <c r="I214" s="9">
        <f t="shared" si="31"/>
        <v>7664.4197746759728</v>
      </c>
      <c r="J214">
        <v>54973.335884626118</v>
      </c>
      <c r="K214" s="21">
        <f t="shared" si="28"/>
        <v>11223.32</v>
      </c>
      <c r="L214" s="23">
        <f t="shared" si="29"/>
        <v>73861.08</v>
      </c>
      <c r="M214" s="22">
        <f t="shared" si="30"/>
        <v>-17354.97</v>
      </c>
      <c r="N214" s="14">
        <f t="shared" si="32"/>
        <v>-15.463312103726885</v>
      </c>
      <c r="O214" s="24">
        <f t="shared" si="33"/>
        <v>51702.756000000001</v>
      </c>
      <c r="P214" s="24">
        <f t="shared" si="34"/>
        <v>22158.324000000001</v>
      </c>
    </row>
    <row r="215" spans="1:16" x14ac:dyDescent="0.25">
      <c r="A215" s="17">
        <v>739</v>
      </c>
      <c r="B215" s="17">
        <v>1</v>
      </c>
      <c r="C215" s="1" t="s">
        <v>211</v>
      </c>
      <c r="D215">
        <v>58021</v>
      </c>
      <c r="E215">
        <v>727.87800000000004</v>
      </c>
      <c r="F215">
        <v>671</v>
      </c>
      <c r="G215">
        <v>28.84</v>
      </c>
      <c r="H215" s="13">
        <f t="shared" si="27"/>
        <v>4.2980625931445603E-2</v>
      </c>
      <c r="I215" s="9">
        <f t="shared" si="31"/>
        <v>10949.628214605067</v>
      </c>
      <c r="J215">
        <v>30684.129603934427</v>
      </c>
      <c r="K215" s="21">
        <f t="shared" si="28"/>
        <v>7278.7800000000007</v>
      </c>
      <c r="L215" s="23">
        <f t="shared" si="29"/>
        <v>48912.54</v>
      </c>
      <c r="M215" s="22">
        <f t="shared" si="30"/>
        <v>-9108.4599999999991</v>
      </c>
      <c r="N215" s="14">
        <f t="shared" si="32"/>
        <v>-12.513717958229261</v>
      </c>
      <c r="O215" s="24">
        <f t="shared" si="33"/>
        <v>34238.777999999998</v>
      </c>
      <c r="P215" s="24">
        <f t="shared" si="34"/>
        <v>14673.762000000001</v>
      </c>
    </row>
    <row r="216" spans="1:16" x14ac:dyDescent="0.25">
      <c r="A216" s="17">
        <v>740</v>
      </c>
      <c r="B216" s="17">
        <v>1</v>
      </c>
      <c r="C216" s="1" t="s">
        <v>212</v>
      </c>
      <c r="D216">
        <v>143060</v>
      </c>
      <c r="E216">
        <v>1512.9880000000001</v>
      </c>
      <c r="F216">
        <v>1335</v>
      </c>
      <c r="G216">
        <v>319.3</v>
      </c>
      <c r="H216" s="13">
        <f t="shared" si="27"/>
        <v>0.23917602996254683</v>
      </c>
      <c r="I216" s="9">
        <f t="shared" si="31"/>
        <v>126654.66212734084</v>
      </c>
      <c r="J216">
        <v>7046.7890986516986</v>
      </c>
      <c r="K216" s="21">
        <f t="shared" si="28"/>
        <v>15129.880000000001</v>
      </c>
      <c r="L216" s="23">
        <f t="shared" si="29"/>
        <v>148831.32999999999</v>
      </c>
      <c r="M216" s="22">
        <f t="shared" si="30"/>
        <v>5771.3299999999872</v>
      </c>
      <c r="N216" s="14">
        <f t="shared" si="32"/>
        <v>3.8145246360182545</v>
      </c>
      <c r="O216" s="24">
        <f t="shared" si="33"/>
        <v>104181.93099999998</v>
      </c>
      <c r="P216" s="24">
        <f t="shared" si="34"/>
        <v>44649.398999999998</v>
      </c>
    </row>
    <row r="217" spans="1:16" x14ac:dyDescent="0.25">
      <c r="A217" s="15">
        <v>741</v>
      </c>
      <c r="B217" s="15">
        <v>1</v>
      </c>
      <c r="C217" s="16" t="s">
        <v>213</v>
      </c>
      <c r="D217">
        <v>0</v>
      </c>
      <c r="E217">
        <v>1053.806</v>
      </c>
      <c r="F217">
        <v>1013</v>
      </c>
      <c r="G217">
        <v>60.77</v>
      </c>
      <c r="H217" s="13">
        <f t="shared" si="27"/>
        <v>5.9990128331688056E-2</v>
      </c>
      <c r="I217" s="9">
        <f t="shared" si="31"/>
        <v>22126.285011846005</v>
      </c>
      <c r="J217">
        <v>0</v>
      </c>
      <c r="K217" s="21">
        <f t="shared" si="28"/>
        <v>0</v>
      </c>
      <c r="L217" s="23">
        <f t="shared" si="29"/>
        <v>0</v>
      </c>
      <c r="M217" s="22">
        <f t="shared" si="30"/>
        <v>0</v>
      </c>
      <c r="N217" s="14">
        <f t="shared" si="32"/>
        <v>0</v>
      </c>
      <c r="O217" s="24">
        <f t="shared" si="33"/>
        <v>0</v>
      </c>
      <c r="P217" s="24">
        <f t="shared" si="34"/>
        <v>0</v>
      </c>
    </row>
    <row r="218" spans="1:16" x14ac:dyDescent="0.25">
      <c r="A218" s="17">
        <v>742</v>
      </c>
      <c r="B218" s="17">
        <v>1</v>
      </c>
      <c r="C218" s="1" t="s">
        <v>214</v>
      </c>
      <c r="D218">
        <v>1308226</v>
      </c>
      <c r="E218">
        <v>10552.946</v>
      </c>
      <c r="F218">
        <v>9786</v>
      </c>
      <c r="G218">
        <v>3286.73</v>
      </c>
      <c r="H218" s="13">
        <f t="shared" si="27"/>
        <v>0.33586041283466178</v>
      </c>
      <c r="I218" s="9">
        <f t="shared" si="31"/>
        <v>1240510.8800636623</v>
      </c>
      <c r="J218">
        <v>12318.977657639478</v>
      </c>
      <c r="K218" s="21">
        <f t="shared" si="28"/>
        <v>105529.45999999999</v>
      </c>
      <c r="L218" s="23">
        <f t="shared" si="29"/>
        <v>1358359.32</v>
      </c>
      <c r="M218" s="22">
        <f t="shared" si="30"/>
        <v>50133.320000000065</v>
      </c>
      <c r="N218" s="14">
        <f t="shared" si="32"/>
        <v>4.7506468809752338</v>
      </c>
      <c r="O218" s="24">
        <f t="shared" si="33"/>
        <v>950851.52399999998</v>
      </c>
      <c r="P218" s="24">
        <f t="shared" si="34"/>
        <v>407507.79600000003</v>
      </c>
    </row>
    <row r="219" spans="1:16" x14ac:dyDescent="0.25">
      <c r="A219" s="17">
        <v>743</v>
      </c>
      <c r="B219" s="17">
        <v>1</v>
      </c>
      <c r="C219" s="1" t="s">
        <v>215</v>
      </c>
      <c r="D219">
        <v>102177.96</v>
      </c>
      <c r="E219">
        <v>917.99250000000018</v>
      </c>
      <c r="F219">
        <v>972</v>
      </c>
      <c r="G219">
        <v>67.98</v>
      </c>
      <c r="H219" s="13">
        <f t="shared" si="27"/>
        <v>6.9938271604938276E-2</v>
      </c>
      <c r="I219" s="9">
        <f t="shared" si="31"/>
        <v>22470.98307870371</v>
      </c>
      <c r="J219">
        <v>51036.52627944445</v>
      </c>
      <c r="K219" s="21">
        <f t="shared" si="28"/>
        <v>9179.9250000000011</v>
      </c>
      <c r="L219" s="23">
        <f t="shared" si="29"/>
        <v>82687.429999999993</v>
      </c>
      <c r="M219" s="22">
        <f t="shared" si="30"/>
        <v>-19490.530000000013</v>
      </c>
      <c r="N219" s="14">
        <f t="shared" si="32"/>
        <v>-21.231687622720241</v>
      </c>
      <c r="O219" s="24">
        <f t="shared" si="33"/>
        <v>57881.200999999994</v>
      </c>
      <c r="P219" s="24">
        <f t="shared" si="34"/>
        <v>24806.228999999996</v>
      </c>
    </row>
    <row r="220" spans="1:16" x14ac:dyDescent="0.25">
      <c r="A220" s="17">
        <v>745</v>
      </c>
      <c r="B220" s="17">
        <v>1</v>
      </c>
      <c r="C220" s="1" t="s">
        <v>216</v>
      </c>
      <c r="D220">
        <v>0</v>
      </c>
      <c r="E220">
        <v>1896.646</v>
      </c>
      <c r="F220">
        <v>1718</v>
      </c>
      <c r="G220">
        <v>88.58</v>
      </c>
      <c r="H220" s="13">
        <f t="shared" si="27"/>
        <v>5.1559953434225841E-2</v>
      </c>
      <c r="I220" s="9">
        <f t="shared" si="31"/>
        <v>34226.842804423752</v>
      </c>
      <c r="J220">
        <v>0</v>
      </c>
      <c r="K220" s="21">
        <f t="shared" si="28"/>
        <v>0</v>
      </c>
      <c r="L220" s="23">
        <f t="shared" si="29"/>
        <v>0</v>
      </c>
      <c r="M220" s="22">
        <f t="shared" si="30"/>
        <v>0</v>
      </c>
      <c r="N220" s="14">
        <f t="shared" si="32"/>
        <v>0</v>
      </c>
      <c r="O220" s="24">
        <f t="shared" si="33"/>
        <v>0</v>
      </c>
      <c r="P220" s="24">
        <f t="shared" si="34"/>
        <v>0</v>
      </c>
    </row>
    <row r="221" spans="1:16" x14ac:dyDescent="0.25">
      <c r="A221" s="17">
        <v>748</v>
      </c>
      <c r="B221" s="17">
        <v>1</v>
      </c>
      <c r="C221" s="1" t="s">
        <v>217</v>
      </c>
      <c r="D221">
        <v>0</v>
      </c>
      <c r="E221">
        <v>4124.8959999999997</v>
      </c>
      <c r="F221">
        <v>3677</v>
      </c>
      <c r="G221">
        <v>206</v>
      </c>
      <c r="H221" s="13">
        <f t="shared" si="27"/>
        <v>5.6023932553712262E-2</v>
      </c>
      <c r="I221" s="9">
        <f t="shared" si="31"/>
        <v>80882.513353277114</v>
      </c>
      <c r="J221">
        <v>0</v>
      </c>
      <c r="K221" s="21">
        <f t="shared" si="28"/>
        <v>0</v>
      </c>
      <c r="L221" s="23">
        <f t="shared" si="29"/>
        <v>0</v>
      </c>
      <c r="M221" s="22">
        <f t="shared" si="30"/>
        <v>0</v>
      </c>
      <c r="N221" s="14">
        <f t="shared" si="32"/>
        <v>0</v>
      </c>
      <c r="O221" s="24">
        <f t="shared" si="33"/>
        <v>0</v>
      </c>
      <c r="P221" s="24">
        <f t="shared" si="34"/>
        <v>0</v>
      </c>
    </row>
    <row r="222" spans="1:16" x14ac:dyDescent="0.25">
      <c r="A222" s="15">
        <v>750</v>
      </c>
      <c r="B222" s="15">
        <v>1</v>
      </c>
      <c r="C222" s="16" t="s">
        <v>218</v>
      </c>
      <c r="D222">
        <v>0</v>
      </c>
      <c r="E222">
        <v>2227.1120000000001</v>
      </c>
      <c r="F222">
        <v>2023</v>
      </c>
      <c r="G222">
        <v>168.92000000000002</v>
      </c>
      <c r="H222" s="13">
        <f t="shared" si="27"/>
        <v>8.349975284231341E-2</v>
      </c>
      <c r="I222" s="9">
        <f t="shared" si="31"/>
        <v>65087.155543252607</v>
      </c>
      <c r="J222">
        <v>0</v>
      </c>
      <c r="K222" s="21">
        <f t="shared" si="28"/>
        <v>0</v>
      </c>
      <c r="L222" s="23">
        <f t="shared" si="29"/>
        <v>0</v>
      </c>
      <c r="M222" s="22">
        <f t="shared" si="30"/>
        <v>0</v>
      </c>
      <c r="N222" s="14">
        <f t="shared" si="32"/>
        <v>0</v>
      </c>
      <c r="O222" s="24">
        <f t="shared" si="33"/>
        <v>0</v>
      </c>
      <c r="P222" s="24">
        <f t="shared" si="34"/>
        <v>0</v>
      </c>
    </row>
    <row r="223" spans="1:16" x14ac:dyDescent="0.25">
      <c r="A223" s="17">
        <v>756</v>
      </c>
      <c r="B223" s="17">
        <v>1</v>
      </c>
      <c r="C223" s="1" t="s">
        <v>219</v>
      </c>
      <c r="D223">
        <v>0</v>
      </c>
      <c r="E223">
        <v>742.64599999999996</v>
      </c>
      <c r="F223">
        <v>730</v>
      </c>
      <c r="G223">
        <v>90.64</v>
      </c>
      <c r="H223" s="13">
        <f t="shared" si="27"/>
        <v>0.12416438356164383</v>
      </c>
      <c r="I223" s="9">
        <f t="shared" si="31"/>
        <v>32273.563978082188</v>
      </c>
      <c r="J223">
        <v>0</v>
      </c>
      <c r="K223" s="21">
        <f t="shared" si="28"/>
        <v>0</v>
      </c>
      <c r="L223" s="23">
        <f t="shared" si="29"/>
        <v>0</v>
      </c>
      <c r="M223" s="22">
        <f t="shared" si="30"/>
        <v>0</v>
      </c>
      <c r="N223" s="14">
        <f t="shared" si="32"/>
        <v>0</v>
      </c>
      <c r="O223" s="24">
        <f t="shared" si="33"/>
        <v>0</v>
      </c>
      <c r="P223" s="24">
        <f t="shared" si="34"/>
        <v>0</v>
      </c>
    </row>
    <row r="224" spans="1:16" x14ac:dyDescent="0.25">
      <c r="A224" s="15">
        <v>761</v>
      </c>
      <c r="B224" s="15">
        <v>1</v>
      </c>
      <c r="C224" s="16" t="s">
        <v>220</v>
      </c>
      <c r="D224">
        <v>0</v>
      </c>
      <c r="E224">
        <v>5241.6819999999989</v>
      </c>
      <c r="F224">
        <v>4893</v>
      </c>
      <c r="G224">
        <v>1076.3500000000001</v>
      </c>
      <c r="H224" s="13">
        <f t="shared" si="27"/>
        <v>0.21997751890455755</v>
      </c>
      <c r="I224" s="9">
        <f t="shared" si="31"/>
        <v>403568.27043633757</v>
      </c>
      <c r="J224">
        <v>0</v>
      </c>
      <c r="K224" s="21">
        <f t="shared" si="28"/>
        <v>0</v>
      </c>
      <c r="L224" s="23">
        <f t="shared" si="29"/>
        <v>0</v>
      </c>
      <c r="M224" s="22">
        <f t="shared" si="30"/>
        <v>0</v>
      </c>
      <c r="N224" s="14">
        <f t="shared" si="32"/>
        <v>0</v>
      </c>
      <c r="O224" s="24">
        <f t="shared" si="33"/>
        <v>0</v>
      </c>
      <c r="P224" s="24">
        <f t="shared" si="34"/>
        <v>0</v>
      </c>
    </row>
    <row r="225" spans="1:16" x14ac:dyDescent="0.25">
      <c r="A225" s="15">
        <v>763</v>
      </c>
      <c r="B225" s="15">
        <v>1</v>
      </c>
      <c r="C225" s="16" t="s">
        <v>221</v>
      </c>
      <c r="D225">
        <v>0</v>
      </c>
      <c r="E225">
        <v>934.50200000000007</v>
      </c>
      <c r="F225">
        <v>875</v>
      </c>
      <c r="G225">
        <v>125.66</v>
      </c>
      <c r="H225" s="13">
        <f t="shared" si="27"/>
        <v>0.14361142857142856</v>
      </c>
      <c r="I225" s="9">
        <f t="shared" si="31"/>
        <v>46971.808528000001</v>
      </c>
      <c r="J225">
        <v>0</v>
      </c>
      <c r="K225" s="21">
        <f t="shared" si="28"/>
        <v>0</v>
      </c>
      <c r="L225" s="23">
        <f t="shared" si="29"/>
        <v>0</v>
      </c>
      <c r="M225" s="22">
        <f t="shared" si="30"/>
        <v>0</v>
      </c>
      <c r="N225" s="14">
        <f t="shared" si="32"/>
        <v>0</v>
      </c>
      <c r="O225" s="24">
        <f t="shared" si="33"/>
        <v>0</v>
      </c>
      <c r="P225" s="24">
        <f t="shared" si="34"/>
        <v>0</v>
      </c>
    </row>
    <row r="226" spans="1:16" x14ac:dyDescent="0.25">
      <c r="A226" s="15">
        <v>768</v>
      </c>
      <c r="B226" s="15">
        <v>1</v>
      </c>
      <c r="C226" s="16" t="s">
        <v>222</v>
      </c>
      <c r="D226">
        <v>0</v>
      </c>
      <c r="E226">
        <v>347.88200000000001</v>
      </c>
      <c r="F226">
        <v>287</v>
      </c>
      <c r="G226">
        <v>13.39</v>
      </c>
      <c r="H226" s="13">
        <f t="shared" si="27"/>
        <v>4.6655052264808365E-2</v>
      </c>
      <c r="I226" s="9">
        <f t="shared" si="31"/>
        <v>5680.658512195123</v>
      </c>
      <c r="J226">
        <v>0</v>
      </c>
      <c r="K226" s="21">
        <f t="shared" si="28"/>
        <v>0</v>
      </c>
      <c r="L226" s="23">
        <f t="shared" si="29"/>
        <v>0</v>
      </c>
      <c r="M226" s="22">
        <f t="shared" si="30"/>
        <v>0</v>
      </c>
      <c r="N226" s="14">
        <f t="shared" si="32"/>
        <v>0</v>
      </c>
      <c r="O226" s="24">
        <f t="shared" si="33"/>
        <v>0</v>
      </c>
      <c r="P226" s="24">
        <f t="shared" si="34"/>
        <v>0</v>
      </c>
    </row>
    <row r="227" spans="1:16" x14ac:dyDescent="0.25">
      <c r="A227" s="15">
        <v>771</v>
      </c>
      <c r="B227" s="15">
        <v>1</v>
      </c>
      <c r="C227" s="16" t="s">
        <v>223</v>
      </c>
      <c r="D227">
        <v>0</v>
      </c>
      <c r="E227">
        <v>177.08599999999998</v>
      </c>
      <c r="F227">
        <v>152</v>
      </c>
      <c r="G227">
        <v>8.24</v>
      </c>
      <c r="H227" s="13">
        <f t="shared" si="27"/>
        <v>5.4210526315789473E-2</v>
      </c>
      <c r="I227" s="9">
        <f t="shared" si="31"/>
        <v>3359.973842105263</v>
      </c>
      <c r="J227">
        <v>0</v>
      </c>
      <c r="K227" s="21">
        <f t="shared" si="28"/>
        <v>0</v>
      </c>
      <c r="L227" s="23">
        <f t="shared" si="29"/>
        <v>0</v>
      </c>
      <c r="M227" s="22">
        <f t="shared" si="30"/>
        <v>0</v>
      </c>
      <c r="N227" s="14">
        <f t="shared" si="32"/>
        <v>0</v>
      </c>
      <c r="O227" s="24">
        <f t="shared" si="33"/>
        <v>0</v>
      </c>
      <c r="P227" s="24">
        <f t="shared" si="34"/>
        <v>0</v>
      </c>
    </row>
    <row r="228" spans="1:16" x14ac:dyDescent="0.25">
      <c r="A228" s="17">
        <v>775</v>
      </c>
      <c r="B228" s="17">
        <v>1</v>
      </c>
      <c r="C228" s="1" t="s">
        <v>224</v>
      </c>
      <c r="D228">
        <v>58852.4</v>
      </c>
      <c r="E228">
        <v>609.33550000000002</v>
      </c>
      <c r="F228">
        <v>609</v>
      </c>
      <c r="G228">
        <v>51.5</v>
      </c>
      <c r="H228" s="13">
        <f t="shared" si="27"/>
        <v>8.4564860426929386E-2</v>
      </c>
      <c r="I228" s="9">
        <f t="shared" si="31"/>
        <v>18034.930028735631</v>
      </c>
      <c r="J228">
        <v>26118.157051724138</v>
      </c>
      <c r="K228" s="21">
        <f t="shared" si="28"/>
        <v>6093.3550000000005</v>
      </c>
      <c r="L228" s="23">
        <f t="shared" si="29"/>
        <v>50246.44</v>
      </c>
      <c r="M228" s="22">
        <f t="shared" si="30"/>
        <v>-8605.9599999999991</v>
      </c>
      <c r="N228" s="14">
        <f t="shared" si="32"/>
        <v>-14.123516519224628</v>
      </c>
      <c r="O228" s="24">
        <f t="shared" si="33"/>
        <v>35172.508000000002</v>
      </c>
      <c r="P228" s="24">
        <f t="shared" si="34"/>
        <v>15073.932000000001</v>
      </c>
    </row>
    <row r="229" spans="1:16" x14ac:dyDescent="0.25">
      <c r="A229" s="15">
        <v>777</v>
      </c>
      <c r="B229" s="15">
        <v>1</v>
      </c>
      <c r="C229" s="16" t="s">
        <v>225</v>
      </c>
      <c r="D229">
        <v>0</v>
      </c>
      <c r="E229">
        <v>938.12400000000002</v>
      </c>
      <c r="F229">
        <v>894</v>
      </c>
      <c r="G229">
        <v>70.040000000000006</v>
      </c>
      <c r="H229" s="13">
        <f t="shared" si="27"/>
        <v>7.8344519015659961E-2</v>
      </c>
      <c r="I229" s="9">
        <f t="shared" si="31"/>
        <v>25723.905744966443</v>
      </c>
      <c r="J229">
        <v>0</v>
      </c>
      <c r="K229" s="21">
        <f t="shared" si="28"/>
        <v>0</v>
      </c>
      <c r="L229" s="23">
        <f t="shared" si="29"/>
        <v>0</v>
      </c>
      <c r="M229" s="22">
        <f t="shared" si="30"/>
        <v>0</v>
      </c>
      <c r="N229" s="14">
        <f t="shared" si="32"/>
        <v>0</v>
      </c>
      <c r="O229" s="24">
        <f t="shared" si="33"/>
        <v>0</v>
      </c>
      <c r="P229" s="24">
        <f t="shared" si="34"/>
        <v>0</v>
      </c>
    </row>
    <row r="230" spans="1:16" x14ac:dyDescent="0.25">
      <c r="A230" s="15">
        <v>786</v>
      </c>
      <c r="B230" s="15">
        <v>1</v>
      </c>
      <c r="C230" s="16" t="s">
        <v>226</v>
      </c>
      <c r="D230">
        <v>0</v>
      </c>
      <c r="E230">
        <v>403.22550000000001</v>
      </c>
      <c r="F230">
        <v>413</v>
      </c>
      <c r="G230">
        <v>25.75</v>
      </c>
      <c r="H230" s="13">
        <f t="shared" si="27"/>
        <v>6.2348668280871669E-2</v>
      </c>
      <c r="I230" s="9">
        <f t="shared" si="31"/>
        <v>8799.2005296610168</v>
      </c>
      <c r="J230">
        <v>0</v>
      </c>
      <c r="K230" s="21">
        <f t="shared" si="28"/>
        <v>0</v>
      </c>
      <c r="L230" s="23">
        <f t="shared" si="29"/>
        <v>0</v>
      </c>
      <c r="M230" s="22">
        <f t="shared" si="30"/>
        <v>0</v>
      </c>
      <c r="N230" s="14">
        <f t="shared" si="32"/>
        <v>0</v>
      </c>
      <c r="O230" s="24">
        <f t="shared" si="33"/>
        <v>0</v>
      </c>
      <c r="P230" s="24">
        <f t="shared" si="34"/>
        <v>0</v>
      </c>
    </row>
    <row r="231" spans="1:16" x14ac:dyDescent="0.25">
      <c r="A231" s="17">
        <v>787</v>
      </c>
      <c r="B231" s="17">
        <v>1</v>
      </c>
      <c r="C231" s="1" t="s">
        <v>227</v>
      </c>
      <c r="D231">
        <v>0</v>
      </c>
      <c r="E231">
        <v>414.63650000000001</v>
      </c>
      <c r="F231">
        <v>428</v>
      </c>
      <c r="G231">
        <v>12.36</v>
      </c>
      <c r="H231" s="13">
        <f t="shared" si="27"/>
        <v>2.8878504672897196E-2</v>
      </c>
      <c r="I231" s="9">
        <f t="shared" si="31"/>
        <v>4190.9287359813079</v>
      </c>
      <c r="J231">
        <v>0</v>
      </c>
      <c r="K231" s="21">
        <f t="shared" si="28"/>
        <v>0</v>
      </c>
      <c r="L231" s="23">
        <f t="shared" si="29"/>
        <v>0</v>
      </c>
      <c r="M231" s="22">
        <f t="shared" si="30"/>
        <v>0</v>
      </c>
      <c r="N231" s="14">
        <f t="shared" si="32"/>
        <v>0</v>
      </c>
      <c r="O231" s="24">
        <f t="shared" si="33"/>
        <v>0</v>
      </c>
      <c r="P231" s="24">
        <f t="shared" si="34"/>
        <v>0</v>
      </c>
    </row>
    <row r="232" spans="1:16" x14ac:dyDescent="0.25">
      <c r="A232" s="15">
        <v>801</v>
      </c>
      <c r="B232" s="15">
        <v>1</v>
      </c>
      <c r="C232" s="16" t="s">
        <v>228</v>
      </c>
      <c r="D232">
        <v>0</v>
      </c>
      <c r="E232">
        <v>94.627999999999986</v>
      </c>
      <c r="F232">
        <v>98</v>
      </c>
      <c r="G232">
        <v>38.11</v>
      </c>
      <c r="H232" s="13">
        <f t="shared" si="27"/>
        <v>0.38887755102040816</v>
      </c>
      <c r="I232" s="9">
        <f t="shared" si="31"/>
        <v>12879.546714285712</v>
      </c>
      <c r="J232">
        <v>0</v>
      </c>
      <c r="K232" s="21">
        <f t="shared" si="28"/>
        <v>0</v>
      </c>
      <c r="L232" s="23">
        <f t="shared" si="29"/>
        <v>0</v>
      </c>
      <c r="M232" s="22">
        <f t="shared" si="30"/>
        <v>0</v>
      </c>
      <c r="N232" s="14">
        <f t="shared" si="32"/>
        <v>0</v>
      </c>
      <c r="O232" s="24">
        <f t="shared" si="33"/>
        <v>0</v>
      </c>
      <c r="P232" s="24">
        <f t="shared" si="34"/>
        <v>0</v>
      </c>
    </row>
    <row r="233" spans="1:16" x14ac:dyDescent="0.25">
      <c r="A233" s="15">
        <v>803</v>
      </c>
      <c r="B233" s="15">
        <v>1</v>
      </c>
      <c r="C233" s="16" t="s">
        <v>229</v>
      </c>
      <c r="D233">
        <v>0</v>
      </c>
      <c r="E233">
        <v>363.05499999999995</v>
      </c>
      <c r="F233">
        <v>395</v>
      </c>
      <c r="G233">
        <v>29.87</v>
      </c>
      <c r="H233" s="13">
        <f t="shared" si="27"/>
        <v>7.5620253164556964E-2</v>
      </c>
      <c r="I233" s="9">
        <f t="shared" si="31"/>
        <v>9609.0088544303781</v>
      </c>
      <c r="J233">
        <v>0</v>
      </c>
      <c r="K233" s="21">
        <f t="shared" si="28"/>
        <v>0</v>
      </c>
      <c r="L233" s="23">
        <f t="shared" si="29"/>
        <v>0</v>
      </c>
      <c r="M233" s="22">
        <f t="shared" si="30"/>
        <v>0</v>
      </c>
      <c r="N233" s="14">
        <f t="shared" si="32"/>
        <v>0</v>
      </c>
      <c r="O233" s="24">
        <f t="shared" si="33"/>
        <v>0</v>
      </c>
      <c r="P233" s="24">
        <f t="shared" si="34"/>
        <v>0</v>
      </c>
    </row>
    <row r="234" spans="1:16" x14ac:dyDescent="0.25">
      <c r="A234" s="15">
        <v>811</v>
      </c>
      <c r="B234" s="15">
        <v>1</v>
      </c>
      <c r="C234" s="16" t="s">
        <v>230</v>
      </c>
      <c r="D234">
        <v>0</v>
      </c>
      <c r="E234">
        <v>628.28000000000009</v>
      </c>
      <c r="F234">
        <v>583</v>
      </c>
      <c r="G234">
        <v>30.900000000000002</v>
      </c>
      <c r="H234" s="13">
        <f t="shared" si="27"/>
        <v>5.3001715265866216E-2</v>
      </c>
      <c r="I234" s="9">
        <f t="shared" si="31"/>
        <v>11654.971183533451</v>
      </c>
      <c r="J234">
        <v>0</v>
      </c>
      <c r="K234" s="21">
        <f t="shared" si="28"/>
        <v>0</v>
      </c>
      <c r="L234" s="23">
        <f t="shared" si="29"/>
        <v>0</v>
      </c>
      <c r="M234" s="22">
        <f t="shared" si="30"/>
        <v>0</v>
      </c>
      <c r="N234" s="14">
        <f t="shared" si="32"/>
        <v>0</v>
      </c>
      <c r="O234" s="24">
        <f t="shared" si="33"/>
        <v>0</v>
      </c>
      <c r="P234" s="24">
        <f t="shared" si="34"/>
        <v>0</v>
      </c>
    </row>
    <row r="235" spans="1:16" x14ac:dyDescent="0.25">
      <c r="A235" s="17">
        <v>813</v>
      </c>
      <c r="B235" s="17">
        <v>1</v>
      </c>
      <c r="C235" s="1" t="s">
        <v>231</v>
      </c>
      <c r="D235">
        <v>0</v>
      </c>
      <c r="E235">
        <v>1277.9434999999999</v>
      </c>
      <c r="F235">
        <v>1236</v>
      </c>
      <c r="G235">
        <v>73.13</v>
      </c>
      <c r="H235" s="13">
        <f t="shared" si="27"/>
        <v>5.9166666666666666E-2</v>
      </c>
      <c r="I235" s="9">
        <f t="shared" si="31"/>
        <v>26464.079979166665</v>
      </c>
      <c r="J235">
        <v>0</v>
      </c>
      <c r="K235" s="21">
        <f t="shared" si="28"/>
        <v>0</v>
      </c>
      <c r="L235" s="23">
        <f t="shared" si="29"/>
        <v>0</v>
      </c>
      <c r="M235" s="22">
        <f t="shared" si="30"/>
        <v>0</v>
      </c>
      <c r="N235" s="14">
        <f t="shared" si="32"/>
        <v>0</v>
      </c>
      <c r="O235" s="24">
        <f t="shared" si="33"/>
        <v>0</v>
      </c>
      <c r="P235" s="24">
        <f t="shared" si="34"/>
        <v>0</v>
      </c>
    </row>
    <row r="236" spans="1:16" x14ac:dyDescent="0.25">
      <c r="A236" s="15">
        <v>815</v>
      </c>
      <c r="B236" s="15">
        <v>2</v>
      </c>
      <c r="C236" s="16" t="s">
        <v>232</v>
      </c>
      <c r="D236">
        <v>0</v>
      </c>
      <c r="E236">
        <v>0</v>
      </c>
      <c r="F236">
        <v>0</v>
      </c>
      <c r="G236">
        <v>0</v>
      </c>
      <c r="H236" s="13">
        <f t="shared" si="27"/>
        <v>0</v>
      </c>
      <c r="I236" s="9">
        <f t="shared" si="31"/>
        <v>0</v>
      </c>
      <c r="J236">
        <v>0</v>
      </c>
      <c r="K236" s="21">
        <f t="shared" si="28"/>
        <v>0</v>
      </c>
      <c r="L236" s="23">
        <f t="shared" si="29"/>
        <v>0</v>
      </c>
      <c r="M236" s="22">
        <f t="shared" si="30"/>
        <v>0</v>
      </c>
      <c r="N236" s="14">
        <f t="shared" si="32"/>
        <v>0</v>
      </c>
      <c r="O236" s="24">
        <f t="shared" si="33"/>
        <v>0</v>
      </c>
      <c r="P236" s="24">
        <f t="shared" si="34"/>
        <v>0</v>
      </c>
    </row>
    <row r="237" spans="1:16" x14ac:dyDescent="0.25">
      <c r="A237" s="15">
        <v>818</v>
      </c>
      <c r="B237" s="15">
        <v>1</v>
      </c>
      <c r="C237" s="16" t="s">
        <v>233</v>
      </c>
      <c r="D237">
        <v>0</v>
      </c>
      <c r="E237">
        <v>547.81799999999998</v>
      </c>
      <c r="F237">
        <v>491</v>
      </c>
      <c r="G237">
        <v>10.3</v>
      </c>
      <c r="H237" s="13">
        <f t="shared" si="27"/>
        <v>2.0977596741344195E-2</v>
      </c>
      <c r="I237" s="9">
        <f t="shared" si="31"/>
        <v>4022.1667820773932</v>
      </c>
      <c r="J237">
        <v>0</v>
      </c>
      <c r="K237" s="21">
        <f t="shared" si="28"/>
        <v>0</v>
      </c>
      <c r="L237" s="23">
        <f t="shared" si="29"/>
        <v>0</v>
      </c>
      <c r="M237" s="22">
        <f t="shared" si="30"/>
        <v>0</v>
      </c>
      <c r="N237" s="14">
        <f t="shared" si="32"/>
        <v>0</v>
      </c>
      <c r="O237" s="24">
        <f t="shared" si="33"/>
        <v>0</v>
      </c>
      <c r="P237" s="24">
        <f t="shared" si="34"/>
        <v>0</v>
      </c>
    </row>
    <row r="238" spans="1:16" x14ac:dyDescent="0.25">
      <c r="A238" s="15">
        <v>820</v>
      </c>
      <c r="B238" s="15">
        <v>1</v>
      </c>
      <c r="C238" s="16" t="s">
        <v>234</v>
      </c>
      <c r="D238">
        <v>0</v>
      </c>
      <c r="E238">
        <v>492.5</v>
      </c>
      <c r="F238">
        <v>504</v>
      </c>
      <c r="G238">
        <v>5.15</v>
      </c>
      <c r="H238" s="13">
        <f t="shared" si="27"/>
        <v>1.0218253968253968E-2</v>
      </c>
      <c r="I238" s="9">
        <f t="shared" si="31"/>
        <v>1761.3715277777776</v>
      </c>
      <c r="J238">
        <v>0</v>
      </c>
      <c r="K238" s="21">
        <f t="shared" si="28"/>
        <v>0</v>
      </c>
      <c r="L238" s="23">
        <f t="shared" si="29"/>
        <v>0</v>
      </c>
      <c r="M238" s="22">
        <f t="shared" si="30"/>
        <v>0</v>
      </c>
      <c r="N238" s="14">
        <f t="shared" si="32"/>
        <v>0</v>
      </c>
      <c r="O238" s="24">
        <f t="shared" si="33"/>
        <v>0</v>
      </c>
      <c r="P238" s="24">
        <f t="shared" si="34"/>
        <v>0</v>
      </c>
    </row>
    <row r="239" spans="1:16" x14ac:dyDescent="0.25">
      <c r="A239" s="15">
        <v>821</v>
      </c>
      <c r="B239" s="15">
        <v>1</v>
      </c>
      <c r="C239" s="16" t="s">
        <v>235</v>
      </c>
      <c r="D239">
        <v>0</v>
      </c>
      <c r="E239">
        <v>1049.1849999999999</v>
      </c>
      <c r="F239">
        <v>878</v>
      </c>
      <c r="G239">
        <v>16.48</v>
      </c>
      <c r="H239" s="13">
        <f t="shared" si="27"/>
        <v>1.8769931662870162E-2</v>
      </c>
      <c r="I239" s="9">
        <f t="shared" si="31"/>
        <v>6892.595763097951</v>
      </c>
      <c r="J239">
        <v>0</v>
      </c>
      <c r="K239" s="21">
        <f t="shared" si="28"/>
        <v>0</v>
      </c>
      <c r="L239" s="23">
        <f t="shared" si="29"/>
        <v>0</v>
      </c>
      <c r="M239" s="22">
        <f t="shared" si="30"/>
        <v>0</v>
      </c>
      <c r="N239" s="14">
        <f t="shared" si="32"/>
        <v>0</v>
      </c>
      <c r="O239" s="24">
        <f t="shared" si="33"/>
        <v>0</v>
      </c>
      <c r="P239" s="24">
        <f t="shared" si="34"/>
        <v>0</v>
      </c>
    </row>
    <row r="240" spans="1:16" x14ac:dyDescent="0.25">
      <c r="A240" s="15">
        <v>829</v>
      </c>
      <c r="B240" s="15">
        <v>1</v>
      </c>
      <c r="C240" s="16" t="s">
        <v>236</v>
      </c>
      <c r="D240">
        <v>0</v>
      </c>
      <c r="E240">
        <v>2010.2379999999998</v>
      </c>
      <c r="F240">
        <v>1851</v>
      </c>
      <c r="G240">
        <v>245.14000000000001</v>
      </c>
      <c r="H240" s="13">
        <f t="shared" si="27"/>
        <v>0.1324365207995678</v>
      </c>
      <c r="I240" s="9">
        <f t="shared" si="31"/>
        <v>93180.124344678552</v>
      </c>
      <c r="J240">
        <v>0</v>
      </c>
      <c r="K240" s="21">
        <f t="shared" si="28"/>
        <v>0</v>
      </c>
      <c r="L240" s="23">
        <f t="shared" si="29"/>
        <v>0</v>
      </c>
      <c r="M240" s="22">
        <f t="shared" si="30"/>
        <v>0</v>
      </c>
      <c r="N240" s="14">
        <f t="shared" si="32"/>
        <v>0</v>
      </c>
      <c r="O240" s="24">
        <f t="shared" si="33"/>
        <v>0</v>
      </c>
      <c r="P240" s="24">
        <f t="shared" si="34"/>
        <v>0</v>
      </c>
    </row>
    <row r="241" spans="1:16" x14ac:dyDescent="0.25">
      <c r="A241" s="17">
        <v>831</v>
      </c>
      <c r="B241" s="17">
        <v>1</v>
      </c>
      <c r="C241" s="1" t="s">
        <v>237</v>
      </c>
      <c r="D241">
        <v>635100</v>
      </c>
      <c r="E241">
        <v>6913.335</v>
      </c>
      <c r="F241">
        <v>6767</v>
      </c>
      <c r="G241">
        <v>479.98</v>
      </c>
      <c r="H241" s="13">
        <f t="shared" si="27"/>
        <v>7.0929510861533915E-2</v>
      </c>
      <c r="I241" s="9">
        <f t="shared" si="31"/>
        <v>171625.8144901729</v>
      </c>
      <c r="J241">
        <v>345593.68232460471</v>
      </c>
      <c r="K241" s="21">
        <f t="shared" si="28"/>
        <v>69133.350000000006</v>
      </c>
      <c r="L241" s="23">
        <f t="shared" si="29"/>
        <v>586352.85</v>
      </c>
      <c r="M241" s="22">
        <f t="shared" si="30"/>
        <v>-48747.150000000023</v>
      </c>
      <c r="N241" s="14">
        <f t="shared" si="32"/>
        <v>-7.0511771814905577</v>
      </c>
      <c r="O241" s="24">
        <f t="shared" si="33"/>
        <v>410446.99499999994</v>
      </c>
      <c r="P241" s="24">
        <f t="shared" si="34"/>
        <v>175905.85499999998</v>
      </c>
    </row>
    <row r="242" spans="1:16" x14ac:dyDescent="0.25">
      <c r="A242" s="17">
        <v>832</v>
      </c>
      <c r="B242" s="17">
        <v>1</v>
      </c>
      <c r="C242" s="1" t="s">
        <v>238</v>
      </c>
      <c r="D242">
        <v>351874.08</v>
      </c>
      <c r="E242">
        <v>3416.0949999999993</v>
      </c>
      <c r="F242">
        <v>3305</v>
      </c>
      <c r="G242">
        <v>314.15000000000003</v>
      </c>
      <c r="H242" s="13">
        <f t="shared" si="27"/>
        <v>9.5052950075642975E-2</v>
      </c>
      <c r="I242" s="9">
        <f t="shared" si="31"/>
        <v>113648.46762102873</v>
      </c>
      <c r="J242">
        <v>152856.91155735252</v>
      </c>
      <c r="K242" s="21">
        <f t="shared" si="28"/>
        <v>34160.949999999997</v>
      </c>
      <c r="L242" s="23">
        <f t="shared" si="29"/>
        <v>300666.33</v>
      </c>
      <c r="M242" s="22">
        <f t="shared" si="30"/>
        <v>-51207.75</v>
      </c>
      <c r="N242" s="14">
        <f t="shared" si="32"/>
        <v>-14.990142253069664</v>
      </c>
      <c r="O242" s="24">
        <f t="shared" si="33"/>
        <v>210466.43100000001</v>
      </c>
      <c r="P242" s="24">
        <f t="shared" si="34"/>
        <v>90199.899000000005</v>
      </c>
    </row>
    <row r="243" spans="1:16" x14ac:dyDescent="0.25">
      <c r="A243" s="17">
        <v>833</v>
      </c>
      <c r="B243" s="17">
        <v>1</v>
      </c>
      <c r="C243" s="1" t="s">
        <v>239</v>
      </c>
      <c r="D243">
        <v>2562307</v>
      </c>
      <c r="E243">
        <v>19447.551499999998</v>
      </c>
      <c r="F243">
        <v>17643</v>
      </c>
      <c r="G243">
        <v>4675.17</v>
      </c>
      <c r="H243" s="13">
        <f t="shared" si="27"/>
        <v>0.26498724706682536</v>
      </c>
      <c r="I243" s="9">
        <f t="shared" si="31"/>
        <v>1803673.5969613583</v>
      </c>
      <c r="J243">
        <v>490141.49746958341</v>
      </c>
      <c r="K243" s="21">
        <f t="shared" si="28"/>
        <v>194475.51499999998</v>
      </c>
      <c r="L243" s="23">
        <f t="shared" si="29"/>
        <v>2488290.61</v>
      </c>
      <c r="M243" s="22">
        <f t="shared" si="30"/>
        <v>-74016.39000000013</v>
      </c>
      <c r="N243" s="14">
        <f t="shared" si="32"/>
        <v>-3.8059490419655213</v>
      </c>
      <c r="O243" s="24">
        <f t="shared" si="33"/>
        <v>1741803.4269999999</v>
      </c>
      <c r="P243" s="24">
        <f t="shared" si="34"/>
        <v>746487.18299999996</v>
      </c>
    </row>
    <row r="244" spans="1:16" x14ac:dyDescent="0.25">
      <c r="A244" s="17">
        <v>834</v>
      </c>
      <c r="B244" s="17">
        <v>1</v>
      </c>
      <c r="C244" s="1" t="s">
        <v>240</v>
      </c>
      <c r="D244">
        <v>911673</v>
      </c>
      <c r="E244">
        <v>9161.4319999999989</v>
      </c>
      <c r="F244">
        <v>8258</v>
      </c>
      <c r="G244">
        <v>949.66</v>
      </c>
      <c r="H244" s="13">
        <f t="shared" si="27"/>
        <v>0.11499878905303948</v>
      </c>
      <c r="I244" s="9">
        <f t="shared" si="31"/>
        <v>368743.75509711792</v>
      </c>
      <c r="J244">
        <v>341860.91391372005</v>
      </c>
      <c r="K244" s="21">
        <f t="shared" si="28"/>
        <v>91614.319999999992</v>
      </c>
      <c r="L244" s="23">
        <f t="shared" si="29"/>
        <v>802218.99</v>
      </c>
      <c r="M244" s="22">
        <f t="shared" si="30"/>
        <v>-109454.01000000001</v>
      </c>
      <c r="N244" s="14">
        <f t="shared" si="32"/>
        <v>-11.947259991669426</v>
      </c>
      <c r="O244" s="24">
        <f t="shared" si="33"/>
        <v>561553.29299999995</v>
      </c>
      <c r="P244" s="24">
        <f t="shared" si="34"/>
        <v>240665.69699999999</v>
      </c>
    </row>
    <row r="245" spans="1:16" x14ac:dyDescent="0.25">
      <c r="A245" s="17">
        <v>836</v>
      </c>
      <c r="B245" s="17">
        <v>1</v>
      </c>
      <c r="C245" s="1" t="s">
        <v>241</v>
      </c>
      <c r="D245">
        <v>29221</v>
      </c>
      <c r="E245">
        <v>215.26499999999999</v>
      </c>
      <c r="F245">
        <v>221</v>
      </c>
      <c r="G245">
        <v>91.67</v>
      </c>
      <c r="H245" s="13">
        <f t="shared" si="27"/>
        <v>0.41479638009049774</v>
      </c>
      <c r="I245" s="9">
        <f t="shared" si="31"/>
        <v>31251.899966063345</v>
      </c>
      <c r="J245">
        <v>0</v>
      </c>
      <c r="K245" s="21">
        <f t="shared" si="28"/>
        <v>2152.6499999999996</v>
      </c>
      <c r="L245" s="23">
        <f t="shared" si="29"/>
        <v>33404.550000000003</v>
      </c>
      <c r="M245" s="22">
        <f t="shared" si="30"/>
        <v>4183.5500000000029</v>
      </c>
      <c r="N245" s="14">
        <f t="shared" si="32"/>
        <v>19.434418042877397</v>
      </c>
      <c r="O245" s="24">
        <f t="shared" si="33"/>
        <v>23383.185000000001</v>
      </c>
      <c r="P245" s="24">
        <f t="shared" si="34"/>
        <v>10021.365</v>
      </c>
    </row>
    <row r="246" spans="1:16" x14ac:dyDescent="0.25">
      <c r="A246" s="17">
        <v>837</v>
      </c>
      <c r="B246" s="17">
        <v>1</v>
      </c>
      <c r="C246" s="1" t="s">
        <v>242</v>
      </c>
      <c r="D246">
        <v>79000</v>
      </c>
      <c r="E246">
        <v>520.8934999999999</v>
      </c>
      <c r="F246">
        <v>532</v>
      </c>
      <c r="G246">
        <v>211.15</v>
      </c>
      <c r="H246" s="13">
        <f t="shared" si="27"/>
        <v>0.39689849624060153</v>
      </c>
      <c r="I246" s="9">
        <f t="shared" si="31"/>
        <v>72359.646398026307</v>
      </c>
      <c r="J246">
        <v>453.3153118421094</v>
      </c>
      <c r="K246" s="21">
        <f t="shared" si="28"/>
        <v>5208.9349999999995</v>
      </c>
      <c r="L246" s="23">
        <f t="shared" si="29"/>
        <v>78021.899999999994</v>
      </c>
      <c r="M246" s="22">
        <f t="shared" si="30"/>
        <v>-978.10000000000582</v>
      </c>
      <c r="N246" s="14">
        <f t="shared" si="32"/>
        <v>-1.8777350840431029</v>
      </c>
      <c r="O246" s="24">
        <f t="shared" si="33"/>
        <v>54615.329999999994</v>
      </c>
      <c r="P246" s="24">
        <f t="shared" si="34"/>
        <v>23406.569999999996</v>
      </c>
    </row>
    <row r="247" spans="1:16" x14ac:dyDescent="0.25">
      <c r="A247" s="17">
        <v>840</v>
      </c>
      <c r="B247" s="17">
        <v>1</v>
      </c>
      <c r="C247" s="1" t="s">
        <v>243</v>
      </c>
      <c r="D247">
        <v>143187</v>
      </c>
      <c r="E247">
        <v>1046.3040000000001</v>
      </c>
      <c r="F247">
        <v>1043</v>
      </c>
      <c r="G247">
        <v>453.2</v>
      </c>
      <c r="H247" s="13">
        <f t="shared" si="27"/>
        <v>0.43451581975071907</v>
      </c>
      <c r="I247" s="9">
        <f t="shared" si="31"/>
        <v>159122.47409395975</v>
      </c>
      <c r="J247">
        <v>0</v>
      </c>
      <c r="K247" s="21">
        <f t="shared" si="28"/>
        <v>10463.040000000001</v>
      </c>
      <c r="L247" s="23">
        <f t="shared" si="29"/>
        <v>169585.51</v>
      </c>
      <c r="M247" s="22">
        <f t="shared" si="30"/>
        <v>26398.510000000009</v>
      </c>
      <c r="N247" s="14">
        <f t="shared" si="32"/>
        <v>25.230248570205223</v>
      </c>
      <c r="O247" s="24">
        <f t="shared" si="33"/>
        <v>118709.857</v>
      </c>
      <c r="P247" s="24">
        <f t="shared" si="34"/>
        <v>50875.652999999998</v>
      </c>
    </row>
    <row r="248" spans="1:16" x14ac:dyDescent="0.25">
      <c r="A248" s="15">
        <v>846</v>
      </c>
      <c r="B248" s="15">
        <v>1</v>
      </c>
      <c r="C248" s="16" t="s">
        <v>244</v>
      </c>
      <c r="D248">
        <v>0</v>
      </c>
      <c r="E248">
        <v>762.88199999999995</v>
      </c>
      <c r="F248">
        <v>685</v>
      </c>
      <c r="G248">
        <v>55.620000000000005</v>
      </c>
      <c r="H248" s="13">
        <f t="shared" si="27"/>
        <v>8.1197080291970813E-2</v>
      </c>
      <c r="I248" s="9">
        <f t="shared" si="31"/>
        <v>21680.326852554746</v>
      </c>
      <c r="J248">
        <v>0</v>
      </c>
      <c r="K248" s="21">
        <f t="shared" si="28"/>
        <v>0</v>
      </c>
      <c r="L248" s="23">
        <f t="shared" si="29"/>
        <v>0</v>
      </c>
      <c r="M248" s="22">
        <f t="shared" si="30"/>
        <v>0</v>
      </c>
      <c r="N248" s="14">
        <f t="shared" si="32"/>
        <v>0</v>
      </c>
      <c r="O248" s="24">
        <f t="shared" si="33"/>
        <v>0</v>
      </c>
      <c r="P248" s="24">
        <f t="shared" si="34"/>
        <v>0</v>
      </c>
    </row>
    <row r="249" spans="1:16" x14ac:dyDescent="0.25">
      <c r="A249" s="17">
        <v>850</v>
      </c>
      <c r="B249" s="17">
        <v>1</v>
      </c>
      <c r="C249" s="1" t="s">
        <v>245</v>
      </c>
      <c r="D249">
        <v>0</v>
      </c>
      <c r="E249">
        <v>287.58</v>
      </c>
      <c r="F249">
        <v>261</v>
      </c>
      <c r="G249">
        <v>13.39</v>
      </c>
      <c r="H249" s="13">
        <f t="shared" si="27"/>
        <v>5.1302681992337167E-2</v>
      </c>
      <c r="I249" s="9">
        <f t="shared" si="31"/>
        <v>5163.7688505747128</v>
      </c>
      <c r="J249">
        <v>0</v>
      </c>
      <c r="K249" s="21">
        <f t="shared" si="28"/>
        <v>0</v>
      </c>
      <c r="L249" s="23">
        <f t="shared" si="29"/>
        <v>0</v>
      </c>
      <c r="M249" s="22">
        <f t="shared" si="30"/>
        <v>0</v>
      </c>
      <c r="N249" s="14">
        <f t="shared" si="32"/>
        <v>0</v>
      </c>
      <c r="O249" s="24">
        <f t="shared" si="33"/>
        <v>0</v>
      </c>
      <c r="P249" s="24">
        <f t="shared" si="34"/>
        <v>0</v>
      </c>
    </row>
    <row r="250" spans="1:16" x14ac:dyDescent="0.25">
      <c r="A250" s="15">
        <v>852</v>
      </c>
      <c r="B250" s="15">
        <v>1</v>
      </c>
      <c r="C250" s="16" t="s">
        <v>246</v>
      </c>
      <c r="D250">
        <v>0</v>
      </c>
      <c r="E250">
        <v>128.7115</v>
      </c>
      <c r="F250">
        <v>137</v>
      </c>
      <c r="G250">
        <v>15.450000000000001</v>
      </c>
      <c r="H250" s="13">
        <f t="shared" si="27"/>
        <v>0.11277372262773723</v>
      </c>
      <c r="I250" s="9">
        <f t="shared" si="31"/>
        <v>5080.3462500000005</v>
      </c>
      <c r="J250">
        <v>0</v>
      </c>
      <c r="K250" s="21">
        <f t="shared" si="28"/>
        <v>0</v>
      </c>
      <c r="L250" s="23">
        <f t="shared" si="29"/>
        <v>0</v>
      </c>
      <c r="M250" s="22">
        <f t="shared" si="30"/>
        <v>0</v>
      </c>
      <c r="N250" s="14">
        <f t="shared" si="32"/>
        <v>0</v>
      </c>
      <c r="O250" s="24">
        <f t="shared" si="33"/>
        <v>0</v>
      </c>
      <c r="P250" s="24">
        <f t="shared" si="34"/>
        <v>0</v>
      </c>
    </row>
    <row r="251" spans="1:16" x14ac:dyDescent="0.25">
      <c r="A251" s="15">
        <v>857</v>
      </c>
      <c r="B251" s="15">
        <v>1</v>
      </c>
      <c r="C251" s="16" t="s">
        <v>247</v>
      </c>
      <c r="D251">
        <v>0</v>
      </c>
      <c r="E251">
        <v>848.03199999999993</v>
      </c>
      <c r="F251">
        <v>746</v>
      </c>
      <c r="G251">
        <v>46.35</v>
      </c>
      <c r="H251" s="13">
        <f t="shared" si="27"/>
        <v>6.2131367292225202E-2</v>
      </c>
      <c r="I251" s="9">
        <f t="shared" si="31"/>
        <v>18441.285683646111</v>
      </c>
      <c r="J251">
        <v>0</v>
      </c>
      <c r="K251" s="21">
        <f t="shared" si="28"/>
        <v>0</v>
      </c>
      <c r="L251" s="23">
        <f t="shared" si="29"/>
        <v>0</v>
      </c>
      <c r="M251" s="22">
        <f t="shared" si="30"/>
        <v>0</v>
      </c>
      <c r="N251" s="14">
        <f t="shared" si="32"/>
        <v>0</v>
      </c>
      <c r="O251" s="24">
        <f t="shared" si="33"/>
        <v>0</v>
      </c>
      <c r="P251" s="24">
        <f t="shared" si="34"/>
        <v>0</v>
      </c>
    </row>
    <row r="252" spans="1:16" x14ac:dyDescent="0.25">
      <c r="A252" s="15">
        <v>858</v>
      </c>
      <c r="B252" s="15">
        <v>1</v>
      </c>
      <c r="C252" s="16" t="s">
        <v>248</v>
      </c>
      <c r="D252">
        <v>0</v>
      </c>
      <c r="E252">
        <v>1064.8399999999999</v>
      </c>
      <c r="F252">
        <v>977</v>
      </c>
      <c r="G252">
        <v>187.46</v>
      </c>
      <c r="H252" s="13">
        <f t="shared" si="27"/>
        <v>0.19187308085977484</v>
      </c>
      <c r="I252" s="9">
        <f t="shared" si="31"/>
        <v>71509.94599795292</v>
      </c>
      <c r="J252">
        <v>0</v>
      </c>
      <c r="K252" s="21">
        <f t="shared" si="28"/>
        <v>0</v>
      </c>
      <c r="L252" s="23">
        <f t="shared" si="29"/>
        <v>0</v>
      </c>
      <c r="M252" s="22">
        <f t="shared" si="30"/>
        <v>0</v>
      </c>
      <c r="N252" s="14">
        <f t="shared" si="32"/>
        <v>0</v>
      </c>
      <c r="O252" s="24">
        <f t="shared" si="33"/>
        <v>0</v>
      </c>
      <c r="P252" s="24">
        <f t="shared" si="34"/>
        <v>0</v>
      </c>
    </row>
    <row r="253" spans="1:16" x14ac:dyDescent="0.25">
      <c r="A253" s="15">
        <v>861</v>
      </c>
      <c r="B253" s="15">
        <v>1</v>
      </c>
      <c r="C253" s="16" t="s">
        <v>249</v>
      </c>
      <c r="D253">
        <v>0</v>
      </c>
      <c r="E253">
        <v>3239.2059999999997</v>
      </c>
      <c r="F253">
        <v>3175</v>
      </c>
      <c r="G253">
        <v>456.29</v>
      </c>
      <c r="H253" s="13">
        <f t="shared" si="27"/>
        <v>0.14371338582677165</v>
      </c>
      <c r="I253" s="9">
        <f t="shared" si="31"/>
        <v>162931.04157763778</v>
      </c>
      <c r="J253">
        <v>0</v>
      </c>
      <c r="K253" s="21">
        <f t="shared" si="28"/>
        <v>0</v>
      </c>
      <c r="L253" s="23">
        <f t="shared" si="29"/>
        <v>0</v>
      </c>
      <c r="M253" s="22">
        <f t="shared" si="30"/>
        <v>0</v>
      </c>
      <c r="N253" s="14">
        <f t="shared" si="32"/>
        <v>0</v>
      </c>
      <c r="O253" s="24">
        <f t="shared" si="33"/>
        <v>0</v>
      </c>
      <c r="P253" s="24">
        <f t="shared" si="34"/>
        <v>0</v>
      </c>
    </row>
    <row r="254" spans="1:16" x14ac:dyDescent="0.25">
      <c r="A254" s="17">
        <v>876</v>
      </c>
      <c r="B254" s="17">
        <v>1</v>
      </c>
      <c r="C254" s="1" t="s">
        <v>250</v>
      </c>
      <c r="D254">
        <v>171000</v>
      </c>
      <c r="E254">
        <v>1767.5360000000001</v>
      </c>
      <c r="F254">
        <v>1668</v>
      </c>
      <c r="G254">
        <v>67.98</v>
      </c>
      <c r="H254" s="13">
        <f t="shared" si="27"/>
        <v>4.0755395683453238E-2</v>
      </c>
      <c r="I254" s="9">
        <f t="shared" si="31"/>
        <v>25212.820172661875</v>
      </c>
      <c r="J254">
        <v>96022.993250071944</v>
      </c>
      <c r="K254" s="21">
        <f t="shared" si="28"/>
        <v>17675.36</v>
      </c>
      <c r="L254" s="23">
        <f t="shared" si="29"/>
        <v>138911.17000000001</v>
      </c>
      <c r="M254" s="22">
        <f t="shared" si="30"/>
        <v>-32088.829999999987</v>
      </c>
      <c r="N254" s="14">
        <f t="shared" si="32"/>
        <v>-18.154555267898356</v>
      </c>
      <c r="O254" s="24">
        <f t="shared" si="33"/>
        <v>97237.819000000003</v>
      </c>
      <c r="P254" s="24">
        <f t="shared" si="34"/>
        <v>41673.351000000002</v>
      </c>
    </row>
    <row r="255" spans="1:16" x14ac:dyDescent="0.25">
      <c r="A255" s="17">
        <v>877</v>
      </c>
      <c r="B255" s="17">
        <v>1</v>
      </c>
      <c r="C255" s="1" t="s">
        <v>251</v>
      </c>
      <c r="D255">
        <v>616439.56000000006</v>
      </c>
      <c r="E255">
        <v>6423.7359999999999</v>
      </c>
      <c r="F255">
        <v>5888</v>
      </c>
      <c r="G255">
        <v>435.69</v>
      </c>
      <c r="H255" s="13">
        <f t="shared" si="27"/>
        <v>7.3996263586956518E-2</v>
      </c>
      <c r="I255" s="9">
        <f t="shared" si="31"/>
        <v>166366.36179415759</v>
      </c>
      <c r="J255">
        <v>295519.6239785513</v>
      </c>
      <c r="K255" s="21">
        <f t="shared" si="28"/>
        <v>64237.36</v>
      </c>
      <c r="L255" s="23">
        <f t="shared" si="29"/>
        <v>526123.35</v>
      </c>
      <c r="M255" s="22">
        <f t="shared" si="30"/>
        <v>-90316.210000000079</v>
      </c>
      <c r="N255" s="14">
        <f t="shared" si="32"/>
        <v>-14.059763664011111</v>
      </c>
      <c r="O255" s="24">
        <f t="shared" si="33"/>
        <v>368286.34499999997</v>
      </c>
      <c r="P255" s="24">
        <f t="shared" si="34"/>
        <v>157837.00499999998</v>
      </c>
    </row>
    <row r="256" spans="1:16" x14ac:dyDescent="0.25">
      <c r="A256" s="15">
        <v>879</v>
      </c>
      <c r="B256" s="15">
        <v>1</v>
      </c>
      <c r="C256" s="16" t="s">
        <v>252</v>
      </c>
      <c r="D256">
        <v>0</v>
      </c>
      <c r="E256">
        <v>2579.7280000000001</v>
      </c>
      <c r="F256">
        <v>2340</v>
      </c>
      <c r="G256">
        <v>113.3</v>
      </c>
      <c r="H256" s="13">
        <f t="shared" si="27"/>
        <v>4.8418803418803419E-2</v>
      </c>
      <c r="I256" s="9">
        <f t="shared" si="31"/>
        <v>43717.570017094018</v>
      </c>
      <c r="J256">
        <v>0</v>
      </c>
      <c r="K256" s="21">
        <f t="shared" si="28"/>
        <v>0</v>
      </c>
      <c r="L256" s="23">
        <f t="shared" si="29"/>
        <v>0</v>
      </c>
      <c r="M256" s="22">
        <f t="shared" si="30"/>
        <v>0</v>
      </c>
      <c r="N256" s="14">
        <f t="shared" si="32"/>
        <v>0</v>
      </c>
      <c r="O256" s="24">
        <f t="shared" si="33"/>
        <v>0</v>
      </c>
      <c r="P256" s="24">
        <f t="shared" si="34"/>
        <v>0</v>
      </c>
    </row>
    <row r="257" spans="1:16" x14ac:dyDescent="0.25">
      <c r="A257" s="15">
        <v>881</v>
      </c>
      <c r="B257" s="15">
        <v>1</v>
      </c>
      <c r="C257" s="16" t="s">
        <v>253</v>
      </c>
      <c r="D257">
        <v>0</v>
      </c>
      <c r="E257">
        <v>1008.162</v>
      </c>
      <c r="F257">
        <v>936</v>
      </c>
      <c r="G257">
        <v>29.87</v>
      </c>
      <c r="H257" s="13">
        <f t="shared" si="27"/>
        <v>3.1912393162393166E-2</v>
      </c>
      <c r="I257" s="9">
        <f t="shared" si="31"/>
        <v>11260.501740384616</v>
      </c>
      <c r="J257">
        <v>0</v>
      </c>
      <c r="K257" s="21">
        <f t="shared" si="28"/>
        <v>0</v>
      </c>
      <c r="L257" s="23">
        <f t="shared" si="29"/>
        <v>0</v>
      </c>
      <c r="M257" s="22">
        <f t="shared" si="30"/>
        <v>0</v>
      </c>
      <c r="N257" s="14">
        <f t="shared" si="32"/>
        <v>0</v>
      </c>
      <c r="O257" s="24">
        <f t="shared" si="33"/>
        <v>0</v>
      </c>
      <c r="P257" s="24">
        <f t="shared" si="34"/>
        <v>0</v>
      </c>
    </row>
    <row r="258" spans="1:16" x14ac:dyDescent="0.25">
      <c r="A258" s="15">
        <v>882</v>
      </c>
      <c r="B258" s="15">
        <v>1</v>
      </c>
      <c r="C258" s="16" t="s">
        <v>254</v>
      </c>
      <c r="D258">
        <v>0</v>
      </c>
      <c r="E258">
        <v>4476.6080000000002</v>
      </c>
      <c r="F258">
        <v>4137</v>
      </c>
      <c r="G258">
        <v>406.85</v>
      </c>
      <c r="H258" s="13">
        <f t="shared" si="27"/>
        <v>9.8344210780759014E-2</v>
      </c>
      <c r="I258" s="9">
        <f t="shared" si="31"/>
        <v>154086.96825719121</v>
      </c>
      <c r="J258">
        <v>0</v>
      </c>
      <c r="K258" s="21">
        <f t="shared" si="28"/>
        <v>0</v>
      </c>
      <c r="L258" s="23">
        <f t="shared" si="29"/>
        <v>0</v>
      </c>
      <c r="M258" s="22">
        <f t="shared" si="30"/>
        <v>0</v>
      </c>
      <c r="N258" s="14">
        <f t="shared" si="32"/>
        <v>0</v>
      </c>
      <c r="O258" s="24">
        <f t="shared" si="33"/>
        <v>0</v>
      </c>
      <c r="P258" s="24">
        <f t="shared" si="34"/>
        <v>0</v>
      </c>
    </row>
    <row r="259" spans="1:16" x14ac:dyDescent="0.25">
      <c r="A259" s="17">
        <v>883</v>
      </c>
      <c r="B259" s="17">
        <v>1</v>
      </c>
      <c r="C259" s="1" t="s">
        <v>255</v>
      </c>
      <c r="D259">
        <v>165359.88</v>
      </c>
      <c r="E259">
        <v>1795.7640000000001</v>
      </c>
      <c r="F259">
        <v>1596</v>
      </c>
      <c r="G259">
        <v>189.52</v>
      </c>
      <c r="H259" s="13">
        <f t="shared" si="27"/>
        <v>0.11874686716791981</v>
      </c>
      <c r="I259" s="9">
        <f t="shared" si="31"/>
        <v>74634.472210526321</v>
      </c>
      <c r="J259">
        <v>61560.085434736837</v>
      </c>
      <c r="K259" s="21">
        <f t="shared" si="28"/>
        <v>17957.64</v>
      </c>
      <c r="L259" s="23">
        <f t="shared" si="29"/>
        <v>154152.20000000001</v>
      </c>
      <c r="M259" s="22">
        <f t="shared" si="30"/>
        <v>-11207.679999999993</v>
      </c>
      <c r="N259" s="14">
        <f t="shared" si="32"/>
        <v>-6.2411764574855004</v>
      </c>
      <c r="O259" s="24">
        <f t="shared" si="33"/>
        <v>107906.54000000001</v>
      </c>
      <c r="P259" s="24">
        <f t="shared" si="34"/>
        <v>46245.66</v>
      </c>
    </row>
    <row r="260" spans="1:16" x14ac:dyDescent="0.25">
      <c r="A260" s="15">
        <v>885</v>
      </c>
      <c r="B260" s="15">
        <v>1</v>
      </c>
      <c r="C260" s="16" t="s">
        <v>256</v>
      </c>
      <c r="D260">
        <v>0</v>
      </c>
      <c r="E260">
        <v>6371.1119999999992</v>
      </c>
      <c r="F260">
        <v>5645</v>
      </c>
      <c r="G260">
        <v>501.61</v>
      </c>
      <c r="H260" s="13">
        <f t="shared" si="27"/>
        <v>8.8859167404783002E-2</v>
      </c>
      <c r="I260" s="9">
        <f t="shared" si="31"/>
        <v>198146.09771691763</v>
      </c>
      <c r="J260">
        <v>0</v>
      </c>
      <c r="K260" s="21">
        <f t="shared" si="28"/>
        <v>0</v>
      </c>
      <c r="L260" s="23">
        <f t="shared" si="29"/>
        <v>0</v>
      </c>
      <c r="M260" s="22">
        <f t="shared" si="30"/>
        <v>0</v>
      </c>
      <c r="N260" s="14">
        <f t="shared" si="32"/>
        <v>0</v>
      </c>
      <c r="O260" s="24">
        <f t="shared" si="33"/>
        <v>0</v>
      </c>
      <c r="P260" s="24">
        <f t="shared" si="34"/>
        <v>0</v>
      </c>
    </row>
    <row r="261" spans="1:16" x14ac:dyDescent="0.25">
      <c r="A261" s="17">
        <v>891</v>
      </c>
      <c r="B261" s="17">
        <v>1</v>
      </c>
      <c r="C261" s="1" t="s">
        <v>257</v>
      </c>
      <c r="D261">
        <v>53785.96</v>
      </c>
      <c r="E261">
        <v>522.64400000000012</v>
      </c>
      <c r="F261">
        <v>500</v>
      </c>
      <c r="G261">
        <v>23.69</v>
      </c>
      <c r="H261" s="13">
        <f t="shared" si="27"/>
        <v>4.7380000000000005E-2</v>
      </c>
      <c r="I261" s="9">
        <f t="shared" si="31"/>
        <v>8667.0054520000031</v>
      </c>
      <c r="J261">
        <v>29089.510689360002</v>
      </c>
      <c r="K261" s="21">
        <f t="shared" si="28"/>
        <v>5226.4400000000014</v>
      </c>
      <c r="L261" s="23">
        <f t="shared" si="29"/>
        <v>42982.96</v>
      </c>
      <c r="M261" s="22">
        <f t="shared" si="30"/>
        <v>-10803</v>
      </c>
      <c r="N261" s="14">
        <f t="shared" si="32"/>
        <v>-20.669901500830388</v>
      </c>
      <c r="O261" s="24">
        <f t="shared" si="33"/>
        <v>30088.071999999996</v>
      </c>
      <c r="P261" s="24">
        <f t="shared" si="34"/>
        <v>12894.887999999999</v>
      </c>
    </row>
    <row r="262" spans="1:16" x14ac:dyDescent="0.25">
      <c r="A262" s="15">
        <v>911</v>
      </c>
      <c r="B262" s="15">
        <v>1</v>
      </c>
      <c r="C262" s="16" t="s">
        <v>258</v>
      </c>
      <c r="D262">
        <v>0</v>
      </c>
      <c r="E262">
        <v>5633.6885000000002</v>
      </c>
      <c r="F262">
        <v>5089</v>
      </c>
      <c r="G262">
        <v>355.35</v>
      </c>
      <c r="H262" s="13">
        <f t="shared" ref="H262:H325" si="35">IF(F262=0,0,G262/F262)</f>
        <v>6.9827078011397134E-2</v>
      </c>
      <c r="I262" s="9">
        <f t="shared" si="31"/>
        <v>137684.40223349383</v>
      </c>
      <c r="J262">
        <v>0</v>
      </c>
      <c r="K262" s="21">
        <f t="shared" ref="K262:K325" si="36">IF(D262&gt;0,E262*10,0)</f>
        <v>0</v>
      </c>
      <c r="L262" s="23">
        <f t="shared" ref="L262:L325" si="37">IF(D262=0,0,ROUND(I262+J262+K262,2))</f>
        <v>0</v>
      </c>
      <c r="M262" s="22">
        <f t="shared" ref="M262:M325" si="38">L262-D262</f>
        <v>0</v>
      </c>
      <c r="N262" s="14">
        <f t="shared" si="32"/>
        <v>0</v>
      </c>
      <c r="O262" s="24">
        <f t="shared" si="33"/>
        <v>0</v>
      </c>
      <c r="P262" s="24">
        <f t="shared" si="34"/>
        <v>0</v>
      </c>
    </row>
    <row r="263" spans="1:16" x14ac:dyDescent="0.25">
      <c r="A263" s="15">
        <v>912</v>
      </c>
      <c r="B263" s="15">
        <v>1</v>
      </c>
      <c r="C263" s="16" t="s">
        <v>259</v>
      </c>
      <c r="D263">
        <v>0</v>
      </c>
      <c r="E263">
        <v>1899.9490000000003</v>
      </c>
      <c r="F263">
        <v>1890</v>
      </c>
      <c r="G263">
        <v>73.13</v>
      </c>
      <c r="H263" s="13">
        <f t="shared" si="35"/>
        <v>3.8693121693121689E-2</v>
      </c>
      <c r="I263" s="9">
        <f t="shared" ref="I263:I326" si="39">E263*H263*350</f>
        <v>25730.235253703708</v>
      </c>
      <c r="J263">
        <v>0</v>
      </c>
      <c r="K263" s="21">
        <f t="shared" si="36"/>
        <v>0</v>
      </c>
      <c r="L263" s="23">
        <f t="shared" si="37"/>
        <v>0</v>
      </c>
      <c r="M263" s="22">
        <f t="shared" si="38"/>
        <v>0</v>
      </c>
      <c r="N263" s="14">
        <f t="shared" ref="N263:N326" si="40">IF(E263=0,0,M263/E263)</f>
        <v>0</v>
      </c>
      <c r="O263" s="24">
        <f t="shared" si="33"/>
        <v>0</v>
      </c>
      <c r="P263" s="24">
        <f t="shared" si="34"/>
        <v>0</v>
      </c>
    </row>
    <row r="264" spans="1:16" x14ac:dyDescent="0.25">
      <c r="A264" s="15">
        <v>914</v>
      </c>
      <c r="B264" s="15">
        <v>1</v>
      </c>
      <c r="C264" s="16" t="s">
        <v>260</v>
      </c>
      <c r="D264">
        <v>0</v>
      </c>
      <c r="E264">
        <v>343.21199999999999</v>
      </c>
      <c r="F264">
        <v>303</v>
      </c>
      <c r="G264">
        <v>30.900000000000002</v>
      </c>
      <c r="H264" s="13">
        <f t="shared" si="35"/>
        <v>0.10198019801980199</v>
      </c>
      <c r="I264" s="9">
        <f t="shared" si="39"/>
        <v>12250.289702970298</v>
      </c>
      <c r="J264">
        <v>0</v>
      </c>
      <c r="K264" s="21">
        <f t="shared" si="36"/>
        <v>0</v>
      </c>
      <c r="L264" s="23">
        <f t="shared" si="37"/>
        <v>0</v>
      </c>
      <c r="M264" s="22">
        <f t="shared" si="38"/>
        <v>0</v>
      </c>
      <c r="N264" s="14">
        <f t="shared" si="40"/>
        <v>0</v>
      </c>
      <c r="O264" s="24">
        <f t="shared" ref="O264:O327" si="41">0.7*L264</f>
        <v>0</v>
      </c>
      <c r="P264" s="24">
        <f t="shared" ref="P264:P327" si="42">0.3*L264</f>
        <v>0</v>
      </c>
    </row>
    <row r="265" spans="1:16" x14ac:dyDescent="0.25">
      <c r="A265" s="17">
        <v>2071</v>
      </c>
      <c r="B265" s="17">
        <v>1</v>
      </c>
      <c r="C265" s="1" t="s">
        <v>261</v>
      </c>
      <c r="D265">
        <v>73447.289999999994</v>
      </c>
      <c r="E265">
        <v>960.61999999999989</v>
      </c>
      <c r="F265">
        <v>821</v>
      </c>
      <c r="G265">
        <v>30.900000000000002</v>
      </c>
      <c r="H265" s="13">
        <f t="shared" si="35"/>
        <v>3.7637028014616325E-2</v>
      </c>
      <c r="I265" s="9">
        <f t="shared" si="39"/>
        <v>12654.208647990255</v>
      </c>
      <c r="J265">
        <v>40006.620143605352</v>
      </c>
      <c r="K265" s="21">
        <f t="shared" si="36"/>
        <v>9606.1999999999989</v>
      </c>
      <c r="L265" s="23">
        <f t="shared" si="37"/>
        <v>62267.03</v>
      </c>
      <c r="M265" s="22">
        <f t="shared" si="38"/>
        <v>-11180.259999999995</v>
      </c>
      <c r="N265" s="14">
        <f t="shared" si="40"/>
        <v>-11.638587578855319</v>
      </c>
      <c r="O265" s="24">
        <f t="shared" si="41"/>
        <v>43586.920999999995</v>
      </c>
      <c r="P265" s="24">
        <f t="shared" si="42"/>
        <v>18680.109</v>
      </c>
    </row>
    <row r="266" spans="1:16" x14ac:dyDescent="0.25">
      <c r="A266" s="15">
        <v>2125</v>
      </c>
      <c r="B266" s="15">
        <v>1</v>
      </c>
      <c r="C266" s="16" t="s">
        <v>262</v>
      </c>
      <c r="D266">
        <v>0</v>
      </c>
      <c r="E266">
        <v>1346.8140000000003</v>
      </c>
      <c r="F266">
        <v>1202</v>
      </c>
      <c r="G266">
        <v>214.24</v>
      </c>
      <c r="H266" s="13">
        <f t="shared" si="35"/>
        <v>0.17823627287853577</v>
      </c>
      <c r="I266" s="9">
        <f t="shared" si="39"/>
        <v>84017.887667221323</v>
      </c>
      <c r="J266">
        <v>0</v>
      </c>
      <c r="K266" s="21">
        <f t="shared" si="36"/>
        <v>0</v>
      </c>
      <c r="L266" s="23">
        <f t="shared" si="37"/>
        <v>0</v>
      </c>
      <c r="M266" s="22">
        <f t="shared" si="38"/>
        <v>0</v>
      </c>
      <c r="N266" s="14">
        <f t="shared" si="40"/>
        <v>0</v>
      </c>
      <c r="O266" s="24">
        <f t="shared" si="41"/>
        <v>0</v>
      </c>
      <c r="P266" s="24">
        <f t="shared" si="42"/>
        <v>0</v>
      </c>
    </row>
    <row r="267" spans="1:16" x14ac:dyDescent="0.25">
      <c r="A267" s="15">
        <v>2134</v>
      </c>
      <c r="B267" s="15">
        <v>1</v>
      </c>
      <c r="C267" s="16" t="s">
        <v>263</v>
      </c>
      <c r="D267">
        <v>0</v>
      </c>
      <c r="E267">
        <v>669.37649999999996</v>
      </c>
      <c r="F267">
        <v>640</v>
      </c>
      <c r="G267">
        <v>94.76</v>
      </c>
      <c r="H267" s="13">
        <f t="shared" si="35"/>
        <v>0.14806250000000001</v>
      </c>
      <c r="I267" s="9">
        <f t="shared" si="39"/>
        <v>34688.345310937504</v>
      </c>
      <c r="J267">
        <v>0</v>
      </c>
      <c r="K267" s="21">
        <f t="shared" si="36"/>
        <v>0</v>
      </c>
      <c r="L267" s="23">
        <f t="shared" si="37"/>
        <v>0</v>
      </c>
      <c r="M267" s="22">
        <f t="shared" si="38"/>
        <v>0</v>
      </c>
      <c r="N267" s="14">
        <f t="shared" si="40"/>
        <v>0</v>
      </c>
      <c r="O267" s="24">
        <f t="shared" si="41"/>
        <v>0</v>
      </c>
      <c r="P267" s="24">
        <f t="shared" si="42"/>
        <v>0</v>
      </c>
    </row>
    <row r="268" spans="1:16" x14ac:dyDescent="0.25">
      <c r="A268" s="17">
        <v>2135</v>
      </c>
      <c r="B268" s="17">
        <v>1</v>
      </c>
      <c r="C268" s="1" t="s">
        <v>264</v>
      </c>
      <c r="D268">
        <v>111253.75999999999</v>
      </c>
      <c r="E268">
        <v>1137.6400000000001</v>
      </c>
      <c r="F268">
        <v>1049</v>
      </c>
      <c r="G268">
        <v>44.29</v>
      </c>
      <c r="H268" s="13">
        <f t="shared" si="35"/>
        <v>4.2221163012392753E-2</v>
      </c>
      <c r="I268" s="9">
        <f t="shared" si="39"/>
        <v>16811.369361296474</v>
      </c>
      <c r="J268">
        <v>61139.211987340321</v>
      </c>
      <c r="K268" s="21">
        <f t="shared" si="36"/>
        <v>11376.400000000001</v>
      </c>
      <c r="L268" s="23">
        <f t="shared" si="37"/>
        <v>89326.98</v>
      </c>
      <c r="M268" s="22">
        <f t="shared" si="38"/>
        <v>-21926.78</v>
      </c>
      <c r="N268" s="14">
        <f t="shared" si="40"/>
        <v>-19.273917935374985</v>
      </c>
      <c r="O268" s="24">
        <f t="shared" si="41"/>
        <v>62528.885999999991</v>
      </c>
      <c r="P268" s="24">
        <f t="shared" si="42"/>
        <v>26798.093999999997</v>
      </c>
    </row>
    <row r="269" spans="1:16" x14ac:dyDescent="0.25">
      <c r="A269" s="8">
        <v>2137</v>
      </c>
      <c r="B269" s="15">
        <v>1</v>
      </c>
      <c r="C269" s="8" t="s">
        <v>265</v>
      </c>
      <c r="D269">
        <v>0</v>
      </c>
      <c r="E269">
        <v>615.88800000000003</v>
      </c>
      <c r="F269">
        <v>609</v>
      </c>
      <c r="G269">
        <v>13.39</v>
      </c>
      <c r="H269" s="13">
        <f t="shared" si="35"/>
        <v>2.1986863711001642E-2</v>
      </c>
      <c r="I269" s="9">
        <f t="shared" si="39"/>
        <v>4739.5059310344832</v>
      </c>
      <c r="J269">
        <v>0</v>
      </c>
      <c r="K269" s="21">
        <f t="shared" si="36"/>
        <v>0</v>
      </c>
      <c r="L269" s="23">
        <f t="shared" si="37"/>
        <v>0</v>
      </c>
      <c r="M269" s="22">
        <f t="shared" si="38"/>
        <v>0</v>
      </c>
      <c r="N269" s="14">
        <f t="shared" si="40"/>
        <v>0</v>
      </c>
      <c r="O269" s="24">
        <f t="shared" si="41"/>
        <v>0</v>
      </c>
      <c r="P269" s="24">
        <f t="shared" si="42"/>
        <v>0</v>
      </c>
    </row>
    <row r="270" spans="1:16" x14ac:dyDescent="0.25">
      <c r="A270" s="8">
        <v>2142</v>
      </c>
      <c r="B270" s="15">
        <v>1</v>
      </c>
      <c r="C270" s="8" t="s">
        <v>266</v>
      </c>
      <c r="D270">
        <v>0</v>
      </c>
      <c r="E270">
        <v>1978.0720000000003</v>
      </c>
      <c r="F270">
        <v>1923</v>
      </c>
      <c r="G270">
        <v>297.67</v>
      </c>
      <c r="H270" s="13">
        <f t="shared" si="35"/>
        <v>0.15479459178367136</v>
      </c>
      <c r="I270" s="9">
        <f t="shared" si="39"/>
        <v>107168.19671554865</v>
      </c>
      <c r="J270">
        <v>0</v>
      </c>
      <c r="K270" s="21">
        <f t="shared" si="36"/>
        <v>0</v>
      </c>
      <c r="L270" s="23">
        <f t="shared" si="37"/>
        <v>0</v>
      </c>
      <c r="M270" s="22">
        <f t="shared" si="38"/>
        <v>0</v>
      </c>
      <c r="N270" s="14">
        <f t="shared" si="40"/>
        <v>0</v>
      </c>
      <c r="O270" s="24">
        <f t="shared" si="41"/>
        <v>0</v>
      </c>
      <c r="P270" s="24">
        <f t="shared" si="42"/>
        <v>0</v>
      </c>
    </row>
    <row r="271" spans="1:16" x14ac:dyDescent="0.25">
      <c r="A271" s="17">
        <v>2143</v>
      </c>
      <c r="B271" s="17">
        <v>1</v>
      </c>
      <c r="C271" s="1" t="s">
        <v>267</v>
      </c>
      <c r="D271">
        <v>88872</v>
      </c>
      <c r="E271">
        <v>936.9100000000002</v>
      </c>
      <c r="F271">
        <v>857</v>
      </c>
      <c r="G271">
        <v>32.96</v>
      </c>
      <c r="H271" s="13">
        <f t="shared" si="35"/>
        <v>3.8459743290548423E-2</v>
      </c>
      <c r="I271" s="9">
        <f t="shared" si="39"/>
        <v>12611.661330221707</v>
      </c>
      <c r="J271">
        <v>49730.6608847608</v>
      </c>
      <c r="K271" s="21">
        <f t="shared" si="36"/>
        <v>9369.1000000000022</v>
      </c>
      <c r="L271" s="23">
        <f t="shared" si="37"/>
        <v>71711.42</v>
      </c>
      <c r="M271" s="22">
        <f t="shared" si="38"/>
        <v>-17160.580000000002</v>
      </c>
      <c r="N271" s="14">
        <f t="shared" si="40"/>
        <v>-18.316145627648332</v>
      </c>
      <c r="O271" s="24">
        <f t="shared" si="41"/>
        <v>50197.993999999999</v>
      </c>
      <c r="P271" s="24">
        <f t="shared" si="42"/>
        <v>21513.425999999999</v>
      </c>
    </row>
    <row r="272" spans="1:16" x14ac:dyDescent="0.25">
      <c r="A272" s="18">
        <v>2144</v>
      </c>
      <c r="B272" s="18">
        <v>1</v>
      </c>
      <c r="C272" s="18" t="s">
        <v>268</v>
      </c>
      <c r="D272">
        <v>0</v>
      </c>
      <c r="E272">
        <v>3645.6019999999999</v>
      </c>
      <c r="F272">
        <v>3384</v>
      </c>
      <c r="G272">
        <v>165.83</v>
      </c>
      <c r="H272" s="13">
        <f t="shared" si="35"/>
        <v>4.9004137115839244E-2</v>
      </c>
      <c r="I272" s="9">
        <f t="shared" si="39"/>
        <v>62527.353097222222</v>
      </c>
      <c r="J272">
        <v>0</v>
      </c>
      <c r="K272" s="21">
        <f t="shared" si="36"/>
        <v>0</v>
      </c>
      <c r="L272" s="23">
        <f t="shared" si="37"/>
        <v>0</v>
      </c>
      <c r="M272" s="22">
        <f t="shared" si="38"/>
        <v>0</v>
      </c>
      <c r="N272" s="14">
        <f t="shared" si="40"/>
        <v>0</v>
      </c>
      <c r="O272" s="24">
        <f t="shared" si="41"/>
        <v>0</v>
      </c>
      <c r="P272" s="24">
        <f t="shared" si="42"/>
        <v>0</v>
      </c>
    </row>
    <row r="273" spans="1:16" x14ac:dyDescent="0.25">
      <c r="A273" s="8">
        <v>2149</v>
      </c>
      <c r="B273" s="8">
        <v>1</v>
      </c>
      <c r="C273" s="8" t="s">
        <v>269</v>
      </c>
      <c r="D273">
        <v>0</v>
      </c>
      <c r="E273">
        <v>1094.173</v>
      </c>
      <c r="F273">
        <v>1102</v>
      </c>
      <c r="G273">
        <v>54.59</v>
      </c>
      <c r="H273" s="13">
        <f t="shared" si="35"/>
        <v>4.9537205081669693E-2</v>
      </c>
      <c r="I273" s="9">
        <f t="shared" si="39"/>
        <v>18970.79530353902</v>
      </c>
      <c r="J273">
        <v>0</v>
      </c>
      <c r="K273" s="21">
        <f t="shared" si="36"/>
        <v>0</v>
      </c>
      <c r="L273" s="23">
        <f t="shared" si="37"/>
        <v>0</v>
      </c>
      <c r="M273" s="22">
        <f t="shared" si="38"/>
        <v>0</v>
      </c>
      <c r="N273" s="14">
        <f t="shared" si="40"/>
        <v>0</v>
      </c>
      <c r="O273" s="24">
        <f t="shared" si="41"/>
        <v>0</v>
      </c>
      <c r="P273" s="24">
        <f t="shared" si="42"/>
        <v>0</v>
      </c>
    </row>
    <row r="274" spans="1:16" x14ac:dyDescent="0.25">
      <c r="A274" s="8">
        <v>2154</v>
      </c>
      <c r="B274" s="8">
        <v>1</v>
      </c>
      <c r="C274" s="8" t="s">
        <v>270</v>
      </c>
      <c r="D274">
        <v>0</v>
      </c>
      <c r="E274">
        <v>1196.396</v>
      </c>
      <c r="F274">
        <v>1103</v>
      </c>
      <c r="G274">
        <v>64.89</v>
      </c>
      <c r="H274" s="13">
        <f t="shared" si="35"/>
        <v>5.8830462375339981E-2</v>
      </c>
      <c r="I274" s="9">
        <f t="shared" si="39"/>
        <v>24634.585452402538</v>
      </c>
      <c r="J274">
        <v>0</v>
      </c>
      <c r="K274" s="21">
        <f t="shared" si="36"/>
        <v>0</v>
      </c>
      <c r="L274" s="23">
        <f t="shared" si="37"/>
        <v>0</v>
      </c>
      <c r="M274" s="22">
        <f t="shared" si="38"/>
        <v>0</v>
      </c>
      <c r="N274" s="14">
        <f t="shared" si="40"/>
        <v>0</v>
      </c>
      <c r="O274" s="24">
        <f t="shared" si="41"/>
        <v>0</v>
      </c>
      <c r="P274" s="24">
        <f t="shared" si="42"/>
        <v>0</v>
      </c>
    </row>
    <row r="275" spans="1:16" x14ac:dyDescent="0.25">
      <c r="A275" s="8">
        <v>2155</v>
      </c>
      <c r="B275" s="8">
        <v>1</v>
      </c>
      <c r="C275" s="8" t="s">
        <v>271</v>
      </c>
      <c r="D275">
        <v>0</v>
      </c>
      <c r="E275">
        <v>1095.144</v>
      </c>
      <c r="F275">
        <v>986</v>
      </c>
      <c r="G275">
        <v>75.19</v>
      </c>
      <c r="H275" s="13">
        <f t="shared" si="35"/>
        <v>7.625760649087221E-2</v>
      </c>
      <c r="I275" s="9">
        <f t="shared" si="39"/>
        <v>29229.571070993912</v>
      </c>
      <c r="J275">
        <v>0</v>
      </c>
      <c r="K275" s="21">
        <f t="shared" si="36"/>
        <v>0</v>
      </c>
      <c r="L275" s="23">
        <f t="shared" si="37"/>
        <v>0</v>
      </c>
      <c r="M275" s="22">
        <f t="shared" si="38"/>
        <v>0</v>
      </c>
      <c r="N275" s="14">
        <f t="shared" si="40"/>
        <v>0</v>
      </c>
      <c r="O275" s="24">
        <f t="shared" si="41"/>
        <v>0</v>
      </c>
      <c r="P275" s="24">
        <f t="shared" si="42"/>
        <v>0</v>
      </c>
    </row>
    <row r="276" spans="1:16" x14ac:dyDescent="0.25">
      <c r="A276" s="8">
        <v>2159</v>
      </c>
      <c r="B276" s="8">
        <v>1</v>
      </c>
      <c r="C276" s="8" t="s">
        <v>272</v>
      </c>
      <c r="D276">
        <v>0</v>
      </c>
      <c r="E276">
        <v>605.08799999999997</v>
      </c>
      <c r="F276">
        <v>571</v>
      </c>
      <c r="G276">
        <v>91.67</v>
      </c>
      <c r="H276" s="13">
        <f t="shared" si="35"/>
        <v>0.1605429071803853</v>
      </c>
      <c r="I276" s="9">
        <f t="shared" si="39"/>
        <v>33999.905316987737</v>
      </c>
      <c r="J276">
        <v>0</v>
      </c>
      <c r="K276" s="21">
        <f t="shared" si="36"/>
        <v>0</v>
      </c>
      <c r="L276" s="23">
        <f t="shared" si="37"/>
        <v>0</v>
      </c>
      <c r="M276" s="22">
        <f t="shared" si="38"/>
        <v>0</v>
      </c>
      <c r="N276" s="14">
        <f t="shared" si="40"/>
        <v>0</v>
      </c>
      <c r="O276" s="24">
        <f t="shared" si="41"/>
        <v>0</v>
      </c>
      <c r="P276" s="24">
        <f t="shared" si="42"/>
        <v>0</v>
      </c>
    </row>
    <row r="277" spans="1:16" x14ac:dyDescent="0.25">
      <c r="A277" s="8">
        <v>2164</v>
      </c>
      <c r="B277" s="8">
        <v>1</v>
      </c>
      <c r="C277" s="8" t="s">
        <v>273</v>
      </c>
      <c r="D277">
        <v>0</v>
      </c>
      <c r="E277">
        <v>1729.9680000000001</v>
      </c>
      <c r="F277">
        <v>1486</v>
      </c>
      <c r="G277">
        <v>108.15</v>
      </c>
      <c r="H277" s="13">
        <f t="shared" si="35"/>
        <v>7.2779273216689103E-2</v>
      </c>
      <c r="I277" s="9">
        <f t="shared" si="39"/>
        <v>44067.034804845229</v>
      </c>
      <c r="J277">
        <v>0</v>
      </c>
      <c r="K277" s="21">
        <f t="shared" si="36"/>
        <v>0</v>
      </c>
      <c r="L277" s="23">
        <f t="shared" si="37"/>
        <v>0</v>
      </c>
      <c r="M277" s="22">
        <f t="shared" si="38"/>
        <v>0</v>
      </c>
      <c r="N277" s="14">
        <f t="shared" si="40"/>
        <v>0</v>
      </c>
      <c r="O277" s="24">
        <f t="shared" si="41"/>
        <v>0</v>
      </c>
      <c r="P277" s="24">
        <f t="shared" si="42"/>
        <v>0</v>
      </c>
    </row>
    <row r="278" spans="1:16" x14ac:dyDescent="0.25">
      <c r="A278" s="8">
        <v>2165</v>
      </c>
      <c r="B278" s="8">
        <v>1</v>
      </c>
      <c r="C278" s="8" t="s">
        <v>274</v>
      </c>
      <c r="D278">
        <v>10000</v>
      </c>
      <c r="E278">
        <v>994.29499999999996</v>
      </c>
      <c r="F278">
        <v>980</v>
      </c>
      <c r="G278">
        <v>241.02</v>
      </c>
      <c r="H278" s="13">
        <f t="shared" si="35"/>
        <v>0.2459387755102041</v>
      </c>
      <c r="I278" s="9">
        <f t="shared" si="39"/>
        <v>85587.493178571429</v>
      </c>
      <c r="J278">
        <v>0</v>
      </c>
      <c r="K278" s="21">
        <f t="shared" si="36"/>
        <v>9942.9499999999989</v>
      </c>
      <c r="L278" s="23">
        <f t="shared" si="37"/>
        <v>95530.44</v>
      </c>
      <c r="M278" s="22">
        <f t="shared" si="38"/>
        <v>85530.44</v>
      </c>
      <c r="N278" s="14">
        <f t="shared" si="40"/>
        <v>86.021190894050562</v>
      </c>
      <c r="O278" s="24">
        <f t="shared" si="41"/>
        <v>66871.308000000005</v>
      </c>
      <c r="P278" s="24">
        <f t="shared" si="42"/>
        <v>28659.132000000001</v>
      </c>
    </row>
    <row r="279" spans="1:16" x14ac:dyDescent="0.25">
      <c r="A279" s="17">
        <v>2167</v>
      </c>
      <c r="B279" s="17">
        <v>1</v>
      </c>
      <c r="C279" s="1" t="s">
        <v>275</v>
      </c>
      <c r="D279">
        <v>63287</v>
      </c>
      <c r="E279">
        <v>714.43799999999999</v>
      </c>
      <c r="F279">
        <v>612</v>
      </c>
      <c r="G279">
        <v>38.11</v>
      </c>
      <c r="H279" s="13">
        <f t="shared" si="35"/>
        <v>6.2271241830065362E-2</v>
      </c>
      <c r="I279" s="9">
        <f t="shared" si="39"/>
        <v>15571.129514705883</v>
      </c>
      <c r="J279">
        <v>31184.409636470591</v>
      </c>
      <c r="K279" s="21">
        <f t="shared" si="36"/>
        <v>7144.38</v>
      </c>
      <c r="L279" s="23">
        <f t="shared" si="37"/>
        <v>53899.92</v>
      </c>
      <c r="M279" s="22">
        <f t="shared" si="38"/>
        <v>-9387.0800000000017</v>
      </c>
      <c r="N279" s="14">
        <f t="shared" si="40"/>
        <v>-13.139110741589896</v>
      </c>
      <c r="O279" s="24">
        <f t="shared" si="41"/>
        <v>37729.943999999996</v>
      </c>
      <c r="P279" s="24">
        <f t="shared" si="42"/>
        <v>16169.975999999999</v>
      </c>
    </row>
    <row r="280" spans="1:16" x14ac:dyDescent="0.25">
      <c r="A280" s="17">
        <v>2168</v>
      </c>
      <c r="B280" s="17">
        <v>1</v>
      </c>
      <c r="C280" s="1" t="s">
        <v>276</v>
      </c>
      <c r="D280">
        <v>0</v>
      </c>
      <c r="E280">
        <v>1044.4759999999999</v>
      </c>
      <c r="F280">
        <v>952</v>
      </c>
      <c r="G280">
        <v>18.54</v>
      </c>
      <c r="H280" s="13">
        <f t="shared" si="35"/>
        <v>1.9474789915966385E-2</v>
      </c>
      <c r="I280" s="9">
        <f t="shared" si="39"/>
        <v>7119.332735294116</v>
      </c>
      <c r="J280">
        <v>0</v>
      </c>
      <c r="K280" s="21">
        <f t="shared" si="36"/>
        <v>0</v>
      </c>
      <c r="L280" s="23">
        <f t="shared" si="37"/>
        <v>0</v>
      </c>
      <c r="M280" s="22">
        <f t="shared" si="38"/>
        <v>0</v>
      </c>
      <c r="N280" s="14">
        <f t="shared" si="40"/>
        <v>0</v>
      </c>
      <c r="O280" s="24">
        <f t="shared" si="41"/>
        <v>0</v>
      </c>
      <c r="P280" s="24">
        <f t="shared" si="42"/>
        <v>0</v>
      </c>
    </row>
    <row r="281" spans="1:16" x14ac:dyDescent="0.25">
      <c r="A281" s="17">
        <v>2169</v>
      </c>
      <c r="B281" s="17">
        <v>1</v>
      </c>
      <c r="C281" s="1" t="s">
        <v>277</v>
      </c>
      <c r="D281">
        <v>70000</v>
      </c>
      <c r="E281">
        <v>766.28200000000004</v>
      </c>
      <c r="F281">
        <v>736</v>
      </c>
      <c r="G281">
        <v>48.410000000000004</v>
      </c>
      <c r="H281" s="13">
        <f t="shared" si="35"/>
        <v>6.5774456521739133E-2</v>
      </c>
      <c r="I281" s="9">
        <f t="shared" si="39"/>
        <v>17640.623732336957</v>
      </c>
      <c r="J281">
        <v>33310.433592472822</v>
      </c>
      <c r="K281" s="21">
        <f t="shared" si="36"/>
        <v>7662.8200000000006</v>
      </c>
      <c r="L281" s="23">
        <f t="shared" si="37"/>
        <v>58613.88</v>
      </c>
      <c r="M281" s="22">
        <f t="shared" si="38"/>
        <v>-11386.120000000003</v>
      </c>
      <c r="N281" s="14">
        <f t="shared" si="40"/>
        <v>-14.85891616924318</v>
      </c>
      <c r="O281" s="24">
        <f t="shared" si="41"/>
        <v>41029.715999999993</v>
      </c>
      <c r="P281" s="24">
        <f t="shared" si="42"/>
        <v>17584.163999999997</v>
      </c>
    </row>
    <row r="282" spans="1:16" x14ac:dyDescent="0.25">
      <c r="A282" s="8">
        <v>2170</v>
      </c>
      <c r="B282" s="8">
        <v>1</v>
      </c>
      <c r="C282" s="8" t="s">
        <v>278</v>
      </c>
      <c r="D282">
        <v>0</v>
      </c>
      <c r="E282">
        <v>1336.088</v>
      </c>
      <c r="F282">
        <v>1178</v>
      </c>
      <c r="G282">
        <v>84.460000000000008</v>
      </c>
      <c r="H282" s="13">
        <f t="shared" si="35"/>
        <v>7.1697792869269958E-2</v>
      </c>
      <c r="I282" s="9">
        <f t="shared" si="39"/>
        <v>33528.096237691003</v>
      </c>
      <c r="J282">
        <v>0</v>
      </c>
      <c r="K282" s="21">
        <f t="shared" si="36"/>
        <v>0</v>
      </c>
      <c r="L282" s="23">
        <f t="shared" si="37"/>
        <v>0</v>
      </c>
      <c r="M282" s="22">
        <f t="shared" si="38"/>
        <v>0</v>
      </c>
      <c r="N282" s="14">
        <f t="shared" si="40"/>
        <v>0</v>
      </c>
      <c r="O282" s="24">
        <f t="shared" si="41"/>
        <v>0</v>
      </c>
      <c r="P282" s="24">
        <f t="shared" si="42"/>
        <v>0</v>
      </c>
    </row>
    <row r="283" spans="1:16" x14ac:dyDescent="0.25">
      <c r="A283" s="8">
        <v>2171</v>
      </c>
      <c r="B283" s="8">
        <v>1</v>
      </c>
      <c r="C283" s="8" t="s">
        <v>279</v>
      </c>
      <c r="D283">
        <v>0</v>
      </c>
      <c r="E283">
        <v>279.23649999999998</v>
      </c>
      <c r="F283">
        <v>319</v>
      </c>
      <c r="G283">
        <v>21.63</v>
      </c>
      <c r="H283" s="13">
        <f t="shared" si="35"/>
        <v>6.7805642633228844E-2</v>
      </c>
      <c r="I283" s="9">
        <f t="shared" si="39"/>
        <v>6626.8336152037618</v>
      </c>
      <c r="J283">
        <v>0</v>
      </c>
      <c r="K283" s="21">
        <f t="shared" si="36"/>
        <v>0</v>
      </c>
      <c r="L283" s="23">
        <f t="shared" si="37"/>
        <v>0</v>
      </c>
      <c r="M283" s="22">
        <f t="shared" si="38"/>
        <v>0</v>
      </c>
      <c r="N283" s="14">
        <f t="shared" si="40"/>
        <v>0</v>
      </c>
      <c r="O283" s="24">
        <f t="shared" si="41"/>
        <v>0</v>
      </c>
      <c r="P283" s="24">
        <f t="shared" si="42"/>
        <v>0</v>
      </c>
    </row>
    <row r="284" spans="1:16" x14ac:dyDescent="0.25">
      <c r="A284" s="8">
        <v>2172</v>
      </c>
      <c r="B284" s="8">
        <v>1</v>
      </c>
      <c r="C284" s="8" t="s">
        <v>280</v>
      </c>
      <c r="D284">
        <v>0</v>
      </c>
      <c r="E284">
        <v>837.49649999999997</v>
      </c>
      <c r="F284">
        <v>846</v>
      </c>
      <c r="G284">
        <v>91.67</v>
      </c>
      <c r="H284" s="13">
        <f t="shared" si="35"/>
        <v>0.10835697399527187</v>
      </c>
      <c r="I284" s="9">
        <f t="shared" si="39"/>
        <v>31762.005265070926</v>
      </c>
      <c r="J284">
        <v>0</v>
      </c>
      <c r="K284" s="21">
        <f t="shared" si="36"/>
        <v>0</v>
      </c>
      <c r="L284" s="23">
        <f t="shared" si="37"/>
        <v>0</v>
      </c>
      <c r="M284" s="22">
        <f t="shared" si="38"/>
        <v>0</v>
      </c>
      <c r="N284" s="14">
        <f t="shared" si="40"/>
        <v>0</v>
      </c>
      <c r="O284" s="24">
        <f t="shared" si="41"/>
        <v>0</v>
      </c>
      <c r="P284" s="24">
        <f t="shared" si="42"/>
        <v>0</v>
      </c>
    </row>
    <row r="285" spans="1:16" x14ac:dyDescent="0.25">
      <c r="A285" s="8">
        <v>2174</v>
      </c>
      <c r="B285" s="8">
        <v>1</v>
      </c>
      <c r="C285" s="8" t="s">
        <v>281</v>
      </c>
      <c r="D285">
        <v>0</v>
      </c>
      <c r="E285">
        <v>962.81799999999998</v>
      </c>
      <c r="F285">
        <v>921</v>
      </c>
      <c r="G285">
        <v>66.95</v>
      </c>
      <c r="H285" s="13">
        <f t="shared" si="35"/>
        <v>7.2692725298588487E-2</v>
      </c>
      <c r="I285" s="9">
        <f t="shared" si="39"/>
        <v>24496.452535287728</v>
      </c>
      <c r="J285">
        <v>0</v>
      </c>
      <c r="K285" s="21">
        <f t="shared" si="36"/>
        <v>0</v>
      </c>
      <c r="L285" s="23">
        <f t="shared" si="37"/>
        <v>0</v>
      </c>
      <c r="M285" s="22">
        <f t="shared" si="38"/>
        <v>0</v>
      </c>
      <c r="N285" s="14">
        <f t="shared" si="40"/>
        <v>0</v>
      </c>
      <c r="O285" s="24">
        <f t="shared" si="41"/>
        <v>0</v>
      </c>
      <c r="P285" s="24">
        <f t="shared" si="42"/>
        <v>0</v>
      </c>
    </row>
    <row r="286" spans="1:16" x14ac:dyDescent="0.25">
      <c r="A286" s="8">
        <v>2176</v>
      </c>
      <c r="B286" s="8">
        <v>1</v>
      </c>
      <c r="C286" s="8" t="s">
        <v>282</v>
      </c>
      <c r="D286">
        <v>0</v>
      </c>
      <c r="E286">
        <v>442.78750000000002</v>
      </c>
      <c r="F286">
        <v>438</v>
      </c>
      <c r="G286">
        <v>81.37</v>
      </c>
      <c r="H286" s="13">
        <f t="shared" si="35"/>
        <v>0.18577625570776257</v>
      </c>
      <c r="I286" s="9">
        <f t="shared" si="39"/>
        <v>28790.791338470324</v>
      </c>
      <c r="J286">
        <v>0</v>
      </c>
      <c r="K286" s="21">
        <f t="shared" si="36"/>
        <v>0</v>
      </c>
      <c r="L286" s="23">
        <f t="shared" si="37"/>
        <v>0</v>
      </c>
      <c r="M286" s="22">
        <f t="shared" si="38"/>
        <v>0</v>
      </c>
      <c r="N286" s="14">
        <f t="shared" si="40"/>
        <v>0</v>
      </c>
      <c r="O286" s="24">
        <f t="shared" si="41"/>
        <v>0</v>
      </c>
      <c r="P286" s="24">
        <f t="shared" si="42"/>
        <v>0</v>
      </c>
    </row>
    <row r="287" spans="1:16" x14ac:dyDescent="0.25">
      <c r="A287" s="17">
        <v>2180</v>
      </c>
      <c r="B287" s="17">
        <v>1</v>
      </c>
      <c r="C287" s="1" t="s">
        <v>283</v>
      </c>
      <c r="D287">
        <v>70516.160000000003</v>
      </c>
      <c r="E287">
        <v>668.6020000000002</v>
      </c>
      <c r="F287">
        <v>677</v>
      </c>
      <c r="G287">
        <v>76.22</v>
      </c>
      <c r="H287" s="13">
        <f t="shared" si="35"/>
        <v>0.11258493353028065</v>
      </c>
      <c r="I287" s="9">
        <f t="shared" si="39"/>
        <v>26346.079104874454</v>
      </c>
      <c r="J287">
        <v>27788.354792259968</v>
      </c>
      <c r="K287" s="21">
        <f t="shared" si="36"/>
        <v>6686.0200000000023</v>
      </c>
      <c r="L287" s="23">
        <f t="shared" si="37"/>
        <v>60820.45</v>
      </c>
      <c r="M287" s="22">
        <f t="shared" si="38"/>
        <v>-9695.7100000000064</v>
      </c>
      <c r="N287" s="14">
        <f t="shared" si="40"/>
        <v>-14.501467240600542</v>
      </c>
      <c r="O287" s="24">
        <f t="shared" si="41"/>
        <v>42574.314999999995</v>
      </c>
      <c r="P287" s="24">
        <f t="shared" si="42"/>
        <v>18246.134999999998</v>
      </c>
    </row>
    <row r="288" spans="1:16" x14ac:dyDescent="0.25">
      <c r="A288" s="8">
        <v>2184</v>
      </c>
      <c r="B288" s="8">
        <v>1</v>
      </c>
      <c r="C288" s="8" t="s">
        <v>284</v>
      </c>
      <c r="D288">
        <v>0</v>
      </c>
      <c r="E288">
        <v>1246.1524999999999</v>
      </c>
      <c r="F288">
        <v>1215</v>
      </c>
      <c r="G288">
        <v>90.64</v>
      </c>
      <c r="H288" s="13">
        <f t="shared" si="35"/>
        <v>7.4600823045267495E-2</v>
      </c>
      <c r="I288" s="9">
        <f t="shared" si="39"/>
        <v>32537.400748971195</v>
      </c>
      <c r="J288">
        <v>0</v>
      </c>
      <c r="K288" s="21">
        <f t="shared" si="36"/>
        <v>0</v>
      </c>
      <c r="L288" s="23">
        <f t="shared" si="37"/>
        <v>0</v>
      </c>
      <c r="M288" s="22">
        <f t="shared" si="38"/>
        <v>0</v>
      </c>
      <c r="N288" s="14">
        <f t="shared" si="40"/>
        <v>0</v>
      </c>
      <c r="O288" s="24">
        <f t="shared" si="41"/>
        <v>0</v>
      </c>
      <c r="P288" s="24">
        <f t="shared" si="42"/>
        <v>0</v>
      </c>
    </row>
    <row r="289" spans="1:16" x14ac:dyDescent="0.25">
      <c r="A289" s="17">
        <v>2190</v>
      </c>
      <c r="B289" s="17">
        <v>1</v>
      </c>
      <c r="C289" s="1" t="s">
        <v>285</v>
      </c>
      <c r="D289">
        <v>120924.6</v>
      </c>
      <c r="E289">
        <v>868.33399999999995</v>
      </c>
      <c r="F289">
        <v>830</v>
      </c>
      <c r="G289">
        <v>263.68</v>
      </c>
      <c r="H289" s="13">
        <f t="shared" si="35"/>
        <v>0.3176867469879518</v>
      </c>
      <c r="I289" s="9">
        <f t="shared" si="39"/>
        <v>96550.371315662647</v>
      </c>
      <c r="J289">
        <v>11883.129955373495</v>
      </c>
      <c r="K289" s="21">
        <f t="shared" si="36"/>
        <v>8683.34</v>
      </c>
      <c r="L289" s="23">
        <f t="shared" si="37"/>
        <v>117116.84</v>
      </c>
      <c r="M289" s="22">
        <f t="shared" si="38"/>
        <v>-3807.7600000000093</v>
      </c>
      <c r="N289" s="14">
        <f t="shared" si="40"/>
        <v>-4.3851329096868366</v>
      </c>
      <c r="O289" s="24">
        <f t="shared" si="41"/>
        <v>81981.787999999986</v>
      </c>
      <c r="P289" s="24">
        <f t="shared" si="42"/>
        <v>35135.051999999996</v>
      </c>
    </row>
    <row r="290" spans="1:16" x14ac:dyDescent="0.25">
      <c r="A290" s="8">
        <v>2198</v>
      </c>
      <c r="B290" s="8">
        <v>1</v>
      </c>
      <c r="C290" s="8" t="s">
        <v>286</v>
      </c>
      <c r="D290">
        <v>0</v>
      </c>
      <c r="E290">
        <v>552.31699999999989</v>
      </c>
      <c r="F290">
        <v>567</v>
      </c>
      <c r="G290">
        <v>11.33</v>
      </c>
      <c r="H290" s="13">
        <f t="shared" si="35"/>
        <v>1.9982363315696649E-2</v>
      </c>
      <c r="I290" s="9">
        <f t="shared" si="39"/>
        <v>3862.8096358024682</v>
      </c>
      <c r="J290">
        <v>0</v>
      </c>
      <c r="K290" s="21">
        <f t="shared" si="36"/>
        <v>0</v>
      </c>
      <c r="L290" s="23">
        <f t="shared" si="37"/>
        <v>0</v>
      </c>
      <c r="M290" s="22">
        <f t="shared" si="38"/>
        <v>0</v>
      </c>
      <c r="N290" s="14">
        <f t="shared" si="40"/>
        <v>0</v>
      </c>
      <c r="O290" s="24">
        <f t="shared" si="41"/>
        <v>0</v>
      </c>
      <c r="P290" s="24">
        <f t="shared" si="42"/>
        <v>0</v>
      </c>
    </row>
    <row r="291" spans="1:16" x14ac:dyDescent="0.25">
      <c r="A291" s="8">
        <v>2215</v>
      </c>
      <c r="B291" s="8">
        <v>1</v>
      </c>
      <c r="C291" s="8" t="s">
        <v>287</v>
      </c>
      <c r="D291">
        <v>0</v>
      </c>
      <c r="E291">
        <v>309.95</v>
      </c>
      <c r="F291">
        <v>309</v>
      </c>
      <c r="G291">
        <v>51.5</v>
      </c>
      <c r="H291" s="13">
        <f t="shared" si="35"/>
        <v>0.16666666666666666</v>
      </c>
      <c r="I291" s="9">
        <f t="shared" si="39"/>
        <v>18080.416666666664</v>
      </c>
      <c r="J291">
        <v>0</v>
      </c>
      <c r="K291" s="21">
        <f t="shared" si="36"/>
        <v>0</v>
      </c>
      <c r="L291" s="23">
        <f t="shared" si="37"/>
        <v>0</v>
      </c>
      <c r="M291" s="22">
        <f t="shared" si="38"/>
        <v>0</v>
      </c>
      <c r="N291" s="14">
        <f t="shared" si="40"/>
        <v>0</v>
      </c>
      <c r="O291" s="24">
        <f t="shared" si="41"/>
        <v>0</v>
      </c>
      <c r="P291" s="24">
        <f t="shared" si="42"/>
        <v>0</v>
      </c>
    </row>
    <row r="292" spans="1:16" x14ac:dyDescent="0.25">
      <c r="A292" s="17">
        <v>2310</v>
      </c>
      <c r="B292" s="17">
        <v>1</v>
      </c>
      <c r="C292" s="1" t="s">
        <v>288</v>
      </c>
      <c r="D292">
        <v>179748.6</v>
      </c>
      <c r="E292">
        <v>1361.8440000000001</v>
      </c>
      <c r="F292">
        <v>1226</v>
      </c>
      <c r="G292">
        <v>313.12</v>
      </c>
      <c r="H292" s="13">
        <f t="shared" si="35"/>
        <v>0.25539967373572592</v>
      </c>
      <c r="I292" s="9">
        <f t="shared" si="39"/>
        <v>121735.07964763457</v>
      </c>
      <c r="J292">
        <v>37090.899119999987</v>
      </c>
      <c r="K292" s="21">
        <f t="shared" si="36"/>
        <v>13618.44</v>
      </c>
      <c r="L292" s="23">
        <f t="shared" si="37"/>
        <v>172444.42</v>
      </c>
      <c r="M292" s="22">
        <f t="shared" si="38"/>
        <v>-7304.179999999993</v>
      </c>
      <c r="N292" s="14">
        <f t="shared" si="40"/>
        <v>-5.3634483832215674</v>
      </c>
      <c r="O292" s="24">
        <f t="shared" si="41"/>
        <v>120711.094</v>
      </c>
      <c r="P292" s="24">
        <f t="shared" si="42"/>
        <v>51733.326000000001</v>
      </c>
    </row>
    <row r="293" spans="1:16" x14ac:dyDescent="0.25">
      <c r="A293" s="8">
        <v>2311</v>
      </c>
      <c r="B293" s="8">
        <v>1</v>
      </c>
      <c r="C293" s="8" t="s">
        <v>289</v>
      </c>
      <c r="D293">
        <v>0</v>
      </c>
      <c r="E293">
        <v>494.92200000000003</v>
      </c>
      <c r="F293">
        <v>440</v>
      </c>
      <c r="G293">
        <v>98.88</v>
      </c>
      <c r="H293" s="13">
        <f t="shared" si="35"/>
        <v>0.22472727272727272</v>
      </c>
      <c r="I293" s="9">
        <f t="shared" si="39"/>
        <v>38927.864945454545</v>
      </c>
      <c r="J293">
        <v>0</v>
      </c>
      <c r="K293" s="21">
        <f t="shared" si="36"/>
        <v>0</v>
      </c>
      <c r="L293" s="23">
        <f t="shared" si="37"/>
        <v>0</v>
      </c>
      <c r="M293" s="22">
        <f t="shared" si="38"/>
        <v>0</v>
      </c>
      <c r="N293" s="14">
        <f t="shared" si="40"/>
        <v>0</v>
      </c>
      <c r="O293" s="24">
        <f t="shared" si="41"/>
        <v>0</v>
      </c>
      <c r="P293" s="24">
        <f t="shared" si="42"/>
        <v>0</v>
      </c>
    </row>
    <row r="294" spans="1:16" x14ac:dyDescent="0.25">
      <c r="A294" s="8">
        <v>2342</v>
      </c>
      <c r="B294" s="8">
        <v>1</v>
      </c>
      <c r="C294" s="8" t="s">
        <v>290</v>
      </c>
      <c r="D294">
        <v>0</v>
      </c>
      <c r="E294">
        <v>757.16350000000011</v>
      </c>
      <c r="F294">
        <v>717</v>
      </c>
      <c r="G294">
        <v>35.020000000000003</v>
      </c>
      <c r="H294" s="13">
        <f t="shared" si="35"/>
        <v>4.8842398884239892E-2</v>
      </c>
      <c r="I294" s="9">
        <f t="shared" si="39"/>
        <v>12943.588590655512</v>
      </c>
      <c r="J294">
        <v>0</v>
      </c>
      <c r="K294" s="21">
        <f t="shared" si="36"/>
        <v>0</v>
      </c>
      <c r="L294" s="23">
        <f t="shared" si="37"/>
        <v>0</v>
      </c>
      <c r="M294" s="22">
        <f t="shared" si="38"/>
        <v>0</v>
      </c>
      <c r="N294" s="14">
        <f t="shared" si="40"/>
        <v>0</v>
      </c>
      <c r="O294" s="24">
        <f t="shared" si="41"/>
        <v>0</v>
      </c>
      <c r="P294" s="24">
        <f t="shared" si="42"/>
        <v>0</v>
      </c>
    </row>
    <row r="295" spans="1:16" x14ac:dyDescent="0.25">
      <c r="A295" s="8">
        <v>2358</v>
      </c>
      <c r="B295" s="8">
        <v>1</v>
      </c>
      <c r="C295" s="8" t="s">
        <v>291</v>
      </c>
      <c r="D295">
        <v>0</v>
      </c>
      <c r="E295">
        <v>221.51150000000004</v>
      </c>
      <c r="F295">
        <v>213</v>
      </c>
      <c r="G295">
        <v>8.24</v>
      </c>
      <c r="H295" s="13">
        <f t="shared" si="35"/>
        <v>3.8685446009389675E-2</v>
      </c>
      <c r="I295" s="9">
        <f t="shared" si="39"/>
        <v>2999.2449107981233</v>
      </c>
      <c r="J295">
        <v>0</v>
      </c>
      <c r="K295" s="21">
        <f t="shared" si="36"/>
        <v>0</v>
      </c>
      <c r="L295" s="23">
        <f t="shared" si="37"/>
        <v>0</v>
      </c>
      <c r="M295" s="22">
        <f t="shared" si="38"/>
        <v>0</v>
      </c>
      <c r="N295" s="14">
        <f t="shared" si="40"/>
        <v>0</v>
      </c>
      <c r="O295" s="24">
        <f t="shared" si="41"/>
        <v>0</v>
      </c>
      <c r="P295" s="24">
        <f t="shared" si="42"/>
        <v>0</v>
      </c>
    </row>
    <row r="296" spans="1:16" x14ac:dyDescent="0.25">
      <c r="A296" s="8">
        <v>2364</v>
      </c>
      <c r="B296" s="8">
        <v>1</v>
      </c>
      <c r="C296" s="8" t="s">
        <v>292</v>
      </c>
      <c r="D296">
        <v>0</v>
      </c>
      <c r="E296">
        <v>681.37949999999989</v>
      </c>
      <c r="F296">
        <v>680</v>
      </c>
      <c r="G296">
        <v>46.35</v>
      </c>
      <c r="H296" s="13">
        <f t="shared" si="35"/>
        <v>6.8161764705882352E-2</v>
      </c>
      <c r="I296" s="9">
        <f t="shared" si="39"/>
        <v>16255.410204044116</v>
      </c>
      <c r="J296">
        <v>0</v>
      </c>
      <c r="K296" s="21">
        <f t="shared" si="36"/>
        <v>0</v>
      </c>
      <c r="L296" s="23">
        <f t="shared" si="37"/>
        <v>0</v>
      </c>
      <c r="M296" s="22">
        <f t="shared" si="38"/>
        <v>0</v>
      </c>
      <c r="N296" s="14">
        <f t="shared" si="40"/>
        <v>0</v>
      </c>
      <c r="O296" s="24">
        <f t="shared" si="41"/>
        <v>0</v>
      </c>
      <c r="P296" s="24">
        <f t="shared" si="42"/>
        <v>0</v>
      </c>
    </row>
    <row r="297" spans="1:16" x14ac:dyDescent="0.25">
      <c r="A297" s="17">
        <v>2365</v>
      </c>
      <c r="B297" s="17">
        <v>1</v>
      </c>
      <c r="C297" s="1" t="s">
        <v>293</v>
      </c>
      <c r="D297">
        <v>82000</v>
      </c>
      <c r="E297">
        <v>931.72200000000021</v>
      </c>
      <c r="F297">
        <v>801</v>
      </c>
      <c r="G297">
        <v>164.8</v>
      </c>
      <c r="H297" s="13">
        <f t="shared" si="35"/>
        <v>0.20574282147315856</v>
      </c>
      <c r="I297" s="9">
        <f t="shared" si="39"/>
        <v>67093.289588015003</v>
      </c>
      <c r="J297">
        <v>10164.598334082399</v>
      </c>
      <c r="K297" s="21">
        <f t="shared" si="36"/>
        <v>9317.2200000000012</v>
      </c>
      <c r="L297" s="23">
        <f t="shared" si="37"/>
        <v>86575.11</v>
      </c>
      <c r="M297" s="22">
        <f t="shared" si="38"/>
        <v>4575.1100000000006</v>
      </c>
      <c r="N297" s="14">
        <f t="shared" si="40"/>
        <v>4.9103809934723017</v>
      </c>
      <c r="O297" s="24">
        <f t="shared" si="41"/>
        <v>60602.576999999997</v>
      </c>
      <c r="P297" s="24">
        <f t="shared" si="42"/>
        <v>25972.532999999999</v>
      </c>
    </row>
    <row r="298" spans="1:16" x14ac:dyDescent="0.25">
      <c r="A298" s="17">
        <v>2396</v>
      </c>
      <c r="B298" s="17">
        <v>1</v>
      </c>
      <c r="C298" s="1" t="s">
        <v>294</v>
      </c>
      <c r="D298">
        <v>81009.679999999993</v>
      </c>
      <c r="E298">
        <v>850.21600000000012</v>
      </c>
      <c r="F298">
        <v>787</v>
      </c>
      <c r="G298">
        <v>46.35</v>
      </c>
      <c r="H298" s="13">
        <f t="shared" si="35"/>
        <v>5.8894536213468872E-2</v>
      </c>
      <c r="I298" s="9">
        <f t="shared" si="39"/>
        <v>17525.576950444731</v>
      </c>
      <c r="J298">
        <v>42012.7300503812</v>
      </c>
      <c r="K298" s="21">
        <f t="shared" si="36"/>
        <v>8502.1600000000017</v>
      </c>
      <c r="L298" s="23">
        <f t="shared" si="37"/>
        <v>68040.47</v>
      </c>
      <c r="M298" s="22">
        <f t="shared" si="38"/>
        <v>-12969.209999999992</v>
      </c>
      <c r="N298" s="14">
        <f t="shared" si="40"/>
        <v>-15.254017802534873</v>
      </c>
      <c r="O298" s="24">
        <f t="shared" si="41"/>
        <v>47628.328999999998</v>
      </c>
      <c r="P298" s="24">
        <f t="shared" si="42"/>
        <v>20412.141</v>
      </c>
    </row>
    <row r="299" spans="1:16" x14ac:dyDescent="0.25">
      <c r="A299" s="8">
        <v>2397</v>
      </c>
      <c r="B299" s="8">
        <v>1</v>
      </c>
      <c r="C299" s="8" t="s">
        <v>295</v>
      </c>
      <c r="D299">
        <v>0</v>
      </c>
      <c r="E299">
        <v>1129.2359999999999</v>
      </c>
      <c r="F299">
        <v>1076</v>
      </c>
      <c r="G299">
        <v>204.97</v>
      </c>
      <c r="H299" s="13">
        <f t="shared" si="35"/>
        <v>0.19049256505576209</v>
      </c>
      <c r="I299" s="9">
        <f t="shared" si="39"/>
        <v>75288.871767657984</v>
      </c>
      <c r="J299">
        <v>0</v>
      </c>
      <c r="K299" s="21">
        <f t="shared" si="36"/>
        <v>0</v>
      </c>
      <c r="L299" s="23">
        <f t="shared" si="37"/>
        <v>0</v>
      </c>
      <c r="M299" s="22">
        <f t="shared" si="38"/>
        <v>0</v>
      </c>
      <c r="N299" s="14">
        <f t="shared" si="40"/>
        <v>0</v>
      </c>
      <c r="O299" s="24">
        <f t="shared" si="41"/>
        <v>0</v>
      </c>
      <c r="P299" s="24">
        <f t="shared" si="42"/>
        <v>0</v>
      </c>
    </row>
    <row r="300" spans="1:16" x14ac:dyDescent="0.25">
      <c r="A300" s="17">
        <v>2448</v>
      </c>
      <c r="B300" s="17">
        <v>1</v>
      </c>
      <c r="C300" s="1" t="s">
        <v>296</v>
      </c>
      <c r="D300">
        <v>37150</v>
      </c>
      <c r="E300">
        <v>837.87</v>
      </c>
      <c r="F300">
        <v>758</v>
      </c>
      <c r="G300">
        <v>32.96</v>
      </c>
      <c r="H300" s="13">
        <f t="shared" si="35"/>
        <v>4.3482849604221635E-2</v>
      </c>
      <c r="I300" s="9">
        <f t="shared" si="39"/>
        <v>12751.541319261214</v>
      </c>
      <c r="J300">
        <v>15933.297126332454</v>
      </c>
      <c r="K300" s="21">
        <f t="shared" si="36"/>
        <v>8378.7000000000007</v>
      </c>
      <c r="L300" s="23">
        <f t="shared" si="37"/>
        <v>37063.54</v>
      </c>
      <c r="M300" s="22">
        <f t="shared" si="38"/>
        <v>-86.459999999999127</v>
      </c>
      <c r="N300" s="14">
        <f t="shared" si="40"/>
        <v>-0.10319023237494973</v>
      </c>
      <c r="O300" s="24">
        <f t="shared" si="41"/>
        <v>25944.477999999999</v>
      </c>
      <c r="P300" s="24">
        <f t="shared" si="42"/>
        <v>11119.062</v>
      </c>
    </row>
    <row r="301" spans="1:16" x14ac:dyDescent="0.25">
      <c r="A301" s="8">
        <v>2527</v>
      </c>
      <c r="B301" s="8">
        <v>1</v>
      </c>
      <c r="C301" s="8" t="s">
        <v>297</v>
      </c>
      <c r="D301">
        <v>0</v>
      </c>
      <c r="E301">
        <v>306.39699999999999</v>
      </c>
      <c r="F301">
        <v>289</v>
      </c>
      <c r="G301">
        <v>27.810000000000002</v>
      </c>
      <c r="H301" s="13">
        <f t="shared" si="35"/>
        <v>9.6228373702422154E-2</v>
      </c>
      <c r="I301" s="9">
        <f t="shared" si="39"/>
        <v>10319.429756055364</v>
      </c>
      <c r="J301">
        <v>0</v>
      </c>
      <c r="K301" s="21">
        <f t="shared" si="36"/>
        <v>0</v>
      </c>
      <c r="L301" s="23">
        <f t="shared" si="37"/>
        <v>0</v>
      </c>
      <c r="M301" s="22">
        <f t="shared" si="38"/>
        <v>0</v>
      </c>
      <c r="N301" s="14">
        <f t="shared" si="40"/>
        <v>0</v>
      </c>
      <c r="O301" s="24">
        <f t="shared" si="41"/>
        <v>0</v>
      </c>
      <c r="P301" s="24">
        <f t="shared" si="42"/>
        <v>0</v>
      </c>
    </row>
    <row r="302" spans="1:16" x14ac:dyDescent="0.25">
      <c r="A302" s="17">
        <v>2534</v>
      </c>
      <c r="B302" s="17">
        <v>1</v>
      </c>
      <c r="C302" s="1" t="s">
        <v>298</v>
      </c>
      <c r="D302">
        <v>70034.080000000002</v>
      </c>
      <c r="E302">
        <v>713.44150000000002</v>
      </c>
      <c r="F302">
        <v>693</v>
      </c>
      <c r="G302">
        <v>103</v>
      </c>
      <c r="H302" s="13">
        <f t="shared" si="35"/>
        <v>0.14862914862914864</v>
      </c>
      <c r="I302" s="9">
        <f t="shared" si="39"/>
        <v>37113.370959595959</v>
      </c>
      <c r="J302">
        <v>19870.797466666667</v>
      </c>
      <c r="K302" s="21">
        <f t="shared" si="36"/>
        <v>7134.415</v>
      </c>
      <c r="L302" s="23">
        <f t="shared" si="37"/>
        <v>64118.58</v>
      </c>
      <c r="M302" s="22">
        <f t="shared" si="38"/>
        <v>-5915.5</v>
      </c>
      <c r="N302" s="14">
        <f t="shared" si="40"/>
        <v>-8.2914997235232324</v>
      </c>
      <c r="O302" s="24">
        <f t="shared" si="41"/>
        <v>44883.006000000001</v>
      </c>
      <c r="P302" s="24">
        <f t="shared" si="42"/>
        <v>19235.574000000001</v>
      </c>
    </row>
    <row r="303" spans="1:16" x14ac:dyDescent="0.25">
      <c r="A303" s="8">
        <v>2536</v>
      </c>
      <c r="B303" s="8">
        <v>1</v>
      </c>
      <c r="C303" s="8" t="s">
        <v>299</v>
      </c>
      <c r="D303">
        <v>0</v>
      </c>
      <c r="E303">
        <v>206.91549999999995</v>
      </c>
      <c r="F303">
        <v>205</v>
      </c>
      <c r="G303">
        <v>3.09</v>
      </c>
      <c r="H303" s="13">
        <f t="shared" si="35"/>
        <v>1.5073170731707317E-2</v>
      </c>
      <c r="I303" s="9">
        <f t="shared" si="39"/>
        <v>1091.6054304878046</v>
      </c>
      <c r="J303">
        <v>0</v>
      </c>
      <c r="K303" s="21">
        <f t="shared" si="36"/>
        <v>0</v>
      </c>
      <c r="L303" s="23">
        <f t="shared" si="37"/>
        <v>0</v>
      </c>
      <c r="M303" s="22">
        <f t="shared" si="38"/>
        <v>0</v>
      </c>
      <c r="N303" s="14">
        <f t="shared" si="40"/>
        <v>0</v>
      </c>
      <c r="O303" s="24">
        <f t="shared" si="41"/>
        <v>0</v>
      </c>
      <c r="P303" s="24">
        <f t="shared" si="42"/>
        <v>0</v>
      </c>
    </row>
    <row r="304" spans="1:16" x14ac:dyDescent="0.25">
      <c r="A304" s="8">
        <v>2580</v>
      </c>
      <c r="B304" s="8">
        <v>1</v>
      </c>
      <c r="C304" s="8" t="s">
        <v>300</v>
      </c>
      <c r="D304">
        <v>6000</v>
      </c>
      <c r="E304">
        <v>827.14599999999996</v>
      </c>
      <c r="F304">
        <v>777</v>
      </c>
      <c r="G304">
        <v>122.57000000000001</v>
      </c>
      <c r="H304" s="13">
        <f t="shared" si="35"/>
        <v>0.15774774774774775</v>
      </c>
      <c r="I304" s="9">
        <f t="shared" si="39"/>
        <v>45668.146495495486</v>
      </c>
      <c r="J304">
        <v>0</v>
      </c>
      <c r="K304" s="21">
        <f t="shared" si="36"/>
        <v>8271.4599999999991</v>
      </c>
      <c r="L304" s="23">
        <f t="shared" si="37"/>
        <v>53939.61</v>
      </c>
      <c r="M304" s="22">
        <f t="shared" si="38"/>
        <v>47939.61</v>
      </c>
      <c r="N304" s="14">
        <f t="shared" si="40"/>
        <v>57.957857500368739</v>
      </c>
      <c r="O304" s="24">
        <f t="shared" si="41"/>
        <v>37757.726999999999</v>
      </c>
      <c r="P304" s="24">
        <f t="shared" si="42"/>
        <v>16181.883</v>
      </c>
    </row>
    <row r="305" spans="1:16" x14ac:dyDescent="0.25">
      <c r="A305" s="8">
        <v>2609</v>
      </c>
      <c r="B305" s="8">
        <v>1</v>
      </c>
      <c r="C305" s="8" t="s">
        <v>301</v>
      </c>
      <c r="D305">
        <v>0</v>
      </c>
      <c r="E305">
        <v>418.71550000000002</v>
      </c>
      <c r="F305">
        <v>425</v>
      </c>
      <c r="G305">
        <v>18.54</v>
      </c>
      <c r="H305" s="13">
        <f t="shared" si="35"/>
        <v>4.3623529411764707E-2</v>
      </c>
      <c r="I305" s="9">
        <f t="shared" si="39"/>
        <v>6393.0467752941186</v>
      </c>
      <c r="J305">
        <v>0</v>
      </c>
      <c r="K305" s="21">
        <f t="shared" si="36"/>
        <v>0</v>
      </c>
      <c r="L305" s="23">
        <f t="shared" si="37"/>
        <v>0</v>
      </c>
      <c r="M305" s="22">
        <f t="shared" si="38"/>
        <v>0</v>
      </c>
      <c r="N305" s="14">
        <f t="shared" si="40"/>
        <v>0</v>
      </c>
      <c r="O305" s="24">
        <f t="shared" si="41"/>
        <v>0</v>
      </c>
      <c r="P305" s="24">
        <f t="shared" si="42"/>
        <v>0</v>
      </c>
    </row>
    <row r="306" spans="1:16" x14ac:dyDescent="0.25">
      <c r="A306" s="8">
        <v>2683</v>
      </c>
      <c r="B306" s="8">
        <v>1</v>
      </c>
      <c r="C306" s="8" t="s">
        <v>302</v>
      </c>
      <c r="D306">
        <v>0</v>
      </c>
      <c r="E306">
        <v>424.17850000000004</v>
      </c>
      <c r="F306">
        <v>447</v>
      </c>
      <c r="G306">
        <v>15.450000000000001</v>
      </c>
      <c r="H306" s="13">
        <f t="shared" si="35"/>
        <v>3.4563758389261748E-2</v>
      </c>
      <c r="I306" s="9">
        <f t="shared" si="39"/>
        <v>5131.4211157718128</v>
      </c>
      <c r="J306">
        <v>0</v>
      </c>
      <c r="K306" s="21">
        <f t="shared" si="36"/>
        <v>0</v>
      </c>
      <c r="L306" s="23">
        <f t="shared" si="37"/>
        <v>0</v>
      </c>
      <c r="M306" s="22">
        <f t="shared" si="38"/>
        <v>0</v>
      </c>
      <c r="N306" s="14">
        <f t="shared" si="40"/>
        <v>0</v>
      </c>
      <c r="O306" s="24">
        <f t="shared" si="41"/>
        <v>0</v>
      </c>
      <c r="P306" s="24">
        <f t="shared" si="42"/>
        <v>0</v>
      </c>
    </row>
    <row r="307" spans="1:16" x14ac:dyDescent="0.25">
      <c r="A307" s="8">
        <v>2687</v>
      </c>
      <c r="B307" s="8">
        <v>1</v>
      </c>
      <c r="C307" s="8" t="s">
        <v>303</v>
      </c>
      <c r="D307">
        <v>0</v>
      </c>
      <c r="E307">
        <v>1171.6205</v>
      </c>
      <c r="F307">
        <v>1124</v>
      </c>
      <c r="G307">
        <v>73.13</v>
      </c>
      <c r="H307" s="13">
        <f t="shared" si="35"/>
        <v>6.5062277580071173E-2</v>
      </c>
      <c r="I307" s="9">
        <f t="shared" si="39"/>
        <v>26679.90436632562</v>
      </c>
      <c r="J307">
        <v>0</v>
      </c>
      <c r="K307" s="21">
        <f t="shared" si="36"/>
        <v>0</v>
      </c>
      <c r="L307" s="23">
        <f t="shared" si="37"/>
        <v>0</v>
      </c>
      <c r="M307" s="22">
        <f t="shared" si="38"/>
        <v>0</v>
      </c>
      <c r="N307" s="14">
        <f t="shared" si="40"/>
        <v>0</v>
      </c>
      <c r="O307" s="24">
        <f t="shared" si="41"/>
        <v>0</v>
      </c>
      <c r="P307" s="24">
        <f t="shared" si="42"/>
        <v>0</v>
      </c>
    </row>
    <row r="308" spans="1:16" x14ac:dyDescent="0.25">
      <c r="A308" s="8">
        <v>2689</v>
      </c>
      <c r="B308" s="8">
        <v>1</v>
      </c>
      <c r="C308" s="8" t="s">
        <v>304</v>
      </c>
      <c r="D308">
        <v>0</v>
      </c>
      <c r="E308">
        <v>1217.2619999999999</v>
      </c>
      <c r="F308">
        <v>1150</v>
      </c>
      <c r="G308">
        <v>145.22999999999999</v>
      </c>
      <c r="H308" s="13">
        <f t="shared" si="35"/>
        <v>0.12628695652173913</v>
      </c>
      <c r="I308" s="9">
        <f t="shared" si="39"/>
        <v>53803.509644347825</v>
      </c>
      <c r="J308">
        <v>0</v>
      </c>
      <c r="K308" s="21">
        <f t="shared" si="36"/>
        <v>0</v>
      </c>
      <c r="L308" s="23">
        <f t="shared" si="37"/>
        <v>0</v>
      </c>
      <c r="M308" s="22">
        <f t="shared" si="38"/>
        <v>0</v>
      </c>
      <c r="N308" s="14">
        <f t="shared" si="40"/>
        <v>0</v>
      </c>
      <c r="O308" s="24">
        <f t="shared" si="41"/>
        <v>0</v>
      </c>
      <c r="P308" s="24">
        <f t="shared" si="42"/>
        <v>0</v>
      </c>
    </row>
    <row r="309" spans="1:16" x14ac:dyDescent="0.25">
      <c r="A309" s="8">
        <v>2711</v>
      </c>
      <c r="B309" s="8">
        <v>1</v>
      </c>
      <c r="C309" s="8" t="s">
        <v>305</v>
      </c>
      <c r="D309">
        <v>0</v>
      </c>
      <c r="E309">
        <v>966.35050000000012</v>
      </c>
      <c r="F309">
        <v>929</v>
      </c>
      <c r="G309">
        <v>56.65</v>
      </c>
      <c r="H309" s="13">
        <f t="shared" si="35"/>
        <v>6.0979547900968781E-2</v>
      </c>
      <c r="I309" s="9">
        <f t="shared" si="39"/>
        <v>20624.665811356299</v>
      </c>
      <c r="J309">
        <v>0</v>
      </c>
      <c r="K309" s="21">
        <f t="shared" si="36"/>
        <v>0</v>
      </c>
      <c r="L309" s="23">
        <f t="shared" si="37"/>
        <v>0</v>
      </c>
      <c r="M309" s="22">
        <f t="shared" si="38"/>
        <v>0</v>
      </c>
      <c r="N309" s="14">
        <f t="shared" si="40"/>
        <v>0</v>
      </c>
      <c r="O309" s="24">
        <f t="shared" si="41"/>
        <v>0</v>
      </c>
      <c r="P309" s="24">
        <f t="shared" si="42"/>
        <v>0</v>
      </c>
    </row>
    <row r="310" spans="1:16" x14ac:dyDescent="0.25">
      <c r="A310" s="8">
        <v>2752</v>
      </c>
      <c r="B310" s="8">
        <v>1</v>
      </c>
      <c r="C310" s="8" t="s">
        <v>306</v>
      </c>
      <c r="D310">
        <v>0</v>
      </c>
      <c r="E310">
        <v>1921.2295000000001</v>
      </c>
      <c r="F310">
        <v>1710</v>
      </c>
      <c r="G310">
        <v>178.19</v>
      </c>
      <c r="H310" s="13">
        <f t="shared" si="35"/>
        <v>0.10420467836257309</v>
      </c>
      <c r="I310" s="9">
        <f t="shared" si="39"/>
        <v>70070.385737865494</v>
      </c>
      <c r="J310">
        <v>0</v>
      </c>
      <c r="K310" s="21">
        <f t="shared" si="36"/>
        <v>0</v>
      </c>
      <c r="L310" s="23">
        <f t="shared" si="37"/>
        <v>0</v>
      </c>
      <c r="M310" s="22">
        <f t="shared" si="38"/>
        <v>0</v>
      </c>
      <c r="N310" s="14">
        <f t="shared" si="40"/>
        <v>0</v>
      </c>
      <c r="O310" s="24">
        <f t="shared" si="41"/>
        <v>0</v>
      </c>
      <c r="P310" s="24">
        <f t="shared" si="42"/>
        <v>0</v>
      </c>
    </row>
    <row r="311" spans="1:16" x14ac:dyDescent="0.25">
      <c r="A311" s="17">
        <v>2753</v>
      </c>
      <c r="B311" s="17">
        <v>1</v>
      </c>
      <c r="C311" s="1" t="s">
        <v>307</v>
      </c>
      <c r="D311">
        <v>138843.99</v>
      </c>
      <c r="E311">
        <v>978.4140000000001</v>
      </c>
      <c r="F311">
        <v>923</v>
      </c>
      <c r="G311">
        <v>333.72</v>
      </c>
      <c r="H311" s="13">
        <f t="shared" si="35"/>
        <v>0.36156013001083426</v>
      </c>
      <c r="I311" s="9">
        <f t="shared" si="39"/>
        <v>123814.42256554714</v>
      </c>
      <c r="J311">
        <v>6905.8277481256528</v>
      </c>
      <c r="K311" s="21">
        <f t="shared" si="36"/>
        <v>9784.1400000000012</v>
      </c>
      <c r="L311" s="23">
        <f t="shared" si="37"/>
        <v>140504.39000000001</v>
      </c>
      <c r="M311" s="22">
        <f t="shared" si="38"/>
        <v>1660.4000000000233</v>
      </c>
      <c r="N311" s="14">
        <f t="shared" si="40"/>
        <v>1.6970321356808296</v>
      </c>
      <c r="O311" s="24">
        <f t="shared" si="41"/>
        <v>98353.073000000004</v>
      </c>
      <c r="P311" s="24">
        <f t="shared" si="42"/>
        <v>42151.317000000003</v>
      </c>
    </row>
    <row r="312" spans="1:16" x14ac:dyDescent="0.25">
      <c r="A312" s="17">
        <v>2754</v>
      </c>
      <c r="B312" s="17">
        <v>1</v>
      </c>
      <c r="C312" s="1" t="s">
        <v>308</v>
      </c>
      <c r="D312">
        <v>42000</v>
      </c>
      <c r="E312">
        <v>572.01400000000001</v>
      </c>
      <c r="F312">
        <v>523</v>
      </c>
      <c r="G312">
        <v>98.88</v>
      </c>
      <c r="H312" s="13">
        <f t="shared" si="35"/>
        <v>0.18906309751434033</v>
      </c>
      <c r="I312" s="9">
        <f t="shared" si="39"/>
        <v>37851.358531548758</v>
      </c>
      <c r="J312">
        <v>1472.3121297131922</v>
      </c>
      <c r="K312" s="21">
        <f t="shared" si="36"/>
        <v>5720.14</v>
      </c>
      <c r="L312" s="23">
        <f t="shared" si="37"/>
        <v>45043.81</v>
      </c>
      <c r="M312" s="22">
        <f t="shared" si="38"/>
        <v>3043.8099999999977</v>
      </c>
      <c r="N312" s="14">
        <f t="shared" si="40"/>
        <v>5.3212159142957995</v>
      </c>
      <c r="O312" s="24">
        <f t="shared" si="41"/>
        <v>31530.666999999998</v>
      </c>
      <c r="P312" s="24">
        <f t="shared" si="42"/>
        <v>13513.142999999998</v>
      </c>
    </row>
    <row r="313" spans="1:16" x14ac:dyDescent="0.25">
      <c r="A313" s="17">
        <v>2759</v>
      </c>
      <c r="B313" s="17">
        <v>1</v>
      </c>
      <c r="C313" s="1" t="s">
        <v>309</v>
      </c>
      <c r="D313">
        <v>26665.279999999999</v>
      </c>
      <c r="E313">
        <v>302.76500000000004</v>
      </c>
      <c r="F313">
        <v>266</v>
      </c>
      <c r="G313">
        <v>14.42</v>
      </c>
      <c r="H313" s="13">
        <f t="shared" si="35"/>
        <v>5.4210526315789473E-2</v>
      </c>
      <c r="I313" s="9">
        <f t="shared" si="39"/>
        <v>5744.567500000001</v>
      </c>
      <c r="J313">
        <v>14366.21025631579</v>
      </c>
      <c r="K313" s="21">
        <f t="shared" si="36"/>
        <v>3027.6500000000005</v>
      </c>
      <c r="L313" s="23">
        <f t="shared" si="37"/>
        <v>23138.43</v>
      </c>
      <c r="M313" s="22">
        <f t="shared" si="38"/>
        <v>-3526.8499999999985</v>
      </c>
      <c r="N313" s="14">
        <f t="shared" si="40"/>
        <v>-11.64880352748831</v>
      </c>
      <c r="O313" s="24">
        <f t="shared" si="41"/>
        <v>16196.901</v>
      </c>
      <c r="P313" s="24">
        <f t="shared" si="42"/>
        <v>6941.5289999999995</v>
      </c>
    </row>
    <row r="314" spans="1:16" x14ac:dyDescent="0.25">
      <c r="A314" s="17">
        <v>2805</v>
      </c>
      <c r="B314" s="17">
        <v>1</v>
      </c>
      <c r="C314" s="1" t="s">
        <v>310</v>
      </c>
      <c r="D314">
        <v>39130</v>
      </c>
      <c r="E314">
        <v>1212.3679999999999</v>
      </c>
      <c r="F314">
        <v>1089</v>
      </c>
      <c r="G314">
        <v>87.55</v>
      </c>
      <c r="H314" s="13">
        <f t="shared" si="35"/>
        <v>8.0394857667584932E-2</v>
      </c>
      <c r="I314" s="9">
        <f t="shared" si="39"/>
        <v>34113.853480257108</v>
      </c>
      <c r="J314">
        <v>1614.1968499999982</v>
      </c>
      <c r="K314" s="21">
        <f t="shared" si="36"/>
        <v>12123.68</v>
      </c>
      <c r="L314" s="23">
        <f t="shared" si="37"/>
        <v>47851.73</v>
      </c>
      <c r="M314" s="22">
        <f t="shared" si="38"/>
        <v>8721.7300000000032</v>
      </c>
      <c r="N314" s="14">
        <f t="shared" si="40"/>
        <v>7.1939625592229453</v>
      </c>
      <c r="O314" s="24">
        <f t="shared" si="41"/>
        <v>33496.211000000003</v>
      </c>
      <c r="P314" s="24">
        <f t="shared" si="42"/>
        <v>14355.519</v>
      </c>
    </row>
    <row r="315" spans="1:16" x14ac:dyDescent="0.25">
      <c r="A315" s="8">
        <v>2835</v>
      </c>
      <c r="B315" s="8">
        <v>1</v>
      </c>
      <c r="C315" s="8" t="s">
        <v>311</v>
      </c>
      <c r="D315">
        <v>0</v>
      </c>
      <c r="E315">
        <v>642.00150000000008</v>
      </c>
      <c r="F315">
        <v>619</v>
      </c>
      <c r="G315">
        <v>19.57</v>
      </c>
      <c r="H315" s="13">
        <f t="shared" si="35"/>
        <v>3.1615508885298869E-2</v>
      </c>
      <c r="I315" s="9">
        <f t="shared" si="39"/>
        <v>7104.0214446688215</v>
      </c>
      <c r="J315">
        <v>0</v>
      </c>
      <c r="K315" s="21">
        <f t="shared" si="36"/>
        <v>0</v>
      </c>
      <c r="L315" s="23">
        <f t="shared" si="37"/>
        <v>0</v>
      </c>
      <c r="M315" s="22">
        <f t="shared" si="38"/>
        <v>0</v>
      </c>
      <c r="N315" s="14">
        <f t="shared" si="40"/>
        <v>0</v>
      </c>
      <c r="O315" s="24">
        <f t="shared" si="41"/>
        <v>0</v>
      </c>
      <c r="P315" s="24">
        <f t="shared" si="42"/>
        <v>0</v>
      </c>
    </row>
    <row r="316" spans="1:16" x14ac:dyDescent="0.25">
      <c r="A316" s="8">
        <v>2853</v>
      </c>
      <c r="B316" s="8">
        <v>1</v>
      </c>
      <c r="C316" s="8" t="s">
        <v>312</v>
      </c>
      <c r="D316">
        <v>0</v>
      </c>
      <c r="E316">
        <v>886.41200000000003</v>
      </c>
      <c r="F316">
        <v>812</v>
      </c>
      <c r="G316">
        <v>91.67</v>
      </c>
      <c r="H316" s="13">
        <f t="shared" si="35"/>
        <v>0.11289408866995074</v>
      </c>
      <c r="I316" s="9">
        <f t="shared" si="39"/>
        <v>35024.736224137931</v>
      </c>
      <c r="J316">
        <v>0</v>
      </c>
      <c r="K316" s="21">
        <f t="shared" si="36"/>
        <v>0</v>
      </c>
      <c r="L316" s="23">
        <f t="shared" si="37"/>
        <v>0</v>
      </c>
      <c r="M316" s="22">
        <f t="shared" si="38"/>
        <v>0</v>
      </c>
      <c r="N316" s="14">
        <f t="shared" si="40"/>
        <v>0</v>
      </c>
      <c r="O316" s="24">
        <f t="shared" si="41"/>
        <v>0</v>
      </c>
      <c r="P316" s="24">
        <f t="shared" si="42"/>
        <v>0</v>
      </c>
    </row>
    <row r="317" spans="1:16" x14ac:dyDescent="0.25">
      <c r="A317" s="8">
        <v>2854</v>
      </c>
      <c r="B317" s="8">
        <v>1</v>
      </c>
      <c r="C317" s="8" t="s">
        <v>313</v>
      </c>
      <c r="D317">
        <v>0</v>
      </c>
      <c r="E317">
        <v>514.85149999999999</v>
      </c>
      <c r="F317">
        <v>496</v>
      </c>
      <c r="G317">
        <v>65.92</v>
      </c>
      <c r="H317" s="13">
        <f t="shared" si="35"/>
        <v>0.13290322580645161</v>
      </c>
      <c r="I317" s="9">
        <f t="shared" si="39"/>
        <v>23948.898806451612</v>
      </c>
      <c r="J317">
        <v>0</v>
      </c>
      <c r="K317" s="21">
        <f t="shared" si="36"/>
        <v>0</v>
      </c>
      <c r="L317" s="23">
        <f t="shared" si="37"/>
        <v>0</v>
      </c>
      <c r="M317" s="22">
        <f t="shared" si="38"/>
        <v>0</v>
      </c>
      <c r="N317" s="14">
        <f t="shared" si="40"/>
        <v>0</v>
      </c>
      <c r="O317" s="24">
        <f t="shared" si="41"/>
        <v>0</v>
      </c>
      <c r="P317" s="24">
        <f t="shared" si="42"/>
        <v>0</v>
      </c>
    </row>
    <row r="318" spans="1:16" x14ac:dyDescent="0.25">
      <c r="A318" s="8">
        <v>2856</v>
      </c>
      <c r="B318" s="8">
        <v>1</v>
      </c>
      <c r="C318" s="8" t="s">
        <v>314</v>
      </c>
      <c r="D318">
        <v>0</v>
      </c>
      <c r="E318">
        <v>314.30849999999998</v>
      </c>
      <c r="F318">
        <v>322</v>
      </c>
      <c r="G318">
        <v>35.020000000000003</v>
      </c>
      <c r="H318" s="13">
        <f t="shared" si="35"/>
        <v>0.10875776397515528</v>
      </c>
      <c r="I318" s="9">
        <f t="shared" si="39"/>
        <v>11964.221380434783</v>
      </c>
      <c r="J318">
        <v>0</v>
      </c>
      <c r="K318" s="21">
        <f t="shared" si="36"/>
        <v>0</v>
      </c>
      <c r="L318" s="23">
        <f t="shared" si="37"/>
        <v>0</v>
      </c>
      <c r="M318" s="22">
        <f t="shared" si="38"/>
        <v>0</v>
      </c>
      <c r="N318" s="14">
        <f t="shared" si="40"/>
        <v>0</v>
      </c>
      <c r="O318" s="24">
        <f t="shared" si="41"/>
        <v>0</v>
      </c>
      <c r="P318" s="24">
        <f t="shared" si="42"/>
        <v>0</v>
      </c>
    </row>
    <row r="319" spans="1:16" x14ac:dyDescent="0.25">
      <c r="A319" s="8">
        <v>2859</v>
      </c>
      <c r="B319" s="8">
        <v>1</v>
      </c>
      <c r="C319" s="8" t="s">
        <v>315</v>
      </c>
      <c r="D319">
        <v>0</v>
      </c>
      <c r="E319">
        <v>1779.12</v>
      </c>
      <c r="F319">
        <v>1662</v>
      </c>
      <c r="G319">
        <v>288.40000000000003</v>
      </c>
      <c r="H319" s="13">
        <f t="shared" si="35"/>
        <v>0.17352587244283998</v>
      </c>
      <c r="I319" s="9">
        <f t="shared" si="39"/>
        <v>108053.17256317691</v>
      </c>
      <c r="J319">
        <v>0</v>
      </c>
      <c r="K319" s="21">
        <f t="shared" si="36"/>
        <v>0</v>
      </c>
      <c r="L319" s="23">
        <f t="shared" si="37"/>
        <v>0</v>
      </c>
      <c r="M319" s="22">
        <f t="shared" si="38"/>
        <v>0</v>
      </c>
      <c r="N319" s="14">
        <f t="shared" si="40"/>
        <v>0</v>
      </c>
      <c r="O319" s="24">
        <f t="shared" si="41"/>
        <v>0</v>
      </c>
      <c r="P319" s="24">
        <f t="shared" si="42"/>
        <v>0</v>
      </c>
    </row>
    <row r="320" spans="1:16" x14ac:dyDescent="0.25">
      <c r="A320" s="8">
        <v>2860</v>
      </c>
      <c r="B320" s="8">
        <v>1</v>
      </c>
      <c r="C320" s="8" t="s">
        <v>316</v>
      </c>
      <c r="D320">
        <v>0</v>
      </c>
      <c r="E320">
        <v>1287.9914999999999</v>
      </c>
      <c r="F320">
        <v>1222</v>
      </c>
      <c r="G320">
        <v>156.56</v>
      </c>
      <c r="H320" s="13">
        <f t="shared" si="35"/>
        <v>0.1281178396072013</v>
      </c>
      <c r="I320" s="9">
        <f t="shared" si="39"/>
        <v>57755.140944353509</v>
      </c>
      <c r="J320">
        <v>0</v>
      </c>
      <c r="K320" s="21">
        <f t="shared" si="36"/>
        <v>0</v>
      </c>
      <c r="L320" s="23">
        <f t="shared" si="37"/>
        <v>0</v>
      </c>
      <c r="M320" s="22">
        <f t="shared" si="38"/>
        <v>0</v>
      </c>
      <c r="N320" s="14">
        <f t="shared" si="40"/>
        <v>0</v>
      </c>
      <c r="O320" s="24">
        <f t="shared" si="41"/>
        <v>0</v>
      </c>
      <c r="P320" s="24">
        <f t="shared" si="42"/>
        <v>0</v>
      </c>
    </row>
    <row r="321" spans="1:16" x14ac:dyDescent="0.25">
      <c r="A321" s="17">
        <v>2884</v>
      </c>
      <c r="B321" s="17">
        <v>1</v>
      </c>
      <c r="C321" s="1" t="s">
        <v>317</v>
      </c>
      <c r="D321">
        <v>42261.120000000003</v>
      </c>
      <c r="E321">
        <v>389.81799999999993</v>
      </c>
      <c r="F321">
        <v>413</v>
      </c>
      <c r="G321">
        <v>36.050000000000004</v>
      </c>
      <c r="H321" s="13">
        <f t="shared" si="35"/>
        <v>8.7288135593220351E-2</v>
      </c>
      <c r="I321" s="9">
        <f t="shared" si="39"/>
        <v>11909.270254237288</v>
      </c>
      <c r="J321">
        <v>19919.912799152542</v>
      </c>
      <c r="K321" s="21">
        <f t="shared" si="36"/>
        <v>3898.1799999999994</v>
      </c>
      <c r="L321" s="23">
        <f t="shared" si="37"/>
        <v>35727.360000000001</v>
      </c>
      <c r="M321" s="22">
        <f t="shared" si="38"/>
        <v>-6533.760000000002</v>
      </c>
      <c r="N321" s="14">
        <f t="shared" si="40"/>
        <v>-16.76105259377454</v>
      </c>
      <c r="O321" s="24">
        <f t="shared" si="41"/>
        <v>25009.151999999998</v>
      </c>
      <c r="P321" s="24">
        <f t="shared" si="42"/>
        <v>10718.208000000001</v>
      </c>
    </row>
    <row r="322" spans="1:16" x14ac:dyDescent="0.25">
      <c r="A322" s="17">
        <v>2886</v>
      </c>
      <c r="B322" s="17">
        <v>1</v>
      </c>
      <c r="C322" s="1" t="s">
        <v>318</v>
      </c>
      <c r="D322">
        <v>0</v>
      </c>
      <c r="E322">
        <v>371.98800000000006</v>
      </c>
      <c r="F322">
        <v>269</v>
      </c>
      <c r="G322">
        <v>10.3</v>
      </c>
      <c r="H322" s="13">
        <f t="shared" si="35"/>
        <v>3.8289962825278814E-2</v>
      </c>
      <c r="I322" s="9">
        <f t="shared" si="39"/>
        <v>4985.1923420074363</v>
      </c>
      <c r="J322">
        <v>0</v>
      </c>
      <c r="K322" s="21">
        <f t="shared" si="36"/>
        <v>0</v>
      </c>
      <c r="L322" s="23">
        <f t="shared" si="37"/>
        <v>0</v>
      </c>
      <c r="M322" s="22">
        <f t="shared" si="38"/>
        <v>0</v>
      </c>
      <c r="N322" s="14">
        <f t="shared" si="40"/>
        <v>0</v>
      </c>
      <c r="O322" s="24">
        <f t="shared" si="41"/>
        <v>0</v>
      </c>
      <c r="P322" s="24">
        <f t="shared" si="42"/>
        <v>0</v>
      </c>
    </row>
    <row r="323" spans="1:16" x14ac:dyDescent="0.25">
      <c r="A323" s="8">
        <v>2888</v>
      </c>
      <c r="B323" s="8">
        <v>1</v>
      </c>
      <c r="C323" s="8" t="s">
        <v>319</v>
      </c>
      <c r="D323">
        <v>0</v>
      </c>
      <c r="E323">
        <v>330.06850000000009</v>
      </c>
      <c r="F323">
        <v>356</v>
      </c>
      <c r="G323">
        <v>5.15</v>
      </c>
      <c r="H323" s="13">
        <f t="shared" si="35"/>
        <v>1.4466292134831462E-2</v>
      </c>
      <c r="I323" s="9">
        <f t="shared" si="39"/>
        <v>1671.2035709269671</v>
      </c>
      <c r="J323">
        <v>0</v>
      </c>
      <c r="K323" s="21">
        <f t="shared" si="36"/>
        <v>0</v>
      </c>
      <c r="L323" s="23">
        <f t="shared" si="37"/>
        <v>0</v>
      </c>
      <c r="M323" s="22">
        <f t="shared" si="38"/>
        <v>0</v>
      </c>
      <c r="N323" s="14">
        <f t="shared" si="40"/>
        <v>0</v>
      </c>
      <c r="O323" s="24">
        <f t="shared" si="41"/>
        <v>0</v>
      </c>
      <c r="P323" s="24">
        <f t="shared" si="42"/>
        <v>0</v>
      </c>
    </row>
    <row r="324" spans="1:16" x14ac:dyDescent="0.25">
      <c r="A324" s="17">
        <v>2889</v>
      </c>
      <c r="B324" s="17">
        <v>1</v>
      </c>
      <c r="C324" s="1" t="s">
        <v>320</v>
      </c>
      <c r="D324">
        <v>51858.09</v>
      </c>
      <c r="E324">
        <v>639.52300000000002</v>
      </c>
      <c r="F324">
        <v>672</v>
      </c>
      <c r="G324">
        <v>44.29</v>
      </c>
      <c r="H324" s="13">
        <f t="shared" si="35"/>
        <v>6.5907738095238089E-2</v>
      </c>
      <c r="I324" s="9">
        <f t="shared" si="39"/>
        <v>14752.330036458332</v>
      </c>
      <c r="J324">
        <v>23930.395414062499</v>
      </c>
      <c r="K324" s="21">
        <f t="shared" si="36"/>
        <v>6395.2300000000005</v>
      </c>
      <c r="L324" s="23">
        <f t="shared" si="37"/>
        <v>45077.96</v>
      </c>
      <c r="M324" s="22">
        <f t="shared" si="38"/>
        <v>-6780.1299999999974</v>
      </c>
      <c r="N324" s="14">
        <f t="shared" si="40"/>
        <v>-10.601854819920467</v>
      </c>
      <c r="O324" s="24">
        <f t="shared" si="41"/>
        <v>31554.571999999996</v>
      </c>
      <c r="P324" s="24">
        <f t="shared" si="42"/>
        <v>13523.387999999999</v>
      </c>
    </row>
    <row r="325" spans="1:16" x14ac:dyDescent="0.25">
      <c r="A325" s="17">
        <v>2890</v>
      </c>
      <c r="B325" s="17">
        <v>1</v>
      </c>
      <c r="C325" s="1" t="s">
        <v>321</v>
      </c>
      <c r="D325">
        <v>52663.56</v>
      </c>
      <c r="E325">
        <v>552.48</v>
      </c>
      <c r="F325">
        <v>542</v>
      </c>
      <c r="G325">
        <v>169.95000000000002</v>
      </c>
      <c r="H325" s="13">
        <f t="shared" si="35"/>
        <v>0.31356088560885614</v>
      </c>
      <c r="I325" s="9">
        <f t="shared" si="39"/>
        <v>60632.641328413294</v>
      </c>
      <c r="J325">
        <v>0</v>
      </c>
      <c r="K325" s="21">
        <f t="shared" si="36"/>
        <v>5524.8</v>
      </c>
      <c r="L325" s="23">
        <f t="shared" si="37"/>
        <v>66157.440000000002</v>
      </c>
      <c r="M325" s="22">
        <f t="shared" si="38"/>
        <v>13493.880000000005</v>
      </c>
      <c r="N325" s="14">
        <f t="shared" si="40"/>
        <v>24.424196350999139</v>
      </c>
      <c r="O325" s="24">
        <f t="shared" si="41"/>
        <v>46310.207999999999</v>
      </c>
      <c r="P325" s="24">
        <f t="shared" si="42"/>
        <v>19847.232</v>
      </c>
    </row>
    <row r="326" spans="1:16" x14ac:dyDescent="0.25">
      <c r="A326" s="17">
        <v>2895</v>
      </c>
      <c r="B326" s="17">
        <v>1</v>
      </c>
      <c r="C326" s="1" t="s">
        <v>322</v>
      </c>
      <c r="D326">
        <v>120000</v>
      </c>
      <c r="E326">
        <v>1359.7840000000003</v>
      </c>
      <c r="F326">
        <v>1200</v>
      </c>
      <c r="G326">
        <v>90.64</v>
      </c>
      <c r="H326" s="13">
        <f t="shared" ref="H326:H334" si="43">IF(F326=0,0,G326/F326)</f>
        <v>7.5533333333333327E-2</v>
      </c>
      <c r="I326" s="9">
        <f t="shared" si="39"/>
        <v>35948.15634666667</v>
      </c>
      <c r="J326">
        <v>54539.765077599994</v>
      </c>
      <c r="K326" s="21">
        <f t="shared" ref="K326:K333" si="44">IF(D326&gt;0,E326*10,0)</f>
        <v>13597.840000000004</v>
      </c>
      <c r="L326" s="23">
        <f t="shared" ref="L326:L333" si="45">IF(D326=0,0,ROUND(I326+J326+K326,2))</f>
        <v>104085.75999999999</v>
      </c>
      <c r="M326" s="22">
        <f t="shared" ref="M326:M333" si="46">L326-D326</f>
        <v>-15914.240000000005</v>
      </c>
      <c r="N326" s="14">
        <f t="shared" si="40"/>
        <v>-11.703505850929266</v>
      </c>
      <c r="O326" s="24">
        <f t="shared" si="41"/>
        <v>72860.031999999992</v>
      </c>
      <c r="P326" s="24">
        <f t="shared" si="42"/>
        <v>31225.727999999996</v>
      </c>
    </row>
    <row r="327" spans="1:16" x14ac:dyDescent="0.25">
      <c r="A327" s="8">
        <v>2897</v>
      </c>
      <c r="B327" s="8">
        <v>1</v>
      </c>
      <c r="C327" s="8" t="s">
        <v>323</v>
      </c>
      <c r="D327">
        <v>137283</v>
      </c>
      <c r="E327">
        <v>1219.6579999999999</v>
      </c>
      <c r="F327">
        <v>1122</v>
      </c>
      <c r="G327">
        <v>348.14</v>
      </c>
      <c r="H327" s="13">
        <f t="shared" si="43"/>
        <v>0.3102852049910873</v>
      </c>
      <c r="I327" s="9">
        <f t="shared" ref="I327:I334" si="47">E327*H327*350</f>
        <v>132454.64139215683</v>
      </c>
      <c r="J327">
        <v>462.32195999999186</v>
      </c>
      <c r="K327" s="21">
        <f t="shared" si="44"/>
        <v>12196.579999999998</v>
      </c>
      <c r="L327" s="23">
        <f t="shared" si="45"/>
        <v>145113.54</v>
      </c>
      <c r="M327" s="22">
        <f t="shared" si="46"/>
        <v>7830.5400000000081</v>
      </c>
      <c r="N327" s="14">
        <f t="shared" ref="N327:N333" si="48">IF(E327=0,0,M327/E327)</f>
        <v>6.4202751918980638</v>
      </c>
      <c r="O327" s="24">
        <f t="shared" si="41"/>
        <v>101579.478</v>
      </c>
      <c r="P327" s="24">
        <f t="shared" si="42"/>
        <v>43534.061999999998</v>
      </c>
    </row>
    <row r="328" spans="1:16" x14ac:dyDescent="0.25">
      <c r="A328" s="17">
        <v>2898</v>
      </c>
      <c r="B328" s="17">
        <v>1</v>
      </c>
      <c r="C328" s="1" t="s">
        <v>324</v>
      </c>
      <c r="D328">
        <v>50000</v>
      </c>
      <c r="E328">
        <v>440.13600000000008</v>
      </c>
      <c r="F328">
        <v>434</v>
      </c>
      <c r="G328">
        <v>131.84</v>
      </c>
      <c r="H328" s="13">
        <f t="shared" si="43"/>
        <v>0.30377880184331796</v>
      </c>
      <c r="I328" s="9">
        <f t="shared" si="47"/>
        <v>46796.395354838714</v>
      </c>
      <c r="J328">
        <v>245.94853161289853</v>
      </c>
      <c r="K328" s="21">
        <f t="shared" si="44"/>
        <v>4401.3600000000006</v>
      </c>
      <c r="L328" s="23">
        <f t="shared" si="45"/>
        <v>51443.7</v>
      </c>
      <c r="M328" s="22">
        <f t="shared" si="46"/>
        <v>1443.6999999999971</v>
      </c>
      <c r="N328" s="14">
        <f t="shared" si="48"/>
        <v>3.2801225075885565</v>
      </c>
      <c r="O328" s="24">
        <f t="shared" ref="O328:O334" si="49">0.7*L328</f>
        <v>36010.589999999997</v>
      </c>
      <c r="P328" s="24">
        <f t="shared" ref="P328:P334" si="50">0.3*L328</f>
        <v>15433.109999999999</v>
      </c>
    </row>
    <row r="329" spans="1:16" x14ac:dyDescent="0.25">
      <c r="A329" s="17">
        <v>2899</v>
      </c>
      <c r="B329" s="17">
        <v>1</v>
      </c>
      <c r="C329" s="1" t="s">
        <v>325</v>
      </c>
      <c r="D329">
        <v>78920</v>
      </c>
      <c r="E329">
        <v>1563.422</v>
      </c>
      <c r="F329">
        <v>1477</v>
      </c>
      <c r="G329">
        <v>106.09</v>
      </c>
      <c r="H329" s="13">
        <f t="shared" si="43"/>
        <v>7.18280297901151E-2</v>
      </c>
      <c r="I329" s="9">
        <f t="shared" si="47"/>
        <v>39304.132696682464</v>
      </c>
      <c r="J329">
        <v>24718.614700947866</v>
      </c>
      <c r="K329" s="21">
        <f t="shared" si="44"/>
        <v>15634.220000000001</v>
      </c>
      <c r="L329" s="23">
        <f t="shared" si="45"/>
        <v>79656.97</v>
      </c>
      <c r="M329" s="22">
        <f t="shared" si="46"/>
        <v>736.97000000000116</v>
      </c>
      <c r="N329" s="14">
        <f t="shared" si="48"/>
        <v>0.47138264652793754</v>
      </c>
      <c r="O329" s="24">
        <f t="shared" si="49"/>
        <v>55759.879000000001</v>
      </c>
      <c r="P329" s="24">
        <f t="shared" si="50"/>
        <v>23897.091</v>
      </c>
    </row>
    <row r="330" spans="1:16" x14ac:dyDescent="0.25">
      <c r="A330" s="17">
        <v>2902</v>
      </c>
      <c r="B330" s="17">
        <v>1</v>
      </c>
      <c r="C330" s="1" t="s">
        <v>326</v>
      </c>
      <c r="D330">
        <v>54423.519999999997</v>
      </c>
      <c r="E330">
        <v>562.25849999999991</v>
      </c>
      <c r="F330">
        <v>563</v>
      </c>
      <c r="G330">
        <v>30.900000000000002</v>
      </c>
      <c r="H330" s="13">
        <f t="shared" si="43"/>
        <v>5.4884547069271761E-2</v>
      </c>
      <c r="I330" s="9">
        <f t="shared" si="47"/>
        <v>10800.756087921847</v>
      </c>
      <c r="J330">
        <v>30920.708984547073</v>
      </c>
      <c r="K330" s="21">
        <f t="shared" si="44"/>
        <v>5622.5849999999991</v>
      </c>
      <c r="L330" s="23">
        <f t="shared" si="45"/>
        <v>47344.05</v>
      </c>
      <c r="M330" s="22">
        <f t="shared" si="46"/>
        <v>-7079.4699999999939</v>
      </c>
      <c r="N330" s="14">
        <f t="shared" si="48"/>
        <v>-12.591130236359247</v>
      </c>
      <c r="O330" s="24">
        <f t="shared" si="49"/>
        <v>33140.834999999999</v>
      </c>
      <c r="P330" s="24">
        <f t="shared" si="50"/>
        <v>14203.215</v>
      </c>
    </row>
    <row r="331" spans="1:16" x14ac:dyDescent="0.25">
      <c r="A331" s="8">
        <v>2903</v>
      </c>
      <c r="B331" s="8">
        <v>1</v>
      </c>
      <c r="C331" s="8" t="s">
        <v>327</v>
      </c>
      <c r="D331">
        <v>0</v>
      </c>
      <c r="E331">
        <v>531.18000000000006</v>
      </c>
      <c r="F331">
        <v>502</v>
      </c>
      <c r="G331">
        <v>23.69</v>
      </c>
      <c r="H331" s="13">
        <f t="shared" si="43"/>
        <v>4.7191235059760958E-2</v>
      </c>
      <c r="I331" s="9">
        <f t="shared" si="47"/>
        <v>8773.4640836653398</v>
      </c>
      <c r="J331">
        <v>0</v>
      </c>
      <c r="K331" s="21">
        <f t="shared" si="44"/>
        <v>0</v>
      </c>
      <c r="L331" s="23">
        <f t="shared" si="45"/>
        <v>0</v>
      </c>
      <c r="M331" s="22">
        <f t="shared" si="46"/>
        <v>0</v>
      </c>
      <c r="N331" s="14">
        <f t="shared" si="48"/>
        <v>0</v>
      </c>
      <c r="O331" s="24">
        <f t="shared" si="49"/>
        <v>0</v>
      </c>
      <c r="P331" s="24">
        <f t="shared" si="50"/>
        <v>0</v>
      </c>
    </row>
    <row r="332" spans="1:16" x14ac:dyDescent="0.25">
      <c r="A332" s="17">
        <v>2904</v>
      </c>
      <c r="B332" s="17">
        <v>1</v>
      </c>
      <c r="C332" s="1" t="s">
        <v>328</v>
      </c>
      <c r="D332">
        <v>80410</v>
      </c>
      <c r="E332">
        <v>815.7360000000001</v>
      </c>
      <c r="F332">
        <v>776</v>
      </c>
      <c r="G332">
        <v>164.8</v>
      </c>
      <c r="H332" s="13">
        <f t="shared" si="43"/>
        <v>0.21237113402061858</v>
      </c>
      <c r="I332" s="9">
        <f t="shared" si="47"/>
        <v>60633.572783505173</v>
      </c>
      <c r="J332">
        <v>10875.030247422685</v>
      </c>
      <c r="K332" s="21">
        <f t="shared" si="44"/>
        <v>8157.3600000000006</v>
      </c>
      <c r="L332" s="23">
        <f t="shared" si="45"/>
        <v>79665.960000000006</v>
      </c>
      <c r="M332" s="22">
        <f t="shared" si="46"/>
        <v>-744.0399999999936</v>
      </c>
      <c r="N332" s="14">
        <f t="shared" si="48"/>
        <v>-0.91210881952003287</v>
      </c>
      <c r="O332" s="24">
        <f t="shared" si="49"/>
        <v>55766.171999999999</v>
      </c>
      <c r="P332" s="24">
        <f t="shared" si="50"/>
        <v>23899.788</v>
      </c>
    </row>
    <row r="333" spans="1:16" x14ac:dyDescent="0.25">
      <c r="A333" s="15">
        <v>2905</v>
      </c>
      <c r="B333" s="15">
        <v>1</v>
      </c>
      <c r="C333" s="16" t="s">
        <v>329</v>
      </c>
      <c r="D333">
        <v>0</v>
      </c>
      <c r="E333">
        <v>2072.2280000000001</v>
      </c>
      <c r="F333">
        <v>1831</v>
      </c>
      <c r="G333">
        <v>270.89</v>
      </c>
      <c r="H333" s="13">
        <f t="shared" si="43"/>
        <v>0.14794647733478972</v>
      </c>
      <c r="I333" s="9">
        <f t="shared" si="47"/>
        <v>107302.59149208081</v>
      </c>
      <c r="J333">
        <v>0</v>
      </c>
      <c r="K333" s="21">
        <f t="shared" si="44"/>
        <v>0</v>
      </c>
      <c r="L333" s="23">
        <f t="shared" si="45"/>
        <v>0</v>
      </c>
      <c r="M333" s="22">
        <f t="shared" si="46"/>
        <v>0</v>
      </c>
      <c r="N333" s="14">
        <f t="shared" si="48"/>
        <v>0</v>
      </c>
      <c r="O333" s="24">
        <f t="shared" si="49"/>
        <v>0</v>
      </c>
      <c r="P333" s="24">
        <f t="shared" si="50"/>
        <v>0</v>
      </c>
    </row>
    <row r="334" spans="1:16" s="4" customFormat="1" x14ac:dyDescent="0.25">
      <c r="A334" s="17">
        <v>2907</v>
      </c>
      <c r="B334" s="4">
        <v>1</v>
      </c>
      <c r="C334" s="1" t="s">
        <v>330</v>
      </c>
      <c r="D334" s="4">
        <v>31370.400000000001</v>
      </c>
      <c r="E334" s="4">
        <v>287.178</v>
      </c>
      <c r="F334" s="4">
        <v>237</v>
      </c>
      <c r="G334" s="4">
        <v>75.19</v>
      </c>
      <c r="H334" s="13">
        <f t="shared" si="43"/>
        <v>0.3172573839662447</v>
      </c>
      <c r="I334" s="9">
        <f t="shared" si="47"/>
        <v>31888.269354430377</v>
      </c>
      <c r="J334" s="4">
        <v>1818.9058048101315</v>
      </c>
      <c r="K334" s="21">
        <f>IF(D334&gt;0,E334*10,0)</f>
        <v>2871.7799999999997</v>
      </c>
      <c r="L334" s="23">
        <f>IF(D334=0,0,ROUND(I334+J334+K334,2))</f>
        <v>36578.959999999999</v>
      </c>
      <c r="M334" s="22">
        <f>L334-D334</f>
        <v>5208.5599999999977</v>
      </c>
      <c r="N334" s="14">
        <f>IF(E334=0,0,M334/E334)</f>
        <v>18.137043923977455</v>
      </c>
      <c r="O334" s="24">
        <f t="shared" si="49"/>
        <v>25605.271999999997</v>
      </c>
      <c r="P334" s="24">
        <f t="shared" si="50"/>
        <v>10973.688</v>
      </c>
    </row>
    <row r="335" spans="1:16" x14ac:dyDescent="0.25">
      <c r="A335" t="s">
        <v>343</v>
      </c>
    </row>
  </sheetData>
  <pageMargins left="0.45" right="0.45" top="0.75" bottom="0.75" header="0.3" footer="0.3"/>
  <pageSetup scale="65" fitToHeight="10" orientation="landscape" r:id="rId1"/>
  <headerFooter>
    <oddHeader>&amp;L&amp;A&amp;C&amp;F&amp;R&amp;D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FY15 based on Nov 13 forecast</vt:lpstr>
      <vt:lpstr>'FY15 based on Nov 13 forecast'!Print_Area</vt:lpstr>
      <vt:lpstr>'FY15 based on Nov 13 forecast'!Print_Titles</vt:lpstr>
      <vt:lpstr>TitleRegion1.a2.p335.1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Fiscal Year 2015 Achievement Integration Revenue estimates for November 2013 forecast.</dc:title>
  <dc:creator>Kuck, Judy;Minnesota Department of Education</dc:creator>
  <cp:lastModifiedBy>Goebel, Chelsea</cp:lastModifiedBy>
  <cp:lastPrinted>2013-12-23T13:36:02Z</cp:lastPrinted>
  <dcterms:created xsi:type="dcterms:W3CDTF">2013-12-23T13:25:41Z</dcterms:created>
  <dcterms:modified xsi:type="dcterms:W3CDTF">2013-12-23T17:48:43Z</dcterms:modified>
</cp:coreProperties>
</file>