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35" windowWidth="24915" windowHeight="12075"/>
  </bookViews>
  <sheets>
    <sheet name="1314Tent Fixed Cost" sheetId="1" r:id="rId1"/>
  </sheets>
  <definedNames>
    <definedName name="_xlnm.Print_Area" localSheetId="0">'1314Tent Fixed Cost'!$A$1:$J$150</definedName>
  </definedNames>
  <calcPr calcId="145621"/>
</workbook>
</file>

<file path=xl/calcChain.xml><?xml version="1.0" encoding="utf-8"?>
<calcChain xmlns="http://schemas.openxmlformats.org/spreadsheetml/2006/main">
  <c r="I130" i="1" l="1"/>
  <c r="H130" i="1"/>
  <c r="J130" i="1"/>
  <c r="I101" i="1"/>
  <c r="H101" i="1"/>
  <c r="J101" i="1"/>
  <c r="I50" i="1"/>
  <c r="H50" i="1"/>
  <c r="J50" i="1"/>
  <c r="I23" i="1"/>
  <c r="H23" i="1"/>
  <c r="J23" i="1"/>
  <c r="J148" i="1"/>
  <c r="J147" i="1"/>
  <c r="J4" i="1"/>
  <c r="J5" i="1"/>
  <c r="I144" i="1"/>
  <c r="J140" i="1"/>
  <c r="J139" i="1"/>
  <c r="J138" i="1"/>
  <c r="J129" i="1"/>
  <c r="J128" i="1"/>
  <c r="J127" i="1"/>
  <c r="J126" i="1"/>
  <c r="J125" i="1"/>
  <c r="J124" i="1"/>
  <c r="J123" i="1"/>
  <c r="J122" i="1"/>
  <c r="J121" i="1"/>
  <c r="J120" i="1"/>
  <c r="J119" i="1"/>
  <c r="J118" i="1"/>
  <c r="J117" i="1"/>
  <c r="J116" i="1"/>
  <c r="J115" i="1"/>
  <c r="J114" i="1"/>
  <c r="J113" i="1"/>
  <c r="J112" i="1"/>
  <c r="J111" i="1"/>
  <c r="J110" i="1"/>
  <c r="I109" i="1"/>
  <c r="J109" i="1" s="1"/>
  <c r="J108" i="1"/>
  <c r="J107" i="1"/>
  <c r="J106" i="1"/>
  <c r="J100" i="1"/>
  <c r="J99" i="1"/>
  <c r="J98" i="1"/>
  <c r="I97" i="1"/>
  <c r="H97" i="1"/>
  <c r="J95" i="1"/>
  <c r="J94" i="1"/>
  <c r="J93" i="1"/>
  <c r="J92" i="1"/>
  <c r="J91" i="1"/>
  <c r="J90" i="1"/>
  <c r="J89" i="1"/>
  <c r="J88" i="1"/>
  <c r="J87" i="1"/>
  <c r="J86" i="1"/>
  <c r="J85" i="1"/>
  <c r="J84" i="1"/>
  <c r="J83" i="1"/>
  <c r="J82" i="1"/>
  <c r="J81" i="1"/>
  <c r="J80" i="1"/>
  <c r="J79" i="1"/>
  <c r="J78" i="1"/>
  <c r="J77" i="1"/>
  <c r="J76" i="1"/>
  <c r="J75" i="1"/>
  <c r="J74" i="1"/>
  <c r="J73" i="1"/>
  <c r="J72" i="1"/>
  <c r="J71" i="1"/>
  <c r="J70" i="1"/>
  <c r="J69" i="1"/>
  <c r="J68" i="1"/>
  <c r="J67" i="1"/>
  <c r="J65" i="1"/>
  <c r="J63" i="1"/>
  <c r="J62" i="1"/>
  <c r="J61" i="1"/>
  <c r="J60" i="1"/>
  <c r="J58" i="1"/>
  <c r="J57" i="1"/>
  <c r="J56" i="1"/>
  <c r="J55" i="1"/>
  <c r="J49" i="1"/>
  <c r="J48" i="1"/>
  <c r="J47" i="1"/>
  <c r="J46" i="1"/>
  <c r="J45" i="1"/>
  <c r="J44" i="1"/>
  <c r="J43" i="1"/>
  <c r="J42" i="1"/>
  <c r="J41" i="1"/>
  <c r="J40" i="1"/>
  <c r="J39" i="1"/>
  <c r="J38" i="1"/>
  <c r="I37" i="1"/>
  <c r="J37" i="1" s="1"/>
  <c r="J36" i="1"/>
  <c r="J35" i="1"/>
  <c r="I34" i="1"/>
  <c r="J33" i="1"/>
  <c r="J32" i="1"/>
  <c r="J31" i="1"/>
  <c r="J30" i="1"/>
  <c r="J29" i="1"/>
  <c r="J28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H133" i="1" l="1"/>
  <c r="H150" i="1" s="1"/>
  <c r="J59" i="1"/>
  <c r="J66" i="1"/>
  <c r="J97" i="1"/>
  <c r="J34" i="1"/>
  <c r="J133" i="1" l="1"/>
  <c r="J150" i="1" s="1"/>
  <c r="I133" i="1"/>
  <c r="I150" i="1" s="1"/>
</calcChain>
</file>

<file path=xl/comments1.xml><?xml version="1.0" encoding="utf-8"?>
<comments xmlns="http://schemas.openxmlformats.org/spreadsheetml/2006/main">
  <authors>
    <author>Administrator</author>
  </authors>
  <commentList>
    <comment ref="C116" authorId="0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Contract is from 7/1/10 through 6/30/13.</t>
        </r>
      </text>
    </comment>
    <comment ref="E127" authorId="0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Move budget from cc 304190 for 11/12 FY.</t>
        </r>
      </text>
    </comment>
  </commentList>
</comments>
</file>

<file path=xl/sharedStrings.xml><?xml version="1.0" encoding="utf-8"?>
<sst xmlns="http://schemas.openxmlformats.org/spreadsheetml/2006/main" count="683" uniqueCount="291">
  <si>
    <t>MISSION COLLEGE</t>
  </si>
  <si>
    <t>Budget</t>
  </si>
  <si>
    <t>Budget Adjust.</t>
  </si>
  <si>
    <t>13/14</t>
  </si>
  <si>
    <t>Responsibility</t>
  </si>
  <si>
    <t>Contact Info.</t>
  </si>
  <si>
    <t>Fixed Cost Description</t>
  </si>
  <si>
    <t>Explanation for Adjustments</t>
  </si>
  <si>
    <t>Criteria</t>
  </si>
  <si>
    <t>Account Number</t>
  </si>
  <si>
    <t>Adopt Bud</t>
  </si>
  <si>
    <t>Incr / (Decr)</t>
  </si>
  <si>
    <t>Tnt. Budget</t>
  </si>
  <si>
    <t>Senates</t>
  </si>
  <si>
    <t>Worku Negash</t>
  </si>
  <si>
    <t>Academic Senate</t>
  </si>
  <si>
    <t>C</t>
  </si>
  <si>
    <t>Multiple account numbers</t>
  </si>
  <si>
    <t>Classified Senate</t>
  </si>
  <si>
    <t>Senate</t>
  </si>
  <si>
    <t>Academic Senate President Stipend</t>
  </si>
  <si>
    <t>FY 13/14 Jul/Jun</t>
  </si>
  <si>
    <t>100_206200_6750_51450_819</t>
  </si>
  <si>
    <t>Faculty Travel</t>
  </si>
  <si>
    <t>Faculty Travel &amp; Conference</t>
  </si>
  <si>
    <t>ACE 145 @ 200</t>
  </si>
  <si>
    <t>E</t>
  </si>
  <si>
    <t>100_290100_6600_55210_819</t>
  </si>
  <si>
    <t>VP Admin. Services</t>
  </si>
  <si>
    <t>Tenure Faculty</t>
  </si>
  <si>
    <t>No tenure bonus for 13/14</t>
  </si>
  <si>
    <t>100_220910_4900_51310_819</t>
  </si>
  <si>
    <t>Dean of Instr, Lib. St/LA</t>
  </si>
  <si>
    <t>Tricore, Link + Consortium, Library Maintenance</t>
  </si>
  <si>
    <t>A</t>
  </si>
  <si>
    <t>100_290200_6110_55510_819</t>
  </si>
  <si>
    <t>Turnkey Server Migration (One-Time)</t>
  </si>
  <si>
    <t>one-time cost for FY 12/13</t>
  </si>
  <si>
    <t>100_230000_6120_55510_819</t>
  </si>
  <si>
    <t>Insurance for PE and Athletics Students</t>
  </si>
  <si>
    <t>C, D</t>
  </si>
  <si>
    <t>100_220000_6440_55940_819</t>
  </si>
  <si>
    <t>Coaches Stipends (Negotiated Item)</t>
  </si>
  <si>
    <t>100_220000_6770_51450_819</t>
  </si>
  <si>
    <t>College President</t>
  </si>
  <si>
    <t>Accreditation - Supplies/Materials</t>
  </si>
  <si>
    <t>Accreditation preparation</t>
  </si>
  <si>
    <t>100_200700_6090_54210_819</t>
  </si>
  <si>
    <t>Accreditation - Dues, Memberships &amp; Fees</t>
  </si>
  <si>
    <t>100_200700_6090_55910_819</t>
  </si>
  <si>
    <t>Linda Francis/Virginia</t>
  </si>
  <si>
    <t>Categorical Program: Transfer Out, Fringe Benefits</t>
  </si>
  <si>
    <t>100_220001_7310_57300_819</t>
  </si>
  <si>
    <t>Financial Aid Match: SEOG &amp; Fed Work Study</t>
  </si>
  <si>
    <t>100_220002_7310_57300_819</t>
  </si>
  <si>
    <t>HigherOne</t>
  </si>
  <si>
    <t>D</t>
  </si>
  <si>
    <t>100_220900_6490_55160_819</t>
  </si>
  <si>
    <t>Dir of Information Syst</t>
  </si>
  <si>
    <t>Astra Schedule/LaserFiche Avante/FormFusion</t>
  </si>
  <si>
    <t>100_220007_6010_55500_819</t>
  </si>
  <si>
    <t xml:space="preserve">Curricunet  </t>
  </si>
  <si>
    <t>100_220000_6010_55160_819</t>
  </si>
  <si>
    <t>Ron Smith</t>
  </si>
  <si>
    <t>SARS Software Products -Counseling Sched System</t>
  </si>
  <si>
    <t>100_220004_6150_55500_819</t>
  </si>
  <si>
    <t>Angel</t>
  </si>
  <si>
    <t>renewal increase 6%</t>
  </si>
  <si>
    <t>100_220005_6150_55500_819</t>
  </si>
  <si>
    <t xml:space="preserve">CCCApply / BOGS (Student-Right-to-know) </t>
  </si>
  <si>
    <t>100_220006_6150_55500_819</t>
  </si>
  <si>
    <t>Total Mission College</t>
  </si>
  <si>
    <t>WEST VALLEY COLLEGE</t>
  </si>
  <si>
    <t>Detail Description</t>
  </si>
  <si>
    <t>Michael Renzi</t>
  </si>
  <si>
    <t xml:space="preserve">Academic Senate </t>
  </si>
  <si>
    <t>100_119304_6750_51450_819</t>
  </si>
  <si>
    <t xml:space="preserve">Faculty Travel &amp; Conference </t>
  </si>
  <si>
    <t>ACE 166 @ 200</t>
  </si>
  <si>
    <t>100_103201_6010_55210_819</t>
  </si>
  <si>
    <t>100_103251_4900_51310_819</t>
  </si>
  <si>
    <t>Dean Learning Center</t>
  </si>
  <si>
    <t>Consolidated budget for Link+ and other costs</t>
  </si>
  <si>
    <t>100_106100_6120_55510_819</t>
  </si>
  <si>
    <t>Physical Education Division</t>
  </si>
  <si>
    <t>Base from Final Budget. Increased from FY11</t>
  </si>
  <si>
    <t>100_115200_6960_55940_819</t>
  </si>
  <si>
    <t>100_115200_6960_51450_819</t>
  </si>
  <si>
    <t>100_100100_6090_55910_819</t>
  </si>
  <si>
    <t>Accreditation - Hourly Classified</t>
  </si>
  <si>
    <t>100_100100_6090_52350_819</t>
  </si>
  <si>
    <t>100_100100_6090_54210_819</t>
  </si>
  <si>
    <t>100_103203_7310_57300_819</t>
  </si>
  <si>
    <t>Financial Aid Match: SEOG, Fed Work Study</t>
  </si>
  <si>
    <t>100_103204_7310_57300_819</t>
  </si>
  <si>
    <t>100_102000_6490_55160_819</t>
  </si>
  <si>
    <t>100_103209_6010_55500_819</t>
  </si>
  <si>
    <t xml:space="preserve">Curricunet </t>
  </si>
  <si>
    <t>100_101000_6010_55160_819</t>
  </si>
  <si>
    <t>100_103206_6150_55500_819</t>
  </si>
  <si>
    <t>100_103207_6150_55500_819</t>
  </si>
  <si>
    <t>CCCApply / BOGS (Student-Right-to-know)</t>
  </si>
  <si>
    <t>100_103208_6150_55500_819</t>
  </si>
  <si>
    <t>Campbell Center</t>
  </si>
  <si>
    <t>Campbell Center Lease</t>
  </si>
  <si>
    <t>100_131000_6470_55520_819</t>
  </si>
  <si>
    <t>Senates/ VP of Admin. Services</t>
  </si>
  <si>
    <t>Professional Development</t>
  </si>
  <si>
    <t>Total West Valley College</t>
  </si>
  <si>
    <t>DISTRICT WIDE</t>
  </si>
  <si>
    <t>VC Admin Serv</t>
  </si>
  <si>
    <t>Linda Francis</t>
  </si>
  <si>
    <t>Cal Grant Interest Payment</t>
  </si>
  <si>
    <t>reduction due to change in process</t>
  </si>
  <si>
    <t>100_304170_6720_55185_819</t>
  </si>
  <si>
    <t>NDSL Collection Admin Costs (Perkins Loans)</t>
  </si>
  <si>
    <t>G</t>
  </si>
  <si>
    <t>Faculty SERP Premium 5 of 5 yrs</t>
  </si>
  <si>
    <t>Final payment made in 12/13</t>
  </si>
  <si>
    <t>100_304168_5900_53710_819</t>
  </si>
  <si>
    <t>Mngr/Conf/Supr  SERP Premium 5 of 5 yrs</t>
  </si>
  <si>
    <t>Final payment  amount  for 13/14</t>
  </si>
  <si>
    <t>100_304168_6740_53710_819</t>
  </si>
  <si>
    <t>Utilities, Mission College</t>
  </si>
  <si>
    <t>F</t>
  </si>
  <si>
    <t>Utilities, West Valley College</t>
  </si>
  <si>
    <t>Debt Service for LRB 2011 - Solar Project</t>
  </si>
  <si>
    <t>F,G</t>
  </si>
  <si>
    <t>100_304197_7310_57300_819</t>
  </si>
  <si>
    <t>ACE-Negotiated  0.92% of COLA Health Benefit Reserve</t>
  </si>
  <si>
    <t>100_304169_7310_57300_819</t>
  </si>
  <si>
    <t>Analytic - Budget &amp; Position Control</t>
  </si>
  <si>
    <t>100_304190_6720_55160_819</t>
  </si>
  <si>
    <t>Chancellor</t>
  </si>
  <si>
    <t>Elections/Redistricting Board Election</t>
  </si>
  <si>
    <t>Change in Trustee election/cost per yr</t>
  </si>
  <si>
    <t>100_300130_6600_55180_819</t>
  </si>
  <si>
    <t>Ed Maduli/Christina</t>
  </si>
  <si>
    <t xml:space="preserve">Emergency Preparedness Services </t>
  </si>
  <si>
    <t>B</t>
  </si>
  <si>
    <t>100_304180_6770_52350_819</t>
  </si>
  <si>
    <t>Bank Service Charges</t>
  </si>
  <si>
    <t>Linda Francis/Susan</t>
  </si>
  <si>
    <t>Retiree Medical Benefits</t>
  </si>
  <si>
    <t>100_304190_7300_57300_819</t>
  </si>
  <si>
    <t>Dir of General Serv</t>
  </si>
  <si>
    <t>Brigit Espinosa</t>
  </si>
  <si>
    <t>Property/Liability Insurance</t>
  </si>
  <si>
    <t>liability insurance increase in cost</t>
  </si>
  <si>
    <t>100_309600_6770_55940_819</t>
  </si>
  <si>
    <t>Property/Liability Insurance Deductible</t>
  </si>
  <si>
    <t>AVC HR</t>
  </si>
  <si>
    <t>Unfunded Banked Leave</t>
  </si>
  <si>
    <t>100_305200_4900_51316_819</t>
  </si>
  <si>
    <t>FT Faculty STRS contributions for excess sick leave</t>
  </si>
  <si>
    <t>100_305200_4900_53110_819</t>
  </si>
  <si>
    <t>PT Faculty Medical Benefits Reimb. ($30,000/sem. Max)</t>
  </si>
  <si>
    <t>100_305200_4900_53410_819</t>
  </si>
  <si>
    <t>Vacation Payoffs</t>
  </si>
  <si>
    <t>100_305200_6700_53311_819</t>
  </si>
  <si>
    <t>Annual Software Licenses</t>
  </si>
  <si>
    <t>100_310700_6780_55500_819</t>
  </si>
  <si>
    <t>Parts for computer and network repair</t>
  </si>
  <si>
    <t>100_310700_6780_54210_819</t>
  </si>
  <si>
    <t>Equipment Maintenance - Hardware</t>
  </si>
  <si>
    <t>A, F</t>
  </si>
  <si>
    <t>100_310700_6780_55510_819</t>
  </si>
  <si>
    <t>Telephone Services (Local/Long Distance)</t>
  </si>
  <si>
    <t>100_310720_6570_55830_819</t>
  </si>
  <si>
    <t xml:space="preserve">PC Replacement </t>
  </si>
  <si>
    <t>100_310700_6780_56410_819</t>
  </si>
  <si>
    <t>Nextel Radio/Cell Phone Service</t>
  </si>
  <si>
    <t>B , F</t>
  </si>
  <si>
    <t>100_310720_6570_55832_819</t>
  </si>
  <si>
    <t>Javier/Chia Chen</t>
  </si>
  <si>
    <t>Environmental Reg. Requirements (Hazardous Materials)</t>
  </si>
  <si>
    <t>B, C</t>
  </si>
  <si>
    <t>100_309660_6770_55160_819</t>
  </si>
  <si>
    <t>Dir of Facilities</t>
  </si>
  <si>
    <t>Elevator Service</t>
  </si>
  <si>
    <t>increase for  DIR permits</t>
  </si>
  <si>
    <t>B, G</t>
  </si>
  <si>
    <t>100_311812_6510_55160_819</t>
  </si>
  <si>
    <t>Automatic Doors</t>
  </si>
  <si>
    <t>Emergency Generator PM and Load Tests Fees</t>
  </si>
  <si>
    <t>increase due to add'l load test fees</t>
  </si>
  <si>
    <t>Vacuum Service/Pump out Sediment Traps</t>
  </si>
  <si>
    <t>increase for inspection cost 4x a yr</t>
  </si>
  <si>
    <t>H</t>
  </si>
  <si>
    <t>Water Backflow Test and Repair</t>
  </si>
  <si>
    <t>Arrows Septic Tank Service/Pump out Sediment Traps</t>
  </si>
  <si>
    <t>move to Vacuum Service</t>
  </si>
  <si>
    <t>HVAC Maintenance Contract</t>
  </si>
  <si>
    <t>Designated Operator -fuel pumps</t>
  </si>
  <si>
    <t>Annual Fusion License</t>
  </si>
  <si>
    <t>Fumehood Testing &amp; Inspc (prev Tech Safety)</t>
  </si>
  <si>
    <t>increase to cover annual compliance</t>
  </si>
  <si>
    <t>Emergency Lighting Annual Test &amp; Monitoring</t>
  </si>
  <si>
    <t>Fire Alarm Annual Life/Safety Test &amp; Monitoring</t>
  </si>
  <si>
    <t>increase due to new fire alarm sys.</t>
  </si>
  <si>
    <t>C, B</t>
  </si>
  <si>
    <t>Fire Suppression Systems (prev extinguisher)</t>
  </si>
  <si>
    <t>incr for monthly inspct-prior annual</t>
  </si>
  <si>
    <t>Fire Protection-Sprinkler System</t>
  </si>
  <si>
    <t>annual and incr 5 yr insp new bldgs</t>
  </si>
  <si>
    <t>Kitchen Lab Hood Cleaning</t>
  </si>
  <si>
    <t>new-county health code requirement</t>
  </si>
  <si>
    <t>Maintenance Work Order System</t>
  </si>
  <si>
    <t>new-annual cost of maintence sys.</t>
  </si>
  <si>
    <t>Facilities subtotal</t>
  </si>
  <si>
    <t>Unemployment Experience Rate - Instr</t>
  </si>
  <si>
    <t>100_304170_4900_53510_819</t>
  </si>
  <si>
    <t>Unemployment Experience Rate - Non Instr</t>
  </si>
  <si>
    <t>100_304170_6790_53520_819</t>
  </si>
  <si>
    <t>Dir of Public Safety</t>
  </si>
  <si>
    <t>EverBridge - Text Messaging</t>
  </si>
  <si>
    <t>100_308500_6770_55160_819</t>
  </si>
  <si>
    <t>Total District wide</t>
  </si>
  <si>
    <t>DISTRICT SERVICES</t>
  </si>
  <si>
    <t>Dean of Advancement</t>
  </si>
  <si>
    <t>Advancement Audit Expense</t>
  </si>
  <si>
    <t>100_301120_6720_55170_819</t>
  </si>
  <si>
    <t>Advancement Credit Card Management Fee</t>
  </si>
  <si>
    <t>100_301120_6720_55595_819</t>
  </si>
  <si>
    <t>Armored Car Service</t>
  </si>
  <si>
    <t>100_304170_6720_55160_819</t>
  </si>
  <si>
    <t>County Payroll Processing Fee</t>
  </si>
  <si>
    <t>increase in cost per County</t>
  </si>
  <si>
    <t>Audit Expenses/GASB 34 Financial Statements</t>
  </si>
  <si>
    <t>100_304170_6720_55170_819</t>
  </si>
  <si>
    <t>Arbitrage/Actuarial</t>
  </si>
  <si>
    <t>increase for Actuarial report</t>
  </si>
  <si>
    <t>Printing Svcs Budget Book/Board Agendas/Negotiated Contracts</t>
  </si>
  <si>
    <t>100_304170_6720_55300_819</t>
  </si>
  <si>
    <t>Dues, Copyright Fees</t>
  </si>
  <si>
    <t>100_304180_6600_55910_819</t>
  </si>
  <si>
    <t>Legal Expenses</t>
  </si>
  <si>
    <t>100_304180_6600_55150_819</t>
  </si>
  <si>
    <t>Staff Mandated Training</t>
  </si>
  <si>
    <t>100_306000_6750_55125_819</t>
  </si>
  <si>
    <t>Francine/Sarah</t>
  </si>
  <si>
    <t>Benefits Consultant (BB&amp;T) - 3 of 3 years</t>
  </si>
  <si>
    <t>100_305200_6730_55160_819</t>
  </si>
  <si>
    <t>SmartBen Benefit System only</t>
  </si>
  <si>
    <t>annual increase</t>
  </si>
  <si>
    <t>PeopleAdmin (e-recruit system)</t>
  </si>
  <si>
    <t>Ergonomic Equipment</t>
  </si>
  <si>
    <t>100_305200_6730_54210_819</t>
  </si>
  <si>
    <t>Advertising: Human Resources</t>
  </si>
  <si>
    <t>100_305200_6730_55400_819</t>
  </si>
  <si>
    <t>Medical Mandated Testing (Injury)</t>
  </si>
  <si>
    <t>C, E</t>
  </si>
  <si>
    <t>100_305200_6730_55900_819</t>
  </si>
  <si>
    <t>Supervisors staff development</t>
  </si>
  <si>
    <t>100_305225_6750_55125_819</t>
  </si>
  <si>
    <t>SEIU Negotiator Substitutes</t>
  </si>
  <si>
    <t>100_305226_6700_52325_819</t>
  </si>
  <si>
    <t>Chris Rolen</t>
  </si>
  <si>
    <t>Police - Various Items</t>
  </si>
  <si>
    <t>B,C,D,E</t>
  </si>
  <si>
    <t>SLETS/CLETS/ISD/Lexipol</t>
  </si>
  <si>
    <t>A,B,C</t>
  </si>
  <si>
    <t>100_308600_6770_55160_819</t>
  </si>
  <si>
    <t>ARMS</t>
  </si>
  <si>
    <t>100_308600_6770_55500_819</t>
  </si>
  <si>
    <t>Contract Required Safety Items-Shoes</t>
  </si>
  <si>
    <t>B, E</t>
  </si>
  <si>
    <t>100_309600_6770_54215_819</t>
  </si>
  <si>
    <t>Gasoline</t>
  </si>
  <si>
    <t>D, G</t>
  </si>
  <si>
    <t>100_311812_6510_55810_819</t>
  </si>
  <si>
    <t>JPA Hazardous Materials (Cost of operating department)</t>
  </si>
  <si>
    <t>100_309660_6770_54210_819</t>
  </si>
  <si>
    <t>Total District Services</t>
  </si>
  <si>
    <t>Total</t>
  </si>
  <si>
    <t>Expenditures with Offsetting Revenues</t>
  </si>
  <si>
    <t xml:space="preserve"> </t>
  </si>
  <si>
    <t>VP Admin Services</t>
  </si>
  <si>
    <t>ACE Reassigned Time</t>
  </si>
  <si>
    <t>Change accounting process</t>
  </si>
  <si>
    <t>100_103200_6010_51221_818</t>
  </si>
  <si>
    <t>100_220000_6010_51221_818</t>
  </si>
  <si>
    <t>Debt Service for LRB 2011 (Solar Project)</t>
  </si>
  <si>
    <t>100_304197_7310_57300_818</t>
  </si>
  <si>
    <t>Carry-over</t>
  </si>
  <si>
    <t>Faculty Travel &amp; Conference  C/O from Pr Yr</t>
  </si>
  <si>
    <t>100_103201_6010_55220_819</t>
  </si>
  <si>
    <t>Faculty Travel &amp; Conference  C/O fr 13/14</t>
  </si>
  <si>
    <t>100_290100_6010_55220_819</t>
  </si>
  <si>
    <t>Fixed Costs Grand Total</t>
  </si>
  <si>
    <t>12/13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</si>
</sst>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2" x14ac:knownFonts="1">
    <font>
      <sz val="10"/>
      <color theme="1"/>
      <name val="Tahoma"/>
      <family val="2"/>
    </font>
    <font>
      <sz val="11"/>
      <color theme="1"/>
      <name val="Calibri"/>
      <family val="2"/>
      <scheme val="minor"/>
    </font>
    <font>
      <sz val="10"/>
      <color theme="1"/>
      <name val="Tahoma"/>
      <family val="2"/>
    </font>
    <font>
      <sz val="10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0"/>
      <name val="Tahoma"/>
      <family val="2"/>
    </font>
  </fonts>
  <fills count="15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</fills>
  <borders count="4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indexed="64"/>
      </right>
      <top style="medium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22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indexed="64"/>
      </bottom>
      <diagonal/>
    </border>
    <border>
      <left/>
      <right/>
      <top style="medium">
        <color auto="1"/>
      </top>
      <bottom style="medium">
        <color indexed="64"/>
      </bottom>
      <diagonal/>
    </border>
    <border>
      <left/>
      <right style="thin">
        <color indexed="64"/>
      </right>
      <top style="medium">
        <color auto="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22"/>
      </left>
      <right/>
      <top/>
      <bottom style="thin">
        <color indexed="64"/>
      </bottom>
      <diagonal/>
    </border>
    <border>
      <left style="thin">
        <color auto="1"/>
      </left>
      <right/>
      <top style="medium">
        <color auto="1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double">
        <color auto="1"/>
      </bottom>
      <diagonal/>
    </border>
  </borders>
  <cellStyleXfs count="20">
    <xf numFmtId="0" fontId="0" fillId="0" borderId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3" fillId="0" borderId="0"/>
    <xf numFmtId="0" fontId="1" fillId="3" borderId="0" applyNumberFormat="0" applyBorder="0" applyAlignment="0" applyProtection="0"/>
    <xf numFmtId="0" fontId="1" fillId="5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0" applyNumberFormat="0" applyBorder="0" applyAlignment="0" applyProtection="0"/>
    <xf numFmtId="0" fontId="1" fillId="13" borderId="0" applyNumberFormat="0" applyBorder="0" applyAlignment="0" applyProtection="0"/>
    <xf numFmtId="0" fontId="1" fillId="4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0" borderId="0"/>
    <xf numFmtId="0" fontId="1" fillId="2" borderId="1" applyNumberFormat="0" applyFont="0" applyAlignment="0" applyProtection="0"/>
    <xf numFmtId="0" fontId="1" fillId="2" borderId="1" applyNumberFormat="0" applyFont="0" applyAlignment="0" applyProtection="0"/>
  </cellStyleXfs>
  <cellXfs count="162">
    <xf numFmtId="0" fontId="0" fillId="0" borderId="0" xfId="0"/>
    <xf numFmtId="0" fontId="3" fillId="0" borderId="0" xfId="0" applyFont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4" fillId="0" borderId="6" xfId="0" applyFont="1" applyFill="1" applyBorder="1" applyAlignment="1" applyProtection="1">
      <alignment horizontal="center" vertical="center"/>
    </xf>
    <xf numFmtId="0" fontId="4" fillId="0" borderId="7" xfId="0" applyFont="1" applyFill="1" applyBorder="1" applyAlignment="1" applyProtection="1">
      <alignment horizontal="center" vertical="center"/>
    </xf>
    <xf numFmtId="41" fontId="4" fillId="0" borderId="8" xfId="0" applyNumberFormat="1" applyFont="1" applyFill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6" fillId="0" borderId="14" xfId="0" applyFont="1" applyFill="1" applyBorder="1" applyAlignment="1" applyProtection="1">
      <alignment horizontal="left" vertical="center"/>
    </xf>
    <xf numFmtId="0" fontId="6" fillId="0" borderId="14" xfId="0" applyFont="1" applyFill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0" fontId="6" fillId="0" borderId="14" xfId="0" applyFont="1" applyFill="1" applyBorder="1" applyAlignment="1">
      <alignment horizontal="center" vertical="center"/>
    </xf>
    <xf numFmtId="0" fontId="6" fillId="0" borderId="14" xfId="0" applyFont="1" applyFill="1" applyBorder="1" applyAlignment="1" applyProtection="1">
      <alignment horizontal="center" vertical="center"/>
    </xf>
    <xf numFmtId="41" fontId="6" fillId="0" borderId="14" xfId="0" applyNumberFormat="1" applyFont="1" applyFill="1" applyBorder="1" applyAlignment="1">
      <alignment horizontal="center" vertical="center"/>
    </xf>
    <xf numFmtId="41" fontId="6" fillId="0" borderId="10" xfId="1" applyNumberFormat="1" applyFont="1" applyFill="1" applyBorder="1" applyAlignment="1">
      <alignment horizontal="center" vertical="center"/>
    </xf>
    <xf numFmtId="0" fontId="6" fillId="0" borderId="16" xfId="0" applyFont="1" applyFill="1" applyBorder="1" applyAlignment="1" applyProtection="1">
      <alignment horizontal="left" vertical="center"/>
    </xf>
    <xf numFmtId="0" fontId="6" fillId="0" borderId="16" xfId="0" applyFont="1" applyFill="1" applyBorder="1" applyAlignment="1">
      <alignment horizontal="left" vertical="center"/>
    </xf>
    <xf numFmtId="0" fontId="6" fillId="0" borderId="17" xfId="0" applyFont="1" applyFill="1" applyBorder="1" applyAlignment="1" applyProtection="1">
      <alignment horizontal="left" vertical="center"/>
    </xf>
    <xf numFmtId="0" fontId="6" fillId="0" borderId="16" xfId="0" applyFont="1" applyFill="1" applyBorder="1" applyAlignment="1" applyProtection="1">
      <alignment horizontal="center" vertical="center"/>
    </xf>
    <xf numFmtId="0" fontId="6" fillId="0" borderId="14" xfId="2" applyNumberFormat="1" applyFont="1" applyFill="1" applyBorder="1" applyAlignment="1">
      <alignment horizontal="left" vertical="center"/>
    </xf>
    <xf numFmtId="0" fontId="6" fillId="0" borderId="18" xfId="0" applyFont="1" applyFill="1" applyBorder="1" applyAlignment="1" applyProtection="1">
      <alignment horizontal="left" vertical="center"/>
    </xf>
    <xf numFmtId="0" fontId="6" fillId="0" borderId="14" xfId="0" applyFont="1" applyBorder="1" applyAlignment="1">
      <alignment horizontal="center" vertical="center"/>
    </xf>
    <xf numFmtId="0" fontId="6" fillId="0" borderId="14" xfId="2" applyNumberFormat="1" applyFont="1" applyBorder="1" applyAlignment="1">
      <alignment horizontal="left" vertical="center"/>
    </xf>
    <xf numFmtId="0" fontId="6" fillId="0" borderId="14" xfId="0" applyNumberFormat="1" applyFont="1" applyFill="1" applyBorder="1" applyAlignment="1" applyProtection="1">
      <alignment horizontal="center" vertical="center"/>
    </xf>
    <xf numFmtId="0" fontId="6" fillId="0" borderId="10" xfId="0" applyFont="1" applyFill="1" applyBorder="1" applyAlignment="1" applyProtection="1">
      <alignment horizontal="left" vertical="center"/>
    </xf>
    <xf numFmtId="0" fontId="6" fillId="0" borderId="10" xfId="2" applyNumberFormat="1" applyFont="1" applyBorder="1" applyAlignment="1">
      <alignment horizontal="left" vertical="center"/>
    </xf>
    <xf numFmtId="0" fontId="6" fillId="0" borderId="19" xfId="0" applyFont="1" applyFill="1" applyBorder="1" applyAlignment="1" applyProtection="1">
      <alignment horizontal="left" vertical="center"/>
    </xf>
    <xf numFmtId="0" fontId="6" fillId="0" borderId="10" xfId="0" applyFont="1" applyFill="1" applyBorder="1" applyAlignment="1" applyProtection="1">
      <alignment horizontal="center" vertical="center"/>
    </xf>
    <xf numFmtId="0" fontId="6" fillId="0" borderId="10" xfId="0" applyNumberFormat="1" applyFont="1" applyFill="1" applyBorder="1" applyAlignment="1" applyProtection="1">
      <alignment horizontal="center" vertical="center"/>
    </xf>
    <xf numFmtId="0" fontId="6" fillId="0" borderId="10" xfId="0" applyFont="1" applyFill="1" applyBorder="1" applyAlignment="1">
      <alignment horizontal="left" vertical="center"/>
    </xf>
    <xf numFmtId="0" fontId="6" fillId="0" borderId="10" xfId="0" applyFont="1" applyBorder="1" applyAlignment="1">
      <alignment horizontal="center" vertical="center"/>
    </xf>
    <xf numFmtId="0" fontId="6" fillId="0" borderId="7" xfId="0" applyFont="1" applyFill="1" applyBorder="1" applyAlignment="1" applyProtection="1">
      <alignment horizontal="left" vertical="center"/>
    </xf>
    <xf numFmtId="0" fontId="6" fillId="0" borderId="7" xfId="0" applyFont="1" applyFill="1" applyBorder="1" applyAlignment="1">
      <alignment horizontal="left" vertical="center"/>
    </xf>
    <xf numFmtId="0" fontId="6" fillId="0" borderId="20" xfId="0" applyFont="1" applyFill="1" applyBorder="1" applyAlignment="1" applyProtection="1">
      <alignment horizontal="left" vertical="center"/>
    </xf>
    <xf numFmtId="0" fontId="6" fillId="0" borderId="7" xfId="0" applyFont="1" applyBorder="1" applyAlignment="1">
      <alignment horizontal="center" vertical="center"/>
    </xf>
    <xf numFmtId="0" fontId="6" fillId="0" borderId="7" xfId="0" applyNumberFormat="1" applyFont="1" applyFill="1" applyBorder="1" applyAlignment="1" applyProtection="1">
      <alignment horizontal="center" vertical="center"/>
    </xf>
    <xf numFmtId="0" fontId="5" fillId="0" borderId="21" xfId="0" applyFont="1" applyFill="1" applyBorder="1" applyAlignment="1" applyProtection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5" fillId="0" borderId="22" xfId="0" applyFont="1" applyFill="1" applyBorder="1" applyAlignment="1" applyProtection="1">
      <alignment horizontal="center" vertical="center"/>
    </xf>
    <xf numFmtId="0" fontId="5" fillId="0" borderId="23" xfId="0" applyNumberFormat="1" applyFont="1" applyFill="1" applyBorder="1" applyAlignment="1" applyProtection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5" fillId="0" borderId="0" xfId="0" applyFont="1" applyFill="1" applyBorder="1" applyAlignment="1" applyProtection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 applyProtection="1">
      <alignment horizontal="center" vertical="center"/>
    </xf>
    <xf numFmtId="0" fontId="5" fillId="0" borderId="0" xfId="0" applyNumberFormat="1" applyFont="1" applyFill="1" applyBorder="1" applyAlignment="1" applyProtection="1">
      <alignment horizontal="center" vertical="center"/>
    </xf>
    <xf numFmtId="41" fontId="4" fillId="0" borderId="0" xfId="2" applyNumberFormat="1" applyFont="1" applyFill="1" applyBorder="1" applyAlignment="1">
      <alignment horizontal="center" vertical="center"/>
    </xf>
    <xf numFmtId="0" fontId="4" fillId="0" borderId="20" xfId="0" applyFont="1" applyFill="1" applyBorder="1" applyAlignment="1" applyProtection="1">
      <alignment horizontal="center" vertical="center"/>
    </xf>
    <xf numFmtId="0" fontId="6" fillId="0" borderId="13" xfId="0" applyFont="1" applyFill="1" applyBorder="1" applyAlignment="1" applyProtection="1">
      <alignment horizontal="left" vertical="center" wrapText="1"/>
    </xf>
    <xf numFmtId="0" fontId="6" fillId="0" borderId="14" xfId="0" applyFont="1" applyFill="1" applyBorder="1" applyAlignment="1" applyProtection="1">
      <alignment horizontal="left" vertical="center" wrapText="1"/>
    </xf>
    <xf numFmtId="0" fontId="6" fillId="0" borderId="15" xfId="0" applyNumberFormat="1" applyFont="1" applyFill="1" applyBorder="1" applyAlignment="1" applyProtection="1">
      <alignment horizontal="center" vertical="center"/>
    </xf>
    <xf numFmtId="0" fontId="6" fillId="0" borderId="16" xfId="2" applyNumberFormat="1" applyFont="1" applyFill="1" applyBorder="1" applyAlignment="1">
      <alignment horizontal="left" vertical="center"/>
    </xf>
    <xf numFmtId="0" fontId="6" fillId="0" borderId="26" xfId="0" applyNumberFormat="1" applyFont="1" applyFill="1" applyBorder="1" applyAlignment="1" applyProtection="1">
      <alignment horizontal="center" vertical="center"/>
    </xf>
    <xf numFmtId="0" fontId="6" fillId="0" borderId="12" xfId="0" applyFont="1" applyFill="1" applyBorder="1" applyAlignment="1" applyProtection="1">
      <alignment horizontal="center" vertical="center"/>
    </xf>
    <xf numFmtId="0" fontId="6" fillId="0" borderId="16" xfId="2" applyNumberFormat="1" applyFont="1" applyBorder="1" applyAlignment="1">
      <alignment horizontal="left" vertical="center"/>
    </xf>
    <xf numFmtId="0" fontId="6" fillId="0" borderId="27" xfId="0" applyNumberFormat="1" applyFont="1" applyFill="1" applyBorder="1" applyAlignment="1" applyProtection="1">
      <alignment horizontal="center" vertical="center"/>
    </xf>
    <xf numFmtId="0" fontId="6" fillId="0" borderId="10" xfId="2" applyNumberFormat="1" applyFont="1" applyFill="1" applyBorder="1" applyAlignment="1">
      <alignment horizontal="left" vertical="center"/>
    </xf>
    <xf numFmtId="0" fontId="6" fillId="0" borderId="28" xfId="0" applyFont="1" applyFill="1" applyBorder="1" applyAlignment="1" applyProtection="1">
      <alignment horizontal="left" vertical="center" wrapText="1"/>
    </xf>
    <xf numFmtId="0" fontId="6" fillId="0" borderId="10" xfId="0" applyFont="1" applyFill="1" applyBorder="1" applyAlignment="1" applyProtection="1">
      <alignment horizontal="left" vertical="center" wrapText="1"/>
    </xf>
    <xf numFmtId="0" fontId="6" fillId="0" borderId="10" xfId="0" applyFont="1" applyBorder="1" applyAlignment="1">
      <alignment horizontal="left" vertical="center"/>
    </xf>
    <xf numFmtId="41" fontId="4" fillId="0" borderId="24" xfId="2" applyNumberFormat="1" applyFont="1" applyFill="1" applyBorder="1" applyAlignment="1">
      <alignment horizontal="center" vertical="center"/>
    </xf>
    <xf numFmtId="0" fontId="6" fillId="0" borderId="9" xfId="0" applyFont="1" applyFill="1" applyBorder="1" applyAlignment="1" applyProtection="1">
      <alignment horizontal="left" vertical="center"/>
    </xf>
    <xf numFmtId="0" fontId="6" fillId="0" borderId="9" xfId="2" applyNumberFormat="1" applyFont="1" applyBorder="1" applyAlignment="1">
      <alignment horizontal="left" vertical="center"/>
    </xf>
    <xf numFmtId="0" fontId="6" fillId="0" borderId="29" xfId="0" applyFont="1" applyFill="1" applyBorder="1" applyAlignment="1" applyProtection="1">
      <alignment horizontal="left" vertical="center"/>
    </xf>
    <xf numFmtId="0" fontId="6" fillId="0" borderId="9" xfId="0" applyFont="1" applyFill="1" applyBorder="1" applyAlignment="1" applyProtection="1">
      <alignment horizontal="center" vertical="center"/>
    </xf>
    <xf numFmtId="0" fontId="6" fillId="0" borderId="9" xfId="0" applyNumberFormat="1" applyFont="1" applyFill="1" applyBorder="1" applyAlignment="1" applyProtection="1">
      <alignment horizontal="center" vertical="center"/>
    </xf>
    <xf numFmtId="41" fontId="6" fillId="0" borderId="11" xfId="0" applyNumberFormat="1" applyFont="1" applyFill="1" applyBorder="1" applyAlignment="1">
      <alignment horizontal="center" vertical="center"/>
    </xf>
    <xf numFmtId="41" fontId="6" fillId="0" borderId="11" xfId="0" applyNumberFormat="1" applyFont="1" applyBorder="1" applyAlignment="1">
      <alignment horizontal="center" vertical="center"/>
    </xf>
    <xf numFmtId="0" fontId="6" fillId="0" borderId="12" xfId="0" applyFont="1" applyFill="1" applyBorder="1" applyAlignment="1" applyProtection="1">
      <alignment horizontal="left" vertical="center"/>
    </xf>
    <xf numFmtId="0" fontId="6" fillId="0" borderId="12" xfId="2" applyNumberFormat="1" applyFont="1" applyBorder="1" applyAlignment="1">
      <alignment horizontal="left" vertical="center"/>
    </xf>
    <xf numFmtId="0" fontId="6" fillId="0" borderId="30" xfId="0" applyFont="1" applyFill="1" applyBorder="1" applyAlignment="1" applyProtection="1">
      <alignment horizontal="left" vertical="center"/>
    </xf>
    <xf numFmtId="0" fontId="6" fillId="0" borderId="12" xfId="0" applyNumberFormat="1" applyFont="1" applyFill="1" applyBorder="1" applyAlignment="1" applyProtection="1">
      <alignment horizontal="center" vertical="center"/>
    </xf>
    <xf numFmtId="0" fontId="6" fillId="0" borderId="11" xfId="0" applyFont="1" applyFill="1" applyBorder="1" applyAlignment="1" applyProtection="1">
      <alignment horizontal="left" vertical="center"/>
    </xf>
    <xf numFmtId="0" fontId="6" fillId="0" borderId="11" xfId="2" applyNumberFormat="1" applyFont="1" applyBorder="1" applyAlignment="1">
      <alignment horizontal="left" vertical="center"/>
    </xf>
    <xf numFmtId="0" fontId="6" fillId="0" borderId="31" xfId="0" applyFont="1" applyFill="1" applyBorder="1" applyAlignment="1" applyProtection="1">
      <alignment horizontal="left" vertical="center"/>
    </xf>
    <xf numFmtId="0" fontId="6" fillId="0" borderId="11" xfId="0" applyFont="1" applyFill="1" applyBorder="1" applyAlignment="1" applyProtection="1">
      <alignment horizontal="center" vertical="center"/>
    </xf>
    <xf numFmtId="0" fontId="6" fillId="0" borderId="11" xfId="0" applyNumberFormat="1" applyFont="1" applyFill="1" applyBorder="1" applyAlignment="1" applyProtection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6" fillId="0" borderId="11" xfId="0" applyFont="1" applyFill="1" applyBorder="1" applyAlignment="1">
      <alignment horizontal="left" vertical="center"/>
    </xf>
    <xf numFmtId="0" fontId="6" fillId="0" borderId="12" xfId="0" applyFont="1" applyBorder="1" applyAlignment="1">
      <alignment horizontal="left" vertical="center"/>
    </xf>
    <xf numFmtId="0" fontId="6" fillId="0" borderId="11" xfId="0" applyFont="1" applyBorder="1" applyAlignment="1">
      <alignment horizontal="left" vertical="center"/>
    </xf>
    <xf numFmtId="0" fontId="6" fillId="0" borderId="12" xfId="0" applyFont="1" applyFill="1" applyBorder="1" applyAlignment="1">
      <alignment horizontal="left" vertical="center"/>
    </xf>
    <xf numFmtId="0" fontId="6" fillId="0" borderId="11" xfId="0" applyFont="1" applyFill="1" applyBorder="1" applyAlignment="1">
      <alignment horizontal="center" vertical="center"/>
    </xf>
    <xf numFmtId="0" fontId="6" fillId="0" borderId="16" xfId="0" applyFont="1" applyBorder="1" applyAlignment="1">
      <alignment horizontal="left" vertical="center"/>
    </xf>
    <xf numFmtId="0" fontId="6" fillId="0" borderId="16" xfId="0" applyFont="1" applyBorder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41" fontId="6" fillId="0" borderId="16" xfId="0" applyNumberFormat="1" applyFont="1" applyFill="1" applyBorder="1" applyAlignment="1">
      <alignment horizontal="center" vertical="center"/>
    </xf>
    <xf numFmtId="0" fontId="6" fillId="0" borderId="32" xfId="0" applyFont="1" applyFill="1" applyBorder="1" applyAlignment="1" applyProtection="1">
      <alignment horizontal="left" vertical="center"/>
    </xf>
    <xf numFmtId="0" fontId="6" fillId="0" borderId="9" xfId="0" applyFont="1" applyFill="1" applyBorder="1" applyAlignment="1">
      <alignment horizontal="left" vertical="center"/>
    </xf>
    <xf numFmtId="41" fontId="6" fillId="0" borderId="9" xfId="0" applyNumberFormat="1" applyFont="1" applyFill="1" applyBorder="1" applyAlignment="1">
      <alignment horizontal="center" vertical="center"/>
    </xf>
    <xf numFmtId="41" fontId="6" fillId="0" borderId="33" xfId="0" applyNumberFormat="1" applyFont="1" applyFill="1" applyBorder="1" applyAlignment="1">
      <alignment horizontal="center" vertical="center"/>
    </xf>
    <xf numFmtId="0" fontId="6" fillId="0" borderId="34" xfId="0" applyFont="1" applyFill="1" applyBorder="1" applyAlignment="1" applyProtection="1">
      <alignment horizontal="left" vertical="center"/>
    </xf>
    <xf numFmtId="0" fontId="6" fillId="0" borderId="36" xfId="0" applyFont="1" applyFill="1" applyBorder="1" applyAlignment="1" applyProtection="1">
      <alignment horizontal="left" vertical="center"/>
    </xf>
    <xf numFmtId="0" fontId="6" fillId="0" borderId="38" xfId="0" applyFont="1" applyFill="1" applyBorder="1" applyAlignment="1" applyProtection="1">
      <alignment horizontal="left" vertical="center"/>
    </xf>
    <xf numFmtId="0" fontId="6" fillId="0" borderId="39" xfId="0" applyFont="1" applyFill="1" applyBorder="1" applyAlignment="1">
      <alignment horizontal="left" vertical="center"/>
    </xf>
    <xf numFmtId="0" fontId="6" fillId="0" borderId="39" xfId="0" applyFont="1" applyFill="1" applyBorder="1" applyAlignment="1" applyProtection="1">
      <alignment horizontal="left" vertical="center"/>
    </xf>
    <xf numFmtId="0" fontId="5" fillId="0" borderId="39" xfId="0" applyFont="1" applyFill="1" applyBorder="1" applyAlignment="1" applyProtection="1">
      <alignment horizontal="left" vertical="center"/>
    </xf>
    <xf numFmtId="0" fontId="5" fillId="0" borderId="39" xfId="0" applyFont="1" applyFill="1" applyBorder="1" applyAlignment="1" applyProtection="1">
      <alignment horizontal="center" vertical="center"/>
    </xf>
    <xf numFmtId="41" fontId="5" fillId="0" borderId="39" xfId="0" applyNumberFormat="1" applyFont="1" applyFill="1" applyBorder="1" applyAlignment="1">
      <alignment horizontal="center" vertical="center"/>
    </xf>
    <xf numFmtId="0" fontId="6" fillId="0" borderId="27" xfId="0" applyFont="1" applyFill="1" applyBorder="1" applyAlignment="1" applyProtection="1">
      <alignment horizontal="left" vertical="center"/>
    </xf>
    <xf numFmtId="41" fontId="6" fillId="0" borderId="10" xfId="0" applyNumberFormat="1" applyFont="1" applyFill="1" applyBorder="1" applyAlignment="1">
      <alignment horizontal="center" vertical="center"/>
    </xf>
    <xf numFmtId="0" fontId="6" fillId="0" borderId="15" xfId="0" applyFont="1" applyFill="1" applyBorder="1" applyAlignment="1" applyProtection="1">
      <alignment horizontal="left" vertical="center"/>
    </xf>
    <xf numFmtId="0" fontId="4" fillId="0" borderId="0" xfId="0" applyFont="1" applyAlignment="1">
      <alignment horizontal="center" vertical="center"/>
    </xf>
    <xf numFmtId="0" fontId="5" fillId="0" borderId="23" xfId="0" applyFont="1" applyFill="1" applyBorder="1" applyAlignment="1" applyProtection="1">
      <alignment horizontal="center" vertical="center"/>
    </xf>
    <xf numFmtId="41" fontId="4" fillId="0" borderId="24" xfId="1" applyNumberFormat="1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41" fontId="3" fillId="0" borderId="0" xfId="0" applyNumberFormat="1" applyFont="1" applyFill="1" applyBorder="1" applyAlignment="1">
      <alignment horizontal="center" vertical="center"/>
    </xf>
    <xf numFmtId="0" fontId="6" fillId="0" borderId="12" xfId="3" applyFont="1" applyFill="1" applyBorder="1" applyAlignment="1" applyProtection="1">
      <alignment horizontal="center" vertical="center"/>
    </xf>
    <xf numFmtId="38" fontId="5" fillId="0" borderId="21" xfId="0" applyNumberFormat="1" applyFont="1" applyFill="1" applyBorder="1" applyAlignment="1" applyProtection="1">
      <alignment horizontal="center" vertical="center"/>
    </xf>
    <xf numFmtId="38" fontId="4" fillId="0" borderId="22" xfId="0" applyNumberFormat="1" applyFont="1" applyBorder="1" applyAlignment="1">
      <alignment horizontal="center" vertical="center"/>
    </xf>
    <xf numFmtId="38" fontId="5" fillId="0" borderId="22" xfId="0" applyNumberFormat="1" applyFont="1" applyFill="1" applyBorder="1" applyAlignment="1" applyProtection="1">
      <alignment horizontal="center" vertical="center"/>
    </xf>
    <xf numFmtId="38" fontId="5" fillId="0" borderId="23" xfId="0" applyNumberFormat="1" applyFont="1" applyFill="1" applyBorder="1" applyAlignment="1" applyProtection="1">
      <alignment horizontal="center" vertical="center"/>
    </xf>
    <xf numFmtId="38" fontId="4" fillId="0" borderId="0" xfId="0" applyNumberFormat="1" applyFont="1" applyAlignment="1">
      <alignment horizontal="center" vertical="center"/>
    </xf>
    <xf numFmtId="38" fontId="3" fillId="0" borderId="0" xfId="0" applyNumberFormat="1" applyFont="1" applyBorder="1" applyAlignment="1">
      <alignment horizontal="center" vertical="center"/>
    </xf>
    <xf numFmtId="38" fontId="6" fillId="0" borderId="0" xfId="0" applyNumberFormat="1" applyFont="1" applyFill="1" applyBorder="1" applyAlignment="1" applyProtection="1">
      <alignment horizontal="center" vertical="center"/>
    </xf>
    <xf numFmtId="38" fontId="5" fillId="0" borderId="0" xfId="0" applyNumberFormat="1" applyFont="1" applyBorder="1" applyAlignment="1" applyProtection="1">
      <alignment horizontal="center" vertical="center"/>
      <protection locked="0"/>
    </xf>
    <xf numFmtId="38" fontId="3" fillId="0" borderId="0" xfId="0" applyNumberFormat="1" applyFont="1" applyAlignment="1">
      <alignment horizontal="center" vertical="center"/>
    </xf>
    <xf numFmtId="38" fontId="7" fillId="0" borderId="0" xfId="0" applyNumberFormat="1" applyFont="1" applyBorder="1" applyAlignment="1">
      <alignment horizontal="center" vertical="center"/>
    </xf>
    <xf numFmtId="38" fontId="7" fillId="0" borderId="0" xfId="0" applyNumberFormat="1" applyFont="1" applyBorder="1" applyAlignment="1" applyProtection="1">
      <alignment horizontal="center" vertical="center"/>
    </xf>
    <xf numFmtId="38" fontId="7" fillId="0" borderId="0" xfId="0" applyNumberFormat="1" applyFont="1" applyBorder="1" applyAlignment="1" applyProtection="1">
      <alignment horizontal="right" vertical="center"/>
    </xf>
    <xf numFmtId="41" fontId="8" fillId="0" borderId="41" xfId="2" applyNumberFormat="1" applyFont="1" applyFill="1" applyBorder="1" applyAlignment="1">
      <alignment horizontal="center" vertical="center"/>
    </xf>
    <xf numFmtId="0" fontId="6" fillId="0" borderId="11" xfId="0" applyFont="1" applyFill="1" applyBorder="1" applyAlignment="1" applyProtection="1">
      <alignment horizontal="left" vertical="center" wrapText="1"/>
    </xf>
    <xf numFmtId="41" fontId="5" fillId="0" borderId="0" xfId="0" applyNumberFormat="1" applyFont="1" applyBorder="1" applyAlignment="1">
      <alignment horizontal="center" vertical="center"/>
    </xf>
    <xf numFmtId="0" fontId="6" fillId="0" borderId="11" xfId="0" applyFont="1" applyFill="1" applyBorder="1" applyAlignment="1" applyProtection="1">
      <alignment vertical="center"/>
    </xf>
    <xf numFmtId="0" fontId="6" fillId="0" borderId="13" xfId="0" applyFont="1" applyFill="1" applyBorder="1" applyAlignment="1" applyProtection="1">
      <alignment vertical="center" wrapText="1"/>
    </xf>
    <xf numFmtId="0" fontId="6" fillId="0" borderId="11" xfId="0" applyFont="1" applyFill="1" applyBorder="1" applyAlignment="1" applyProtection="1"/>
    <xf numFmtId="0" fontId="6" fillId="0" borderId="11" xfId="0" applyFont="1" applyFill="1" applyBorder="1" applyAlignment="1" applyProtection="1">
      <alignment horizontal="center"/>
    </xf>
    <xf numFmtId="0" fontId="6" fillId="0" borderId="0" xfId="0" applyFont="1" applyFill="1" applyBorder="1" applyAlignment="1" applyProtection="1">
      <alignment vertical="center"/>
    </xf>
    <xf numFmtId="0" fontId="6" fillId="0" borderId="0" xfId="0" applyFont="1" applyFill="1" applyBorder="1" applyAlignment="1" applyProtection="1">
      <alignment vertical="center" wrapText="1"/>
    </xf>
    <xf numFmtId="0" fontId="6" fillId="0" borderId="0" xfId="0" applyFont="1" applyFill="1" applyBorder="1" applyAlignment="1" applyProtection="1"/>
    <xf numFmtId="0" fontId="6" fillId="0" borderId="0" xfId="0" applyFont="1" applyFill="1" applyBorder="1" applyAlignment="1" applyProtection="1">
      <alignment horizontal="center"/>
    </xf>
    <xf numFmtId="0" fontId="6" fillId="0" borderId="0" xfId="0" applyNumberFormat="1" applyFont="1" applyFill="1" applyBorder="1" applyAlignment="1" applyProtection="1">
      <alignment horizontal="center" vertical="center"/>
    </xf>
    <xf numFmtId="41" fontId="6" fillId="0" borderId="0" xfId="0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2" xfId="0" applyFont="1" applyBorder="1" applyAlignment="1" applyProtection="1"/>
    <xf numFmtId="41" fontId="3" fillId="0" borderId="0" xfId="0" applyNumberFormat="1" applyFont="1" applyFill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0" fontId="6" fillId="0" borderId="13" xfId="0" applyFont="1" applyFill="1" applyBorder="1" applyAlignment="1" applyProtection="1">
      <alignment horizontal="left" vertical="center"/>
    </xf>
    <xf numFmtId="0" fontId="8" fillId="0" borderId="2" xfId="0" applyFont="1" applyFill="1" applyBorder="1" applyAlignment="1" applyProtection="1">
      <alignment horizontal="left"/>
    </xf>
    <xf numFmtId="0" fontId="3" fillId="0" borderId="25" xfId="0" applyFont="1" applyFill="1" applyBorder="1" applyAlignment="1">
      <alignment horizontal="center" vertical="center"/>
    </xf>
    <xf numFmtId="0" fontId="8" fillId="0" borderId="2" xfId="0" applyFont="1" applyBorder="1" applyAlignment="1" applyProtection="1">
      <alignment horizontal="center"/>
    </xf>
    <xf numFmtId="0" fontId="6" fillId="0" borderId="18" xfId="0" applyFont="1" applyFill="1" applyBorder="1" applyAlignment="1" applyProtection="1">
      <alignment horizontal="center" vertical="center"/>
    </xf>
    <xf numFmtId="41" fontId="6" fillId="0" borderId="35" xfId="0" applyNumberFormat="1" applyFont="1" applyFill="1" applyBorder="1" applyAlignment="1">
      <alignment horizontal="center" vertical="center"/>
    </xf>
    <xf numFmtId="41" fontId="6" fillId="0" borderId="37" xfId="0" applyNumberFormat="1" applyFont="1" applyFill="1" applyBorder="1" applyAlignment="1">
      <alignment horizontal="center" vertical="center"/>
    </xf>
    <xf numFmtId="41" fontId="6" fillId="0" borderId="40" xfId="0" applyNumberFormat="1" applyFont="1" applyFill="1" applyBorder="1" applyAlignment="1">
      <alignment horizontal="center" vertical="center"/>
    </xf>
    <xf numFmtId="41" fontId="6" fillId="0" borderId="39" xfId="0" applyNumberFormat="1" applyFont="1" applyFill="1" applyBorder="1" applyAlignment="1">
      <alignment horizontal="center" vertical="center"/>
    </xf>
    <xf numFmtId="0" fontId="8" fillId="0" borderId="27" xfId="0" applyFont="1" applyBorder="1" applyAlignment="1" applyProtection="1">
      <alignment horizontal="left" vertical="center"/>
    </xf>
    <xf numFmtId="0" fontId="8" fillId="0" borderId="0" xfId="0" applyFont="1" applyAlignment="1">
      <alignment horizontal="left"/>
    </xf>
    <xf numFmtId="0" fontId="8" fillId="0" borderId="0" xfId="0" applyFont="1"/>
    <xf numFmtId="41" fontId="8" fillId="0" borderId="41" xfId="0" applyNumberFormat="1" applyFont="1" applyBorder="1" applyAlignment="1">
      <alignment horizontal="center" vertical="center"/>
    </xf>
    <xf numFmtId="0" fontId="7" fillId="0" borderId="0" xfId="0" applyNumberFormat="1" applyFont="1" applyAlignment="1">
      <alignment horizontal="center" vertical="center"/>
    </xf>
    <xf numFmtId="0" fontId="3" fillId="0" borderId="0" xfId="0" applyNumberFormat="1" applyFont="1" applyAlignment="1">
      <alignment horizontal="center" vertical="center"/>
    </xf>
    <xf numFmtId="41" fontId="3" fillId="0" borderId="0" xfId="1" applyNumberFormat="1" applyFont="1" applyAlignment="1">
      <alignment horizontal="center" vertical="center"/>
    </xf>
    <xf numFmtId="41" fontId="4" fillId="0" borderId="5" xfId="0" quotePrefix="1" applyNumberFormat="1" applyFont="1" applyFill="1" applyBorder="1" applyAlignment="1">
      <alignment horizontal="center" vertical="center"/>
    </xf>
    <xf numFmtId="41" fontId="4" fillId="0" borderId="4" xfId="1" quotePrefix="1" applyNumberFormat="1" applyFont="1" applyBorder="1" applyAlignment="1">
      <alignment horizontal="center" vertical="center"/>
    </xf>
    <xf numFmtId="41" fontId="4" fillId="0" borderId="7" xfId="0" applyNumberFormat="1" applyFont="1" applyFill="1" applyBorder="1" applyAlignment="1" applyProtection="1">
      <alignment horizontal="center" vertical="center"/>
    </xf>
    <xf numFmtId="41" fontId="3" fillId="0" borderId="0" xfId="1" applyNumberFormat="1" applyFont="1" applyFill="1" applyBorder="1" applyAlignment="1">
      <alignment horizontal="center" vertical="center"/>
    </xf>
    <xf numFmtId="41" fontId="11" fillId="0" borderId="0" xfId="0" applyNumberFormat="1" applyFont="1"/>
    <xf numFmtId="41" fontId="3" fillId="0" borderId="2" xfId="1" applyNumberFormat="1" applyFont="1" applyBorder="1" applyAlignment="1">
      <alignment horizontal="center" vertical="center"/>
    </xf>
    <xf numFmtId="41" fontId="3" fillId="0" borderId="0" xfId="1" applyNumberFormat="1" applyFont="1" applyBorder="1" applyAlignment="1">
      <alignment horizontal="center" vertical="center"/>
    </xf>
    <xf numFmtId="41" fontId="6" fillId="0" borderId="15" xfId="1" applyNumberFormat="1" applyFont="1" applyBorder="1" applyAlignment="1">
      <alignment horizontal="center" vertical="center"/>
    </xf>
    <xf numFmtId="41" fontId="6" fillId="0" borderId="11" xfId="1" applyNumberFormat="1" applyFont="1" applyBorder="1" applyAlignment="1">
      <alignment horizontal="center" vertical="center"/>
    </xf>
    <xf numFmtId="41" fontId="3" fillId="0" borderId="0" xfId="1" applyNumberFormat="1" applyFont="1" applyFill="1" applyAlignment="1">
      <alignment horizontal="center" vertical="center"/>
    </xf>
  </cellXfs>
  <cellStyles count="20">
    <cellStyle name="20% - Accent1 2" xfId="4"/>
    <cellStyle name="20% - Accent2 2" xfId="5"/>
    <cellStyle name="20% - Accent3 2" xfId="6"/>
    <cellStyle name="20% - Accent4 2" xfId="7"/>
    <cellStyle name="20% - Accent5 2" xfId="8"/>
    <cellStyle name="20% - Accent6 2" xfId="9"/>
    <cellStyle name="40% - Accent1 2" xfId="10"/>
    <cellStyle name="40% - Accent2 2" xfId="11"/>
    <cellStyle name="40% - Accent3 2" xfId="12"/>
    <cellStyle name="40% - Accent4 2" xfId="13"/>
    <cellStyle name="40% - Accent5 2" xfId="14"/>
    <cellStyle name="40% - Accent6 2" xfId="15"/>
    <cellStyle name="Comma" xfId="1" builtinId="3"/>
    <cellStyle name="Currency" xfId="2" builtinId="4"/>
    <cellStyle name="Normal" xfId="0" builtinId="0"/>
    <cellStyle name="Normal 2" xfId="16"/>
    <cellStyle name="Normal 2 140" xfId="3"/>
    <cellStyle name="Normal 2 2" xfId="17"/>
    <cellStyle name="Note 2" xfId="18"/>
    <cellStyle name="Note 2 2" xfId="19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FF00"/>
    <pageSetUpPr fitToPage="1"/>
  </sheetPr>
  <dimension ref="A1:M159"/>
  <sheetViews>
    <sheetView tabSelected="1" zoomScaleNormal="100" workbookViewId="0">
      <pane xSplit="5" topLeftCell="F1" activePane="topRight" state="frozen"/>
      <selection pane="topRight" activeCell="C14" sqref="C14"/>
    </sheetView>
  </sheetViews>
  <sheetFormatPr defaultRowHeight="12.75" x14ac:dyDescent="0.2"/>
  <cols>
    <col min="1" max="1" width="21.7109375" style="1" customWidth="1"/>
    <col min="2" max="2" width="12.7109375" style="1" hidden="1" customWidth="1"/>
    <col min="3" max="3" width="38.42578125" style="1" customWidth="1"/>
    <col min="4" max="4" width="8.28515625" style="1" hidden="1" customWidth="1"/>
    <col min="5" max="5" width="28.140625" style="1" customWidth="1"/>
    <col min="6" max="6" width="7.7109375" style="1" bestFit="1" customWidth="1"/>
    <col min="7" max="7" width="26.140625" style="1" customWidth="1"/>
    <col min="8" max="8" width="14.42578125" style="134" customWidth="1"/>
    <col min="9" max="9" width="15" style="151" customWidth="1"/>
    <col min="10" max="10" width="13.28515625" style="151" customWidth="1"/>
    <col min="11" max="16384" width="9.140625" style="1"/>
  </cols>
  <sheetData>
    <row r="1" spans="1:10" ht="24" customHeight="1" thickBot="1" x14ac:dyDescent="0.3">
      <c r="A1" s="133" t="s">
        <v>0</v>
      </c>
    </row>
    <row r="2" spans="1:10" x14ac:dyDescent="0.2">
      <c r="A2" s="135" t="s">
        <v>1</v>
      </c>
      <c r="B2" s="2"/>
      <c r="C2" s="2"/>
      <c r="D2" s="2"/>
      <c r="E2" s="2"/>
      <c r="F2" s="2"/>
      <c r="G2" s="2"/>
      <c r="H2" s="152" t="s">
        <v>290</v>
      </c>
      <c r="I2" s="153" t="s">
        <v>2</v>
      </c>
      <c r="J2" s="152" t="s">
        <v>3</v>
      </c>
    </row>
    <row r="3" spans="1:10" ht="13.5" thickBot="1" x14ac:dyDescent="0.25">
      <c r="A3" s="3" t="s">
        <v>4</v>
      </c>
      <c r="B3" s="4" t="s">
        <v>5</v>
      </c>
      <c r="C3" s="4" t="s">
        <v>6</v>
      </c>
      <c r="D3" s="4"/>
      <c r="E3" s="4" t="s">
        <v>7</v>
      </c>
      <c r="F3" s="4" t="s">
        <v>8</v>
      </c>
      <c r="G3" s="4" t="s">
        <v>9</v>
      </c>
      <c r="H3" s="5" t="s">
        <v>10</v>
      </c>
      <c r="I3" s="154" t="s">
        <v>11</v>
      </c>
      <c r="J3" s="5" t="s">
        <v>12</v>
      </c>
    </row>
    <row r="4" spans="1:10" s="6" customFormat="1" ht="12" x14ac:dyDescent="0.2">
      <c r="A4" s="23" t="s">
        <v>13</v>
      </c>
      <c r="B4" s="54" t="s">
        <v>14</v>
      </c>
      <c r="C4" s="23" t="s">
        <v>15</v>
      </c>
      <c r="D4" s="23"/>
      <c r="E4" s="23"/>
      <c r="F4" s="26" t="s">
        <v>16</v>
      </c>
      <c r="G4" s="74" t="s">
        <v>17</v>
      </c>
      <c r="H4" s="64">
        <v>4000</v>
      </c>
      <c r="I4" s="64"/>
      <c r="J4" s="12">
        <f>H4+I4</f>
        <v>4000</v>
      </c>
    </row>
    <row r="5" spans="1:10" s="6" customFormat="1" ht="12" x14ac:dyDescent="0.2">
      <c r="A5" s="23" t="s">
        <v>13</v>
      </c>
      <c r="B5" s="54" t="s">
        <v>14</v>
      </c>
      <c r="C5" s="23" t="s">
        <v>18</v>
      </c>
      <c r="D5" s="23"/>
      <c r="E5" s="23"/>
      <c r="F5" s="26" t="s">
        <v>16</v>
      </c>
      <c r="G5" s="74" t="s">
        <v>17</v>
      </c>
      <c r="H5" s="64">
        <v>4500</v>
      </c>
      <c r="I5" s="64"/>
      <c r="J5" s="12">
        <f>H5+I5</f>
        <v>4500</v>
      </c>
    </row>
    <row r="6" spans="1:10" s="6" customFormat="1" ht="12" x14ac:dyDescent="0.2">
      <c r="A6" s="70" t="s">
        <v>19</v>
      </c>
      <c r="B6" s="76"/>
      <c r="C6" s="136" t="s">
        <v>20</v>
      </c>
      <c r="D6" s="47"/>
      <c r="E6" s="9" t="s">
        <v>21</v>
      </c>
      <c r="F6" s="10" t="s">
        <v>16</v>
      </c>
      <c r="G6" s="48" t="s">
        <v>22</v>
      </c>
      <c r="H6" s="12"/>
      <c r="I6" s="12">
        <v>5000</v>
      </c>
      <c r="J6" s="12">
        <f>H6+I6</f>
        <v>5000</v>
      </c>
    </row>
    <row r="7" spans="1:10" s="6" customFormat="1" ht="12" x14ac:dyDescent="0.2">
      <c r="A7" s="7" t="s">
        <v>23</v>
      </c>
      <c r="B7" s="8" t="s">
        <v>14</v>
      </c>
      <c r="C7" s="7" t="s">
        <v>24</v>
      </c>
      <c r="D7" s="7"/>
      <c r="E7" s="9" t="s">
        <v>25</v>
      </c>
      <c r="F7" s="10" t="s">
        <v>26</v>
      </c>
      <c r="G7" s="11" t="s">
        <v>27</v>
      </c>
      <c r="H7" s="12">
        <v>28800</v>
      </c>
      <c r="I7" s="12">
        <v>200</v>
      </c>
      <c r="J7" s="12">
        <f>H7+I7</f>
        <v>29000</v>
      </c>
    </row>
    <row r="8" spans="1:10" s="6" customFormat="1" ht="12" x14ac:dyDescent="0.2">
      <c r="A8" s="7" t="s">
        <v>28</v>
      </c>
      <c r="B8" s="8" t="s">
        <v>14</v>
      </c>
      <c r="C8" s="7" t="s">
        <v>29</v>
      </c>
      <c r="D8" s="7"/>
      <c r="E8" s="7" t="s">
        <v>30</v>
      </c>
      <c r="F8" s="10" t="s">
        <v>26</v>
      </c>
      <c r="G8" s="11" t="s">
        <v>31</v>
      </c>
      <c r="H8" s="12">
        <v>16500</v>
      </c>
      <c r="I8" s="12">
        <v>-16500</v>
      </c>
      <c r="J8" s="12">
        <f>H8+I8</f>
        <v>0</v>
      </c>
    </row>
    <row r="9" spans="1:10" s="6" customFormat="1" ht="12" x14ac:dyDescent="0.2">
      <c r="A9" s="14" t="s">
        <v>32</v>
      </c>
      <c r="B9" s="15" t="s">
        <v>14</v>
      </c>
      <c r="C9" s="14" t="s">
        <v>33</v>
      </c>
      <c r="D9" s="16"/>
      <c r="E9" s="16"/>
      <c r="F9" s="17" t="s">
        <v>34</v>
      </c>
      <c r="G9" s="17" t="s">
        <v>35</v>
      </c>
      <c r="H9" s="12">
        <v>37594</v>
      </c>
      <c r="I9" s="12"/>
      <c r="J9" s="12">
        <f>H9+I9</f>
        <v>37594</v>
      </c>
    </row>
    <row r="10" spans="1:10" s="6" customFormat="1" ht="12" x14ac:dyDescent="0.2">
      <c r="A10" s="14" t="s">
        <v>32</v>
      </c>
      <c r="B10" s="15"/>
      <c r="C10" s="14" t="s">
        <v>36</v>
      </c>
      <c r="D10" s="16"/>
      <c r="E10" s="14" t="s">
        <v>37</v>
      </c>
      <c r="F10" s="17" t="s">
        <v>34</v>
      </c>
      <c r="G10" s="17" t="s">
        <v>38</v>
      </c>
      <c r="H10" s="12">
        <v>4877</v>
      </c>
      <c r="I10" s="12">
        <v>-4877</v>
      </c>
      <c r="J10" s="12">
        <f>H10+I10</f>
        <v>0</v>
      </c>
    </row>
    <row r="11" spans="1:10" s="6" customFormat="1" ht="12" x14ac:dyDescent="0.2">
      <c r="A11" s="7" t="s">
        <v>28</v>
      </c>
      <c r="B11" s="18" t="s">
        <v>14</v>
      </c>
      <c r="C11" s="7" t="s">
        <v>39</v>
      </c>
      <c r="D11" s="19"/>
      <c r="E11" s="19"/>
      <c r="F11" s="11" t="s">
        <v>40</v>
      </c>
      <c r="G11" s="11" t="s">
        <v>41</v>
      </c>
      <c r="H11" s="12">
        <v>73711</v>
      </c>
      <c r="I11" s="12"/>
      <c r="J11" s="12">
        <f>H11+I11</f>
        <v>73711</v>
      </c>
    </row>
    <row r="12" spans="1:10" s="6" customFormat="1" ht="12" x14ac:dyDescent="0.2">
      <c r="A12" s="7" t="s">
        <v>28</v>
      </c>
      <c r="B12" s="18" t="s">
        <v>14</v>
      </c>
      <c r="C12" s="7" t="s">
        <v>42</v>
      </c>
      <c r="D12" s="19"/>
      <c r="E12" s="19"/>
      <c r="F12" s="11" t="s">
        <v>26</v>
      </c>
      <c r="G12" s="11" t="s">
        <v>43</v>
      </c>
      <c r="H12" s="12">
        <v>15000</v>
      </c>
      <c r="I12" s="12"/>
      <c r="J12" s="12">
        <f>H12+I12</f>
        <v>15000</v>
      </c>
    </row>
    <row r="13" spans="1:10" s="6" customFormat="1" ht="12" customHeight="1" x14ac:dyDescent="0.2">
      <c r="A13" s="7" t="s">
        <v>44</v>
      </c>
      <c r="B13" s="8"/>
      <c r="C13" s="7" t="s">
        <v>45</v>
      </c>
      <c r="D13" s="7"/>
      <c r="E13" s="7" t="s">
        <v>46</v>
      </c>
      <c r="F13" s="11" t="s">
        <v>16</v>
      </c>
      <c r="G13" s="11" t="s">
        <v>47</v>
      </c>
      <c r="H13" s="12">
        <v>10000</v>
      </c>
      <c r="I13" s="12"/>
      <c r="J13" s="12">
        <f>H13+I13</f>
        <v>10000</v>
      </c>
    </row>
    <row r="14" spans="1:10" s="6" customFormat="1" ht="12" x14ac:dyDescent="0.2">
      <c r="A14" s="7" t="s">
        <v>44</v>
      </c>
      <c r="B14" s="8" t="s">
        <v>14</v>
      </c>
      <c r="C14" s="7" t="s">
        <v>48</v>
      </c>
      <c r="D14" s="7"/>
      <c r="E14" s="7"/>
      <c r="F14" s="20" t="s">
        <v>16</v>
      </c>
      <c r="G14" s="11" t="s">
        <v>49</v>
      </c>
      <c r="H14" s="12">
        <v>17453</v>
      </c>
      <c r="I14" s="12"/>
      <c r="J14" s="12">
        <f>H14+I14</f>
        <v>17453</v>
      </c>
    </row>
    <row r="15" spans="1:10" x14ac:dyDescent="0.2">
      <c r="A15" s="7" t="s">
        <v>28</v>
      </c>
      <c r="B15" s="21" t="s">
        <v>50</v>
      </c>
      <c r="C15" s="19" t="s">
        <v>51</v>
      </c>
      <c r="D15" s="7"/>
      <c r="E15" s="7"/>
      <c r="F15" s="11" t="s">
        <v>16</v>
      </c>
      <c r="G15" s="22" t="s">
        <v>52</v>
      </c>
      <c r="H15" s="12">
        <v>340397</v>
      </c>
      <c r="I15" s="12"/>
      <c r="J15" s="12">
        <f>H15+I15</f>
        <v>340397</v>
      </c>
    </row>
    <row r="16" spans="1:10" x14ac:dyDescent="0.2">
      <c r="A16" s="23" t="s">
        <v>28</v>
      </c>
      <c r="B16" s="24" t="s">
        <v>50</v>
      </c>
      <c r="C16" s="25" t="s">
        <v>53</v>
      </c>
      <c r="D16" s="23"/>
      <c r="E16" s="23"/>
      <c r="F16" s="26" t="s">
        <v>16</v>
      </c>
      <c r="G16" s="27" t="s">
        <v>54</v>
      </c>
      <c r="H16" s="12">
        <v>88013</v>
      </c>
      <c r="I16" s="12"/>
      <c r="J16" s="12">
        <f>H16+I16</f>
        <v>88013</v>
      </c>
    </row>
    <row r="17" spans="1:10" x14ac:dyDescent="0.2">
      <c r="A17" s="23" t="s">
        <v>28</v>
      </c>
      <c r="B17" s="24"/>
      <c r="C17" s="25" t="s">
        <v>55</v>
      </c>
      <c r="D17" s="25"/>
      <c r="E17" s="23"/>
      <c r="F17" s="26" t="s">
        <v>56</v>
      </c>
      <c r="G17" s="27" t="s">
        <v>57</v>
      </c>
      <c r="H17" s="12">
        <v>2500</v>
      </c>
      <c r="I17" s="12"/>
      <c r="J17" s="12">
        <f>H17+I17</f>
        <v>2500</v>
      </c>
    </row>
    <row r="18" spans="1:10" s="6" customFormat="1" ht="12" x14ac:dyDescent="0.2">
      <c r="A18" s="7" t="s">
        <v>58</v>
      </c>
      <c r="B18" s="18" t="s">
        <v>14</v>
      </c>
      <c r="C18" s="7" t="s">
        <v>59</v>
      </c>
      <c r="D18" s="19"/>
      <c r="E18" s="23"/>
      <c r="F18" s="11" t="s">
        <v>34</v>
      </c>
      <c r="G18" s="11" t="s">
        <v>60</v>
      </c>
      <c r="H18" s="12">
        <v>19057</v>
      </c>
      <c r="I18" s="12"/>
      <c r="J18" s="12">
        <f>H18+I18</f>
        <v>19057</v>
      </c>
    </row>
    <row r="19" spans="1:10" s="6" customFormat="1" ht="12" x14ac:dyDescent="0.2">
      <c r="A19" s="7" t="s">
        <v>58</v>
      </c>
      <c r="B19" s="18" t="s">
        <v>14</v>
      </c>
      <c r="C19" s="7" t="s">
        <v>61</v>
      </c>
      <c r="D19" s="19"/>
      <c r="E19" s="23"/>
      <c r="F19" s="11" t="s">
        <v>34</v>
      </c>
      <c r="G19" s="11" t="s">
        <v>62</v>
      </c>
      <c r="H19" s="12">
        <v>7479</v>
      </c>
      <c r="I19" s="12"/>
      <c r="J19" s="12">
        <f>H19+I19</f>
        <v>7479</v>
      </c>
    </row>
    <row r="20" spans="1:10" x14ac:dyDescent="0.2">
      <c r="A20" s="23" t="s">
        <v>58</v>
      </c>
      <c r="B20" s="28" t="s">
        <v>63</v>
      </c>
      <c r="C20" s="25" t="s">
        <v>64</v>
      </c>
      <c r="D20" s="23"/>
      <c r="E20" s="9"/>
      <c r="F20" s="29" t="s">
        <v>34</v>
      </c>
      <c r="G20" s="27" t="s">
        <v>65</v>
      </c>
      <c r="H20" s="12">
        <v>6500</v>
      </c>
      <c r="I20" s="12"/>
      <c r="J20" s="12">
        <f>H20+I20</f>
        <v>6500</v>
      </c>
    </row>
    <row r="21" spans="1:10" x14ac:dyDescent="0.2">
      <c r="A21" s="7" t="s">
        <v>58</v>
      </c>
      <c r="B21" s="8" t="s">
        <v>63</v>
      </c>
      <c r="C21" s="19" t="s">
        <v>66</v>
      </c>
      <c r="D21" s="7"/>
      <c r="E21" s="9" t="s">
        <v>67</v>
      </c>
      <c r="F21" s="20" t="s">
        <v>34</v>
      </c>
      <c r="G21" s="22" t="s">
        <v>68</v>
      </c>
      <c r="H21" s="12">
        <v>78691</v>
      </c>
      <c r="I21" s="12">
        <v>4722</v>
      </c>
      <c r="J21" s="12">
        <f>H21+I21</f>
        <v>83413</v>
      </c>
    </row>
    <row r="22" spans="1:10" ht="13.5" thickBot="1" x14ac:dyDescent="0.25">
      <c r="A22" s="30" t="s">
        <v>58</v>
      </c>
      <c r="B22" s="31" t="s">
        <v>63</v>
      </c>
      <c r="C22" s="32" t="s">
        <v>69</v>
      </c>
      <c r="D22" s="30"/>
      <c r="E22" s="9"/>
      <c r="F22" s="33" t="s">
        <v>34</v>
      </c>
      <c r="G22" s="34" t="s">
        <v>70</v>
      </c>
      <c r="H22" s="12">
        <v>15609</v>
      </c>
      <c r="I22" s="12"/>
      <c r="J22" s="12">
        <f>H22+I22</f>
        <v>15609</v>
      </c>
    </row>
    <row r="23" spans="1:10" ht="13.5" thickBot="1" x14ac:dyDescent="0.25">
      <c r="A23" s="35"/>
      <c r="B23" s="36"/>
      <c r="C23" s="37"/>
      <c r="D23" s="37"/>
      <c r="E23" s="37"/>
      <c r="F23" s="37"/>
      <c r="G23" s="38" t="s">
        <v>71</v>
      </c>
      <c r="H23" s="103">
        <f t="shared" ref="H23:I23" si="0">SUM(H4:H22)</f>
        <v>770681</v>
      </c>
      <c r="I23" s="103">
        <f t="shared" si="0"/>
        <v>-11455</v>
      </c>
      <c r="J23" s="103">
        <f>SUM(J4:J22)</f>
        <v>759226</v>
      </c>
    </row>
    <row r="24" spans="1:10" s="39" customFormat="1" ht="17.25" customHeight="1" x14ac:dyDescent="0.2">
      <c r="A24" s="40"/>
      <c r="B24" s="41"/>
      <c r="C24" s="42"/>
      <c r="D24" s="42"/>
      <c r="E24" s="40"/>
      <c r="F24" s="40"/>
      <c r="G24" s="43"/>
      <c r="H24" s="44"/>
      <c r="I24" s="155"/>
      <c r="J24" s="155"/>
    </row>
    <row r="25" spans="1:10" s="39" customFormat="1" ht="24" customHeight="1" thickBot="1" x14ac:dyDescent="0.3">
      <c r="A25" s="137" t="s">
        <v>72</v>
      </c>
      <c r="H25" s="105"/>
      <c r="I25" s="155"/>
      <c r="J25" s="155"/>
    </row>
    <row r="26" spans="1:10" x14ac:dyDescent="0.2">
      <c r="A26" s="135" t="s">
        <v>1</v>
      </c>
      <c r="B26" s="2"/>
      <c r="C26" s="138"/>
      <c r="D26" s="2"/>
      <c r="E26" s="2"/>
      <c r="F26" s="2"/>
      <c r="G26" s="2"/>
      <c r="H26" s="152" t="s">
        <v>290</v>
      </c>
      <c r="I26" s="153" t="s">
        <v>2</v>
      </c>
      <c r="J26" s="152" t="s">
        <v>3</v>
      </c>
    </row>
    <row r="27" spans="1:10" ht="13.5" thickBot="1" x14ac:dyDescent="0.25">
      <c r="A27" s="3" t="s">
        <v>4</v>
      </c>
      <c r="B27" s="4" t="s">
        <v>5</v>
      </c>
      <c r="C27" s="45" t="s">
        <v>6</v>
      </c>
      <c r="D27" s="4" t="s">
        <v>73</v>
      </c>
      <c r="E27" s="4" t="s">
        <v>7</v>
      </c>
      <c r="F27" s="4" t="s">
        <v>8</v>
      </c>
      <c r="G27" s="4" t="s">
        <v>9</v>
      </c>
      <c r="H27" s="5" t="s">
        <v>10</v>
      </c>
      <c r="I27" s="154" t="s">
        <v>11</v>
      </c>
      <c r="J27" s="5" t="s">
        <v>12</v>
      </c>
    </row>
    <row r="28" spans="1:10" s="6" customFormat="1" ht="12" x14ac:dyDescent="0.2">
      <c r="A28" s="7" t="s">
        <v>13</v>
      </c>
      <c r="B28" s="18" t="s">
        <v>74</v>
      </c>
      <c r="C28" s="136" t="s">
        <v>75</v>
      </c>
      <c r="D28" s="7"/>
      <c r="E28" s="19"/>
      <c r="F28" s="11" t="s">
        <v>16</v>
      </c>
      <c r="G28" s="22" t="s">
        <v>17</v>
      </c>
      <c r="H28" s="12">
        <v>4400</v>
      </c>
      <c r="I28" s="12"/>
      <c r="J28" s="12">
        <f>H28</f>
        <v>4400</v>
      </c>
    </row>
    <row r="29" spans="1:10" s="6" customFormat="1" ht="12" x14ac:dyDescent="0.2">
      <c r="A29" s="7" t="s">
        <v>13</v>
      </c>
      <c r="B29" s="8" t="s">
        <v>74</v>
      </c>
      <c r="C29" s="46" t="s">
        <v>18</v>
      </c>
      <c r="D29" s="47"/>
      <c r="E29" s="9"/>
      <c r="F29" s="10" t="s">
        <v>16</v>
      </c>
      <c r="G29" s="22" t="s">
        <v>17</v>
      </c>
      <c r="H29" s="12">
        <v>4400</v>
      </c>
      <c r="I29" s="12"/>
      <c r="J29" s="12">
        <f>H29</f>
        <v>4400</v>
      </c>
    </row>
    <row r="30" spans="1:10" s="6" customFormat="1" ht="12" x14ac:dyDescent="0.2">
      <c r="A30" s="7" t="s">
        <v>19</v>
      </c>
      <c r="B30" s="8"/>
      <c r="C30" s="136" t="s">
        <v>20</v>
      </c>
      <c r="D30" s="47"/>
      <c r="E30" s="9" t="s">
        <v>21</v>
      </c>
      <c r="F30" s="10" t="s">
        <v>16</v>
      </c>
      <c r="G30" s="48" t="s">
        <v>76</v>
      </c>
      <c r="H30" s="12"/>
      <c r="I30" s="12">
        <v>5000</v>
      </c>
      <c r="J30" s="12">
        <f>H30+I30</f>
        <v>5000</v>
      </c>
    </row>
    <row r="31" spans="1:10" s="6" customFormat="1" ht="12" x14ac:dyDescent="0.2">
      <c r="A31" s="7" t="s">
        <v>28</v>
      </c>
      <c r="B31" s="18" t="s">
        <v>74</v>
      </c>
      <c r="C31" s="46" t="s">
        <v>77</v>
      </c>
      <c r="D31" s="47"/>
      <c r="E31" s="9" t="s">
        <v>78</v>
      </c>
      <c r="F31" s="11" t="s">
        <v>26</v>
      </c>
      <c r="G31" s="48" t="s">
        <v>79</v>
      </c>
      <c r="H31" s="12">
        <v>33200</v>
      </c>
      <c r="I31" s="12"/>
      <c r="J31" s="12">
        <f>H31+I31</f>
        <v>33200</v>
      </c>
    </row>
    <row r="32" spans="1:10" s="6" customFormat="1" ht="12" x14ac:dyDescent="0.2">
      <c r="A32" s="7" t="s">
        <v>28</v>
      </c>
      <c r="B32" s="18" t="s">
        <v>74</v>
      </c>
      <c r="C32" s="46" t="s">
        <v>29</v>
      </c>
      <c r="D32" s="7"/>
      <c r="E32" s="7" t="s">
        <v>30</v>
      </c>
      <c r="F32" s="11" t="s">
        <v>26</v>
      </c>
      <c r="G32" s="48" t="s">
        <v>80</v>
      </c>
      <c r="H32" s="12">
        <v>27500</v>
      </c>
      <c r="I32" s="12">
        <v>-27500</v>
      </c>
      <c r="J32" s="12">
        <f>H32+I32</f>
        <v>0</v>
      </c>
    </row>
    <row r="33" spans="1:10" s="6" customFormat="1" ht="12" x14ac:dyDescent="0.2">
      <c r="A33" s="14" t="s">
        <v>81</v>
      </c>
      <c r="B33" s="49" t="s">
        <v>74</v>
      </c>
      <c r="C33" s="14" t="s">
        <v>33</v>
      </c>
      <c r="D33" s="14" t="s">
        <v>82</v>
      </c>
      <c r="E33" s="14"/>
      <c r="F33" s="11" t="s">
        <v>34</v>
      </c>
      <c r="G33" s="50" t="s">
        <v>83</v>
      </c>
      <c r="H33" s="12">
        <v>40155</v>
      </c>
      <c r="I33" s="12"/>
      <c r="J33" s="12">
        <f>H33+I33</f>
        <v>40155</v>
      </c>
    </row>
    <row r="34" spans="1:10" s="6" customFormat="1" ht="12" x14ac:dyDescent="0.2">
      <c r="A34" s="14" t="s">
        <v>81</v>
      </c>
      <c r="B34" s="49" t="s">
        <v>74</v>
      </c>
      <c r="C34" s="14" t="s">
        <v>36</v>
      </c>
      <c r="D34" s="14" t="s">
        <v>82</v>
      </c>
      <c r="E34" s="14" t="s">
        <v>37</v>
      </c>
      <c r="F34" s="51" t="s">
        <v>34</v>
      </c>
      <c r="G34" s="50" t="s">
        <v>83</v>
      </c>
      <c r="H34" s="12">
        <v>4877</v>
      </c>
      <c r="I34" s="12">
        <f>-H34</f>
        <v>-4877</v>
      </c>
      <c r="J34" s="12">
        <f>H34+I34</f>
        <v>0</v>
      </c>
    </row>
    <row r="35" spans="1:10" s="6" customFormat="1" ht="13.5" customHeight="1" x14ac:dyDescent="0.2">
      <c r="A35" s="7" t="s">
        <v>84</v>
      </c>
      <c r="B35" s="18" t="s">
        <v>74</v>
      </c>
      <c r="C35" s="46" t="s">
        <v>39</v>
      </c>
      <c r="D35" s="7" t="s">
        <v>85</v>
      </c>
      <c r="E35" s="7"/>
      <c r="F35" s="11" t="s">
        <v>40</v>
      </c>
      <c r="G35" s="48" t="s">
        <v>86</v>
      </c>
      <c r="H35" s="12">
        <v>110568</v>
      </c>
      <c r="I35" s="12"/>
      <c r="J35" s="12">
        <f>H35+I35</f>
        <v>110568</v>
      </c>
    </row>
    <row r="36" spans="1:10" s="6" customFormat="1" ht="12" x14ac:dyDescent="0.2">
      <c r="A36" s="7" t="s">
        <v>84</v>
      </c>
      <c r="B36" s="18" t="s">
        <v>74</v>
      </c>
      <c r="C36" s="46" t="s">
        <v>42</v>
      </c>
      <c r="D36" s="7"/>
      <c r="E36" s="7"/>
      <c r="F36" s="11" t="s">
        <v>26</v>
      </c>
      <c r="G36" s="48" t="s">
        <v>87</v>
      </c>
      <c r="H36" s="12">
        <v>24625</v>
      </c>
      <c r="I36" s="12"/>
      <c r="J36" s="12">
        <f>H36+I36</f>
        <v>24625</v>
      </c>
    </row>
    <row r="37" spans="1:10" s="6" customFormat="1" ht="12" x14ac:dyDescent="0.2">
      <c r="A37" s="7" t="s">
        <v>44</v>
      </c>
      <c r="B37" s="18" t="s">
        <v>74</v>
      </c>
      <c r="C37" s="46" t="s">
        <v>48</v>
      </c>
      <c r="D37" s="47"/>
      <c r="E37" s="19"/>
      <c r="F37" s="11" t="s">
        <v>16</v>
      </c>
      <c r="G37" s="48" t="s">
        <v>88</v>
      </c>
      <c r="H37" s="12">
        <v>18953</v>
      </c>
      <c r="I37" s="12">
        <f>2000+(17137-18953)</f>
        <v>184</v>
      </c>
      <c r="J37" s="12">
        <f>H37+I37</f>
        <v>19137</v>
      </c>
    </row>
    <row r="38" spans="1:10" s="6" customFormat="1" ht="12" x14ac:dyDescent="0.2">
      <c r="A38" s="7" t="s">
        <v>44</v>
      </c>
      <c r="B38" s="18"/>
      <c r="C38" s="46" t="s">
        <v>89</v>
      </c>
      <c r="D38" s="47"/>
      <c r="E38" s="7" t="s">
        <v>46</v>
      </c>
      <c r="F38" s="11" t="s">
        <v>16</v>
      </c>
      <c r="G38" s="48" t="s">
        <v>90</v>
      </c>
      <c r="H38" s="12"/>
      <c r="I38" s="12">
        <v>8650</v>
      </c>
      <c r="J38" s="12">
        <f>H38+I38</f>
        <v>8650</v>
      </c>
    </row>
    <row r="39" spans="1:10" s="6" customFormat="1" ht="12" x14ac:dyDescent="0.2">
      <c r="A39" s="7" t="s">
        <v>44</v>
      </c>
      <c r="B39" s="18" t="s">
        <v>74</v>
      </c>
      <c r="C39" s="46" t="s">
        <v>45</v>
      </c>
      <c r="D39" s="47"/>
      <c r="E39" s="7" t="s">
        <v>46</v>
      </c>
      <c r="F39" s="11" t="s">
        <v>16</v>
      </c>
      <c r="G39" s="48" t="s">
        <v>91</v>
      </c>
      <c r="H39" s="12">
        <v>10000</v>
      </c>
      <c r="I39" s="12">
        <v>-8650</v>
      </c>
      <c r="J39" s="12">
        <f>H39+I39</f>
        <v>1350</v>
      </c>
    </row>
    <row r="40" spans="1:10" x14ac:dyDescent="0.2">
      <c r="A40" s="7" t="s">
        <v>28</v>
      </c>
      <c r="B40" s="52" t="s">
        <v>50</v>
      </c>
      <c r="C40" s="19" t="s">
        <v>51</v>
      </c>
      <c r="D40" s="7"/>
      <c r="E40" s="7"/>
      <c r="F40" s="11" t="s">
        <v>16</v>
      </c>
      <c r="G40" s="22" t="s">
        <v>92</v>
      </c>
      <c r="H40" s="12">
        <v>468710</v>
      </c>
      <c r="I40" s="12"/>
      <c r="J40" s="12">
        <f>H40+I40</f>
        <v>468710</v>
      </c>
    </row>
    <row r="41" spans="1:10" x14ac:dyDescent="0.2">
      <c r="A41" s="23" t="s">
        <v>28</v>
      </c>
      <c r="B41" s="24" t="s">
        <v>50</v>
      </c>
      <c r="C41" s="25" t="s">
        <v>93</v>
      </c>
      <c r="D41" s="23"/>
      <c r="E41" s="23"/>
      <c r="F41" s="26" t="s">
        <v>16</v>
      </c>
      <c r="G41" s="27" t="s">
        <v>94</v>
      </c>
      <c r="H41" s="12">
        <v>89345</v>
      </c>
      <c r="I41" s="12"/>
      <c r="J41" s="12">
        <f>H41+I41</f>
        <v>89345</v>
      </c>
    </row>
    <row r="42" spans="1:10" x14ac:dyDescent="0.2">
      <c r="A42" s="23" t="s">
        <v>28</v>
      </c>
      <c r="B42" s="24"/>
      <c r="C42" s="25" t="s">
        <v>55</v>
      </c>
      <c r="D42" s="25"/>
      <c r="E42" s="23"/>
      <c r="F42" s="26" t="s">
        <v>56</v>
      </c>
      <c r="G42" s="53" t="s">
        <v>95</v>
      </c>
      <c r="H42" s="12">
        <v>2500</v>
      </c>
      <c r="I42" s="12"/>
      <c r="J42" s="12">
        <f>H42+I42</f>
        <v>2500</v>
      </c>
    </row>
    <row r="43" spans="1:10" s="6" customFormat="1" ht="12" x14ac:dyDescent="0.2">
      <c r="A43" s="23" t="s">
        <v>58</v>
      </c>
      <c r="B43" s="54" t="s">
        <v>74</v>
      </c>
      <c r="C43" s="7" t="s">
        <v>59</v>
      </c>
      <c r="D43" s="19"/>
      <c r="E43" s="23"/>
      <c r="F43" s="11" t="s">
        <v>34</v>
      </c>
      <c r="G43" s="53" t="s">
        <v>96</v>
      </c>
      <c r="H43" s="12">
        <v>19057</v>
      </c>
      <c r="I43" s="12"/>
      <c r="J43" s="12">
        <f>H43+I43</f>
        <v>19057</v>
      </c>
    </row>
    <row r="44" spans="1:10" s="6" customFormat="1" ht="12" x14ac:dyDescent="0.2">
      <c r="A44" s="23" t="s">
        <v>58</v>
      </c>
      <c r="B44" s="54" t="s">
        <v>74</v>
      </c>
      <c r="C44" s="55" t="s">
        <v>97</v>
      </c>
      <c r="D44" s="56"/>
      <c r="E44" s="23"/>
      <c r="F44" s="11" t="s">
        <v>34</v>
      </c>
      <c r="G44" s="53" t="s">
        <v>98</v>
      </c>
      <c r="H44" s="12">
        <v>7479</v>
      </c>
      <c r="I44" s="12"/>
      <c r="J44" s="12">
        <f>H44+I44</f>
        <v>7479</v>
      </c>
    </row>
    <row r="45" spans="1:10" x14ac:dyDescent="0.2">
      <c r="A45" s="23" t="s">
        <v>58</v>
      </c>
      <c r="B45" s="28" t="s">
        <v>63</v>
      </c>
      <c r="C45" s="25" t="s">
        <v>64</v>
      </c>
      <c r="D45" s="23"/>
      <c r="E45" s="57"/>
      <c r="F45" s="29" t="s">
        <v>34</v>
      </c>
      <c r="G45" s="27" t="s">
        <v>99</v>
      </c>
      <c r="H45" s="12">
        <v>6500</v>
      </c>
      <c r="I45" s="12"/>
      <c r="J45" s="12">
        <f>H45+I45</f>
        <v>6500</v>
      </c>
    </row>
    <row r="46" spans="1:10" ht="12.75" customHeight="1" x14ac:dyDescent="0.2">
      <c r="A46" s="23" t="s">
        <v>58</v>
      </c>
      <c r="B46" s="8" t="s">
        <v>63</v>
      </c>
      <c r="C46" s="19" t="s">
        <v>66</v>
      </c>
      <c r="D46" s="7"/>
      <c r="E46" s="9" t="s">
        <v>67</v>
      </c>
      <c r="F46" s="20" t="s">
        <v>34</v>
      </c>
      <c r="G46" s="22" t="s">
        <v>100</v>
      </c>
      <c r="H46" s="12">
        <v>78691</v>
      </c>
      <c r="I46" s="12">
        <v>4722</v>
      </c>
      <c r="J46" s="12">
        <f>H46+I46</f>
        <v>83413</v>
      </c>
    </row>
    <row r="47" spans="1:10" x14ac:dyDescent="0.2">
      <c r="A47" s="23" t="s">
        <v>58</v>
      </c>
      <c r="B47" s="28" t="s">
        <v>63</v>
      </c>
      <c r="C47" s="25" t="s">
        <v>101</v>
      </c>
      <c r="D47" s="23"/>
      <c r="E47" s="57"/>
      <c r="F47" s="29" t="s">
        <v>34</v>
      </c>
      <c r="G47" s="27" t="s">
        <v>102</v>
      </c>
      <c r="H47" s="12">
        <v>15609</v>
      </c>
      <c r="I47" s="12"/>
      <c r="J47" s="12">
        <f>H47+I47</f>
        <v>15609</v>
      </c>
    </row>
    <row r="48" spans="1:10" s="6" customFormat="1" ht="12" x14ac:dyDescent="0.2">
      <c r="A48" s="23" t="s">
        <v>103</v>
      </c>
      <c r="B48" s="54" t="s">
        <v>74</v>
      </c>
      <c r="C48" s="55" t="s">
        <v>104</v>
      </c>
      <c r="D48" s="56"/>
      <c r="E48" s="25"/>
      <c r="F48" s="26" t="s">
        <v>56</v>
      </c>
      <c r="G48" s="53" t="s">
        <v>105</v>
      </c>
      <c r="H48" s="12">
        <v>34000</v>
      </c>
      <c r="I48" s="12"/>
      <c r="J48" s="12">
        <f>H48+I48</f>
        <v>34000</v>
      </c>
    </row>
    <row r="49" spans="1:10" s="6" customFormat="1" thickBot="1" x14ac:dyDescent="0.25">
      <c r="A49" s="7" t="s">
        <v>106</v>
      </c>
      <c r="B49" s="18" t="s">
        <v>74</v>
      </c>
      <c r="C49" s="46" t="s">
        <v>107</v>
      </c>
      <c r="D49" s="47"/>
      <c r="E49" s="19"/>
      <c r="F49" s="11" t="s">
        <v>16</v>
      </c>
      <c r="G49" s="22" t="s">
        <v>17</v>
      </c>
      <c r="H49" s="12">
        <v>8800</v>
      </c>
      <c r="I49" s="12"/>
      <c r="J49" s="12">
        <f>H49+I49</f>
        <v>8800</v>
      </c>
    </row>
    <row r="50" spans="1:10" ht="13.5" thickBot="1" x14ac:dyDescent="0.25">
      <c r="A50" s="35"/>
      <c r="B50" s="36"/>
      <c r="C50" s="37"/>
      <c r="D50" s="37"/>
      <c r="E50" s="37"/>
      <c r="F50" s="37"/>
      <c r="G50" s="38" t="s">
        <v>108</v>
      </c>
      <c r="H50" s="58">
        <f t="shared" ref="H50:I50" si="1">SUM(H28:H49)</f>
        <v>1009369</v>
      </c>
      <c r="I50" s="58">
        <f t="shared" si="1"/>
        <v>-22471</v>
      </c>
      <c r="J50" s="58">
        <f>SUM(J28:J49)</f>
        <v>986898</v>
      </c>
    </row>
    <row r="51" spans="1:10" ht="15.75" customHeight="1" x14ac:dyDescent="0.2">
      <c r="I51" s="156"/>
      <c r="J51" s="156"/>
    </row>
    <row r="52" spans="1:10" ht="24" customHeight="1" thickBot="1" x14ac:dyDescent="0.3">
      <c r="A52" s="139" t="s">
        <v>109</v>
      </c>
      <c r="I52" s="157"/>
      <c r="J52" s="157"/>
    </row>
    <row r="53" spans="1:10" ht="12" customHeight="1" x14ac:dyDescent="0.2">
      <c r="A53" s="135" t="s">
        <v>1</v>
      </c>
      <c r="B53" s="2"/>
      <c r="C53" s="138"/>
      <c r="D53" s="2"/>
      <c r="E53" s="2"/>
      <c r="F53" s="2"/>
      <c r="G53" s="2"/>
      <c r="H53" s="152" t="s">
        <v>290</v>
      </c>
      <c r="I53" s="153" t="s">
        <v>2</v>
      </c>
      <c r="J53" s="152" t="s">
        <v>3</v>
      </c>
    </row>
    <row r="54" spans="1:10" ht="12.75" customHeight="1" thickBot="1" x14ac:dyDescent="0.25">
      <c r="A54" s="3" t="s">
        <v>4</v>
      </c>
      <c r="B54" s="4" t="s">
        <v>5</v>
      </c>
      <c r="C54" s="45" t="s">
        <v>6</v>
      </c>
      <c r="D54" s="4"/>
      <c r="E54" s="4" t="s">
        <v>7</v>
      </c>
      <c r="F54" s="4" t="s">
        <v>8</v>
      </c>
      <c r="G54" s="4" t="s">
        <v>9</v>
      </c>
      <c r="H54" s="5" t="s">
        <v>10</v>
      </c>
      <c r="I54" s="154" t="s">
        <v>11</v>
      </c>
      <c r="J54" s="5" t="s">
        <v>12</v>
      </c>
    </row>
    <row r="55" spans="1:10" ht="12.6" customHeight="1" x14ac:dyDescent="0.2">
      <c r="A55" s="59" t="s">
        <v>110</v>
      </c>
      <c r="B55" s="60" t="s">
        <v>111</v>
      </c>
      <c r="C55" s="61" t="s">
        <v>112</v>
      </c>
      <c r="D55" s="59"/>
      <c r="E55" s="59" t="s">
        <v>113</v>
      </c>
      <c r="F55" s="62" t="s">
        <v>16</v>
      </c>
      <c r="G55" s="63" t="s">
        <v>114</v>
      </c>
      <c r="H55" s="64">
        <v>4500</v>
      </c>
      <c r="I55" s="64">
        <v>-2500</v>
      </c>
      <c r="J55" s="64">
        <f>H55+I55</f>
        <v>2000</v>
      </c>
    </row>
    <row r="56" spans="1:10" ht="12.6" customHeight="1" x14ac:dyDescent="0.2">
      <c r="A56" s="66" t="s">
        <v>110</v>
      </c>
      <c r="B56" s="67" t="s">
        <v>111</v>
      </c>
      <c r="C56" s="68" t="s">
        <v>115</v>
      </c>
      <c r="D56" s="66"/>
      <c r="E56" s="66"/>
      <c r="F56" s="51" t="s">
        <v>116</v>
      </c>
      <c r="G56" s="69" t="s">
        <v>114</v>
      </c>
      <c r="H56" s="64">
        <v>5000</v>
      </c>
      <c r="I56" s="64"/>
      <c r="J56" s="64">
        <f>H56+I56</f>
        <v>5000</v>
      </c>
    </row>
    <row r="57" spans="1:10" ht="12.6" customHeight="1" x14ac:dyDescent="0.2">
      <c r="A57" s="70" t="s">
        <v>110</v>
      </c>
      <c r="B57" s="71" t="s">
        <v>111</v>
      </c>
      <c r="C57" s="72" t="s">
        <v>117</v>
      </c>
      <c r="D57" s="70"/>
      <c r="E57" s="70" t="s">
        <v>118</v>
      </c>
      <c r="F57" s="73" t="s">
        <v>26</v>
      </c>
      <c r="G57" s="74" t="s">
        <v>119</v>
      </c>
      <c r="H57" s="64">
        <v>47825</v>
      </c>
      <c r="I57" s="64">
        <v>-47825</v>
      </c>
      <c r="J57" s="64">
        <f>H57+I57</f>
        <v>0</v>
      </c>
    </row>
    <row r="58" spans="1:10" s="75" customFormat="1" ht="12.6" customHeight="1" x14ac:dyDescent="0.2">
      <c r="A58" s="23" t="s">
        <v>110</v>
      </c>
      <c r="B58" s="24" t="s">
        <v>111</v>
      </c>
      <c r="C58" s="25" t="s">
        <v>120</v>
      </c>
      <c r="D58" s="23"/>
      <c r="E58" s="23" t="s">
        <v>121</v>
      </c>
      <c r="F58" s="26" t="s">
        <v>26</v>
      </c>
      <c r="G58" s="27" t="s">
        <v>122</v>
      </c>
      <c r="H58" s="64">
        <v>196910</v>
      </c>
      <c r="I58" s="64">
        <v>-3201</v>
      </c>
      <c r="J58" s="64">
        <f>H58+I58</f>
        <v>193709</v>
      </c>
    </row>
    <row r="59" spans="1:10" ht="12.6" customHeight="1" x14ac:dyDescent="0.2">
      <c r="A59" s="70" t="s">
        <v>110</v>
      </c>
      <c r="B59" s="71" t="s">
        <v>111</v>
      </c>
      <c r="C59" s="19" t="s">
        <v>123</v>
      </c>
      <c r="D59" s="70"/>
      <c r="E59" s="70"/>
      <c r="F59" s="140" t="s">
        <v>124</v>
      </c>
      <c r="G59" s="74" t="s">
        <v>17</v>
      </c>
      <c r="H59" s="13">
        <v>850000</v>
      </c>
      <c r="I59" s="64"/>
      <c r="J59" s="64">
        <f>H59+I59</f>
        <v>850000</v>
      </c>
    </row>
    <row r="60" spans="1:10" ht="12.6" customHeight="1" x14ac:dyDescent="0.2">
      <c r="A60" s="70" t="s">
        <v>110</v>
      </c>
      <c r="B60" s="71" t="s">
        <v>111</v>
      </c>
      <c r="C60" s="19" t="s">
        <v>125</v>
      </c>
      <c r="D60" s="70"/>
      <c r="E60" s="70"/>
      <c r="F60" s="73" t="s">
        <v>124</v>
      </c>
      <c r="G60" s="74" t="s">
        <v>17</v>
      </c>
      <c r="H60" s="64">
        <v>1000000</v>
      </c>
      <c r="I60" s="64"/>
      <c r="J60" s="64">
        <f>H60+I60</f>
        <v>1000000</v>
      </c>
    </row>
    <row r="61" spans="1:10" ht="12.6" customHeight="1" x14ac:dyDescent="0.2">
      <c r="A61" s="23" t="s">
        <v>110</v>
      </c>
      <c r="B61" s="24"/>
      <c r="C61" s="25" t="s">
        <v>126</v>
      </c>
      <c r="D61" s="23"/>
      <c r="E61" s="23"/>
      <c r="F61" s="26" t="s">
        <v>127</v>
      </c>
      <c r="G61" s="27" t="s">
        <v>128</v>
      </c>
      <c r="H61" s="64">
        <v>150000</v>
      </c>
      <c r="I61" s="64"/>
      <c r="J61" s="64">
        <f>H61+I61</f>
        <v>150000</v>
      </c>
    </row>
    <row r="62" spans="1:10" ht="12.6" customHeight="1" x14ac:dyDescent="0.2">
      <c r="A62" s="23" t="s">
        <v>110</v>
      </c>
      <c r="B62" s="28" t="s">
        <v>111</v>
      </c>
      <c r="C62" s="25" t="s">
        <v>129</v>
      </c>
      <c r="D62" s="23"/>
      <c r="E62" s="23"/>
      <c r="F62" s="26" t="s">
        <v>26</v>
      </c>
      <c r="G62" s="27" t="s">
        <v>130</v>
      </c>
      <c r="H62" s="64">
        <v>398419</v>
      </c>
      <c r="I62" s="64"/>
      <c r="J62" s="64">
        <f>H62+I62</f>
        <v>398419</v>
      </c>
    </row>
    <row r="63" spans="1:10" ht="12.6" customHeight="1" x14ac:dyDescent="0.2">
      <c r="A63" s="23" t="s">
        <v>110</v>
      </c>
      <c r="B63" s="28"/>
      <c r="C63" s="25" t="s">
        <v>131</v>
      </c>
      <c r="D63" s="23"/>
      <c r="E63" s="23"/>
      <c r="F63" s="26" t="s">
        <v>124</v>
      </c>
      <c r="G63" s="27" t="s">
        <v>132</v>
      </c>
      <c r="H63" s="64">
        <v>15480</v>
      </c>
      <c r="I63" s="64"/>
      <c r="J63" s="64">
        <f>H63+I63</f>
        <v>15480</v>
      </c>
    </row>
    <row r="64" spans="1:10" ht="12.6" customHeight="1" x14ac:dyDescent="0.2">
      <c r="A64" s="70" t="s">
        <v>133</v>
      </c>
      <c r="B64" s="76" t="s">
        <v>111</v>
      </c>
      <c r="C64" s="70" t="s">
        <v>134</v>
      </c>
      <c r="D64" s="70"/>
      <c r="E64" s="70" t="s">
        <v>135</v>
      </c>
      <c r="F64" s="73" t="s">
        <v>56</v>
      </c>
      <c r="G64" s="73" t="s">
        <v>136</v>
      </c>
      <c r="H64" s="64">
        <v>190925</v>
      </c>
      <c r="I64" s="64">
        <v>-95463</v>
      </c>
      <c r="J64" s="64">
        <v>95462</v>
      </c>
    </row>
    <row r="65" spans="1:10" ht="12.6" customHeight="1" x14ac:dyDescent="0.2">
      <c r="A65" s="66" t="s">
        <v>110</v>
      </c>
      <c r="B65" s="77" t="s">
        <v>137</v>
      </c>
      <c r="C65" s="66" t="s">
        <v>138</v>
      </c>
      <c r="D65" s="66"/>
      <c r="E65" s="66"/>
      <c r="F65" s="51" t="s">
        <v>139</v>
      </c>
      <c r="G65" s="73" t="s">
        <v>140</v>
      </c>
      <c r="H65" s="64">
        <v>40000</v>
      </c>
      <c r="I65" s="64"/>
      <c r="J65" s="64">
        <f>H65+I65</f>
        <v>40000</v>
      </c>
    </row>
    <row r="66" spans="1:10" ht="12.6" customHeight="1" x14ac:dyDescent="0.2">
      <c r="A66" s="70" t="s">
        <v>110</v>
      </c>
      <c r="B66" s="78" t="s">
        <v>142</v>
      </c>
      <c r="C66" s="70" t="s">
        <v>141</v>
      </c>
      <c r="D66" s="70"/>
      <c r="E66" s="70"/>
      <c r="F66" s="73" t="s">
        <v>116</v>
      </c>
      <c r="G66" s="74" t="s">
        <v>17</v>
      </c>
      <c r="H66" s="13">
        <v>180000</v>
      </c>
      <c r="I66" s="64"/>
      <c r="J66" s="64">
        <f>H66+I66</f>
        <v>180000</v>
      </c>
    </row>
    <row r="67" spans="1:10" ht="12.6" customHeight="1" x14ac:dyDescent="0.2">
      <c r="A67" s="70" t="s">
        <v>110</v>
      </c>
      <c r="B67" s="76" t="s">
        <v>111</v>
      </c>
      <c r="C67" s="70" t="s">
        <v>143</v>
      </c>
      <c r="D67" s="70"/>
      <c r="E67" s="70"/>
      <c r="F67" s="73" t="s">
        <v>26</v>
      </c>
      <c r="G67" s="73" t="s">
        <v>144</v>
      </c>
      <c r="H67" s="13">
        <v>7822000</v>
      </c>
      <c r="I67" s="64"/>
      <c r="J67" s="64">
        <f>H67+I67</f>
        <v>7822000</v>
      </c>
    </row>
    <row r="68" spans="1:10" ht="12.6" customHeight="1" x14ac:dyDescent="0.2">
      <c r="A68" s="70" t="s">
        <v>145</v>
      </c>
      <c r="B68" s="78" t="s">
        <v>146</v>
      </c>
      <c r="C68" s="70" t="s">
        <v>147</v>
      </c>
      <c r="D68" s="70"/>
      <c r="E68" s="70" t="s">
        <v>148</v>
      </c>
      <c r="F68" s="73" t="s">
        <v>56</v>
      </c>
      <c r="G68" s="73" t="s">
        <v>149</v>
      </c>
      <c r="H68" s="64">
        <v>639644</v>
      </c>
      <c r="I68" s="64">
        <v>63964</v>
      </c>
      <c r="J68" s="64">
        <f>H68+I68</f>
        <v>703608</v>
      </c>
    </row>
    <row r="69" spans="1:10" ht="12.6" customHeight="1" x14ac:dyDescent="0.2">
      <c r="A69" s="23" t="s">
        <v>145</v>
      </c>
      <c r="B69" s="28" t="s">
        <v>146</v>
      </c>
      <c r="C69" s="23" t="s">
        <v>150</v>
      </c>
      <c r="D69" s="23"/>
      <c r="E69" s="23"/>
      <c r="F69" s="26" t="s">
        <v>56</v>
      </c>
      <c r="G69" s="26" t="s">
        <v>149</v>
      </c>
      <c r="H69" s="64">
        <v>40000</v>
      </c>
      <c r="I69" s="64"/>
      <c r="J69" s="64">
        <f>H69+I69</f>
        <v>40000</v>
      </c>
    </row>
    <row r="70" spans="1:10" ht="12.6" customHeight="1" x14ac:dyDescent="0.2">
      <c r="A70" s="70" t="s">
        <v>151</v>
      </c>
      <c r="B70" s="79" t="s">
        <v>111</v>
      </c>
      <c r="C70" s="66" t="s">
        <v>152</v>
      </c>
      <c r="D70" s="66"/>
      <c r="E70" s="66"/>
      <c r="F70" s="51" t="s">
        <v>26</v>
      </c>
      <c r="G70" s="51" t="s">
        <v>153</v>
      </c>
      <c r="H70" s="64">
        <v>164946</v>
      </c>
      <c r="I70" s="64"/>
      <c r="J70" s="64">
        <f>H70+I70</f>
        <v>164946</v>
      </c>
    </row>
    <row r="71" spans="1:10" ht="12.6" customHeight="1" x14ac:dyDescent="0.2">
      <c r="A71" s="70" t="s">
        <v>151</v>
      </c>
      <c r="B71" s="78" t="s">
        <v>111</v>
      </c>
      <c r="C71" s="70" t="s">
        <v>154</v>
      </c>
      <c r="D71" s="70"/>
      <c r="E71" s="70"/>
      <c r="F71" s="73" t="s">
        <v>26</v>
      </c>
      <c r="G71" s="73" t="s">
        <v>155</v>
      </c>
      <c r="H71" s="64">
        <v>7500</v>
      </c>
      <c r="I71" s="64"/>
      <c r="J71" s="64">
        <f>H71+I71</f>
        <v>7500</v>
      </c>
    </row>
    <row r="72" spans="1:10" ht="12.6" customHeight="1" x14ac:dyDescent="0.2">
      <c r="A72" s="70" t="s">
        <v>151</v>
      </c>
      <c r="B72" s="78" t="s">
        <v>111</v>
      </c>
      <c r="C72" s="70" t="s">
        <v>156</v>
      </c>
      <c r="D72" s="70"/>
      <c r="E72" s="70"/>
      <c r="F72" s="73" t="s">
        <v>26</v>
      </c>
      <c r="G72" s="73" t="s">
        <v>157</v>
      </c>
      <c r="H72" s="64">
        <v>60000</v>
      </c>
      <c r="I72" s="64"/>
      <c r="J72" s="64">
        <f>H72+I72</f>
        <v>60000</v>
      </c>
    </row>
    <row r="73" spans="1:10" ht="12.6" customHeight="1" x14ac:dyDescent="0.2">
      <c r="A73" s="70" t="s">
        <v>151</v>
      </c>
      <c r="B73" s="78" t="s">
        <v>111</v>
      </c>
      <c r="C73" s="66" t="s">
        <v>158</v>
      </c>
      <c r="D73" s="66"/>
      <c r="E73" s="66"/>
      <c r="F73" s="51" t="s">
        <v>26</v>
      </c>
      <c r="G73" s="51" t="s">
        <v>159</v>
      </c>
      <c r="H73" s="64">
        <v>200000</v>
      </c>
      <c r="I73" s="64"/>
      <c r="J73" s="64">
        <f>H73+I73</f>
        <v>200000</v>
      </c>
    </row>
    <row r="74" spans="1:10" ht="12.6" customHeight="1" x14ac:dyDescent="0.2">
      <c r="A74" s="70" t="s">
        <v>58</v>
      </c>
      <c r="B74" s="76" t="s">
        <v>63</v>
      </c>
      <c r="C74" s="76" t="s">
        <v>160</v>
      </c>
      <c r="D74" s="78"/>
      <c r="E74" s="78"/>
      <c r="F74" s="80" t="s">
        <v>34</v>
      </c>
      <c r="G74" s="73" t="s">
        <v>161</v>
      </c>
      <c r="H74" s="64">
        <v>219443</v>
      </c>
      <c r="I74" s="64"/>
      <c r="J74" s="64">
        <f>H74+I74</f>
        <v>219443</v>
      </c>
    </row>
    <row r="75" spans="1:10" ht="12.6" customHeight="1" x14ac:dyDescent="0.2">
      <c r="A75" s="70" t="s">
        <v>58</v>
      </c>
      <c r="B75" s="76" t="s">
        <v>63</v>
      </c>
      <c r="C75" s="70" t="s">
        <v>162</v>
      </c>
      <c r="D75" s="70"/>
      <c r="E75" s="78"/>
      <c r="F75" s="80" t="s">
        <v>34</v>
      </c>
      <c r="G75" s="73" t="s">
        <v>163</v>
      </c>
      <c r="H75" s="64">
        <v>48817</v>
      </c>
      <c r="I75" s="64"/>
      <c r="J75" s="64">
        <f>H75+I75</f>
        <v>48817</v>
      </c>
    </row>
    <row r="76" spans="1:10" ht="12.6" customHeight="1" x14ac:dyDescent="0.2">
      <c r="A76" s="14" t="s">
        <v>58</v>
      </c>
      <c r="B76" s="15"/>
      <c r="C76" s="14" t="s">
        <v>164</v>
      </c>
      <c r="D76" s="14"/>
      <c r="E76" s="81"/>
      <c r="F76" s="82" t="s">
        <v>165</v>
      </c>
      <c r="G76" s="73" t="s">
        <v>166</v>
      </c>
      <c r="H76" s="13">
        <v>855979</v>
      </c>
      <c r="I76" s="64"/>
      <c r="J76" s="64">
        <f>H76+I76</f>
        <v>855979</v>
      </c>
    </row>
    <row r="77" spans="1:10" s="83" customFormat="1" ht="12.6" customHeight="1" x14ac:dyDescent="0.2">
      <c r="A77" s="70" t="s">
        <v>58</v>
      </c>
      <c r="B77" s="76" t="s">
        <v>63</v>
      </c>
      <c r="C77" s="70" t="s">
        <v>167</v>
      </c>
      <c r="D77" s="70"/>
      <c r="E77" s="76"/>
      <c r="F77" s="80" t="s">
        <v>124</v>
      </c>
      <c r="G77" s="73" t="s">
        <v>168</v>
      </c>
      <c r="H77" s="64">
        <v>157118</v>
      </c>
      <c r="I77" s="64"/>
      <c r="J77" s="64">
        <f>H77+I77</f>
        <v>157118</v>
      </c>
    </row>
    <row r="78" spans="1:10" ht="12.6" customHeight="1" x14ac:dyDescent="0.2">
      <c r="A78" s="70" t="s">
        <v>58</v>
      </c>
      <c r="B78" s="76" t="s">
        <v>63</v>
      </c>
      <c r="C78" s="70" t="s">
        <v>169</v>
      </c>
      <c r="D78" s="70"/>
      <c r="E78" s="78"/>
      <c r="F78" s="80" t="s">
        <v>34</v>
      </c>
      <c r="G78" s="73" t="s">
        <v>170</v>
      </c>
      <c r="H78" s="64">
        <v>50000</v>
      </c>
      <c r="I78" s="64"/>
      <c r="J78" s="64">
        <f>H78+I78</f>
        <v>50000</v>
      </c>
    </row>
    <row r="79" spans="1:10" ht="12.6" customHeight="1" x14ac:dyDescent="0.2">
      <c r="A79" s="70" t="s">
        <v>58</v>
      </c>
      <c r="B79" s="76" t="s">
        <v>63</v>
      </c>
      <c r="C79" s="70" t="s">
        <v>171</v>
      </c>
      <c r="D79" s="70"/>
      <c r="E79" s="78"/>
      <c r="F79" s="84" t="s">
        <v>172</v>
      </c>
      <c r="G79" s="73" t="s">
        <v>173</v>
      </c>
      <c r="H79" s="64">
        <v>52000</v>
      </c>
      <c r="I79" s="64"/>
      <c r="J79" s="64">
        <f>H79+I79</f>
        <v>52000</v>
      </c>
    </row>
    <row r="80" spans="1:10" ht="12.6" customHeight="1" thickBot="1" x14ac:dyDescent="0.25">
      <c r="A80" s="23" t="s">
        <v>145</v>
      </c>
      <c r="B80" s="15" t="s">
        <v>174</v>
      </c>
      <c r="C80" s="14" t="s">
        <v>175</v>
      </c>
      <c r="D80" s="14"/>
      <c r="E80" s="14"/>
      <c r="F80" s="17" t="s">
        <v>176</v>
      </c>
      <c r="G80" s="17" t="s">
        <v>177</v>
      </c>
      <c r="H80" s="85">
        <v>57000</v>
      </c>
      <c r="I80" s="64"/>
      <c r="J80" s="64">
        <f>H80+I80</f>
        <v>57000</v>
      </c>
    </row>
    <row r="81" spans="1:10" ht="12.6" customHeight="1" x14ac:dyDescent="0.2">
      <c r="A81" s="86" t="s">
        <v>178</v>
      </c>
      <c r="B81" s="87" t="s">
        <v>174</v>
      </c>
      <c r="C81" s="59" t="s">
        <v>179</v>
      </c>
      <c r="D81" s="59"/>
      <c r="E81" s="59" t="s">
        <v>180</v>
      </c>
      <c r="F81" s="62" t="s">
        <v>181</v>
      </c>
      <c r="G81" s="62" t="s">
        <v>182</v>
      </c>
      <c r="H81" s="88">
        <v>22680</v>
      </c>
      <c r="I81" s="88">
        <v>2820</v>
      </c>
      <c r="J81" s="89">
        <f>H81+I81</f>
        <v>25500</v>
      </c>
    </row>
    <row r="82" spans="1:10" ht="12.6" customHeight="1" x14ac:dyDescent="0.2">
      <c r="A82" s="90" t="s">
        <v>178</v>
      </c>
      <c r="B82" s="76" t="s">
        <v>174</v>
      </c>
      <c r="C82" s="70" t="s">
        <v>183</v>
      </c>
      <c r="D82" s="70"/>
      <c r="E82" s="70"/>
      <c r="F82" s="73" t="s">
        <v>16</v>
      </c>
      <c r="G82" s="73" t="s">
        <v>182</v>
      </c>
      <c r="H82" s="64">
        <v>18636</v>
      </c>
      <c r="I82" s="64">
        <v>0</v>
      </c>
      <c r="J82" s="141">
        <f>H82+I82</f>
        <v>18636</v>
      </c>
    </row>
    <row r="83" spans="1:10" ht="12.6" customHeight="1" x14ac:dyDescent="0.2">
      <c r="A83" s="90" t="s">
        <v>178</v>
      </c>
      <c r="B83" s="76" t="s">
        <v>174</v>
      </c>
      <c r="C83" s="70" t="s">
        <v>184</v>
      </c>
      <c r="D83" s="70"/>
      <c r="E83" s="70" t="s">
        <v>185</v>
      </c>
      <c r="F83" s="73" t="s">
        <v>139</v>
      </c>
      <c r="G83" s="73" t="s">
        <v>182</v>
      </c>
      <c r="H83" s="64">
        <v>14732</v>
      </c>
      <c r="I83" s="64">
        <v>4653</v>
      </c>
      <c r="J83" s="141">
        <f>H83+I83</f>
        <v>19385</v>
      </c>
    </row>
    <row r="84" spans="1:10" ht="12.6" customHeight="1" x14ac:dyDescent="0.2">
      <c r="A84" s="90" t="s">
        <v>178</v>
      </c>
      <c r="B84" s="76" t="s">
        <v>174</v>
      </c>
      <c r="C84" s="70" t="s">
        <v>186</v>
      </c>
      <c r="D84" s="70"/>
      <c r="E84" s="70" t="s">
        <v>187</v>
      </c>
      <c r="F84" s="73" t="s">
        <v>188</v>
      </c>
      <c r="G84" s="73" t="s">
        <v>182</v>
      </c>
      <c r="H84" s="64">
        <v>4090</v>
      </c>
      <c r="I84" s="64">
        <v>4715</v>
      </c>
      <c r="J84" s="141">
        <f>H84+I84</f>
        <v>8805</v>
      </c>
    </row>
    <row r="85" spans="1:10" ht="12.6" customHeight="1" x14ac:dyDescent="0.2">
      <c r="A85" s="90" t="s">
        <v>178</v>
      </c>
      <c r="B85" s="76" t="s">
        <v>174</v>
      </c>
      <c r="C85" s="70" t="s">
        <v>189</v>
      </c>
      <c r="D85" s="70"/>
      <c r="E85" s="70"/>
      <c r="F85" s="73" t="s">
        <v>188</v>
      </c>
      <c r="G85" s="73" t="s">
        <v>182</v>
      </c>
      <c r="H85" s="64">
        <v>2000</v>
      </c>
      <c r="I85" s="64">
        <v>-2000</v>
      </c>
      <c r="J85" s="141">
        <f>H85+I85</f>
        <v>0</v>
      </c>
    </row>
    <row r="86" spans="1:10" ht="12.6" customHeight="1" x14ac:dyDescent="0.2">
      <c r="A86" s="90" t="s">
        <v>178</v>
      </c>
      <c r="B86" s="76" t="s">
        <v>174</v>
      </c>
      <c r="C86" s="70" t="s">
        <v>190</v>
      </c>
      <c r="D86" s="70"/>
      <c r="E86" s="70" t="s">
        <v>191</v>
      </c>
      <c r="F86" s="73" t="s">
        <v>188</v>
      </c>
      <c r="G86" s="73" t="s">
        <v>182</v>
      </c>
      <c r="H86" s="64">
        <v>300</v>
      </c>
      <c r="I86" s="64">
        <v>-300</v>
      </c>
      <c r="J86" s="141">
        <f>H86+I86</f>
        <v>0</v>
      </c>
    </row>
    <row r="87" spans="1:10" ht="12.6" customHeight="1" x14ac:dyDescent="0.2">
      <c r="A87" s="90" t="s">
        <v>178</v>
      </c>
      <c r="B87" s="76" t="s">
        <v>174</v>
      </c>
      <c r="C87" s="70" t="s">
        <v>192</v>
      </c>
      <c r="D87" s="70"/>
      <c r="E87" s="70"/>
      <c r="F87" s="73" t="s">
        <v>188</v>
      </c>
      <c r="G87" s="73" t="s">
        <v>182</v>
      </c>
      <c r="H87" s="64">
        <v>250000</v>
      </c>
      <c r="I87" s="64"/>
      <c r="J87" s="141">
        <f>H87+I87</f>
        <v>250000</v>
      </c>
    </row>
    <row r="88" spans="1:10" ht="12.6" customHeight="1" x14ac:dyDescent="0.2">
      <c r="A88" s="90" t="s">
        <v>178</v>
      </c>
      <c r="B88" s="76" t="s">
        <v>174</v>
      </c>
      <c r="C88" s="70" t="s">
        <v>193</v>
      </c>
      <c r="D88" s="70"/>
      <c r="E88" s="70"/>
      <c r="F88" s="73" t="s">
        <v>188</v>
      </c>
      <c r="G88" s="73" t="s">
        <v>182</v>
      </c>
      <c r="H88" s="64">
        <v>2640</v>
      </c>
      <c r="I88" s="64">
        <v>370</v>
      </c>
      <c r="J88" s="141">
        <f>H88+I88</f>
        <v>3010</v>
      </c>
    </row>
    <row r="89" spans="1:10" ht="12.6" customHeight="1" x14ac:dyDescent="0.2">
      <c r="A89" s="90" t="s">
        <v>178</v>
      </c>
      <c r="B89" s="76" t="s">
        <v>174</v>
      </c>
      <c r="C89" s="70" t="s">
        <v>194</v>
      </c>
      <c r="D89" s="70"/>
      <c r="E89" s="70"/>
      <c r="F89" s="73" t="s">
        <v>16</v>
      </c>
      <c r="G89" s="73" t="s">
        <v>182</v>
      </c>
      <c r="H89" s="64">
        <v>4152</v>
      </c>
      <c r="I89" s="64"/>
      <c r="J89" s="141">
        <f>H89+I89</f>
        <v>4152</v>
      </c>
    </row>
    <row r="90" spans="1:10" ht="12.6" customHeight="1" x14ac:dyDescent="0.2">
      <c r="A90" s="90" t="s">
        <v>178</v>
      </c>
      <c r="B90" s="76" t="s">
        <v>174</v>
      </c>
      <c r="C90" s="70" t="s">
        <v>195</v>
      </c>
      <c r="D90" s="70"/>
      <c r="E90" s="70" t="s">
        <v>196</v>
      </c>
      <c r="F90" s="73" t="s">
        <v>139</v>
      </c>
      <c r="G90" s="73" t="s">
        <v>182</v>
      </c>
      <c r="H90" s="64">
        <v>2640</v>
      </c>
      <c r="I90" s="64">
        <v>2878</v>
      </c>
      <c r="J90" s="141">
        <f>H90+I90</f>
        <v>5518</v>
      </c>
    </row>
    <row r="91" spans="1:10" ht="12.6" customHeight="1" x14ac:dyDescent="0.2">
      <c r="A91" s="90" t="s">
        <v>178</v>
      </c>
      <c r="B91" s="76" t="s">
        <v>174</v>
      </c>
      <c r="C91" s="70" t="s">
        <v>197</v>
      </c>
      <c r="D91" s="70"/>
      <c r="E91" s="70"/>
      <c r="F91" s="73" t="s">
        <v>139</v>
      </c>
      <c r="G91" s="73" t="s">
        <v>182</v>
      </c>
      <c r="H91" s="64">
        <v>3120</v>
      </c>
      <c r="I91" s="64">
        <v>255</v>
      </c>
      <c r="J91" s="141">
        <f>H91+I91</f>
        <v>3375</v>
      </c>
    </row>
    <row r="92" spans="1:10" ht="12.6" customHeight="1" x14ac:dyDescent="0.2">
      <c r="A92" s="90" t="s">
        <v>178</v>
      </c>
      <c r="B92" s="76" t="s">
        <v>174</v>
      </c>
      <c r="C92" s="70" t="s">
        <v>198</v>
      </c>
      <c r="D92" s="70"/>
      <c r="E92" s="70" t="s">
        <v>199</v>
      </c>
      <c r="F92" s="73" t="s">
        <v>200</v>
      </c>
      <c r="G92" s="73" t="s">
        <v>182</v>
      </c>
      <c r="H92" s="64">
        <v>35893</v>
      </c>
      <c r="I92" s="64">
        <v>15875</v>
      </c>
      <c r="J92" s="141">
        <f>H92+I92</f>
        <v>51768</v>
      </c>
    </row>
    <row r="93" spans="1:10" ht="12.6" customHeight="1" x14ac:dyDescent="0.2">
      <c r="A93" s="90" t="s">
        <v>178</v>
      </c>
      <c r="B93" s="76" t="s">
        <v>174</v>
      </c>
      <c r="C93" s="70" t="s">
        <v>201</v>
      </c>
      <c r="D93" s="70"/>
      <c r="E93" s="70" t="s">
        <v>202</v>
      </c>
      <c r="F93" s="73" t="s">
        <v>200</v>
      </c>
      <c r="G93" s="73" t="s">
        <v>182</v>
      </c>
      <c r="H93" s="64">
        <v>12890</v>
      </c>
      <c r="I93" s="64">
        <v>31840</v>
      </c>
      <c r="J93" s="141">
        <f>H93+I93</f>
        <v>44730</v>
      </c>
    </row>
    <row r="94" spans="1:10" ht="12.6" customHeight="1" x14ac:dyDescent="0.2">
      <c r="A94" s="91" t="s">
        <v>178</v>
      </c>
      <c r="B94" s="15" t="s">
        <v>174</v>
      </c>
      <c r="C94" s="14" t="s">
        <v>203</v>
      </c>
      <c r="D94" s="14"/>
      <c r="E94" s="14" t="s">
        <v>204</v>
      </c>
      <c r="F94" s="17" t="s">
        <v>139</v>
      </c>
      <c r="G94" s="17" t="s">
        <v>182</v>
      </c>
      <c r="H94" s="85">
        <v>6300</v>
      </c>
      <c r="I94" s="85">
        <v>4574</v>
      </c>
      <c r="J94" s="141">
        <f>H94+I94</f>
        <v>10874</v>
      </c>
    </row>
    <row r="95" spans="1:10" ht="12.6" customHeight="1" x14ac:dyDescent="0.2">
      <c r="A95" s="91" t="s">
        <v>178</v>
      </c>
      <c r="B95" s="15"/>
      <c r="C95" s="14" t="s">
        <v>205</v>
      </c>
      <c r="D95" s="14"/>
      <c r="E95" s="14" t="s">
        <v>206</v>
      </c>
      <c r="F95" s="17" t="s">
        <v>139</v>
      </c>
      <c r="G95" s="17" t="s">
        <v>182</v>
      </c>
      <c r="H95" s="85">
        <v>0</v>
      </c>
      <c r="I95" s="85">
        <v>24215</v>
      </c>
      <c r="J95" s="141">
        <f>H95+I95</f>
        <v>24215</v>
      </c>
    </row>
    <row r="96" spans="1:10" ht="12.6" customHeight="1" x14ac:dyDescent="0.2">
      <c r="A96" s="91" t="s">
        <v>178</v>
      </c>
      <c r="B96" s="15" t="s">
        <v>174</v>
      </c>
      <c r="C96" s="14" t="s">
        <v>207</v>
      </c>
      <c r="D96" s="14"/>
      <c r="E96" s="14" t="s">
        <v>208</v>
      </c>
      <c r="F96" s="17" t="s">
        <v>188</v>
      </c>
      <c r="G96" s="17" t="s">
        <v>182</v>
      </c>
      <c r="H96" s="85">
        <v>0</v>
      </c>
      <c r="I96" s="85">
        <v>16716</v>
      </c>
      <c r="J96" s="142">
        <v>16716</v>
      </c>
    </row>
    <row r="97" spans="1:10" ht="12.6" customHeight="1" thickBot="1" x14ac:dyDescent="0.25">
      <c r="A97" s="92" t="s">
        <v>178</v>
      </c>
      <c r="B97" s="93" t="s">
        <v>174</v>
      </c>
      <c r="C97" s="94"/>
      <c r="D97" s="94"/>
      <c r="E97" s="95" t="s">
        <v>209</v>
      </c>
      <c r="F97" s="96" t="s">
        <v>188</v>
      </c>
      <c r="G97" s="96" t="s">
        <v>182</v>
      </c>
      <c r="H97" s="97">
        <f>SUM(H81:H96)</f>
        <v>380073</v>
      </c>
      <c r="I97" s="143">
        <f>SUM(I81:I96)</f>
        <v>106611</v>
      </c>
      <c r="J97" s="143">
        <f>SUM(J81:J96)</f>
        <v>486684</v>
      </c>
    </row>
    <row r="98" spans="1:10" ht="12.6" customHeight="1" x14ac:dyDescent="0.2">
      <c r="A98" s="23" t="s">
        <v>110</v>
      </c>
      <c r="B98" s="28"/>
      <c r="C98" s="98" t="s">
        <v>210</v>
      </c>
      <c r="D98" s="23"/>
      <c r="E98" s="23"/>
      <c r="F98" s="26" t="s">
        <v>16</v>
      </c>
      <c r="G98" s="53" t="s">
        <v>211</v>
      </c>
      <c r="H98" s="99">
        <v>32983</v>
      </c>
      <c r="I98" s="64"/>
      <c r="J98" s="99">
        <f>H98+I98</f>
        <v>32983</v>
      </c>
    </row>
    <row r="99" spans="1:10" ht="12.6" customHeight="1" x14ac:dyDescent="0.2">
      <c r="A99" s="70" t="s">
        <v>110</v>
      </c>
      <c r="B99" s="76"/>
      <c r="C99" s="100" t="s">
        <v>212</v>
      </c>
      <c r="D99" s="70"/>
      <c r="E99" s="70"/>
      <c r="F99" s="73" t="s">
        <v>16</v>
      </c>
      <c r="G99" s="53" t="s">
        <v>213</v>
      </c>
      <c r="H99" s="64">
        <v>32983</v>
      </c>
      <c r="I99" s="64"/>
      <c r="J99" s="64">
        <f>H99+I99</f>
        <v>32983</v>
      </c>
    </row>
    <row r="100" spans="1:10" ht="12.6" customHeight="1" thickBot="1" x14ac:dyDescent="0.25">
      <c r="A100" s="70" t="s">
        <v>214</v>
      </c>
      <c r="B100" s="76"/>
      <c r="C100" s="100" t="s">
        <v>215</v>
      </c>
      <c r="D100" s="70"/>
      <c r="E100" s="70"/>
      <c r="F100" s="73" t="s">
        <v>139</v>
      </c>
      <c r="G100" s="48" t="s">
        <v>216</v>
      </c>
      <c r="H100" s="64">
        <v>20000</v>
      </c>
      <c r="I100" s="64"/>
      <c r="J100" s="144">
        <f>H100+I100</f>
        <v>20000</v>
      </c>
    </row>
    <row r="101" spans="1:10" s="101" customFormat="1" ht="12.6" customHeight="1" thickBot="1" x14ac:dyDescent="0.25">
      <c r="A101" s="35"/>
      <c r="B101" s="36"/>
      <c r="C101" s="37"/>
      <c r="D101" s="37"/>
      <c r="E101" s="37"/>
      <c r="F101" s="37"/>
      <c r="G101" s="102" t="s">
        <v>217</v>
      </c>
      <c r="H101" s="103">
        <f t="shared" ref="H101:I101" si="2">SUM(H55:H80,H97,H98:H100)</f>
        <v>13919545</v>
      </c>
      <c r="I101" s="103">
        <f t="shared" si="2"/>
        <v>21586</v>
      </c>
      <c r="J101" s="103">
        <f>SUM(J55:J80,J97,J98:J100)</f>
        <v>13941131</v>
      </c>
    </row>
    <row r="102" spans="1:10" s="101" customFormat="1" ht="12.6" customHeight="1" x14ac:dyDescent="0.2">
      <c r="A102" s="40"/>
      <c r="B102" s="104"/>
      <c r="C102" s="40"/>
      <c r="D102" s="40"/>
      <c r="E102" s="40"/>
      <c r="F102" s="40"/>
      <c r="G102" s="40"/>
      <c r="H102" s="44"/>
      <c r="I102" s="156"/>
      <c r="J102" s="156"/>
    </row>
    <row r="103" spans="1:10" s="75" customFormat="1" ht="12.6" customHeight="1" thickBot="1" x14ac:dyDescent="0.25">
      <c r="A103" s="145" t="s">
        <v>218</v>
      </c>
      <c r="C103" s="42"/>
      <c r="D103" s="42"/>
      <c r="E103" s="42"/>
      <c r="F103" s="42"/>
      <c r="G103" s="42"/>
      <c r="H103" s="105"/>
      <c r="I103" s="158"/>
      <c r="J103" s="158"/>
    </row>
    <row r="104" spans="1:10" ht="12.6" customHeight="1" x14ac:dyDescent="0.2">
      <c r="A104" s="135" t="s">
        <v>1</v>
      </c>
      <c r="B104" s="2"/>
      <c r="C104" s="2"/>
      <c r="D104" s="2"/>
      <c r="E104" s="2"/>
      <c r="F104" s="2"/>
      <c r="G104" s="2"/>
      <c r="H104" s="152" t="s">
        <v>290</v>
      </c>
      <c r="I104" s="153" t="s">
        <v>2</v>
      </c>
      <c r="J104" s="152" t="s">
        <v>3</v>
      </c>
    </row>
    <row r="105" spans="1:10" ht="12.6" customHeight="1" thickBot="1" x14ac:dyDescent="0.25">
      <c r="A105" s="3" t="s">
        <v>4</v>
      </c>
      <c r="B105" s="4" t="s">
        <v>5</v>
      </c>
      <c r="C105" s="4" t="s">
        <v>6</v>
      </c>
      <c r="D105" s="4"/>
      <c r="E105" s="4" t="s">
        <v>7</v>
      </c>
      <c r="F105" s="4" t="s">
        <v>8</v>
      </c>
      <c r="G105" s="4" t="s">
        <v>9</v>
      </c>
      <c r="H105" s="5" t="s">
        <v>10</v>
      </c>
      <c r="I105" s="154" t="s">
        <v>11</v>
      </c>
      <c r="J105" s="5" t="s">
        <v>12</v>
      </c>
    </row>
    <row r="106" spans="1:10" ht="12.6" customHeight="1" x14ac:dyDescent="0.2">
      <c r="A106" s="70" t="s">
        <v>219</v>
      </c>
      <c r="B106" s="76" t="s">
        <v>111</v>
      </c>
      <c r="C106" s="70" t="s">
        <v>220</v>
      </c>
      <c r="D106" s="70"/>
      <c r="E106" s="70"/>
      <c r="F106" s="73" t="s">
        <v>40</v>
      </c>
      <c r="G106" s="73" t="s">
        <v>221</v>
      </c>
      <c r="H106" s="64">
        <v>16000</v>
      </c>
      <c r="I106" s="64"/>
      <c r="J106" s="64">
        <f>H106+I106</f>
        <v>16000</v>
      </c>
    </row>
    <row r="107" spans="1:10" ht="12.6" customHeight="1" x14ac:dyDescent="0.2">
      <c r="A107" s="70" t="s">
        <v>219</v>
      </c>
      <c r="B107" s="15"/>
      <c r="C107" s="14" t="s">
        <v>222</v>
      </c>
      <c r="D107" s="14"/>
      <c r="E107" s="14"/>
      <c r="F107" s="17" t="s">
        <v>116</v>
      </c>
      <c r="G107" s="17" t="s">
        <v>223</v>
      </c>
      <c r="H107" s="64">
        <v>864</v>
      </c>
      <c r="I107" s="64"/>
      <c r="J107" s="64">
        <f>H107+I107</f>
        <v>864</v>
      </c>
    </row>
    <row r="108" spans="1:10" ht="12.6" customHeight="1" x14ac:dyDescent="0.2">
      <c r="A108" s="70" t="s">
        <v>110</v>
      </c>
      <c r="B108" s="78" t="s">
        <v>137</v>
      </c>
      <c r="C108" s="70" t="s">
        <v>224</v>
      </c>
      <c r="D108" s="70"/>
      <c r="E108" s="70"/>
      <c r="F108" s="73" t="s">
        <v>56</v>
      </c>
      <c r="G108" s="73" t="s">
        <v>225</v>
      </c>
      <c r="H108" s="64">
        <v>5106</v>
      </c>
      <c r="I108" s="64"/>
      <c r="J108" s="64">
        <f>H108+I108</f>
        <v>5106</v>
      </c>
    </row>
    <row r="109" spans="1:10" ht="12.6" customHeight="1" x14ac:dyDescent="0.2">
      <c r="A109" s="70" t="s">
        <v>110</v>
      </c>
      <c r="B109" s="78" t="s">
        <v>137</v>
      </c>
      <c r="C109" s="70" t="s">
        <v>226</v>
      </c>
      <c r="D109" s="70"/>
      <c r="E109" s="70" t="s">
        <v>227</v>
      </c>
      <c r="F109" s="73" t="s">
        <v>56</v>
      </c>
      <c r="G109" s="73" t="s">
        <v>225</v>
      </c>
      <c r="H109" s="64">
        <v>119199</v>
      </c>
      <c r="I109" s="64">
        <f>170000/2</f>
        <v>85000</v>
      </c>
      <c r="J109" s="64">
        <f>H109+I109</f>
        <v>204199</v>
      </c>
    </row>
    <row r="110" spans="1:10" ht="12.6" customHeight="1" x14ac:dyDescent="0.2">
      <c r="A110" s="70" t="s">
        <v>110</v>
      </c>
      <c r="B110" s="78" t="s">
        <v>137</v>
      </c>
      <c r="C110" s="70" t="s">
        <v>228</v>
      </c>
      <c r="D110" s="70"/>
      <c r="E110" s="70"/>
      <c r="F110" s="73" t="s">
        <v>56</v>
      </c>
      <c r="G110" s="73" t="s">
        <v>229</v>
      </c>
      <c r="H110" s="64">
        <v>78700</v>
      </c>
      <c r="I110" s="64"/>
      <c r="J110" s="64">
        <f>H110+I110</f>
        <v>78700</v>
      </c>
    </row>
    <row r="111" spans="1:10" ht="12.6" customHeight="1" x14ac:dyDescent="0.2">
      <c r="A111" s="23" t="s">
        <v>110</v>
      </c>
      <c r="B111" s="57" t="s">
        <v>111</v>
      </c>
      <c r="C111" s="23" t="s">
        <v>230</v>
      </c>
      <c r="D111" s="23"/>
      <c r="E111" s="23" t="s">
        <v>231</v>
      </c>
      <c r="F111" s="26" t="s">
        <v>56</v>
      </c>
      <c r="G111" s="26" t="s">
        <v>229</v>
      </c>
      <c r="H111" s="64">
        <v>4000</v>
      </c>
      <c r="I111" s="64">
        <v>5000</v>
      </c>
      <c r="J111" s="64">
        <f>H111+I111</f>
        <v>9000</v>
      </c>
    </row>
    <row r="112" spans="1:10" ht="12.6" customHeight="1" x14ac:dyDescent="0.2">
      <c r="A112" s="70" t="s">
        <v>110</v>
      </c>
      <c r="B112" s="78" t="s">
        <v>137</v>
      </c>
      <c r="C112" s="70" t="s">
        <v>232</v>
      </c>
      <c r="D112" s="70"/>
      <c r="E112" s="70"/>
      <c r="F112" s="73" t="s">
        <v>116</v>
      </c>
      <c r="G112" s="73" t="s">
        <v>233</v>
      </c>
      <c r="H112" s="64">
        <v>15000</v>
      </c>
      <c r="I112" s="64"/>
      <c r="J112" s="64">
        <f>H112+I112</f>
        <v>15000</v>
      </c>
    </row>
    <row r="113" spans="1:10" ht="12.6" customHeight="1" x14ac:dyDescent="0.2">
      <c r="A113" s="66" t="s">
        <v>110</v>
      </c>
      <c r="B113" s="57" t="s">
        <v>137</v>
      </c>
      <c r="C113" s="66" t="s">
        <v>234</v>
      </c>
      <c r="D113" s="66"/>
      <c r="E113" s="66"/>
      <c r="F113" s="51" t="s">
        <v>116</v>
      </c>
      <c r="G113" s="51" t="s">
        <v>235</v>
      </c>
      <c r="H113" s="64">
        <v>50000</v>
      </c>
      <c r="I113" s="64"/>
      <c r="J113" s="64">
        <f>H113+I113</f>
        <v>50000</v>
      </c>
    </row>
    <row r="114" spans="1:10" ht="12.6" customHeight="1" x14ac:dyDescent="0.2">
      <c r="A114" s="70" t="s">
        <v>110</v>
      </c>
      <c r="B114" s="77" t="s">
        <v>137</v>
      </c>
      <c r="C114" s="70" t="s">
        <v>236</v>
      </c>
      <c r="D114" s="70"/>
      <c r="E114" s="70"/>
      <c r="F114" s="73" t="s">
        <v>56</v>
      </c>
      <c r="G114" s="73" t="s">
        <v>237</v>
      </c>
      <c r="H114" s="64">
        <v>140000</v>
      </c>
      <c r="I114" s="64"/>
      <c r="J114" s="64">
        <f>H114+I114</f>
        <v>140000</v>
      </c>
    </row>
    <row r="115" spans="1:10" ht="12.6" customHeight="1" x14ac:dyDescent="0.2">
      <c r="A115" s="70" t="s">
        <v>151</v>
      </c>
      <c r="B115" s="78" t="s">
        <v>111</v>
      </c>
      <c r="C115" s="70" t="s">
        <v>238</v>
      </c>
      <c r="D115" s="70"/>
      <c r="E115" s="70"/>
      <c r="F115" s="73" t="s">
        <v>16</v>
      </c>
      <c r="G115" s="73" t="s">
        <v>239</v>
      </c>
      <c r="H115" s="64">
        <v>4000</v>
      </c>
      <c r="I115" s="64"/>
      <c r="J115" s="64">
        <f>H115+I115</f>
        <v>4000</v>
      </c>
    </row>
    <row r="116" spans="1:10" ht="12.6" customHeight="1" x14ac:dyDescent="0.2">
      <c r="A116" s="70" t="s">
        <v>151</v>
      </c>
      <c r="B116" s="76" t="s">
        <v>240</v>
      </c>
      <c r="C116" s="23" t="s">
        <v>241</v>
      </c>
      <c r="D116" s="70"/>
      <c r="E116" s="70"/>
      <c r="F116" s="73" t="s">
        <v>56</v>
      </c>
      <c r="G116" s="73" t="s">
        <v>242</v>
      </c>
      <c r="H116" s="64">
        <v>65000</v>
      </c>
      <c r="I116" s="64"/>
      <c r="J116" s="64">
        <f>H116+I116</f>
        <v>65000</v>
      </c>
    </row>
    <row r="117" spans="1:10" ht="12.6" customHeight="1" x14ac:dyDescent="0.2">
      <c r="A117" s="23" t="s">
        <v>151</v>
      </c>
      <c r="B117" s="28" t="s">
        <v>240</v>
      </c>
      <c r="C117" s="23" t="s">
        <v>243</v>
      </c>
      <c r="D117" s="66"/>
      <c r="E117" s="66" t="s">
        <v>244</v>
      </c>
      <c r="F117" s="26" t="s">
        <v>56</v>
      </c>
      <c r="G117" s="26" t="s">
        <v>242</v>
      </c>
      <c r="H117" s="64">
        <v>73852</v>
      </c>
      <c r="I117" s="64">
        <v>144</v>
      </c>
      <c r="J117" s="64">
        <f>H117+I117</f>
        <v>73996</v>
      </c>
    </row>
    <row r="118" spans="1:10" ht="12.6" customHeight="1" x14ac:dyDescent="0.2">
      <c r="A118" s="23" t="s">
        <v>151</v>
      </c>
      <c r="B118" s="28"/>
      <c r="C118" s="23" t="s">
        <v>245</v>
      </c>
      <c r="D118" s="66"/>
      <c r="E118" s="14"/>
      <c r="F118" s="26" t="s">
        <v>56</v>
      </c>
      <c r="G118" s="26" t="s">
        <v>242</v>
      </c>
      <c r="H118" s="64">
        <v>20205</v>
      </c>
      <c r="I118" s="64"/>
      <c r="J118" s="64">
        <f>H118+I118</f>
        <v>20205</v>
      </c>
    </row>
    <row r="119" spans="1:10" ht="12.6" customHeight="1" x14ac:dyDescent="0.2">
      <c r="A119" s="70" t="s">
        <v>151</v>
      </c>
      <c r="B119" s="28" t="s">
        <v>240</v>
      </c>
      <c r="C119" s="23" t="s">
        <v>246</v>
      </c>
      <c r="D119" s="66"/>
      <c r="E119" s="14"/>
      <c r="F119" s="51" t="s">
        <v>26</v>
      </c>
      <c r="G119" s="26" t="s">
        <v>247</v>
      </c>
      <c r="H119" s="64">
        <v>43900</v>
      </c>
      <c r="I119" s="64"/>
      <c r="J119" s="64">
        <f>H119+I119</f>
        <v>43900</v>
      </c>
    </row>
    <row r="120" spans="1:10" ht="12.6" customHeight="1" x14ac:dyDescent="0.2">
      <c r="A120" s="70" t="s">
        <v>151</v>
      </c>
      <c r="B120" s="76" t="s">
        <v>240</v>
      </c>
      <c r="C120" s="70" t="s">
        <v>248</v>
      </c>
      <c r="D120" s="14"/>
      <c r="E120" s="14"/>
      <c r="F120" s="17" t="s">
        <v>116</v>
      </c>
      <c r="G120" s="73" t="s">
        <v>249</v>
      </c>
      <c r="H120" s="64">
        <v>90000</v>
      </c>
      <c r="I120" s="64"/>
      <c r="J120" s="64">
        <f>H120+I120</f>
        <v>90000</v>
      </c>
    </row>
    <row r="121" spans="1:10" ht="12.6" customHeight="1" x14ac:dyDescent="0.2">
      <c r="A121" s="70" t="s">
        <v>151</v>
      </c>
      <c r="B121" s="76" t="s">
        <v>240</v>
      </c>
      <c r="C121" s="70" t="s">
        <v>250</v>
      </c>
      <c r="D121" s="14"/>
      <c r="E121" s="14"/>
      <c r="F121" s="17" t="s">
        <v>251</v>
      </c>
      <c r="G121" s="73" t="s">
        <v>252</v>
      </c>
      <c r="H121" s="64">
        <v>3000</v>
      </c>
      <c r="I121" s="64"/>
      <c r="J121" s="64">
        <f>H121+I121</f>
        <v>3000</v>
      </c>
    </row>
    <row r="122" spans="1:10" ht="12.6" customHeight="1" x14ac:dyDescent="0.2">
      <c r="A122" s="70" t="s">
        <v>151</v>
      </c>
      <c r="B122" s="76" t="s">
        <v>240</v>
      </c>
      <c r="C122" s="70" t="s">
        <v>253</v>
      </c>
      <c r="D122" s="14"/>
      <c r="E122" s="14"/>
      <c r="F122" s="17" t="s">
        <v>26</v>
      </c>
      <c r="G122" s="73" t="s">
        <v>254</v>
      </c>
      <c r="H122" s="64">
        <v>5200</v>
      </c>
      <c r="I122" s="64"/>
      <c r="J122" s="64">
        <f>H122+I122</f>
        <v>5200</v>
      </c>
    </row>
    <row r="123" spans="1:10" ht="12.6" customHeight="1" x14ac:dyDescent="0.2">
      <c r="A123" s="70" t="s">
        <v>151</v>
      </c>
      <c r="B123" s="76" t="s">
        <v>240</v>
      </c>
      <c r="C123" s="70" t="s">
        <v>255</v>
      </c>
      <c r="D123" s="70"/>
      <c r="E123" s="70"/>
      <c r="F123" s="73" t="s">
        <v>26</v>
      </c>
      <c r="G123" s="73" t="s">
        <v>256</v>
      </c>
      <c r="H123" s="64">
        <v>1000</v>
      </c>
      <c r="I123" s="64"/>
      <c r="J123" s="64">
        <f>H123+I123</f>
        <v>1000</v>
      </c>
    </row>
    <row r="124" spans="1:10" ht="12.6" customHeight="1" x14ac:dyDescent="0.2">
      <c r="A124" s="70" t="s">
        <v>214</v>
      </c>
      <c r="B124" s="76" t="s">
        <v>257</v>
      </c>
      <c r="C124" s="70" t="s">
        <v>258</v>
      </c>
      <c r="D124" s="70"/>
      <c r="E124" s="70"/>
      <c r="F124" s="73" t="s">
        <v>259</v>
      </c>
      <c r="G124" s="74" t="s">
        <v>17</v>
      </c>
      <c r="H124" s="64">
        <v>68414</v>
      </c>
      <c r="I124" s="64"/>
      <c r="J124" s="64">
        <f>H124+I124</f>
        <v>68414</v>
      </c>
    </row>
    <row r="125" spans="1:10" ht="12.6" customHeight="1" x14ac:dyDescent="0.2">
      <c r="A125" s="70" t="s">
        <v>214</v>
      </c>
      <c r="B125" s="76" t="s">
        <v>257</v>
      </c>
      <c r="C125" s="70" t="s">
        <v>260</v>
      </c>
      <c r="D125" s="70"/>
      <c r="E125" s="70"/>
      <c r="F125" s="73" t="s">
        <v>261</v>
      </c>
      <c r="G125" s="73" t="s">
        <v>262</v>
      </c>
      <c r="H125" s="64">
        <v>12124</v>
      </c>
      <c r="I125" s="64"/>
      <c r="J125" s="64">
        <f>H125+I125</f>
        <v>12124</v>
      </c>
    </row>
    <row r="126" spans="1:10" ht="12.6" customHeight="1" x14ac:dyDescent="0.2">
      <c r="A126" s="23" t="s">
        <v>214</v>
      </c>
      <c r="B126" s="28" t="s">
        <v>257</v>
      </c>
      <c r="C126" s="23" t="s">
        <v>263</v>
      </c>
      <c r="D126" s="23"/>
      <c r="E126" s="23" t="s">
        <v>244</v>
      </c>
      <c r="F126" s="26" t="s">
        <v>261</v>
      </c>
      <c r="G126" s="26" t="s">
        <v>264</v>
      </c>
      <c r="H126" s="64">
        <v>6578</v>
      </c>
      <c r="I126" s="64">
        <v>197</v>
      </c>
      <c r="J126" s="64">
        <f>H126+I126</f>
        <v>6775</v>
      </c>
    </row>
    <row r="127" spans="1:10" ht="12.6" customHeight="1" x14ac:dyDescent="0.2">
      <c r="A127" s="66" t="s">
        <v>145</v>
      </c>
      <c r="B127" s="77" t="s">
        <v>146</v>
      </c>
      <c r="C127" s="66" t="s">
        <v>265</v>
      </c>
      <c r="D127" s="66"/>
      <c r="E127" s="66"/>
      <c r="F127" s="51" t="s">
        <v>266</v>
      </c>
      <c r="G127" s="106" t="s">
        <v>267</v>
      </c>
      <c r="H127" s="64">
        <v>7000</v>
      </c>
      <c r="I127" s="64"/>
      <c r="J127" s="64">
        <f>H127+I127</f>
        <v>7000</v>
      </c>
    </row>
    <row r="128" spans="1:10" ht="12.6" customHeight="1" x14ac:dyDescent="0.2">
      <c r="A128" s="70" t="s">
        <v>178</v>
      </c>
      <c r="B128" s="15" t="s">
        <v>174</v>
      </c>
      <c r="C128" s="70" t="s">
        <v>268</v>
      </c>
      <c r="D128" s="70"/>
      <c r="E128" s="70"/>
      <c r="F128" s="73" t="s">
        <v>269</v>
      </c>
      <c r="G128" s="73" t="s">
        <v>270</v>
      </c>
      <c r="H128" s="64">
        <v>60000</v>
      </c>
      <c r="I128" s="64"/>
      <c r="J128" s="64">
        <f>H128+I128</f>
        <v>60000</v>
      </c>
    </row>
    <row r="129" spans="1:13" ht="12.6" customHeight="1" thickBot="1" x14ac:dyDescent="0.25">
      <c r="A129" s="66" t="s">
        <v>145</v>
      </c>
      <c r="B129" s="15" t="s">
        <v>174</v>
      </c>
      <c r="C129" s="70" t="s">
        <v>271</v>
      </c>
      <c r="D129" s="70"/>
      <c r="E129" s="70"/>
      <c r="F129" s="73" t="s">
        <v>176</v>
      </c>
      <c r="G129" s="73" t="s">
        <v>272</v>
      </c>
      <c r="H129" s="64">
        <v>21100</v>
      </c>
      <c r="I129" s="64"/>
      <c r="J129" s="64">
        <f>H129+I129</f>
        <v>21100</v>
      </c>
    </row>
    <row r="130" spans="1:13" s="111" customFormat="1" ht="13.5" thickBot="1" x14ac:dyDescent="0.25">
      <c r="A130" s="107"/>
      <c r="B130" s="108"/>
      <c r="C130" s="109"/>
      <c r="D130" s="109"/>
      <c r="E130" s="109"/>
      <c r="F130" s="109"/>
      <c r="G130" s="110" t="s">
        <v>273</v>
      </c>
      <c r="H130" s="103">
        <f t="shared" ref="H130:I130" si="3">SUM(H106:H129)</f>
        <v>910242</v>
      </c>
      <c r="I130" s="103">
        <f t="shared" si="3"/>
        <v>90341</v>
      </c>
      <c r="J130" s="103">
        <f>SUM(J106:J129)</f>
        <v>1000583</v>
      </c>
    </row>
    <row r="131" spans="1:13" s="112" customFormat="1" ht="11.25" customHeight="1" x14ac:dyDescent="0.2">
      <c r="A131" s="113"/>
      <c r="C131" s="114"/>
      <c r="D131" s="114"/>
      <c r="E131" s="114"/>
      <c r="F131" s="114"/>
      <c r="G131" s="113"/>
      <c r="H131" s="105"/>
      <c r="I131" s="158"/>
      <c r="J131" s="158"/>
    </row>
    <row r="132" spans="1:13" s="115" customFormat="1" ht="10.5" customHeight="1" x14ac:dyDescent="0.2">
      <c r="A132" s="113"/>
      <c r="C132" s="114"/>
      <c r="D132" s="114"/>
      <c r="E132" s="114"/>
      <c r="F132" s="114"/>
      <c r="G132" s="113"/>
      <c r="H132" s="134"/>
      <c r="I132" s="151"/>
      <c r="J132" s="151"/>
    </row>
    <row r="133" spans="1:13" s="116" customFormat="1" ht="16.5" thickBot="1" x14ac:dyDescent="0.25">
      <c r="A133" s="113"/>
      <c r="C133" s="117"/>
      <c r="D133" s="117"/>
      <c r="E133" s="117"/>
      <c r="F133" s="117"/>
      <c r="G133" s="118" t="s">
        <v>274</v>
      </c>
      <c r="H133" s="119">
        <f>H101+H130+H23+H50</f>
        <v>16609837</v>
      </c>
      <c r="I133" s="119">
        <f>I101+I130+I23+I50</f>
        <v>78001</v>
      </c>
      <c r="J133" s="119">
        <f>J101+J130+J23+J50</f>
        <v>16687838</v>
      </c>
    </row>
    <row r="134" spans="1:13" ht="9" customHeight="1" thickTop="1" x14ac:dyDescent="0.2">
      <c r="M134" s="115"/>
    </row>
    <row r="135" spans="1:13" ht="29.25" customHeight="1" thickBot="1" x14ac:dyDescent="0.3">
      <c r="A135" s="146" t="s">
        <v>275</v>
      </c>
      <c r="E135" s="1" t="s">
        <v>276</v>
      </c>
    </row>
    <row r="136" spans="1:13" x14ac:dyDescent="0.2">
      <c r="A136" s="135" t="s">
        <v>1</v>
      </c>
      <c r="B136" s="2"/>
      <c r="C136" s="2"/>
      <c r="D136" s="2"/>
      <c r="E136" s="2"/>
      <c r="F136" s="2"/>
      <c r="G136" s="2"/>
      <c r="H136" s="152" t="s">
        <v>290</v>
      </c>
      <c r="I136" s="153" t="s">
        <v>2</v>
      </c>
      <c r="J136" s="152" t="s">
        <v>3</v>
      </c>
    </row>
    <row r="137" spans="1:13" ht="13.5" thickBot="1" x14ac:dyDescent="0.25">
      <c r="A137" s="3" t="s">
        <v>4</v>
      </c>
      <c r="B137" s="4" t="s">
        <v>5</v>
      </c>
      <c r="C137" s="4" t="s">
        <v>6</v>
      </c>
      <c r="D137" s="4"/>
      <c r="E137" s="4" t="s">
        <v>7</v>
      </c>
      <c r="F137" s="4" t="s">
        <v>8</v>
      </c>
      <c r="G137" s="4" t="s">
        <v>9</v>
      </c>
      <c r="H137" s="5" t="s">
        <v>10</v>
      </c>
      <c r="I137" s="154" t="s">
        <v>11</v>
      </c>
      <c r="J137" s="5" t="s">
        <v>12</v>
      </c>
    </row>
    <row r="138" spans="1:13" s="6" customFormat="1" ht="12" x14ac:dyDescent="0.2">
      <c r="A138" s="70" t="s">
        <v>277</v>
      </c>
      <c r="B138" s="76"/>
      <c r="C138" s="70" t="s">
        <v>278</v>
      </c>
      <c r="D138" s="120"/>
      <c r="E138" s="70" t="s">
        <v>279</v>
      </c>
      <c r="F138" s="73" t="s">
        <v>26</v>
      </c>
      <c r="G138" s="48" t="s">
        <v>280</v>
      </c>
      <c r="H138" s="64">
        <v>26000</v>
      </c>
      <c r="I138" s="159"/>
      <c r="J138" s="160">
        <f>H138</f>
        <v>26000</v>
      </c>
    </row>
    <row r="139" spans="1:13" s="6" customFormat="1" ht="12" x14ac:dyDescent="0.2">
      <c r="A139" s="70" t="s">
        <v>277</v>
      </c>
      <c r="B139" s="76"/>
      <c r="C139" s="70" t="s">
        <v>278</v>
      </c>
      <c r="D139" s="70"/>
      <c r="E139" s="70" t="s">
        <v>279</v>
      </c>
      <c r="F139" s="73" t="s">
        <v>26</v>
      </c>
      <c r="G139" s="73" t="s">
        <v>281</v>
      </c>
      <c r="H139" s="64">
        <v>26000</v>
      </c>
      <c r="I139" s="160"/>
      <c r="J139" s="160">
        <f>H139</f>
        <v>26000</v>
      </c>
    </row>
    <row r="140" spans="1:13" s="6" customFormat="1" ht="12" x14ac:dyDescent="0.2">
      <c r="A140" s="70" t="s">
        <v>110</v>
      </c>
      <c r="B140" s="24"/>
      <c r="C140" s="25" t="s">
        <v>282</v>
      </c>
      <c r="D140" s="23"/>
      <c r="E140" s="23"/>
      <c r="F140" s="26" t="s">
        <v>116</v>
      </c>
      <c r="G140" s="27" t="s">
        <v>283</v>
      </c>
      <c r="H140" s="64">
        <v>683000</v>
      </c>
      <c r="I140" s="160"/>
      <c r="J140" s="160">
        <f>H140</f>
        <v>683000</v>
      </c>
    </row>
    <row r="141" spans="1:13" s="6" customFormat="1" ht="12" x14ac:dyDescent="0.2">
      <c r="A141" s="70"/>
      <c r="B141" s="76"/>
      <c r="C141" s="70"/>
      <c r="D141" s="70"/>
      <c r="E141" s="70"/>
      <c r="F141" s="73"/>
      <c r="G141" s="73"/>
      <c r="H141" s="64"/>
      <c r="I141" s="160"/>
      <c r="J141" s="160"/>
    </row>
    <row r="142" spans="1:13" x14ac:dyDescent="0.2">
      <c r="A142" s="40"/>
      <c r="B142" s="104"/>
      <c r="C142" s="40"/>
      <c r="D142" s="40"/>
      <c r="E142" s="40"/>
      <c r="F142" s="40"/>
      <c r="G142" s="43"/>
      <c r="H142" s="121"/>
      <c r="I142" s="121"/>
      <c r="J142" s="121"/>
    </row>
    <row r="143" spans="1:13" ht="15" x14ac:dyDescent="0.25">
      <c r="A143" s="147" t="s">
        <v>284</v>
      </c>
    </row>
    <row r="144" spans="1:13" ht="17.25" customHeight="1" x14ac:dyDescent="0.2">
      <c r="A144" s="122" t="s">
        <v>28</v>
      </c>
      <c r="C144" s="123" t="s">
        <v>285</v>
      </c>
      <c r="E144" s="124"/>
      <c r="F144" s="125" t="s">
        <v>26</v>
      </c>
      <c r="G144" s="48" t="s">
        <v>286</v>
      </c>
      <c r="H144" s="65">
        <v>134929.5</v>
      </c>
      <c r="I144" s="65">
        <f>J144-H144</f>
        <v>-8317.5</v>
      </c>
      <c r="J144" s="65">
        <v>126612</v>
      </c>
    </row>
    <row r="145" spans="1:10" ht="17.25" customHeight="1" x14ac:dyDescent="0.2">
      <c r="A145" s="122" t="s">
        <v>28</v>
      </c>
      <c r="C145" s="123" t="s">
        <v>287</v>
      </c>
      <c r="E145" s="124"/>
      <c r="F145" s="125" t="s">
        <v>26</v>
      </c>
      <c r="G145" s="48" t="s">
        <v>286</v>
      </c>
      <c r="H145" s="65">
        <v>0</v>
      </c>
      <c r="I145" s="65">
        <v>29957</v>
      </c>
      <c r="J145" s="65">
        <v>29957</v>
      </c>
    </row>
    <row r="146" spans="1:10" ht="17.25" customHeight="1" x14ac:dyDescent="0.2">
      <c r="A146" s="122"/>
      <c r="C146" s="123"/>
      <c r="E146" s="124"/>
      <c r="F146" s="125"/>
      <c r="G146" s="48"/>
      <c r="H146" s="65"/>
      <c r="I146" s="65"/>
      <c r="J146" s="65"/>
    </row>
    <row r="147" spans="1:10" ht="17.25" customHeight="1" x14ac:dyDescent="0.2">
      <c r="A147" s="122" t="s">
        <v>28</v>
      </c>
      <c r="C147" s="123" t="s">
        <v>285</v>
      </c>
      <c r="E147" s="124"/>
      <c r="F147" s="125" t="s">
        <v>26</v>
      </c>
      <c r="G147" s="48" t="s">
        <v>288</v>
      </c>
      <c r="H147" s="65">
        <v>150650</v>
      </c>
      <c r="I147" s="65">
        <v>0</v>
      </c>
      <c r="J147" s="65">
        <f>H147+I147</f>
        <v>150650</v>
      </c>
    </row>
    <row r="148" spans="1:10" ht="17.25" customHeight="1" x14ac:dyDescent="0.2">
      <c r="A148" s="122" t="s">
        <v>28</v>
      </c>
      <c r="C148" s="123" t="s">
        <v>287</v>
      </c>
      <c r="E148" s="124"/>
      <c r="F148" s="125" t="s">
        <v>26</v>
      </c>
      <c r="G148" s="48" t="s">
        <v>288</v>
      </c>
      <c r="H148" s="65">
        <v>0</v>
      </c>
      <c r="I148" s="65">
        <v>20998</v>
      </c>
      <c r="J148" s="65">
        <f>H148+I148</f>
        <v>20998</v>
      </c>
    </row>
    <row r="149" spans="1:10" s="83" customFormat="1" ht="17.25" customHeight="1" x14ac:dyDescent="0.2">
      <c r="A149" s="126"/>
      <c r="C149" s="127"/>
      <c r="E149" s="128"/>
      <c r="F149" s="129"/>
      <c r="G149" s="130"/>
      <c r="H149" s="131"/>
      <c r="I149" s="161"/>
      <c r="J149" s="161"/>
    </row>
    <row r="150" spans="1:10" s="149" customFormat="1" ht="16.5" thickBot="1" x14ac:dyDescent="0.25">
      <c r="A150" s="132"/>
      <c r="B150" s="132"/>
      <c r="C150" s="132"/>
      <c r="D150" s="132"/>
      <c r="E150" s="132"/>
      <c r="F150" s="132"/>
      <c r="G150" s="132" t="s">
        <v>289</v>
      </c>
      <c r="H150" s="148">
        <f>H133+H138+H139+H140+H144+H145+H147+H148</f>
        <v>17630416.5</v>
      </c>
      <c r="I150" s="148">
        <f t="shared" ref="I150:J150" si="4">I133+I138+I139+I140+I144+I145+I147+I148</f>
        <v>120638.5</v>
      </c>
      <c r="J150" s="148">
        <f t="shared" si="4"/>
        <v>17751055</v>
      </c>
    </row>
    <row r="151" spans="1:10" ht="13.5" thickTop="1" x14ac:dyDescent="0.2"/>
    <row r="152" spans="1:10" s="150" customFormat="1" x14ac:dyDescent="0.2">
      <c r="A152" s="1"/>
      <c r="B152" s="1"/>
      <c r="C152" s="1"/>
      <c r="D152" s="1"/>
      <c r="E152" s="1"/>
      <c r="F152" s="1"/>
      <c r="G152" s="1"/>
      <c r="H152" s="134"/>
      <c r="I152" s="151"/>
      <c r="J152" s="151"/>
    </row>
    <row r="153" spans="1:10" x14ac:dyDescent="0.2">
      <c r="H153" s="151"/>
    </row>
    <row r="154" spans="1:10" x14ac:dyDescent="0.2">
      <c r="H154" s="151"/>
    </row>
    <row r="155" spans="1:10" x14ac:dyDescent="0.2">
      <c r="H155" s="151"/>
    </row>
    <row r="156" spans="1:10" x14ac:dyDescent="0.2">
      <c r="H156" s="151"/>
    </row>
    <row r="157" spans="1:10" x14ac:dyDescent="0.2">
      <c r="H157" s="151"/>
    </row>
    <row r="158" spans="1:10" x14ac:dyDescent="0.2">
      <c r="H158" s="151"/>
    </row>
    <row r="159" spans="1:10" x14ac:dyDescent="0.2">
      <c r="H159" s="151"/>
    </row>
  </sheetData>
  <pageMargins left="0.32" right="0.21" top="0.47" bottom="0.25" header="0.35" footer="0.25"/>
  <pageSetup scale="84" fitToHeight="0" orientation="landscape" r:id="rId1"/>
  <headerFooter>
    <oddHeader xml:space="preserve">&amp;C&amp;12Fixed Costs Budget
Tentative for FY13/14&amp;14 
</oddHeader>
    <oddFooter>&amp;L&amp;8&amp;F&amp;C&amp;P of &amp;N&amp;R&amp;8Date Printed: &amp;D</oddFooter>
  </headerFooter>
  <rowBreaks count="4" manualBreakCount="4">
    <brk id="24" max="16383" man="1"/>
    <brk id="51" max="16383" man="1"/>
    <brk id="101" max="13" man="1"/>
    <brk id="134" max="16383" man="1"/>
  </rowBreak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1314Tent Fixed Cost</vt:lpstr>
      <vt:lpstr>'1314Tent Fixed Cost'!Print_Area</vt:lpstr>
    </vt:vector>
  </TitlesOfParts>
  <Company>wvmccd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WVMCCD</dc:creator>
  <cp:lastModifiedBy>WVMCCD</cp:lastModifiedBy>
  <cp:lastPrinted>2013-04-03T21:08:25Z</cp:lastPrinted>
  <dcterms:created xsi:type="dcterms:W3CDTF">2013-04-03T20:46:33Z</dcterms:created>
  <dcterms:modified xsi:type="dcterms:W3CDTF">2013-04-03T21:14:01Z</dcterms:modified>
</cp:coreProperties>
</file>