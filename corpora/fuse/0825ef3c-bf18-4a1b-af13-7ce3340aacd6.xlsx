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45" windowWidth="24240" windowHeight="11820"/>
  </bookViews>
  <sheets>
    <sheet name="Cover Sheet" sheetId="1" r:id="rId1"/>
  </sheets>
  <calcPr calcId="145621"/>
</workbook>
</file>

<file path=xl/calcChain.xml><?xml version="1.0" encoding="utf-8"?>
<calcChain xmlns="http://schemas.openxmlformats.org/spreadsheetml/2006/main">
  <c r="X45" i="1"/>
  <c r="W45"/>
  <c r="V45"/>
  <c r="U45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B45"/>
  <c r="X19"/>
  <c r="X48" s="1"/>
  <c r="W19"/>
  <c r="W48" s="1"/>
  <c r="V19"/>
  <c r="V48" s="1"/>
  <c r="U19"/>
  <c r="U48" s="1"/>
  <c r="T19"/>
  <c r="T48" s="1"/>
  <c r="S19"/>
  <c r="S48" s="1"/>
  <c r="R19"/>
  <c r="R48" s="1"/>
  <c r="Q19"/>
  <c r="Q48" s="1"/>
  <c r="P19"/>
  <c r="P48" s="1"/>
  <c r="O19"/>
  <c r="O48" s="1"/>
  <c r="N19"/>
  <c r="N48" s="1"/>
  <c r="M19"/>
  <c r="M48" s="1"/>
  <c r="L19"/>
  <c r="L48" s="1"/>
  <c r="K19"/>
  <c r="K48" s="1"/>
  <c r="J19"/>
  <c r="J48" s="1"/>
  <c r="I19"/>
  <c r="I48" s="1"/>
  <c r="H19"/>
  <c r="H48" s="1"/>
  <c r="G19"/>
  <c r="G48" s="1"/>
  <c r="F19"/>
  <c r="F48" s="1"/>
  <c r="E19"/>
  <c r="E48" s="1"/>
  <c r="D19"/>
  <c r="D48" s="1"/>
  <c r="C19"/>
  <c r="C48" s="1"/>
  <c r="B19"/>
  <c r="B48" s="1"/>
</calcChain>
</file>

<file path=xl/sharedStrings.xml><?xml version="1.0" encoding="utf-8"?>
<sst xmlns="http://schemas.openxmlformats.org/spreadsheetml/2006/main" count="68" uniqueCount="66">
  <si>
    <t>Total</t>
  </si>
  <si>
    <t>UCF</t>
  </si>
  <si>
    <t>Cincinnati</t>
  </si>
  <si>
    <t>UConn</t>
  </si>
  <si>
    <t>ECU</t>
  </si>
  <si>
    <t>Houston</t>
  </si>
  <si>
    <t>Memphis</t>
  </si>
  <si>
    <t>USF</t>
  </si>
  <si>
    <t>SMU</t>
  </si>
  <si>
    <t>Boise St.</t>
  </si>
  <si>
    <t>GA. Tech</t>
  </si>
  <si>
    <t>NC State</t>
  </si>
  <si>
    <t>Maryland</t>
  </si>
  <si>
    <t>Iowa State</t>
  </si>
  <si>
    <t>Kansas St.</t>
  </si>
  <si>
    <t>Texas Tech</t>
  </si>
  <si>
    <t>Purdue</t>
  </si>
  <si>
    <t>Indiana</t>
  </si>
  <si>
    <t>Illinois</t>
  </si>
  <si>
    <t>Washington St</t>
  </si>
  <si>
    <t>Utah</t>
  </si>
  <si>
    <t>Colorado</t>
  </si>
  <si>
    <t>Miss.</t>
  </si>
  <si>
    <t>Miss. State</t>
  </si>
  <si>
    <t>Revenues</t>
  </si>
  <si>
    <t>Ticket Sales</t>
  </si>
  <si>
    <t>Student Fees</t>
  </si>
  <si>
    <t>Game Guarantees</t>
  </si>
  <si>
    <t>Contributions</t>
  </si>
  <si>
    <t xml:space="preserve">Compensation and Benefits provided by a Third Party </t>
  </si>
  <si>
    <t>Direct State or Other Government Support</t>
  </si>
  <si>
    <t>Direct Institutional Support</t>
  </si>
  <si>
    <t>Indirect facilities and Administrative Support</t>
  </si>
  <si>
    <t>NCAA Conf. Distributions including all tournament revenues</t>
  </si>
  <si>
    <t>Broadcast, TV radio, and Internet Rights</t>
  </si>
  <si>
    <t>Program Sales, Concessions, Novelty Sales and Parking</t>
  </si>
  <si>
    <t>Royalties, Licensing, Advertisements and Sponsorships</t>
  </si>
  <si>
    <t>Sports Camp Revenues</t>
  </si>
  <si>
    <t>Endowment and Investment Income</t>
  </si>
  <si>
    <t>Other</t>
  </si>
  <si>
    <t>Subtotal Operating Revenue</t>
  </si>
  <si>
    <t>Expenses</t>
  </si>
  <si>
    <t>Athletic Student Aid</t>
  </si>
  <si>
    <t>Coaching Salaries, Benefits, and Bonuses Paid by the University and Related Entities (Head)</t>
  </si>
  <si>
    <t>Coaching Salaries, Benefits, and Bonuses Paid by the University and Related Entities (Assistants)</t>
  </si>
  <si>
    <t>Coaching Salaries, Benefits, and Bonuses Paid by the University and Related Entities (Total)</t>
  </si>
  <si>
    <t>Coaching Other Compensation and Benefits paid by a Third Party (Head)</t>
  </si>
  <si>
    <t>Coaching Other Compensation and Benefits paid by a Third Party (Assistants)</t>
  </si>
  <si>
    <t>Coaching Other Compensation and Benefits paid by a Third Party (Total)</t>
  </si>
  <si>
    <t>Support Staff/Administrative Salaries, Benefits and Bonuses Paid by the University and Related Entities</t>
  </si>
  <si>
    <t>Support Staff/Administrative Other Compensation and Benefits Paid by a Third Party</t>
  </si>
  <si>
    <t>Severance Payments</t>
  </si>
  <si>
    <t>Recruiting</t>
  </si>
  <si>
    <t>Team Travel</t>
  </si>
  <si>
    <t>Equipment, Uniforms and Supplies</t>
  </si>
  <si>
    <t>Game Expenses</t>
  </si>
  <si>
    <t>Fund Raising, Marketing and Promotion</t>
  </si>
  <si>
    <t>Sports Camp Expenses</t>
  </si>
  <si>
    <t>Direct Facilities, Maintenance, and Rental</t>
  </si>
  <si>
    <t>Spirit Groups</t>
  </si>
  <si>
    <t>Medical Expenses and Medical Insurance</t>
  </si>
  <si>
    <t>Memberships and Dues</t>
  </si>
  <si>
    <t>Other Operating Expenses</t>
  </si>
  <si>
    <t>Total Operating Expenses</t>
  </si>
  <si>
    <t>Transfer to Institution (If Applicable)</t>
  </si>
  <si>
    <t>Total Operating Surplus/(Deficit)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</si>
</sst>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 applyFill="1"/>
    <xf numFmtId="164" fontId="0" fillId="0" borderId="0" xfId="1" applyNumberFormat="1" applyFont="1"/>
    <xf numFmtId="0" fontId="0" fillId="0" borderId="0" xfId="0" applyFill="1"/>
    <xf numFmtId="164" fontId="4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1" xfId="0" applyFont="1" applyBorder="1"/>
    <xf numFmtId="164" fontId="0" fillId="0" borderId="1" xfId="1" applyNumberFormat="1" applyFont="1" applyBorder="1"/>
    <xf numFmtId="0" fontId="5" fillId="0" borderId="0" xfId="0" applyFont="1"/>
    <xf numFmtId="164" fontId="0" fillId="0" borderId="0" xfId="1" applyNumberFormat="1" applyFont="1" applyBorder="1"/>
    <xf numFmtId="0" fontId="0" fillId="0" borderId="1" xfId="0" applyBorder="1"/>
    <xf numFmtId="0" fontId="2" fillId="0" borderId="2" xfId="0" applyFont="1" applyBorder="1"/>
    <xf numFmtId="164" fontId="0" fillId="0" borderId="2" xfId="1" applyNumberFormat="1" applyFont="1" applyBorder="1"/>
    <xf numFmtId="164" fontId="2" fillId="0" borderId="2" xfId="1" applyNumberFormat="1" applyFont="1" applyBorder="1"/>
    <xf numFmtId="0" fontId="2" fillId="0" borderId="0" xfId="0" applyFont="1"/>
    <xf numFmtId="164" fontId="2" fillId="0" borderId="0" xfId="1" applyNumberFormat="1" applyFont="1"/>
    <xf numFmtId="38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49"/>
  <sheetViews>
    <sheetView tabSelected="1" zoomScaleNormal="100" workbookViewId="0">
      <pane ySplit="2" topLeftCell="A24" activePane="bottomLeft" state="frozen"/>
      <selection pane="bottomLeft" activeCell="X48" sqref="A1:X48"/>
    </sheetView>
  </sheetViews>
  <sheetFormatPr defaultRowHeight="15"/>
  <cols>
    <col min="1" max="1" width="94.5703125" bestFit="1" customWidth="1"/>
    <col min="2" max="4" width="11.5703125" style="2" customWidth="1"/>
    <col min="5" max="5" width="13.28515625" style="2" customWidth="1"/>
    <col min="6" max="6" width="13.42578125" style="2" customWidth="1"/>
    <col min="7" max="7" width="13.28515625" style="2" customWidth="1"/>
    <col min="8" max="8" width="13.28515625" customWidth="1"/>
    <col min="9" max="9" width="12.28515625" customWidth="1"/>
    <col min="10" max="10" width="14.28515625" bestFit="1" customWidth="1"/>
    <col min="11" max="11" width="11.7109375" customWidth="1"/>
    <col min="12" max="13" width="13.7109375" customWidth="1"/>
    <col min="14" max="14" width="11.28515625" customWidth="1"/>
    <col min="15" max="15" width="13.7109375" customWidth="1"/>
    <col min="16" max="16" width="11.85546875" customWidth="1"/>
    <col min="17" max="17" width="11.28515625" customWidth="1"/>
    <col min="18" max="18" width="12.7109375" customWidth="1"/>
    <col min="19" max="19" width="13.7109375" customWidth="1"/>
    <col min="20" max="20" width="14.7109375" customWidth="1"/>
    <col min="21" max="21" width="11.42578125" customWidth="1"/>
    <col min="22" max="22" width="13.7109375" customWidth="1"/>
    <col min="23" max="23" width="11.42578125" customWidth="1"/>
    <col min="24" max="24" width="13.7109375" customWidth="1"/>
  </cols>
  <sheetData>
    <row r="1" spans="1:24" ht="21">
      <c r="A1" s="1" t="s">
        <v>0</v>
      </c>
    </row>
    <row r="2" spans="1:24">
      <c r="A2" s="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</row>
    <row r="3" spans="1:24">
      <c r="A3" s="6" t="s">
        <v>24</v>
      </c>
    </row>
    <row r="4" spans="1:24">
      <c r="A4" t="s">
        <v>25</v>
      </c>
      <c r="B4" s="2">
        <v>4430453</v>
      </c>
      <c r="C4" s="2">
        <v>8098155</v>
      </c>
      <c r="D4" s="2">
        <v>11118137</v>
      </c>
      <c r="E4" s="2">
        <v>7935985</v>
      </c>
      <c r="F4" s="2">
        <v>4934030</v>
      </c>
      <c r="G4" s="2">
        <v>8274933</v>
      </c>
      <c r="H4" s="2">
        <v>6023919</v>
      </c>
      <c r="I4" s="2">
        <v>2307872</v>
      </c>
      <c r="J4" s="2">
        <v>8306921</v>
      </c>
      <c r="K4" s="2">
        <v>13115448</v>
      </c>
      <c r="L4" s="2">
        <v>20810758</v>
      </c>
      <c r="M4" s="2">
        <v>13516377</v>
      </c>
      <c r="N4" s="2">
        <v>12962376</v>
      </c>
      <c r="O4" s="2">
        <v>14609041</v>
      </c>
      <c r="P4" s="2">
        <v>14672955</v>
      </c>
      <c r="Q4" s="2">
        <v>15803461</v>
      </c>
      <c r="R4" s="2">
        <v>12893090</v>
      </c>
      <c r="S4" s="2">
        <v>20456244</v>
      </c>
      <c r="T4" s="2">
        <v>6547078</v>
      </c>
      <c r="U4" s="2">
        <v>11287925</v>
      </c>
      <c r="V4" s="2">
        <v>13826171</v>
      </c>
      <c r="W4" s="2">
        <v>13449035</v>
      </c>
      <c r="X4" s="2">
        <v>11330142</v>
      </c>
    </row>
    <row r="5" spans="1:24">
      <c r="A5" t="s">
        <v>26</v>
      </c>
      <c r="B5" s="2">
        <v>19638714</v>
      </c>
      <c r="C5" s="2">
        <v>0</v>
      </c>
      <c r="D5" s="2">
        <v>9181874</v>
      </c>
      <c r="E5" s="2">
        <v>11890141</v>
      </c>
      <c r="F5" s="2">
        <v>4407707</v>
      </c>
      <c r="G5" s="2">
        <v>8606354</v>
      </c>
      <c r="H5" s="2">
        <v>15534732</v>
      </c>
      <c r="I5" s="2">
        <v>2080314</v>
      </c>
      <c r="J5" s="2">
        <v>3227977</v>
      </c>
      <c r="K5" s="2">
        <v>4937615</v>
      </c>
      <c r="L5" s="2">
        <v>1041367</v>
      </c>
      <c r="M5" s="2">
        <v>11064475</v>
      </c>
      <c r="N5" s="2">
        <v>1721450</v>
      </c>
      <c r="O5" s="2">
        <v>640695</v>
      </c>
      <c r="P5" s="2">
        <v>2753979</v>
      </c>
      <c r="Q5" s="2">
        <v>0</v>
      </c>
      <c r="R5" s="2">
        <v>0</v>
      </c>
      <c r="S5" s="2">
        <v>3000718</v>
      </c>
      <c r="T5" s="2">
        <v>1123849</v>
      </c>
      <c r="U5" s="2">
        <v>6012882</v>
      </c>
      <c r="V5" s="2">
        <v>1554720</v>
      </c>
      <c r="W5" s="2">
        <v>411778</v>
      </c>
      <c r="X5" s="2">
        <v>4000000</v>
      </c>
    </row>
    <row r="6" spans="1:24">
      <c r="A6" t="s">
        <v>27</v>
      </c>
      <c r="B6" s="2">
        <v>1935164</v>
      </c>
      <c r="C6" s="2">
        <v>1599000</v>
      </c>
      <c r="D6" s="2">
        <v>1044500</v>
      </c>
      <c r="E6" s="2">
        <v>1802459</v>
      </c>
      <c r="F6" s="2">
        <v>389000</v>
      </c>
      <c r="G6" s="2">
        <v>631507</v>
      </c>
      <c r="H6" s="2">
        <v>1564000</v>
      </c>
      <c r="I6" s="2">
        <v>816146</v>
      </c>
      <c r="J6" s="2">
        <v>2287500</v>
      </c>
      <c r="K6" s="2">
        <v>100000</v>
      </c>
      <c r="L6" s="2">
        <v>520000</v>
      </c>
      <c r="M6" s="2">
        <v>1166600</v>
      </c>
      <c r="N6" s="2">
        <v>361000</v>
      </c>
      <c r="O6" s="2">
        <v>510000</v>
      </c>
      <c r="P6" s="2">
        <v>113600</v>
      </c>
      <c r="Q6" s="2">
        <v>850000</v>
      </c>
      <c r="R6" s="2">
        <v>1036497</v>
      </c>
      <c r="S6" s="2">
        <v>28200</v>
      </c>
      <c r="T6" s="2">
        <v>1417138</v>
      </c>
      <c r="U6" s="2">
        <v>379456</v>
      </c>
      <c r="V6" s="2">
        <v>1902000</v>
      </c>
      <c r="W6" s="2">
        <v>577048</v>
      </c>
      <c r="X6" s="2">
        <v>473000</v>
      </c>
    </row>
    <row r="7" spans="1:24">
      <c r="A7" t="s">
        <v>28</v>
      </c>
      <c r="B7" s="2">
        <v>4712416</v>
      </c>
      <c r="C7" s="2">
        <v>6218816</v>
      </c>
      <c r="D7" s="2">
        <v>10962862</v>
      </c>
      <c r="E7" s="2">
        <v>5109529</v>
      </c>
      <c r="F7" s="2">
        <v>4010280</v>
      </c>
      <c r="G7" s="2">
        <v>11678388</v>
      </c>
      <c r="H7" s="2">
        <v>3053827</v>
      </c>
      <c r="I7" s="2">
        <v>8301793</v>
      </c>
      <c r="J7" s="2">
        <v>9261601</v>
      </c>
      <c r="K7" s="2">
        <v>11797510</v>
      </c>
      <c r="L7" s="2">
        <v>10102474</v>
      </c>
      <c r="M7" s="2">
        <v>11530343</v>
      </c>
      <c r="N7" s="2">
        <v>7872786</v>
      </c>
      <c r="O7" s="2">
        <v>14806198</v>
      </c>
      <c r="P7" s="2">
        <v>21265729</v>
      </c>
      <c r="Q7" s="2">
        <v>15907447</v>
      </c>
      <c r="R7" s="2">
        <v>14546202</v>
      </c>
      <c r="S7" s="2">
        <v>15629843</v>
      </c>
      <c r="T7" s="2">
        <v>7855037</v>
      </c>
      <c r="U7" s="2">
        <v>8361527</v>
      </c>
      <c r="V7" s="2">
        <v>12512545</v>
      </c>
      <c r="W7" s="2">
        <v>10933092</v>
      </c>
      <c r="X7" s="2">
        <v>24030861</v>
      </c>
    </row>
    <row r="8" spans="1:24">
      <c r="A8" t="s">
        <v>29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100950</v>
      </c>
      <c r="I8" s="2">
        <v>404510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154990</v>
      </c>
      <c r="R8" s="2">
        <v>248032</v>
      </c>
      <c r="S8" s="2">
        <v>0</v>
      </c>
      <c r="T8" s="2">
        <v>0</v>
      </c>
      <c r="U8" s="2">
        <v>275000</v>
      </c>
      <c r="V8" s="2">
        <v>0</v>
      </c>
      <c r="W8" s="2">
        <v>0</v>
      </c>
      <c r="X8" s="2">
        <v>1133320</v>
      </c>
    </row>
    <row r="9" spans="1:24">
      <c r="A9" t="s">
        <v>30</v>
      </c>
      <c r="B9" s="2">
        <v>530077</v>
      </c>
      <c r="C9" s="2">
        <v>0</v>
      </c>
      <c r="D9" s="2">
        <v>0</v>
      </c>
      <c r="E9" s="2">
        <v>1100848</v>
      </c>
      <c r="F9" s="2">
        <v>0</v>
      </c>
      <c r="G9" s="2">
        <v>0</v>
      </c>
      <c r="H9" s="2">
        <v>0</v>
      </c>
      <c r="I9" s="2">
        <v>0</v>
      </c>
      <c r="J9" s="2">
        <v>2231370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>
      <c r="A10" t="s">
        <v>31</v>
      </c>
      <c r="B10" s="2">
        <v>2243616</v>
      </c>
      <c r="C10" s="2">
        <v>14932529</v>
      </c>
      <c r="D10" s="2">
        <v>8098039</v>
      </c>
      <c r="E10" s="2">
        <v>350225</v>
      </c>
      <c r="F10" s="2">
        <v>16936151</v>
      </c>
      <c r="G10" s="2">
        <v>6952674</v>
      </c>
      <c r="H10" s="2">
        <v>1153918</v>
      </c>
      <c r="I10" s="2">
        <v>21010779</v>
      </c>
      <c r="J10" s="2">
        <v>3552805</v>
      </c>
      <c r="K10" s="2">
        <v>1977126</v>
      </c>
      <c r="L10" s="2">
        <v>47528</v>
      </c>
      <c r="M10" s="2">
        <v>6179609</v>
      </c>
      <c r="N10" s="2">
        <v>0</v>
      </c>
      <c r="O10" s="2">
        <v>1004603</v>
      </c>
      <c r="P10" s="2">
        <v>1000000</v>
      </c>
      <c r="Q10" s="2">
        <v>0</v>
      </c>
      <c r="R10" s="2">
        <v>0</v>
      </c>
      <c r="S10" s="2">
        <v>937172</v>
      </c>
      <c r="T10" s="2">
        <v>6055320</v>
      </c>
      <c r="U10" s="2">
        <v>3959621</v>
      </c>
      <c r="V10" s="2">
        <v>14162882</v>
      </c>
      <c r="W10" s="2">
        <v>1754438</v>
      </c>
      <c r="X10" s="2">
        <v>0</v>
      </c>
    </row>
    <row r="11" spans="1:24">
      <c r="A11" t="s">
        <v>32</v>
      </c>
      <c r="B11" s="2">
        <v>0</v>
      </c>
      <c r="C11" s="2">
        <v>1577386</v>
      </c>
      <c r="D11" s="2">
        <v>0</v>
      </c>
      <c r="E11" s="2">
        <v>1046316</v>
      </c>
      <c r="F11" s="2">
        <v>0</v>
      </c>
      <c r="G11" s="2">
        <v>3274717</v>
      </c>
      <c r="H11" s="2">
        <v>0</v>
      </c>
      <c r="I11" s="2">
        <v>13160669</v>
      </c>
      <c r="J11" s="2">
        <v>1828871</v>
      </c>
      <c r="K11" s="2">
        <v>0</v>
      </c>
      <c r="L11" s="2">
        <v>0</v>
      </c>
      <c r="M11" s="2">
        <v>0</v>
      </c>
      <c r="N11" s="2">
        <v>0</v>
      </c>
      <c r="O11" s="2">
        <v>1090635</v>
      </c>
      <c r="P11" s="2">
        <v>0</v>
      </c>
      <c r="Q11" s="2">
        <v>0</v>
      </c>
      <c r="R11" s="2">
        <v>2782080</v>
      </c>
      <c r="S11" s="2">
        <v>0</v>
      </c>
      <c r="T11" s="2">
        <v>1613057</v>
      </c>
      <c r="U11" s="2">
        <v>0</v>
      </c>
      <c r="V11" s="2">
        <v>197794</v>
      </c>
      <c r="W11" s="2">
        <v>0</v>
      </c>
      <c r="X11" s="2">
        <v>0</v>
      </c>
    </row>
    <row r="12" spans="1:24">
      <c r="A12" t="s">
        <v>33</v>
      </c>
      <c r="B12" s="2">
        <v>2902090</v>
      </c>
      <c r="C12" s="2">
        <v>9288044</v>
      </c>
      <c r="D12" s="2">
        <v>9870278</v>
      </c>
      <c r="E12" s="2">
        <v>2956172</v>
      </c>
      <c r="F12" s="2">
        <v>2453144</v>
      </c>
      <c r="G12" s="2">
        <v>1816805</v>
      </c>
      <c r="H12" s="2">
        <v>9618584</v>
      </c>
      <c r="I12" s="2">
        <v>3847025</v>
      </c>
      <c r="J12" s="2">
        <v>4167536</v>
      </c>
      <c r="K12" s="2">
        <v>16580993</v>
      </c>
      <c r="L12" s="2">
        <v>11466413</v>
      </c>
      <c r="M12" s="2">
        <v>15460129</v>
      </c>
      <c r="N12" s="2">
        <v>23093778</v>
      </c>
      <c r="O12" s="2">
        <v>22835752</v>
      </c>
      <c r="P12" s="2">
        <v>19415262</v>
      </c>
      <c r="Q12" s="2">
        <v>26140684</v>
      </c>
      <c r="R12" s="2">
        <v>28513790</v>
      </c>
      <c r="S12" s="2">
        <v>25257601</v>
      </c>
      <c r="T12" s="2">
        <v>12832858</v>
      </c>
      <c r="U12" s="2">
        <v>5284342</v>
      </c>
      <c r="V12" s="2">
        <v>4321688</v>
      </c>
      <c r="W12" s="2">
        <v>20573458</v>
      </c>
      <c r="X12" s="2">
        <v>21499889</v>
      </c>
    </row>
    <row r="13" spans="1:24">
      <c r="A13" t="s">
        <v>34</v>
      </c>
      <c r="B13" s="2">
        <v>0</v>
      </c>
      <c r="C13" s="2">
        <v>0</v>
      </c>
      <c r="D13" s="2">
        <v>1690340</v>
      </c>
      <c r="E13" s="2">
        <v>0</v>
      </c>
      <c r="F13" s="2">
        <v>0</v>
      </c>
      <c r="G13" s="2">
        <v>1133802</v>
      </c>
      <c r="H13" s="2">
        <v>435537</v>
      </c>
      <c r="I13" s="2">
        <v>0</v>
      </c>
      <c r="J13" s="2">
        <v>64249</v>
      </c>
      <c r="K13" s="2">
        <v>2318510</v>
      </c>
      <c r="L13" s="2">
        <v>2511477</v>
      </c>
      <c r="M13" s="2">
        <v>0</v>
      </c>
      <c r="N13" s="2">
        <v>3349225</v>
      </c>
      <c r="O13" s="2">
        <v>3862000</v>
      </c>
      <c r="P13" s="2">
        <v>0</v>
      </c>
      <c r="Q13" s="2">
        <v>0</v>
      </c>
      <c r="R13" s="2">
        <v>0</v>
      </c>
      <c r="S13" s="2">
        <v>1273645</v>
      </c>
      <c r="T13" s="2">
        <v>0</v>
      </c>
      <c r="U13" s="2">
        <v>17963</v>
      </c>
      <c r="V13" s="2">
        <v>162988</v>
      </c>
      <c r="W13" s="2">
        <v>2100000</v>
      </c>
      <c r="X13" s="2">
        <v>3037880</v>
      </c>
    </row>
    <row r="14" spans="1:24">
      <c r="A14" t="s">
        <v>35</v>
      </c>
      <c r="B14" s="2">
        <v>434855</v>
      </c>
      <c r="C14" s="2">
        <v>914447</v>
      </c>
      <c r="D14" s="2">
        <v>147552</v>
      </c>
      <c r="E14" s="2">
        <v>994610</v>
      </c>
      <c r="F14" s="2">
        <v>1002236</v>
      </c>
      <c r="G14" s="2">
        <v>398640</v>
      </c>
      <c r="H14" s="2">
        <v>397590</v>
      </c>
      <c r="I14" s="2">
        <v>634320</v>
      </c>
      <c r="J14" s="2">
        <v>1030353</v>
      </c>
      <c r="K14" s="2">
        <v>1320569</v>
      </c>
      <c r="L14" s="2">
        <v>2400302</v>
      </c>
      <c r="M14" s="2">
        <v>1468638</v>
      </c>
      <c r="N14" s="2">
        <v>1447643</v>
      </c>
      <c r="O14" s="2">
        <v>1449647</v>
      </c>
      <c r="P14" s="2">
        <v>1207951</v>
      </c>
      <c r="Q14" s="2">
        <v>2007266</v>
      </c>
      <c r="R14" s="2">
        <v>2682980</v>
      </c>
      <c r="S14" s="2">
        <v>2495384</v>
      </c>
      <c r="T14" s="2">
        <v>110162</v>
      </c>
      <c r="U14" s="2">
        <v>1485164</v>
      </c>
      <c r="V14" s="2">
        <v>1322619</v>
      </c>
      <c r="W14" s="2">
        <v>784887</v>
      </c>
      <c r="X14" s="2">
        <v>1365984</v>
      </c>
    </row>
    <row r="15" spans="1:24">
      <c r="A15" t="s">
        <v>36</v>
      </c>
      <c r="B15" s="2">
        <v>3537199</v>
      </c>
      <c r="C15" s="2">
        <v>2991650</v>
      </c>
      <c r="D15" s="2">
        <v>10430565</v>
      </c>
      <c r="E15" s="2">
        <v>1474021</v>
      </c>
      <c r="F15" s="2">
        <v>456991</v>
      </c>
      <c r="G15" s="2">
        <v>2692632</v>
      </c>
      <c r="H15" s="2">
        <v>5193957</v>
      </c>
      <c r="I15" s="2">
        <v>1178241</v>
      </c>
      <c r="J15" s="2">
        <v>3668995</v>
      </c>
      <c r="K15" s="2">
        <v>3950322</v>
      </c>
      <c r="L15" s="2">
        <v>216713</v>
      </c>
      <c r="M15" s="2">
        <v>6849800</v>
      </c>
      <c r="N15" s="2">
        <v>646319</v>
      </c>
      <c r="O15" s="2">
        <v>1976879</v>
      </c>
      <c r="P15" s="2">
        <v>6638252</v>
      </c>
      <c r="Q15" s="2">
        <v>5650897</v>
      </c>
      <c r="R15" s="2">
        <v>6596725</v>
      </c>
      <c r="S15" s="2">
        <v>4484025</v>
      </c>
      <c r="T15" s="2">
        <v>3935816</v>
      </c>
      <c r="U15" s="2">
        <v>3106605</v>
      </c>
      <c r="V15" s="2">
        <v>5108050</v>
      </c>
      <c r="W15" s="2">
        <v>813853</v>
      </c>
      <c r="X15" s="2">
        <v>337696</v>
      </c>
    </row>
    <row r="16" spans="1:24">
      <c r="A16" t="s">
        <v>37</v>
      </c>
      <c r="B16" s="2">
        <v>0</v>
      </c>
      <c r="C16" s="2">
        <v>0</v>
      </c>
      <c r="D16" s="2">
        <v>35691</v>
      </c>
      <c r="E16" s="2">
        <v>466901</v>
      </c>
      <c r="F16" s="2">
        <v>0</v>
      </c>
      <c r="G16" s="2">
        <v>0</v>
      </c>
      <c r="H16" s="2">
        <v>0</v>
      </c>
      <c r="I16" s="2">
        <v>0</v>
      </c>
      <c r="J16" s="2">
        <v>755194</v>
      </c>
      <c r="K16" s="2">
        <v>0</v>
      </c>
      <c r="L16" s="2">
        <v>53453</v>
      </c>
      <c r="M16" s="2">
        <v>0</v>
      </c>
      <c r="N16" s="2">
        <v>0</v>
      </c>
      <c r="O16" s="2">
        <v>0</v>
      </c>
      <c r="P16" s="2">
        <v>0</v>
      </c>
      <c r="Q16" s="2">
        <v>276460</v>
      </c>
      <c r="R16" s="2">
        <v>0</v>
      </c>
      <c r="S16" s="2">
        <v>1600049</v>
      </c>
      <c r="T16" s="2">
        <v>550161</v>
      </c>
      <c r="U16" s="2">
        <v>0</v>
      </c>
      <c r="V16" s="2">
        <v>651855</v>
      </c>
      <c r="W16" s="2">
        <v>0</v>
      </c>
      <c r="X16" s="2">
        <v>770292</v>
      </c>
    </row>
    <row r="17" spans="1:24">
      <c r="A17" t="s">
        <v>38</v>
      </c>
      <c r="B17" s="2">
        <v>189513</v>
      </c>
      <c r="C17" s="2">
        <v>879477</v>
      </c>
      <c r="D17" s="2">
        <v>82250</v>
      </c>
      <c r="E17" s="2">
        <v>147902</v>
      </c>
      <c r="F17" s="2">
        <v>174238</v>
      </c>
      <c r="G17" s="2">
        <v>748</v>
      </c>
      <c r="H17" s="2">
        <v>260349</v>
      </c>
      <c r="I17" s="2">
        <v>653003</v>
      </c>
      <c r="J17" s="2">
        <v>0</v>
      </c>
      <c r="K17" s="2">
        <v>6652848</v>
      </c>
      <c r="L17" s="2">
        <v>0</v>
      </c>
      <c r="M17" s="2">
        <v>605184</v>
      </c>
      <c r="N17" s="2">
        <v>134703</v>
      </c>
      <c r="O17" s="2">
        <v>-1318244</v>
      </c>
      <c r="P17" s="2">
        <v>249909</v>
      </c>
      <c r="Q17" s="2">
        <v>2402069</v>
      </c>
      <c r="R17" s="2">
        <v>0</v>
      </c>
      <c r="S17" s="2">
        <v>2166001</v>
      </c>
      <c r="T17" s="2">
        <v>464123</v>
      </c>
      <c r="U17" s="2">
        <v>191245</v>
      </c>
      <c r="V17" s="2">
        <v>812711</v>
      </c>
      <c r="W17" s="2">
        <v>58362</v>
      </c>
      <c r="X17" s="2">
        <v>708222</v>
      </c>
    </row>
    <row r="18" spans="1:24">
      <c r="A18" s="7" t="s">
        <v>39</v>
      </c>
      <c r="B18" s="8">
        <v>439773</v>
      </c>
      <c r="C18" s="8">
        <v>2392787</v>
      </c>
      <c r="D18" s="8">
        <v>904821</v>
      </c>
      <c r="E18" s="8">
        <v>300063</v>
      </c>
      <c r="F18" s="8">
        <v>1888715</v>
      </c>
      <c r="G18" s="8">
        <v>1322303</v>
      </c>
      <c r="H18" s="8">
        <v>237037</v>
      </c>
      <c r="I18" s="8">
        <v>1803128</v>
      </c>
      <c r="J18" s="8">
        <v>3057533</v>
      </c>
      <c r="K18" s="8">
        <v>433221</v>
      </c>
      <c r="L18" s="8">
        <v>1905860</v>
      </c>
      <c r="M18" s="8">
        <v>301505</v>
      </c>
      <c r="N18" s="8">
        <v>3561736</v>
      </c>
      <c r="O18" s="8">
        <v>1804049</v>
      </c>
      <c r="P18" s="8">
        <v>610713</v>
      </c>
      <c r="Q18" s="8">
        <v>1431220</v>
      </c>
      <c r="R18" s="8">
        <v>3574558</v>
      </c>
      <c r="S18" s="8">
        <v>1379368</v>
      </c>
      <c r="T18" s="8">
        <v>224946</v>
      </c>
      <c r="U18" s="8">
        <v>466466</v>
      </c>
      <c r="V18" s="8">
        <v>562845</v>
      </c>
      <c r="W18" s="8">
        <v>403042</v>
      </c>
      <c r="X18" s="8">
        <v>1161937</v>
      </c>
    </row>
    <row r="19" spans="1:24">
      <c r="A19" s="9" t="s">
        <v>40</v>
      </c>
      <c r="B19" s="2">
        <f>SUM(B4:B18)</f>
        <v>40993870</v>
      </c>
      <c r="C19" s="2">
        <f t="shared" ref="C19:X19" si="0">SUM(C4:C18)</f>
        <v>48892291</v>
      </c>
      <c r="D19" s="2">
        <f t="shared" si="0"/>
        <v>63566909</v>
      </c>
      <c r="E19" s="2">
        <f t="shared" si="0"/>
        <v>35575172</v>
      </c>
      <c r="F19" s="2">
        <f t="shared" si="0"/>
        <v>36652492</v>
      </c>
      <c r="G19" s="2">
        <f t="shared" si="0"/>
        <v>46783503</v>
      </c>
      <c r="H19" s="2">
        <f t="shared" si="0"/>
        <v>43574400</v>
      </c>
      <c r="I19" s="2">
        <f t="shared" si="0"/>
        <v>56197800</v>
      </c>
      <c r="J19" s="2">
        <f t="shared" si="0"/>
        <v>43440905</v>
      </c>
      <c r="K19" s="2">
        <f t="shared" si="0"/>
        <v>63184162</v>
      </c>
      <c r="L19" s="2">
        <f t="shared" si="0"/>
        <v>51076345</v>
      </c>
      <c r="M19" s="2">
        <f t="shared" si="0"/>
        <v>68142660</v>
      </c>
      <c r="N19" s="2">
        <f t="shared" si="0"/>
        <v>55151016</v>
      </c>
      <c r="O19" s="2">
        <f t="shared" si="0"/>
        <v>63271255</v>
      </c>
      <c r="P19" s="2">
        <f t="shared" si="0"/>
        <v>67928350</v>
      </c>
      <c r="Q19" s="2">
        <f t="shared" si="0"/>
        <v>70624494</v>
      </c>
      <c r="R19" s="2">
        <f t="shared" si="0"/>
        <v>72873954</v>
      </c>
      <c r="S19" s="2">
        <f t="shared" si="0"/>
        <v>78708250</v>
      </c>
      <c r="T19" s="2">
        <f t="shared" si="0"/>
        <v>42729545</v>
      </c>
      <c r="U19" s="2">
        <f t="shared" si="0"/>
        <v>40828196</v>
      </c>
      <c r="V19" s="2">
        <f t="shared" si="0"/>
        <v>57098868</v>
      </c>
      <c r="W19" s="2">
        <f t="shared" si="0"/>
        <v>51858993</v>
      </c>
      <c r="X19" s="2">
        <f t="shared" si="0"/>
        <v>69849223</v>
      </c>
    </row>
    <row r="20" spans="1:24"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>
      <c r="A21" s="6" t="s">
        <v>41</v>
      </c>
      <c r="H21" s="2"/>
      <c r="I21" s="2"/>
      <c r="J21" s="2"/>
      <c r="K21" s="2"/>
      <c r="L21" s="10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A22" t="s">
        <v>42</v>
      </c>
      <c r="B22" s="2">
        <v>6685272</v>
      </c>
      <c r="C22" s="2">
        <v>7421806</v>
      </c>
      <c r="D22" s="2">
        <v>10829905</v>
      </c>
      <c r="E22" s="2">
        <v>6163139</v>
      </c>
      <c r="F22" s="2">
        <v>5247765</v>
      </c>
      <c r="G22" s="2">
        <v>8086865</v>
      </c>
      <c r="H22" s="2">
        <v>5334898</v>
      </c>
      <c r="I22" s="2">
        <v>14330105</v>
      </c>
      <c r="J22" s="2">
        <v>6337067</v>
      </c>
      <c r="K22" s="2">
        <v>8622703</v>
      </c>
      <c r="L22" s="2">
        <v>8074335</v>
      </c>
      <c r="M22" s="2">
        <v>11928744</v>
      </c>
      <c r="N22" s="2">
        <v>7182024</v>
      </c>
      <c r="O22" s="2">
        <v>5810959</v>
      </c>
      <c r="P22" s="2">
        <v>5687926</v>
      </c>
      <c r="Q22" s="2">
        <v>9595823</v>
      </c>
      <c r="R22" s="2">
        <v>11810948</v>
      </c>
      <c r="S22" s="2">
        <v>9929043</v>
      </c>
      <c r="T22" s="2">
        <v>8135098</v>
      </c>
      <c r="U22" s="2">
        <v>7534981</v>
      </c>
      <c r="V22" s="2">
        <v>8055731</v>
      </c>
      <c r="W22" s="2">
        <v>6498082</v>
      </c>
      <c r="X22" s="2">
        <v>6469834</v>
      </c>
    </row>
    <row r="23" spans="1:24">
      <c r="A23" t="s">
        <v>27</v>
      </c>
      <c r="B23" s="2">
        <v>959784</v>
      </c>
      <c r="C23" s="2">
        <v>1950811</v>
      </c>
      <c r="D23" s="2">
        <v>2096017</v>
      </c>
      <c r="E23" s="2">
        <v>687883</v>
      </c>
      <c r="F23" s="2">
        <v>979050</v>
      </c>
      <c r="G23" s="2">
        <v>1219797</v>
      </c>
      <c r="H23" s="2">
        <v>2452754</v>
      </c>
      <c r="I23" s="2">
        <v>895091</v>
      </c>
      <c r="J23" s="2">
        <v>633314</v>
      </c>
      <c r="K23" s="2">
        <v>1056403</v>
      </c>
      <c r="L23" s="2">
        <v>1126994</v>
      </c>
      <c r="M23" s="2">
        <v>1527780</v>
      </c>
      <c r="N23" s="2">
        <v>1522477</v>
      </c>
      <c r="O23" s="2">
        <v>1981518</v>
      </c>
      <c r="P23" s="2">
        <v>1138000</v>
      </c>
      <c r="Q23" s="2">
        <v>2221700</v>
      </c>
      <c r="R23" s="2">
        <v>3663815</v>
      </c>
      <c r="S23" s="2">
        <v>2479240</v>
      </c>
      <c r="T23" s="2">
        <v>1752710</v>
      </c>
      <c r="U23" s="2">
        <v>1085659</v>
      </c>
      <c r="V23" s="2">
        <v>471000</v>
      </c>
      <c r="W23" s="2">
        <v>2565659</v>
      </c>
      <c r="X23" s="2">
        <v>2222761</v>
      </c>
    </row>
    <row r="24" spans="1:24">
      <c r="A24" t="s">
        <v>43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/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</row>
    <row r="25" spans="1:24">
      <c r="A25" t="s">
        <v>44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/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</row>
    <row r="26" spans="1:24">
      <c r="A26" t="s">
        <v>45</v>
      </c>
      <c r="B26" s="2">
        <v>7481075</v>
      </c>
      <c r="C26" s="2">
        <v>9571043</v>
      </c>
      <c r="D26" s="2">
        <v>15761843</v>
      </c>
      <c r="E26" s="2">
        <v>5966793</v>
      </c>
      <c r="F26" s="2">
        <v>6994534</v>
      </c>
      <c r="G26" s="2">
        <v>7750007</v>
      </c>
      <c r="H26" s="2">
        <v>7830861</v>
      </c>
      <c r="I26" s="2">
        <v>9453432</v>
      </c>
      <c r="J26" s="2">
        <v>8512642</v>
      </c>
      <c r="K26" s="2">
        <v>10619374</v>
      </c>
      <c r="L26" s="2">
        <v>9944023</v>
      </c>
      <c r="M26" s="2">
        <v>14154825</v>
      </c>
      <c r="N26" s="2">
        <v>8950666</v>
      </c>
      <c r="O26" s="2">
        <v>10343565</v>
      </c>
      <c r="P26" s="2">
        <v>9989171</v>
      </c>
      <c r="Q26" s="2">
        <v>10407855</v>
      </c>
      <c r="R26" s="2">
        <v>13215860</v>
      </c>
      <c r="S26" s="2">
        <v>10612553</v>
      </c>
      <c r="T26" s="2">
        <v>7803825</v>
      </c>
      <c r="U26" s="2">
        <v>9343557</v>
      </c>
      <c r="V26" s="2">
        <v>9043892</v>
      </c>
      <c r="W26" s="2">
        <v>11033646</v>
      </c>
      <c r="X26" s="2">
        <v>10859521</v>
      </c>
    </row>
    <row r="27" spans="1:24">
      <c r="A27" t="s">
        <v>46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/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</row>
    <row r="28" spans="1:24">
      <c r="A28" t="s">
        <v>47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/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</row>
    <row r="29" spans="1:24">
      <c r="A29" t="s">
        <v>48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75150</v>
      </c>
      <c r="I29" s="2">
        <v>352490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116546</v>
      </c>
      <c r="R29" s="2">
        <v>170128</v>
      </c>
      <c r="S29" s="2">
        <v>0</v>
      </c>
      <c r="T29" s="2">
        <v>0</v>
      </c>
      <c r="U29" s="2">
        <v>275000</v>
      </c>
      <c r="V29" s="2">
        <v>0</v>
      </c>
      <c r="W29" s="2">
        <v>0</v>
      </c>
      <c r="X29" s="2">
        <v>121120</v>
      </c>
    </row>
    <row r="30" spans="1:24">
      <c r="A30" t="s">
        <v>49</v>
      </c>
      <c r="B30" s="2">
        <v>6164219</v>
      </c>
      <c r="C30" s="2">
        <v>6508006</v>
      </c>
      <c r="D30" s="2">
        <v>11494542</v>
      </c>
      <c r="E30" s="2">
        <v>6861902</v>
      </c>
      <c r="F30" s="2">
        <v>6531809</v>
      </c>
      <c r="G30" s="2">
        <v>6084541</v>
      </c>
      <c r="H30" s="2">
        <v>7240981</v>
      </c>
      <c r="I30" s="2">
        <v>5283608</v>
      </c>
      <c r="J30" s="2">
        <v>5021919</v>
      </c>
      <c r="K30" s="2">
        <v>9553621</v>
      </c>
      <c r="L30" s="2">
        <v>9183757</v>
      </c>
      <c r="M30" s="2">
        <v>11374815</v>
      </c>
      <c r="N30" s="2">
        <v>8634675</v>
      </c>
      <c r="O30" s="2">
        <v>9115642</v>
      </c>
      <c r="P30" s="2">
        <v>12249291</v>
      </c>
      <c r="Q30" s="2">
        <v>12886579</v>
      </c>
      <c r="R30" s="2">
        <v>13838936</v>
      </c>
      <c r="S30" s="2">
        <v>12978631</v>
      </c>
      <c r="T30" s="2">
        <v>8246491</v>
      </c>
      <c r="U30" s="2">
        <v>6942147</v>
      </c>
      <c r="V30" s="2">
        <v>9048144</v>
      </c>
      <c r="W30" s="2">
        <v>9316340</v>
      </c>
      <c r="X30" s="2">
        <v>7208790</v>
      </c>
    </row>
    <row r="31" spans="1:24">
      <c r="A31" t="s">
        <v>50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25800</v>
      </c>
      <c r="I31" s="2">
        <v>52020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38444</v>
      </c>
      <c r="R31" s="2">
        <v>77904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12000</v>
      </c>
    </row>
    <row r="32" spans="1:24">
      <c r="A32" t="s">
        <v>51</v>
      </c>
      <c r="B32" s="2">
        <v>0</v>
      </c>
      <c r="C32" s="2">
        <v>129116</v>
      </c>
      <c r="D32" s="2">
        <v>0</v>
      </c>
      <c r="E32" s="2">
        <v>0</v>
      </c>
      <c r="F32" s="2">
        <v>0</v>
      </c>
      <c r="G32" s="2">
        <v>2587778</v>
      </c>
      <c r="H32" s="2">
        <v>0</v>
      </c>
      <c r="I32" s="2">
        <v>1886373</v>
      </c>
      <c r="J32" s="2">
        <v>0</v>
      </c>
      <c r="K32" s="2">
        <v>1580264</v>
      </c>
      <c r="L32" s="2">
        <v>296582</v>
      </c>
      <c r="M32" s="2">
        <v>2532056</v>
      </c>
      <c r="N32" s="2">
        <v>0</v>
      </c>
      <c r="O32" s="2">
        <v>0</v>
      </c>
      <c r="P32" s="2">
        <v>780900</v>
      </c>
      <c r="Q32" s="2">
        <v>102500</v>
      </c>
      <c r="R32" s="2">
        <v>904916</v>
      </c>
      <c r="S32" s="2">
        <v>1549811</v>
      </c>
      <c r="T32" s="2">
        <v>1332383</v>
      </c>
      <c r="U32" s="2">
        <v>516667</v>
      </c>
      <c r="V32" s="2">
        <v>0</v>
      </c>
      <c r="W32" s="2">
        <v>1469122</v>
      </c>
      <c r="X32" s="2">
        <v>2641079</v>
      </c>
    </row>
    <row r="33" spans="1:24">
      <c r="A33" t="s">
        <v>52</v>
      </c>
      <c r="B33" s="2">
        <v>596078</v>
      </c>
      <c r="C33" s="2">
        <v>669045</v>
      </c>
      <c r="D33" s="2">
        <v>846910</v>
      </c>
      <c r="E33" s="2">
        <v>587319</v>
      </c>
      <c r="F33" s="2">
        <v>482033</v>
      </c>
      <c r="G33" s="2">
        <v>887279</v>
      </c>
      <c r="H33" s="2">
        <v>633255</v>
      </c>
      <c r="I33" s="2">
        <v>541500</v>
      </c>
      <c r="J33" s="2">
        <v>411603</v>
      </c>
      <c r="K33" s="2">
        <v>1424048</v>
      </c>
      <c r="L33" s="2">
        <v>929443</v>
      </c>
      <c r="M33" s="2">
        <v>986107</v>
      </c>
      <c r="N33" s="2">
        <v>1148183</v>
      </c>
      <c r="O33" s="2">
        <v>1178649</v>
      </c>
      <c r="P33" s="2">
        <v>1475147</v>
      </c>
      <c r="Q33" s="2">
        <v>952434</v>
      </c>
      <c r="R33" s="2">
        <v>1089002</v>
      </c>
      <c r="S33" s="2">
        <v>1414649</v>
      </c>
      <c r="T33" s="2">
        <v>729985</v>
      </c>
      <c r="U33" s="2">
        <v>1096031</v>
      </c>
      <c r="V33" s="2">
        <v>964221</v>
      </c>
      <c r="W33" s="2">
        <v>1018204</v>
      </c>
      <c r="X33" s="2">
        <v>1046843</v>
      </c>
    </row>
    <row r="34" spans="1:24">
      <c r="A34" t="s">
        <v>53</v>
      </c>
      <c r="B34" s="2">
        <v>2625846</v>
      </c>
      <c r="C34" s="2">
        <v>4323223</v>
      </c>
      <c r="D34" s="2">
        <v>6031790</v>
      </c>
      <c r="E34" s="2">
        <v>3235106</v>
      </c>
      <c r="F34" s="2">
        <v>2513723</v>
      </c>
      <c r="G34" s="2">
        <v>3668745</v>
      </c>
      <c r="H34" s="2">
        <v>4000429</v>
      </c>
      <c r="I34" s="2">
        <v>2722324</v>
      </c>
      <c r="J34" s="2">
        <v>2163971</v>
      </c>
      <c r="K34" s="2">
        <v>3956599</v>
      </c>
      <c r="L34" s="2">
        <v>3262970</v>
      </c>
      <c r="M34" s="2">
        <v>3452489</v>
      </c>
      <c r="N34" s="2">
        <v>5155854</v>
      </c>
      <c r="O34" s="2">
        <v>5146484</v>
      </c>
      <c r="P34" s="2">
        <v>3690841</v>
      </c>
      <c r="Q34" s="2">
        <v>5344946</v>
      </c>
      <c r="R34" s="2">
        <v>3815084</v>
      </c>
      <c r="S34" s="2">
        <v>5100486</v>
      </c>
      <c r="T34" s="2">
        <v>3083270</v>
      </c>
      <c r="U34" s="2">
        <v>4342273</v>
      </c>
      <c r="V34" s="2">
        <v>3096651</v>
      </c>
      <c r="W34" s="2">
        <v>3782255</v>
      </c>
      <c r="X34" s="2">
        <v>3195539</v>
      </c>
    </row>
    <row r="35" spans="1:24">
      <c r="A35" t="s">
        <v>54</v>
      </c>
      <c r="B35" s="2">
        <v>784783</v>
      </c>
      <c r="C35" s="2">
        <v>299865</v>
      </c>
      <c r="D35" s="2">
        <v>468930</v>
      </c>
      <c r="E35" s="2">
        <v>1785203</v>
      </c>
      <c r="F35" s="2">
        <v>1080159</v>
      </c>
      <c r="G35" s="2">
        <v>2007921</v>
      </c>
      <c r="H35" s="2">
        <v>1623415</v>
      </c>
      <c r="I35" s="2">
        <v>1286059</v>
      </c>
      <c r="J35" s="2">
        <v>1430251</v>
      </c>
      <c r="K35" s="2">
        <v>1440507</v>
      </c>
      <c r="L35" s="2">
        <v>1304292</v>
      </c>
      <c r="M35" s="2">
        <v>1152803</v>
      </c>
      <c r="N35" s="2">
        <v>1369939</v>
      </c>
      <c r="O35" s="2">
        <v>1258943</v>
      </c>
      <c r="P35" s="2">
        <v>1614056</v>
      </c>
      <c r="Q35" s="2">
        <v>1325321</v>
      </c>
      <c r="R35" s="2">
        <v>1254616</v>
      </c>
      <c r="S35" s="2">
        <v>1654515</v>
      </c>
      <c r="T35" s="2">
        <v>2559620</v>
      </c>
      <c r="U35" s="2">
        <v>2487125</v>
      </c>
      <c r="V35" s="2">
        <v>1209328</v>
      </c>
      <c r="W35" s="2">
        <v>1354232</v>
      </c>
      <c r="X35" s="2">
        <v>1061110</v>
      </c>
    </row>
    <row r="36" spans="1:24">
      <c r="A36" t="s">
        <v>55</v>
      </c>
      <c r="B36" s="2">
        <v>1521963</v>
      </c>
      <c r="C36" s="2">
        <v>1911176</v>
      </c>
      <c r="D36" s="2">
        <v>5663384</v>
      </c>
      <c r="E36" s="2">
        <v>1858507</v>
      </c>
      <c r="F36" s="2">
        <v>1468960</v>
      </c>
      <c r="G36" s="2">
        <v>1666083</v>
      </c>
      <c r="H36" s="2">
        <v>1514840</v>
      </c>
      <c r="I36" s="2">
        <v>981604</v>
      </c>
      <c r="J36" s="2">
        <v>1790666</v>
      </c>
      <c r="K36" s="2">
        <v>3680477</v>
      </c>
      <c r="L36" s="2">
        <v>3096990</v>
      </c>
      <c r="M36" s="2">
        <v>2089163</v>
      </c>
      <c r="N36" s="2">
        <v>1810881</v>
      </c>
      <c r="O36" s="2">
        <v>1595475</v>
      </c>
      <c r="P36" s="2">
        <v>2563497</v>
      </c>
      <c r="Q36" s="2">
        <v>2459023</v>
      </c>
      <c r="R36" s="2">
        <v>2257756</v>
      </c>
      <c r="S36" s="2">
        <v>2854960</v>
      </c>
      <c r="T36" s="2">
        <v>1160971</v>
      </c>
      <c r="U36" s="2">
        <v>1581502</v>
      </c>
      <c r="V36" s="2">
        <v>3103462</v>
      </c>
      <c r="W36" s="2">
        <v>2140976</v>
      </c>
      <c r="X36" s="2">
        <v>2861994</v>
      </c>
    </row>
    <row r="37" spans="1:24">
      <c r="A37" t="s">
        <v>56</v>
      </c>
      <c r="B37" s="2">
        <v>1041457</v>
      </c>
      <c r="C37" s="2">
        <v>1397450</v>
      </c>
      <c r="D37" s="2">
        <v>3351052</v>
      </c>
      <c r="E37" s="2">
        <v>263702</v>
      </c>
      <c r="F37" s="2">
        <v>359932</v>
      </c>
      <c r="G37" s="2">
        <v>1565339</v>
      </c>
      <c r="H37" s="2">
        <v>1521688</v>
      </c>
      <c r="I37" s="2">
        <v>1675386</v>
      </c>
      <c r="J37" s="2">
        <v>337076</v>
      </c>
      <c r="K37" s="2">
        <v>1679565</v>
      </c>
      <c r="L37" s="2">
        <v>485151</v>
      </c>
      <c r="M37" s="2">
        <v>1361848</v>
      </c>
      <c r="N37" s="2">
        <v>2121793</v>
      </c>
      <c r="O37" s="2">
        <v>1841673</v>
      </c>
      <c r="P37" s="2">
        <v>1446897</v>
      </c>
      <c r="Q37" s="2">
        <v>3198141</v>
      </c>
      <c r="R37" s="2">
        <v>1336035</v>
      </c>
      <c r="S37" s="2">
        <v>3373682</v>
      </c>
      <c r="T37" s="2">
        <v>2544530</v>
      </c>
      <c r="U37" s="2">
        <v>1427289</v>
      </c>
      <c r="V37" s="2">
        <v>2241219</v>
      </c>
      <c r="W37" s="2">
        <v>338254</v>
      </c>
      <c r="X37" s="2">
        <v>2227314</v>
      </c>
    </row>
    <row r="38" spans="1:24">
      <c r="A38" t="s">
        <v>57</v>
      </c>
      <c r="B38" s="2">
        <v>0</v>
      </c>
      <c r="C38" s="2">
        <v>0</v>
      </c>
      <c r="D38" s="2">
        <v>0</v>
      </c>
      <c r="E38" s="2">
        <v>172505</v>
      </c>
      <c r="F38" s="2">
        <v>0</v>
      </c>
      <c r="G38" s="2">
        <v>0</v>
      </c>
      <c r="H38" s="2">
        <v>0</v>
      </c>
      <c r="I38" s="2">
        <v>0</v>
      </c>
      <c r="J38" s="2">
        <v>509173</v>
      </c>
      <c r="K38" s="2">
        <v>0</v>
      </c>
      <c r="L38" s="2">
        <v>27181</v>
      </c>
      <c r="M38" s="2">
        <v>0</v>
      </c>
      <c r="N38" s="2">
        <v>0</v>
      </c>
      <c r="O38" s="2">
        <v>0</v>
      </c>
      <c r="P38" s="2">
        <v>0</v>
      </c>
      <c r="Q38" s="2">
        <v>5271</v>
      </c>
      <c r="R38" s="2">
        <v>0</v>
      </c>
      <c r="S38" s="2">
        <v>1060269</v>
      </c>
      <c r="T38" s="2">
        <v>388300</v>
      </c>
      <c r="U38" s="2">
        <v>0</v>
      </c>
      <c r="V38" s="2">
        <v>285586</v>
      </c>
      <c r="W38" s="2">
        <v>0</v>
      </c>
      <c r="X38" s="2">
        <v>472495</v>
      </c>
    </row>
    <row r="39" spans="1:24">
      <c r="A39" t="s">
        <v>58</v>
      </c>
      <c r="B39" s="2">
        <v>8579705</v>
      </c>
      <c r="C39" s="2">
        <v>9773843</v>
      </c>
      <c r="D39" s="2">
        <v>2108097</v>
      </c>
      <c r="E39" s="2">
        <v>1806136</v>
      </c>
      <c r="F39" s="2">
        <v>3984272</v>
      </c>
      <c r="G39" s="2">
        <v>1769096</v>
      </c>
      <c r="H39" s="2">
        <v>5794292</v>
      </c>
      <c r="I39" s="2">
        <v>536073</v>
      </c>
      <c r="J39" s="2">
        <v>11903518</v>
      </c>
      <c r="K39" s="2">
        <v>11518516</v>
      </c>
      <c r="L39" s="2">
        <v>8640791</v>
      </c>
      <c r="M39" s="2">
        <v>11922781</v>
      </c>
      <c r="N39" s="2">
        <v>11515257</v>
      </c>
      <c r="O39" s="2">
        <v>5939792</v>
      </c>
      <c r="P39" s="2">
        <v>16569582</v>
      </c>
      <c r="Q39" s="2">
        <v>14074309</v>
      </c>
      <c r="R39" s="2">
        <v>5309895</v>
      </c>
      <c r="S39" s="2">
        <v>16990372</v>
      </c>
      <c r="T39" s="2">
        <v>2247120</v>
      </c>
      <c r="U39" s="2">
        <v>1893914</v>
      </c>
      <c r="V39" s="2">
        <v>10250626</v>
      </c>
      <c r="W39" s="2">
        <v>8929879</v>
      </c>
      <c r="X39" s="2">
        <v>23698801</v>
      </c>
    </row>
    <row r="40" spans="1:24">
      <c r="A40" t="s">
        <v>59</v>
      </c>
      <c r="B40" s="2">
        <v>152217</v>
      </c>
      <c r="C40" s="2">
        <v>290147</v>
      </c>
      <c r="D40" s="2">
        <v>60406</v>
      </c>
      <c r="E40" s="2">
        <v>37803</v>
      </c>
      <c r="F40" s="2">
        <v>0</v>
      </c>
      <c r="G40" s="2">
        <v>208204</v>
      </c>
      <c r="H40" s="2">
        <v>275347</v>
      </c>
      <c r="I40" s="2">
        <v>0</v>
      </c>
      <c r="J40" s="2">
        <v>185101</v>
      </c>
      <c r="K40" s="2">
        <v>230413</v>
      </c>
      <c r="L40" s="2">
        <v>371421</v>
      </c>
      <c r="M40" s="2">
        <v>189845</v>
      </c>
      <c r="N40" s="2">
        <v>161594</v>
      </c>
      <c r="O40" s="2">
        <v>274887</v>
      </c>
      <c r="P40" s="2">
        <v>43729</v>
      </c>
      <c r="Q40" s="2">
        <v>92001</v>
      </c>
      <c r="R40" s="2">
        <v>177500</v>
      </c>
      <c r="S40" s="2">
        <v>332125</v>
      </c>
      <c r="T40" s="2">
        <v>104924</v>
      </c>
      <c r="U40" s="2">
        <v>136100</v>
      </c>
      <c r="V40" s="2">
        <v>259146</v>
      </c>
      <c r="W40" s="2">
        <v>151933</v>
      </c>
      <c r="X40" s="2">
        <v>118556</v>
      </c>
    </row>
    <row r="41" spans="1:24">
      <c r="A41" t="s">
        <v>32</v>
      </c>
      <c r="B41" s="2">
        <v>0</v>
      </c>
      <c r="C41" s="2">
        <v>1577386</v>
      </c>
      <c r="D41" s="2">
        <v>0</v>
      </c>
      <c r="E41" s="2">
        <v>1046316</v>
      </c>
      <c r="F41" s="2">
        <v>0</v>
      </c>
      <c r="G41" s="2">
        <v>3274717</v>
      </c>
      <c r="H41" s="2">
        <v>0</v>
      </c>
      <c r="I41" s="2">
        <v>13160669</v>
      </c>
      <c r="J41" s="2">
        <v>1828871</v>
      </c>
      <c r="K41" s="2">
        <v>0</v>
      </c>
      <c r="L41" s="2">
        <v>0</v>
      </c>
      <c r="M41" s="2">
        <v>0</v>
      </c>
      <c r="N41" s="2">
        <v>0</v>
      </c>
      <c r="O41" s="2">
        <v>1090635</v>
      </c>
      <c r="P41" s="2">
        <v>0</v>
      </c>
      <c r="Q41" s="2">
        <v>0</v>
      </c>
      <c r="R41" s="2">
        <v>2782080</v>
      </c>
      <c r="S41" s="2">
        <v>0</v>
      </c>
      <c r="T41" s="2">
        <v>1613057</v>
      </c>
      <c r="U41" s="2">
        <v>0</v>
      </c>
      <c r="V41" s="2">
        <v>197794</v>
      </c>
      <c r="W41" s="2">
        <v>0</v>
      </c>
      <c r="X41" s="2">
        <v>0</v>
      </c>
    </row>
    <row r="42" spans="1:24">
      <c r="A42" t="s">
        <v>60</v>
      </c>
      <c r="B42" s="2">
        <v>682812</v>
      </c>
      <c r="C42" s="2">
        <v>305751</v>
      </c>
      <c r="D42" s="2">
        <v>523026</v>
      </c>
      <c r="E42" s="2">
        <v>514813</v>
      </c>
      <c r="F42" s="2">
        <v>883725</v>
      </c>
      <c r="G42" s="2">
        <v>1312413</v>
      </c>
      <c r="H42" s="2">
        <v>1239645</v>
      </c>
      <c r="I42" s="2">
        <v>329619</v>
      </c>
      <c r="J42" s="2">
        <v>134805</v>
      </c>
      <c r="K42" s="2">
        <v>652152</v>
      </c>
      <c r="L42" s="2">
        <v>641600</v>
      </c>
      <c r="M42" s="2">
        <v>975730</v>
      </c>
      <c r="N42" s="2">
        <v>654208</v>
      </c>
      <c r="O42" s="2">
        <v>968212</v>
      </c>
      <c r="P42" s="2">
        <v>969024</v>
      </c>
      <c r="Q42" s="2">
        <v>1005156</v>
      </c>
      <c r="R42" s="2">
        <v>1169524</v>
      </c>
      <c r="S42" s="2">
        <v>514333</v>
      </c>
      <c r="T42" s="2">
        <v>1008898</v>
      </c>
      <c r="U42" s="2">
        <v>665769</v>
      </c>
      <c r="V42" s="2">
        <v>757379</v>
      </c>
      <c r="W42" s="2">
        <v>787555</v>
      </c>
      <c r="X42" s="2">
        <v>692637</v>
      </c>
    </row>
    <row r="43" spans="1:24">
      <c r="A43" t="s">
        <v>61</v>
      </c>
      <c r="B43" s="2">
        <v>98274</v>
      </c>
      <c r="C43" s="2">
        <v>44384</v>
      </c>
      <c r="D43" s="2">
        <v>75887</v>
      </c>
      <c r="E43" s="2">
        <v>55836</v>
      </c>
      <c r="F43" s="2">
        <v>336487</v>
      </c>
      <c r="G43" s="2">
        <v>343559</v>
      </c>
      <c r="H43" s="2">
        <v>42284</v>
      </c>
      <c r="I43" s="2">
        <v>394965</v>
      </c>
      <c r="J43" s="2">
        <v>488816</v>
      </c>
      <c r="K43" s="2">
        <v>54666</v>
      </c>
      <c r="L43" s="2">
        <v>1433393</v>
      </c>
      <c r="M43" s="2">
        <v>81288</v>
      </c>
      <c r="N43" s="2">
        <v>1711125</v>
      </c>
      <c r="O43" s="2">
        <v>2182400</v>
      </c>
      <c r="P43" s="2">
        <v>58600</v>
      </c>
      <c r="Q43" s="2">
        <v>109541</v>
      </c>
      <c r="R43" s="2">
        <v>161788</v>
      </c>
      <c r="S43" s="2">
        <v>151478</v>
      </c>
      <c r="T43" s="2">
        <v>1527752</v>
      </c>
      <c r="U43" s="2">
        <v>86944</v>
      </c>
      <c r="V43" s="2">
        <v>48629</v>
      </c>
      <c r="W43" s="2">
        <v>19963</v>
      </c>
      <c r="X43" s="2">
        <v>39407</v>
      </c>
    </row>
    <row r="44" spans="1:24">
      <c r="A44" s="11" t="s">
        <v>62</v>
      </c>
      <c r="B44" s="8">
        <v>2636129</v>
      </c>
      <c r="C44" s="8">
        <v>3695152</v>
      </c>
      <c r="D44" s="8">
        <v>4516831</v>
      </c>
      <c r="E44" s="8">
        <v>2580532</v>
      </c>
      <c r="F44" s="8">
        <v>5532758</v>
      </c>
      <c r="G44" s="8">
        <v>4353800</v>
      </c>
      <c r="H44" s="8">
        <v>3461386</v>
      </c>
      <c r="I44" s="8">
        <v>2316483</v>
      </c>
      <c r="J44" s="8">
        <v>1483432</v>
      </c>
      <c r="K44" s="8">
        <v>5100481</v>
      </c>
      <c r="L44" s="8">
        <v>1741641</v>
      </c>
      <c r="M44" s="8">
        <v>4379365</v>
      </c>
      <c r="N44" s="8">
        <v>3175045</v>
      </c>
      <c r="O44" s="8">
        <v>2265951</v>
      </c>
      <c r="P44" s="8">
        <v>2070175</v>
      </c>
      <c r="Q44" s="8">
        <v>4120679</v>
      </c>
      <c r="R44" s="8">
        <v>6879273</v>
      </c>
      <c r="S44" s="8">
        <v>5744589</v>
      </c>
      <c r="T44" s="8">
        <v>3723318</v>
      </c>
      <c r="U44" s="8">
        <v>4304545</v>
      </c>
      <c r="V44" s="8">
        <v>5224438</v>
      </c>
      <c r="W44" s="8">
        <v>2301964</v>
      </c>
      <c r="X44" s="8">
        <v>3568825</v>
      </c>
    </row>
    <row r="45" spans="1:24">
      <c r="A45" s="9" t="s">
        <v>63</v>
      </c>
      <c r="B45" s="2">
        <f>SUM(B22:B44)</f>
        <v>40009614</v>
      </c>
      <c r="C45" s="2">
        <f t="shared" ref="C45:X45" si="1">SUM(C22:C44)</f>
        <v>49868204</v>
      </c>
      <c r="D45" s="2">
        <f t="shared" si="1"/>
        <v>63828620</v>
      </c>
      <c r="E45" s="2">
        <f t="shared" si="1"/>
        <v>33623495</v>
      </c>
      <c r="F45" s="2">
        <f t="shared" si="1"/>
        <v>36395207</v>
      </c>
      <c r="G45" s="2">
        <f t="shared" si="1"/>
        <v>46786144</v>
      </c>
      <c r="H45" s="2">
        <f t="shared" si="1"/>
        <v>43067025</v>
      </c>
      <c r="I45" s="2">
        <f t="shared" si="1"/>
        <v>56197801</v>
      </c>
      <c r="J45" s="2">
        <f t="shared" si="1"/>
        <v>43172225</v>
      </c>
      <c r="K45" s="2">
        <f t="shared" si="1"/>
        <v>61169789</v>
      </c>
      <c r="L45" s="2">
        <f t="shared" si="1"/>
        <v>50560564</v>
      </c>
      <c r="M45" s="2">
        <f t="shared" si="1"/>
        <v>68109639</v>
      </c>
      <c r="N45" s="2">
        <f t="shared" si="1"/>
        <v>55113721</v>
      </c>
      <c r="O45" s="2">
        <f t="shared" si="1"/>
        <v>50994785</v>
      </c>
      <c r="P45" s="2">
        <f t="shared" si="1"/>
        <v>60346836</v>
      </c>
      <c r="Q45" s="2">
        <f t="shared" si="1"/>
        <v>68056269</v>
      </c>
      <c r="R45" s="2">
        <f t="shared" si="1"/>
        <v>69915060</v>
      </c>
      <c r="S45" s="2">
        <f t="shared" si="1"/>
        <v>76740736</v>
      </c>
      <c r="T45" s="2">
        <f t="shared" si="1"/>
        <v>47962252</v>
      </c>
      <c r="U45" s="2">
        <f t="shared" si="1"/>
        <v>43719503</v>
      </c>
      <c r="V45" s="2">
        <f t="shared" si="1"/>
        <v>54257246</v>
      </c>
      <c r="W45" s="2">
        <f t="shared" si="1"/>
        <v>51708064</v>
      </c>
      <c r="X45" s="2">
        <f t="shared" si="1"/>
        <v>68518626</v>
      </c>
    </row>
    <row r="46" spans="1:24"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.75" thickBot="1">
      <c r="A47" s="12" t="s">
        <v>64</v>
      </c>
      <c r="B47" s="13"/>
      <c r="C47" s="13"/>
      <c r="D47" s="13"/>
      <c r="E47" s="13"/>
      <c r="F47" s="13"/>
      <c r="G47" s="13"/>
      <c r="H47" s="13"/>
      <c r="I47" s="13"/>
      <c r="J47" s="13">
        <v>0</v>
      </c>
      <c r="K47" s="14">
        <v>1871000</v>
      </c>
      <c r="L47" s="14">
        <v>0</v>
      </c>
      <c r="M47" s="13">
        <v>0</v>
      </c>
      <c r="N47" s="13">
        <v>0</v>
      </c>
      <c r="O47" s="13">
        <v>0</v>
      </c>
      <c r="P47" s="13">
        <v>0</v>
      </c>
      <c r="Q47" s="14">
        <v>1400450</v>
      </c>
      <c r="R47" s="13">
        <v>0</v>
      </c>
      <c r="S47" s="13">
        <v>0</v>
      </c>
      <c r="T47" s="13">
        <v>0</v>
      </c>
      <c r="U47" s="13">
        <v>1814754</v>
      </c>
      <c r="V47" s="13">
        <v>0</v>
      </c>
      <c r="W47" s="13">
        <v>150929</v>
      </c>
      <c r="X47" s="13">
        <v>1050000</v>
      </c>
    </row>
    <row r="48" spans="1:24" s="15" customFormat="1" ht="15.75" thickTop="1">
      <c r="A48" s="15" t="s">
        <v>65</v>
      </c>
      <c r="B48" s="16">
        <f>B19-(B45+B47)</f>
        <v>984256</v>
      </c>
      <c r="C48" s="16">
        <f t="shared" ref="C48:X48" si="2">C19-(C45+C47)</f>
        <v>-975913</v>
      </c>
      <c r="D48" s="16">
        <f t="shared" si="2"/>
        <v>-261711</v>
      </c>
      <c r="E48" s="16">
        <f t="shared" si="2"/>
        <v>1951677</v>
      </c>
      <c r="F48" s="16">
        <f t="shared" si="2"/>
        <v>257285</v>
      </c>
      <c r="G48" s="16">
        <f t="shared" si="2"/>
        <v>-2641</v>
      </c>
      <c r="H48" s="16">
        <f t="shared" si="2"/>
        <v>507375</v>
      </c>
      <c r="I48" s="16">
        <f t="shared" si="2"/>
        <v>-1</v>
      </c>
      <c r="J48" s="16">
        <f t="shared" si="2"/>
        <v>268680</v>
      </c>
      <c r="K48" s="16">
        <f t="shared" si="2"/>
        <v>143373</v>
      </c>
      <c r="L48" s="16">
        <f t="shared" si="2"/>
        <v>515781</v>
      </c>
      <c r="M48" s="16">
        <f t="shared" si="2"/>
        <v>33021</v>
      </c>
      <c r="N48" s="16">
        <f t="shared" si="2"/>
        <v>37295</v>
      </c>
      <c r="O48" s="16">
        <f t="shared" si="2"/>
        <v>12276470</v>
      </c>
      <c r="P48" s="16">
        <f t="shared" si="2"/>
        <v>7581514</v>
      </c>
      <c r="Q48" s="16">
        <f t="shared" si="2"/>
        <v>1167775</v>
      </c>
      <c r="R48" s="16">
        <f t="shared" si="2"/>
        <v>2958894</v>
      </c>
      <c r="S48" s="16">
        <f t="shared" si="2"/>
        <v>1967514</v>
      </c>
      <c r="T48" s="16">
        <f t="shared" si="2"/>
        <v>-5232707</v>
      </c>
      <c r="U48" s="16">
        <f t="shared" si="2"/>
        <v>-4706061</v>
      </c>
      <c r="V48" s="16">
        <f t="shared" si="2"/>
        <v>2841622</v>
      </c>
      <c r="W48" s="16">
        <f t="shared" si="2"/>
        <v>0</v>
      </c>
      <c r="X48" s="16">
        <f t="shared" si="2"/>
        <v>280597</v>
      </c>
    </row>
    <row r="49" spans="1:11">
      <c r="A49" s="15"/>
      <c r="K49" s="17"/>
    </row>
  </sheetData>
  <pageMargins left="0.7" right="0.7" top="0.75" bottom="0.75" header="0.3" footer="0.3"/>
  <pageSetup scale="65" orientation="landscape" r:id="rId1"/>
  <headerFooter>
    <oddHeader>&amp;C&amp;"-,Bold"&amp;14Total Athletics Revenues and Expenses for FY12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Stricklin</dc:creator>
  <cp:lastModifiedBy>brant</cp:lastModifiedBy>
  <cp:lastPrinted>2013-09-21T21:38:03Z</cp:lastPrinted>
  <dcterms:created xsi:type="dcterms:W3CDTF">2013-09-20T16:08:50Z</dcterms:created>
  <dcterms:modified xsi:type="dcterms:W3CDTF">2013-09-21T21:46:17Z</dcterms:modified>
</cp:coreProperties>
</file>