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7935" activeTab="3"/>
  </bookViews>
  <sheets>
    <sheet name="IS" sheetId="1" r:id="rId1"/>
    <sheet name="BS" sheetId="2" r:id="rId2"/>
    <sheet name="CF" sheetId="3" r:id="rId3"/>
    <sheet name="DCF" sheetId="4" r:id="rId4"/>
  </sheets>
  <externalReferences>
    <externalReference r:id="rId5"/>
  </externalReferences>
  <calcPr calcId="125725" iterate="1" iterateDelta="9.9999999999994451E-4"/>
</workbook>
</file>

<file path=xl/calcChain.xml><?xml version="1.0" encoding="utf-8"?>
<calcChain xmlns="http://schemas.openxmlformats.org/spreadsheetml/2006/main">
  <c r="L51" i="1"/>
  <c r="K51"/>
  <c r="J51"/>
  <c r="I51"/>
  <c r="H51"/>
  <c r="L50"/>
  <c r="K50"/>
  <c r="J50"/>
  <c r="I50"/>
  <c r="H50"/>
  <c r="J30"/>
  <c r="I30"/>
  <c r="H30"/>
  <c r="I47" i="3" l="1"/>
  <c r="H47"/>
  <c r="L46" i="1"/>
  <c r="K46"/>
  <c r="L19"/>
  <c r="K19"/>
  <c r="J19"/>
  <c r="I19"/>
  <c r="H19"/>
  <c r="L7"/>
  <c r="K7"/>
  <c r="J7"/>
  <c r="I7"/>
  <c r="H7"/>
  <c r="I8"/>
  <c r="J8" s="1"/>
  <c r="K8" s="1"/>
  <c r="L8" s="1"/>
  <c r="H8"/>
  <c r="L18"/>
  <c r="K18"/>
  <c r="J18"/>
  <c r="I18"/>
  <c r="I43" s="1"/>
  <c r="H18"/>
  <c r="H43" s="1"/>
  <c r="G39"/>
  <c r="F39"/>
  <c r="E39"/>
  <c r="D39"/>
  <c r="C39"/>
  <c r="C19" i="4"/>
  <c r="C18"/>
  <c r="I16"/>
  <c r="I18" s="1"/>
  <c r="I11"/>
  <c r="H11"/>
  <c r="G11"/>
  <c r="F11"/>
  <c r="E11"/>
  <c r="D11"/>
  <c r="C11"/>
  <c r="I10"/>
  <c r="H10"/>
  <c r="G10"/>
  <c r="F10"/>
  <c r="E10"/>
  <c r="D10"/>
  <c r="C10"/>
  <c r="D8"/>
  <c r="C8"/>
  <c r="C7"/>
  <c r="D6"/>
  <c r="D7" s="1"/>
  <c r="C6"/>
  <c r="C5"/>
  <c r="D5" s="1"/>
  <c r="E5" s="1"/>
  <c r="F5" s="1"/>
  <c r="G5" s="1"/>
  <c r="H5" s="1"/>
  <c r="I5" s="1"/>
  <c r="B4"/>
  <c r="K43" i="1" l="1"/>
  <c r="J43"/>
  <c r="L43"/>
  <c r="I21" i="4"/>
  <c r="D12"/>
  <c r="C12"/>
  <c r="F47" i="2" l="1"/>
  <c r="E47"/>
  <c r="D47"/>
  <c r="C47"/>
  <c r="G46"/>
  <c r="D46"/>
  <c r="C46"/>
  <c r="G45"/>
  <c r="F45"/>
  <c r="F46" s="1"/>
  <c r="E45"/>
  <c r="E46" s="1"/>
  <c r="D45"/>
  <c r="C45"/>
  <c r="G40"/>
  <c r="G47" s="1"/>
  <c r="I37"/>
  <c r="J37" s="1"/>
  <c r="K37" s="1"/>
  <c r="L37" s="1"/>
  <c r="H37"/>
  <c r="K33"/>
  <c r="J33"/>
  <c r="L28"/>
  <c r="L33" s="1"/>
  <c r="K28"/>
  <c r="J28"/>
  <c r="I28"/>
  <c r="I33" s="1"/>
  <c r="H28"/>
  <c r="H33" s="1"/>
  <c r="G28"/>
  <c r="H16"/>
  <c r="H8"/>
  <c r="L39" i="3"/>
  <c r="K39"/>
  <c r="J39"/>
  <c r="I39"/>
  <c r="H39"/>
  <c r="L30"/>
  <c r="K30"/>
  <c r="J30"/>
  <c r="I30"/>
  <c r="H23"/>
  <c r="H24"/>
  <c r="G51" i="1"/>
  <c r="F51"/>
  <c r="E51"/>
  <c r="G50"/>
  <c r="F50"/>
  <c r="E50"/>
  <c r="G45"/>
  <c r="F45"/>
  <c r="E45"/>
  <c r="G43"/>
  <c r="F43"/>
  <c r="E43"/>
  <c r="D51"/>
  <c r="D50"/>
  <c r="G30" i="3"/>
  <c r="F30"/>
  <c r="F39"/>
  <c r="G39"/>
  <c r="E39"/>
  <c r="E30"/>
  <c r="D39"/>
  <c r="D30"/>
  <c r="C39"/>
  <c r="C30"/>
  <c r="H21" i="1" l="1"/>
  <c r="H30" i="3"/>
  <c r="D5"/>
  <c r="E5" s="1"/>
  <c r="F5" s="1"/>
  <c r="G5" s="1"/>
  <c r="G13" i="2"/>
  <c r="G21" s="1"/>
  <c r="F28"/>
  <c r="F21"/>
  <c r="F13"/>
  <c r="I21" i="1" l="1"/>
  <c r="J21"/>
  <c r="C28" i="2"/>
  <c r="C33" s="1"/>
  <c r="C41" s="1"/>
  <c r="C21"/>
  <c r="C13"/>
  <c r="G33"/>
  <c r="G41" s="1"/>
  <c r="F33"/>
  <c r="F41" s="1"/>
  <c r="E28"/>
  <c r="E33" s="1"/>
  <c r="E41" s="1"/>
  <c r="D28"/>
  <c r="D33" s="1"/>
  <c r="D41" s="1"/>
  <c r="D21"/>
  <c r="D13"/>
  <c r="E13"/>
  <c r="E21" s="1"/>
  <c r="D5"/>
  <c r="E5" s="1"/>
  <c r="F5" s="1"/>
  <c r="G5" s="1"/>
  <c r="K21" i="1" l="1"/>
  <c r="D43"/>
  <c r="D45"/>
  <c r="L21" l="1"/>
  <c r="G21"/>
  <c r="F21"/>
  <c r="E21"/>
  <c r="D21"/>
  <c r="C21"/>
  <c r="D14"/>
  <c r="C14"/>
  <c r="E14"/>
  <c r="G14"/>
  <c r="F14"/>
  <c r="F9"/>
  <c r="E9"/>
  <c r="D9"/>
  <c r="C9"/>
  <c r="G9"/>
  <c r="D5"/>
  <c r="E5" s="1"/>
  <c r="F5" s="1"/>
  <c r="G5" s="1"/>
  <c r="G50" i="3" l="1"/>
  <c r="G42" i="1"/>
  <c r="G37"/>
  <c r="F37"/>
  <c r="F50" i="3"/>
  <c r="F42" i="1"/>
  <c r="E37"/>
  <c r="E50" i="3"/>
  <c r="E42" i="1"/>
  <c r="D50" i="3"/>
  <c r="D42" i="1"/>
  <c r="D37"/>
  <c r="C50" i="3"/>
  <c r="C37" i="1"/>
  <c r="D16"/>
  <c r="C16"/>
  <c r="F16"/>
  <c r="G16"/>
  <c r="G36" s="1"/>
  <c r="E16"/>
  <c r="E36" l="1"/>
  <c r="E23"/>
  <c r="D23"/>
  <c r="D36"/>
  <c r="C23"/>
  <c r="C36"/>
  <c r="F36"/>
  <c r="F23"/>
  <c r="G23"/>
  <c r="F44" l="1"/>
  <c r="F38"/>
  <c r="F26"/>
  <c r="G26"/>
  <c r="G46" s="1"/>
  <c r="G44"/>
  <c r="G38"/>
  <c r="C38"/>
  <c r="C26"/>
  <c r="C28" s="1"/>
  <c r="C31" s="1"/>
  <c r="E44"/>
  <c r="E38"/>
  <c r="E26"/>
  <c r="D44"/>
  <c r="D38"/>
  <c r="D26"/>
  <c r="E28"/>
  <c r="C6" i="3" l="1"/>
  <c r="C20" s="1"/>
  <c r="C43" s="1"/>
  <c r="D44" s="1"/>
  <c r="C33" i="1"/>
  <c r="D46"/>
  <c r="D28"/>
  <c r="F46"/>
  <c r="F28"/>
  <c r="G28"/>
  <c r="E46"/>
  <c r="E31"/>
  <c r="G47" l="1"/>
  <c r="D47"/>
  <c r="D31"/>
  <c r="F31"/>
  <c r="F47"/>
  <c r="E48"/>
  <c r="E6" i="3"/>
  <c r="E20" s="1"/>
  <c r="E43" s="1"/>
  <c r="G31" i="1"/>
  <c r="G33" s="1"/>
  <c r="E47"/>
  <c r="E33"/>
  <c r="H50" i="3" l="1"/>
  <c r="D6"/>
  <c r="D20" s="1"/>
  <c r="D43" s="1"/>
  <c r="D45" s="1"/>
  <c r="E44" s="1"/>
  <c r="E45" s="1"/>
  <c r="F44" s="1"/>
  <c r="D33" i="1"/>
  <c r="D48"/>
  <c r="G6" i="3"/>
  <c r="G20" s="1"/>
  <c r="G43" s="1"/>
  <c r="G48" i="1"/>
  <c r="F33"/>
  <c r="F48"/>
  <c r="F6" i="3"/>
  <c r="F20" s="1"/>
  <c r="F43" s="1"/>
  <c r="H42" i="1" l="1"/>
  <c r="F45" i="3"/>
  <c r="G44" s="1"/>
  <c r="I50"/>
  <c r="H24" i="1"/>
  <c r="G45" i="3"/>
  <c r="H44" s="1"/>
  <c r="E8" i="4" l="1"/>
  <c r="H39" i="1"/>
  <c r="H7" i="3"/>
  <c r="H15" i="2" s="1"/>
  <c r="H45" i="1"/>
  <c r="I42"/>
  <c r="I24"/>
  <c r="I7" i="3" l="1"/>
  <c r="I15" i="2" s="1"/>
  <c r="I39" i="1"/>
  <c r="F8" i="4"/>
  <c r="I45" i="1"/>
  <c r="L50" i="3"/>
  <c r="K50"/>
  <c r="J50" l="1"/>
  <c r="J24" i="1"/>
  <c r="J42"/>
  <c r="L24"/>
  <c r="L42"/>
  <c r="K24"/>
  <c r="K42"/>
  <c r="J39" l="1"/>
  <c r="G8" i="4"/>
  <c r="K7" i="3"/>
  <c r="H8" i="4"/>
  <c r="K39" i="1"/>
  <c r="L7" i="3"/>
  <c r="I8" i="4"/>
  <c r="L39" i="1"/>
  <c r="J7" i="3"/>
  <c r="J15" i="2" s="1"/>
  <c r="J45" i="1"/>
  <c r="L45"/>
  <c r="K45"/>
  <c r="H16"/>
  <c r="H23" s="1"/>
  <c r="H14" l="1"/>
  <c r="H12" s="1"/>
  <c r="H13" s="1"/>
  <c r="K15" i="2"/>
  <c r="L15" s="1"/>
  <c r="H44" i="1"/>
  <c r="H38"/>
  <c r="H26"/>
  <c r="E6" i="4" s="1"/>
  <c r="E7" l="1"/>
  <c r="E12" s="1"/>
  <c r="H46" i="1"/>
  <c r="H28"/>
  <c r="H31" l="1"/>
  <c r="H47"/>
  <c r="H6" i="3" l="1"/>
  <c r="H20" s="1"/>
  <c r="H43" s="1"/>
  <c r="H45" s="1"/>
  <c r="H7" i="2" s="1"/>
  <c r="H13" s="1"/>
  <c r="H21" s="1"/>
  <c r="H38"/>
  <c r="H40" s="1"/>
  <c r="H48" i="1"/>
  <c r="H33"/>
  <c r="I16"/>
  <c r="I14" s="1"/>
  <c r="J16"/>
  <c r="J14" s="1"/>
  <c r="K16"/>
  <c r="K14" s="1"/>
  <c r="L16"/>
  <c r="L14" s="1"/>
  <c r="H41" i="2" l="1"/>
  <c r="I23" i="1"/>
  <c r="I44" s="1"/>
  <c r="K23"/>
  <c r="K38" s="1"/>
  <c r="J23"/>
  <c r="J26" s="1"/>
  <c r="G6" i="4" s="1"/>
  <c r="G7" s="1"/>
  <c r="G12" s="1"/>
  <c r="I44" i="3"/>
  <c r="K12" i="1"/>
  <c r="K13" s="1"/>
  <c r="L12"/>
  <c r="L13" s="1"/>
  <c r="I12"/>
  <c r="I13" s="1"/>
  <c r="J12"/>
  <c r="J13" s="1"/>
  <c r="L23"/>
  <c r="I38" l="1"/>
  <c r="I26"/>
  <c r="F6" i="4" s="1"/>
  <c r="F7" s="1"/>
  <c r="F12" s="1"/>
  <c r="J38" i="1"/>
  <c r="K26"/>
  <c r="H6" i="4" s="1"/>
  <c r="J44" i="1"/>
  <c r="K44"/>
  <c r="J28"/>
  <c r="L38"/>
  <c r="L26"/>
  <c r="I6" i="4" s="1"/>
  <c r="L44" i="1"/>
  <c r="J46" l="1"/>
  <c r="I28"/>
  <c r="I46"/>
  <c r="K28"/>
  <c r="H7" i="4"/>
  <c r="H12" s="1"/>
  <c r="I7"/>
  <c r="I12" s="1"/>
  <c r="C15" s="1"/>
  <c r="L28" i="1"/>
  <c r="L30" s="1"/>
  <c r="L47" i="3" s="1"/>
  <c r="J31" i="1" l="1"/>
  <c r="J6" i="3" s="1"/>
  <c r="J20" s="1"/>
  <c r="J43" s="1"/>
  <c r="J47"/>
  <c r="K47" i="1"/>
  <c r="L47"/>
  <c r="K30"/>
  <c r="J47"/>
  <c r="I31"/>
  <c r="I38" i="2" s="1"/>
  <c r="I40" s="1"/>
  <c r="I47" i="1"/>
  <c r="C14" i="4"/>
  <c r="C16"/>
  <c r="L31" i="1"/>
  <c r="L6" i="3" s="1"/>
  <c r="L20" s="1"/>
  <c r="L43" s="1"/>
  <c r="J33" i="1" l="1"/>
  <c r="J38" i="2"/>
  <c r="J40" s="1"/>
  <c r="K31" i="1"/>
  <c r="K47" i="3"/>
  <c r="I48" i="1"/>
  <c r="I6" i="3"/>
  <c r="I20" s="1"/>
  <c r="I43" s="1"/>
  <c r="I45" s="1"/>
  <c r="I7" i="2" s="1"/>
  <c r="I13" s="1"/>
  <c r="I21" s="1"/>
  <c r="I41" s="1"/>
  <c r="J48" i="1"/>
  <c r="I33"/>
  <c r="C17" i="4"/>
  <c r="C21" s="1"/>
  <c r="C23" s="1"/>
  <c r="L33" i="1"/>
  <c r="K38" i="2" l="1"/>
  <c r="K40" s="1"/>
  <c r="K41" s="1"/>
  <c r="K33" i="1"/>
  <c r="K48"/>
  <c r="L48"/>
  <c r="K6" i="3"/>
  <c r="K20" s="1"/>
  <c r="K43" s="1"/>
  <c r="J44"/>
  <c r="J45" s="1"/>
  <c r="J7" i="2" s="1"/>
  <c r="J13" s="1"/>
  <c r="J21" s="1"/>
  <c r="J41" s="1"/>
  <c r="L38" l="1"/>
  <c r="L40" s="1"/>
  <c r="K44" i="3"/>
  <c r="K45" s="1"/>
  <c r="K7" i="2" s="1"/>
  <c r="K13" s="1"/>
  <c r="K21" s="1"/>
  <c r="L44" i="3" l="1"/>
  <c r="L45" s="1"/>
  <c r="L7" i="2" s="1"/>
  <c r="L13" s="1"/>
  <c r="L21" s="1"/>
  <c r="L41" s="1"/>
</calcChain>
</file>

<file path=xl/comments1.xml><?xml version="1.0" encoding="utf-8"?>
<comments xmlns="http://schemas.openxmlformats.org/spreadsheetml/2006/main">
  <authors>
    <author>nichols1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Added line item to CF statement in 2010 10K.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 xml:space="preserve">Includes $2M of in-process R&amp;D. Change in presentation noted in 2011 10K.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2008 and 2009 restated in 2010 10K.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nichols1: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nichols1: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<sst xmlns="http://schemas.openxmlformats.org/spreadsheetml/2006/main" count="173" uniqueCount="138">
  <si>
    <t>Income Statement</t>
  </si>
  <si>
    <t>$ in Millions</t>
  </si>
  <si>
    <t>FY Ended Feb. 3</t>
  </si>
  <si>
    <t>X</t>
  </si>
  <si>
    <t>Net Revenue:</t>
  </si>
  <si>
    <t>Products</t>
  </si>
  <si>
    <t>Services, Incl Software</t>
  </si>
  <si>
    <t>Total Revenue</t>
  </si>
  <si>
    <t>Cost of Net Revenue:</t>
  </si>
  <si>
    <t>Total Cost of Revenue</t>
  </si>
  <si>
    <t>Gross Margin</t>
  </si>
  <si>
    <t>SG&amp;A</t>
  </si>
  <si>
    <t>RD&amp;E</t>
  </si>
  <si>
    <t>Operating Expenses</t>
  </si>
  <si>
    <t>D&amp;A</t>
  </si>
  <si>
    <t>EBITDA</t>
  </si>
  <si>
    <t>Operating Income</t>
  </si>
  <si>
    <t>Interest and Other</t>
  </si>
  <si>
    <t>Pretax Income</t>
  </si>
  <si>
    <t>Tax Provision</t>
  </si>
  <si>
    <t>Net Income</t>
  </si>
  <si>
    <t>Diluted Shares Outstanding</t>
  </si>
  <si>
    <t>EPS</t>
  </si>
  <si>
    <t>Margin Analysis</t>
  </si>
  <si>
    <t>EBITDA Margin</t>
  </si>
  <si>
    <t>D&amp;A / Revenue</t>
  </si>
  <si>
    <t>Growth Rates</t>
  </si>
  <si>
    <t>Net Revenues</t>
  </si>
  <si>
    <t>EBITDA (before 1-Time Items)</t>
  </si>
  <si>
    <t>Dell Incorporated</t>
  </si>
  <si>
    <t>SG&amp;A Expense / Revenue</t>
  </si>
  <si>
    <t>Selling, General &amp; Administrative</t>
  </si>
  <si>
    <t>In-process R&amp;D</t>
  </si>
  <si>
    <t>Current Assets:</t>
  </si>
  <si>
    <t>Cash &amp; Cash Equivalents</t>
  </si>
  <si>
    <t>Short-term Investments</t>
  </si>
  <si>
    <t>Accounts Receivable</t>
  </si>
  <si>
    <t>Financing Receivables</t>
  </si>
  <si>
    <t>Inventories</t>
  </si>
  <si>
    <t>Other Current Assets</t>
  </si>
  <si>
    <t>Total Current Assets</t>
  </si>
  <si>
    <t>PP&amp;E</t>
  </si>
  <si>
    <t>Investments</t>
  </si>
  <si>
    <t>LT Financing Receivables</t>
  </si>
  <si>
    <t>Goodwill</t>
  </si>
  <si>
    <t>Other Non-current Assets</t>
  </si>
  <si>
    <t>Total Assets</t>
  </si>
  <si>
    <t>Intangibles</t>
  </si>
  <si>
    <t>Current Liabilities:</t>
  </si>
  <si>
    <t>Short-Term Debt</t>
  </si>
  <si>
    <t>Accounts Payable</t>
  </si>
  <si>
    <t>Accrued and Other</t>
  </si>
  <si>
    <t>ST Deferred Revenue</t>
  </si>
  <si>
    <t>Total Current Liabilities</t>
  </si>
  <si>
    <t>LT Debt</t>
  </si>
  <si>
    <t>LT Deferred Revenue</t>
  </si>
  <si>
    <t>Other Non-current Liabilities</t>
  </si>
  <si>
    <t>Total Liabilities</t>
  </si>
  <si>
    <t>Common Stock</t>
  </si>
  <si>
    <t>Treasury Stock</t>
  </si>
  <si>
    <t>Retained Earnings</t>
  </si>
  <si>
    <t>AOCI</t>
  </si>
  <si>
    <t>Total Shareholders' Equity</t>
  </si>
  <si>
    <t>Total L + SE</t>
  </si>
  <si>
    <t>Redeemable Common Stock</t>
  </si>
  <si>
    <t>Cash Flow Statement</t>
  </si>
  <si>
    <t>Balance Sheet</t>
  </si>
  <si>
    <t>Stock-Based Compensation</t>
  </si>
  <si>
    <t>Other</t>
  </si>
  <si>
    <t>Net Cash Flows from Operating Activities</t>
  </si>
  <si>
    <t>Cash Flows from Investing:</t>
  </si>
  <si>
    <t>Capital Expenditures</t>
  </si>
  <si>
    <t>Net Cash Flows from Investing Activities</t>
  </si>
  <si>
    <t>Cash Flows from Financing:</t>
  </si>
  <si>
    <t>Net Cash Flows from Financing Activities</t>
  </si>
  <si>
    <t>Net Change in Cash &amp; Equivalents</t>
  </si>
  <si>
    <t>Depreciation and Amortization</t>
  </si>
  <si>
    <t>Forex Impact</t>
  </si>
  <si>
    <t>Cash Flow From Operations:</t>
  </si>
  <si>
    <t>Purchases</t>
  </si>
  <si>
    <t>Maturities and Sales</t>
  </si>
  <si>
    <t>Acquisition, Net of Cash Received</t>
  </si>
  <si>
    <t>Repurchase of Common Stock</t>
  </si>
  <si>
    <t>Proceeds from Stock Issuance</t>
  </si>
  <si>
    <t>(Repayment) Issuance of Commercial Paper, Net</t>
  </si>
  <si>
    <t>Proceeds from Borrowings</t>
  </si>
  <si>
    <t>Forex Impact on Assets &amp; Liabilities</t>
  </si>
  <si>
    <t>Cash &amp; Equivalents, Beginning of Period</t>
  </si>
  <si>
    <t>Cash &amp; Equivalents, End of Period</t>
  </si>
  <si>
    <t>Deferred Income Taxes</t>
  </si>
  <si>
    <t>Other assets</t>
  </si>
  <si>
    <t>Deferred Service Revenue</t>
  </si>
  <si>
    <t>Accrued and Other Liabilities</t>
  </si>
  <si>
    <t>Proceeds from Sales of Facility &amp; Land</t>
  </si>
  <si>
    <t>Repayments of Debt</t>
  </si>
  <si>
    <t>Provision for Doubtful Accounts</t>
  </si>
  <si>
    <t>Income Tax Paid</t>
  </si>
  <si>
    <t>Interest Paid</t>
  </si>
  <si>
    <t>Purchase of Financing Receivables</t>
  </si>
  <si>
    <t>Collections on Purchased Receivables</t>
  </si>
  <si>
    <t>2013E</t>
  </si>
  <si>
    <t>2014E</t>
  </si>
  <si>
    <t>2015E</t>
  </si>
  <si>
    <t>2016E</t>
  </si>
  <si>
    <t>2017E</t>
  </si>
  <si>
    <t>Products Revenue Growth</t>
  </si>
  <si>
    <t>Services Revenue Growth</t>
  </si>
  <si>
    <t>Capex % Revenue</t>
  </si>
  <si>
    <t>Stock Price (Dec. 31)</t>
  </si>
  <si>
    <t>Market Cap ($ millions)</t>
  </si>
  <si>
    <t>Total Shares (millions)</t>
  </si>
  <si>
    <t>Debt to Capital Ratio</t>
  </si>
  <si>
    <t>Discounted Cash Flow Analysis</t>
  </si>
  <si>
    <t>(+) Depreciation</t>
  </si>
  <si>
    <t>(+) Amortization of Intangibles</t>
  </si>
  <si>
    <t>(-) Capital Expenditures</t>
  </si>
  <si>
    <t>(-) Acquisition Spending</t>
  </si>
  <si>
    <t>Unlevered Free Cash Flow to the Firm (UFCFF)</t>
  </si>
  <si>
    <t>Net Present Value of 5 yr UFCFF</t>
  </si>
  <si>
    <t>Terminal Value (Perpetuity Growth Method)</t>
  </si>
  <si>
    <t>Discounted Terminal Value</t>
  </si>
  <si>
    <t>Beta (Equity)</t>
  </si>
  <si>
    <t>(+) Cash</t>
  </si>
  <si>
    <t>Cost of Equity</t>
  </si>
  <si>
    <t>(-) Market Value of Debt</t>
  </si>
  <si>
    <t>Cost of Debt</t>
  </si>
  <si>
    <t>(-) PV of Operating Leases</t>
  </si>
  <si>
    <t>Equity Value</t>
  </si>
  <si>
    <t>Weighted Average Cost of Capital (WACC)</t>
  </si>
  <si>
    <t>(/) Diluted Shares Outstanding</t>
  </si>
  <si>
    <t>Perpetuity Growth Rate</t>
  </si>
  <si>
    <t>Implied Equity Value per Share</t>
  </si>
  <si>
    <t>Tax Rate</t>
  </si>
  <si>
    <t>Enterprise Value</t>
  </si>
  <si>
    <t>Risk-Free Rate (Normalized 10 Yr Treasury)</t>
  </si>
  <si>
    <t xml:space="preserve">Target Debt to Capital </t>
  </si>
  <si>
    <t>Equity Risk Premium (CAPM)</t>
  </si>
  <si>
    <t>Tax-Affected EBIT (Operating Income )* (1-T)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</si>
</sst>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.0%"/>
    <numFmt numFmtId="167" formatCode="General&quot;E&quot;"/>
    <numFmt numFmtId="168" formatCode="&quot;$&quot;#,##0.00;[Red]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339933"/>
      <name val="Calibri"/>
      <family val="2"/>
      <scheme val="minor"/>
    </font>
    <font>
      <sz val="11"/>
      <color rgb="FF33993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164" fontId="0" fillId="0" borderId="0" xfId="1" applyNumberFormat="1" applyFont="1"/>
    <xf numFmtId="164" fontId="2" fillId="0" borderId="0" xfId="0" applyNumberFormat="1" applyFont="1"/>
    <xf numFmtId="164" fontId="2" fillId="0" borderId="0" xfId="0" applyNumberFormat="1" applyFont="1" applyBorder="1"/>
    <xf numFmtId="164" fontId="2" fillId="0" borderId="0" xfId="1" applyNumberFormat="1" applyFont="1"/>
    <xf numFmtId="164" fontId="1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164" fontId="6" fillId="0" borderId="0" xfId="1" applyNumberFormat="1" applyFont="1"/>
    <xf numFmtId="164" fontId="6" fillId="0" borderId="1" xfId="1" applyNumberFormat="1" applyFont="1" applyBorder="1"/>
    <xf numFmtId="37" fontId="6" fillId="0" borderId="0" xfId="1" applyNumberFormat="1" applyFont="1"/>
    <xf numFmtId="37" fontId="6" fillId="0" borderId="1" xfId="1" applyNumberFormat="1" applyFont="1" applyBorder="1"/>
    <xf numFmtId="165" fontId="6" fillId="0" borderId="1" xfId="0" applyNumberFormat="1" applyFont="1" applyBorder="1"/>
    <xf numFmtId="44" fontId="2" fillId="0" borderId="0" xfId="2" applyFont="1"/>
    <xf numFmtId="0" fontId="8" fillId="0" borderId="0" xfId="0" applyFont="1"/>
    <xf numFmtId="166" fontId="0" fillId="0" borderId="0" xfId="3" applyNumberFormat="1" applyFont="1"/>
    <xf numFmtId="0" fontId="0" fillId="0" borderId="0" xfId="0"/>
    <xf numFmtId="0" fontId="6" fillId="0" borderId="0" xfId="0" applyFont="1"/>
    <xf numFmtId="0" fontId="9" fillId="0" borderId="0" xfId="0" applyFont="1"/>
    <xf numFmtId="37" fontId="6" fillId="0" borderId="0" xfId="1" applyNumberFormat="1" applyFont="1" applyBorder="1"/>
    <xf numFmtId="43" fontId="0" fillId="0" borderId="0" xfId="1" applyFont="1"/>
    <xf numFmtId="164" fontId="0" fillId="0" borderId="1" xfId="1" applyNumberFormat="1" applyFont="1" applyBorder="1"/>
    <xf numFmtId="1" fontId="0" fillId="0" borderId="0" xfId="1" applyNumberFormat="1" applyFont="1"/>
    <xf numFmtId="0" fontId="7" fillId="0" borderId="0" xfId="0" applyFont="1" applyBorder="1"/>
    <xf numFmtId="164" fontId="10" fillId="0" borderId="0" xfId="1" applyNumberFormat="1" applyFont="1"/>
    <xf numFmtId="164" fontId="11" fillId="0" borderId="0" xfId="1" applyNumberFormat="1" applyFont="1"/>
    <xf numFmtId="0" fontId="11" fillId="0" borderId="0" xfId="0" applyFont="1"/>
    <xf numFmtId="0" fontId="12" fillId="0" borderId="0" xfId="0" applyFont="1"/>
    <xf numFmtId="0" fontId="6" fillId="0" borderId="0" xfId="1" applyNumberFormat="1" applyFont="1"/>
    <xf numFmtId="164" fontId="2" fillId="0" borderId="0" xfId="1" applyNumberFormat="1" applyFont="1" applyBorder="1"/>
    <xf numFmtId="0" fontId="6" fillId="0" borderId="0" xfId="1" applyNumberFormat="1" applyFont="1" applyAlignment="1">
      <alignment horizontal="right"/>
    </xf>
    <xf numFmtId="164" fontId="0" fillId="2" borderId="1" xfId="1" applyNumberFormat="1" applyFont="1" applyFill="1" applyBorder="1"/>
    <xf numFmtId="164" fontId="0" fillId="2" borderId="1" xfId="0" applyNumberFormat="1" applyFill="1" applyBorder="1"/>
    <xf numFmtId="0" fontId="0" fillId="2" borderId="0" xfId="0" applyFill="1" applyBorder="1"/>
    <xf numFmtId="164" fontId="0" fillId="2" borderId="0" xfId="1" applyNumberFormat="1" applyFont="1" applyFill="1" applyBorder="1"/>
    <xf numFmtId="164" fontId="1" fillId="2" borderId="0" xfId="1" applyNumberFormat="1" applyFont="1" applyFill="1" applyBorder="1"/>
    <xf numFmtId="164" fontId="0" fillId="2" borderId="0" xfId="0" applyNumberFormat="1" applyFill="1" applyBorder="1"/>
    <xf numFmtId="166" fontId="0" fillId="2" borderId="0" xfId="3" applyNumberFormat="1" applyFont="1" applyFill="1" applyBorder="1"/>
    <xf numFmtId="0" fontId="0" fillId="2" borderId="2" xfId="0" applyFill="1" applyBorder="1"/>
    <xf numFmtId="0" fontId="0" fillId="2" borderId="3" xfId="0" applyFill="1" applyBorder="1"/>
    <xf numFmtId="164" fontId="0" fillId="2" borderId="2" xfId="1" applyNumberFormat="1" applyFont="1" applyFill="1" applyBorder="1"/>
    <xf numFmtId="164" fontId="0" fillId="2" borderId="3" xfId="1" applyNumberFormat="1" applyFont="1" applyFill="1" applyBorder="1"/>
    <xf numFmtId="164" fontId="1" fillId="2" borderId="2" xfId="1" applyNumberFormat="1" applyFont="1" applyFill="1" applyBorder="1"/>
    <xf numFmtId="164" fontId="1" fillId="2" borderId="3" xfId="1" applyNumberFormat="1" applyFon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6" fontId="0" fillId="2" borderId="2" xfId="3" applyNumberFormat="1" applyFont="1" applyFill="1" applyBorder="1"/>
    <xf numFmtId="166" fontId="0" fillId="2" borderId="3" xfId="3" applyNumberFormat="1" applyFont="1" applyFill="1" applyBorder="1"/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0" fillId="2" borderId="1" xfId="0" applyFill="1" applyBorder="1"/>
    <xf numFmtId="0" fontId="0" fillId="2" borderId="11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2" borderId="10" xfId="1" applyNumberFormat="1" applyFont="1" applyFill="1" applyBorder="1"/>
    <xf numFmtId="164" fontId="0" fillId="2" borderId="11" xfId="1" applyNumberFormat="1" applyFont="1" applyFill="1" applyBorder="1"/>
    <xf numFmtId="165" fontId="0" fillId="2" borderId="2" xfId="0" applyNumberFormat="1" applyFill="1" applyBorder="1"/>
    <xf numFmtId="165" fontId="0" fillId="2" borderId="0" xfId="0" applyNumberFormat="1" applyFill="1" applyBorder="1"/>
    <xf numFmtId="164" fontId="2" fillId="2" borderId="2" xfId="0" applyNumberFormat="1" applyFont="1" applyFill="1" applyBorder="1"/>
    <xf numFmtId="164" fontId="2" fillId="2" borderId="0" xfId="0" applyNumberFormat="1" applyFont="1" applyFill="1" applyBorder="1"/>
    <xf numFmtId="164" fontId="2" fillId="2" borderId="3" xfId="0" applyNumberFormat="1" applyFont="1" applyFill="1" applyBorder="1"/>
    <xf numFmtId="37" fontId="10" fillId="2" borderId="10" xfId="1" applyNumberFormat="1" applyFont="1" applyFill="1" applyBorder="1"/>
    <xf numFmtId="37" fontId="10" fillId="2" borderId="1" xfId="1" applyNumberFormat="1" applyFont="1" applyFill="1" applyBorder="1"/>
    <xf numFmtId="37" fontId="10" fillId="2" borderId="11" xfId="1" applyNumberFormat="1" applyFont="1" applyFill="1" applyBorder="1"/>
    <xf numFmtId="3" fontId="0" fillId="2" borderId="2" xfId="0" applyNumberFormat="1" applyFill="1" applyBorder="1"/>
    <xf numFmtId="44" fontId="2" fillId="2" borderId="2" xfId="2" applyFont="1" applyFill="1" applyBorder="1"/>
    <xf numFmtId="44" fontId="2" fillId="2" borderId="0" xfId="2" applyFont="1" applyFill="1" applyBorder="1"/>
    <xf numFmtId="44" fontId="2" fillId="2" borderId="3" xfId="2" applyFont="1" applyFill="1" applyBorder="1"/>
    <xf numFmtId="166" fontId="0" fillId="2" borderId="4" xfId="3" applyNumberFormat="1" applyFont="1" applyFill="1" applyBorder="1"/>
    <xf numFmtId="166" fontId="0" fillId="2" borderId="5" xfId="3" applyNumberFormat="1" applyFont="1" applyFill="1" applyBorder="1"/>
    <xf numFmtId="166" fontId="0" fillId="2" borderId="6" xfId="3" applyNumberFormat="1" applyFont="1" applyFill="1" applyBorder="1"/>
    <xf numFmtId="3" fontId="0" fillId="2" borderId="0" xfId="0" applyNumberFormat="1" applyFill="1" applyBorder="1"/>
    <xf numFmtId="3" fontId="0" fillId="2" borderId="3" xfId="0" applyNumberFormat="1" applyFill="1" applyBorder="1"/>
    <xf numFmtId="165" fontId="0" fillId="2" borderId="10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9" fontId="0" fillId="0" borderId="0" xfId="3" applyFont="1"/>
    <xf numFmtId="164" fontId="11" fillId="2" borderId="2" xfId="1" applyNumberFormat="1" applyFont="1" applyFill="1" applyBorder="1"/>
    <xf numFmtId="164" fontId="11" fillId="2" borderId="0" xfId="1" applyNumberFormat="1" applyFont="1" applyFill="1" applyBorder="1"/>
    <xf numFmtId="164" fontId="11" fillId="2" borderId="3" xfId="1" applyNumberFormat="1" applyFont="1" applyFill="1" applyBorder="1"/>
    <xf numFmtId="164" fontId="6" fillId="2" borderId="2" xfId="1" applyNumberFormat="1" applyFont="1" applyFill="1" applyBorder="1"/>
    <xf numFmtId="164" fontId="6" fillId="2" borderId="0" xfId="1" applyNumberFormat="1" applyFont="1" applyFill="1" applyBorder="1"/>
    <xf numFmtId="164" fontId="6" fillId="2" borderId="3" xfId="1" applyNumberFormat="1" applyFont="1" applyFill="1" applyBorder="1"/>
    <xf numFmtId="164" fontId="2" fillId="2" borderId="2" xfId="1" applyNumberFormat="1" applyFont="1" applyFill="1" applyBorder="1"/>
    <xf numFmtId="164" fontId="2" fillId="2" borderId="0" xfId="1" applyNumberFormat="1" applyFont="1" applyFill="1" applyBorder="1"/>
    <xf numFmtId="164" fontId="2" fillId="2" borderId="3" xfId="1" applyNumberFormat="1" applyFont="1" applyFill="1" applyBorder="1"/>
    <xf numFmtId="0" fontId="6" fillId="2" borderId="2" xfId="1" applyNumberFormat="1" applyFont="1" applyFill="1" applyBorder="1"/>
    <xf numFmtId="0" fontId="6" fillId="2" borderId="0" xfId="1" applyNumberFormat="1" applyFont="1" applyFill="1" applyBorder="1"/>
    <xf numFmtId="0" fontId="6" fillId="2" borderId="3" xfId="1" applyNumberFormat="1" applyFont="1" applyFill="1" applyBorder="1"/>
    <xf numFmtId="164" fontId="10" fillId="2" borderId="2" xfId="1" applyNumberFormat="1" applyFont="1" applyFill="1" applyBorder="1"/>
    <xf numFmtId="164" fontId="10" fillId="2" borderId="0" xfId="1" applyNumberFormat="1" applyFont="1" applyFill="1" applyBorder="1"/>
    <xf numFmtId="164" fontId="10" fillId="2" borderId="3" xfId="1" applyNumberFormat="1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6" fillId="2" borderId="3" xfId="0" applyFont="1" applyFill="1" applyBorder="1"/>
    <xf numFmtId="164" fontId="6" fillId="2" borderId="2" xfId="1" applyNumberFormat="1" applyFont="1" applyFill="1" applyBorder="1" applyAlignment="1"/>
    <xf numFmtId="44" fontId="0" fillId="0" borderId="0" xfId="2" applyFont="1"/>
    <xf numFmtId="164" fontId="6" fillId="2" borderId="1" xfId="1" applyNumberFormat="1" applyFont="1" applyFill="1" applyBorder="1"/>
    <xf numFmtId="164" fontId="6" fillId="2" borderId="10" xfId="1" applyNumberFormat="1" applyFont="1" applyFill="1" applyBorder="1"/>
    <xf numFmtId="164" fontId="6" fillId="2" borderId="11" xfId="1" applyNumberFormat="1" applyFont="1" applyFill="1" applyBorder="1"/>
    <xf numFmtId="164" fontId="6" fillId="2" borderId="13" xfId="1" applyNumberFormat="1" applyFont="1" applyFill="1" applyBorder="1"/>
    <xf numFmtId="1" fontId="0" fillId="2" borderId="2" xfId="1" applyNumberFormat="1" applyFont="1" applyFill="1" applyBorder="1"/>
    <xf numFmtId="1" fontId="0" fillId="2" borderId="0" xfId="1" applyNumberFormat="1" applyFont="1" applyFill="1" applyBorder="1"/>
    <xf numFmtId="1" fontId="0" fillId="2" borderId="3" xfId="1" applyNumberFormat="1" applyFont="1" applyFill="1" applyBorder="1"/>
    <xf numFmtId="164" fontId="2" fillId="2" borderId="4" xfId="1" applyNumberFormat="1" applyFont="1" applyFill="1" applyBorder="1"/>
    <xf numFmtId="164" fontId="2" fillId="2" borderId="5" xfId="1" applyNumberFormat="1" applyFont="1" applyFill="1" applyBorder="1"/>
    <xf numFmtId="164" fontId="2" fillId="2" borderId="6" xfId="1" applyNumberFormat="1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NumberFormat="1" applyFont="1"/>
    <xf numFmtId="167" fontId="17" fillId="0" borderId="0" xfId="0" applyNumberFormat="1" applyFont="1"/>
    <xf numFmtId="9" fontId="0" fillId="0" borderId="0" xfId="0" applyNumberFormat="1"/>
    <xf numFmtId="10" fontId="0" fillId="0" borderId="0" xfId="0" applyNumberFormat="1"/>
    <xf numFmtId="0" fontId="6" fillId="0" borderId="0" xfId="0" applyFont="1" applyFill="1" applyBorder="1"/>
    <xf numFmtId="37" fontId="0" fillId="0" borderId="0" xfId="0" applyNumberFormat="1"/>
    <xf numFmtId="37" fontId="0" fillId="0" borderId="1" xfId="0" applyNumberFormat="1" applyBorder="1"/>
    <xf numFmtId="37" fontId="2" fillId="0" borderId="0" xfId="0" applyNumberFormat="1" applyFont="1"/>
    <xf numFmtId="6" fontId="0" fillId="0" borderId="0" xfId="0" applyNumberFormat="1"/>
    <xf numFmtId="5" fontId="0" fillId="0" borderId="0" xfId="0" applyNumberFormat="1"/>
    <xf numFmtId="168" fontId="18" fillId="0" borderId="12" xfId="0" applyNumberFormat="1" applyFont="1" applyBorder="1"/>
    <xf numFmtId="0" fontId="0" fillId="0" borderId="0" xfId="0" applyBorder="1"/>
    <xf numFmtId="164" fontId="6" fillId="2" borderId="0" xfId="1" applyNumberFormat="1" applyFont="1" applyFill="1" applyBorder="1" applyAlignment="1"/>
    <xf numFmtId="164" fontId="6" fillId="2" borderId="3" xfId="1" applyNumberFormat="1" applyFont="1" applyFill="1" applyBorder="1" applyAlignment="1"/>
    <xf numFmtId="37" fontId="0" fillId="2" borderId="0" xfId="0" applyNumberFormat="1" applyFill="1" applyBorder="1"/>
    <xf numFmtId="0" fontId="2" fillId="0" borderId="0" xfId="0" applyFont="1" applyBorder="1"/>
    <xf numFmtId="37" fontId="0" fillId="2" borderId="2" xfId="0" applyNumberFormat="1" applyFill="1" applyBorder="1"/>
    <xf numFmtId="37" fontId="0" fillId="2" borderId="3" xfId="0" applyNumberFormat="1" applyFill="1" applyBorder="1"/>
    <xf numFmtId="164" fontId="0" fillId="2" borderId="5" xfId="0" applyNumberFormat="1" applyFill="1" applyBorder="1"/>
    <xf numFmtId="37" fontId="0" fillId="2" borderId="0" xfId="0" applyNumberFormat="1" applyFill="1" applyBorder="1" applyAlignment="1">
      <alignment horizontal="right"/>
    </xf>
    <xf numFmtId="1" fontId="6" fillId="2" borderId="0" xfId="0" applyNumberFormat="1" applyFont="1" applyFill="1" applyBorder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/>
    <xf numFmtId="1" fontId="6" fillId="0" borderId="0" xfId="1" applyNumberFormat="1" applyFont="1"/>
    <xf numFmtId="0" fontId="6" fillId="0" borderId="0" xfId="1" applyNumberFormat="1" applyFont="1" applyAlignment="1" applyProtection="1">
      <alignment readingOrder="2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0000"/>
      <color rgb="FF008000"/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hols1/AppData/Local/Temp/EDMC%20vcla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"/>
      <sheetName val="BS"/>
      <sheetName val="CF"/>
      <sheetName val="LFCF"/>
      <sheetName val="DCF"/>
      <sheetName val="Capital Structure"/>
      <sheetName val="Acquisitions"/>
      <sheetName val="Graduate StudentsEmployment"/>
      <sheetName val="Accreditation &amp; Funding"/>
      <sheetName val="Financial Resp Standards"/>
      <sheetName val="US Dept of Ed"/>
      <sheetName val="Industry"/>
      <sheetName val="Restructuring"/>
      <sheetName val="Business Overview"/>
      <sheetName val="Gainful Employment - Cancelled"/>
      <sheetName val="90-10"/>
      <sheetName val="Ownership %"/>
      <sheetName val="Sept. 13 Call"/>
    </sheetNames>
    <sheetDataSet>
      <sheetData sheetId="0">
        <row r="4">
          <cell r="B4" t="str">
            <v>$ in Millions</v>
          </cell>
        </row>
        <row r="5">
          <cell r="AD5">
            <v>2011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zoomScaleNormal="100" workbookViewId="0">
      <selection activeCell="I12" sqref="I12"/>
    </sheetView>
  </sheetViews>
  <sheetFormatPr defaultRowHeight="15"/>
  <cols>
    <col min="1" max="1" width="2.140625" bestFit="1" customWidth="1"/>
    <col min="2" max="2" width="31.140625" bestFit="1" customWidth="1"/>
    <col min="3" max="5" width="10.5703125" customWidth="1"/>
    <col min="6" max="6" width="10.5703125" bestFit="1" customWidth="1"/>
    <col min="7" max="12" width="10.5703125" customWidth="1"/>
  </cols>
  <sheetData>
    <row r="1" spans="1:14">
      <c r="A1" t="s">
        <v>3</v>
      </c>
      <c r="B1" s="32" t="s">
        <v>29</v>
      </c>
    </row>
    <row r="2" spans="1:14">
      <c r="B2" s="22" t="s">
        <v>0</v>
      </c>
    </row>
    <row r="3" spans="1:14">
      <c r="B3" s="31" t="s">
        <v>2</v>
      </c>
    </row>
    <row r="4" spans="1:14" ht="15.75" thickBot="1">
      <c r="B4" s="31" t="s">
        <v>1</v>
      </c>
    </row>
    <row r="5" spans="1:14"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4">
      <c r="B6" s="9" t="s">
        <v>4</v>
      </c>
      <c r="H6" s="43"/>
      <c r="I6" s="38"/>
      <c r="J6" s="38"/>
      <c r="K6" s="38"/>
      <c r="L6" s="44"/>
    </row>
    <row r="7" spans="1:14">
      <c r="B7" s="10" t="s">
        <v>5</v>
      </c>
      <c r="C7" s="13">
        <v>53728</v>
      </c>
      <c r="D7" s="13">
        <v>52337</v>
      </c>
      <c r="E7" s="13">
        <v>43697</v>
      </c>
      <c r="F7" s="13">
        <v>50002</v>
      </c>
      <c r="G7" s="13">
        <v>49906</v>
      </c>
      <c r="H7" s="45">
        <f>H9-H8</f>
        <v>43892</v>
      </c>
      <c r="I7" s="39">
        <f t="shared" ref="I7:L7" si="1">I9-I8</f>
        <v>42217</v>
      </c>
      <c r="J7" s="39">
        <f t="shared" si="1"/>
        <v>40431</v>
      </c>
      <c r="K7" s="39">
        <f t="shared" si="1"/>
        <v>39243</v>
      </c>
      <c r="L7" s="46">
        <f t="shared" si="1"/>
        <v>37970</v>
      </c>
    </row>
    <row r="8" spans="1:14">
      <c r="B8" s="10" t="s">
        <v>6</v>
      </c>
      <c r="C8" s="14">
        <v>7405</v>
      </c>
      <c r="D8" s="14">
        <v>8764</v>
      </c>
      <c r="E8" s="14">
        <v>9205</v>
      </c>
      <c r="F8" s="14">
        <v>11492</v>
      </c>
      <c r="G8" s="14">
        <v>12165</v>
      </c>
      <c r="H8" s="60">
        <f>(G8-F8)+G8</f>
        <v>12838</v>
      </c>
      <c r="I8" s="36">
        <f t="shared" ref="I8:L8" si="2">(H8-G8)+H8</f>
        <v>13511</v>
      </c>
      <c r="J8" s="36">
        <f t="shared" si="2"/>
        <v>14184</v>
      </c>
      <c r="K8" s="36">
        <f t="shared" si="2"/>
        <v>14857</v>
      </c>
      <c r="L8" s="61">
        <f t="shared" si="2"/>
        <v>15530</v>
      </c>
      <c r="N8" s="21"/>
    </row>
    <row r="9" spans="1:14">
      <c r="B9" s="10" t="s">
        <v>7</v>
      </c>
      <c r="C9" s="4">
        <f t="shared" ref="C9:F9" si="3">SUM(C7+C8)</f>
        <v>61133</v>
      </c>
      <c r="D9" s="4">
        <f t="shared" si="3"/>
        <v>61101</v>
      </c>
      <c r="E9" s="8">
        <f t="shared" si="3"/>
        <v>52902</v>
      </c>
      <c r="F9" s="8">
        <f t="shared" si="3"/>
        <v>61494</v>
      </c>
      <c r="G9" s="8">
        <f>SUM(G7+G8)</f>
        <v>62071</v>
      </c>
      <c r="H9" s="47">
        <v>56730</v>
      </c>
      <c r="I9" s="40">
        <v>55728</v>
      </c>
      <c r="J9" s="40">
        <v>54615</v>
      </c>
      <c r="K9" s="40">
        <v>54100</v>
      </c>
      <c r="L9" s="48">
        <v>53500</v>
      </c>
      <c r="N9" s="21"/>
    </row>
    <row r="10" spans="1:14">
      <c r="B10" s="10"/>
      <c r="E10" s="4"/>
      <c r="F10" s="4"/>
      <c r="G10" s="4"/>
      <c r="H10" s="43"/>
      <c r="I10" s="38"/>
      <c r="J10" s="38"/>
      <c r="K10" s="38"/>
      <c r="L10" s="44"/>
    </row>
    <row r="11" spans="1:14">
      <c r="B11" s="9" t="s">
        <v>8</v>
      </c>
      <c r="E11" s="4"/>
      <c r="F11" s="4"/>
      <c r="G11" s="4"/>
      <c r="H11" s="43"/>
      <c r="I11" s="38"/>
      <c r="J11" s="38"/>
      <c r="K11" s="38"/>
      <c r="L11" s="44"/>
    </row>
    <row r="12" spans="1:14">
      <c r="B12" s="10" t="s">
        <v>5</v>
      </c>
      <c r="C12" s="13">
        <v>-45149</v>
      </c>
      <c r="D12" s="13">
        <v>-44670</v>
      </c>
      <c r="E12" s="15">
        <v>-37534</v>
      </c>
      <c r="F12" s="15">
        <v>-42068</v>
      </c>
      <c r="G12" s="15">
        <v>-39689</v>
      </c>
      <c r="H12" s="49">
        <f>H14*80%</f>
        <v>-36624.887999999999</v>
      </c>
      <c r="I12" s="41">
        <f>I14*80%</f>
        <v>-35977.996800000001</v>
      </c>
      <c r="J12" s="41">
        <f>J14*80%</f>
        <v>-35259.444000000003</v>
      </c>
      <c r="K12" s="41">
        <f>K14*80%</f>
        <v>-34926.959999999999</v>
      </c>
      <c r="L12" s="50">
        <f>L14*80%</f>
        <v>-34539.599999999999</v>
      </c>
    </row>
    <row r="13" spans="1:14">
      <c r="B13" s="10" t="s">
        <v>6</v>
      </c>
      <c r="C13" s="14">
        <v>-4313</v>
      </c>
      <c r="D13" s="14">
        <v>-5474</v>
      </c>
      <c r="E13" s="16">
        <v>-6107</v>
      </c>
      <c r="F13" s="16">
        <v>-8030</v>
      </c>
      <c r="G13" s="16">
        <v>-8571</v>
      </c>
      <c r="H13" s="58">
        <f>H14-H12</f>
        <v>-9156.2220000000016</v>
      </c>
      <c r="I13" s="37">
        <f>I14-I12</f>
        <v>-8994.4991999999984</v>
      </c>
      <c r="J13" s="37">
        <f>J14-J12</f>
        <v>-8814.8609999999971</v>
      </c>
      <c r="K13" s="37">
        <f>K14-K12</f>
        <v>-8731.739999999998</v>
      </c>
      <c r="L13" s="59">
        <f>L14-L12</f>
        <v>-8634.9000000000015</v>
      </c>
    </row>
    <row r="14" spans="1:14">
      <c r="B14" s="10" t="s">
        <v>9</v>
      </c>
      <c r="C14" s="8">
        <f t="shared" ref="C14" si="4">SUM(C12:C13)</f>
        <v>-49462</v>
      </c>
      <c r="D14" s="8">
        <f t="shared" ref="D14" si="5">SUM(D12:D13)</f>
        <v>-50144</v>
      </c>
      <c r="E14" s="8">
        <f t="shared" ref="E14" si="6">SUM(E12:E13)</f>
        <v>-43641</v>
      </c>
      <c r="F14" s="8">
        <f t="shared" ref="F14" si="7">SUM(F12:F13)</f>
        <v>-50098</v>
      </c>
      <c r="G14" s="8">
        <f t="shared" ref="G14" si="8">SUM(G12:G13)</f>
        <v>-48260</v>
      </c>
      <c r="H14" s="49">
        <f>-(H9-H16)</f>
        <v>-45781.11</v>
      </c>
      <c r="I14" s="41">
        <f>-(I9-I16)</f>
        <v>-44972.495999999999</v>
      </c>
      <c r="J14" s="41">
        <f>-(J9-J16)</f>
        <v>-44074.305</v>
      </c>
      <c r="K14" s="41">
        <f>-(K9-K16)</f>
        <v>-43658.7</v>
      </c>
      <c r="L14" s="50">
        <f>-(L9-L16)</f>
        <v>-43174.5</v>
      </c>
    </row>
    <row r="15" spans="1:14">
      <c r="B15" s="10"/>
      <c r="E15" s="4"/>
      <c r="F15" s="4"/>
      <c r="G15" s="4"/>
      <c r="H15" s="49"/>
      <c r="I15" s="41"/>
      <c r="J15" s="41"/>
      <c r="K15" s="41"/>
      <c r="L15" s="50"/>
    </row>
    <row r="16" spans="1:14">
      <c r="B16" s="11" t="s">
        <v>10</v>
      </c>
      <c r="C16" s="7">
        <f t="shared" ref="C16:D16" si="9">SUM(C9+C14)</f>
        <v>11671</v>
      </c>
      <c r="D16" s="7">
        <f t="shared" si="9"/>
        <v>10957</v>
      </c>
      <c r="E16" s="7">
        <f>SUM(E9+E14)</f>
        <v>9261</v>
      </c>
      <c r="F16" s="7">
        <f t="shared" ref="F16:G16" si="10">SUM(F9+F14)</f>
        <v>11396</v>
      </c>
      <c r="G16" s="7">
        <f t="shared" si="10"/>
        <v>13811</v>
      </c>
      <c r="H16" s="64">
        <f>H9*H36</f>
        <v>10948.89</v>
      </c>
      <c r="I16" s="65">
        <f>I9*I36</f>
        <v>10755.504000000001</v>
      </c>
      <c r="J16" s="65">
        <f>J9*J36</f>
        <v>10540.695</v>
      </c>
      <c r="K16" s="65">
        <f>K9*K36</f>
        <v>10441.300000000001</v>
      </c>
      <c r="L16" s="66">
        <f>L9*L36</f>
        <v>10325.5</v>
      </c>
    </row>
    <row r="17" spans="2:14">
      <c r="B17" s="10"/>
      <c r="E17" s="4"/>
      <c r="F17" s="4"/>
      <c r="G17" s="4"/>
      <c r="H17" s="43"/>
      <c r="I17" s="38"/>
      <c r="J17" s="38"/>
      <c r="K17" s="38"/>
      <c r="L17" s="44"/>
    </row>
    <row r="18" spans="2:14">
      <c r="B18" s="10" t="s">
        <v>11</v>
      </c>
      <c r="C18" s="15">
        <v>-7538</v>
      </c>
      <c r="D18" s="15">
        <v>-7102</v>
      </c>
      <c r="E18" s="15">
        <v>-6465</v>
      </c>
      <c r="F18" s="15">
        <v>-7302</v>
      </c>
      <c r="G18" s="15">
        <v>-8524</v>
      </c>
      <c r="H18" s="49">
        <f>-H9*H37</f>
        <v>-7772.01</v>
      </c>
      <c r="I18" s="41">
        <f t="shared" ref="I18:L18" si="11">-I9*I37</f>
        <v>-7746.1920000000009</v>
      </c>
      <c r="J18" s="41">
        <f t="shared" si="11"/>
        <v>-7646.1</v>
      </c>
      <c r="K18" s="41">
        <f t="shared" si="11"/>
        <v>-7574.0000000000009</v>
      </c>
      <c r="L18" s="50">
        <f t="shared" si="11"/>
        <v>-7329.5000000000009</v>
      </c>
    </row>
    <row r="19" spans="2:14">
      <c r="B19" s="10" t="s">
        <v>12</v>
      </c>
      <c r="C19" s="24">
        <v>-610</v>
      </c>
      <c r="D19" s="24">
        <v>-663</v>
      </c>
      <c r="E19" s="24">
        <v>-624</v>
      </c>
      <c r="F19" s="24">
        <v>-661</v>
      </c>
      <c r="G19" s="24">
        <v>-856</v>
      </c>
      <c r="H19" s="62">
        <f>-H9*1.5%</f>
        <v>-850.94999999999993</v>
      </c>
      <c r="I19" s="63">
        <f t="shared" ref="I19" si="12">-I9*1.5%</f>
        <v>-835.92</v>
      </c>
      <c r="J19" s="39">
        <f>-J9*2%</f>
        <v>-1092.3</v>
      </c>
      <c r="K19" s="39">
        <f t="shared" ref="K19" si="13">-K9*2%</f>
        <v>-1082</v>
      </c>
      <c r="L19" s="46">
        <f>-L9*2.5%</f>
        <v>-1337.5</v>
      </c>
      <c r="N19" s="21"/>
    </row>
    <row r="20" spans="2:14" s="21" customFormat="1">
      <c r="B20" s="22" t="s">
        <v>32</v>
      </c>
      <c r="C20" s="16">
        <v>-83</v>
      </c>
      <c r="D20" s="16">
        <v>-2</v>
      </c>
      <c r="E20" s="16">
        <v>0</v>
      </c>
      <c r="F20" s="16">
        <v>0</v>
      </c>
      <c r="G20" s="16">
        <v>0</v>
      </c>
      <c r="H20" s="67">
        <v>0</v>
      </c>
      <c r="I20" s="68">
        <v>0</v>
      </c>
      <c r="J20" s="68">
        <v>0</v>
      </c>
      <c r="K20" s="68">
        <v>0</v>
      </c>
      <c r="L20" s="69">
        <v>0</v>
      </c>
    </row>
    <row r="21" spans="2:14">
      <c r="B21" s="10" t="s">
        <v>13</v>
      </c>
      <c r="C21" s="8">
        <f>SUM(C18:C20)</f>
        <v>-8231</v>
      </c>
      <c r="D21" s="8">
        <f t="shared" ref="D21:L21" si="14">SUM(D18:D20)</f>
        <v>-7767</v>
      </c>
      <c r="E21" s="8">
        <f t="shared" si="14"/>
        <v>-7089</v>
      </c>
      <c r="F21" s="8">
        <f t="shared" si="14"/>
        <v>-7963</v>
      </c>
      <c r="G21" s="8">
        <f t="shared" si="14"/>
        <v>-9380</v>
      </c>
      <c r="H21" s="47">
        <f t="shared" si="14"/>
        <v>-8622.9600000000009</v>
      </c>
      <c r="I21" s="40">
        <f t="shared" si="14"/>
        <v>-8582.112000000001</v>
      </c>
      <c r="J21" s="40">
        <f t="shared" si="14"/>
        <v>-8738.4</v>
      </c>
      <c r="K21" s="40">
        <f t="shared" si="14"/>
        <v>-8656</v>
      </c>
      <c r="L21" s="48">
        <f t="shared" si="14"/>
        <v>-8667</v>
      </c>
    </row>
    <row r="22" spans="2:14">
      <c r="B22" s="10"/>
      <c r="E22" s="4"/>
      <c r="F22" s="4"/>
      <c r="G22" s="4"/>
      <c r="H22" s="43"/>
      <c r="I22" s="38"/>
      <c r="J22" s="38"/>
      <c r="K22" s="38"/>
      <c r="L22" s="44"/>
    </row>
    <row r="23" spans="2:14">
      <c r="B23" s="11" t="s">
        <v>15</v>
      </c>
      <c r="C23" s="5">
        <f t="shared" ref="C23:D23" si="15">SUM(C16+C21-C24)</f>
        <v>4047</v>
      </c>
      <c r="D23" s="5">
        <f t="shared" si="15"/>
        <v>3959</v>
      </c>
      <c r="E23" s="5">
        <f>SUM(E16+E21-E24)</f>
        <v>3024</v>
      </c>
      <c r="F23" s="5">
        <f t="shared" ref="F23:L23" si="16">SUM(F16+F21-F24)</f>
        <v>4403</v>
      </c>
      <c r="G23" s="5">
        <f t="shared" si="16"/>
        <v>5367</v>
      </c>
      <c r="H23" s="64">
        <f t="shared" si="16"/>
        <v>3176.8799999999983</v>
      </c>
      <c r="I23" s="65">
        <f t="shared" si="16"/>
        <v>3009.3119999999999</v>
      </c>
      <c r="J23" s="65">
        <f t="shared" si="16"/>
        <v>2621.52</v>
      </c>
      <c r="K23" s="65">
        <f t="shared" si="16"/>
        <v>2596.8000000000011</v>
      </c>
      <c r="L23" s="66">
        <f t="shared" si="16"/>
        <v>2461</v>
      </c>
    </row>
    <row r="24" spans="2:14">
      <c r="B24" s="10" t="s">
        <v>14</v>
      </c>
      <c r="C24" s="13">
        <v>-607</v>
      </c>
      <c r="D24" s="13">
        <v>-769</v>
      </c>
      <c r="E24" s="13">
        <v>-852</v>
      </c>
      <c r="F24" s="13">
        <v>-970</v>
      </c>
      <c r="G24" s="13">
        <v>-936</v>
      </c>
      <c r="H24" s="62">
        <f>-H9*1.5%</f>
        <v>-850.94999999999993</v>
      </c>
      <c r="I24" s="63">
        <f t="shared" ref="I24:L24" si="17">-I9*1.5%</f>
        <v>-835.92</v>
      </c>
      <c r="J24" s="39">
        <f t="shared" si="17"/>
        <v>-819.22500000000002</v>
      </c>
      <c r="K24" s="39">
        <f t="shared" si="17"/>
        <v>-811.5</v>
      </c>
      <c r="L24" s="46">
        <f t="shared" si="17"/>
        <v>-802.5</v>
      </c>
    </row>
    <row r="25" spans="2:14">
      <c r="B25" s="10"/>
      <c r="H25" s="43"/>
      <c r="I25" s="38"/>
      <c r="J25" s="38"/>
      <c r="K25" s="38"/>
      <c r="L25" s="44"/>
    </row>
    <row r="26" spans="2:14">
      <c r="B26" s="11" t="s">
        <v>16</v>
      </c>
      <c r="C26" s="5">
        <f>SUM(C23+C24)</f>
        <v>3440</v>
      </c>
      <c r="D26" s="5">
        <f t="shared" ref="D26:L26" si="18">SUM(D23+D24)</f>
        <v>3190</v>
      </c>
      <c r="E26" s="5">
        <f t="shared" si="18"/>
        <v>2172</v>
      </c>
      <c r="F26" s="5">
        <f t="shared" si="18"/>
        <v>3433</v>
      </c>
      <c r="G26" s="5">
        <f t="shared" si="18"/>
        <v>4431</v>
      </c>
      <c r="H26" s="64">
        <f t="shared" si="18"/>
        <v>2325.9299999999985</v>
      </c>
      <c r="I26" s="65">
        <f t="shared" si="18"/>
        <v>2173.3919999999998</v>
      </c>
      <c r="J26" s="65">
        <f t="shared" si="18"/>
        <v>1802.2950000000001</v>
      </c>
      <c r="K26" s="65">
        <f t="shared" si="18"/>
        <v>1785.3000000000011</v>
      </c>
      <c r="L26" s="66">
        <f t="shared" si="18"/>
        <v>1658.5</v>
      </c>
    </row>
    <row r="27" spans="2:14">
      <c r="B27" s="10" t="s">
        <v>17</v>
      </c>
      <c r="C27" s="17">
        <v>387</v>
      </c>
      <c r="D27" s="17">
        <v>134</v>
      </c>
      <c r="E27" s="17">
        <v>-148</v>
      </c>
      <c r="F27" s="17">
        <v>-83</v>
      </c>
      <c r="G27" s="17">
        <v>-191</v>
      </c>
      <c r="H27" s="79">
        <v>-100</v>
      </c>
      <c r="I27" s="80">
        <v>-100</v>
      </c>
      <c r="J27" s="56">
        <v>100</v>
      </c>
      <c r="K27" s="56">
        <v>150</v>
      </c>
      <c r="L27" s="57">
        <v>200</v>
      </c>
    </row>
    <row r="28" spans="2:14">
      <c r="B28" s="11" t="s">
        <v>18</v>
      </c>
      <c r="C28" s="5">
        <f t="shared" ref="C28:D28" si="19">SUM(C26:C27)</f>
        <v>3827</v>
      </c>
      <c r="D28" s="5">
        <f t="shared" si="19"/>
        <v>3324</v>
      </c>
      <c r="E28" s="5">
        <f>SUM(E26:E27)</f>
        <v>2024</v>
      </c>
      <c r="F28" s="5">
        <f t="shared" ref="F28:L28" si="20">SUM(F26:F27)</f>
        <v>3350</v>
      </c>
      <c r="G28" s="5">
        <f t="shared" si="20"/>
        <v>4240</v>
      </c>
      <c r="H28" s="64">
        <f t="shared" si="20"/>
        <v>2225.9299999999985</v>
      </c>
      <c r="I28" s="65">
        <f t="shared" si="20"/>
        <v>2073.3919999999998</v>
      </c>
      <c r="J28" s="65">
        <f t="shared" si="20"/>
        <v>1902.2950000000001</v>
      </c>
      <c r="K28" s="65">
        <f t="shared" si="20"/>
        <v>1935.3000000000011</v>
      </c>
      <c r="L28" s="66">
        <f t="shared" si="20"/>
        <v>1858.5</v>
      </c>
    </row>
    <row r="29" spans="2:14">
      <c r="B29" s="10"/>
      <c r="H29" s="43"/>
      <c r="I29" s="38"/>
      <c r="J29" s="38"/>
      <c r="K29" s="38"/>
      <c r="L29" s="44"/>
    </row>
    <row r="30" spans="2:14" ht="15.75" thickBot="1">
      <c r="B30" s="10" t="s">
        <v>19</v>
      </c>
      <c r="C30" s="17">
        <v>-880</v>
      </c>
      <c r="D30" s="17">
        <v>-846</v>
      </c>
      <c r="E30" s="14">
        <v>-591</v>
      </c>
      <c r="F30" s="14">
        <v>-715</v>
      </c>
      <c r="G30" s="14">
        <v>-748</v>
      </c>
      <c r="H30" s="58">
        <f>-H28*25%</f>
        <v>-556.48249999999962</v>
      </c>
      <c r="I30" s="134">
        <f>-I28*25%</f>
        <v>-518.34799999999996</v>
      </c>
      <c r="J30" s="37">
        <f>-J28*25%</f>
        <v>-475.57375000000002</v>
      </c>
      <c r="K30" s="37">
        <f t="shared" ref="K30:L30" si="21">-K28*35%</f>
        <v>-677.35500000000036</v>
      </c>
      <c r="L30" s="59">
        <f t="shared" si="21"/>
        <v>-650.47499999999991</v>
      </c>
      <c r="N30" s="21"/>
    </row>
    <row r="31" spans="2:14">
      <c r="B31" s="11" t="s">
        <v>20</v>
      </c>
      <c r="C31" s="6">
        <f t="shared" ref="C31:D31" si="22">SUM(C28:C30)</f>
        <v>2947</v>
      </c>
      <c r="D31" s="6">
        <f t="shared" si="22"/>
        <v>2478</v>
      </c>
      <c r="E31" s="6">
        <f>SUM(E28:E30)</f>
        <v>1433</v>
      </c>
      <c r="F31" s="6">
        <f t="shared" ref="F31:L31" si="23">SUM(F28:F30)</f>
        <v>2635</v>
      </c>
      <c r="G31" s="6">
        <f t="shared" si="23"/>
        <v>3492</v>
      </c>
      <c r="H31" s="64">
        <f t="shared" si="23"/>
        <v>1669.4474999999989</v>
      </c>
      <c r="I31" s="65">
        <f t="shared" si="23"/>
        <v>1555.0439999999999</v>
      </c>
      <c r="J31" s="65">
        <f t="shared" si="23"/>
        <v>1426.7212500000001</v>
      </c>
      <c r="K31" s="65">
        <f t="shared" si="23"/>
        <v>1257.9450000000006</v>
      </c>
      <c r="L31" s="66">
        <f t="shared" si="23"/>
        <v>1208.0250000000001</v>
      </c>
    </row>
    <row r="32" spans="2:14">
      <c r="B32" s="10" t="s">
        <v>21</v>
      </c>
      <c r="C32" s="13">
        <v>2247</v>
      </c>
      <c r="D32" s="13">
        <v>1986</v>
      </c>
      <c r="E32" s="13">
        <v>1962</v>
      </c>
      <c r="F32" s="13">
        <v>1955</v>
      </c>
      <c r="G32" s="13">
        <v>1853</v>
      </c>
      <c r="H32" s="70">
        <v>1600</v>
      </c>
      <c r="I32" s="77">
        <v>1550</v>
      </c>
      <c r="J32" s="77">
        <v>1500</v>
      </c>
      <c r="K32" s="77">
        <v>1450</v>
      </c>
      <c r="L32" s="78">
        <v>1400</v>
      </c>
      <c r="N32" s="21"/>
    </row>
    <row r="33" spans="2:16">
      <c r="B33" s="11" t="s">
        <v>22</v>
      </c>
      <c r="C33" s="18">
        <f t="shared" ref="C33:D33" si="24">C31/C32</f>
        <v>1.3115264797507789</v>
      </c>
      <c r="D33" s="18">
        <f t="shared" si="24"/>
        <v>1.2477341389728096</v>
      </c>
      <c r="E33" s="18">
        <f>E31/E32</f>
        <v>0.73037716615698267</v>
      </c>
      <c r="F33" s="18">
        <f t="shared" ref="F33:L33" si="25">F31/F32</f>
        <v>1.3478260869565217</v>
      </c>
      <c r="G33" s="18">
        <f t="shared" si="25"/>
        <v>1.8845116028062601</v>
      </c>
      <c r="H33" s="71">
        <f t="shared" si="25"/>
        <v>1.0434046874999994</v>
      </c>
      <c r="I33" s="72">
        <f t="shared" si="25"/>
        <v>1.003254193548387</v>
      </c>
      <c r="J33" s="72">
        <f t="shared" si="25"/>
        <v>0.95114750000000003</v>
      </c>
      <c r="K33" s="72">
        <f t="shared" si="25"/>
        <v>0.8675482758620694</v>
      </c>
      <c r="L33" s="73">
        <f t="shared" si="25"/>
        <v>0.86287500000000006</v>
      </c>
    </row>
    <row r="34" spans="2:16">
      <c r="H34" s="43"/>
      <c r="I34" s="38"/>
      <c r="J34" s="38"/>
      <c r="K34" s="38"/>
      <c r="L34" s="44"/>
    </row>
    <row r="35" spans="2:16">
      <c r="B35" s="23" t="s">
        <v>23</v>
      </c>
      <c r="H35" s="43"/>
      <c r="I35" s="38"/>
      <c r="J35" s="38"/>
      <c r="K35" s="38"/>
      <c r="L35" s="44"/>
    </row>
    <row r="36" spans="2:16">
      <c r="B36" s="22" t="s">
        <v>10</v>
      </c>
      <c r="C36" s="20">
        <f t="shared" ref="C36:D36" si="26">C16/C9</f>
        <v>0.1909116189292199</v>
      </c>
      <c r="D36" s="20">
        <f t="shared" si="26"/>
        <v>0.17932603394379798</v>
      </c>
      <c r="E36" s="20">
        <f t="shared" ref="E36:G36" si="27">E16/E9</f>
        <v>0.17505954406260632</v>
      </c>
      <c r="F36" s="20">
        <f t="shared" si="27"/>
        <v>0.18531889290012032</v>
      </c>
      <c r="G36" s="20">
        <f t="shared" si="27"/>
        <v>0.222503262393066</v>
      </c>
      <c r="H36" s="51">
        <v>0.193</v>
      </c>
      <c r="I36" s="42">
        <v>0.193</v>
      </c>
      <c r="J36" s="42">
        <v>0.193</v>
      </c>
      <c r="K36" s="42">
        <v>0.193</v>
      </c>
      <c r="L36" s="52">
        <v>0.193</v>
      </c>
    </row>
    <row r="37" spans="2:16">
      <c r="B37" s="22" t="s">
        <v>30</v>
      </c>
      <c r="C37" s="20">
        <f t="shared" ref="C37:D37" si="28">-C18/C9</f>
        <v>0.1233049253267466</v>
      </c>
      <c r="D37" s="20">
        <f t="shared" si="28"/>
        <v>0.1162337768612625</v>
      </c>
      <c r="E37" s="20">
        <f t="shared" ref="E37:G37" si="29">-E18/E9</f>
        <v>0.12220709992060792</v>
      </c>
      <c r="F37" s="20">
        <f t="shared" si="29"/>
        <v>0.11874329202849059</v>
      </c>
      <c r="G37" s="20">
        <f t="shared" si="29"/>
        <v>0.13732660985001047</v>
      </c>
      <c r="H37" s="51">
        <v>0.13700000000000001</v>
      </c>
      <c r="I37" s="42">
        <v>0.13900000000000001</v>
      </c>
      <c r="J37" s="42">
        <v>0.14000000000000001</v>
      </c>
      <c r="K37" s="42">
        <v>0.14000000000000001</v>
      </c>
      <c r="L37" s="52">
        <v>0.13700000000000001</v>
      </c>
      <c r="N37" s="21"/>
      <c r="P37" s="21"/>
    </row>
    <row r="38" spans="2:16">
      <c r="B38" s="22" t="s">
        <v>24</v>
      </c>
      <c r="C38" s="20">
        <f t="shared" ref="C38:D38" si="30">C23/C9</f>
        <v>6.6199924754224398E-2</v>
      </c>
      <c r="D38" s="20">
        <f t="shared" si="30"/>
        <v>6.4794356884502705E-2</v>
      </c>
      <c r="E38" s="20">
        <f t="shared" ref="E38:L38" si="31">E23/E9</f>
        <v>5.7162300102075535E-2</v>
      </c>
      <c r="F38" s="20">
        <f t="shared" si="31"/>
        <v>7.1600481347773762E-2</v>
      </c>
      <c r="G38" s="20">
        <f t="shared" si="31"/>
        <v>8.6465499186415551E-2</v>
      </c>
      <c r="H38" s="51">
        <f t="shared" si="31"/>
        <v>5.5999999999999966E-2</v>
      </c>
      <c r="I38" s="42">
        <f t="shared" si="31"/>
        <v>5.3999999999999999E-2</v>
      </c>
      <c r="J38" s="42">
        <f t="shared" si="31"/>
        <v>4.8000000000000001E-2</v>
      </c>
      <c r="K38" s="42">
        <f t="shared" si="31"/>
        <v>4.8000000000000022E-2</v>
      </c>
      <c r="L38" s="52">
        <f t="shared" si="31"/>
        <v>4.5999999999999999E-2</v>
      </c>
    </row>
    <row r="39" spans="2:16">
      <c r="B39" s="22" t="s">
        <v>25</v>
      </c>
      <c r="C39" s="20">
        <f>-C24/C9</f>
        <v>9.9291708242683976E-3</v>
      </c>
      <c r="D39" s="20">
        <f t="shared" ref="D39:L39" si="32">-D24/D9</f>
        <v>1.2585718728007724E-2</v>
      </c>
      <c r="E39" s="20">
        <f t="shared" si="32"/>
        <v>1.6105251219235568E-2</v>
      </c>
      <c r="F39" s="20">
        <f t="shared" si="32"/>
        <v>1.5773896640322634E-2</v>
      </c>
      <c r="G39" s="20">
        <f t="shared" si="32"/>
        <v>1.5079505727312271E-2</v>
      </c>
      <c r="H39" s="51">
        <f t="shared" si="32"/>
        <v>1.4999999999999999E-2</v>
      </c>
      <c r="I39" s="42">
        <f t="shared" si="32"/>
        <v>1.4999999999999999E-2</v>
      </c>
      <c r="J39" s="42">
        <f t="shared" si="32"/>
        <v>1.5000000000000001E-2</v>
      </c>
      <c r="K39" s="42">
        <f t="shared" si="32"/>
        <v>1.4999999999999999E-2</v>
      </c>
      <c r="L39" s="52">
        <f t="shared" si="32"/>
        <v>1.4999999999999999E-2</v>
      </c>
      <c r="N39" s="21"/>
    </row>
    <row r="40" spans="2:16">
      <c r="B40" s="21"/>
      <c r="E40" s="21"/>
      <c r="F40" s="21"/>
      <c r="G40" s="21"/>
      <c r="H40" s="43"/>
      <c r="I40" s="38"/>
      <c r="J40" s="38"/>
      <c r="K40" s="38"/>
      <c r="L40" s="44"/>
    </row>
    <row r="41" spans="2:16">
      <c r="B41" s="23" t="s">
        <v>26</v>
      </c>
      <c r="E41" s="21"/>
      <c r="F41" s="21"/>
      <c r="G41" s="21"/>
      <c r="H41" s="43"/>
      <c r="I41" s="38"/>
      <c r="J41" s="38"/>
      <c r="K41" s="38"/>
      <c r="L41" s="44"/>
    </row>
    <row r="42" spans="2:16">
      <c r="B42" s="22" t="s">
        <v>27</v>
      </c>
      <c r="C42" s="20"/>
      <c r="D42" s="20">
        <f t="shared" ref="D42" si="33">D9/C9-1</f>
        <v>-5.2344887376698512E-4</v>
      </c>
      <c r="E42" s="20">
        <f t="shared" ref="E42" si="34">E9/D9-1</f>
        <v>-0.13418765650316689</v>
      </c>
      <c r="F42" s="20">
        <f t="shared" ref="F42" si="35">F9/E9-1</f>
        <v>0.16241351933764325</v>
      </c>
      <c r="G42" s="20">
        <f t="shared" ref="G42" si="36">G9/F9-1</f>
        <v>9.3830292386249958E-3</v>
      </c>
      <c r="H42" s="51">
        <f t="shared" ref="H42" si="37">H9/G9-1</f>
        <v>-8.6046624027323548E-2</v>
      </c>
      <c r="I42" s="42">
        <f t="shared" ref="I42" si="38">I9/H9-1</f>
        <v>-1.7662612374405029E-2</v>
      </c>
      <c r="J42" s="42">
        <f t="shared" ref="J42" si="39">J9/I9-1</f>
        <v>-1.9972006890611516E-2</v>
      </c>
      <c r="K42" s="42">
        <f t="shared" ref="K42" si="40">K9/J9-1</f>
        <v>-9.42964387073153E-3</v>
      </c>
      <c r="L42" s="52">
        <f t="shared" ref="L42" si="41">L9/K9-1</f>
        <v>-1.1090573012939031E-2</v>
      </c>
    </row>
    <row r="43" spans="2:16">
      <c r="B43" s="22" t="s">
        <v>31</v>
      </c>
      <c r="C43" s="20"/>
      <c r="D43" s="20">
        <f t="shared" ref="D43" si="42">D18/C18-1</f>
        <v>-5.7840275935261309E-2</v>
      </c>
      <c r="E43" s="20">
        <f t="shared" ref="E43" si="43">E18/D18-1</f>
        <v>-8.969304421289781E-2</v>
      </c>
      <c r="F43" s="20">
        <f t="shared" ref="F43" si="44">F18/E18-1</f>
        <v>0.12946635730858458</v>
      </c>
      <c r="G43" s="20">
        <f t="shared" ref="G43" si="45">G18/F18-1</f>
        <v>0.16735141057244585</v>
      </c>
      <c r="H43" s="51">
        <f t="shared" ref="H43" si="46">H18/G18-1</f>
        <v>-8.822031909901451E-2</v>
      </c>
      <c r="I43" s="42">
        <f t="shared" ref="I43" si="47">I18/H18-1</f>
        <v>-3.321920584250293E-3</v>
      </c>
      <c r="J43" s="42">
        <f t="shared" ref="J43" si="48">J18/I18-1</f>
        <v>-1.2921445789105257E-2</v>
      </c>
      <c r="K43" s="42">
        <f t="shared" ref="K43" si="49">K18/J18-1</f>
        <v>-9.429643870731419E-3</v>
      </c>
      <c r="L43" s="52">
        <f t="shared" ref="L43" si="50">L18/K18-1</f>
        <v>-3.2281489305518885E-2</v>
      </c>
      <c r="M43" s="127"/>
    </row>
    <row r="44" spans="2:16">
      <c r="B44" s="22" t="s">
        <v>28</v>
      </c>
      <c r="C44" s="20"/>
      <c r="D44" s="20">
        <f t="shared" ref="D44" si="51">D23/C23-1</f>
        <v>-2.1744502100321195E-2</v>
      </c>
      <c r="E44" s="20">
        <f t="shared" ref="E44:E45" si="52">E23/D23-1</f>
        <v>-0.23617075018944178</v>
      </c>
      <c r="F44" s="20">
        <f t="shared" ref="F44:F45" si="53">F23/E23-1</f>
        <v>0.4560185185185186</v>
      </c>
      <c r="G44" s="20">
        <f t="shared" ref="G44:G45" si="54">G23/F23-1</f>
        <v>0.21894163070633654</v>
      </c>
      <c r="H44" s="51">
        <f t="shared" ref="H44:H45" si="55">H23/G23-1</f>
        <v>-0.40807154835103443</v>
      </c>
      <c r="I44" s="42">
        <f t="shared" ref="I44:I45" si="56">I23/H23-1</f>
        <v>-5.274609050389012E-2</v>
      </c>
      <c r="J44" s="42">
        <f t="shared" ref="J44:J45" si="57">J23/I23-1</f>
        <v>-0.12886400612498805</v>
      </c>
      <c r="K44" s="42">
        <f>K23/J23-1</f>
        <v>-9.4296438707310859E-3</v>
      </c>
      <c r="L44" s="52">
        <f>-L23/K23+1</f>
        <v>5.2295132470733585E-2</v>
      </c>
    </row>
    <row r="45" spans="2:16">
      <c r="B45" s="22" t="s">
        <v>14</v>
      </c>
      <c r="C45" s="20"/>
      <c r="D45" s="20">
        <f t="shared" ref="D45" si="58">D24/C24-1</f>
        <v>0.26688632619439878</v>
      </c>
      <c r="E45" s="20">
        <f t="shared" si="52"/>
        <v>0.10793237971391423</v>
      </c>
      <c r="F45" s="20">
        <f t="shared" si="53"/>
        <v>0.13849765258215951</v>
      </c>
      <c r="G45" s="20">
        <f t="shared" si="54"/>
        <v>-3.5051546391752564E-2</v>
      </c>
      <c r="H45" s="51">
        <f t="shared" si="55"/>
        <v>-9.0865384615384737E-2</v>
      </c>
      <c r="I45" s="42">
        <f t="shared" si="56"/>
        <v>-1.7662612374405029E-2</v>
      </c>
      <c r="J45" s="42">
        <f t="shared" si="57"/>
        <v>-1.9972006890611516E-2</v>
      </c>
      <c r="K45" s="42">
        <f t="shared" ref="K45" si="59">K24/J24-1</f>
        <v>-9.42964387073153E-3</v>
      </c>
      <c r="L45" s="52">
        <f t="shared" ref="L45" si="60">L24/K24-1</f>
        <v>-1.1090573012939031E-2</v>
      </c>
    </row>
    <row r="46" spans="2:16">
      <c r="B46" s="22" t="s">
        <v>16</v>
      </c>
      <c r="C46" s="20"/>
      <c r="D46" s="20">
        <f t="shared" ref="D46" si="61">D26/C26-1</f>
        <v>-7.2674418604651181E-2</v>
      </c>
      <c r="E46" s="20">
        <f t="shared" ref="E46" si="62">E26/D26-1</f>
        <v>-0.31912225705329156</v>
      </c>
      <c r="F46" s="20">
        <f t="shared" ref="F46" si="63">F26/E26-1</f>
        <v>0.5805709023941068</v>
      </c>
      <c r="G46" s="20">
        <f t="shared" ref="G46" si="64">G26/F26-1</f>
        <v>0.29070783571220504</v>
      </c>
      <c r="H46" s="51">
        <f t="shared" ref="H46" si="65">H26/G26-1</f>
        <v>-0.47507786052809786</v>
      </c>
      <c r="I46" s="42">
        <f t="shared" ref="I46" si="66">I26/H26-1</f>
        <v>-6.5581509331750665E-2</v>
      </c>
      <c r="J46" s="42">
        <f>J26/I26-1</f>
        <v>-0.1707455442920558</v>
      </c>
      <c r="K46" s="42">
        <f>K26/J26-1</f>
        <v>-9.4296438707308639E-3</v>
      </c>
      <c r="L46" s="52">
        <f>L26/K26-1</f>
        <v>-7.1024477678822029E-2</v>
      </c>
      <c r="M46" s="131"/>
    </row>
    <row r="47" spans="2:16">
      <c r="B47" s="22" t="s">
        <v>18</v>
      </c>
      <c r="C47" s="20"/>
      <c r="D47" s="20">
        <f t="shared" ref="D47" si="67">D28/C28-1</f>
        <v>-0.1314345440292658</v>
      </c>
      <c r="E47" s="20">
        <f t="shared" ref="E47" si="68">E28/D28-1</f>
        <v>-0.39109506618531886</v>
      </c>
      <c r="F47" s="20">
        <f t="shared" ref="F47" si="69">F28/E28-1</f>
        <v>0.65513833992094872</v>
      </c>
      <c r="G47" s="20">
        <f t="shared" ref="G47" si="70">G28/F28-1</f>
        <v>0.26567164179104474</v>
      </c>
      <c r="H47" s="51">
        <f t="shared" ref="H47" si="71">H28/G28-1</f>
        <v>-0.47501650943396267</v>
      </c>
      <c r="I47" s="42">
        <f t="shared" ref="I47" si="72">I28/H28-1</f>
        <v>-6.8527761430053347E-2</v>
      </c>
      <c r="J47" s="42">
        <f>J28/I28-1</f>
        <v>-8.2520333829782189E-2</v>
      </c>
      <c r="K47" s="42">
        <f>K28/J28-1</f>
        <v>1.7350095542489896E-2</v>
      </c>
      <c r="L47" s="52">
        <f>L28/K28-1</f>
        <v>-3.9683769958146597E-2</v>
      </c>
    </row>
    <row r="48" spans="2:16">
      <c r="B48" s="22" t="s">
        <v>20</v>
      </c>
      <c r="C48" s="20"/>
      <c r="D48" s="20">
        <f t="shared" ref="D48" si="73">D31/C31-1</f>
        <v>-0.15914489311163893</v>
      </c>
      <c r="E48" s="20">
        <f t="shared" ref="E48" si="74">E31/D31-1</f>
        <v>-0.4217110573042776</v>
      </c>
      <c r="F48" s="20">
        <f t="shared" ref="F48" si="75">F31/E31-1</f>
        <v>0.83879972086531751</v>
      </c>
      <c r="G48" s="20">
        <f t="shared" ref="G48" si="76">G31/F31-1</f>
        <v>0.32523719165085385</v>
      </c>
      <c r="H48" s="51">
        <f t="shared" ref="H48" si="77">H31/G31-1</f>
        <v>-0.52192225085910682</v>
      </c>
      <c r="I48" s="42">
        <f t="shared" ref="I48" si="78">I31/H31-1</f>
        <v>-6.8527761430053347E-2</v>
      </c>
      <c r="J48" s="42">
        <f>J31/I31-1</f>
        <v>-8.2520333829782189E-2</v>
      </c>
      <c r="K48" s="42">
        <f>K31/J31-1</f>
        <v>-0.11829658386317543</v>
      </c>
      <c r="L48" s="52">
        <f>L31/K31-1</f>
        <v>-3.9683769958146375E-2</v>
      </c>
    </row>
    <row r="49" spans="2:12">
      <c r="E49" s="21"/>
      <c r="F49" s="21"/>
      <c r="G49" s="21"/>
      <c r="H49" s="43"/>
      <c r="I49" s="38"/>
      <c r="J49" s="38"/>
      <c r="K49" s="38"/>
      <c r="L49" s="44"/>
    </row>
    <row r="50" spans="2:12">
      <c r="B50" s="22" t="s">
        <v>105</v>
      </c>
      <c r="D50" s="20">
        <f>D7/C7-1</f>
        <v>-2.5889666468135841E-2</v>
      </c>
      <c r="E50" s="20">
        <f t="shared" ref="E50:L51" si="79">E7/D7-1</f>
        <v>-0.16508397500812044</v>
      </c>
      <c r="F50" s="20">
        <f t="shared" si="79"/>
        <v>0.14428908163031795</v>
      </c>
      <c r="G50" s="20">
        <f t="shared" si="79"/>
        <v>-1.9199232030718827E-3</v>
      </c>
      <c r="H50" s="51">
        <f t="shared" si="79"/>
        <v>-0.1205065523183585</v>
      </c>
      <c r="I50" s="42">
        <f t="shared" si="79"/>
        <v>-3.8161851818098946E-2</v>
      </c>
      <c r="J50" s="42">
        <f t="shared" si="79"/>
        <v>-4.230523248928153E-2</v>
      </c>
      <c r="K50" s="42">
        <f t="shared" si="79"/>
        <v>-2.9383393930399904E-2</v>
      </c>
      <c r="L50" s="52">
        <f t="shared" si="79"/>
        <v>-3.2438906301760828E-2</v>
      </c>
    </row>
    <row r="51" spans="2:12" ht="15.75" thickBot="1">
      <c r="B51" s="22" t="s">
        <v>106</v>
      </c>
      <c r="D51" s="20">
        <f>D8/C8-1</f>
        <v>0.18352464550979075</v>
      </c>
      <c r="E51" s="20">
        <f t="shared" ref="E51:G51" si="80">E8/D8-1</f>
        <v>5.0319488817891278E-2</v>
      </c>
      <c r="F51" s="20">
        <f t="shared" si="80"/>
        <v>0.24845192829983698</v>
      </c>
      <c r="G51" s="20">
        <f t="shared" si="80"/>
        <v>5.8562478245736127E-2</v>
      </c>
      <c r="H51" s="74">
        <f t="shared" si="79"/>
        <v>5.5322646937936648E-2</v>
      </c>
      <c r="I51" s="75">
        <f t="shared" si="79"/>
        <v>5.2422495715843676E-2</v>
      </c>
      <c r="J51" s="75">
        <f t="shared" si="79"/>
        <v>4.9811264895270435E-2</v>
      </c>
      <c r="K51" s="75">
        <f t="shared" si="79"/>
        <v>4.7447828539199044E-2</v>
      </c>
      <c r="L51" s="76">
        <f t="shared" si="79"/>
        <v>4.5298512485697051E-2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>
      <selection activeCell="I7" sqref="I7"/>
    </sheetView>
  </sheetViews>
  <sheetFormatPr defaultRowHeight="15"/>
  <cols>
    <col min="1" max="1" width="2.140625" bestFit="1" customWidth="1"/>
    <col min="2" max="2" width="29" bestFit="1" customWidth="1"/>
    <col min="3" max="7" width="12.5703125" bestFit="1" customWidth="1"/>
    <col min="8" max="12" width="10.5703125" bestFit="1" customWidth="1"/>
  </cols>
  <sheetData>
    <row r="1" spans="1:12">
      <c r="A1" t="s">
        <v>3</v>
      </c>
      <c r="B1" s="32" t="s">
        <v>29</v>
      </c>
    </row>
    <row r="2" spans="1:12">
      <c r="B2" s="22" t="s">
        <v>66</v>
      </c>
    </row>
    <row r="3" spans="1:12">
      <c r="B3" s="31" t="s">
        <v>2</v>
      </c>
    </row>
    <row r="4" spans="1:12" ht="15.75" thickBot="1">
      <c r="B4" s="31" t="s">
        <v>1</v>
      </c>
    </row>
    <row r="5" spans="1:12"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2">
      <c r="B6" s="9" t="s">
        <v>33</v>
      </c>
      <c r="H6" s="43"/>
      <c r="I6" s="38"/>
      <c r="J6" s="38"/>
      <c r="K6" s="38"/>
      <c r="L6" s="44"/>
    </row>
    <row r="7" spans="1:12">
      <c r="B7" s="22" t="s">
        <v>34</v>
      </c>
      <c r="C7" s="13">
        <v>7764</v>
      </c>
      <c r="D7" s="13">
        <v>8352</v>
      </c>
      <c r="E7" s="13">
        <v>10635</v>
      </c>
      <c r="F7" s="13">
        <v>13913</v>
      </c>
      <c r="G7" s="13">
        <v>13852</v>
      </c>
      <c r="H7" s="83">
        <f>CF!H45</f>
        <v>15744.597499999998</v>
      </c>
      <c r="I7" s="84">
        <f>CF!I45</f>
        <v>18418.561499999996</v>
      </c>
      <c r="J7" s="84">
        <f>CF!J45</f>
        <v>20752.507749999997</v>
      </c>
      <c r="K7" s="84">
        <f>CF!K45</f>
        <v>23689.952749999997</v>
      </c>
      <c r="L7" s="85">
        <f>CF!L45</f>
        <v>26718.477749999998</v>
      </c>
    </row>
    <row r="8" spans="1:12">
      <c r="B8" s="22" t="s">
        <v>35</v>
      </c>
      <c r="C8" s="13">
        <v>208</v>
      </c>
      <c r="D8" s="13">
        <v>740</v>
      </c>
      <c r="E8" s="13">
        <v>373</v>
      </c>
      <c r="F8" s="13">
        <v>452</v>
      </c>
      <c r="G8" s="13">
        <v>966</v>
      </c>
      <c r="H8" s="49">
        <f>SUM(C8:G8)/5</f>
        <v>547.79999999999995</v>
      </c>
      <c r="I8" s="87">
        <v>548</v>
      </c>
      <c r="J8" s="87">
        <v>548</v>
      </c>
      <c r="K8" s="87">
        <v>548</v>
      </c>
      <c r="L8" s="88">
        <v>548</v>
      </c>
    </row>
    <row r="9" spans="1:12">
      <c r="B9" s="22" t="s">
        <v>36</v>
      </c>
      <c r="C9" s="13">
        <v>5961</v>
      </c>
      <c r="D9" s="13">
        <v>4731</v>
      </c>
      <c r="E9" s="13">
        <v>5837</v>
      </c>
      <c r="F9" s="13">
        <v>6493</v>
      </c>
      <c r="G9" s="13">
        <v>6476</v>
      </c>
      <c r="H9" s="86">
        <v>6476</v>
      </c>
      <c r="I9" s="87">
        <v>6476</v>
      </c>
      <c r="J9" s="87">
        <v>6476</v>
      </c>
      <c r="K9" s="87">
        <v>6476</v>
      </c>
      <c r="L9" s="88">
        <v>6476</v>
      </c>
    </row>
    <row r="10" spans="1:12">
      <c r="B10" s="22" t="s">
        <v>37</v>
      </c>
      <c r="C10" s="13">
        <v>1732</v>
      </c>
      <c r="D10" s="13">
        <v>1712</v>
      </c>
      <c r="E10" s="13">
        <v>2706</v>
      </c>
      <c r="F10" s="13">
        <v>3643</v>
      </c>
      <c r="G10" s="13">
        <v>3327</v>
      </c>
      <c r="H10" s="86">
        <v>3327</v>
      </c>
      <c r="I10" s="87">
        <v>3327</v>
      </c>
      <c r="J10" s="87">
        <v>3327</v>
      </c>
      <c r="K10" s="87">
        <v>3327</v>
      </c>
      <c r="L10" s="88">
        <v>3327</v>
      </c>
    </row>
    <row r="11" spans="1:12">
      <c r="B11" s="22" t="s">
        <v>38</v>
      </c>
      <c r="C11" s="13">
        <v>1180</v>
      </c>
      <c r="D11" s="13">
        <v>867</v>
      </c>
      <c r="E11" s="13">
        <v>1051</v>
      </c>
      <c r="F11" s="13">
        <v>1301</v>
      </c>
      <c r="G11" s="13">
        <v>1404</v>
      </c>
      <c r="H11" s="86">
        <v>1500</v>
      </c>
      <c r="I11" s="87">
        <v>1600</v>
      </c>
      <c r="J11" s="87">
        <v>1700</v>
      </c>
      <c r="K11" s="87">
        <v>1800</v>
      </c>
      <c r="L11" s="88">
        <v>1900</v>
      </c>
    </row>
    <row r="12" spans="1:12">
      <c r="B12" s="22" t="s">
        <v>39</v>
      </c>
      <c r="C12" s="14">
        <v>3035</v>
      </c>
      <c r="D12" s="14">
        <v>3749</v>
      </c>
      <c r="E12" s="14">
        <v>3643</v>
      </c>
      <c r="F12" s="14">
        <v>3219</v>
      </c>
      <c r="G12" s="14">
        <v>3423</v>
      </c>
      <c r="H12" s="104">
        <v>3423</v>
      </c>
      <c r="I12" s="103">
        <v>3423</v>
      </c>
      <c r="J12" s="103">
        <v>3423</v>
      </c>
      <c r="K12" s="103">
        <v>3423</v>
      </c>
      <c r="L12" s="105">
        <v>3423</v>
      </c>
    </row>
    <row r="13" spans="1:12">
      <c r="B13" s="11" t="s">
        <v>40</v>
      </c>
      <c r="C13" s="7">
        <f t="shared" ref="C13" si="1">SUM(C7:C12)</f>
        <v>19880</v>
      </c>
      <c r="D13" s="7">
        <f t="shared" ref="D13" si="2">SUM(D7:D12)</f>
        <v>20151</v>
      </c>
      <c r="E13" s="7">
        <f>SUM(E7:E12)</f>
        <v>24245</v>
      </c>
      <c r="F13" s="7">
        <f>SUM(F7:F12)</f>
        <v>29021</v>
      </c>
      <c r="G13" s="7">
        <f>SUM(G7:G12)</f>
        <v>29448</v>
      </c>
      <c r="H13" s="89">
        <f t="shared" ref="H13:L13" si="3">SUM(H7:H12)</f>
        <v>31018.397499999999</v>
      </c>
      <c r="I13" s="90">
        <f t="shared" si="3"/>
        <v>33792.561499999996</v>
      </c>
      <c r="J13" s="90">
        <f t="shared" si="3"/>
        <v>36226.507749999997</v>
      </c>
      <c r="K13" s="90">
        <f t="shared" si="3"/>
        <v>39263.952749999997</v>
      </c>
      <c r="L13" s="91">
        <f t="shared" si="3"/>
        <v>42392.477749999998</v>
      </c>
    </row>
    <row r="14" spans="1:12">
      <c r="B14" s="22"/>
      <c r="C14" s="4"/>
      <c r="D14" s="4"/>
      <c r="E14" s="4"/>
      <c r="F14" s="4"/>
      <c r="G14" s="4"/>
      <c r="H14" s="43"/>
      <c r="I14" s="38"/>
      <c r="J14" s="38"/>
      <c r="K14" s="38"/>
      <c r="L14" s="44"/>
    </row>
    <row r="15" spans="1:12">
      <c r="B15" s="22" t="s">
        <v>41</v>
      </c>
      <c r="C15" s="13">
        <v>2668</v>
      </c>
      <c r="D15" s="13">
        <v>2277</v>
      </c>
      <c r="E15" s="13">
        <v>2181</v>
      </c>
      <c r="F15" s="13">
        <v>1953</v>
      </c>
      <c r="G15" s="13">
        <v>2124</v>
      </c>
      <c r="H15" s="49">
        <f>G15-CF!H7-CF!H25</f>
        <v>1948.0500000000002</v>
      </c>
      <c r="I15" s="41">
        <f>H15-CF!I7-CF!I25</f>
        <v>1812.13</v>
      </c>
      <c r="J15" s="41">
        <f>I15-CF!J7-CF!J25</f>
        <v>1792.9050000000002</v>
      </c>
      <c r="K15" s="41">
        <f>J15-CF!K7-CF!K25</f>
        <v>1881.4050000000002</v>
      </c>
      <c r="L15" s="50">
        <f>K15-CF!L7-CF!L25</f>
        <v>2078.9050000000002</v>
      </c>
    </row>
    <row r="16" spans="1:12">
      <c r="B16" s="22" t="s">
        <v>42</v>
      </c>
      <c r="C16" s="13">
        <v>1560</v>
      </c>
      <c r="D16" s="13">
        <v>454</v>
      </c>
      <c r="E16" s="13">
        <v>781</v>
      </c>
      <c r="F16" s="13">
        <v>704</v>
      </c>
      <c r="G16" s="13">
        <v>3404</v>
      </c>
      <c r="H16" s="49">
        <f>SUM(C16:G16)/5</f>
        <v>1380.6</v>
      </c>
      <c r="I16" s="87">
        <v>1381</v>
      </c>
      <c r="J16" s="87">
        <v>1381</v>
      </c>
      <c r="K16" s="87">
        <v>1381</v>
      </c>
      <c r="L16" s="88">
        <v>1381</v>
      </c>
    </row>
    <row r="17" spans="2:13">
      <c r="B17" s="22" t="s">
        <v>43</v>
      </c>
      <c r="C17" s="13">
        <v>407</v>
      </c>
      <c r="D17" s="13">
        <v>500</v>
      </c>
      <c r="E17" s="13">
        <v>332</v>
      </c>
      <c r="F17" s="13">
        <v>799</v>
      </c>
      <c r="G17" s="13">
        <v>1372</v>
      </c>
      <c r="H17" s="86">
        <v>1400</v>
      </c>
      <c r="I17" s="87">
        <v>1500</v>
      </c>
      <c r="J17" s="87">
        <v>1500</v>
      </c>
      <c r="K17" s="87">
        <v>1550</v>
      </c>
      <c r="L17" s="88">
        <v>1550</v>
      </c>
    </row>
    <row r="18" spans="2:13">
      <c r="B18" s="22" t="s">
        <v>44</v>
      </c>
      <c r="C18" s="13">
        <v>1648</v>
      </c>
      <c r="D18" s="13">
        <v>1737</v>
      </c>
      <c r="E18" s="13">
        <v>4074</v>
      </c>
      <c r="F18" s="13">
        <v>4365</v>
      </c>
      <c r="G18" s="13">
        <v>5838</v>
      </c>
      <c r="H18" s="86">
        <v>6000</v>
      </c>
      <c r="I18" s="87">
        <v>6000</v>
      </c>
      <c r="J18" s="87">
        <v>6000</v>
      </c>
      <c r="K18" s="87">
        <v>6000</v>
      </c>
      <c r="L18" s="88">
        <v>6000</v>
      </c>
    </row>
    <row r="19" spans="2:13">
      <c r="B19" s="22" t="s">
        <v>47</v>
      </c>
      <c r="C19" s="13">
        <v>780</v>
      </c>
      <c r="D19" s="13">
        <v>724</v>
      </c>
      <c r="E19" s="13">
        <v>1694</v>
      </c>
      <c r="F19" s="13">
        <v>1495</v>
      </c>
      <c r="G19" s="13">
        <v>1857</v>
      </c>
      <c r="H19" s="86">
        <v>1857</v>
      </c>
      <c r="I19" s="87">
        <v>1857</v>
      </c>
      <c r="J19" s="87">
        <v>1857</v>
      </c>
      <c r="K19" s="87">
        <v>1857</v>
      </c>
      <c r="L19" s="88">
        <v>1857</v>
      </c>
    </row>
    <row r="20" spans="2:13">
      <c r="B20" s="22" t="s">
        <v>45</v>
      </c>
      <c r="C20" s="14">
        <v>618</v>
      </c>
      <c r="D20" s="14">
        <v>657</v>
      </c>
      <c r="E20" s="14">
        <v>345</v>
      </c>
      <c r="F20" s="14">
        <v>262</v>
      </c>
      <c r="G20" s="14">
        <v>490</v>
      </c>
      <c r="H20" s="106">
        <v>500</v>
      </c>
      <c r="I20" s="103">
        <v>500</v>
      </c>
      <c r="J20" s="103">
        <v>500</v>
      </c>
      <c r="K20" s="103">
        <v>500</v>
      </c>
      <c r="L20" s="105">
        <v>500</v>
      </c>
    </row>
    <row r="21" spans="2:13">
      <c r="B21" s="11" t="s">
        <v>46</v>
      </c>
      <c r="C21" s="7">
        <f t="shared" ref="C21" si="4">SUM(C13:C20)</f>
        <v>27561</v>
      </c>
      <c r="D21" s="7">
        <f>SUM(D13:D20)</f>
        <v>26500</v>
      </c>
      <c r="E21" s="7">
        <f t="shared" ref="E21:L21" si="5">SUM(E13:E20)</f>
        <v>33652</v>
      </c>
      <c r="F21" s="7">
        <f t="shared" si="5"/>
        <v>38599</v>
      </c>
      <c r="G21" s="7">
        <f t="shared" si="5"/>
        <v>44533</v>
      </c>
      <c r="H21" s="89">
        <f t="shared" si="5"/>
        <v>44104.047500000001</v>
      </c>
      <c r="I21" s="90">
        <f t="shared" si="5"/>
        <v>46842.691499999994</v>
      </c>
      <c r="J21" s="90">
        <f t="shared" si="5"/>
        <v>49257.412749999996</v>
      </c>
      <c r="K21" s="90">
        <f t="shared" si="5"/>
        <v>52433.357749999996</v>
      </c>
      <c r="L21" s="91">
        <f t="shared" si="5"/>
        <v>55759.382749999997</v>
      </c>
    </row>
    <row r="22" spans="2:13">
      <c r="B22" s="22"/>
      <c r="H22" s="43"/>
      <c r="I22" s="38"/>
      <c r="J22" s="38"/>
      <c r="K22" s="38"/>
      <c r="L22" s="44"/>
    </row>
    <row r="23" spans="2:13">
      <c r="B23" s="9" t="s">
        <v>48</v>
      </c>
      <c r="H23" s="43"/>
      <c r="I23" s="38"/>
      <c r="J23" s="38"/>
      <c r="K23" s="38"/>
      <c r="L23" s="44"/>
    </row>
    <row r="24" spans="2:13">
      <c r="B24" s="22" t="s">
        <v>49</v>
      </c>
      <c r="C24" s="13">
        <v>225</v>
      </c>
      <c r="D24" s="13">
        <v>113</v>
      </c>
      <c r="E24" s="13">
        <v>663</v>
      </c>
      <c r="F24" s="13">
        <v>851</v>
      </c>
      <c r="G24" s="13">
        <v>2867</v>
      </c>
      <c r="H24" s="86">
        <v>2867</v>
      </c>
      <c r="I24" s="87">
        <v>2867</v>
      </c>
      <c r="J24" s="87">
        <v>2867</v>
      </c>
      <c r="K24" s="87">
        <v>2867</v>
      </c>
      <c r="L24" s="88">
        <v>2867</v>
      </c>
    </row>
    <row r="25" spans="2:13">
      <c r="B25" s="22" t="s">
        <v>50</v>
      </c>
      <c r="C25" s="13">
        <v>11492</v>
      </c>
      <c r="D25" s="13">
        <v>8309</v>
      </c>
      <c r="E25" s="13">
        <v>11373</v>
      </c>
      <c r="F25" s="13">
        <v>11293</v>
      </c>
      <c r="G25" s="13">
        <v>11656</v>
      </c>
      <c r="H25" s="86">
        <v>11700</v>
      </c>
      <c r="I25" s="87">
        <v>11800</v>
      </c>
      <c r="J25" s="87">
        <v>12000</v>
      </c>
      <c r="K25" s="87">
        <v>12200</v>
      </c>
      <c r="L25" s="88">
        <v>12300</v>
      </c>
    </row>
    <row r="26" spans="2:13">
      <c r="B26" s="22" t="s">
        <v>51</v>
      </c>
      <c r="C26" s="13">
        <v>4323</v>
      </c>
      <c r="D26" s="13">
        <v>3736</v>
      </c>
      <c r="E26" s="13">
        <v>3884</v>
      </c>
      <c r="F26" s="13">
        <v>4181</v>
      </c>
      <c r="G26" s="13">
        <v>3934</v>
      </c>
      <c r="H26" s="86">
        <v>4000</v>
      </c>
      <c r="I26" s="87">
        <v>4100</v>
      </c>
      <c r="J26" s="87">
        <v>4100</v>
      </c>
      <c r="K26" s="87">
        <v>4200</v>
      </c>
      <c r="L26" s="88">
        <v>4200</v>
      </c>
    </row>
    <row r="27" spans="2:13">
      <c r="B27" s="22" t="s">
        <v>52</v>
      </c>
      <c r="C27" s="14">
        <v>2486</v>
      </c>
      <c r="D27" s="14">
        <v>2701</v>
      </c>
      <c r="E27" s="14">
        <v>3040</v>
      </c>
      <c r="F27" s="14">
        <v>3158</v>
      </c>
      <c r="G27" s="14">
        <v>3544</v>
      </c>
      <c r="H27" s="104">
        <v>3544</v>
      </c>
      <c r="I27" s="103">
        <v>3544</v>
      </c>
      <c r="J27" s="103">
        <v>3700</v>
      </c>
      <c r="K27" s="103">
        <v>3700</v>
      </c>
      <c r="L27" s="105">
        <v>3700</v>
      </c>
      <c r="M27" s="25"/>
    </row>
    <row r="28" spans="2:13">
      <c r="B28" s="11" t="s">
        <v>53</v>
      </c>
      <c r="C28" s="7">
        <f t="shared" ref="C28" si="6">SUM(C24:C27)</f>
        <v>18526</v>
      </c>
      <c r="D28" s="7">
        <f>SUM(D24:D27)</f>
        <v>14859</v>
      </c>
      <c r="E28" s="7">
        <f t="shared" ref="E28:L28" si="7">SUM(E24:E27)</f>
        <v>18960</v>
      </c>
      <c r="F28" s="7">
        <f t="shared" si="7"/>
        <v>19483</v>
      </c>
      <c r="G28" s="7">
        <f t="shared" si="7"/>
        <v>22001</v>
      </c>
      <c r="H28" s="89">
        <f t="shared" si="7"/>
        <v>22111</v>
      </c>
      <c r="I28" s="90">
        <f t="shared" si="7"/>
        <v>22311</v>
      </c>
      <c r="J28" s="90">
        <f t="shared" si="7"/>
        <v>22667</v>
      </c>
      <c r="K28" s="90">
        <f t="shared" si="7"/>
        <v>22967</v>
      </c>
      <c r="L28" s="91">
        <f t="shared" si="7"/>
        <v>23067</v>
      </c>
    </row>
    <row r="29" spans="2:13">
      <c r="B29" s="22"/>
      <c r="C29" s="4"/>
      <c r="D29" s="4"/>
      <c r="E29" s="4"/>
      <c r="H29" s="43"/>
      <c r="I29" s="38"/>
      <c r="J29" s="38"/>
      <c r="K29" s="38"/>
      <c r="L29" s="44"/>
    </row>
    <row r="30" spans="2:13">
      <c r="B30" s="22" t="s">
        <v>54</v>
      </c>
      <c r="C30" s="4">
        <v>362</v>
      </c>
      <c r="D30" s="4">
        <v>1898</v>
      </c>
      <c r="E30" s="4">
        <v>3417</v>
      </c>
      <c r="F30" s="4">
        <v>5146</v>
      </c>
      <c r="G30" s="4">
        <v>6387</v>
      </c>
      <c r="H30" s="45">
        <v>6387</v>
      </c>
      <c r="I30" s="39">
        <v>6387</v>
      </c>
      <c r="J30" s="39">
        <v>6387</v>
      </c>
      <c r="K30" s="39">
        <v>6387</v>
      </c>
      <c r="L30" s="46">
        <v>6387</v>
      </c>
    </row>
    <row r="31" spans="2:13">
      <c r="B31" s="22" t="s">
        <v>55</v>
      </c>
      <c r="C31" s="4">
        <v>2774</v>
      </c>
      <c r="D31" s="4">
        <v>3000</v>
      </c>
      <c r="E31" s="4">
        <v>3029</v>
      </c>
      <c r="F31" s="4">
        <v>3518</v>
      </c>
      <c r="G31" s="4">
        <v>3836</v>
      </c>
      <c r="H31" s="45">
        <v>4000</v>
      </c>
      <c r="I31" s="39">
        <v>4100</v>
      </c>
      <c r="J31" s="39">
        <v>4200</v>
      </c>
      <c r="K31" s="39">
        <v>4300</v>
      </c>
      <c r="L31" s="46">
        <v>4300</v>
      </c>
    </row>
    <row r="32" spans="2:13">
      <c r="B32" s="22" t="s">
        <v>56</v>
      </c>
      <c r="C32" s="26">
        <v>2070</v>
      </c>
      <c r="D32" s="26">
        <v>2472</v>
      </c>
      <c r="E32" s="26">
        <v>2605</v>
      </c>
      <c r="F32" s="26">
        <v>2686</v>
      </c>
      <c r="G32" s="26">
        <v>3392</v>
      </c>
      <c r="H32" s="60">
        <v>3300</v>
      </c>
      <c r="I32" s="36">
        <v>3300</v>
      </c>
      <c r="J32" s="36">
        <v>3300</v>
      </c>
      <c r="K32" s="36">
        <v>3300</v>
      </c>
      <c r="L32" s="61">
        <v>3300</v>
      </c>
    </row>
    <row r="33" spans="2:16">
      <c r="B33" s="11" t="s">
        <v>57</v>
      </c>
      <c r="C33" s="7">
        <f t="shared" ref="C33" si="8">SUM(C28:C32)</f>
        <v>23732</v>
      </c>
      <c r="D33" s="7">
        <f>SUM(D28:D32)</f>
        <v>22229</v>
      </c>
      <c r="E33" s="7">
        <f t="shared" ref="E33:L33" si="9">SUM(E28:E32)</f>
        <v>28011</v>
      </c>
      <c r="F33" s="7">
        <f t="shared" si="9"/>
        <v>30833</v>
      </c>
      <c r="G33" s="7">
        <f t="shared" si="9"/>
        <v>35616</v>
      </c>
      <c r="H33" s="89">
        <f t="shared" si="9"/>
        <v>35798</v>
      </c>
      <c r="I33" s="90">
        <f t="shared" si="9"/>
        <v>36098</v>
      </c>
      <c r="J33" s="90">
        <f t="shared" si="9"/>
        <v>36554</v>
      </c>
      <c r="K33" s="90">
        <f t="shared" si="9"/>
        <v>36954</v>
      </c>
      <c r="L33" s="91">
        <f t="shared" si="9"/>
        <v>37054</v>
      </c>
    </row>
    <row r="34" spans="2:16" s="21" customFormat="1">
      <c r="B34" s="11"/>
      <c r="C34" s="4"/>
      <c r="D34" s="4"/>
      <c r="E34" s="4"/>
      <c r="F34" s="4"/>
      <c r="G34" s="4"/>
      <c r="H34" s="43"/>
      <c r="I34" s="38"/>
      <c r="J34" s="38"/>
      <c r="K34" s="38"/>
      <c r="L34" s="44"/>
    </row>
    <row r="35" spans="2:16">
      <c r="B35" s="22" t="s">
        <v>64</v>
      </c>
      <c r="C35" s="4">
        <v>94</v>
      </c>
      <c r="D35" s="27">
        <v>0</v>
      </c>
      <c r="E35" s="27">
        <v>0</v>
      </c>
      <c r="F35" s="27">
        <v>0</v>
      </c>
      <c r="G35" s="27">
        <v>0</v>
      </c>
      <c r="H35" s="107">
        <v>0</v>
      </c>
      <c r="I35" s="108">
        <v>0</v>
      </c>
      <c r="J35" s="108">
        <v>0</v>
      </c>
      <c r="K35" s="108">
        <v>0</v>
      </c>
      <c r="L35" s="109">
        <v>0</v>
      </c>
    </row>
    <row r="36" spans="2:16">
      <c r="B36" s="22" t="s">
        <v>58</v>
      </c>
      <c r="C36" s="4">
        <v>10589</v>
      </c>
      <c r="D36" s="4">
        <v>11189</v>
      </c>
      <c r="E36" s="4">
        <v>11472</v>
      </c>
      <c r="F36" s="4">
        <v>11797</v>
      </c>
      <c r="G36" s="4">
        <v>12187</v>
      </c>
      <c r="H36" s="45">
        <v>10906</v>
      </c>
      <c r="I36" s="39">
        <v>12790</v>
      </c>
      <c r="J36" s="39">
        <v>13822</v>
      </c>
      <c r="K36" s="39">
        <v>15841</v>
      </c>
      <c r="L36" s="46">
        <v>18358</v>
      </c>
      <c r="P36" s="81"/>
    </row>
    <row r="37" spans="2:16">
      <c r="B37" s="22" t="s">
        <v>59</v>
      </c>
      <c r="C37" s="4">
        <v>-25037</v>
      </c>
      <c r="D37" s="4">
        <v>-27904</v>
      </c>
      <c r="E37" s="4">
        <v>-27904</v>
      </c>
      <c r="F37" s="4">
        <v>-28704</v>
      </c>
      <c r="G37" s="4">
        <v>-31445</v>
      </c>
      <c r="H37" s="45">
        <f>G37+CF!H33</f>
        <v>-32445</v>
      </c>
      <c r="I37" s="39">
        <f>H37+CF!I33</f>
        <v>-33445</v>
      </c>
      <c r="J37" s="39">
        <f>I37+CF!J33</f>
        <v>-33945</v>
      </c>
      <c r="K37" s="39">
        <f>J37+CF!K33</f>
        <v>-34445</v>
      </c>
      <c r="L37" s="46">
        <f>K37+CF!L33</f>
        <v>-34945</v>
      </c>
      <c r="P37" s="21"/>
    </row>
    <row r="38" spans="2:16">
      <c r="B38" s="22" t="s">
        <v>60</v>
      </c>
      <c r="C38" s="4">
        <v>18199</v>
      </c>
      <c r="D38" s="4">
        <v>20677</v>
      </c>
      <c r="E38" s="4">
        <v>22110</v>
      </c>
      <c r="F38" s="4">
        <v>24744</v>
      </c>
      <c r="G38" s="4">
        <v>28236</v>
      </c>
      <c r="H38" s="49">
        <f>G38+IS!H31</f>
        <v>29905.447499999998</v>
      </c>
      <c r="I38" s="41">
        <f>H38+IS!I31</f>
        <v>31460.491499999996</v>
      </c>
      <c r="J38" s="41">
        <f>I38+IS!J31</f>
        <v>32887.212749999999</v>
      </c>
      <c r="K38" s="41">
        <f>J38+IS!K31</f>
        <v>34145.157749999998</v>
      </c>
      <c r="L38" s="50">
        <f>K38+IS!L31</f>
        <v>35353.18275</v>
      </c>
    </row>
    <row r="39" spans="2:16">
      <c r="B39" s="22" t="s">
        <v>61</v>
      </c>
      <c r="C39" s="4">
        <v>-16</v>
      </c>
      <c r="D39" s="4">
        <v>309</v>
      </c>
      <c r="E39" s="4">
        <v>-37</v>
      </c>
      <c r="F39" s="4">
        <v>-71</v>
      </c>
      <c r="G39" s="4">
        <v>-61</v>
      </c>
      <c r="H39" s="45">
        <v>-61</v>
      </c>
      <c r="I39" s="39">
        <v>-61</v>
      </c>
      <c r="J39" s="39">
        <v>-61</v>
      </c>
      <c r="K39" s="39">
        <v>-61</v>
      </c>
      <c r="L39" s="46">
        <v>-61</v>
      </c>
    </row>
    <row r="40" spans="2:16">
      <c r="B40" s="22" t="s">
        <v>62</v>
      </c>
      <c r="C40" s="26">
        <v>3735</v>
      </c>
      <c r="D40" s="26">
        <v>4271</v>
      </c>
      <c r="E40" s="26">
        <v>5641</v>
      </c>
      <c r="F40" s="26">
        <v>7766</v>
      </c>
      <c r="G40" s="26">
        <f t="shared" ref="G40:L40" si="10">SUM(G36:G39)</f>
        <v>8917</v>
      </c>
      <c r="H40" s="60">
        <f t="shared" si="10"/>
        <v>8305.4474999999984</v>
      </c>
      <c r="I40" s="36">
        <f t="shared" si="10"/>
        <v>10744.491499999996</v>
      </c>
      <c r="J40" s="36">
        <f t="shared" si="10"/>
        <v>12703.212749999999</v>
      </c>
      <c r="K40" s="36">
        <f t="shared" si="10"/>
        <v>15480.157749999998</v>
      </c>
      <c r="L40" s="61">
        <f t="shared" si="10"/>
        <v>18705.18275</v>
      </c>
    </row>
    <row r="41" spans="2:16" ht="15.75" thickBot="1">
      <c r="B41" s="11" t="s">
        <v>63</v>
      </c>
      <c r="C41" s="7">
        <f>SUM(C33+C35+C40)</f>
        <v>27561</v>
      </c>
      <c r="D41" s="7">
        <f>SUM(D33+D40)</f>
        <v>26500</v>
      </c>
      <c r="E41" s="7">
        <f>SUM(E33+E40)</f>
        <v>33652</v>
      </c>
      <c r="F41" s="7">
        <f>SUM(F33+F40)</f>
        <v>38599</v>
      </c>
      <c r="G41" s="7">
        <f>SUM(G33+G40)</f>
        <v>44533</v>
      </c>
      <c r="H41" s="110">
        <f>SUM(H33+H40)</f>
        <v>44103.447499999995</v>
      </c>
      <c r="I41" s="111">
        <f t="shared" ref="I41:L41" si="11">SUM(I33+I40)</f>
        <v>46842.491499999996</v>
      </c>
      <c r="J41" s="111">
        <f t="shared" si="11"/>
        <v>49257.212749999999</v>
      </c>
      <c r="K41" s="111">
        <f t="shared" si="11"/>
        <v>52434.157749999998</v>
      </c>
      <c r="L41" s="112">
        <f t="shared" si="11"/>
        <v>55759.18275</v>
      </c>
    </row>
    <row r="42" spans="2:16">
      <c r="B42" s="22"/>
      <c r="D42" s="4"/>
      <c r="E42" s="4"/>
    </row>
    <row r="43" spans="2:16">
      <c r="B43" s="22"/>
      <c r="D43" s="4"/>
      <c r="E43" s="4"/>
      <c r="H43" s="81"/>
    </row>
    <row r="44" spans="2:16">
      <c r="B44" s="21" t="s">
        <v>108</v>
      </c>
      <c r="C44" s="102">
        <v>10.08</v>
      </c>
      <c r="D44" s="102">
        <v>14.13</v>
      </c>
      <c r="E44" s="102">
        <v>13.34</v>
      </c>
      <c r="F44" s="102">
        <v>14.4</v>
      </c>
      <c r="G44" s="102">
        <v>10.14</v>
      </c>
    </row>
    <row r="45" spans="2:16">
      <c r="B45" s="21" t="s">
        <v>110</v>
      </c>
      <c r="C45" s="4">
        <f>IS!C32</f>
        <v>2247</v>
      </c>
      <c r="D45" s="4">
        <f>IS!D32</f>
        <v>1986</v>
      </c>
      <c r="E45" s="4">
        <f>IS!E32</f>
        <v>1962</v>
      </c>
      <c r="F45" s="4">
        <f>IS!F32</f>
        <v>1955</v>
      </c>
      <c r="G45" s="4">
        <f>IS!G32</f>
        <v>1853</v>
      </c>
      <c r="N45" s="82"/>
    </row>
    <row r="46" spans="2:16">
      <c r="B46" s="21" t="s">
        <v>109</v>
      </c>
      <c r="C46" s="4">
        <f>C44*C45</f>
        <v>22649.759999999998</v>
      </c>
      <c r="D46" s="4">
        <f t="shared" ref="D46:G46" si="12">D44*D45</f>
        <v>28062.18</v>
      </c>
      <c r="E46" s="4">
        <f t="shared" si="12"/>
        <v>26173.079999999998</v>
      </c>
      <c r="F46" s="4">
        <f t="shared" si="12"/>
        <v>28152</v>
      </c>
      <c r="G46" s="4">
        <f t="shared" si="12"/>
        <v>18789.420000000002</v>
      </c>
    </row>
    <row r="47" spans="2:16">
      <c r="B47" s="21" t="s">
        <v>111</v>
      </c>
      <c r="C47" s="82">
        <f>(C24+C30)/(C24+C30+C40)</f>
        <v>0.13581675150393335</v>
      </c>
      <c r="D47" s="82">
        <f>(D24+D30)/(D24+D30+D40)</f>
        <v>0.32012098057943328</v>
      </c>
      <c r="E47" s="82">
        <f>(E24+E30)/(E24+E30+E40)</f>
        <v>0.41970990638823169</v>
      </c>
      <c r="F47" s="82">
        <f>(F24+F30)/(F24+F30+F40)</f>
        <v>0.43573348833829834</v>
      </c>
      <c r="G47" s="82">
        <f>(G24+G30)/(G24+G30+G40)</f>
        <v>0.50927301744538001</v>
      </c>
    </row>
    <row r="50" spans="3:3">
      <c r="C50" s="8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4"/>
  <sheetViews>
    <sheetView workbookViewId="0">
      <selection activeCell="H23" sqref="H23"/>
    </sheetView>
  </sheetViews>
  <sheetFormatPr defaultRowHeight="15"/>
  <cols>
    <col min="1" max="1" width="2.140625" style="21" bestFit="1" customWidth="1"/>
    <col min="2" max="2" width="44.85546875" bestFit="1" customWidth="1"/>
    <col min="3" max="3" width="10.5703125" bestFit="1" customWidth="1"/>
    <col min="8" max="8" width="10.42578125" bestFit="1" customWidth="1"/>
    <col min="9" max="9" width="10.28515625" bestFit="1" customWidth="1"/>
    <col min="10" max="12" width="10.42578125" bestFit="1" customWidth="1"/>
  </cols>
  <sheetData>
    <row r="1" spans="1:12">
      <c r="A1" s="21" t="s">
        <v>3</v>
      </c>
      <c r="B1" s="32" t="s">
        <v>29</v>
      </c>
    </row>
    <row r="2" spans="1:12">
      <c r="B2" s="22" t="s">
        <v>65</v>
      </c>
    </row>
    <row r="3" spans="1:12">
      <c r="B3" s="31" t="s">
        <v>2</v>
      </c>
    </row>
    <row r="4" spans="1:12" ht="15.75" thickBot="1">
      <c r="B4" s="31" t="s">
        <v>1</v>
      </c>
    </row>
    <row r="5" spans="1:12">
      <c r="B5" s="9" t="s">
        <v>78</v>
      </c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2">
      <c r="B6" s="22" t="s">
        <v>20</v>
      </c>
      <c r="C6" s="30">
        <f>IS!C31</f>
        <v>2947</v>
      </c>
      <c r="D6" s="30">
        <f>IS!D31</f>
        <v>2478</v>
      </c>
      <c r="E6" s="30">
        <f>IS!E31</f>
        <v>1433</v>
      </c>
      <c r="F6" s="30">
        <f>IS!F31</f>
        <v>2635</v>
      </c>
      <c r="G6" s="30">
        <f>IS!G31</f>
        <v>3492</v>
      </c>
      <c r="H6" s="83">
        <f>IS!H31</f>
        <v>1669.4474999999989</v>
      </c>
      <c r="I6" s="84">
        <f>IS!I31</f>
        <v>1555.0439999999999</v>
      </c>
      <c r="J6" s="84">
        <f>IS!J31</f>
        <v>1426.7212500000001</v>
      </c>
      <c r="K6" s="84">
        <f>IS!K31</f>
        <v>1257.9450000000006</v>
      </c>
      <c r="L6" s="85">
        <f>IS!L31</f>
        <v>1208.0250000000001</v>
      </c>
    </row>
    <row r="7" spans="1:12">
      <c r="B7" s="22" t="s">
        <v>76</v>
      </c>
      <c r="C7" s="13">
        <v>607</v>
      </c>
      <c r="D7" s="13">
        <v>769</v>
      </c>
      <c r="E7" s="13">
        <v>852</v>
      </c>
      <c r="F7" s="13">
        <v>970</v>
      </c>
      <c r="G7" s="13">
        <v>936</v>
      </c>
      <c r="H7" s="62">
        <f>-IS!H24</f>
        <v>850.94999999999993</v>
      </c>
      <c r="I7" s="63">
        <f>-IS!I24</f>
        <v>835.92</v>
      </c>
      <c r="J7" s="39">
        <f>-IS!J24</f>
        <v>819.22500000000002</v>
      </c>
      <c r="K7" s="39">
        <f>-IS!K24</f>
        <v>811.5</v>
      </c>
      <c r="L7" s="46">
        <f>-IS!L24</f>
        <v>802.5</v>
      </c>
    </row>
    <row r="8" spans="1:12">
      <c r="B8" s="22" t="s">
        <v>67</v>
      </c>
      <c r="C8" s="13">
        <v>329</v>
      </c>
      <c r="D8" s="13">
        <v>418</v>
      </c>
      <c r="E8" s="13">
        <v>312</v>
      </c>
      <c r="F8" s="13">
        <v>332</v>
      </c>
      <c r="G8" s="13">
        <v>362</v>
      </c>
      <c r="H8" s="86">
        <v>362</v>
      </c>
      <c r="I8" s="87">
        <v>362</v>
      </c>
      <c r="J8" s="87">
        <v>362</v>
      </c>
      <c r="K8" s="87">
        <v>362</v>
      </c>
      <c r="L8" s="88">
        <v>362</v>
      </c>
    </row>
    <row r="9" spans="1:12" s="21" customFormat="1">
      <c r="B9" s="22" t="s">
        <v>86</v>
      </c>
      <c r="C9" s="13">
        <v>30</v>
      </c>
      <c r="D9" s="13">
        <v>-115</v>
      </c>
      <c r="E9" s="13">
        <v>59</v>
      </c>
      <c r="F9" s="13">
        <v>-4</v>
      </c>
      <c r="G9" s="13">
        <v>-5</v>
      </c>
      <c r="H9" s="86">
        <v>10</v>
      </c>
      <c r="I9" s="87">
        <v>10</v>
      </c>
      <c r="J9" s="87">
        <v>10</v>
      </c>
      <c r="K9" s="87">
        <v>10</v>
      </c>
      <c r="L9" s="88">
        <v>10</v>
      </c>
    </row>
    <row r="10" spans="1:12" s="21" customFormat="1">
      <c r="B10" s="22" t="s">
        <v>89</v>
      </c>
      <c r="C10" s="13">
        <v>-308</v>
      </c>
      <c r="D10" s="13">
        <v>86</v>
      </c>
      <c r="E10" s="13">
        <v>-52</v>
      </c>
      <c r="F10" s="13">
        <v>-45</v>
      </c>
      <c r="G10" s="13">
        <v>19</v>
      </c>
      <c r="H10" s="86">
        <v>-30</v>
      </c>
      <c r="I10" s="87">
        <v>-30</v>
      </c>
      <c r="J10" s="87">
        <v>-30</v>
      </c>
      <c r="K10" s="87">
        <v>-30</v>
      </c>
      <c r="L10" s="88">
        <v>-30</v>
      </c>
    </row>
    <row r="11" spans="1:12" s="21" customFormat="1">
      <c r="B11" s="22" t="s">
        <v>95</v>
      </c>
      <c r="C11" s="13">
        <v>187</v>
      </c>
      <c r="D11" s="13">
        <v>310</v>
      </c>
      <c r="E11" s="13">
        <v>429</v>
      </c>
      <c r="F11" s="13">
        <v>382</v>
      </c>
      <c r="G11" s="13">
        <v>234</v>
      </c>
      <c r="H11" s="86">
        <v>308</v>
      </c>
      <c r="I11" s="87">
        <v>308</v>
      </c>
      <c r="J11" s="87">
        <v>308</v>
      </c>
      <c r="K11" s="87">
        <v>308</v>
      </c>
      <c r="L11" s="88">
        <v>308</v>
      </c>
    </row>
    <row r="12" spans="1:12" s="21" customFormat="1">
      <c r="B12" s="22" t="s">
        <v>68</v>
      </c>
      <c r="C12" s="13">
        <v>30</v>
      </c>
      <c r="D12" s="13">
        <v>34</v>
      </c>
      <c r="E12" s="13">
        <v>102</v>
      </c>
      <c r="F12" s="13">
        <v>26</v>
      </c>
      <c r="G12" s="13">
        <v>21</v>
      </c>
      <c r="H12" s="86">
        <v>20</v>
      </c>
      <c r="I12" s="87">
        <v>20</v>
      </c>
      <c r="J12" s="87">
        <v>25</v>
      </c>
      <c r="K12" s="87">
        <v>30</v>
      </c>
      <c r="L12" s="88">
        <v>30</v>
      </c>
    </row>
    <row r="13" spans="1:12" s="21" customFormat="1">
      <c r="B13" s="9" t="s">
        <v>36</v>
      </c>
      <c r="C13" s="13">
        <v>-1086</v>
      </c>
      <c r="D13" s="13">
        <v>480</v>
      </c>
      <c r="E13" s="13">
        <v>-660</v>
      </c>
      <c r="F13" s="13">
        <v>-707</v>
      </c>
      <c r="G13" s="13">
        <v>-53</v>
      </c>
      <c r="H13" s="86">
        <v>-405</v>
      </c>
      <c r="I13" s="87">
        <v>-405</v>
      </c>
      <c r="J13" s="87">
        <v>-405</v>
      </c>
      <c r="K13" s="87">
        <v>-405</v>
      </c>
      <c r="L13" s="88">
        <v>-405</v>
      </c>
    </row>
    <row r="14" spans="1:12">
      <c r="B14" s="9" t="s">
        <v>37</v>
      </c>
      <c r="C14" s="13">
        <v>-394</v>
      </c>
      <c r="D14" s="13">
        <v>-302</v>
      </c>
      <c r="E14" s="13">
        <v>-1085</v>
      </c>
      <c r="F14" s="13">
        <v>-709</v>
      </c>
      <c r="G14" s="13">
        <v>-372</v>
      </c>
      <c r="H14" s="86">
        <v>-570</v>
      </c>
      <c r="I14" s="87">
        <v>-570</v>
      </c>
      <c r="J14" s="87">
        <v>-570</v>
      </c>
      <c r="K14" s="87">
        <v>-570</v>
      </c>
      <c r="L14" s="88">
        <v>-570</v>
      </c>
    </row>
    <row r="15" spans="1:12" s="21" customFormat="1">
      <c r="B15" s="9" t="s">
        <v>38</v>
      </c>
      <c r="C15" s="13">
        <v>-498</v>
      </c>
      <c r="D15" s="13">
        <v>309</v>
      </c>
      <c r="E15" s="13">
        <v>-183</v>
      </c>
      <c r="F15" s="13">
        <v>-248</v>
      </c>
      <c r="G15" s="13">
        <v>-52</v>
      </c>
      <c r="H15" s="86">
        <v>-250</v>
      </c>
      <c r="I15" s="87">
        <v>-250</v>
      </c>
      <c r="J15" s="87">
        <v>-250</v>
      </c>
      <c r="K15" s="87">
        <v>-250</v>
      </c>
      <c r="L15" s="88">
        <v>-250</v>
      </c>
    </row>
    <row r="16" spans="1:12" s="21" customFormat="1">
      <c r="B16" s="9" t="s">
        <v>90</v>
      </c>
      <c r="C16" s="13">
        <v>-121</v>
      </c>
      <c r="D16" s="13">
        <v>-106</v>
      </c>
      <c r="E16" s="13">
        <v>-225</v>
      </c>
      <c r="F16" s="13">
        <v>516</v>
      </c>
      <c r="G16" s="13">
        <v>-28</v>
      </c>
      <c r="H16" s="86">
        <v>100</v>
      </c>
      <c r="I16" s="87">
        <v>150</v>
      </c>
      <c r="J16" s="87">
        <v>200</v>
      </c>
      <c r="K16" s="87">
        <v>225</v>
      </c>
      <c r="L16" s="88">
        <v>250</v>
      </c>
    </row>
    <row r="17" spans="2:14" s="21" customFormat="1">
      <c r="B17" s="9" t="s">
        <v>50</v>
      </c>
      <c r="C17" s="13">
        <v>837</v>
      </c>
      <c r="D17" s="13">
        <v>-3117</v>
      </c>
      <c r="E17" s="13">
        <v>2833</v>
      </c>
      <c r="F17" s="13">
        <v>-151</v>
      </c>
      <c r="G17" s="13">
        <v>327</v>
      </c>
      <c r="H17" s="86">
        <v>-500</v>
      </c>
      <c r="I17" s="87">
        <v>300</v>
      </c>
      <c r="J17" s="87">
        <v>-400</v>
      </c>
      <c r="K17" s="87">
        <v>300</v>
      </c>
      <c r="L17" s="88">
        <v>300</v>
      </c>
    </row>
    <row r="18" spans="2:14" s="21" customFormat="1">
      <c r="B18" s="9" t="s">
        <v>91</v>
      </c>
      <c r="C18" s="13">
        <v>1032</v>
      </c>
      <c r="D18" s="13">
        <v>663</v>
      </c>
      <c r="E18" s="13">
        <v>135</v>
      </c>
      <c r="F18" s="13">
        <v>551</v>
      </c>
      <c r="G18" s="13">
        <v>720</v>
      </c>
      <c r="H18" s="86">
        <v>720</v>
      </c>
      <c r="I18" s="87">
        <v>720</v>
      </c>
      <c r="J18" s="87">
        <v>720</v>
      </c>
      <c r="K18" s="87">
        <v>720</v>
      </c>
      <c r="L18" s="88">
        <v>720</v>
      </c>
    </row>
    <row r="19" spans="2:14" s="21" customFormat="1">
      <c r="B19" s="9" t="s">
        <v>92</v>
      </c>
      <c r="C19" s="13">
        <v>274</v>
      </c>
      <c r="D19" s="13">
        <v>-13</v>
      </c>
      <c r="E19" s="13">
        <v>-44</v>
      </c>
      <c r="F19" s="13">
        <v>421</v>
      </c>
      <c r="G19" s="13">
        <v>-74</v>
      </c>
      <c r="H19" s="86">
        <v>-100</v>
      </c>
      <c r="I19" s="87">
        <v>-100</v>
      </c>
      <c r="J19" s="87">
        <v>-100</v>
      </c>
      <c r="K19" s="87">
        <v>-100</v>
      </c>
      <c r="L19" s="88">
        <v>-100</v>
      </c>
    </row>
    <row r="20" spans="2:14">
      <c r="B20" s="28" t="s">
        <v>69</v>
      </c>
      <c r="C20" s="34">
        <f>SUM(C6:C19)</f>
        <v>3866</v>
      </c>
      <c r="D20" s="34">
        <f>SUM(D6:D19)</f>
        <v>1894</v>
      </c>
      <c r="E20" s="34">
        <f>SUM(E6:E19)</f>
        <v>3906</v>
      </c>
      <c r="F20" s="34">
        <f>SUM(F6:F19)</f>
        <v>3969</v>
      </c>
      <c r="G20" s="34">
        <f>SUM(G6:G19)</f>
        <v>5527</v>
      </c>
      <c r="H20" s="89">
        <f t="shared" ref="H20:L20" si="1">SUM(H6:H19)</f>
        <v>2185.3974999999987</v>
      </c>
      <c r="I20" s="90">
        <f t="shared" si="1"/>
        <v>2905.9639999999999</v>
      </c>
      <c r="J20" s="90">
        <f t="shared" si="1"/>
        <v>2115.94625</v>
      </c>
      <c r="K20" s="90">
        <f t="shared" si="1"/>
        <v>2669.4450000000006</v>
      </c>
      <c r="L20" s="91">
        <f t="shared" si="1"/>
        <v>2635.5250000000001</v>
      </c>
    </row>
    <row r="21" spans="2:14">
      <c r="B21" s="21"/>
      <c r="C21" s="4"/>
      <c r="D21" s="4"/>
      <c r="E21" s="4"/>
      <c r="F21" s="4"/>
      <c r="G21" s="4"/>
      <c r="H21" s="43"/>
      <c r="I21" s="38"/>
      <c r="J21" s="38"/>
      <c r="K21" s="38"/>
      <c r="L21" s="44"/>
    </row>
    <row r="22" spans="2:14">
      <c r="B22" s="9" t="s">
        <v>70</v>
      </c>
      <c r="C22" s="4"/>
      <c r="D22" s="4"/>
      <c r="E22" s="4"/>
      <c r="F22" s="4"/>
      <c r="G22" s="4"/>
      <c r="H22" s="43"/>
      <c r="I22" s="38"/>
      <c r="J22" s="38"/>
      <c r="K22" s="38"/>
      <c r="L22" s="44"/>
    </row>
    <row r="23" spans="2:14" s="21" customFormat="1">
      <c r="B23" s="22" t="s">
        <v>79</v>
      </c>
      <c r="C23" s="13">
        <v>-2394</v>
      </c>
      <c r="D23" s="13">
        <v>-1584</v>
      </c>
      <c r="E23" s="13">
        <v>-1383</v>
      </c>
      <c r="F23" s="13">
        <v>-1360</v>
      </c>
      <c r="G23" s="13">
        <v>-4656</v>
      </c>
      <c r="H23" s="49">
        <f>SUM(C23:G23)/5</f>
        <v>-2275.4</v>
      </c>
      <c r="I23" s="41">
        <v>-2275</v>
      </c>
      <c r="J23" s="41">
        <v>-2275</v>
      </c>
      <c r="K23" s="41">
        <v>-2275</v>
      </c>
      <c r="L23" s="50">
        <v>-2275</v>
      </c>
    </row>
    <row r="24" spans="2:14" s="21" customFormat="1">
      <c r="B24" s="22" t="s">
        <v>80</v>
      </c>
      <c r="C24" s="13">
        <v>3679</v>
      </c>
      <c r="D24" s="13">
        <v>2333</v>
      </c>
      <c r="E24" s="13">
        <v>1538</v>
      </c>
      <c r="F24" s="13">
        <v>1358</v>
      </c>
      <c r="G24" s="13">
        <v>1435</v>
      </c>
      <c r="H24" s="49">
        <f>SUM(C24:G24)/5</f>
        <v>2068.6</v>
      </c>
      <c r="I24" s="41">
        <v>2069</v>
      </c>
      <c r="J24" s="41">
        <v>2069</v>
      </c>
      <c r="K24" s="41">
        <v>2069</v>
      </c>
      <c r="L24" s="50">
        <v>2069</v>
      </c>
    </row>
    <row r="25" spans="2:14">
      <c r="B25" s="22" t="s">
        <v>71</v>
      </c>
      <c r="C25" s="13">
        <v>-831</v>
      </c>
      <c r="D25" s="13">
        <v>-440</v>
      </c>
      <c r="E25" s="13">
        <v>-367</v>
      </c>
      <c r="F25" s="13">
        <v>-444</v>
      </c>
      <c r="G25" s="13">
        <v>-675</v>
      </c>
      <c r="H25" s="49">
        <v>-675</v>
      </c>
      <c r="I25" s="41">
        <v>-700</v>
      </c>
      <c r="J25" s="41">
        <v>-800</v>
      </c>
      <c r="K25" s="41">
        <v>-900</v>
      </c>
      <c r="L25" s="50">
        <v>-1000</v>
      </c>
      <c r="N25" s="21"/>
    </row>
    <row r="26" spans="2:14" s="21" customFormat="1">
      <c r="B26" s="22" t="s">
        <v>93</v>
      </c>
      <c r="C26" s="33">
        <v>0</v>
      </c>
      <c r="D26" s="13">
        <v>44</v>
      </c>
      <c r="E26" s="13">
        <v>16</v>
      </c>
      <c r="F26" s="13">
        <v>18</v>
      </c>
      <c r="G26" s="139">
        <v>14</v>
      </c>
      <c r="H26" s="86">
        <v>20</v>
      </c>
      <c r="I26" s="41">
        <v>20</v>
      </c>
      <c r="J26" s="41">
        <v>20</v>
      </c>
      <c r="K26" s="41">
        <v>20</v>
      </c>
      <c r="L26" s="50">
        <v>20</v>
      </c>
    </row>
    <row r="27" spans="2:14" s="21" customFormat="1">
      <c r="B27" s="22" t="s">
        <v>98</v>
      </c>
      <c r="C27" s="33">
        <v>0</v>
      </c>
      <c r="D27" s="140">
        <v>0</v>
      </c>
      <c r="E27" s="139">
        <v>0</v>
      </c>
      <c r="F27" s="13">
        <v>-430</v>
      </c>
      <c r="G27" s="33">
        <v>0</v>
      </c>
      <c r="H27" s="92">
        <v>0</v>
      </c>
      <c r="I27" s="93">
        <v>0</v>
      </c>
      <c r="J27" s="93">
        <v>0</v>
      </c>
      <c r="K27" s="93">
        <v>0</v>
      </c>
      <c r="L27" s="94">
        <v>0</v>
      </c>
    </row>
    <row r="28" spans="2:14" s="21" customFormat="1">
      <c r="B28" s="22" t="s">
        <v>99</v>
      </c>
      <c r="C28" s="33">
        <v>0</v>
      </c>
      <c r="D28" s="33">
        <v>0</v>
      </c>
      <c r="E28" s="33">
        <v>0</v>
      </c>
      <c r="F28" s="13">
        <v>69</v>
      </c>
      <c r="G28" s="33">
        <v>278</v>
      </c>
      <c r="H28" s="92">
        <v>200</v>
      </c>
      <c r="I28" s="93">
        <v>200</v>
      </c>
      <c r="J28" s="93">
        <v>200</v>
      </c>
      <c r="K28" s="93">
        <v>200</v>
      </c>
      <c r="L28" s="94">
        <v>200</v>
      </c>
    </row>
    <row r="29" spans="2:14">
      <c r="B29" s="22" t="s">
        <v>81</v>
      </c>
      <c r="C29" s="13">
        <v>-2217</v>
      </c>
      <c r="D29" s="13">
        <v>-176</v>
      </c>
      <c r="E29" s="13">
        <v>-3613</v>
      </c>
      <c r="F29" s="13">
        <v>-376</v>
      </c>
      <c r="G29" s="13">
        <v>-2562</v>
      </c>
      <c r="H29" s="86">
        <v>-1800</v>
      </c>
      <c r="I29" s="87">
        <v>-1800</v>
      </c>
      <c r="J29" s="87">
        <v>-1800</v>
      </c>
      <c r="K29" s="87">
        <v>-1700</v>
      </c>
      <c r="L29" s="88">
        <v>-1500</v>
      </c>
      <c r="M29" s="21"/>
    </row>
    <row r="30" spans="2:14">
      <c r="B30" s="11" t="s">
        <v>72</v>
      </c>
      <c r="C30" s="7">
        <f>SUM(C23:C29)</f>
        <v>-1763</v>
      </c>
      <c r="D30" s="7">
        <f>SUM(D23:D29)</f>
        <v>177</v>
      </c>
      <c r="E30" s="7">
        <f>SUM(E23:E29)</f>
        <v>-3809</v>
      </c>
      <c r="F30" s="7">
        <f>SUM(F23:F29)</f>
        <v>-1165</v>
      </c>
      <c r="G30" s="7">
        <f>SUM(G23:G29)</f>
        <v>-6166</v>
      </c>
      <c r="H30" s="89">
        <f t="shared" ref="H30:L30" si="2">SUM(H23:H29)</f>
        <v>-2461.8000000000002</v>
      </c>
      <c r="I30" s="90">
        <f t="shared" si="2"/>
        <v>-2486</v>
      </c>
      <c r="J30" s="90">
        <f t="shared" si="2"/>
        <v>-2586</v>
      </c>
      <c r="K30" s="90">
        <f t="shared" si="2"/>
        <v>-2586</v>
      </c>
      <c r="L30" s="91">
        <f t="shared" si="2"/>
        <v>-2486</v>
      </c>
    </row>
    <row r="31" spans="2:14">
      <c r="B31" s="21"/>
      <c r="C31" s="4"/>
      <c r="D31" s="4"/>
      <c r="E31" s="4"/>
      <c r="F31" s="4"/>
      <c r="G31" s="4"/>
      <c r="H31" s="43"/>
      <c r="I31" s="38"/>
      <c r="J31" s="38"/>
      <c r="K31" s="38"/>
      <c r="L31" s="44"/>
    </row>
    <row r="32" spans="2:14">
      <c r="B32" s="9" t="s">
        <v>73</v>
      </c>
      <c r="C32" s="4"/>
      <c r="D32" s="4"/>
      <c r="E32" s="4"/>
      <c r="F32" s="4"/>
      <c r="G32" s="4"/>
      <c r="H32" s="43"/>
      <c r="I32" s="38"/>
      <c r="J32" s="38"/>
      <c r="K32" s="38"/>
      <c r="L32" s="44"/>
    </row>
    <row r="33" spans="2:13">
      <c r="B33" s="22" t="s">
        <v>82</v>
      </c>
      <c r="C33" s="13">
        <v>-4004</v>
      </c>
      <c r="D33" s="13">
        <v>-2867</v>
      </c>
      <c r="E33" s="35">
        <v>0</v>
      </c>
      <c r="F33" s="13">
        <v>-800</v>
      </c>
      <c r="G33" s="13">
        <v>-2717</v>
      </c>
      <c r="H33" s="101">
        <v>-1000</v>
      </c>
      <c r="I33" s="128">
        <v>-1000</v>
      </c>
      <c r="J33" s="128">
        <v>-500</v>
      </c>
      <c r="K33" s="128">
        <v>-500</v>
      </c>
      <c r="L33" s="129">
        <v>-500</v>
      </c>
    </row>
    <row r="34" spans="2:13">
      <c r="B34" s="22" t="s">
        <v>83</v>
      </c>
      <c r="C34" s="13">
        <v>136</v>
      </c>
      <c r="D34" s="13">
        <v>79</v>
      </c>
      <c r="E34" s="13">
        <v>2</v>
      </c>
      <c r="F34" s="13">
        <v>12</v>
      </c>
      <c r="G34" s="13">
        <v>40</v>
      </c>
      <c r="H34" s="86">
        <v>40</v>
      </c>
      <c r="I34" s="87">
        <v>40</v>
      </c>
      <c r="J34" s="87">
        <v>40</v>
      </c>
      <c r="K34" s="87">
        <v>40</v>
      </c>
      <c r="L34" s="88">
        <v>40</v>
      </c>
    </row>
    <row r="35" spans="2:13" s="21" customFormat="1">
      <c r="B35" s="22" t="s">
        <v>84</v>
      </c>
      <c r="C35" s="13">
        <v>-100</v>
      </c>
      <c r="D35" s="13">
        <v>100</v>
      </c>
      <c r="E35" s="13">
        <v>76</v>
      </c>
      <c r="F35" s="13">
        <v>-176</v>
      </c>
      <c r="G35" s="13">
        <v>635</v>
      </c>
      <c r="H35" s="86">
        <v>500</v>
      </c>
      <c r="I35" s="87">
        <v>600</v>
      </c>
      <c r="J35" s="87">
        <v>650</v>
      </c>
      <c r="K35" s="87">
        <v>700</v>
      </c>
      <c r="L35" s="88">
        <v>725</v>
      </c>
    </row>
    <row r="36" spans="2:13" s="21" customFormat="1">
      <c r="B36" s="22" t="s">
        <v>94</v>
      </c>
      <c r="C36" s="13">
        <v>-165</v>
      </c>
      <c r="D36" s="13">
        <v>-237</v>
      </c>
      <c r="E36" s="13">
        <v>-122</v>
      </c>
      <c r="F36" s="13">
        <v>-1630</v>
      </c>
      <c r="G36" s="13">
        <v>-1435</v>
      </c>
      <c r="H36" s="86">
        <v>-1435</v>
      </c>
      <c r="I36" s="87">
        <v>-1500</v>
      </c>
      <c r="J36" s="87">
        <v>-1550</v>
      </c>
      <c r="K36" s="87">
        <v>-1600</v>
      </c>
      <c r="L36" s="88">
        <v>-1650</v>
      </c>
    </row>
    <row r="37" spans="2:13" s="21" customFormat="1">
      <c r="B37" s="22" t="s">
        <v>85</v>
      </c>
      <c r="C37" s="13">
        <v>66</v>
      </c>
      <c r="D37" s="13">
        <v>1519</v>
      </c>
      <c r="E37" s="13">
        <v>2058</v>
      </c>
      <c r="F37" s="13">
        <v>3069</v>
      </c>
      <c r="G37" s="13">
        <v>4050</v>
      </c>
      <c r="H37" s="86">
        <v>4050</v>
      </c>
      <c r="I37" s="87">
        <v>4100</v>
      </c>
      <c r="J37" s="87">
        <v>4150</v>
      </c>
      <c r="K37" s="87">
        <v>4200</v>
      </c>
      <c r="L37" s="88">
        <v>4250</v>
      </c>
    </row>
    <row r="38" spans="2:13">
      <c r="B38" s="22" t="s">
        <v>68</v>
      </c>
      <c r="C38" s="13">
        <v>-53</v>
      </c>
      <c r="D38" s="33">
        <v>0</v>
      </c>
      <c r="E38" s="13">
        <v>-2</v>
      </c>
      <c r="F38" s="13">
        <v>2</v>
      </c>
      <c r="G38" s="13">
        <v>4</v>
      </c>
      <c r="H38" s="86">
        <v>4</v>
      </c>
      <c r="I38" s="87">
        <v>4</v>
      </c>
      <c r="J38" s="87">
        <v>4</v>
      </c>
      <c r="K38" s="87">
        <v>4</v>
      </c>
      <c r="L38" s="88">
        <v>4</v>
      </c>
    </row>
    <row r="39" spans="2:13">
      <c r="B39" s="11" t="s">
        <v>74</v>
      </c>
      <c r="C39" s="7">
        <f>SUM(C33:C38)</f>
        <v>-4120</v>
      </c>
      <c r="D39" s="7">
        <f>SUM(D33:D38)</f>
        <v>-1406</v>
      </c>
      <c r="E39" s="7">
        <f>SUM(E33:E38)</f>
        <v>2012</v>
      </c>
      <c r="F39" s="7">
        <f t="shared" ref="F39:L39" si="3">SUM(F33:F38)</f>
        <v>477</v>
      </c>
      <c r="G39" s="7">
        <f t="shared" si="3"/>
        <v>577</v>
      </c>
      <c r="H39" s="89">
        <f t="shared" si="3"/>
        <v>2159</v>
      </c>
      <c r="I39" s="90">
        <f t="shared" si="3"/>
        <v>2244</v>
      </c>
      <c r="J39" s="90">
        <f t="shared" si="3"/>
        <v>2794</v>
      </c>
      <c r="K39" s="90">
        <f t="shared" si="3"/>
        <v>2844</v>
      </c>
      <c r="L39" s="91">
        <f t="shared" si="3"/>
        <v>2869</v>
      </c>
    </row>
    <row r="40" spans="2:13" s="21" customFormat="1">
      <c r="B40" s="11"/>
      <c r="C40" s="4"/>
      <c r="D40" s="4"/>
      <c r="E40" s="4"/>
      <c r="F40" s="4"/>
      <c r="G40" s="4"/>
      <c r="H40" s="43"/>
      <c r="I40" s="38"/>
      <c r="J40" s="38"/>
      <c r="K40" s="38"/>
      <c r="L40" s="44"/>
    </row>
    <row r="41" spans="2:13" s="21" customFormat="1">
      <c r="B41" s="11" t="s">
        <v>77</v>
      </c>
      <c r="C41" s="13">
        <v>152</v>
      </c>
      <c r="D41" s="13">
        <v>-77</v>
      </c>
      <c r="E41" s="13">
        <v>174</v>
      </c>
      <c r="F41" s="13">
        <v>-3</v>
      </c>
      <c r="G41" s="13">
        <v>1</v>
      </c>
      <c r="H41" s="86">
        <v>10</v>
      </c>
      <c r="I41" s="87">
        <v>10</v>
      </c>
      <c r="J41" s="87">
        <v>10</v>
      </c>
      <c r="K41" s="87">
        <v>10</v>
      </c>
      <c r="L41" s="88">
        <v>10</v>
      </c>
    </row>
    <row r="42" spans="2:13">
      <c r="B42" s="22"/>
      <c r="C42" s="4"/>
      <c r="D42" s="4"/>
      <c r="E42" s="4"/>
      <c r="F42" s="4"/>
      <c r="G42" s="4"/>
      <c r="H42" s="43"/>
      <c r="I42" s="38"/>
      <c r="J42" s="38"/>
      <c r="K42" s="38"/>
      <c r="L42" s="44"/>
    </row>
    <row r="43" spans="2:13">
      <c r="B43" s="22" t="s">
        <v>75</v>
      </c>
      <c r="C43" s="29">
        <f>C41+C39+C30+C20</f>
        <v>-1865</v>
      </c>
      <c r="D43" s="29">
        <f>D41+D39+D30+D20</f>
        <v>588</v>
      </c>
      <c r="E43" s="29">
        <f>E41+E39+E30+E20</f>
        <v>2283</v>
      </c>
      <c r="F43" s="29">
        <f>F41+F39+F30+F20</f>
        <v>3278</v>
      </c>
      <c r="G43" s="29">
        <f>G41+G39+G30+G20</f>
        <v>-61</v>
      </c>
      <c r="H43" s="95">
        <f t="shared" ref="H43:L43" si="4">H41+H39+H30+H20</f>
        <v>1892.5974999999985</v>
      </c>
      <c r="I43" s="96">
        <f t="shared" si="4"/>
        <v>2673.9639999999999</v>
      </c>
      <c r="J43" s="96">
        <f t="shared" si="4"/>
        <v>2333.94625</v>
      </c>
      <c r="K43" s="96">
        <f t="shared" si="4"/>
        <v>2937.4450000000006</v>
      </c>
      <c r="L43" s="97">
        <f t="shared" si="4"/>
        <v>3028.5250000000001</v>
      </c>
    </row>
    <row r="44" spans="2:13">
      <c r="B44" s="22" t="s">
        <v>87</v>
      </c>
      <c r="C44" s="29">
        <v>9546</v>
      </c>
      <c r="D44" s="29">
        <f>C45</f>
        <v>7764</v>
      </c>
      <c r="E44" s="29">
        <f>D45</f>
        <v>8352</v>
      </c>
      <c r="F44" s="29">
        <f>E45</f>
        <v>10635</v>
      </c>
      <c r="G44" s="29">
        <f>F45</f>
        <v>13913</v>
      </c>
      <c r="H44" s="95">
        <f t="shared" ref="H44:L44" si="5">G45</f>
        <v>13852</v>
      </c>
      <c r="I44" s="96">
        <f t="shared" si="5"/>
        <v>15744.597499999998</v>
      </c>
      <c r="J44" s="96">
        <f t="shared" si="5"/>
        <v>18418.561499999996</v>
      </c>
      <c r="K44" s="96">
        <f t="shared" si="5"/>
        <v>20752.507749999997</v>
      </c>
      <c r="L44" s="97">
        <f t="shared" si="5"/>
        <v>23689.952749999997</v>
      </c>
    </row>
    <row r="45" spans="2:13">
      <c r="B45" s="22" t="s">
        <v>88</v>
      </c>
      <c r="C45" s="29">
        <v>7764</v>
      </c>
      <c r="D45" s="29">
        <f>SUM(D43:D44)</f>
        <v>8352</v>
      </c>
      <c r="E45" s="29">
        <f>SUM(E43:E44)</f>
        <v>10635</v>
      </c>
      <c r="F45" s="29">
        <f>SUM(F43:F44)</f>
        <v>13913</v>
      </c>
      <c r="G45" s="29">
        <f>SUM(G43:G44)</f>
        <v>13852</v>
      </c>
      <c r="H45" s="95">
        <f t="shared" ref="H45:L45" si="6">SUM(H43:H44)</f>
        <v>15744.597499999998</v>
      </c>
      <c r="I45" s="96">
        <f t="shared" si="6"/>
        <v>18418.561499999996</v>
      </c>
      <c r="J45" s="96">
        <f t="shared" si="6"/>
        <v>20752.507749999997</v>
      </c>
      <c r="K45" s="96">
        <f t="shared" si="6"/>
        <v>23689.952749999997</v>
      </c>
      <c r="L45" s="97">
        <f t="shared" si="6"/>
        <v>26718.477749999998</v>
      </c>
    </row>
    <row r="46" spans="2:13">
      <c r="C46" s="4"/>
      <c r="D46" s="4"/>
      <c r="E46" s="4"/>
      <c r="F46" s="4"/>
      <c r="G46" s="4"/>
      <c r="H46" s="43"/>
      <c r="I46" s="38"/>
      <c r="J46" s="38"/>
      <c r="K46" s="38"/>
      <c r="L46" s="44"/>
    </row>
    <row r="47" spans="2:13">
      <c r="B47" s="22" t="s">
        <v>96</v>
      </c>
      <c r="C47" s="137">
        <v>767</v>
      </c>
      <c r="D47" s="22">
        <v>800</v>
      </c>
      <c r="E47" s="22">
        <v>434</v>
      </c>
      <c r="F47" s="22">
        <v>435</v>
      </c>
      <c r="G47" s="22">
        <v>408</v>
      </c>
      <c r="H47" s="132">
        <f>-IS!H30</f>
        <v>556.48249999999962</v>
      </c>
      <c r="I47" s="130">
        <f>-IS!I30</f>
        <v>518.34799999999996</v>
      </c>
      <c r="J47" s="130">
        <f>-IS!J30</f>
        <v>475.57375000000002</v>
      </c>
      <c r="K47" s="135">
        <f>-IS!K30</f>
        <v>677.35500000000036</v>
      </c>
      <c r="L47" s="133">
        <f>-IS!L30</f>
        <v>650.47499999999991</v>
      </c>
      <c r="M47" s="131"/>
    </row>
    <row r="48" spans="2:13">
      <c r="B48" s="22" t="s">
        <v>97</v>
      </c>
      <c r="C48" s="138">
        <v>54</v>
      </c>
      <c r="D48" s="22">
        <v>74</v>
      </c>
      <c r="E48" s="22">
        <v>151</v>
      </c>
      <c r="F48" s="22">
        <v>188</v>
      </c>
      <c r="G48" s="22">
        <v>267</v>
      </c>
      <c r="H48" s="98">
        <v>300</v>
      </c>
      <c r="I48" s="99">
        <v>350</v>
      </c>
      <c r="J48" s="99">
        <v>400</v>
      </c>
      <c r="K48" s="136">
        <v>450</v>
      </c>
      <c r="L48" s="100">
        <v>500</v>
      </c>
    </row>
    <row r="49" spans="2:12">
      <c r="H49" s="43"/>
      <c r="I49" s="38"/>
      <c r="J49" s="38"/>
      <c r="K49" s="38"/>
      <c r="L49" s="44"/>
    </row>
    <row r="50" spans="2:12" ht="15.75" thickBot="1">
      <c r="B50" s="22" t="s">
        <v>107</v>
      </c>
      <c r="C50" s="20">
        <f>-C25/IS!C9</f>
        <v>1.3593312940637627E-2</v>
      </c>
      <c r="D50" s="20">
        <f>-D25/IS!D9</f>
        <v>7.2011914698613773E-3</v>
      </c>
      <c r="E50" s="20">
        <f>-E25/IS!E9</f>
        <v>6.9373558655627388E-3</v>
      </c>
      <c r="F50" s="20">
        <f>-F25/IS!F9</f>
        <v>7.2202166064981952E-3</v>
      </c>
      <c r="G50" s="20">
        <f>-G25/IS!G9</f>
        <v>1.0874643553350195E-2</v>
      </c>
      <c r="H50" s="74">
        <f>-H25/IS!H9</f>
        <v>1.1898466419883659E-2</v>
      </c>
      <c r="I50" s="75">
        <f>-I25/IS!I9</f>
        <v>1.2561010623026126E-2</v>
      </c>
      <c r="J50" s="75">
        <f>-J25/IS!J9</f>
        <v>1.4647990478806189E-2</v>
      </c>
      <c r="K50" s="75">
        <f>-K25/IS!K9</f>
        <v>1.6635859519408502E-2</v>
      </c>
      <c r="L50" s="76">
        <f>-L25/IS!L9</f>
        <v>1.8691588785046728E-2</v>
      </c>
    </row>
    <row r="2001" spans="2:2">
      <c r="B2001" s="19"/>
    </row>
    <row r="2002" spans="2:2">
      <c r="B2002" s="2"/>
    </row>
    <row r="2003" spans="2:2">
      <c r="B2003" s="1"/>
    </row>
    <row r="2004" spans="2:2">
      <c r="B2004" s="1"/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I3" sqref="I3"/>
    </sheetView>
  </sheetViews>
  <sheetFormatPr defaultRowHeight="15"/>
  <cols>
    <col min="1" max="1" width="2.140625" style="21" bestFit="1" customWidth="1"/>
    <col min="2" max="2" width="42.85546875" bestFit="1" customWidth="1"/>
    <col min="3" max="3" width="11.5703125" bestFit="1" customWidth="1"/>
    <col min="8" max="8" width="11.5703125" customWidth="1"/>
  </cols>
  <sheetData>
    <row r="1" spans="1:11">
      <c r="A1" s="21" t="s">
        <v>3</v>
      </c>
      <c r="B1" s="113" t="s">
        <v>29</v>
      </c>
      <c r="C1" s="21"/>
      <c r="D1" s="21"/>
      <c r="E1" s="21"/>
      <c r="F1" s="21"/>
      <c r="G1" s="21"/>
      <c r="H1" s="21"/>
      <c r="I1" s="21"/>
      <c r="J1" s="21"/>
      <c r="K1" s="21"/>
    </row>
    <row r="2" spans="1:11">
      <c r="B2" s="22" t="s">
        <v>112</v>
      </c>
      <c r="C2" s="21"/>
      <c r="D2" s="21"/>
      <c r="E2" s="21"/>
      <c r="F2" s="21"/>
      <c r="G2" s="21"/>
      <c r="H2" s="21"/>
      <c r="I2" s="21"/>
      <c r="J2" s="21"/>
      <c r="K2" s="21"/>
    </row>
    <row r="3" spans="1:11">
      <c r="B3" s="114" t="s">
        <v>2</v>
      </c>
      <c r="C3" s="21"/>
      <c r="D3" s="21"/>
      <c r="E3" s="21"/>
      <c r="F3" s="21"/>
      <c r="G3" s="21"/>
      <c r="H3" s="21"/>
      <c r="I3" s="21"/>
      <c r="J3" s="21"/>
      <c r="K3" s="21"/>
    </row>
    <row r="4" spans="1:11">
      <c r="B4" s="114" t="str">
        <f>[1]IS!B4</f>
        <v>$ in Millions</v>
      </c>
      <c r="C4" s="21"/>
      <c r="D4" s="21"/>
      <c r="E4" s="21"/>
      <c r="F4" s="21"/>
      <c r="G4" s="21"/>
      <c r="H4" s="21"/>
      <c r="I4" s="21"/>
      <c r="J4" s="21"/>
      <c r="K4" s="21"/>
    </row>
    <row r="5" spans="1:11">
      <c r="B5" s="21"/>
      <c r="C5" s="115">
        <f>[1]IS!AD5</f>
        <v>2011</v>
      </c>
      <c r="D5" s="116">
        <f t="shared" ref="D5:I5" si="0">C5+1</f>
        <v>2012</v>
      </c>
      <c r="E5" s="117">
        <f t="shared" si="0"/>
        <v>2013</v>
      </c>
      <c r="F5" s="117">
        <f t="shared" si="0"/>
        <v>2014</v>
      </c>
      <c r="G5" s="117">
        <f t="shared" si="0"/>
        <v>2015</v>
      </c>
      <c r="H5" s="117">
        <f t="shared" si="0"/>
        <v>2016</v>
      </c>
      <c r="I5" s="117">
        <f t="shared" si="0"/>
        <v>2017</v>
      </c>
      <c r="J5" s="21"/>
      <c r="K5" s="21"/>
    </row>
    <row r="6" spans="1:11">
      <c r="B6" s="22" t="s">
        <v>16</v>
      </c>
      <c r="C6" s="121">
        <f>IS!F26</f>
        <v>3433</v>
      </c>
      <c r="D6" s="121">
        <f>IS!G26</f>
        <v>4431</v>
      </c>
      <c r="E6" s="121">
        <f>IS!H26</f>
        <v>2325.9299999999985</v>
      </c>
      <c r="F6" s="121">
        <f>IS!I26</f>
        <v>2173.3919999999998</v>
      </c>
      <c r="G6" s="121">
        <f>IS!J26</f>
        <v>1802.2950000000001</v>
      </c>
      <c r="H6" s="121">
        <f>IS!K26</f>
        <v>1785.3000000000011</v>
      </c>
      <c r="I6" s="121">
        <f>IS!L26</f>
        <v>1658.5</v>
      </c>
      <c r="J6" s="21"/>
      <c r="K6" s="21"/>
    </row>
    <row r="7" spans="1:11">
      <c r="B7" s="22" t="s">
        <v>137</v>
      </c>
      <c r="C7" s="121">
        <f>C6*(1-0.35)</f>
        <v>2231.4500000000003</v>
      </c>
      <c r="D7" s="121">
        <f t="shared" ref="D7:I7" si="1">D6*(1-0.35)</f>
        <v>2880.15</v>
      </c>
      <c r="E7" s="121">
        <f t="shared" si="1"/>
        <v>1511.854499999999</v>
      </c>
      <c r="F7" s="121">
        <f t="shared" si="1"/>
        <v>1412.7048</v>
      </c>
      <c r="G7" s="121">
        <f t="shared" si="1"/>
        <v>1171.4917500000001</v>
      </c>
      <c r="H7" s="121">
        <f t="shared" si="1"/>
        <v>1160.4450000000008</v>
      </c>
      <c r="I7" s="121">
        <f t="shared" si="1"/>
        <v>1078.0250000000001</v>
      </c>
      <c r="J7" s="21"/>
      <c r="K7" s="21"/>
    </row>
    <row r="8" spans="1:11">
      <c r="B8" s="22" t="s">
        <v>113</v>
      </c>
      <c r="C8" s="121">
        <f>-IS!F24</f>
        <v>970</v>
      </c>
      <c r="D8" s="121">
        <f>-IS!G24</f>
        <v>936</v>
      </c>
      <c r="E8" s="121">
        <f>-IS!H24</f>
        <v>850.94999999999993</v>
      </c>
      <c r="F8" s="121">
        <f>-IS!I24</f>
        <v>835.92</v>
      </c>
      <c r="G8" s="121">
        <f>-IS!J24</f>
        <v>819.22500000000002</v>
      </c>
      <c r="H8" s="121">
        <f>-IS!K24</f>
        <v>811.5</v>
      </c>
      <c r="I8" s="121">
        <f>-IS!L24</f>
        <v>802.5</v>
      </c>
      <c r="J8" s="21"/>
      <c r="K8" s="21"/>
    </row>
    <row r="9" spans="1:11">
      <c r="B9" s="22" t="s">
        <v>114</v>
      </c>
      <c r="C9" s="121">
        <v>0</v>
      </c>
      <c r="D9" s="121">
        <v>0</v>
      </c>
      <c r="E9" s="121">
        <v>0</v>
      </c>
      <c r="F9" s="121">
        <v>0</v>
      </c>
      <c r="G9" s="121">
        <v>0</v>
      </c>
      <c r="H9" s="121">
        <v>0</v>
      </c>
      <c r="I9" s="121">
        <v>0</v>
      </c>
      <c r="J9" s="21"/>
      <c r="K9" s="21"/>
    </row>
    <row r="10" spans="1:11">
      <c r="B10" s="22" t="s">
        <v>115</v>
      </c>
      <c r="C10" s="121">
        <f>CF!F25</f>
        <v>-444</v>
      </c>
      <c r="D10" s="121">
        <f>CF!G25</f>
        <v>-675</v>
      </c>
      <c r="E10" s="121">
        <f>CF!H25</f>
        <v>-675</v>
      </c>
      <c r="F10" s="121">
        <f>CF!I25</f>
        <v>-700</v>
      </c>
      <c r="G10" s="121">
        <f>CF!J25</f>
        <v>-800</v>
      </c>
      <c r="H10" s="121">
        <f>CF!K25</f>
        <v>-900</v>
      </c>
      <c r="I10" s="121">
        <f>CF!L25</f>
        <v>-1000</v>
      </c>
      <c r="J10" s="21"/>
      <c r="K10" s="21"/>
    </row>
    <row r="11" spans="1:11">
      <c r="B11" s="22" t="s">
        <v>116</v>
      </c>
      <c r="C11" s="122">
        <f>CF!F29</f>
        <v>-376</v>
      </c>
      <c r="D11" s="122">
        <f>CF!G29</f>
        <v>-2562</v>
      </c>
      <c r="E11" s="122">
        <f>CF!H29</f>
        <v>-1800</v>
      </c>
      <c r="F11" s="122">
        <f>CF!I29</f>
        <v>-1800</v>
      </c>
      <c r="G11" s="122">
        <f>CF!J29</f>
        <v>-1800</v>
      </c>
      <c r="H11" s="122">
        <f>CF!K29</f>
        <v>-1700</v>
      </c>
      <c r="I11" s="122">
        <f>CF!L29</f>
        <v>-1500</v>
      </c>
      <c r="J11" s="21"/>
      <c r="K11" s="21"/>
    </row>
    <row r="12" spans="1:11">
      <c r="B12" s="11" t="s">
        <v>117</v>
      </c>
      <c r="C12" s="123">
        <f>SUM(C6:C11)</f>
        <v>5814.4500000000007</v>
      </c>
      <c r="D12" s="123">
        <f t="shared" ref="D12:I12" si="2">SUM(D6:D11)</f>
        <v>5010.1499999999996</v>
      </c>
      <c r="E12" s="123">
        <f t="shared" si="2"/>
        <v>2213.7344999999978</v>
      </c>
      <c r="F12" s="123">
        <f t="shared" si="2"/>
        <v>1922.0167999999994</v>
      </c>
      <c r="G12" s="123">
        <f t="shared" si="2"/>
        <v>1193.0117500000001</v>
      </c>
      <c r="H12" s="123">
        <f t="shared" si="2"/>
        <v>1157.2450000000017</v>
      </c>
      <c r="I12" s="123">
        <f t="shared" si="2"/>
        <v>1039.0250000000001</v>
      </c>
      <c r="J12" s="21"/>
      <c r="K12" s="21"/>
    </row>
    <row r="13" spans="1:11"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>
      <c r="B14" s="22" t="s">
        <v>118</v>
      </c>
      <c r="C14" s="124">
        <f>NPV(I21,E12:I12)</f>
        <v>6099.1417643267032</v>
      </c>
      <c r="D14" s="21"/>
      <c r="E14" s="22" t="s">
        <v>134</v>
      </c>
      <c r="F14" s="21"/>
      <c r="G14" s="21"/>
      <c r="H14" s="21"/>
      <c r="I14" s="119">
        <v>1.8499999999999999E-2</v>
      </c>
      <c r="J14" s="21"/>
      <c r="K14" s="21"/>
    </row>
    <row r="15" spans="1:11">
      <c r="B15" s="22" t="s">
        <v>119</v>
      </c>
      <c r="C15" s="124">
        <f>I12*(1+I22)/(I21-I22)</f>
        <v>17045.696444333829</v>
      </c>
      <c r="D15" s="21"/>
      <c r="E15" s="22" t="s">
        <v>135</v>
      </c>
      <c r="F15" s="21"/>
      <c r="G15" s="21"/>
      <c r="H15" s="21"/>
      <c r="I15" s="118">
        <v>0.51</v>
      </c>
      <c r="J15" s="21"/>
      <c r="K15" s="21"/>
    </row>
    <row r="16" spans="1:11">
      <c r="B16" s="22" t="s">
        <v>120</v>
      </c>
      <c r="C16" s="124">
        <f>C15/(1+I21)^5</f>
        <v>11207.53373405731</v>
      </c>
      <c r="D16" s="21"/>
      <c r="E16" s="22" t="s">
        <v>136</v>
      </c>
      <c r="F16" s="21"/>
      <c r="G16" s="21"/>
      <c r="H16" s="21"/>
      <c r="I16" s="118">
        <f>(10%-I14)</f>
        <v>8.1500000000000003E-2</v>
      </c>
      <c r="J16" s="21"/>
      <c r="K16" s="21"/>
    </row>
    <row r="17" spans="2:11">
      <c r="B17" s="22" t="s">
        <v>133</v>
      </c>
      <c r="C17" s="124">
        <f>C14+C16</f>
        <v>17306.675498384015</v>
      </c>
      <c r="D17" s="21"/>
      <c r="E17" s="22" t="s">
        <v>121</v>
      </c>
      <c r="F17" s="21"/>
      <c r="G17" s="21"/>
      <c r="H17" s="21"/>
      <c r="I17" s="21">
        <v>1.59</v>
      </c>
      <c r="J17" s="21"/>
      <c r="K17" s="21"/>
    </row>
    <row r="18" spans="2:11">
      <c r="B18" s="22" t="s">
        <v>122</v>
      </c>
      <c r="C18" s="124">
        <f>BS!F7</f>
        <v>13913</v>
      </c>
      <c r="D18" s="21"/>
      <c r="E18" s="22" t="s">
        <v>123</v>
      </c>
      <c r="F18" s="21"/>
      <c r="G18" s="21"/>
      <c r="H18" s="21"/>
      <c r="I18" s="119">
        <f>I14 + I17*I16</f>
        <v>0.14808499999999999</v>
      </c>
      <c r="J18" s="21"/>
      <c r="K18" s="21"/>
    </row>
    <row r="19" spans="2:11">
      <c r="B19" s="22" t="s">
        <v>124</v>
      </c>
      <c r="C19" s="125">
        <f>-(BS!F24+BS!F30)</f>
        <v>-5997</v>
      </c>
      <c r="D19" s="21"/>
      <c r="E19" s="22" t="s">
        <v>125</v>
      </c>
      <c r="F19" s="21"/>
      <c r="G19" s="21"/>
      <c r="H19" s="21"/>
      <c r="I19" s="119">
        <v>4.4999999999999998E-2</v>
      </c>
      <c r="J19" s="21"/>
      <c r="K19" s="21"/>
    </row>
    <row r="20" spans="2:11">
      <c r="B20" s="22" t="s">
        <v>126</v>
      </c>
      <c r="C20" s="124">
        <v>0</v>
      </c>
      <c r="D20" s="21"/>
      <c r="E20" s="22"/>
      <c r="F20" s="21"/>
      <c r="G20" s="21"/>
      <c r="H20" s="21"/>
      <c r="I20" s="21"/>
      <c r="J20" s="21"/>
      <c r="K20" s="21"/>
    </row>
    <row r="21" spans="2:11">
      <c r="B21" s="22" t="s">
        <v>127</v>
      </c>
      <c r="C21" s="124">
        <f>SUM(C17:C20)</f>
        <v>25222.675498384015</v>
      </c>
      <c r="D21" s="21"/>
      <c r="E21" s="22" t="s">
        <v>128</v>
      </c>
      <c r="F21" s="21"/>
      <c r="G21" s="21"/>
      <c r="H21" s="21"/>
      <c r="I21" s="118">
        <f>I18*(1-I15)+I19*(I15)*(1-I23)</f>
        <v>8.7479149999999992E-2</v>
      </c>
      <c r="J21" s="21"/>
      <c r="K21" s="21"/>
    </row>
    <row r="22" spans="2:11" ht="15.75" thickBot="1">
      <c r="B22" s="22" t="s">
        <v>129</v>
      </c>
      <c r="C22" s="4">
        <v>1853</v>
      </c>
      <c r="D22" s="21"/>
      <c r="E22" s="22" t="s">
        <v>130</v>
      </c>
      <c r="F22" s="21"/>
      <c r="G22" s="21"/>
      <c r="H22" s="21"/>
      <c r="I22" s="119">
        <v>2.5000000000000001E-2</v>
      </c>
      <c r="J22" s="21"/>
      <c r="K22" s="21"/>
    </row>
    <row r="23" spans="2:11" ht="15.75" thickBot="1">
      <c r="B23" s="22" t="s">
        <v>131</v>
      </c>
      <c r="C23" s="126">
        <f>C21/C22</f>
        <v>13.611805449748523</v>
      </c>
      <c r="D23" s="21"/>
      <c r="E23" s="22" t="s">
        <v>132</v>
      </c>
      <c r="F23" s="21"/>
      <c r="G23" s="21"/>
      <c r="H23" s="21"/>
      <c r="I23" s="118">
        <v>0.35</v>
      </c>
      <c r="J23" s="21"/>
      <c r="K23" s="21"/>
    </row>
    <row r="24" spans="2:11"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120"/>
      <c r="C25" s="21"/>
      <c r="D25" s="21"/>
      <c r="E25" s="21"/>
      <c r="F25" s="21"/>
      <c r="G25" s="21"/>
      <c r="H25" s="21"/>
      <c r="I25" s="21"/>
      <c r="J25" s="21"/>
      <c r="K25" s="2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</vt:lpstr>
      <vt:lpstr>DCF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nichols1</cp:lastModifiedBy>
  <dcterms:created xsi:type="dcterms:W3CDTF">2012-10-13T22:24:32Z</dcterms:created>
  <dcterms:modified xsi:type="dcterms:W3CDTF">2013-01-18T20:28:40Z</dcterms:modified>
</cp:coreProperties>
</file>