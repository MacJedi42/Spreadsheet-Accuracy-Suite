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showInkAnnotation="0" codeName="ThisWorkbook" defaultThemeVersion="124226"/>
  <bookViews>
    <workbookView xWindow="120" yWindow="420" windowWidth="15330" windowHeight="7290"/>
  </bookViews>
  <sheets>
    <sheet name="Dedicated Role - Planner" sheetId="1" r:id="rId1"/>
    <sheet name="Co-located Role - Planner" sheetId="2" r:id="rId2"/>
    <sheet name="Reference Data" sheetId="3" state="veryHidden" r:id="rId3"/>
  </sheets>
  <calcPr calcId="145621" iterate="1" iterateDelta="0.01"/>
</workbook>
</file>

<file path=xl/calcChain.xml><?xml version="1.0" encoding="utf-8"?>
<calcChain xmlns="http://schemas.openxmlformats.org/spreadsheetml/2006/main">
  <c r="D49" i="3" l="1"/>
  <c r="D54" i="3"/>
  <c r="F54" i="3"/>
  <c r="H54" i="3"/>
  <c r="J54" i="3"/>
  <c r="L54" i="3"/>
  <c r="N54" i="3"/>
  <c r="P54" i="3"/>
  <c r="R54" i="3"/>
  <c r="T54" i="3"/>
  <c r="V54" i="3"/>
  <c r="D55" i="3"/>
  <c r="F60" i="3"/>
  <c r="F61" i="3" s="1"/>
  <c r="F65" i="3" s="1"/>
  <c r="H60" i="3"/>
  <c r="H61" i="3" s="1"/>
  <c r="H65" i="3" s="1"/>
  <c r="J60" i="3"/>
  <c r="J61" i="3" s="1"/>
  <c r="L60" i="3"/>
  <c r="L61" i="3" s="1"/>
  <c r="N60" i="3"/>
  <c r="N61" i="3" s="1"/>
  <c r="N65" i="3" s="1"/>
  <c r="P60" i="3"/>
  <c r="P61" i="3" s="1"/>
  <c r="P65" i="3" s="1"/>
  <c r="R60" i="3"/>
  <c r="R61" i="3" s="1"/>
  <c r="T60" i="3"/>
  <c r="T61" i="3" s="1"/>
  <c r="V60" i="3"/>
  <c r="V61" i="3" s="1"/>
  <c r="V65" i="3" s="1"/>
  <c r="D62" i="3"/>
  <c r="F62" i="3"/>
  <c r="H62" i="3"/>
  <c r="J62" i="3"/>
  <c r="L62" i="3"/>
  <c r="N62" i="3"/>
  <c r="P62" i="3"/>
  <c r="R62" i="3"/>
  <c r="T62" i="3"/>
  <c r="V62" i="3"/>
  <c r="D63" i="3"/>
  <c r="F63" i="3"/>
  <c r="H63" i="3"/>
  <c r="J63" i="3"/>
  <c r="L63" i="3"/>
  <c r="N63" i="3"/>
  <c r="P63" i="3"/>
  <c r="R63" i="3"/>
  <c r="T63" i="3"/>
  <c r="V63" i="3"/>
  <c r="D64" i="3"/>
  <c r="F64" i="3"/>
  <c r="H64" i="3"/>
  <c r="J64" i="3"/>
  <c r="L64" i="3"/>
  <c r="N64" i="3"/>
  <c r="P64" i="3"/>
  <c r="R64" i="3"/>
  <c r="T64" i="3"/>
  <c r="V64" i="3"/>
  <c r="G76" i="3"/>
  <c r="C126" i="3"/>
  <c r="C127" i="3"/>
  <c r="C128" i="3"/>
  <c r="C129" i="3"/>
  <c r="D23" i="3"/>
  <c r="D21" i="3"/>
  <c r="D22" i="3" s="1"/>
  <c r="D19" i="3"/>
  <c r="D18" i="3"/>
  <c r="D56" i="3" l="1"/>
  <c r="D57" i="3" s="1"/>
  <c r="G125" i="3" s="1"/>
  <c r="T65" i="3"/>
  <c r="L65" i="3"/>
  <c r="G28" i="3"/>
  <c r="D69" i="3"/>
  <c r="R65" i="3"/>
  <c r="J65" i="3"/>
  <c r="D70" i="3"/>
  <c r="D24" i="3"/>
  <c r="D29" i="3" s="1"/>
  <c r="D131" i="3" l="1"/>
  <c r="D58" i="3"/>
  <c r="D60" i="3" s="1"/>
  <c r="D61" i="3" s="1"/>
  <c r="D68" i="3" s="1"/>
  <c r="D84" i="3" s="1"/>
  <c r="D71" i="3"/>
  <c r="D28" i="3"/>
  <c r="D26" i="3"/>
  <c r="D27" i="3" s="1"/>
  <c r="D65" i="3" l="1"/>
  <c r="D72" i="3" s="1"/>
  <c r="D78" i="3" s="1"/>
  <c r="D30" i="3"/>
  <c r="P5" i="3"/>
  <c r="G77" i="3" s="1"/>
  <c r="D80" i="3" l="1"/>
  <c r="D76" i="3"/>
  <c r="E76" i="3" s="1"/>
  <c r="E84" i="3" s="1"/>
  <c r="F84" i="3" s="1"/>
  <c r="G84" i="3" s="1"/>
  <c r="D94" i="3" s="1"/>
  <c r="E94" i="3" s="1"/>
  <c r="F94" i="3" s="1"/>
  <c r="D77" i="3"/>
  <c r="G126" i="3" s="1"/>
  <c r="D79" i="3"/>
  <c r="G128" i="3" s="1"/>
  <c r="E78" i="3"/>
  <c r="G127" i="3"/>
  <c r="D85" i="3"/>
  <c r="E80" i="3"/>
  <c r="G129" i="3"/>
  <c r="G19" i="1"/>
  <c r="C25" i="1"/>
  <c r="P6" i="3"/>
  <c r="G78" i="3" s="1"/>
  <c r="E79" i="3" l="1"/>
  <c r="E77" i="3"/>
  <c r="D86" i="3"/>
  <c r="E86" i="3" s="1"/>
  <c r="F86" i="3" s="1"/>
  <c r="G86" i="3" s="1"/>
  <c r="E85" i="3"/>
  <c r="F85" i="3" s="1"/>
  <c r="G85" i="3" s="1"/>
  <c r="P7" i="3"/>
  <c r="G79" i="3" s="1"/>
  <c r="D96" i="3" l="1"/>
  <c r="E96" i="3" s="1"/>
  <c r="F96" i="3" s="1"/>
  <c r="D87" i="3"/>
  <c r="E87" i="3" s="1"/>
  <c r="F87" i="3" s="1"/>
  <c r="G87" i="3" s="1"/>
  <c r="D95" i="3"/>
  <c r="E95" i="3" s="1"/>
  <c r="F95" i="3" s="1"/>
  <c r="P8" i="3"/>
  <c r="G80" i="3" s="1"/>
  <c r="D97" i="3" l="1"/>
  <c r="E97" i="3" s="1"/>
  <c r="F97" i="3" s="1"/>
  <c r="D88" i="3"/>
  <c r="E88" i="3" s="1"/>
  <c r="F88" i="3" s="1"/>
  <c r="G88" i="3" s="1"/>
  <c r="E7" i="2"/>
  <c r="D98" i="3" l="1"/>
  <c r="E98" i="3" s="1"/>
  <c r="F98" i="3" s="1"/>
  <c r="D10" i="2"/>
  <c r="C11" i="2" l="1"/>
  <c r="C10" i="2" l="1"/>
  <c r="G23" i="1" l="1"/>
  <c r="G22" i="1"/>
  <c r="G20" i="1"/>
  <c r="G21" i="1"/>
  <c r="M7" i="3"/>
  <c r="F79" i="3" s="1"/>
  <c r="M6" i="3"/>
  <c r="F78" i="3" s="1"/>
  <c r="M5" i="3"/>
  <c r="F77" i="3" s="1"/>
  <c r="M4" i="3"/>
  <c r="F76" i="3" s="1"/>
  <c r="M8" i="3"/>
  <c r="F80" i="3" s="1"/>
  <c r="H85" i="3" l="1"/>
  <c r="I85" i="3" s="1"/>
  <c r="H86" i="3"/>
  <c r="I86" i="3" s="1"/>
  <c r="H88" i="3"/>
  <c r="I88" i="3" s="1"/>
  <c r="H87" i="3"/>
  <c r="I87" i="3" s="1"/>
  <c r="H84" i="3"/>
  <c r="I84" i="3" s="1"/>
  <c r="D105" i="3" l="1"/>
  <c r="J87" i="3"/>
  <c r="K87" i="3" s="1"/>
  <c r="L87" i="3" s="1"/>
  <c r="D104" i="3"/>
  <c r="J86" i="3"/>
  <c r="K86" i="3" s="1"/>
  <c r="L86" i="3" s="1"/>
  <c r="D102" i="3"/>
  <c r="J84" i="3"/>
  <c r="K84" i="3" s="1"/>
  <c r="L84" i="3" s="1"/>
  <c r="D106" i="3"/>
  <c r="J88" i="3"/>
  <c r="K88" i="3" s="1"/>
  <c r="L88" i="3" s="1"/>
  <c r="D103" i="3"/>
  <c r="J85" i="3"/>
  <c r="K85" i="3" s="1"/>
  <c r="L85" i="3" s="1"/>
  <c r="E103" i="3" l="1"/>
  <c r="F103" i="3" s="1"/>
  <c r="G103" i="3"/>
  <c r="K103" i="3"/>
  <c r="E102" i="3"/>
  <c r="F102" i="3" s="1"/>
  <c r="G102" i="3"/>
  <c r="E105" i="3"/>
  <c r="F105" i="3" s="1"/>
  <c r="G105" i="3"/>
  <c r="K105" i="3" s="1"/>
  <c r="E106" i="3"/>
  <c r="F106" i="3" s="1"/>
  <c r="G106" i="3"/>
  <c r="K106" i="3" s="1"/>
  <c r="E104" i="3"/>
  <c r="F104" i="3" s="1"/>
  <c r="G104" i="3"/>
  <c r="K104" i="3" s="1"/>
  <c r="H102" i="3" l="1"/>
  <c r="I102" i="3" s="1"/>
  <c r="J102" i="3" s="1"/>
  <c r="H104" i="3"/>
  <c r="I104" i="3" s="1"/>
  <c r="J104" i="3" s="1"/>
  <c r="D112" i="3" s="1"/>
  <c r="E112" i="3" s="1"/>
  <c r="F112" i="3" s="1"/>
  <c r="G112" i="3" s="1"/>
  <c r="I112" i="3" s="1"/>
  <c r="J112" i="3" s="1"/>
  <c r="H103" i="3"/>
  <c r="I103" i="3" s="1"/>
  <c r="J103" i="3" s="1"/>
  <c r="D111" i="3" s="1"/>
  <c r="E111" i="3" s="1"/>
  <c r="F111" i="3" s="1"/>
  <c r="G111" i="3" s="1"/>
  <c r="I111" i="3" s="1"/>
  <c r="J111" i="3" s="1"/>
  <c r="H106" i="3"/>
  <c r="I106" i="3" s="1"/>
  <c r="J106" i="3" s="1"/>
  <c r="D114" i="3" s="1"/>
  <c r="E114" i="3" s="1"/>
  <c r="F114" i="3" s="1"/>
  <c r="G114" i="3" s="1"/>
  <c r="I114" i="3" s="1"/>
  <c r="J114" i="3" s="1"/>
  <c r="H105" i="3"/>
  <c r="I105" i="3" s="1"/>
  <c r="J105" i="3" s="1"/>
  <c r="D113" i="3" s="1"/>
  <c r="E113" i="3" s="1"/>
  <c r="F113" i="3" s="1"/>
  <c r="G113" i="3" s="1"/>
  <c r="I113" i="3" s="1"/>
  <c r="J113" i="3" s="1"/>
  <c r="K102" i="3"/>
  <c r="D110" i="3" l="1"/>
  <c r="E110" i="3" s="1"/>
  <c r="F110" i="3" s="1"/>
  <c r="G110" i="3" s="1"/>
  <c r="I110" i="3" s="1"/>
  <c r="J110" i="3" s="1"/>
  <c r="K110" i="3" s="1"/>
  <c r="E118" i="3" s="1"/>
  <c r="K111" i="3"/>
  <c r="E119" i="3" s="1"/>
  <c r="D119" i="3"/>
  <c r="F119" i="3" s="1"/>
  <c r="D121" i="3"/>
  <c r="F121" i="3" s="1"/>
  <c r="K113" i="3"/>
  <c r="E121" i="3" s="1"/>
  <c r="K112" i="3"/>
  <c r="E120" i="3" s="1"/>
  <c r="D120" i="3"/>
  <c r="F120" i="3" s="1"/>
  <c r="D122" i="3"/>
  <c r="F122" i="3" s="1"/>
  <c r="K114" i="3"/>
  <c r="E122" i="3" s="1"/>
  <c r="D118" i="3" l="1"/>
  <c r="D127" i="3"/>
  <c r="D21" i="1" s="1"/>
  <c r="E127" i="3"/>
  <c r="E21" i="1" s="1"/>
  <c r="E128" i="3"/>
  <c r="E22" i="1" s="1"/>
  <c r="D128" i="3"/>
  <c r="D22" i="1" s="1"/>
  <c r="E126" i="3"/>
  <c r="E20" i="1" s="1"/>
  <c r="D126" i="3"/>
  <c r="D20" i="1" s="1"/>
  <c r="G122" i="3"/>
  <c r="G121" i="3" s="1"/>
  <c r="D129" i="3"/>
  <c r="D23" i="1" s="1"/>
  <c r="E129" i="3"/>
  <c r="E23" i="1" s="1"/>
  <c r="F129" i="3" l="1"/>
  <c r="H129" i="3" s="1"/>
  <c r="H23" i="1" s="1"/>
  <c r="G120" i="3"/>
  <c r="F128" i="3"/>
  <c r="F23" i="1" l="1"/>
  <c r="H128" i="3"/>
  <c r="H22" i="1" s="1"/>
  <c r="F22" i="1"/>
  <c r="G119" i="3"/>
  <c r="F126" i="3" s="1"/>
  <c r="F127" i="3"/>
  <c r="H127" i="3" l="1"/>
  <c r="H21" i="1" s="1"/>
  <c r="F21" i="1"/>
  <c r="H126" i="3"/>
  <c r="H20" i="1" s="1"/>
  <c r="F20" i="1"/>
</calcChain>
</file>

<file path=xl/sharedStrings.xml><?xml version="1.0" encoding="utf-8"?>
<sst xmlns="http://schemas.openxmlformats.org/spreadsheetml/2006/main" count="377" uniqueCount="180">
  <si>
    <t>Objects</t>
  </si>
  <si>
    <t>MB</t>
  </si>
  <si>
    <t>Bytes</t>
  </si>
  <si>
    <t>M</t>
  </si>
  <si>
    <t>VM Type</t>
  </si>
  <si>
    <t>XS</t>
  </si>
  <si>
    <t>S</t>
  </si>
  <si>
    <t>L</t>
  </si>
  <si>
    <t>XL</t>
  </si>
  <si>
    <t>%</t>
  </si>
  <si>
    <t>Yes/No</t>
  </si>
  <si>
    <t>No</t>
  </si>
  <si>
    <t>/sec</t>
  </si>
  <si>
    <t>Cache Memory Required (MB)</t>
  </si>
  <si>
    <t>Computed: Cluster Requirements</t>
  </si>
  <si>
    <t>Total Required capacity (MB)</t>
  </si>
  <si>
    <t>ops/sec</t>
  </si>
  <si>
    <t>Total Read Bandwidth required</t>
  </si>
  <si>
    <t>Read Bandwidth Required</t>
  </si>
  <si>
    <t>MBps</t>
  </si>
  <si>
    <t>Write Bandwidth Requited</t>
  </si>
  <si>
    <t>Total Bandwidth Requirements</t>
  </si>
  <si>
    <t>Flag</t>
  </si>
  <si>
    <t>HA On (for any cache)</t>
  </si>
  <si>
    <t>HA State (0 - Off 1 - On)</t>
  </si>
  <si>
    <t>Computed: VMs Requirements</t>
  </si>
  <si>
    <t>Average Object Size (Post-Serialization)</t>
  </si>
  <si>
    <t>Number of Reads/sec</t>
  </si>
  <si>
    <t>Number of Writes/sec</t>
  </si>
  <si>
    <t>Number of VM Instances</t>
  </si>
  <si>
    <t>Input: Cluster Configuration</t>
  </si>
  <si>
    <t>VM</t>
  </si>
  <si>
    <t>Dedicated Cache Capacity Planner</t>
  </si>
  <si>
    <t>% per VM</t>
  </si>
  <si>
    <t>User Data to be stored in Cache</t>
  </si>
  <si>
    <t>Physical Memory on VM</t>
  </si>
  <si>
    <t>Physical Memory for Cache per VM</t>
  </si>
  <si>
    <t>Feasibility of hosting Cache (1 or 0)</t>
  </si>
  <si>
    <t>Output: Feasiblity &amp; Settings</t>
  </si>
  <si>
    <t>Is it feasible to host Cache in this cluster</t>
  </si>
  <si>
    <t>Computed: Requirement Calculations</t>
  </si>
  <si>
    <t>Physical Memory % required for Cache</t>
  </si>
  <si>
    <t>Data Type 1</t>
  </si>
  <si>
    <t>Data Type 2</t>
  </si>
  <si>
    <t>Data Type 3</t>
  </si>
  <si>
    <t>Data Type 4</t>
  </si>
  <si>
    <t>Data Type 5</t>
  </si>
  <si>
    <t>Data Type 6</t>
  </si>
  <si>
    <t>Input: Maximum Memory Requirements</t>
  </si>
  <si>
    <t>VM Size</t>
  </si>
  <si>
    <t>VM Count</t>
  </si>
  <si>
    <t>Maximum memory to use per VM</t>
  </si>
  <si>
    <t>Total Write Bandwidth required</t>
  </si>
  <si>
    <t>Physical Memory % available for primary role</t>
  </si>
  <si>
    <t>Computed: Data Requirements</t>
  </si>
  <si>
    <t>Consider HA for this data type</t>
  </si>
  <si>
    <t>Co-located Cache Capacity Planner</t>
  </si>
  <si>
    <t>Adjusted Object Size Rounded to Nearest KB:</t>
  </si>
  <si>
    <t>Output: Possible Configurations</t>
  </si>
  <si>
    <t>VMs needed based on memory  requirements (accurate)</t>
  </si>
  <si>
    <t>VMs needed based on network requirements (accurate)</t>
  </si>
  <si>
    <t>seconds</t>
  </si>
  <si>
    <t>Network required (MBps) for incoming data</t>
  </si>
  <si>
    <t>Time for data transfer during graceful shtudown</t>
  </si>
  <si>
    <t>Memory Available per node (MB)</t>
  </si>
  <si>
    <t>Network Available per node (MBps)</t>
  </si>
  <si>
    <t>Raw Resource With Buffers</t>
  </si>
  <si>
    <t>VMs needed based on memory  requirements (rounded)</t>
  </si>
  <si>
    <t>VMs needed based on network requirements (rounded)</t>
  </si>
  <si>
    <t>Capacity Calculations without data resiliency support</t>
  </si>
  <si>
    <t>Capacity Calculations with data resiliency support</t>
  </si>
  <si>
    <t>Calculations for resiliency of user data</t>
  </si>
  <si>
    <t>Max Nodes per UD (worst case)</t>
  </si>
  <si>
    <t>VMs needed based on memory  requirements  with data resiliency (rounded)</t>
  </si>
  <si>
    <t>VMs to consider for bandwidth resiliency calculations</t>
  </si>
  <si>
    <t>UDs in deployment based on VM count for resliency calculations</t>
  </si>
  <si>
    <t>UDs in deployment based on VM count for memory requirements</t>
  </si>
  <si>
    <t>Data to be sent (MB) when 1 UD goes down (worst case)</t>
  </si>
  <si>
    <t>Data to be received / remaining live box (MB) (worst case)</t>
  </si>
  <si>
    <t>Network required (MBps) for outgoing data</t>
  </si>
  <si>
    <t>Additional Network required (Mbps) for graceful shutdown</t>
  </si>
  <si>
    <t>Network Available (MBps) Buffered VM Capacity - Additional Requirements</t>
  </si>
  <si>
    <t>Number of VMs required to host Cache (no data resiliency)</t>
  </si>
  <si>
    <t>VMs needed based on network requirements with data resiliency (accurate)</t>
  </si>
  <si>
    <t>VMs needed based on network requirements with data resiliency (rounded)</t>
  </si>
  <si>
    <t>Number of VMs required to host Cache (with data resiliency)</t>
  </si>
  <si>
    <t>Upgrade Domains</t>
  </si>
  <si>
    <t>Recommended VMs to host Cache (no data resiliency)</t>
  </si>
  <si>
    <t>Recommended Upgrade Domain Count</t>
  </si>
  <si>
    <t>Capacity recommendations with data resiliency</t>
  </si>
  <si>
    <t>Recommended VMs to host Cache (with data resiliency)</t>
  </si>
  <si>
    <t>Maximum Supported Upgraded Domains</t>
  </si>
  <si>
    <t>Calculations for bandwidth required for graceful shutdown (CPU requirements implicit)</t>
  </si>
  <si>
    <t>Calculations for resiliency of throughput (client load and graceful shutdown)</t>
  </si>
  <si>
    <t>Value</t>
  </si>
  <si>
    <t>Unit</t>
  </si>
  <si>
    <t>Data Type 7</t>
  </si>
  <si>
    <t>Data Type 8</t>
  </si>
  <si>
    <t>Data Type 9</t>
  </si>
  <si>
    <t>Data Type 10</t>
  </si>
  <si>
    <t>% increase</t>
  </si>
  <si>
    <t>Input: Data Requirements</t>
  </si>
  <si>
    <t>Feasibility &amp; Recommendation Analysis</t>
  </si>
  <si>
    <t>Upgrade Domain Count</t>
  </si>
  <si>
    <t>Yes</t>
  </si>
  <si>
    <t>Winning VM Count</t>
  </si>
  <si>
    <t>Winning Upgrade Domain Count</t>
  </si>
  <si>
    <t>Feasibility</t>
  </si>
  <si>
    <t>Recommended</t>
  </si>
  <si>
    <t>Option</t>
  </si>
  <si>
    <t>Input: Advanced Options</t>
  </si>
  <si>
    <t>Preserve Data across Azure Updates</t>
  </si>
  <si>
    <t>Maximum Number of Objects</t>
  </si>
  <si>
    <t>Cushion for peak load - Data</t>
  </si>
  <si>
    <t>Cushion for peak load - Throughput</t>
  </si>
  <si>
    <t>Maximum network to use per VM</t>
  </si>
  <si>
    <t>Input: Throughput Requirements</t>
  </si>
  <si>
    <t>Partitions per Cache</t>
  </si>
  <si>
    <t>Data that can be stored per partition (MB)</t>
  </si>
  <si>
    <t>Partitions per node (maximum)</t>
  </si>
  <si>
    <t xml:space="preserve">Data stored per node (MB) </t>
  </si>
  <si>
    <t>Strings Used</t>
  </si>
  <si>
    <t>Infeasible</t>
  </si>
  <si>
    <t>Feasible</t>
  </si>
  <si>
    <t>Not Recommended</t>
  </si>
  <si>
    <t>Final Proposal</t>
  </si>
  <si>
    <t>Options</t>
  </si>
  <si>
    <t>Cannot host cache on this VM. Please consider moving to a larger VM.</t>
  </si>
  <si>
    <t>Cluster Size greater than 32 Not Supported. Consider splitting into multiple clusters.</t>
  </si>
  <si>
    <t xml:space="preserve">Without HA </t>
  </si>
  <si>
    <t>With HA (MB)</t>
  </si>
  <si>
    <t xml:space="preserve">VM Network </t>
  </si>
  <si>
    <t>Mbps</t>
  </si>
  <si>
    <t>Cache Working Set (MB)</t>
  </si>
  <si>
    <t>Cache Data Size on VM (MB)</t>
  </si>
  <si>
    <t>No HA (1KB)</t>
  </si>
  <si>
    <t>With HA (1KB)</t>
  </si>
  <si>
    <t>No HA (128 byte)</t>
  </si>
  <si>
    <t>With HA (128 byte)</t>
  </si>
  <si>
    <t>Physical Memory (MB)</t>
  </si>
  <si>
    <t>Static Overhead (MB)</t>
  </si>
  <si>
    <t>No HA (Default 2KB)</t>
  </si>
  <si>
    <t>With HA (Default 2KB)</t>
  </si>
  <si>
    <t>Partitions Count per Cache</t>
  </si>
  <si>
    <t>Raw Memory Required (bytes)</t>
  </si>
  <si>
    <t>Weighted Average Object Size (bytes)</t>
  </si>
  <si>
    <t>Total Object Count (in cluster)</t>
  </si>
  <si>
    <t>Unused</t>
  </si>
  <si>
    <t>Use Default COGS (&gt; 2 KB objects)</t>
  </si>
  <si>
    <t>Buffer Size (bytes)</t>
  </si>
  <si>
    <t xml:space="preserve">HA: Storage Overheads </t>
  </si>
  <si>
    <t>times</t>
  </si>
  <si>
    <t>HA: Throughput Overheads(Network/CPU)</t>
  </si>
  <si>
    <t xml:space="preserve">Throughput Write Overhead </t>
  </si>
  <si>
    <t>UDs</t>
  </si>
  <si>
    <t>Default Object Size (bytes)</t>
  </si>
  <si>
    <t>bytes</t>
  </si>
  <si>
    <t>Default Buffer Size (bytes</t>
  </si>
  <si>
    <t>Message</t>
  </si>
  <si>
    <t>Custom Output</t>
  </si>
  <si>
    <t>Custom Message in next cell --&gt;</t>
  </si>
  <si>
    <t>Nodes per UD</t>
  </si>
  <si>
    <t>Number of VMs to consider for storage</t>
  </si>
  <si>
    <t>VMs</t>
  </si>
  <si>
    <t>Max Physical Memory available to Cache</t>
  </si>
  <si>
    <t>User Data to be stored per VM (including copies)</t>
  </si>
  <si>
    <t>Static Cache Overheads (depends on HA ON/OFF)</t>
  </si>
  <si>
    <t>Minimum Cache Size</t>
  </si>
  <si>
    <t>Input: Internal Variables</t>
  </si>
  <si>
    <t>Message (if any)</t>
  </si>
  <si>
    <t>Please consider a different configuration (VM size, VM count) or move to Dedicated Cache</t>
  </si>
  <si>
    <t>Please make sure there is enough network &amp; CPU available to sustain load on cache</t>
  </si>
  <si>
    <t>Such a small cache is not supported</t>
  </si>
  <si>
    <t>% per VM (without resiliency)</t>
  </si>
  <si>
    <t>Cache Size % (Memory required for Cache)</t>
  </si>
  <si>
    <t>Co-located planner INTERNAL CALCULATIONS BEYOND THIS POINT</t>
  </si>
  <si>
    <t>Dedicated planner INTERNAL CALCULATIONS BEYOND THIS POINT</t>
  </si>
  <si>
    <t>Set by planner</t>
  </si>
  <si>
    <t>High Availability Enabled</t>
  </si>
  <si>
    <t>*Please change the cacheDataSizePerNode config in CacheSettings.XML to the value shown in the CacheDataSize column above. For instructions, see Capacity Planning Considerations at http://go.microsoft.com/fwlink/?LinkId=245716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</si>
</sst>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</fills>
  <borders count="2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7F7F7F"/>
      </bottom>
      <diagonal/>
    </border>
    <border>
      <left/>
      <right/>
      <top style="thin">
        <color indexed="64"/>
      </top>
      <bottom/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0" fontId="3" fillId="2" borderId="1" applyNumberFormat="0" applyAlignment="0" applyProtection="0"/>
    <xf numFmtId="0" fontId="4" fillId="3" borderId="2" applyNumberFormat="0" applyAlignment="0" applyProtection="0"/>
    <xf numFmtId="0" fontId="9" fillId="0" borderId="0" applyNumberFormat="0" applyFill="0" applyBorder="0" applyAlignment="0" applyProtection="0"/>
  </cellStyleXfs>
  <cellXfs count="186">
    <xf numFmtId="0" fontId="0" fillId="0" borderId="0" xfId="0"/>
    <xf numFmtId="0" fontId="2" fillId="0" borderId="0" xfId="0" applyFont="1"/>
    <xf numFmtId="0" fontId="0" fillId="0" borderId="0" xfId="0"/>
    <xf numFmtId="0" fontId="0" fillId="0" borderId="0" xfId="0"/>
    <xf numFmtId="0" fontId="0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right"/>
    </xf>
    <xf numFmtId="0" fontId="8" fillId="2" borderId="1" xfId="1" applyFont="1"/>
    <xf numFmtId="0" fontId="4" fillId="3" borderId="2" xfId="2" applyFont="1"/>
    <xf numFmtId="0" fontId="0" fillId="0" borderId="0" xfId="0" applyAlignment="1">
      <alignment horizontal="right"/>
    </xf>
    <xf numFmtId="0" fontId="9" fillId="3" borderId="1" xfId="3" applyFill="1" applyBorder="1"/>
    <xf numFmtId="0" fontId="9" fillId="0" borderId="0" xfId="3" applyAlignment="1">
      <alignment horizontal="right"/>
    </xf>
    <xf numFmtId="0" fontId="9" fillId="0" borderId="0" xfId="3"/>
    <xf numFmtId="0" fontId="9" fillId="0" borderId="0" xfId="3" applyFill="1" applyBorder="1"/>
    <xf numFmtId="0" fontId="9" fillId="0" borderId="0" xfId="3" applyAlignment="1">
      <alignment wrapText="1"/>
    </xf>
    <xf numFmtId="0" fontId="2" fillId="0" borderId="0" xfId="0" applyFont="1" applyAlignment="1">
      <alignment horizont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6" fillId="0" borderId="5" xfId="0" applyFont="1" applyBorder="1"/>
    <xf numFmtId="0" fontId="6" fillId="0" borderId="6" xfId="0" applyFont="1" applyBorder="1"/>
    <xf numFmtId="0" fontId="6" fillId="0" borderId="5" xfId="0" applyFont="1" applyBorder="1" applyAlignment="1">
      <alignment horizontal="right"/>
    </xf>
    <xf numFmtId="2" fontId="6" fillId="0" borderId="5" xfId="0" applyNumberFormat="1" applyFont="1" applyBorder="1"/>
    <xf numFmtId="0" fontId="6" fillId="0" borderId="7" xfId="0" applyFont="1" applyBorder="1"/>
    <xf numFmtId="0" fontId="6" fillId="0" borderId="8" xfId="0" applyFont="1" applyBorder="1"/>
    <xf numFmtId="0" fontId="8" fillId="2" borderId="9" xfId="1" applyFont="1" applyBorder="1"/>
    <xf numFmtId="0" fontId="2" fillId="0" borderId="10" xfId="0" applyFont="1" applyBorder="1"/>
    <xf numFmtId="0" fontId="8" fillId="2" borderId="11" xfId="1" applyFont="1" applyBorder="1"/>
    <xf numFmtId="0" fontId="2" fillId="0" borderId="12" xfId="0" applyFont="1" applyBorder="1"/>
    <xf numFmtId="0" fontId="6" fillId="0" borderId="0" xfId="0" applyFont="1" applyBorder="1"/>
    <xf numFmtId="0" fontId="9" fillId="0" borderId="5" xfId="3" applyBorder="1"/>
    <xf numFmtId="0" fontId="9" fillId="0" borderId="7" xfId="3" applyBorder="1"/>
    <xf numFmtId="0" fontId="9" fillId="0" borderId="0" xfId="3" applyBorder="1" applyAlignment="1">
      <alignment horizontal="center" wrapText="1"/>
    </xf>
    <xf numFmtId="2" fontId="9" fillId="0" borderId="5" xfId="3" applyNumberFormat="1" applyBorder="1"/>
    <xf numFmtId="1" fontId="9" fillId="0" borderId="0" xfId="3" applyNumberFormat="1" applyBorder="1"/>
    <xf numFmtId="2" fontId="9" fillId="0" borderId="0" xfId="3" applyNumberFormat="1" applyBorder="1"/>
    <xf numFmtId="2" fontId="9" fillId="0" borderId="7" xfId="3" applyNumberFormat="1" applyBorder="1"/>
    <xf numFmtId="1" fontId="9" fillId="0" borderId="14" xfId="3" applyNumberFormat="1" applyBorder="1"/>
    <xf numFmtId="2" fontId="9" fillId="0" borderId="14" xfId="3" applyNumberFormat="1" applyBorder="1"/>
    <xf numFmtId="0" fontId="0" fillId="0" borderId="0" xfId="0" applyAlignment="1">
      <alignment horizontal="center"/>
    </xf>
    <xf numFmtId="0" fontId="14" fillId="0" borderId="0" xfId="0" applyFont="1" applyBorder="1"/>
    <xf numFmtId="2" fontId="14" fillId="0" borderId="0" xfId="0" applyNumberFormat="1" applyFont="1" applyBorder="1"/>
    <xf numFmtId="1" fontId="9" fillId="0" borderId="6" xfId="3" applyNumberFormat="1" applyBorder="1"/>
    <xf numFmtId="0" fontId="14" fillId="0" borderId="14" xfId="0" applyFont="1" applyBorder="1"/>
    <xf numFmtId="2" fontId="14" fillId="0" borderId="14" xfId="0" applyNumberFormat="1" applyFont="1" applyBorder="1"/>
    <xf numFmtId="1" fontId="9" fillId="0" borderId="8" xfId="3" applyNumberFormat="1" applyBorder="1"/>
    <xf numFmtId="2" fontId="14" fillId="0" borderId="6" xfId="0" applyNumberFormat="1" applyFont="1" applyBorder="1"/>
    <xf numFmtId="2" fontId="14" fillId="0" borderId="8" xfId="0" applyNumberFormat="1" applyFont="1" applyBorder="1"/>
    <xf numFmtId="2" fontId="14" fillId="0" borderId="5" xfId="0" applyNumberFormat="1" applyFont="1" applyBorder="1"/>
    <xf numFmtId="2" fontId="14" fillId="0" borderId="7" xfId="0" applyNumberFormat="1" applyFont="1" applyBorder="1"/>
    <xf numFmtId="0" fontId="9" fillId="0" borderId="10" xfId="3" applyBorder="1"/>
    <xf numFmtId="0" fontId="9" fillId="0" borderId="12" xfId="3" applyBorder="1"/>
    <xf numFmtId="0" fontId="9" fillId="0" borderId="0" xfId="3" applyBorder="1"/>
    <xf numFmtId="0" fontId="9" fillId="0" borderId="14" xfId="3" applyBorder="1"/>
    <xf numFmtId="1" fontId="14" fillId="0" borderId="0" xfId="0" applyNumberFormat="1" applyFont="1" applyBorder="1"/>
    <xf numFmtId="1" fontId="14" fillId="0" borderId="14" xfId="0" applyNumberFormat="1" applyFont="1" applyBorder="1"/>
    <xf numFmtId="1" fontId="9" fillId="0" borderId="5" xfId="3" applyNumberFormat="1" applyBorder="1"/>
    <xf numFmtId="1" fontId="9" fillId="0" borderId="7" xfId="3" applyNumberFormat="1" applyBorder="1"/>
    <xf numFmtId="0" fontId="9" fillId="0" borderId="0" xfId="3" applyBorder="1" applyAlignment="1"/>
    <xf numFmtId="0" fontId="2" fillId="0" borderId="0" xfId="0" applyFont="1" applyBorder="1"/>
    <xf numFmtId="0" fontId="14" fillId="0" borderId="5" xfId="0" applyFont="1" applyBorder="1" applyAlignment="1"/>
    <xf numFmtId="0" fontId="9" fillId="0" borderId="5" xfId="3" applyBorder="1" applyAlignment="1"/>
    <xf numFmtId="0" fontId="0" fillId="0" borderId="5" xfId="0" applyBorder="1"/>
    <xf numFmtId="0" fontId="9" fillId="0" borderId="16" xfId="3" applyBorder="1" applyAlignment="1">
      <alignment horizontal="center" wrapText="1"/>
    </xf>
    <xf numFmtId="0" fontId="9" fillId="0" borderId="17" xfId="3" applyBorder="1" applyAlignment="1">
      <alignment horizontal="center" wrapText="1"/>
    </xf>
    <xf numFmtId="0" fontId="9" fillId="0" borderId="18" xfId="3" applyBorder="1" applyAlignment="1">
      <alignment horizontal="center" wrapText="1"/>
    </xf>
    <xf numFmtId="0" fontId="9" fillId="0" borderId="6" xfId="3" applyBorder="1"/>
    <xf numFmtId="0" fontId="9" fillId="0" borderId="8" xfId="3" applyBorder="1"/>
    <xf numFmtId="0" fontId="13" fillId="0" borderId="17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9" fillId="0" borderId="4" xfId="3" applyBorder="1"/>
    <xf numFmtId="0" fontId="9" fillId="0" borderId="0" xfId="3" applyBorder="1" applyAlignment="1">
      <alignment horizontal="right"/>
    </xf>
    <xf numFmtId="0" fontId="9" fillId="0" borderId="5" xfId="3" applyBorder="1" applyAlignment="1">
      <alignment horizontal="right"/>
    </xf>
    <xf numFmtId="0" fontId="9" fillId="3" borderId="16" xfId="3" applyFill="1" applyBorder="1"/>
    <xf numFmtId="0" fontId="9" fillId="0" borderId="16" xfId="3" applyBorder="1" applyAlignment="1">
      <alignment horizontal="center"/>
    </xf>
    <xf numFmtId="0" fontId="9" fillId="0" borderId="18" xfId="3" applyBorder="1" applyAlignment="1">
      <alignment horizontal="center"/>
    </xf>
    <xf numFmtId="0" fontId="9" fillId="3" borderId="15" xfId="3" applyFill="1" applyBorder="1"/>
    <xf numFmtId="2" fontId="9" fillId="0" borderId="3" xfId="3" applyNumberFormat="1" applyBorder="1"/>
    <xf numFmtId="0" fontId="7" fillId="0" borderId="16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13" fillId="2" borderId="15" xfId="1" applyFont="1" applyBorder="1"/>
    <xf numFmtId="0" fontId="9" fillId="0" borderId="16" xfId="3" applyBorder="1" applyAlignment="1">
      <alignment horizontal="center"/>
    </xf>
    <xf numFmtId="0" fontId="9" fillId="0" borderId="18" xfId="3" applyBorder="1" applyAlignment="1">
      <alignment horizontal="center"/>
    </xf>
    <xf numFmtId="0" fontId="14" fillId="0" borderId="0" xfId="0" applyFont="1" applyBorder="1" applyAlignment="1">
      <alignment horizontal="right"/>
    </xf>
    <xf numFmtId="0" fontId="9" fillId="0" borderId="6" xfId="3" applyBorder="1" applyAlignment="1">
      <alignment horizontal="right" wrapText="1"/>
    </xf>
    <xf numFmtId="0" fontId="9" fillId="0" borderId="8" xfId="3" applyBorder="1" applyAlignment="1">
      <alignment horizontal="right" wrapText="1"/>
    </xf>
    <xf numFmtId="1" fontId="14" fillId="0" borderId="6" xfId="0" applyNumberFormat="1" applyFont="1" applyBorder="1"/>
    <xf numFmtId="0" fontId="14" fillId="0" borderId="14" xfId="0" applyFont="1" applyBorder="1" applyAlignment="1">
      <alignment horizontal="right"/>
    </xf>
    <xf numFmtId="1" fontId="14" fillId="0" borderId="8" xfId="0" applyNumberFormat="1" applyFont="1" applyBorder="1"/>
    <xf numFmtId="1" fontId="6" fillId="0" borderId="10" xfId="0" applyNumberFormat="1" applyFont="1" applyBorder="1" applyAlignment="1">
      <alignment horizontal="center"/>
    </xf>
    <xf numFmtId="1" fontId="6" fillId="0" borderId="12" xfId="0" applyNumberFormat="1" applyFont="1" applyBorder="1" applyAlignment="1">
      <alignment horizontal="center"/>
    </xf>
    <xf numFmtId="0" fontId="0" fillId="0" borderId="0" xfId="0" applyBorder="1" applyAlignment="1">
      <alignment horizontal="right"/>
    </xf>
    <xf numFmtId="0" fontId="0" fillId="0" borderId="14" xfId="0" applyBorder="1" applyAlignment="1">
      <alignment horizontal="right"/>
    </xf>
    <xf numFmtId="0" fontId="8" fillId="2" borderId="15" xfId="1" applyFont="1" applyBorder="1"/>
    <xf numFmtId="0" fontId="7" fillId="0" borderId="17" xfId="0" applyFont="1" applyBorder="1" applyAlignment="1">
      <alignment horizontal="center"/>
    </xf>
    <xf numFmtId="0" fontId="6" fillId="0" borderId="18" xfId="0" applyFont="1" applyBorder="1"/>
    <xf numFmtId="0" fontId="9" fillId="0" borderId="16" xfId="3" applyBorder="1"/>
    <xf numFmtId="0" fontId="9" fillId="0" borderId="3" xfId="3" applyBorder="1" applyAlignment="1">
      <alignment horizontal="center" wrapText="1"/>
    </xf>
    <xf numFmtId="0" fontId="9" fillId="0" borderId="20" xfId="3" applyBorder="1" applyAlignment="1">
      <alignment horizontal="center" wrapText="1"/>
    </xf>
    <xf numFmtId="0" fontId="9" fillId="0" borderId="4" xfId="3" applyBorder="1" applyAlignment="1">
      <alignment horizontal="center" wrapText="1"/>
    </xf>
    <xf numFmtId="0" fontId="9" fillId="0" borderId="20" xfId="3" applyBorder="1"/>
    <xf numFmtId="2" fontId="9" fillId="0" borderId="20" xfId="3" applyNumberFormat="1" applyBorder="1"/>
    <xf numFmtId="1" fontId="9" fillId="0" borderId="4" xfId="3" applyNumberFormat="1" applyBorder="1"/>
    <xf numFmtId="17" fontId="6" fillId="0" borderId="0" xfId="0" applyNumberFormat="1" applyFont="1" applyBorder="1"/>
    <xf numFmtId="0" fontId="9" fillId="0" borderId="7" xfId="3" applyBorder="1" applyAlignment="1">
      <alignment horizontal="center" wrapText="1"/>
    </xf>
    <xf numFmtId="0" fontId="9" fillId="0" borderId="14" xfId="3" applyBorder="1" applyAlignment="1">
      <alignment horizontal="center" wrapText="1"/>
    </xf>
    <xf numFmtId="0" fontId="9" fillId="0" borderId="8" xfId="3" applyBorder="1" applyAlignment="1">
      <alignment horizontal="center" wrapText="1"/>
    </xf>
    <xf numFmtId="0" fontId="14" fillId="0" borderId="3" xfId="0" applyFont="1" applyBorder="1"/>
    <xf numFmtId="0" fontId="14" fillId="0" borderId="20" xfId="0" applyFont="1" applyBorder="1"/>
    <xf numFmtId="0" fontId="14" fillId="0" borderId="5" xfId="0" applyFont="1" applyBorder="1"/>
    <xf numFmtId="0" fontId="14" fillId="0" borderId="7" xfId="0" applyFont="1" applyBorder="1"/>
    <xf numFmtId="0" fontId="6" fillId="0" borderId="18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4" fillId="3" borderId="21" xfId="2" applyBorder="1"/>
    <xf numFmtId="0" fontId="2" fillId="0" borderId="10" xfId="0" applyFont="1" applyBorder="1" applyAlignment="1">
      <alignment horizontal="center"/>
    </xf>
    <xf numFmtId="0" fontId="2" fillId="0" borderId="12" xfId="0" applyFont="1" applyFill="1" applyBorder="1" applyAlignment="1">
      <alignment horizontal="center"/>
    </xf>
    <xf numFmtId="1" fontId="0" fillId="0" borderId="10" xfId="0" applyNumberFormat="1" applyFont="1" applyBorder="1" applyAlignment="1">
      <alignment horizontal="center"/>
    </xf>
    <xf numFmtId="1" fontId="0" fillId="0" borderId="12" xfId="0" applyNumberFormat="1" applyFont="1" applyBorder="1" applyAlignment="1">
      <alignment horizontal="center"/>
    </xf>
    <xf numFmtId="0" fontId="2" fillId="0" borderId="15" xfId="0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0" fillId="0" borderId="0" xfId="0" applyBorder="1"/>
    <xf numFmtId="0" fontId="11" fillId="0" borderId="0" xfId="0" applyNumberFormat="1" applyFont="1" applyAlignment="1">
      <alignment wrapText="1"/>
    </xf>
    <xf numFmtId="0" fontId="0" fillId="0" borderId="0" xfId="0" applyNumberFormat="1" applyAlignment="1">
      <alignment wrapText="1"/>
    </xf>
    <xf numFmtId="0" fontId="14" fillId="0" borderId="6" xfId="0" applyFont="1" applyBorder="1"/>
    <xf numFmtId="0" fontId="14" fillId="0" borderId="8" xfId="0" applyFont="1" applyBorder="1"/>
    <xf numFmtId="0" fontId="15" fillId="0" borderId="16" xfId="0" applyNumberFormat="1" applyFont="1" applyBorder="1" applyAlignment="1">
      <alignment horizontal="center" wrapText="1"/>
    </xf>
    <xf numFmtId="0" fontId="15" fillId="0" borderId="18" xfId="0" applyNumberFormat="1" applyFont="1" applyBorder="1" applyAlignment="1">
      <alignment horizontal="center" wrapText="1"/>
    </xf>
    <xf numFmtId="0" fontId="15" fillId="0" borderId="14" xfId="0" applyNumberFormat="1" applyFont="1" applyBorder="1" applyAlignment="1">
      <alignment horizontal="center" wrapText="1"/>
    </xf>
    <xf numFmtId="0" fontId="15" fillId="0" borderId="8" xfId="0" applyNumberFormat="1" applyFont="1" applyBorder="1" applyAlignment="1">
      <alignment horizontal="center" wrapText="1"/>
    </xf>
    <xf numFmtId="0" fontId="15" fillId="0" borderId="7" xfId="0" applyNumberFormat="1" applyFont="1" applyBorder="1" applyAlignment="1">
      <alignment horizontal="center" wrapText="1"/>
    </xf>
    <xf numFmtId="0" fontId="15" fillId="0" borderId="10" xfId="0" applyFont="1" applyBorder="1"/>
    <xf numFmtId="0" fontId="15" fillId="0" borderId="12" xfId="0" applyFont="1" applyBorder="1"/>
    <xf numFmtId="0" fontId="9" fillId="3" borderId="5" xfId="3" applyFill="1" applyBorder="1"/>
    <xf numFmtId="0" fontId="9" fillId="0" borderId="6" xfId="3" applyBorder="1" applyAlignment="1">
      <alignment horizontal="left"/>
    </xf>
    <xf numFmtId="0" fontId="15" fillId="0" borderId="0" xfId="0" applyFont="1" applyBorder="1" applyAlignment="1">
      <alignment horizontal="center"/>
    </xf>
    <xf numFmtId="0" fontId="13" fillId="0" borderId="13" xfId="0" applyFont="1" applyBorder="1"/>
    <xf numFmtId="1" fontId="13" fillId="0" borderId="20" xfId="0" applyNumberFormat="1" applyFont="1" applyBorder="1"/>
    <xf numFmtId="0" fontId="13" fillId="0" borderId="4" xfId="0" applyFont="1" applyBorder="1"/>
    <xf numFmtId="0" fontId="0" fillId="0" borderId="15" xfId="0" applyBorder="1" applyAlignment="1">
      <alignment horizontal="center"/>
    </xf>
    <xf numFmtId="0" fontId="0" fillId="0" borderId="13" xfId="0" applyBorder="1"/>
    <xf numFmtId="0" fontId="0" fillId="0" borderId="10" xfId="0" applyBorder="1"/>
    <xf numFmtId="0" fontId="0" fillId="0" borderId="12" xfId="0" applyBorder="1"/>
    <xf numFmtId="0" fontId="7" fillId="0" borderId="15" xfId="0" applyFont="1" applyBorder="1" applyAlignment="1">
      <alignment horizontal="center"/>
    </xf>
    <xf numFmtId="0" fontId="0" fillId="0" borderId="10" xfId="0" applyFont="1" applyBorder="1"/>
    <xf numFmtId="0" fontId="0" fillId="0" borderId="12" xfId="0" applyFont="1" applyBorder="1"/>
    <xf numFmtId="0" fontId="0" fillId="0" borderId="10" xfId="0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3" fillId="2" borderId="1" xfId="1"/>
    <xf numFmtId="0" fontId="13" fillId="0" borderId="0" xfId="0" applyFont="1" applyAlignment="1">
      <alignment horizontal="right"/>
    </xf>
    <xf numFmtId="0" fontId="13" fillId="0" borderId="0" xfId="0" applyFont="1" applyFill="1" applyBorder="1"/>
    <xf numFmtId="0" fontId="0" fillId="0" borderId="0" xfId="0" applyAlignment="1">
      <alignment horizontal="left"/>
    </xf>
    <xf numFmtId="0" fontId="1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9" fillId="3" borderId="13" xfId="3" applyFill="1" applyBorder="1" applyAlignment="1">
      <alignment horizontal="center" wrapText="1"/>
    </xf>
    <xf numFmtId="0" fontId="9" fillId="3" borderId="19" xfId="3" applyFill="1" applyBorder="1" applyAlignment="1">
      <alignment horizontal="center" wrapText="1"/>
    </xf>
    <xf numFmtId="0" fontId="9" fillId="0" borderId="3" xfId="3" applyBorder="1" applyAlignment="1">
      <alignment horizontal="center"/>
    </xf>
    <xf numFmtId="0" fontId="9" fillId="0" borderId="20" xfId="3" applyBorder="1" applyAlignment="1">
      <alignment horizontal="center"/>
    </xf>
    <xf numFmtId="0" fontId="9" fillId="0" borderId="17" xfId="3" applyBorder="1" applyAlignment="1">
      <alignment horizontal="center"/>
    </xf>
    <xf numFmtId="0" fontId="9" fillId="0" borderId="18" xfId="3" applyBorder="1" applyAlignment="1">
      <alignment horizontal="center"/>
    </xf>
    <xf numFmtId="0" fontId="9" fillId="0" borderId="16" xfId="3" applyBorder="1" applyAlignment="1">
      <alignment horizontal="center"/>
    </xf>
    <xf numFmtId="0" fontId="9" fillId="3" borderId="3" xfId="3" applyFill="1" applyBorder="1" applyAlignment="1">
      <alignment horizontal="center" wrapText="1"/>
    </xf>
    <xf numFmtId="0" fontId="14" fillId="0" borderId="16" xfId="0" applyFont="1" applyBorder="1" applyAlignment="1">
      <alignment horizontal="center"/>
    </xf>
    <xf numFmtId="0" fontId="14" fillId="0" borderId="17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1" fontId="6" fillId="0" borderId="13" xfId="0" applyNumberFormat="1" applyFont="1" applyBorder="1" applyAlignment="1">
      <alignment horizontal="center"/>
    </xf>
    <xf numFmtId="1" fontId="6" fillId="0" borderId="12" xfId="0" applyNumberFormat="1" applyFont="1" applyBorder="1" applyAlignment="1">
      <alignment horizontal="center"/>
    </xf>
    <xf numFmtId="0" fontId="9" fillId="0" borderId="13" xfId="3" applyBorder="1" applyAlignment="1">
      <alignment horizontal="center"/>
    </xf>
    <xf numFmtId="0" fontId="9" fillId="0" borderId="10" xfId="3" applyBorder="1" applyAlignment="1">
      <alignment horizontal="center"/>
    </xf>
    <xf numFmtId="0" fontId="9" fillId="0" borderId="12" xfId="3" applyBorder="1" applyAlignment="1">
      <alignment horizontal="center"/>
    </xf>
    <xf numFmtId="0" fontId="15" fillId="0" borderId="13" xfId="0" applyNumberFormat="1" applyFont="1" applyBorder="1" applyAlignment="1">
      <alignment horizontal="center" wrapText="1"/>
    </xf>
    <xf numFmtId="0" fontId="15" fillId="0" borderId="12" xfId="0" applyNumberFormat="1" applyFont="1" applyBorder="1" applyAlignment="1">
      <alignment horizontal="center" wrapText="1"/>
    </xf>
    <xf numFmtId="0" fontId="15" fillId="0" borderId="16" xfId="0" applyFont="1" applyBorder="1" applyAlignment="1">
      <alignment horizontal="center"/>
    </xf>
    <xf numFmtId="0" fontId="15" fillId="0" borderId="18" xfId="0" applyFont="1" applyBorder="1" applyAlignment="1">
      <alignment horizontal="center"/>
    </xf>
    <xf numFmtId="0" fontId="15" fillId="0" borderId="17" xfId="0" applyFont="1" applyBorder="1" applyAlignment="1">
      <alignment horizontal="center"/>
    </xf>
    <xf numFmtId="0" fontId="15" fillId="0" borderId="3" xfId="0" applyNumberFormat="1" applyFont="1" applyBorder="1" applyAlignment="1">
      <alignment horizontal="center" wrapText="1"/>
    </xf>
    <xf numFmtId="0" fontId="15" fillId="0" borderId="7" xfId="0" applyNumberFormat="1" applyFont="1" applyBorder="1" applyAlignment="1">
      <alignment horizontal="center" wrapText="1"/>
    </xf>
    <xf numFmtId="0" fontId="15" fillId="0" borderId="4" xfId="0" applyNumberFormat="1" applyFont="1" applyBorder="1" applyAlignment="1">
      <alignment horizontal="center" wrapText="1"/>
    </xf>
    <xf numFmtId="0" fontId="15" fillId="0" borderId="8" xfId="0" applyNumberFormat="1" applyFont="1" applyBorder="1" applyAlignment="1">
      <alignment horizontal="center" wrapText="1"/>
    </xf>
  </cellXfs>
  <cellStyles count="4">
    <cellStyle name="Explanatory Text" xfId="3" builtinId="53"/>
    <cellStyle name="Input" xfId="1" builtinId="20"/>
    <cellStyle name="Normal" xfId="0" builtinId="0"/>
    <cellStyle name="Output" xfId="2" builtinId="21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BF5E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AE151"/>
  <sheetViews>
    <sheetView tabSelected="1" zoomScaleNormal="100" workbookViewId="0">
      <selection activeCell="C4" sqref="C4"/>
    </sheetView>
  </sheetViews>
  <sheetFormatPr defaultRowHeight="15" x14ac:dyDescent="0.25"/>
  <cols>
    <col min="1" max="1" width="3.42578125" style="2" customWidth="1"/>
    <col min="2" max="2" width="37.140625" style="1" bestFit="1" customWidth="1"/>
    <col min="3" max="13" width="19" style="2" customWidth="1"/>
    <col min="14" max="22" width="19.140625" style="2" customWidth="1"/>
    <col min="23" max="26" width="13.5703125" style="2" customWidth="1"/>
    <col min="27" max="30" width="17.5703125" style="2" customWidth="1"/>
    <col min="31" max="31" width="16.28515625" style="2" customWidth="1"/>
    <col min="32" max="34" width="17.5703125" style="2" customWidth="1"/>
    <col min="35" max="16384" width="9.140625" style="2"/>
  </cols>
  <sheetData>
    <row r="1" spans="2:31" s="3" customFormat="1" x14ac:dyDescent="0.25">
      <c r="B1" s="1" t="s">
        <v>32</v>
      </c>
    </row>
    <row r="2" spans="2:31" s="3" customFormat="1" x14ac:dyDescent="0.25">
      <c r="B2" s="1"/>
    </row>
    <row r="3" spans="2:31" s="16" customFormat="1" ht="15" customHeight="1" x14ac:dyDescent="0.25">
      <c r="B3" s="27" t="s">
        <v>101</v>
      </c>
      <c r="C3" s="80" t="s">
        <v>42</v>
      </c>
      <c r="D3" s="81"/>
      <c r="E3" s="80" t="s">
        <v>43</v>
      </c>
      <c r="F3" s="81"/>
      <c r="G3" s="80" t="s">
        <v>44</v>
      </c>
      <c r="H3" s="81"/>
      <c r="I3" s="80" t="s">
        <v>45</v>
      </c>
      <c r="J3" s="81"/>
      <c r="K3" s="80" t="s">
        <v>46</v>
      </c>
      <c r="L3" s="81"/>
      <c r="M3" s="80" t="s">
        <v>47</v>
      </c>
      <c r="N3" s="81"/>
      <c r="O3" s="80" t="s">
        <v>96</v>
      </c>
      <c r="P3" s="81"/>
      <c r="Q3" s="80" t="s">
        <v>97</v>
      </c>
      <c r="R3" s="81"/>
      <c r="S3" s="80" t="s">
        <v>98</v>
      </c>
      <c r="T3" s="81"/>
      <c r="U3" s="80" t="s">
        <v>99</v>
      </c>
      <c r="V3" s="81"/>
      <c r="W3" s="157"/>
      <c r="X3" s="157"/>
      <c r="Y3" s="157"/>
      <c r="Z3" s="157"/>
      <c r="AA3" s="157"/>
      <c r="AB3" s="157"/>
      <c r="AC3" s="157"/>
      <c r="AD3" s="157"/>
    </row>
    <row r="4" spans="2:31" s="4" customFormat="1" x14ac:dyDescent="0.25">
      <c r="B4" s="28" t="s">
        <v>26</v>
      </c>
      <c r="C4" s="21">
        <v>2560</v>
      </c>
      <c r="D4" s="22" t="s">
        <v>2</v>
      </c>
      <c r="E4" s="21">
        <v>0</v>
      </c>
      <c r="F4" s="22" t="s">
        <v>2</v>
      </c>
      <c r="G4" s="21">
        <v>0</v>
      </c>
      <c r="H4" s="22" t="s">
        <v>2</v>
      </c>
      <c r="I4" s="21">
        <v>0</v>
      </c>
      <c r="J4" s="22" t="s">
        <v>2</v>
      </c>
      <c r="K4" s="21">
        <v>0</v>
      </c>
      <c r="L4" s="22" t="s">
        <v>2</v>
      </c>
      <c r="M4" s="21">
        <v>0</v>
      </c>
      <c r="N4" s="22" t="s">
        <v>2</v>
      </c>
      <c r="O4" s="21">
        <v>0</v>
      </c>
      <c r="P4" s="22" t="s">
        <v>2</v>
      </c>
      <c r="Q4" s="21">
        <v>0</v>
      </c>
      <c r="R4" s="22" t="s">
        <v>2</v>
      </c>
      <c r="S4" s="21">
        <v>0</v>
      </c>
      <c r="T4" s="22" t="s">
        <v>2</v>
      </c>
      <c r="U4" s="21">
        <v>0</v>
      </c>
      <c r="V4" s="22" t="s">
        <v>2</v>
      </c>
      <c r="W4" s="5"/>
      <c r="X4" s="5"/>
      <c r="Y4" s="5"/>
      <c r="Z4" s="5"/>
      <c r="AA4" s="5"/>
      <c r="AB4" s="5"/>
      <c r="AC4" s="5"/>
      <c r="AD4" s="5"/>
    </row>
    <row r="5" spans="2:31" s="4" customFormat="1" x14ac:dyDescent="0.25">
      <c r="B5" s="28" t="s">
        <v>112</v>
      </c>
      <c r="C5" s="21">
        <v>100000</v>
      </c>
      <c r="D5" s="22" t="s">
        <v>0</v>
      </c>
      <c r="E5" s="21">
        <v>0</v>
      </c>
      <c r="F5" s="22" t="s">
        <v>0</v>
      </c>
      <c r="G5" s="21">
        <v>0</v>
      </c>
      <c r="H5" s="22" t="s">
        <v>0</v>
      </c>
      <c r="I5" s="21">
        <v>0</v>
      </c>
      <c r="J5" s="22" t="s">
        <v>0</v>
      </c>
      <c r="K5" s="21">
        <v>0</v>
      </c>
      <c r="L5" s="22" t="s">
        <v>0</v>
      </c>
      <c r="M5" s="21">
        <v>0</v>
      </c>
      <c r="N5" s="22" t="s">
        <v>0</v>
      </c>
      <c r="O5" s="21">
        <v>0</v>
      </c>
      <c r="P5" s="22" t="s">
        <v>0</v>
      </c>
      <c r="Q5" s="21">
        <v>0</v>
      </c>
      <c r="R5" s="22" t="s">
        <v>0</v>
      </c>
      <c r="S5" s="21">
        <v>0</v>
      </c>
      <c r="T5" s="22" t="s">
        <v>0</v>
      </c>
      <c r="U5" s="21">
        <v>0</v>
      </c>
      <c r="V5" s="22" t="s">
        <v>0</v>
      </c>
      <c r="W5" s="5"/>
      <c r="X5" s="5"/>
      <c r="Y5" s="5"/>
      <c r="Z5" s="5"/>
      <c r="AA5" s="5"/>
      <c r="AB5" s="5"/>
      <c r="AC5" s="5"/>
      <c r="AD5" s="5"/>
    </row>
    <row r="6" spans="2:31" s="4" customFormat="1" x14ac:dyDescent="0.25">
      <c r="B6" s="28" t="s">
        <v>178</v>
      </c>
      <c r="C6" s="23" t="s">
        <v>11</v>
      </c>
      <c r="D6" s="22" t="s">
        <v>10</v>
      </c>
      <c r="E6" s="23" t="s">
        <v>11</v>
      </c>
      <c r="F6" s="22" t="s">
        <v>10</v>
      </c>
      <c r="G6" s="23" t="s">
        <v>11</v>
      </c>
      <c r="H6" s="22" t="s">
        <v>10</v>
      </c>
      <c r="I6" s="23" t="s">
        <v>11</v>
      </c>
      <c r="J6" s="22" t="s">
        <v>10</v>
      </c>
      <c r="K6" s="23" t="s">
        <v>11</v>
      </c>
      <c r="L6" s="22" t="s">
        <v>10</v>
      </c>
      <c r="M6" s="23" t="s">
        <v>11</v>
      </c>
      <c r="N6" s="22" t="s">
        <v>10</v>
      </c>
      <c r="O6" s="23" t="s">
        <v>11</v>
      </c>
      <c r="P6" s="22" t="s">
        <v>10</v>
      </c>
      <c r="Q6" s="23" t="s">
        <v>11</v>
      </c>
      <c r="R6" s="22" t="s">
        <v>10</v>
      </c>
      <c r="S6" s="23" t="s">
        <v>11</v>
      </c>
      <c r="T6" s="22" t="s">
        <v>10</v>
      </c>
      <c r="U6" s="23" t="s">
        <v>11</v>
      </c>
      <c r="V6" s="22" t="s">
        <v>10</v>
      </c>
      <c r="W6" s="5"/>
      <c r="X6" s="5"/>
      <c r="Y6" s="5"/>
      <c r="Z6" s="5"/>
      <c r="AA6" s="5"/>
      <c r="AB6" s="5"/>
      <c r="AC6" s="5"/>
      <c r="AD6" s="5"/>
      <c r="AE6" s="5"/>
    </row>
    <row r="7" spans="2:31" s="4" customFormat="1" x14ac:dyDescent="0.25">
      <c r="B7" s="28"/>
      <c r="C7" s="24"/>
      <c r="D7" s="22"/>
      <c r="E7" s="21"/>
      <c r="F7" s="22"/>
      <c r="G7" s="21"/>
      <c r="H7" s="22"/>
      <c r="I7" s="21"/>
      <c r="J7" s="22"/>
      <c r="K7" s="21"/>
      <c r="L7" s="22"/>
      <c r="M7" s="21"/>
      <c r="N7" s="22"/>
      <c r="O7" s="21"/>
      <c r="P7" s="22"/>
      <c r="Q7" s="21"/>
      <c r="R7" s="22"/>
      <c r="S7" s="21"/>
      <c r="T7" s="22"/>
      <c r="U7" s="21"/>
      <c r="V7" s="22"/>
      <c r="W7" s="5"/>
      <c r="X7" s="5"/>
      <c r="Y7" s="5"/>
      <c r="Z7" s="5"/>
      <c r="AA7" s="5"/>
      <c r="AB7" s="5"/>
      <c r="AC7" s="5"/>
      <c r="AD7" s="5"/>
      <c r="AE7" s="5"/>
    </row>
    <row r="8" spans="2:31" s="4" customFormat="1" x14ac:dyDescent="0.25">
      <c r="B8" s="29" t="s">
        <v>116</v>
      </c>
      <c r="C8" s="21"/>
      <c r="D8" s="22"/>
      <c r="E8" s="21"/>
      <c r="F8" s="22"/>
      <c r="G8" s="21"/>
      <c r="H8" s="22"/>
      <c r="I8" s="21"/>
      <c r="J8" s="22"/>
      <c r="K8" s="21"/>
      <c r="L8" s="22"/>
      <c r="M8" s="21"/>
      <c r="N8" s="22"/>
      <c r="O8" s="21"/>
      <c r="P8" s="22"/>
      <c r="Q8" s="21"/>
      <c r="R8" s="22"/>
      <c r="S8" s="21"/>
      <c r="T8" s="22"/>
      <c r="U8" s="21"/>
      <c r="V8" s="22"/>
      <c r="W8" s="5"/>
      <c r="X8" s="5"/>
      <c r="Y8" s="5"/>
      <c r="Z8" s="5"/>
      <c r="AA8" s="5"/>
      <c r="AB8" s="5"/>
      <c r="AC8" s="5"/>
      <c r="AD8" s="5"/>
      <c r="AE8" s="5"/>
    </row>
    <row r="9" spans="2:31" s="4" customFormat="1" x14ac:dyDescent="0.25">
      <c r="B9" s="28" t="s">
        <v>27</v>
      </c>
      <c r="C9" s="21">
        <v>10000</v>
      </c>
      <c r="D9" s="22" t="s">
        <v>16</v>
      </c>
      <c r="E9" s="21">
        <v>0</v>
      </c>
      <c r="F9" s="22" t="s">
        <v>12</v>
      </c>
      <c r="G9" s="21">
        <v>0</v>
      </c>
      <c r="H9" s="22" t="s">
        <v>12</v>
      </c>
      <c r="I9" s="21">
        <v>0</v>
      </c>
      <c r="J9" s="22" t="s">
        <v>12</v>
      </c>
      <c r="K9" s="21">
        <v>0</v>
      </c>
      <c r="L9" s="22" t="s">
        <v>12</v>
      </c>
      <c r="M9" s="21">
        <v>0</v>
      </c>
      <c r="N9" s="22" t="s">
        <v>12</v>
      </c>
      <c r="O9" s="21">
        <v>0</v>
      </c>
      <c r="P9" s="22" t="s">
        <v>12</v>
      </c>
      <c r="Q9" s="21">
        <v>0</v>
      </c>
      <c r="R9" s="22" t="s">
        <v>12</v>
      </c>
      <c r="S9" s="21">
        <v>0</v>
      </c>
      <c r="T9" s="22" t="s">
        <v>12</v>
      </c>
      <c r="U9" s="21">
        <v>0</v>
      </c>
      <c r="V9" s="22" t="s">
        <v>12</v>
      </c>
    </row>
    <row r="10" spans="2:31" s="4" customFormat="1" x14ac:dyDescent="0.25">
      <c r="B10" s="30" t="s">
        <v>28</v>
      </c>
      <c r="C10" s="25">
        <v>500</v>
      </c>
      <c r="D10" s="26" t="s">
        <v>16</v>
      </c>
      <c r="E10" s="25">
        <v>0</v>
      </c>
      <c r="F10" s="26" t="s">
        <v>12</v>
      </c>
      <c r="G10" s="25">
        <v>0</v>
      </c>
      <c r="H10" s="26" t="s">
        <v>12</v>
      </c>
      <c r="I10" s="25">
        <v>0</v>
      </c>
      <c r="J10" s="26" t="s">
        <v>12</v>
      </c>
      <c r="K10" s="25">
        <v>0</v>
      </c>
      <c r="L10" s="26" t="s">
        <v>12</v>
      </c>
      <c r="M10" s="25">
        <v>0</v>
      </c>
      <c r="N10" s="26" t="s">
        <v>12</v>
      </c>
      <c r="O10" s="25">
        <v>0</v>
      </c>
      <c r="P10" s="26" t="s">
        <v>12</v>
      </c>
      <c r="Q10" s="25">
        <v>0</v>
      </c>
      <c r="R10" s="26" t="s">
        <v>12</v>
      </c>
      <c r="S10" s="25">
        <v>0</v>
      </c>
      <c r="T10" s="26" t="s">
        <v>12</v>
      </c>
      <c r="U10" s="25">
        <v>0</v>
      </c>
      <c r="V10" s="26" t="s">
        <v>12</v>
      </c>
    </row>
    <row r="11" spans="2:31" s="4" customFormat="1" x14ac:dyDescent="0.25">
      <c r="B11" s="1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2:31" s="4" customFormat="1" x14ac:dyDescent="0.25">
      <c r="B12" s="98" t="s">
        <v>110</v>
      </c>
      <c r="C12" s="99" t="s">
        <v>94</v>
      </c>
      <c r="D12" s="100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2:31" s="4" customFormat="1" x14ac:dyDescent="0.25">
      <c r="B13" s="28" t="s">
        <v>113</v>
      </c>
      <c r="C13" s="31">
        <v>20</v>
      </c>
      <c r="D13" s="22" t="s">
        <v>100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2:31" s="4" customFormat="1" x14ac:dyDescent="0.25">
      <c r="B14" s="28" t="s">
        <v>114</v>
      </c>
      <c r="C14" s="31">
        <v>20</v>
      </c>
      <c r="D14" s="22" t="s">
        <v>100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2:31" s="4" customFormat="1" x14ac:dyDescent="0.25">
      <c r="B15" s="28" t="s">
        <v>111</v>
      </c>
      <c r="C15" s="96" t="s">
        <v>104</v>
      </c>
      <c r="D15" s="22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2:31" s="4" customFormat="1" x14ac:dyDescent="0.25">
      <c r="B16" s="30" t="s">
        <v>103</v>
      </c>
      <c r="C16" s="97" t="s">
        <v>177</v>
      </c>
      <c r="D16" s="2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2:16" s="4" customFormat="1" x14ac:dyDescent="0.25">
      <c r="B17" s="1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2:16" s="4" customFormat="1" x14ac:dyDescent="0.25">
      <c r="B18" s="1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2:16" s="4" customFormat="1" x14ac:dyDescent="0.25">
      <c r="B19" s="118" t="s">
        <v>58</v>
      </c>
      <c r="C19" s="84" t="s">
        <v>49</v>
      </c>
      <c r="D19" s="84" t="s">
        <v>50</v>
      </c>
      <c r="E19" s="123" t="s">
        <v>86</v>
      </c>
      <c r="F19" s="123" t="s">
        <v>126</v>
      </c>
      <c r="G19" s="84" t="str">
        <f>'Reference Data'!G125</f>
        <v>&lt;blank&gt;</v>
      </c>
      <c r="H19" s="148" t="s">
        <v>158</v>
      </c>
      <c r="I19" s="6"/>
      <c r="J19" s="6"/>
      <c r="K19" s="6"/>
      <c r="L19" s="6"/>
      <c r="M19" s="6"/>
      <c r="N19" s="6"/>
      <c r="O19" s="6"/>
      <c r="P19" s="6"/>
    </row>
    <row r="20" spans="2:16" s="4" customFormat="1" x14ac:dyDescent="0.25">
      <c r="B20" s="1"/>
      <c r="C20" s="119" t="s">
        <v>6</v>
      </c>
      <c r="D20" s="121">
        <f>'Reference Data'!D126</f>
        <v>5</v>
      </c>
      <c r="E20" s="121">
        <f>'Reference Data'!E126</f>
        <v>5</v>
      </c>
      <c r="F20" s="151" t="str">
        <f>'Reference Data'!F126</f>
        <v>Feasible</v>
      </c>
      <c r="G20" s="149" t="str">
        <f>'Reference Data'!G126</f>
        <v/>
      </c>
      <c r="H20" s="149" t="str">
        <f>'Reference Data'!H126</f>
        <v/>
      </c>
      <c r="I20" s="6"/>
      <c r="J20" s="6"/>
      <c r="K20" s="6"/>
      <c r="L20" s="6"/>
      <c r="M20" s="6"/>
      <c r="N20" s="6"/>
      <c r="O20" s="6"/>
      <c r="P20" s="6"/>
    </row>
    <row r="21" spans="2:16" s="3" customFormat="1" x14ac:dyDescent="0.25">
      <c r="B21" s="1"/>
      <c r="C21" s="119" t="s">
        <v>3</v>
      </c>
      <c r="D21" s="121">
        <f>'Reference Data'!D127</f>
        <v>3</v>
      </c>
      <c r="E21" s="121">
        <f>'Reference Data'!E127</f>
        <v>3</v>
      </c>
      <c r="F21" s="151" t="str">
        <f>'Reference Data'!F127</f>
        <v>Recommended</v>
      </c>
      <c r="G21" s="149" t="str">
        <f>'Reference Data'!G127</f>
        <v/>
      </c>
      <c r="H21" s="149" t="str">
        <f>'Reference Data'!H127</f>
        <v/>
      </c>
      <c r="I21" s="6"/>
      <c r="J21" s="6"/>
      <c r="K21" s="6"/>
      <c r="L21" s="6"/>
      <c r="M21" s="6"/>
      <c r="N21" s="6"/>
      <c r="O21" s="6"/>
      <c r="P21" s="6"/>
    </row>
    <row r="22" spans="2:16" s="3" customFormat="1" x14ac:dyDescent="0.25">
      <c r="B22" s="1"/>
      <c r="C22" s="119" t="s">
        <v>7</v>
      </c>
      <c r="D22" s="121">
        <f>'Reference Data'!D128</f>
        <v>2</v>
      </c>
      <c r="E22" s="121">
        <f>'Reference Data'!E128</f>
        <v>2</v>
      </c>
      <c r="F22" s="151" t="str">
        <f>'Reference Data'!F128</f>
        <v>Feasible</v>
      </c>
      <c r="G22" s="149" t="str">
        <f>'Reference Data'!G128</f>
        <v/>
      </c>
      <c r="H22" s="149" t="str">
        <f>'Reference Data'!H128</f>
        <v/>
      </c>
      <c r="I22" s="6"/>
      <c r="J22" s="6"/>
      <c r="K22" s="6"/>
      <c r="L22" s="6"/>
      <c r="M22" s="6"/>
      <c r="N22" s="6"/>
      <c r="O22" s="6"/>
      <c r="P22" s="6"/>
    </row>
    <row r="23" spans="2:16" s="3" customFormat="1" x14ac:dyDescent="0.25">
      <c r="B23" s="1"/>
      <c r="C23" s="120" t="s">
        <v>8</v>
      </c>
      <c r="D23" s="122">
        <f>'Reference Data'!D129</f>
        <v>2</v>
      </c>
      <c r="E23" s="122">
        <f>'Reference Data'!E129</f>
        <v>2</v>
      </c>
      <c r="F23" s="152" t="str">
        <f>'Reference Data'!F129</f>
        <v>Feasible</v>
      </c>
      <c r="G23" s="150" t="str">
        <f>'Reference Data'!G129</f>
        <v/>
      </c>
      <c r="H23" s="150" t="str">
        <f>'Reference Data'!H129</f>
        <v/>
      </c>
      <c r="I23" s="6"/>
      <c r="J23" s="6"/>
      <c r="K23" s="6"/>
      <c r="L23" s="6"/>
      <c r="M23" s="6"/>
      <c r="N23" s="6"/>
      <c r="O23" s="6"/>
      <c r="P23" s="6"/>
    </row>
    <row r="24" spans="2:16" s="3" customFormat="1" x14ac:dyDescent="0.25">
      <c r="B24" s="1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2:16" s="3" customFormat="1" x14ac:dyDescent="0.25">
      <c r="B25" s="1"/>
      <c r="C25" s="158" t="str">
        <f>'Reference Data'!$D$131</f>
        <v/>
      </c>
      <c r="D25" s="158"/>
      <c r="E25" s="158"/>
      <c r="F25" s="158"/>
      <c r="G25" s="158"/>
      <c r="H25" s="158"/>
      <c r="I25" s="6"/>
      <c r="J25" s="6"/>
      <c r="K25" s="6"/>
      <c r="L25" s="6"/>
      <c r="M25" s="6"/>
      <c r="N25" s="6"/>
      <c r="O25" s="6"/>
      <c r="P25" s="6"/>
    </row>
    <row r="26" spans="2:16" s="3" customFormat="1" x14ac:dyDescent="0.25">
      <c r="B26" s="1"/>
      <c r="C26" s="158"/>
      <c r="D26" s="158"/>
      <c r="E26" s="158"/>
      <c r="F26" s="158"/>
      <c r="G26" s="158"/>
      <c r="H26" s="158"/>
      <c r="I26" s="6"/>
      <c r="J26" s="6"/>
      <c r="K26" s="6"/>
      <c r="L26" s="6"/>
      <c r="M26" s="6"/>
      <c r="N26" s="6"/>
      <c r="O26" s="6"/>
      <c r="P26" s="6"/>
    </row>
    <row r="27" spans="2:16" s="3" customFormat="1" x14ac:dyDescent="0.25">
      <c r="B27" s="1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2:16" s="3" customFormat="1" x14ac:dyDescent="0.25">
      <c r="B28" s="1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33" s="3" customFormat="1" x14ac:dyDescent="0.25"/>
    <row r="34" s="3" customFormat="1" x14ac:dyDescent="0.25"/>
    <row r="35" s="3" customFormat="1" x14ac:dyDescent="0.25"/>
    <row r="36" s="3" customFormat="1" x14ac:dyDescent="0.25"/>
    <row r="37" s="3" customFormat="1" x14ac:dyDescent="0.25"/>
    <row r="38" s="3" customFormat="1" x14ac:dyDescent="0.25"/>
    <row r="39" s="3" customFormat="1" x14ac:dyDescent="0.25"/>
    <row r="40" s="3" customFormat="1" x14ac:dyDescent="0.25"/>
    <row r="43" s="3" customFormat="1" x14ac:dyDescent="0.25"/>
    <row r="44" s="3" customFormat="1" x14ac:dyDescent="0.25"/>
    <row r="45" s="3" customFormat="1" x14ac:dyDescent="0.25"/>
    <row r="46" s="3" customFormat="1" x14ac:dyDescent="0.25"/>
    <row r="47" s="3" customFormat="1" x14ac:dyDescent="0.25"/>
    <row r="48" s="3" customFormat="1" x14ac:dyDescent="0.25"/>
    <row r="63" s="3" customFormat="1" x14ac:dyDescent="0.25"/>
    <row r="64" s="41" customFormat="1" x14ac:dyDescent="0.25"/>
    <row r="70" s="3" customFormat="1" x14ac:dyDescent="0.25"/>
    <row r="71" s="3" customFormat="1" x14ac:dyDescent="0.25"/>
    <row r="72" s="3" customFormat="1" x14ac:dyDescent="0.25"/>
    <row r="73" s="3" customFormat="1" x14ac:dyDescent="0.25"/>
    <row r="74" s="3" customFormat="1" x14ac:dyDescent="0.25"/>
    <row r="75" s="3" customFormat="1" x14ac:dyDescent="0.25"/>
    <row r="76" s="3" customFormat="1" x14ac:dyDescent="0.25"/>
    <row r="78" s="3" customFormat="1" x14ac:dyDescent="0.25"/>
    <row r="79" s="3" customFormat="1" x14ac:dyDescent="0.25"/>
    <row r="80" s="3" customFormat="1" x14ac:dyDescent="0.25"/>
    <row r="113" s="3" customFormat="1" x14ac:dyDescent="0.25"/>
    <row r="120" s="3" customFormat="1" x14ac:dyDescent="0.25"/>
    <row r="121" s="3" customFormat="1" x14ac:dyDescent="0.25"/>
    <row r="124" s="20" customFormat="1" x14ac:dyDescent="0.25"/>
    <row r="125" s="20" customFormat="1" x14ac:dyDescent="0.25"/>
    <row r="127" s="13" customFormat="1" x14ac:dyDescent="0.25"/>
    <row r="128" s="13" customFormat="1" x14ac:dyDescent="0.25"/>
    <row r="129" s="13" customFormat="1" x14ac:dyDescent="0.25"/>
    <row r="130" s="13" customFormat="1" x14ac:dyDescent="0.25"/>
    <row r="131" s="13" customFormat="1" x14ac:dyDescent="0.25"/>
    <row r="132" s="13" customFormat="1" x14ac:dyDescent="0.25"/>
    <row r="133" s="13" customFormat="1" x14ac:dyDescent="0.25"/>
    <row r="134" s="13" customFormat="1" x14ac:dyDescent="0.25"/>
    <row r="135" s="13" customFormat="1" x14ac:dyDescent="0.25"/>
    <row r="136" s="13" customFormat="1" x14ac:dyDescent="0.25"/>
    <row r="137" s="13" customFormat="1" x14ac:dyDescent="0.25"/>
    <row r="138" s="13" customFormat="1" x14ac:dyDescent="0.25"/>
    <row r="139" s="13" customFormat="1" x14ac:dyDescent="0.25"/>
    <row r="140" s="13" customFormat="1" x14ac:dyDescent="0.25"/>
    <row r="141" s="13" customFormat="1" x14ac:dyDescent="0.25"/>
    <row r="142" s="13" customFormat="1" x14ac:dyDescent="0.25"/>
    <row r="143" s="15" customFormat="1" x14ac:dyDescent="0.25"/>
    <row r="144" s="13" customFormat="1" x14ac:dyDescent="0.25"/>
    <row r="145" spans="3:16" s="13" customFormat="1" x14ac:dyDescent="0.25"/>
    <row r="146" spans="3:16" s="13" customFormat="1" x14ac:dyDescent="0.25"/>
    <row r="147" spans="3:16" s="13" customFormat="1" x14ac:dyDescent="0.25"/>
    <row r="148" spans="3:16" s="13" customFormat="1" x14ac:dyDescent="0.25"/>
    <row r="149" spans="3:16" x14ac:dyDescent="0.25">
      <c r="O149" s="6"/>
      <c r="P149" s="6"/>
    </row>
    <row r="150" spans="3:16" x14ac:dyDescent="0.25"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 spans="3:16" x14ac:dyDescent="0.25"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</sheetData>
  <mergeCells count="5">
    <mergeCell ref="AA3:AB3"/>
    <mergeCell ref="AC3:AD3"/>
    <mergeCell ref="W3:X3"/>
    <mergeCell ref="Y3:Z3"/>
    <mergeCell ref="C25:H26"/>
  </mergeCells>
  <dataValidations count="2">
    <dataValidation type="list" allowBlank="1" showInputMessage="1" showErrorMessage="1" sqref="C6 E6 G6 I6 K6 M6 C15 O6 Q6 S6 U6">
      <formula1>"Yes, No"</formula1>
    </dataValidation>
    <dataValidation type="list" allowBlank="1" showInputMessage="1" showErrorMessage="1" sqref="C16">
      <formula1>"Set by planner,2,3,4,5,6,7,8,9,10,11,12,13,14,15,16"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5" operator="equal" id="{DDCA013B-1924-497B-806B-F3CB2795C0EA}">
            <xm:f>'Reference Data'!$C$137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6" operator="equal" id="{3B017438-00C8-4EEA-8ACA-E620E7C0868C}">
            <xm:f>'Reference Data'!$C$136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7" operator="equal" id="{53B089CF-B91E-4548-B240-07F66023C573}">
            <xm:f>'Reference Data'!$C$135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ellIs" priority="8" operator="equal" id="{6B47301D-1E6C-489C-9333-0DC4D4E2C9B5}">
            <xm:f>'Reference Data'!$C$134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F20:F23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Q35"/>
  <sheetViews>
    <sheetView zoomScaleNormal="100" workbookViewId="0">
      <selection activeCell="C6" sqref="C6"/>
    </sheetView>
  </sheetViews>
  <sheetFormatPr defaultRowHeight="15" x14ac:dyDescent="0.25"/>
  <cols>
    <col min="1" max="1" width="3.140625" style="3" customWidth="1"/>
    <col min="2" max="2" width="41.85546875" style="1" bestFit="1" customWidth="1"/>
    <col min="3" max="3" width="7.5703125" style="10" customWidth="1"/>
  </cols>
  <sheetData>
    <row r="1" spans="2:17" x14ac:dyDescent="0.25">
      <c r="B1" s="1" t="s">
        <v>56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2:17" x14ac:dyDescent="0.25"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2:17" x14ac:dyDescent="0.25">
      <c r="B3" s="8" t="s">
        <v>30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2:17" x14ac:dyDescent="0.25">
      <c r="B4" s="1" t="s">
        <v>49</v>
      </c>
      <c r="C4" s="10" t="s">
        <v>3</v>
      </c>
      <c r="D4" s="3" t="s">
        <v>31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 x14ac:dyDescent="0.25">
      <c r="B5" s="1" t="s">
        <v>29</v>
      </c>
      <c r="C5" s="10">
        <v>3</v>
      </c>
      <c r="D5" s="3" t="s">
        <v>31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2:17" x14ac:dyDescent="0.25">
      <c r="B6" s="1" t="s">
        <v>34</v>
      </c>
      <c r="C6" s="10">
        <v>1500</v>
      </c>
      <c r="D6" s="3" t="s">
        <v>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2:17" s="3" customFormat="1" x14ac:dyDescent="0.25">
      <c r="B7" s="1" t="s">
        <v>178</v>
      </c>
      <c r="C7" s="7" t="s">
        <v>11</v>
      </c>
      <c r="D7" s="6" t="s">
        <v>10</v>
      </c>
      <c r="E7" s="17" t="str">
        <f>IF(C5 = 1, IF(C7 = "Yes", "HA with 1 Node is Not Supported", ""), "")</f>
        <v/>
      </c>
    </row>
    <row r="8" spans="2:17" x14ac:dyDescent="0.25"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2:17" x14ac:dyDescent="0.25">
      <c r="B9" s="9" t="s">
        <v>38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2:17" x14ac:dyDescent="0.25">
      <c r="B10" s="1" t="s">
        <v>39</v>
      </c>
      <c r="C10" s="10" t="str">
        <f>'Reference Data'!D27</f>
        <v>Yes</v>
      </c>
      <c r="D10" s="3" t="str">
        <f>'Reference Data'!D30</f>
        <v>Please make sure there is enough network &amp; CPU available to sustain load on cache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2:17" s="3" customFormat="1" x14ac:dyDescent="0.25">
      <c r="B11" s="1" t="s">
        <v>174</v>
      </c>
      <c r="C11" s="10">
        <f>'Reference Data'!D28</f>
        <v>30</v>
      </c>
      <c r="D11" t="s">
        <v>33</v>
      </c>
    </row>
    <row r="13" spans="2:17" s="3" customFormat="1" x14ac:dyDescent="0.25">
      <c r="B13" s="1"/>
      <c r="C13" s="10"/>
    </row>
    <row r="14" spans="2:17" s="3" customFormat="1" x14ac:dyDescent="0.25">
      <c r="B14" s="1"/>
      <c r="C14" s="10"/>
    </row>
    <row r="16" spans="2:17" s="3" customFormat="1" x14ac:dyDescent="0.25"/>
    <row r="17" s="3" customFormat="1" x14ac:dyDescent="0.25"/>
    <row r="18" s="3" customFormat="1" x14ac:dyDescent="0.25"/>
    <row r="19" s="3" customFormat="1" x14ac:dyDescent="0.25"/>
    <row r="24" s="3" customFormat="1" x14ac:dyDescent="0.25"/>
    <row r="25" s="3" customFormat="1" x14ac:dyDescent="0.25"/>
    <row r="29" s="3" customFormat="1" x14ac:dyDescent="0.25"/>
    <row r="31" s="3" customFormat="1" x14ac:dyDescent="0.25"/>
    <row r="35" s="3" customFormat="1" x14ac:dyDescent="0.25"/>
  </sheetData>
  <conditionalFormatting sqref="C10">
    <cfRule type="cellIs" dxfId="1" priority="1" operator="equal">
      <formula>"No"</formula>
    </cfRule>
    <cfRule type="cellIs" dxfId="0" priority="2" operator="equal">
      <formula>"Yes"</formula>
    </cfRule>
  </conditionalFormatting>
  <dataValidations count="1">
    <dataValidation type="list" allowBlank="1" showInputMessage="1" showErrorMessage="1" sqref="C7">
      <formula1>"Yes, No"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'Reference Data'!$C$5:$C$8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W141"/>
  <sheetViews>
    <sheetView topLeftCell="A125" zoomScaleNormal="100" workbookViewId="0">
      <selection activeCell="C142" sqref="C142"/>
    </sheetView>
  </sheetViews>
  <sheetFormatPr defaultRowHeight="15" x14ac:dyDescent="0.25"/>
  <cols>
    <col min="2" max="2" width="12.42578125" bestFit="1" customWidth="1"/>
    <col min="4" max="4" width="12.28515625" customWidth="1"/>
    <col min="5" max="5" width="9.140625" style="3" customWidth="1"/>
    <col min="8" max="9" width="9.140625" style="3"/>
    <col min="10" max="11" width="9.5703125" style="3" customWidth="1"/>
    <col min="12" max="13" width="9.140625" style="3"/>
    <col min="14" max="14" width="11.140625" style="3" customWidth="1"/>
    <col min="15" max="15" width="11.28515625" style="3" customWidth="1"/>
    <col min="16" max="16" width="10.140625" style="3" customWidth="1"/>
  </cols>
  <sheetData>
    <row r="2" spans="2:19" x14ac:dyDescent="0.25">
      <c r="B2" s="18"/>
      <c r="C2" s="177" t="s">
        <v>4</v>
      </c>
      <c r="D2" s="182" t="s">
        <v>139</v>
      </c>
      <c r="E2" s="184" t="s">
        <v>133</v>
      </c>
      <c r="F2" s="181" t="s">
        <v>134</v>
      </c>
      <c r="G2" s="181"/>
      <c r="H2" s="181"/>
      <c r="I2" s="181"/>
      <c r="J2" s="181"/>
      <c r="K2" s="180"/>
      <c r="L2" s="179" t="s">
        <v>131</v>
      </c>
      <c r="M2" s="180"/>
      <c r="N2" s="179" t="s">
        <v>140</v>
      </c>
      <c r="O2" s="181"/>
      <c r="P2" s="177" t="s">
        <v>143</v>
      </c>
      <c r="Q2" s="18"/>
      <c r="R2" s="18"/>
      <c r="S2" s="18"/>
    </row>
    <row r="3" spans="2:19" s="128" customFormat="1" ht="45" x14ac:dyDescent="0.25">
      <c r="B3" s="127"/>
      <c r="C3" s="178"/>
      <c r="D3" s="183"/>
      <c r="E3" s="185"/>
      <c r="F3" s="131" t="s">
        <v>141</v>
      </c>
      <c r="G3" s="132" t="s">
        <v>142</v>
      </c>
      <c r="H3" s="131" t="s">
        <v>135</v>
      </c>
      <c r="I3" s="132" t="s">
        <v>136</v>
      </c>
      <c r="J3" s="133" t="s">
        <v>137</v>
      </c>
      <c r="K3" s="134" t="s">
        <v>138</v>
      </c>
      <c r="L3" s="131" t="s">
        <v>132</v>
      </c>
      <c r="M3" s="132" t="s">
        <v>19</v>
      </c>
      <c r="N3" s="135" t="s">
        <v>129</v>
      </c>
      <c r="O3" s="134" t="s">
        <v>130</v>
      </c>
      <c r="P3" s="178"/>
      <c r="Q3" s="127"/>
      <c r="R3" s="127"/>
      <c r="S3" s="127"/>
    </row>
    <row r="4" spans="2:19" x14ac:dyDescent="0.25">
      <c r="B4" s="18"/>
      <c r="C4" s="136" t="s">
        <v>5</v>
      </c>
      <c r="D4" s="114">
        <v>766</v>
      </c>
      <c r="E4" s="42">
        <v>237</v>
      </c>
      <c r="F4" s="114">
        <v>115</v>
      </c>
      <c r="G4" s="129">
        <v>71</v>
      </c>
      <c r="H4" s="114">
        <v>101</v>
      </c>
      <c r="I4" s="129">
        <v>63</v>
      </c>
      <c r="J4" s="42">
        <v>42</v>
      </c>
      <c r="K4" s="129">
        <v>26</v>
      </c>
      <c r="L4" s="114">
        <v>5</v>
      </c>
      <c r="M4" s="129">
        <f>L4/8</f>
        <v>0.625</v>
      </c>
      <c r="N4" s="114">
        <v>110</v>
      </c>
      <c r="O4" s="129">
        <v>150</v>
      </c>
      <c r="P4" s="129">
        <v>30</v>
      </c>
      <c r="Q4" s="18"/>
      <c r="R4" s="18"/>
      <c r="S4" s="18"/>
    </row>
    <row r="5" spans="2:19" x14ac:dyDescent="0.25">
      <c r="B5" s="18"/>
      <c r="C5" s="136" t="s">
        <v>6</v>
      </c>
      <c r="D5" s="114">
        <v>1790</v>
      </c>
      <c r="E5" s="42">
        <v>1020</v>
      </c>
      <c r="F5" s="114">
        <v>791</v>
      </c>
      <c r="G5" s="129">
        <v>711</v>
      </c>
      <c r="H5" s="114">
        <v>696</v>
      </c>
      <c r="I5" s="129">
        <v>626</v>
      </c>
      <c r="J5" s="42">
        <v>288</v>
      </c>
      <c r="K5" s="129">
        <v>259</v>
      </c>
      <c r="L5" s="114">
        <v>100</v>
      </c>
      <c r="M5" s="129">
        <f>L5/8</f>
        <v>12.5</v>
      </c>
      <c r="N5" s="114">
        <v>148</v>
      </c>
      <c r="O5" s="129">
        <v>228</v>
      </c>
      <c r="P5" s="129">
        <f>P4*2</f>
        <v>60</v>
      </c>
      <c r="Q5" s="18"/>
      <c r="R5" s="18"/>
      <c r="S5" s="18"/>
    </row>
    <row r="6" spans="2:19" x14ac:dyDescent="0.25">
      <c r="B6" s="18"/>
      <c r="C6" s="136" t="s">
        <v>3</v>
      </c>
      <c r="D6" s="114">
        <v>3583</v>
      </c>
      <c r="E6" s="42">
        <v>2831</v>
      </c>
      <c r="F6" s="114">
        <v>2372</v>
      </c>
      <c r="G6" s="129">
        <v>2227</v>
      </c>
      <c r="H6" s="114">
        <v>2088</v>
      </c>
      <c r="I6" s="129">
        <v>1960</v>
      </c>
      <c r="J6" s="42">
        <v>866</v>
      </c>
      <c r="K6" s="129">
        <v>813</v>
      </c>
      <c r="L6" s="114">
        <v>200</v>
      </c>
      <c r="M6" s="129">
        <f>L6/8</f>
        <v>25</v>
      </c>
      <c r="N6" s="114">
        <v>216</v>
      </c>
      <c r="O6" s="129">
        <v>376</v>
      </c>
      <c r="P6" s="129">
        <f>P5*2</f>
        <v>120</v>
      </c>
      <c r="Q6" s="18"/>
      <c r="R6" s="18"/>
      <c r="S6" s="18"/>
    </row>
    <row r="7" spans="2:19" x14ac:dyDescent="0.25">
      <c r="B7" s="18"/>
      <c r="C7" s="136" t="s">
        <v>7</v>
      </c>
      <c r="D7" s="114">
        <v>7230</v>
      </c>
      <c r="E7" s="42">
        <v>6145</v>
      </c>
      <c r="F7" s="114">
        <v>5243</v>
      </c>
      <c r="G7" s="129">
        <v>4956</v>
      </c>
      <c r="H7" s="114">
        <v>4615</v>
      </c>
      <c r="I7" s="129">
        <v>4363</v>
      </c>
      <c r="J7" s="42">
        <v>1914</v>
      </c>
      <c r="K7" s="129">
        <v>1810</v>
      </c>
      <c r="L7" s="114">
        <v>400</v>
      </c>
      <c r="M7" s="129">
        <f>L7/8</f>
        <v>50</v>
      </c>
      <c r="N7" s="114">
        <v>365</v>
      </c>
      <c r="O7" s="129">
        <v>685</v>
      </c>
      <c r="P7" s="129">
        <f>P6*2</f>
        <v>240</v>
      </c>
      <c r="Q7" s="18"/>
      <c r="R7" s="18"/>
      <c r="S7" s="18"/>
    </row>
    <row r="8" spans="2:19" x14ac:dyDescent="0.25">
      <c r="B8" s="18"/>
      <c r="C8" s="137" t="s">
        <v>8</v>
      </c>
      <c r="D8" s="115">
        <v>14398</v>
      </c>
      <c r="E8" s="45">
        <v>13031</v>
      </c>
      <c r="F8" s="115">
        <v>11236</v>
      </c>
      <c r="G8" s="130">
        <v>10681</v>
      </c>
      <c r="H8" s="115">
        <v>9891</v>
      </c>
      <c r="I8" s="130">
        <v>9402</v>
      </c>
      <c r="J8" s="45">
        <v>4103</v>
      </c>
      <c r="K8" s="130">
        <v>3900</v>
      </c>
      <c r="L8" s="115">
        <v>800</v>
      </c>
      <c r="M8" s="130">
        <f>L8/8</f>
        <v>100</v>
      </c>
      <c r="N8" s="115">
        <v>644</v>
      </c>
      <c r="O8" s="130">
        <v>1284</v>
      </c>
      <c r="P8" s="130">
        <f>P7*2</f>
        <v>480</v>
      </c>
      <c r="Q8" s="18"/>
      <c r="R8" s="18"/>
      <c r="S8" s="18"/>
    </row>
    <row r="9" spans="2:19" x14ac:dyDescent="0.25">
      <c r="B9" s="18"/>
      <c r="C9" s="126"/>
      <c r="D9" s="126"/>
      <c r="E9" s="126"/>
      <c r="F9" s="126"/>
      <c r="G9" s="126"/>
      <c r="H9" s="126"/>
      <c r="I9" s="126"/>
      <c r="J9" s="140" t="s">
        <v>147</v>
      </c>
      <c r="K9" s="140" t="s">
        <v>147</v>
      </c>
      <c r="L9" s="126"/>
      <c r="M9" s="126"/>
      <c r="N9" s="126"/>
      <c r="O9" s="126"/>
      <c r="P9" s="126"/>
      <c r="Q9" s="18"/>
      <c r="R9" s="18"/>
      <c r="S9" s="18"/>
    </row>
    <row r="10" spans="2:19" x14ac:dyDescent="0.25"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</row>
    <row r="11" spans="2:19" x14ac:dyDescent="0.25">
      <c r="B11" s="19"/>
      <c r="C11" s="1" t="s">
        <v>175</v>
      </c>
      <c r="D11" s="10"/>
      <c r="E11"/>
      <c r="H11"/>
      <c r="I11"/>
      <c r="J11"/>
      <c r="K11"/>
      <c r="L11" s="18"/>
      <c r="M11" s="18"/>
      <c r="N11" s="18"/>
      <c r="O11" s="18"/>
      <c r="P11" s="18"/>
      <c r="Q11" s="18"/>
      <c r="R11" s="18"/>
      <c r="S11" s="18"/>
    </row>
    <row r="12" spans="2:19" x14ac:dyDescent="0.25">
      <c r="B12" s="18"/>
      <c r="C12" s="1"/>
      <c r="D12" s="10"/>
      <c r="F12" s="3"/>
      <c r="G12" s="3"/>
      <c r="L12" s="18"/>
      <c r="M12" s="18"/>
      <c r="N12" s="18"/>
      <c r="O12" s="18"/>
      <c r="P12" s="18"/>
      <c r="Q12" s="18"/>
      <c r="R12" s="18"/>
      <c r="S12" s="18"/>
    </row>
    <row r="13" spans="2:19" x14ac:dyDescent="0.25">
      <c r="B13" s="18"/>
      <c r="C13" s="153" t="s">
        <v>168</v>
      </c>
      <c r="D13" s="10"/>
      <c r="F13" s="3"/>
      <c r="G13" s="3"/>
      <c r="L13" s="18"/>
      <c r="M13" s="18"/>
      <c r="N13" s="18"/>
      <c r="O13" s="18"/>
      <c r="P13" s="18"/>
      <c r="Q13" s="18"/>
      <c r="R13" s="18"/>
      <c r="S13" s="18"/>
    </row>
    <row r="14" spans="2:19" x14ac:dyDescent="0.25">
      <c r="B14" s="18"/>
      <c r="C14" s="20" t="s">
        <v>161</v>
      </c>
      <c r="D14" s="154">
        <v>1</v>
      </c>
      <c r="E14" s="20" t="s">
        <v>31</v>
      </c>
      <c r="F14" s="3"/>
      <c r="G14" s="3"/>
      <c r="L14" s="18"/>
      <c r="M14" s="18"/>
      <c r="N14" s="18"/>
      <c r="O14" s="18"/>
      <c r="P14" s="18"/>
      <c r="Q14" s="18"/>
      <c r="R14" s="18"/>
      <c r="S14" s="18"/>
    </row>
    <row r="15" spans="2:19" x14ac:dyDescent="0.25">
      <c r="C15" s="20" t="s">
        <v>167</v>
      </c>
      <c r="D15" s="154">
        <v>2</v>
      </c>
      <c r="E15" s="20" t="s">
        <v>1</v>
      </c>
      <c r="F15" s="3"/>
      <c r="G15" s="3"/>
    </row>
    <row r="16" spans="2:19" s="3" customFormat="1" x14ac:dyDescent="0.25">
      <c r="C16" s="1"/>
      <c r="D16" s="10"/>
      <c r="E16"/>
      <c r="F16"/>
      <c r="G16"/>
      <c r="H16"/>
      <c r="I16"/>
      <c r="J16"/>
      <c r="K16"/>
    </row>
    <row r="17" spans="2:11" s="3" customFormat="1" x14ac:dyDescent="0.25">
      <c r="C17" s="11" t="s">
        <v>40</v>
      </c>
      <c r="D17" s="12"/>
      <c r="E17" s="13"/>
      <c r="F17"/>
      <c r="G17"/>
      <c r="H17"/>
      <c r="I17"/>
      <c r="J17"/>
      <c r="K17"/>
    </row>
    <row r="18" spans="2:11" s="3" customFormat="1" x14ac:dyDescent="0.25">
      <c r="C18" s="13" t="s">
        <v>35</v>
      </c>
      <c r="D18" s="12">
        <f>VLOOKUP('Co-located Role - Planner'!$C$4, 'Reference Data'!$C$4:'Reference Data'!$O$8, 2, FALSE)</f>
        <v>3583</v>
      </c>
      <c r="E18" s="13" t="s">
        <v>1</v>
      </c>
      <c r="F18"/>
      <c r="G18"/>
      <c r="H18"/>
      <c r="I18"/>
      <c r="J18"/>
      <c r="K18"/>
    </row>
    <row r="19" spans="2:11" x14ac:dyDescent="0.25">
      <c r="C19" s="13" t="s">
        <v>164</v>
      </c>
      <c r="D19" s="12">
        <f>VLOOKUP('Co-located Role - Planner'!$C$4, 'Reference Data'!$C$4:'Reference Data'!$O$8, 3, FALSE)</f>
        <v>2831</v>
      </c>
      <c r="E19" s="13" t="s">
        <v>1</v>
      </c>
      <c r="H19"/>
      <c r="I19"/>
      <c r="J19"/>
      <c r="K19"/>
    </row>
    <row r="20" spans="2:11" x14ac:dyDescent="0.25">
      <c r="B20" s="1"/>
      <c r="C20" s="13"/>
      <c r="D20" s="12"/>
      <c r="E20" s="13"/>
      <c r="F20" s="3"/>
      <c r="G20" s="3"/>
    </row>
    <row r="21" spans="2:11" x14ac:dyDescent="0.25">
      <c r="C21" s="13" t="s">
        <v>162</v>
      </c>
      <c r="D21" s="12">
        <f>MAX(('Co-located Role - Planner'!C5-$D$14), 1)</f>
        <v>2</v>
      </c>
      <c r="E21" s="13" t="s">
        <v>163</v>
      </c>
      <c r="F21" s="3"/>
      <c r="G21" s="3"/>
    </row>
    <row r="22" spans="2:11" x14ac:dyDescent="0.25">
      <c r="C22" s="13" t="s">
        <v>165</v>
      </c>
      <c r="D22" s="12">
        <f>ROUNDUP(('Co-located Role - Planner'!C6/D21) * IF('Co-located Role - Planner'!$C$7 = "Yes", IF(D21&gt;1, 2, 1), 1), 0)</f>
        <v>750</v>
      </c>
      <c r="E22" s="13" t="s">
        <v>1</v>
      </c>
      <c r="H22"/>
      <c r="I22"/>
      <c r="J22"/>
      <c r="K22"/>
    </row>
    <row r="23" spans="2:11" x14ac:dyDescent="0.25">
      <c r="C23" s="14" t="s">
        <v>166</v>
      </c>
      <c r="D23" s="12">
        <f>VLOOKUP('Co-located Role - Planner'!$C$4, 'Reference Data'!$C$4:'Reference Data'!$O$8, IF('Co-located Role - Planner'!$C$7="Yes", 13, 12), FALSE)</f>
        <v>216</v>
      </c>
      <c r="E23" s="13" t="s">
        <v>1</v>
      </c>
      <c r="H23"/>
      <c r="I23"/>
      <c r="J23"/>
      <c r="K23"/>
    </row>
    <row r="24" spans="2:11" x14ac:dyDescent="0.25">
      <c r="C24" s="13" t="s">
        <v>36</v>
      </c>
      <c r="D24" s="12">
        <f>ROUNDUP(D22*1.1 + D23, 0)</f>
        <v>1041</v>
      </c>
      <c r="E24" s="13" t="s">
        <v>1</v>
      </c>
      <c r="H24"/>
      <c r="I24"/>
      <c r="J24"/>
      <c r="K24"/>
    </row>
    <row r="25" spans="2:11" x14ac:dyDescent="0.25">
      <c r="C25" s="13"/>
      <c r="D25" s="12"/>
      <c r="E25" s="13"/>
      <c r="F25" s="3"/>
      <c r="G25" s="3"/>
    </row>
    <row r="26" spans="2:11" x14ac:dyDescent="0.25">
      <c r="C26" s="13" t="s">
        <v>37</v>
      </c>
      <c r="D26" s="12">
        <f>IF(D24&lt;=D19, 1, 0)</f>
        <v>1</v>
      </c>
      <c r="E26" s="13" t="s">
        <v>22</v>
      </c>
      <c r="H26"/>
      <c r="I26"/>
      <c r="J26"/>
      <c r="K26"/>
    </row>
    <row r="27" spans="2:11" x14ac:dyDescent="0.25">
      <c r="C27" s="13" t="s">
        <v>39</v>
      </c>
      <c r="D27" s="12" t="str">
        <f>IF($D$26 = 1, IF($D$22 &gt;= $D$15, "Yes", "No"), "No")</f>
        <v>Yes</v>
      </c>
      <c r="E27" s="13"/>
      <c r="F27" s="3"/>
      <c r="G27" s="3"/>
    </row>
    <row r="28" spans="2:11" x14ac:dyDescent="0.25">
      <c r="C28" s="20" t="s">
        <v>41</v>
      </c>
      <c r="D28" s="154">
        <f>ROUNDUP(D24*100/D18, 0)</f>
        <v>30</v>
      </c>
      <c r="E28" s="20" t="s">
        <v>33</v>
      </c>
      <c r="G28" s="20">
        <f>ROUNDUP(ROUNDUP(((ROUNDUP(('Co-located Role - Planner'!C6/'Co-located Role - Planner'!C5) * IF('Co-located Role - Planner'!$C$7 = "Yes", IF('Co-located Role - Planner'!C5&gt;1, 2, 1), 1), 0))*1.1 + D23), 0)*100/D18, 0)</f>
        <v>22</v>
      </c>
      <c r="H28" s="20" t="s">
        <v>173</v>
      </c>
      <c r="I28"/>
      <c r="J28"/>
      <c r="K28"/>
    </row>
    <row r="29" spans="2:11" x14ac:dyDescent="0.25">
      <c r="C29" s="155" t="s">
        <v>53</v>
      </c>
      <c r="D29" s="20">
        <f>ROUNDUP((D19-D24)*100/D18, 0)</f>
        <v>50</v>
      </c>
      <c r="E29" s="20" t="s">
        <v>33</v>
      </c>
      <c r="H29"/>
      <c r="I29"/>
      <c r="J29"/>
      <c r="K29"/>
    </row>
    <row r="30" spans="2:11" x14ac:dyDescent="0.25">
      <c r="C30" s="20" t="s">
        <v>169</v>
      </c>
      <c r="D30" s="156" t="str">
        <f>IF($D$26 = 0, $C$33, IF(D22 &gt;= $D$15, $C$34, $C$35))</f>
        <v>Please make sure there is enough network &amp; CPU available to sustain load on cache</v>
      </c>
      <c r="E30"/>
      <c r="H30"/>
      <c r="I30"/>
      <c r="J30"/>
      <c r="K30"/>
    </row>
    <row r="31" spans="2:11" x14ac:dyDescent="0.25">
      <c r="C31" s="1"/>
      <c r="D31" s="10"/>
      <c r="F31" s="3"/>
      <c r="G31" s="3"/>
    </row>
    <row r="32" spans="2:11" x14ac:dyDescent="0.25">
      <c r="C32" s="1" t="s">
        <v>121</v>
      </c>
      <c r="D32" s="10"/>
      <c r="E32"/>
      <c r="H32"/>
      <c r="I32"/>
      <c r="J32"/>
      <c r="K32"/>
    </row>
    <row r="33" spans="3:23" x14ac:dyDescent="0.25">
      <c r="C33" s="4" t="s">
        <v>170</v>
      </c>
      <c r="D33" s="10"/>
      <c r="E33"/>
      <c r="H33"/>
      <c r="I33"/>
      <c r="J33"/>
      <c r="K33"/>
    </row>
    <row r="34" spans="3:23" x14ac:dyDescent="0.25">
      <c r="C34" s="4" t="s">
        <v>171</v>
      </c>
      <c r="D34" s="10"/>
      <c r="E34"/>
      <c r="H34"/>
      <c r="I34"/>
      <c r="J34"/>
      <c r="K34"/>
    </row>
    <row r="35" spans="3:23" x14ac:dyDescent="0.25">
      <c r="C35" s="4" t="s">
        <v>172</v>
      </c>
      <c r="D35" s="10"/>
      <c r="E35"/>
      <c r="H35"/>
      <c r="I35"/>
      <c r="J35"/>
      <c r="K35"/>
    </row>
    <row r="40" spans="3:23" x14ac:dyDescent="0.25">
      <c r="C40" s="1" t="s">
        <v>176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2"/>
      <c r="S40" s="2"/>
      <c r="T40" s="2"/>
      <c r="U40" s="2"/>
      <c r="V40" s="2"/>
      <c r="W40" s="2"/>
    </row>
    <row r="41" spans="3:23" x14ac:dyDescent="0.25"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3:23" x14ac:dyDescent="0.25">
      <c r="C42" s="85" t="s">
        <v>48</v>
      </c>
      <c r="D42" s="70" t="s">
        <v>94</v>
      </c>
      <c r="E42" s="71" t="s">
        <v>95</v>
      </c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"/>
      <c r="Q42" s="2"/>
      <c r="R42" s="2"/>
      <c r="S42" s="2"/>
      <c r="T42" s="2"/>
      <c r="U42" s="2"/>
      <c r="V42" s="2"/>
      <c r="W42" s="2"/>
    </row>
    <row r="43" spans="3:23" x14ac:dyDescent="0.25">
      <c r="C43" s="141" t="s">
        <v>51</v>
      </c>
      <c r="D43" s="142">
        <v>95</v>
      </c>
      <c r="E43" s="143" t="s">
        <v>9</v>
      </c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"/>
      <c r="Q43" s="2"/>
      <c r="R43" s="2"/>
      <c r="S43" s="2"/>
      <c r="T43" s="2"/>
      <c r="U43" s="2"/>
      <c r="V43" s="2"/>
      <c r="W43" s="2"/>
    </row>
    <row r="44" spans="3:23" x14ac:dyDescent="0.25">
      <c r="C44" s="52" t="s">
        <v>115</v>
      </c>
      <c r="D44" s="36">
        <v>80</v>
      </c>
      <c r="E44" s="68" t="s">
        <v>9</v>
      </c>
      <c r="F44" s="20"/>
      <c r="G44" s="20"/>
      <c r="H44" s="20"/>
      <c r="I44" s="20"/>
      <c r="J44" s="20"/>
      <c r="K44" s="20"/>
      <c r="L44" s="20"/>
      <c r="M44" s="20"/>
      <c r="N44" s="20"/>
      <c r="O44" s="20"/>
      <c r="Q44" s="3"/>
      <c r="R44" s="3"/>
      <c r="S44" s="3"/>
      <c r="T44" s="3"/>
      <c r="U44" s="3"/>
      <c r="V44" s="3"/>
      <c r="W44" s="3"/>
    </row>
    <row r="45" spans="3:23" x14ac:dyDescent="0.25">
      <c r="C45" s="52" t="s">
        <v>63</v>
      </c>
      <c r="D45" s="36">
        <v>210</v>
      </c>
      <c r="E45" s="68" t="s">
        <v>61</v>
      </c>
      <c r="F45" s="20"/>
      <c r="G45" s="20"/>
      <c r="H45" s="20"/>
      <c r="I45" s="20"/>
      <c r="J45" s="20"/>
      <c r="K45" s="20"/>
      <c r="L45" s="20"/>
      <c r="M45" s="20"/>
      <c r="N45" s="20"/>
      <c r="O45" s="20"/>
      <c r="Q45" s="3"/>
      <c r="R45" s="3"/>
      <c r="S45" s="3"/>
      <c r="T45" s="3"/>
      <c r="U45" s="3"/>
      <c r="V45" s="3"/>
      <c r="W45" s="3"/>
    </row>
    <row r="46" spans="3:23" x14ac:dyDescent="0.25">
      <c r="C46" s="52" t="s">
        <v>91</v>
      </c>
      <c r="D46" s="36">
        <v>16</v>
      </c>
      <c r="E46" s="68" t="s">
        <v>154</v>
      </c>
      <c r="F46" s="20"/>
      <c r="G46" s="20"/>
      <c r="H46" s="20"/>
      <c r="I46" s="20"/>
      <c r="J46" s="20"/>
      <c r="K46" s="20"/>
      <c r="L46" s="20"/>
      <c r="M46" s="20"/>
      <c r="N46" s="20"/>
      <c r="O46" s="20"/>
      <c r="Q46" s="3"/>
      <c r="R46" s="3"/>
      <c r="S46" s="3"/>
      <c r="T46" s="3"/>
      <c r="U46" s="3"/>
      <c r="V46" s="3"/>
      <c r="W46" s="3"/>
    </row>
    <row r="47" spans="3:23" x14ac:dyDescent="0.25">
      <c r="C47" s="52" t="s">
        <v>150</v>
      </c>
      <c r="D47" s="36">
        <v>2</v>
      </c>
      <c r="E47" s="68" t="s">
        <v>151</v>
      </c>
      <c r="F47" s="20"/>
      <c r="G47" s="20"/>
      <c r="H47" s="20"/>
      <c r="I47" s="20"/>
      <c r="J47" s="20"/>
      <c r="K47" s="20"/>
      <c r="L47" s="20"/>
      <c r="M47" s="20"/>
      <c r="N47" s="20"/>
      <c r="O47" s="20"/>
      <c r="Q47" s="3"/>
      <c r="R47" s="3"/>
      <c r="S47" s="3"/>
      <c r="T47" s="3"/>
      <c r="U47" s="3"/>
      <c r="V47" s="3"/>
      <c r="W47" s="3"/>
    </row>
    <row r="48" spans="3:23" x14ac:dyDescent="0.25">
      <c r="C48" s="52" t="s">
        <v>152</v>
      </c>
      <c r="D48" s="36">
        <v>6</v>
      </c>
      <c r="E48" s="68" t="s">
        <v>151</v>
      </c>
      <c r="F48" s="20"/>
      <c r="G48" s="20"/>
      <c r="H48" s="20"/>
      <c r="I48" s="20"/>
      <c r="J48" s="20"/>
      <c r="K48" s="20"/>
      <c r="L48" s="20"/>
      <c r="M48" s="20"/>
      <c r="N48" s="20"/>
      <c r="O48" s="20"/>
      <c r="Q48" s="3"/>
      <c r="R48" s="3"/>
      <c r="S48" s="3"/>
      <c r="T48" s="3"/>
      <c r="U48" s="3"/>
      <c r="V48" s="3"/>
      <c r="W48" s="3"/>
    </row>
    <row r="49" spans="3:23" x14ac:dyDescent="0.25">
      <c r="C49" s="52" t="s">
        <v>153</v>
      </c>
      <c r="D49" s="37">
        <f>4/3</f>
        <v>1.3333333333333333</v>
      </c>
      <c r="E49" s="68" t="s">
        <v>151</v>
      </c>
      <c r="F49" s="20"/>
      <c r="G49" s="20"/>
      <c r="H49" s="20"/>
      <c r="I49" s="20"/>
      <c r="J49" s="20"/>
      <c r="K49" s="20"/>
      <c r="L49" s="20"/>
      <c r="M49" s="20"/>
      <c r="N49" s="20"/>
      <c r="O49" s="20"/>
      <c r="Q49" s="3"/>
      <c r="R49" s="3"/>
      <c r="S49" s="3"/>
      <c r="T49" s="3"/>
      <c r="U49" s="3"/>
      <c r="V49" s="3"/>
      <c r="W49" s="3"/>
    </row>
    <row r="50" spans="3:23" x14ac:dyDescent="0.25">
      <c r="C50" s="52" t="s">
        <v>155</v>
      </c>
      <c r="D50" s="36">
        <v>2048</v>
      </c>
      <c r="E50" s="68" t="s">
        <v>156</v>
      </c>
      <c r="F50" s="20"/>
      <c r="G50" s="20"/>
      <c r="H50" s="20"/>
      <c r="I50" s="20"/>
      <c r="J50" s="20"/>
      <c r="K50" s="20"/>
      <c r="L50" s="20"/>
      <c r="M50" s="20"/>
      <c r="N50" s="20"/>
      <c r="O50" s="20"/>
      <c r="Q50" s="3"/>
      <c r="R50" s="3"/>
      <c r="S50" s="3"/>
      <c r="T50" s="3"/>
      <c r="U50" s="3"/>
      <c r="V50" s="3"/>
      <c r="W50" s="3"/>
    </row>
    <row r="51" spans="3:23" x14ac:dyDescent="0.25">
      <c r="C51" s="53" t="s">
        <v>157</v>
      </c>
      <c r="D51" s="39">
        <v>1024</v>
      </c>
      <c r="E51" s="69" t="s">
        <v>156</v>
      </c>
      <c r="F51" s="20"/>
      <c r="G51" s="20"/>
      <c r="H51" s="20"/>
      <c r="I51" s="20"/>
      <c r="J51" s="20"/>
      <c r="K51" s="20"/>
      <c r="L51" s="20"/>
      <c r="M51" s="20"/>
      <c r="N51" s="20"/>
      <c r="O51" s="20"/>
      <c r="Q51" s="3"/>
      <c r="R51" s="3"/>
      <c r="S51" s="3"/>
      <c r="T51" s="3"/>
      <c r="U51" s="3"/>
      <c r="V51" s="3"/>
      <c r="W51" s="3"/>
    </row>
    <row r="52" spans="3:23" x14ac:dyDescent="0.25">
      <c r="C52" s="1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3:23" x14ac:dyDescent="0.25">
      <c r="C53" s="75" t="s">
        <v>54</v>
      </c>
      <c r="D53" s="76" t="s">
        <v>94</v>
      </c>
      <c r="E53" s="77" t="s">
        <v>95</v>
      </c>
      <c r="F53" s="76" t="s">
        <v>94</v>
      </c>
      <c r="G53" s="77" t="s">
        <v>95</v>
      </c>
      <c r="H53" s="76" t="s">
        <v>94</v>
      </c>
      <c r="I53" s="77" t="s">
        <v>95</v>
      </c>
      <c r="J53" s="76" t="s">
        <v>94</v>
      </c>
      <c r="K53" s="77" t="s">
        <v>95</v>
      </c>
      <c r="L53" s="76" t="s">
        <v>94</v>
      </c>
      <c r="M53" s="77" t="s">
        <v>95</v>
      </c>
      <c r="N53" s="76" t="s">
        <v>94</v>
      </c>
      <c r="O53" s="77" t="s">
        <v>95</v>
      </c>
      <c r="P53" s="86" t="s">
        <v>94</v>
      </c>
      <c r="Q53" s="87" t="s">
        <v>95</v>
      </c>
      <c r="R53" s="86" t="s">
        <v>94</v>
      </c>
      <c r="S53" s="87" t="s">
        <v>95</v>
      </c>
      <c r="T53" s="86" t="s">
        <v>94</v>
      </c>
      <c r="U53" s="87" t="s">
        <v>95</v>
      </c>
      <c r="V53" s="86" t="s">
        <v>94</v>
      </c>
      <c r="W53" s="87" t="s">
        <v>95</v>
      </c>
    </row>
    <row r="54" spans="3:23" x14ac:dyDescent="0.25">
      <c r="C54" s="138" t="s">
        <v>144</v>
      </c>
      <c r="D54" s="74">
        <f>'Dedicated Role - Planner'!C4*'Dedicated Role - Planner'!C5</f>
        <v>256000000</v>
      </c>
      <c r="E54" s="139" t="s">
        <v>2</v>
      </c>
      <c r="F54" s="74">
        <f>'Dedicated Role - Planner'!E4*'Dedicated Role - Planner'!E5</f>
        <v>0</v>
      </c>
      <c r="G54" s="139" t="s">
        <v>2</v>
      </c>
      <c r="H54" s="74">
        <f>'Dedicated Role - Planner'!G4*'Dedicated Role - Planner'!G5</f>
        <v>0</v>
      </c>
      <c r="I54" s="139" t="s">
        <v>2</v>
      </c>
      <c r="J54" s="74">
        <f>'Dedicated Role - Planner'!I4*'Dedicated Role - Planner'!I5</f>
        <v>0</v>
      </c>
      <c r="K54" s="139" t="s">
        <v>2</v>
      </c>
      <c r="L54" s="74">
        <f>'Dedicated Role - Planner'!K4*'Dedicated Role - Planner'!K5</f>
        <v>0</v>
      </c>
      <c r="M54" s="139" t="s">
        <v>2</v>
      </c>
      <c r="N54" s="74">
        <f>'Dedicated Role - Planner'!M4*'Dedicated Role - Planner'!M5</f>
        <v>0</v>
      </c>
      <c r="O54" s="139" t="s">
        <v>2</v>
      </c>
      <c r="P54" s="74">
        <f>'Dedicated Role - Planner'!O4*'Dedicated Role - Planner'!O5</f>
        <v>0</v>
      </c>
      <c r="Q54" s="139" t="s">
        <v>2</v>
      </c>
      <c r="R54" s="74">
        <f>'Dedicated Role - Planner'!Q4*'Dedicated Role - Planner'!Q5</f>
        <v>0</v>
      </c>
      <c r="S54" s="139" t="s">
        <v>2</v>
      </c>
      <c r="T54" s="74">
        <f>'Dedicated Role - Planner'!S4*'Dedicated Role - Planner'!S5</f>
        <v>0</v>
      </c>
      <c r="U54" s="139" t="s">
        <v>2</v>
      </c>
      <c r="V54" s="74">
        <f>'Dedicated Role - Planner'!U4*'Dedicated Role - Planner'!U5</f>
        <v>0</v>
      </c>
      <c r="W54" s="139" t="s">
        <v>2</v>
      </c>
    </row>
    <row r="55" spans="3:23" x14ac:dyDescent="0.25">
      <c r="C55" s="138" t="s">
        <v>146</v>
      </c>
      <c r="D55" s="74">
        <f>'Dedicated Role - Planner'!C5+'Dedicated Role - Planner'!E5+'Dedicated Role - Planner'!G5+'Dedicated Role - Planner'!I5+'Dedicated Role - Planner'!K5+'Dedicated Role - Planner'!M5+'Dedicated Role - Planner'!O5+'Dedicated Role - Planner'!Q5+'Dedicated Role - Planner'!S5+'Dedicated Role - Planner'!U5</f>
        <v>100000</v>
      </c>
      <c r="E55" s="139" t="s">
        <v>0</v>
      </c>
      <c r="F55" s="74"/>
      <c r="G55" s="139"/>
      <c r="H55" s="74"/>
      <c r="I55" s="139"/>
      <c r="J55" s="74"/>
      <c r="K55" s="139"/>
      <c r="L55" s="74"/>
      <c r="M55" s="139"/>
      <c r="N55" s="73"/>
      <c r="O55" s="139"/>
      <c r="P55" s="73"/>
      <c r="Q55" s="139"/>
      <c r="R55" s="73"/>
      <c r="S55" s="139"/>
      <c r="T55" s="73"/>
      <c r="U55" s="139"/>
      <c r="V55" s="73"/>
      <c r="W55" s="139"/>
    </row>
    <row r="56" spans="3:23" x14ac:dyDescent="0.25">
      <c r="C56" s="138" t="s">
        <v>145</v>
      </c>
      <c r="D56" s="74">
        <f>IF(D55=0,0,ROUNDUP(SUM(D54:W54)/D55, 0))</f>
        <v>2560</v>
      </c>
      <c r="E56" s="139" t="s">
        <v>2</v>
      </c>
      <c r="F56" s="74"/>
      <c r="G56" s="139"/>
      <c r="H56" s="74"/>
      <c r="I56" s="139"/>
      <c r="J56" s="74"/>
      <c r="K56" s="139"/>
      <c r="L56" s="74"/>
      <c r="M56" s="139"/>
      <c r="N56" s="73"/>
      <c r="O56" s="139"/>
      <c r="P56" s="73"/>
      <c r="Q56" s="139"/>
      <c r="R56" s="73"/>
      <c r="S56" s="139"/>
      <c r="T56" s="73"/>
      <c r="U56" s="139"/>
      <c r="V56" s="73"/>
      <c r="W56" s="139"/>
    </row>
    <row r="57" spans="3:23" x14ac:dyDescent="0.25">
      <c r="C57" s="138" t="s">
        <v>148</v>
      </c>
      <c r="D57" s="74">
        <f>IF($D$56&gt;$D$50, 1, 0)</f>
        <v>1</v>
      </c>
      <c r="E57" s="139" t="s">
        <v>10</v>
      </c>
      <c r="F57" s="74"/>
      <c r="G57" s="139"/>
      <c r="H57" s="74"/>
      <c r="I57" s="139"/>
      <c r="J57" s="74"/>
      <c r="K57" s="139"/>
      <c r="L57" s="74"/>
      <c r="M57" s="139"/>
      <c r="N57" s="73"/>
      <c r="O57" s="139"/>
      <c r="P57" s="73"/>
      <c r="Q57" s="139"/>
      <c r="R57" s="73"/>
      <c r="S57" s="139"/>
      <c r="T57" s="73"/>
      <c r="U57" s="139"/>
      <c r="V57" s="73"/>
      <c r="W57" s="139"/>
    </row>
    <row r="58" spans="3:23" x14ac:dyDescent="0.25">
      <c r="C58" s="138" t="s">
        <v>149</v>
      </c>
      <c r="D58" s="74">
        <f>IF(D57=0, $D$51, $D$51)</f>
        <v>1024</v>
      </c>
      <c r="E58" s="139" t="s">
        <v>2</v>
      </c>
      <c r="F58" s="74"/>
      <c r="G58" s="139"/>
      <c r="H58" s="74"/>
      <c r="I58" s="139"/>
      <c r="J58" s="74"/>
      <c r="K58" s="139"/>
      <c r="L58" s="74"/>
      <c r="M58" s="139"/>
      <c r="N58" s="73"/>
      <c r="O58" s="139"/>
      <c r="P58" s="73"/>
      <c r="Q58" s="139"/>
      <c r="R58" s="73"/>
      <c r="S58" s="139"/>
      <c r="T58" s="73"/>
      <c r="U58" s="139"/>
      <c r="V58" s="73"/>
      <c r="W58" s="139"/>
    </row>
    <row r="59" spans="3:23" x14ac:dyDescent="0.25">
      <c r="C59" s="138"/>
      <c r="D59" s="74"/>
      <c r="E59" s="139"/>
      <c r="F59" s="74"/>
      <c r="G59" s="139"/>
      <c r="H59" s="74"/>
      <c r="I59" s="139"/>
      <c r="J59" s="74"/>
      <c r="K59" s="139"/>
      <c r="L59" s="74"/>
      <c r="M59" s="139"/>
      <c r="N59" s="73"/>
      <c r="O59" s="139"/>
      <c r="P59" s="73"/>
      <c r="Q59" s="139"/>
      <c r="R59" s="73"/>
      <c r="S59" s="139"/>
      <c r="T59" s="73"/>
      <c r="U59" s="139"/>
      <c r="V59" s="73"/>
      <c r="W59" s="139"/>
    </row>
    <row r="60" spans="3:23" x14ac:dyDescent="0.25">
      <c r="C60" s="32" t="s">
        <v>57</v>
      </c>
      <c r="D60" s="32">
        <f>IF('Dedicated Role - Planner'!C4&lt;=0,0,ROUNDUP('Dedicated Role - Planner'!C4/$D$58,0)*$D$58)</f>
        <v>3072</v>
      </c>
      <c r="E60" s="68"/>
      <c r="F60" s="32">
        <f>IF('Dedicated Role - Planner'!E4&lt;=0,0,ROUNDUP('Dedicated Role - Planner'!E4/$D$58,0)*$D$58)</f>
        <v>0</v>
      </c>
      <c r="G60" s="68"/>
      <c r="H60" s="32">
        <f>IF('Dedicated Role - Planner'!G4&lt;=0,0,ROUNDUP('Dedicated Role - Planner'!G4/$D$58,0)*$D$58)</f>
        <v>0</v>
      </c>
      <c r="I60" s="68"/>
      <c r="J60" s="32">
        <f>IF('Dedicated Role - Planner'!I4&lt;=0,0,ROUNDUP('Dedicated Role - Planner'!I4/$D$58,0)*$D$58)</f>
        <v>0</v>
      </c>
      <c r="K60" s="68"/>
      <c r="L60" s="32">
        <f>IF('Dedicated Role - Planner'!K4&lt;=0,0,ROUNDUP('Dedicated Role - Planner'!K4/$D$58,0)*$D$58)</f>
        <v>0</v>
      </c>
      <c r="M60" s="68"/>
      <c r="N60" s="32">
        <f>IF('Dedicated Role - Planner'!M4&lt;=0,0,ROUNDUP('Dedicated Role - Planner'!M4/$D$58,0)*$D$58)</f>
        <v>0</v>
      </c>
      <c r="O60" s="68"/>
      <c r="P60" s="32">
        <f>IF('Dedicated Role - Planner'!O4&lt;=0,0,ROUNDUP('Dedicated Role - Planner'!O4/$D$58,0)*$D$58)</f>
        <v>0</v>
      </c>
      <c r="Q60" s="68"/>
      <c r="R60" s="32">
        <f>IF('Dedicated Role - Planner'!Q4&lt;=0,0,ROUNDUP('Dedicated Role - Planner'!Q4/$D$58,0)*$D$58)</f>
        <v>0</v>
      </c>
      <c r="S60" s="68"/>
      <c r="T60" s="32">
        <f>IF('Dedicated Role - Planner'!S4&lt;=0,0,ROUNDUP('Dedicated Role - Planner'!S4/$D$58,0)*$D$58)</f>
        <v>0</v>
      </c>
      <c r="U60" s="68"/>
      <c r="V60" s="32">
        <f>IF('Dedicated Role - Planner'!U4&lt;=0,0,ROUNDUP('Dedicated Role - Planner'!U4/$D$58,0)*$D$58)</f>
        <v>0</v>
      </c>
      <c r="W60" s="68"/>
    </row>
    <row r="61" spans="3:23" x14ac:dyDescent="0.25">
      <c r="C61" s="32" t="s">
        <v>13</v>
      </c>
      <c r="D61" s="35">
        <f>IF('Dedicated Role - Planner'!C6="No",'Dedicated Role - Planner'!C5*D60/1024/1024,'Dedicated Role - Planner'!C5*D60/1024/1024*$D$47)</f>
        <v>292.96875</v>
      </c>
      <c r="E61" s="68" t="s">
        <v>1</v>
      </c>
      <c r="F61" s="35">
        <f>IF('Dedicated Role - Planner'!E6="No",'Dedicated Role - Planner'!E5*F60/1024/1024,'Dedicated Role - Planner'!E5*F60/1024/1024*$D$47)</f>
        <v>0</v>
      </c>
      <c r="G61" s="68" t="s">
        <v>1</v>
      </c>
      <c r="H61" s="35">
        <f>IF('Dedicated Role - Planner'!G6="No",'Dedicated Role - Planner'!G5*H60/1024/1024,'Dedicated Role - Planner'!G5*H60/1024/1024*$D$47)</f>
        <v>0</v>
      </c>
      <c r="I61" s="68" t="s">
        <v>1</v>
      </c>
      <c r="J61" s="35">
        <f>IF('Dedicated Role - Planner'!I6="No",'Dedicated Role - Planner'!I5*J60/1024/1024,'Dedicated Role - Planner'!I5*J60/1024/1024*$D$47)</f>
        <v>0</v>
      </c>
      <c r="K61" s="68" t="s">
        <v>1</v>
      </c>
      <c r="L61" s="35">
        <f>IF('Dedicated Role - Planner'!K6="No",'Dedicated Role - Planner'!K5*L60/1024/1024,'Dedicated Role - Planner'!K5*L60/1024/1024*$D$47)</f>
        <v>0</v>
      </c>
      <c r="M61" s="68" t="s">
        <v>1</v>
      </c>
      <c r="N61" s="35">
        <f>IF('Dedicated Role - Planner'!M6="No",'Dedicated Role - Planner'!M5*N60/1024/1024,'Dedicated Role - Planner'!M5*N60/1024/1024*$D$47)</f>
        <v>0</v>
      </c>
      <c r="O61" s="68" t="s">
        <v>1</v>
      </c>
      <c r="P61" s="35">
        <f>IF('Dedicated Role - Planner'!O6="No",'Dedicated Role - Planner'!O5*P60/1024/1024,'Dedicated Role - Planner'!O5*P60/1024/1024*$D$47)</f>
        <v>0</v>
      </c>
      <c r="Q61" s="68" t="s">
        <v>1</v>
      </c>
      <c r="R61" s="35">
        <f>IF('Dedicated Role - Planner'!Q6="No",'Dedicated Role - Planner'!Q5*R60/1024/1024,'Dedicated Role - Planner'!Q5*R60/1024/1024*$D$47)</f>
        <v>0</v>
      </c>
      <c r="S61" s="68" t="s">
        <v>1</v>
      </c>
      <c r="T61" s="35">
        <f>IF('Dedicated Role - Planner'!S6="No",'Dedicated Role - Planner'!S5*T60/1024/1024,'Dedicated Role - Planner'!S5*T60/1024/1024*$D$47)</f>
        <v>0</v>
      </c>
      <c r="U61" s="68" t="s">
        <v>1</v>
      </c>
      <c r="V61" s="35">
        <f>IF('Dedicated Role - Planner'!U6="No",'Dedicated Role - Planner'!U5*V60/1024/1024,'Dedicated Role - Planner'!U5*V60/1024/1024*$D$47)</f>
        <v>0</v>
      </c>
      <c r="W61" s="68" t="s">
        <v>1</v>
      </c>
    </row>
    <row r="62" spans="3:23" x14ac:dyDescent="0.25">
      <c r="C62" s="32" t="s">
        <v>18</v>
      </c>
      <c r="D62" s="35">
        <f>IF('Dedicated Role - Planner'!C4&lt;=0,0,'Dedicated Role - Planner'!C9*(MAX('Dedicated Role - Planner'!C4, $D$50))/1024/1024)</f>
        <v>24.4140625</v>
      </c>
      <c r="E62" s="68" t="s">
        <v>19</v>
      </c>
      <c r="F62" s="35">
        <f>IF('Dedicated Role - Planner'!E4&lt;=0,0,'Dedicated Role - Planner'!E9*(MAX('Dedicated Role - Planner'!E4, $D$50))/1024/1024)</f>
        <v>0</v>
      </c>
      <c r="G62" s="68" t="s">
        <v>19</v>
      </c>
      <c r="H62" s="35">
        <f>IF('Dedicated Role - Planner'!G4&lt;=0,0,'Dedicated Role - Planner'!G9*(MAX('Dedicated Role - Planner'!G4, $D$50))/1024/1024)</f>
        <v>0</v>
      </c>
      <c r="I62" s="68" t="s">
        <v>19</v>
      </c>
      <c r="J62" s="35">
        <f>IF('Dedicated Role - Planner'!I4&lt;=0,0,'Dedicated Role - Planner'!I9*(MAX('Dedicated Role - Planner'!I4, $D$50))/1024/1024)</f>
        <v>0</v>
      </c>
      <c r="K62" s="68" t="s">
        <v>19</v>
      </c>
      <c r="L62" s="35">
        <f>IF('Dedicated Role - Planner'!K4&lt;=0,0,'Dedicated Role - Planner'!K9*(MAX('Dedicated Role - Planner'!K4, $D$50))/1024/1024)</f>
        <v>0</v>
      </c>
      <c r="M62" s="68" t="s">
        <v>19</v>
      </c>
      <c r="N62" s="35">
        <f>IF('Dedicated Role - Planner'!M4&lt;=0,0,'Dedicated Role - Planner'!M9*(MAX('Dedicated Role - Planner'!M4, $D$50))/1024/1024)</f>
        <v>0</v>
      </c>
      <c r="O62" s="68" t="s">
        <v>19</v>
      </c>
      <c r="P62" s="35">
        <f>IF('Dedicated Role - Planner'!O4&lt;=0,0,'Dedicated Role - Planner'!O9*(MAX('Dedicated Role - Planner'!O4, $D$50))/1024/1024)</f>
        <v>0</v>
      </c>
      <c r="Q62" s="68" t="s">
        <v>19</v>
      </c>
      <c r="R62" s="35">
        <f>IF('Dedicated Role - Planner'!Q4&lt;=0,0,'Dedicated Role - Planner'!Q9*(MAX('Dedicated Role - Planner'!Q4, $D$50))/1024/1024)</f>
        <v>0</v>
      </c>
      <c r="S62" s="68" t="s">
        <v>19</v>
      </c>
      <c r="T62" s="35">
        <f>IF('Dedicated Role - Planner'!S4&lt;=0,0,'Dedicated Role - Planner'!S9*(MAX('Dedicated Role - Planner'!S4, $D$50))/1024/1024)</f>
        <v>0</v>
      </c>
      <c r="U62" s="68" t="s">
        <v>19</v>
      </c>
      <c r="V62" s="35">
        <f>IF('Dedicated Role - Planner'!U4&lt;=0,0,'Dedicated Role - Planner'!U9*(MAX('Dedicated Role - Planner'!U4, $D$50))/1024/1024)</f>
        <v>0</v>
      </c>
      <c r="W62" s="68" t="s">
        <v>19</v>
      </c>
    </row>
    <row r="63" spans="3:23" x14ac:dyDescent="0.25">
      <c r="C63" s="32" t="s">
        <v>20</v>
      </c>
      <c r="D63" s="35">
        <f>IF('Dedicated Role - Planner'!C4&lt;=0,0,IF('Dedicated Role - Planner'!C6="No",('Dedicated Role - Planner'!C10*(MAX('Dedicated Role - Planner'!C4, $D$50))/1024/1024) * $D$49,('Dedicated Role - Planner'!C10*(MAX('Dedicated Role - Planner'!C4, $D$50))/1024/1024)*$D$48*$D$49))</f>
        <v>1.6276041666666665</v>
      </c>
      <c r="E63" s="68" t="s">
        <v>19</v>
      </c>
      <c r="F63" s="35">
        <f>IF('Dedicated Role - Planner'!E4&lt;=0,0,IF('Dedicated Role - Planner'!E6="No",('Dedicated Role - Planner'!E10*(MAX('Dedicated Role - Planner'!E4, $D$50))/1024/1024) * $D$49,('Dedicated Role - Planner'!E10*(MAX('Dedicated Role - Planner'!E4, $D$50))/1024/1024)*$D$48*$D$49))</f>
        <v>0</v>
      </c>
      <c r="G63" s="68" t="s">
        <v>19</v>
      </c>
      <c r="H63" s="35">
        <f>IF('Dedicated Role - Planner'!G4&lt;=0,0,IF('Dedicated Role - Planner'!G6="No",('Dedicated Role - Planner'!G10*(MAX('Dedicated Role - Planner'!G4, $D$50))/1024/1024) * $D$49,('Dedicated Role - Planner'!G10*(MAX('Dedicated Role - Planner'!G4, $D$50))/1024/1024)*$D$48*$D$49))</f>
        <v>0</v>
      </c>
      <c r="I63" s="68" t="s">
        <v>19</v>
      </c>
      <c r="J63" s="35">
        <f>IF('Dedicated Role - Planner'!I4&lt;=0,0,IF('Dedicated Role - Planner'!I6="No",('Dedicated Role - Planner'!I10*(MAX('Dedicated Role - Planner'!I4, $D$50))/1024/1024) * $D$49,('Dedicated Role - Planner'!I10*(MAX('Dedicated Role - Planner'!I4, $D$50))/1024/1024)*$D$48*$D$49))</f>
        <v>0</v>
      </c>
      <c r="K63" s="68" t="s">
        <v>19</v>
      </c>
      <c r="L63" s="35">
        <f>IF('Dedicated Role - Planner'!K4&lt;=0,0,IF('Dedicated Role - Planner'!K6="No",('Dedicated Role - Planner'!K10*(MAX('Dedicated Role - Planner'!K4, $D$50))/1024/1024) * $D$49,('Dedicated Role - Planner'!K10*(MAX('Dedicated Role - Planner'!K4, $D$50))/1024/1024)*$D$48*$D$49))</f>
        <v>0</v>
      </c>
      <c r="M63" s="68" t="s">
        <v>19</v>
      </c>
      <c r="N63" s="35">
        <f>IF('Dedicated Role - Planner'!M4&lt;=0,0,IF('Dedicated Role - Planner'!M6="No",('Dedicated Role - Planner'!M10*(MAX('Dedicated Role - Planner'!M4, $D$50))/1024/1024) * $D$49,('Dedicated Role - Planner'!M10*(MAX('Dedicated Role - Planner'!M4, $D$50))/1024/1024)*$D$48*$D$49))</f>
        <v>0</v>
      </c>
      <c r="O63" s="68" t="s">
        <v>19</v>
      </c>
      <c r="P63" s="35">
        <f>IF('Dedicated Role - Planner'!O4&lt;=0,0,IF('Dedicated Role - Planner'!O6="No",('Dedicated Role - Planner'!O10*(MAX('Dedicated Role - Planner'!O4, $D$50))/1024/1024) * $D$49,('Dedicated Role - Planner'!O10*(MAX('Dedicated Role - Planner'!O4, $D$50))/1024/1024)*$D$48*$D$49))</f>
        <v>0</v>
      </c>
      <c r="Q63" s="68" t="s">
        <v>19</v>
      </c>
      <c r="R63" s="35">
        <f>IF('Dedicated Role - Planner'!Q4&lt;=0,0,IF('Dedicated Role - Planner'!Q6="No",('Dedicated Role - Planner'!Q10*(MAX('Dedicated Role - Planner'!Q4, $D$50))/1024/1024) * $D$49,('Dedicated Role - Planner'!Q10*(MAX('Dedicated Role - Planner'!Q4, $D$50))/1024/1024)*$D$48*$D$49))</f>
        <v>0</v>
      </c>
      <c r="S63" s="68" t="s">
        <v>19</v>
      </c>
      <c r="T63" s="35">
        <f>IF('Dedicated Role - Planner'!S4&lt;=0,0,IF('Dedicated Role - Planner'!S6="No",('Dedicated Role - Planner'!S10*(MAX('Dedicated Role - Planner'!S4, $D$50))/1024/1024) * $D$49,('Dedicated Role - Planner'!S10*(MAX('Dedicated Role - Planner'!S4, $D$50))/1024/1024)*$D$48*$D$49))</f>
        <v>0</v>
      </c>
      <c r="U63" s="68" t="s">
        <v>19</v>
      </c>
      <c r="V63" s="35">
        <f>IF('Dedicated Role - Planner'!U4&lt;=0,0,IF('Dedicated Role - Planner'!U6="No",('Dedicated Role - Planner'!U10*(MAX('Dedicated Role - Planner'!U4, $D$50))/1024/1024) * $D$49,('Dedicated Role - Planner'!U10*(MAX('Dedicated Role - Planner'!U4, $D$50))/1024/1024)*$D$48*$D$49))</f>
        <v>0</v>
      </c>
      <c r="W63" s="68" t="s">
        <v>19</v>
      </c>
    </row>
    <row r="64" spans="3:23" x14ac:dyDescent="0.25">
      <c r="C64" s="32" t="s">
        <v>24</v>
      </c>
      <c r="D64" s="74">
        <f>IF('Dedicated Role - Planner'!C6="No",0,1)</f>
        <v>0</v>
      </c>
      <c r="E64" s="68"/>
      <c r="F64" s="74">
        <f>IF('Dedicated Role - Planner'!E6="No",0,1)</f>
        <v>0</v>
      </c>
      <c r="G64" s="68"/>
      <c r="H64" s="74">
        <f>IF('Dedicated Role - Planner'!G6="No",0,1)</f>
        <v>0</v>
      </c>
      <c r="I64" s="68"/>
      <c r="J64" s="74">
        <f>IF('Dedicated Role - Planner'!I6="No",0,1)</f>
        <v>0</v>
      </c>
      <c r="K64" s="68"/>
      <c r="L64" s="74">
        <f>IF('Dedicated Role - Planner'!K6="No",0,1)</f>
        <v>0</v>
      </c>
      <c r="M64" s="68"/>
      <c r="N64" s="73">
        <f>IF('Dedicated Role - Planner'!M6="No",0,1)</f>
        <v>0</v>
      </c>
      <c r="O64" s="68"/>
      <c r="P64" s="73">
        <f>IF('Dedicated Role - Planner'!O6="No",0,1)</f>
        <v>0</v>
      </c>
      <c r="Q64" s="68"/>
      <c r="R64" s="73">
        <f>IF('Dedicated Role - Planner'!Q6="No",0,1)</f>
        <v>0</v>
      </c>
      <c r="S64" s="68"/>
      <c r="T64" s="73">
        <f>IF('Dedicated Role - Planner'!S6="No",0,1)</f>
        <v>0</v>
      </c>
      <c r="U64" s="68"/>
      <c r="V64" s="73">
        <f>IF('Dedicated Role - Planner'!U6="No",0,1)</f>
        <v>0</v>
      </c>
      <c r="W64" s="68"/>
    </row>
    <row r="65" spans="3:23" x14ac:dyDescent="0.25">
      <c r="C65" s="33" t="s">
        <v>55</v>
      </c>
      <c r="D65" s="33">
        <f>D64*D61</f>
        <v>0</v>
      </c>
      <c r="E65" s="69"/>
      <c r="F65" s="33">
        <f>F64*F61</f>
        <v>0</v>
      </c>
      <c r="G65" s="69"/>
      <c r="H65" s="33">
        <f>H64*H61</f>
        <v>0</v>
      </c>
      <c r="I65" s="69"/>
      <c r="J65" s="33">
        <f>J64*J61</f>
        <v>0</v>
      </c>
      <c r="K65" s="69"/>
      <c r="L65" s="33">
        <f>L64*L61</f>
        <v>0</v>
      </c>
      <c r="M65" s="69"/>
      <c r="N65" s="55">
        <f>N64*N61</f>
        <v>0</v>
      </c>
      <c r="O65" s="69"/>
      <c r="P65" s="55">
        <f>P64*P61</f>
        <v>0</v>
      </c>
      <c r="Q65" s="69"/>
      <c r="R65" s="55">
        <f>R64*R61</f>
        <v>0</v>
      </c>
      <c r="S65" s="69"/>
      <c r="T65" s="55">
        <f>T64*T61</f>
        <v>0</v>
      </c>
      <c r="U65" s="69"/>
      <c r="V65" s="55">
        <f>V64*V61</f>
        <v>0</v>
      </c>
      <c r="W65" s="69"/>
    </row>
    <row r="66" spans="3:23" x14ac:dyDescent="0.25"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2"/>
      <c r="Q66" s="2"/>
      <c r="R66" s="2"/>
      <c r="S66" s="2"/>
      <c r="T66" s="2"/>
      <c r="U66" s="2"/>
      <c r="V66" s="2"/>
      <c r="W66" s="2"/>
    </row>
    <row r="67" spans="3:23" x14ac:dyDescent="0.25">
      <c r="C67" s="78" t="s">
        <v>14</v>
      </c>
      <c r="D67" s="76" t="s">
        <v>94</v>
      </c>
      <c r="E67" s="77" t="s">
        <v>95</v>
      </c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2"/>
      <c r="Q67" s="2"/>
      <c r="R67" s="2"/>
      <c r="S67" s="2"/>
      <c r="T67" s="2"/>
      <c r="U67" s="2"/>
      <c r="V67" s="2"/>
      <c r="W67" s="2"/>
    </row>
    <row r="68" spans="3:23" x14ac:dyDescent="0.25">
      <c r="C68" s="32" t="s">
        <v>15</v>
      </c>
      <c r="D68" s="79">
        <f>SUM(D61:W61) * (1 + 'Dedicated Role - Planner'!C13/100)</f>
        <v>351.5625</v>
      </c>
      <c r="E68" s="72" t="s">
        <v>1</v>
      </c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2"/>
      <c r="Q68" s="2"/>
      <c r="R68" s="2"/>
      <c r="S68" s="2"/>
      <c r="T68" s="2"/>
      <c r="U68" s="2"/>
      <c r="V68" s="2"/>
      <c r="W68" s="2"/>
    </row>
    <row r="69" spans="3:23" x14ac:dyDescent="0.25">
      <c r="C69" s="32" t="s">
        <v>17</v>
      </c>
      <c r="D69" s="35">
        <f>SUM(D62:W62)</f>
        <v>24.4140625</v>
      </c>
      <c r="E69" s="68" t="s">
        <v>19</v>
      </c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2"/>
      <c r="Q69" s="2"/>
      <c r="R69" s="2"/>
      <c r="S69" s="2"/>
      <c r="T69" s="2"/>
      <c r="U69" s="2"/>
      <c r="V69" s="2"/>
      <c r="W69" s="2"/>
    </row>
    <row r="70" spans="3:23" x14ac:dyDescent="0.25">
      <c r="C70" s="32" t="s">
        <v>52</v>
      </c>
      <c r="D70" s="35">
        <f>SUM(D63:W63)</f>
        <v>1.6276041666666665</v>
      </c>
      <c r="E70" s="68" t="s">
        <v>19</v>
      </c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2"/>
      <c r="Q70" s="2"/>
      <c r="R70" s="2"/>
      <c r="S70" s="2"/>
      <c r="T70" s="2"/>
      <c r="U70" s="2"/>
      <c r="V70" s="2"/>
      <c r="W70" s="2"/>
    </row>
    <row r="71" spans="3:23" x14ac:dyDescent="0.25">
      <c r="C71" s="32" t="s">
        <v>21</v>
      </c>
      <c r="D71" s="35">
        <f>(D70+D69) * (1 + 'Dedicated Role - Planner'!C14/100)</f>
        <v>31.25</v>
      </c>
      <c r="E71" s="68" t="s">
        <v>19</v>
      </c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2"/>
      <c r="Q71" s="2"/>
      <c r="R71" s="2"/>
      <c r="S71" s="2"/>
      <c r="T71" s="2"/>
      <c r="U71" s="2"/>
      <c r="V71" s="2"/>
      <c r="W71" s="2"/>
    </row>
    <row r="72" spans="3:23" x14ac:dyDescent="0.25">
      <c r="C72" s="33" t="s">
        <v>23</v>
      </c>
      <c r="D72" s="38">
        <f>IF(SUM(D65:W65)&gt;0, 1, 0)</f>
        <v>0</v>
      </c>
      <c r="E72" s="69" t="s">
        <v>22</v>
      </c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2"/>
      <c r="Q72" s="2"/>
      <c r="R72" s="2"/>
      <c r="S72" s="2"/>
      <c r="T72" s="2"/>
      <c r="U72" s="2"/>
      <c r="V72" s="2"/>
      <c r="W72" s="2"/>
    </row>
    <row r="73" spans="3:23" x14ac:dyDescent="0.25">
      <c r="C73" s="2"/>
      <c r="D73" s="2"/>
      <c r="E73" s="2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2"/>
      <c r="Q73" s="2"/>
      <c r="R73" s="2"/>
      <c r="S73" s="2"/>
      <c r="T73" s="2"/>
      <c r="U73" s="2"/>
      <c r="V73" s="2"/>
      <c r="W73" s="2"/>
    </row>
    <row r="74" spans="3:23" x14ac:dyDescent="0.25">
      <c r="C74" s="166" t="s">
        <v>25</v>
      </c>
      <c r="D74" s="165" t="s">
        <v>66</v>
      </c>
      <c r="E74" s="163"/>
      <c r="F74" s="163"/>
      <c r="G74" s="164"/>
      <c r="Q74" s="3"/>
      <c r="R74" s="3"/>
      <c r="S74" s="3"/>
      <c r="T74" s="3"/>
      <c r="U74" s="3"/>
      <c r="V74" s="3"/>
      <c r="W74" s="3"/>
    </row>
    <row r="75" spans="3:23" ht="75" x14ac:dyDescent="0.25">
      <c r="C75" s="160"/>
      <c r="D75" s="109" t="s">
        <v>64</v>
      </c>
      <c r="E75" s="110" t="s">
        <v>64</v>
      </c>
      <c r="F75" s="110" t="s">
        <v>65</v>
      </c>
      <c r="G75" s="111" t="s">
        <v>117</v>
      </c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</row>
    <row r="76" spans="3:23" x14ac:dyDescent="0.25">
      <c r="C76" s="32" t="s">
        <v>5</v>
      </c>
      <c r="D76" s="32">
        <f>IF($D$57 = 1, IF($D$72&gt;0, 'Reference Data'!G4, 'Reference Data'!F4), IF($D$72&gt;0, 'Reference Data'!I4, 'Reference Data'!H4))</f>
        <v>115</v>
      </c>
      <c r="E76" s="54">
        <f>ROUNDUP(D76 * $D$43 / 100, 0)</f>
        <v>110</v>
      </c>
      <c r="F76" s="54">
        <f>'Reference Data'!M4 * $D$44/100</f>
        <v>0.5</v>
      </c>
      <c r="G76" s="68">
        <f>'Reference Data'!P4</f>
        <v>30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3:23" x14ac:dyDescent="0.25">
      <c r="C77" s="32" t="s">
        <v>6</v>
      </c>
      <c r="D77" s="32">
        <f>IF($D$57 = 1, IF($D$72&gt;0, 'Reference Data'!G5, 'Reference Data'!F5), IF($D$72&gt;0, 'Reference Data'!I5, 'Reference Data'!H5))</f>
        <v>791</v>
      </c>
      <c r="E77" s="54">
        <f>ROUNDUP(D77 * $D$43 / 100, 0)</f>
        <v>752</v>
      </c>
      <c r="F77" s="54">
        <f>'Reference Data'!M5 * $D$44/100</f>
        <v>10</v>
      </c>
      <c r="G77" s="68">
        <f>'Reference Data'!P5</f>
        <v>60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3:23" x14ac:dyDescent="0.25">
      <c r="C78" s="32" t="s">
        <v>3</v>
      </c>
      <c r="D78" s="32">
        <f>IF($D$57 = 1, IF($D$72&gt;0, 'Reference Data'!G6, 'Reference Data'!F6), IF($D$72&gt;0, 'Reference Data'!I6, 'Reference Data'!H6))</f>
        <v>2372</v>
      </c>
      <c r="E78" s="54">
        <f>ROUNDUP(D78 * $D$43 / 100, 0)</f>
        <v>2254</v>
      </c>
      <c r="F78" s="54">
        <f>'Reference Data'!M6 * $D$44/100</f>
        <v>20</v>
      </c>
      <c r="G78" s="68">
        <f>'Reference Data'!P6</f>
        <v>120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3:23" x14ac:dyDescent="0.25">
      <c r="C79" s="32" t="s">
        <v>7</v>
      </c>
      <c r="D79" s="32">
        <f>IF($D$57 = 1, IF($D$72&gt;0, 'Reference Data'!G7, 'Reference Data'!F7), IF($D$72&gt;0, 'Reference Data'!I7, 'Reference Data'!H7))</f>
        <v>5243</v>
      </c>
      <c r="E79" s="54">
        <f>ROUNDUP(D79 * $D$43 / 100, 0)</f>
        <v>4981</v>
      </c>
      <c r="F79" s="54">
        <f>'Reference Data'!M7 * $D$44/100</f>
        <v>40</v>
      </c>
      <c r="G79" s="68">
        <f>'Reference Data'!P7</f>
        <v>240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3:23" x14ac:dyDescent="0.25">
      <c r="C80" s="33" t="s">
        <v>8</v>
      </c>
      <c r="D80" s="33">
        <f>IF($D$57 = 1, IF($D$72&gt;0, 'Reference Data'!G8, 'Reference Data'!F8), IF($D$72&gt;0, 'Reference Data'!I8, 'Reference Data'!H8))</f>
        <v>11236</v>
      </c>
      <c r="E80" s="55">
        <f>ROUNDUP(D80 * $D$43 / 100, 0)</f>
        <v>10675</v>
      </c>
      <c r="F80" s="55">
        <f>'Reference Data'!M8 * $D$44/100</f>
        <v>80</v>
      </c>
      <c r="G80" s="69">
        <f>'Reference Data'!P8</f>
        <v>480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3:23" x14ac:dyDescent="0.25">
      <c r="C81" s="54"/>
      <c r="D81" s="54"/>
      <c r="E81" s="54"/>
      <c r="F81" s="54"/>
      <c r="G81" s="54"/>
      <c r="H81" s="54"/>
      <c r="I81" s="37"/>
      <c r="J81" s="36"/>
      <c r="K81" s="37"/>
      <c r="L81" s="36"/>
      <c r="M81" s="36"/>
      <c r="N81" s="36"/>
      <c r="O81" s="36"/>
      <c r="Q81" s="3"/>
      <c r="R81" s="3"/>
      <c r="S81" s="3"/>
      <c r="T81" s="3"/>
      <c r="U81" s="3"/>
      <c r="V81" s="3"/>
      <c r="W81" s="3"/>
    </row>
    <row r="82" spans="3:23" x14ac:dyDescent="0.25">
      <c r="C82" s="159" t="s">
        <v>25</v>
      </c>
      <c r="D82" s="161" t="s">
        <v>69</v>
      </c>
      <c r="E82" s="162"/>
      <c r="F82" s="162"/>
      <c r="G82" s="162"/>
      <c r="H82" s="163"/>
      <c r="I82" s="163"/>
      <c r="J82" s="163"/>
      <c r="K82" s="163"/>
      <c r="L82" s="164"/>
      <c r="M82" s="36"/>
      <c r="N82" s="36"/>
      <c r="O82" s="36"/>
      <c r="Q82" s="3"/>
      <c r="R82" s="3"/>
      <c r="S82" s="3"/>
      <c r="T82" s="3"/>
      <c r="U82" s="3"/>
      <c r="V82" s="3"/>
      <c r="W82" s="3"/>
    </row>
    <row r="83" spans="3:23" ht="135" x14ac:dyDescent="0.25">
      <c r="C83" s="160"/>
      <c r="D83" s="102" t="s">
        <v>118</v>
      </c>
      <c r="E83" s="103" t="s">
        <v>119</v>
      </c>
      <c r="F83" s="103" t="s">
        <v>59</v>
      </c>
      <c r="G83" s="104" t="s">
        <v>67</v>
      </c>
      <c r="H83" s="65" t="s">
        <v>60</v>
      </c>
      <c r="I83" s="67" t="s">
        <v>68</v>
      </c>
      <c r="J83" s="66" t="s">
        <v>82</v>
      </c>
      <c r="K83" s="66" t="s">
        <v>87</v>
      </c>
      <c r="L83" s="67" t="s">
        <v>88</v>
      </c>
      <c r="M83" s="36"/>
      <c r="N83" s="36"/>
      <c r="O83" s="36"/>
      <c r="Q83" s="3"/>
      <c r="R83" s="3"/>
      <c r="S83" s="3"/>
      <c r="T83" s="3"/>
      <c r="U83" s="3"/>
      <c r="V83" s="3"/>
      <c r="W83" s="3"/>
    </row>
    <row r="84" spans="3:23" x14ac:dyDescent="0.25">
      <c r="C84" s="32" t="s">
        <v>5</v>
      </c>
      <c r="D84" s="79">
        <f>$D$68/G76</f>
        <v>11.71875</v>
      </c>
      <c r="E84" s="105">
        <f>FLOOR(E76/D84, 1)</f>
        <v>9</v>
      </c>
      <c r="F84" s="106">
        <f>G76/E84</f>
        <v>3.3333333333333335</v>
      </c>
      <c r="G84" s="107">
        <f>ROUNDUP(F84, 0)</f>
        <v>4</v>
      </c>
      <c r="H84" s="35">
        <f>$D$71/$F$76</f>
        <v>62.5</v>
      </c>
      <c r="I84" s="44">
        <f>ROUNDUP(H84, 0)</f>
        <v>63</v>
      </c>
      <c r="J84" s="36">
        <f>MAX(G84, I84)</f>
        <v>63</v>
      </c>
      <c r="K84" s="36">
        <f>IF(J84 = 0, 0, IF(J84 = 1, 2, J84))</f>
        <v>63</v>
      </c>
      <c r="L84" s="44">
        <f>IF(K84&gt;$D$46, $D$46, K84)</f>
        <v>16</v>
      </c>
      <c r="M84" s="36"/>
      <c r="N84" s="36"/>
      <c r="O84" s="36"/>
      <c r="Q84" s="3"/>
      <c r="R84" s="3"/>
      <c r="S84" s="3"/>
      <c r="T84" s="3"/>
      <c r="U84" s="3"/>
      <c r="V84" s="3"/>
      <c r="W84" s="3"/>
    </row>
    <row r="85" spans="3:23" x14ac:dyDescent="0.25">
      <c r="C85" s="32" t="s">
        <v>6</v>
      </c>
      <c r="D85" s="35">
        <f>$D$68/G77</f>
        <v>5.859375</v>
      </c>
      <c r="E85" s="54">
        <f>FLOOR(E77/D85, 1)</f>
        <v>128</v>
      </c>
      <c r="F85" s="37">
        <f>G77/E85</f>
        <v>0.46875</v>
      </c>
      <c r="G85" s="44">
        <f>ROUNDUP(F85, 0)</f>
        <v>1</v>
      </c>
      <c r="H85" s="35">
        <f>$D$71/$F$77</f>
        <v>3.125</v>
      </c>
      <c r="I85" s="44">
        <f>ROUNDUP(H85, 0)</f>
        <v>4</v>
      </c>
      <c r="J85" s="36">
        <f>MAX(G85, I85)</f>
        <v>4</v>
      </c>
      <c r="K85" s="36">
        <f>IF(J85 = 0, 0, IF(J85 = 1, 2, J85))</f>
        <v>4</v>
      </c>
      <c r="L85" s="44">
        <f>IF(K85&gt;$D$46, $D$46, K85)</f>
        <v>4</v>
      </c>
      <c r="M85" s="36"/>
      <c r="N85" s="36"/>
      <c r="O85" s="36"/>
      <c r="Q85" s="3"/>
      <c r="R85" s="3"/>
      <c r="S85" s="3"/>
      <c r="T85" s="3"/>
      <c r="U85" s="3"/>
      <c r="V85" s="3"/>
      <c r="W85" s="3"/>
    </row>
    <row r="86" spans="3:23" x14ac:dyDescent="0.25">
      <c r="C86" s="32" t="s">
        <v>3</v>
      </c>
      <c r="D86" s="35">
        <f>$D$68/G78</f>
        <v>2.9296875</v>
      </c>
      <c r="E86" s="54">
        <f>FLOOR(E78/D86, 1)</f>
        <v>769</v>
      </c>
      <c r="F86" s="37">
        <f>G78/E86</f>
        <v>0.15604681404421328</v>
      </c>
      <c r="G86" s="44">
        <f>ROUNDUP(F86, 0)</f>
        <v>1</v>
      </c>
      <c r="H86" s="35">
        <f>$D$71/$F$78</f>
        <v>1.5625</v>
      </c>
      <c r="I86" s="44">
        <f>ROUNDUP(H86, 0)</f>
        <v>2</v>
      </c>
      <c r="J86" s="36">
        <f>MAX(G86, I86)</f>
        <v>2</v>
      </c>
      <c r="K86" s="36">
        <f>IF(J86 = 0, 0, IF(J86 = 1, 2, J86))</f>
        <v>2</v>
      </c>
      <c r="L86" s="44">
        <f>IF(K86&gt;$D$46, $D$46, K86)</f>
        <v>2</v>
      </c>
      <c r="M86" s="36"/>
      <c r="N86" s="36"/>
      <c r="O86" s="36"/>
      <c r="Q86" s="3"/>
      <c r="R86" s="3"/>
      <c r="S86" s="3"/>
      <c r="T86" s="3"/>
      <c r="U86" s="3"/>
      <c r="V86" s="3"/>
      <c r="W86" s="3"/>
    </row>
    <row r="87" spans="3:23" x14ac:dyDescent="0.25">
      <c r="C87" s="32" t="s">
        <v>7</v>
      </c>
      <c r="D87" s="35">
        <f>$D$68/G79</f>
        <v>1.46484375</v>
      </c>
      <c r="E87" s="54">
        <f>FLOOR(E79/D87, 1)</f>
        <v>3400</v>
      </c>
      <c r="F87" s="37">
        <f>G79/E87</f>
        <v>7.0588235294117646E-2</v>
      </c>
      <c r="G87" s="44">
        <f>ROUNDUP(F87, 0)</f>
        <v>1</v>
      </c>
      <c r="H87" s="35">
        <f>$D$71/$F$79</f>
        <v>0.78125</v>
      </c>
      <c r="I87" s="44">
        <f>ROUNDUP(H87, 0)</f>
        <v>1</v>
      </c>
      <c r="J87" s="36">
        <f>MAX(G87, I87)</f>
        <v>1</v>
      </c>
      <c r="K87" s="36">
        <f>IF(J87 = 0, 0, IF(J87 = 1, 2, J87))</f>
        <v>2</v>
      </c>
      <c r="L87" s="44">
        <f>IF(K87&gt;$D$46, $D$46, K87)</f>
        <v>2</v>
      </c>
      <c r="M87" s="36"/>
      <c r="N87" s="36"/>
      <c r="O87" s="36"/>
      <c r="Q87" s="3"/>
      <c r="R87" s="3"/>
      <c r="S87" s="3"/>
      <c r="T87" s="3"/>
      <c r="U87" s="3"/>
      <c r="V87" s="3"/>
      <c r="W87" s="3"/>
    </row>
    <row r="88" spans="3:23" x14ac:dyDescent="0.25">
      <c r="C88" s="33" t="s">
        <v>8</v>
      </c>
      <c r="D88" s="38">
        <f>$D$68/G80</f>
        <v>0.732421875</v>
      </c>
      <c r="E88" s="55">
        <f>FLOOR(E80/D88, 1)</f>
        <v>14574</v>
      </c>
      <c r="F88" s="40">
        <f>G80/E88</f>
        <v>3.2935364347468091E-2</v>
      </c>
      <c r="G88" s="47">
        <f>ROUNDUP(F88, 0)</f>
        <v>1</v>
      </c>
      <c r="H88" s="38">
        <f>$D$71/$F$80</f>
        <v>0.390625</v>
      </c>
      <c r="I88" s="47">
        <f>ROUNDUP(H88, 0)</f>
        <v>1</v>
      </c>
      <c r="J88" s="39">
        <f>MAX(G88, I88)</f>
        <v>1</v>
      </c>
      <c r="K88" s="39">
        <f>IF(J88 = 0, 0, IF(J88 = 1, 2, J88))</f>
        <v>2</v>
      </c>
      <c r="L88" s="47">
        <f>IF(K88&gt;$D$46, $D$46, K88)</f>
        <v>2</v>
      </c>
      <c r="M88" s="6"/>
      <c r="N88" s="6"/>
      <c r="O88" s="6"/>
      <c r="P88" s="6"/>
      <c r="Q88" s="6"/>
      <c r="R88" s="2"/>
      <c r="S88" s="2"/>
      <c r="T88" s="2"/>
      <c r="U88" s="2"/>
      <c r="V88" s="2"/>
      <c r="W88" s="2"/>
    </row>
    <row r="89" spans="3:23" x14ac:dyDescent="0.25">
      <c r="C89" s="101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3"/>
      <c r="S89" s="3"/>
      <c r="T89" s="3"/>
      <c r="U89" s="3"/>
      <c r="V89" s="3"/>
      <c r="W89" s="3"/>
    </row>
    <row r="90" spans="3:23" x14ac:dyDescent="0.25">
      <c r="C90" s="167" t="s">
        <v>70</v>
      </c>
      <c r="D90" s="168"/>
      <c r="E90" s="168"/>
      <c r="F90" s="168"/>
      <c r="G90" s="168"/>
      <c r="H90" s="168"/>
      <c r="I90" s="168"/>
      <c r="J90" s="168"/>
      <c r="K90" s="168"/>
      <c r="L90" s="62"/>
      <c r="O90" s="6"/>
      <c r="P90" s="6"/>
      <c r="Q90" s="6"/>
      <c r="R90" s="3"/>
      <c r="S90" s="3"/>
      <c r="T90" s="3"/>
      <c r="U90" s="3"/>
      <c r="V90" s="3"/>
      <c r="W90" s="3"/>
    </row>
    <row r="91" spans="3:23" x14ac:dyDescent="0.25">
      <c r="C91" s="21"/>
      <c r="D91" s="31"/>
      <c r="E91" s="31"/>
      <c r="F91" s="31"/>
      <c r="G91" s="31"/>
      <c r="H91" s="31"/>
      <c r="I91" s="31"/>
      <c r="J91" s="31"/>
      <c r="K91" s="31"/>
      <c r="L91" s="21"/>
      <c r="O91" s="6"/>
      <c r="P91" s="6"/>
      <c r="Q91" s="6"/>
      <c r="R91" s="3"/>
      <c r="S91" s="3"/>
      <c r="T91" s="3"/>
      <c r="U91" s="3"/>
      <c r="V91" s="3"/>
      <c r="W91" s="3"/>
    </row>
    <row r="92" spans="3:23" x14ac:dyDescent="0.25">
      <c r="C92" s="161" t="s">
        <v>49</v>
      </c>
      <c r="D92" s="165" t="s">
        <v>71</v>
      </c>
      <c r="E92" s="163"/>
      <c r="F92" s="164"/>
      <c r="G92" s="60"/>
      <c r="H92" s="60"/>
      <c r="I92" s="31"/>
      <c r="J92" s="31"/>
      <c r="K92" s="31"/>
      <c r="L92" s="21"/>
      <c r="M92" s="2"/>
      <c r="N92" s="2"/>
      <c r="O92" s="6"/>
      <c r="P92" s="6"/>
      <c r="Q92" s="6"/>
      <c r="R92" s="2"/>
      <c r="S92" s="2"/>
      <c r="T92" s="2"/>
      <c r="U92" s="2"/>
      <c r="V92" s="2"/>
      <c r="W92" s="2"/>
    </row>
    <row r="93" spans="3:23" ht="180" x14ac:dyDescent="0.25">
      <c r="C93" s="176"/>
      <c r="D93" s="109" t="s">
        <v>76</v>
      </c>
      <c r="E93" s="110" t="s">
        <v>72</v>
      </c>
      <c r="F93" s="111" t="s">
        <v>73</v>
      </c>
      <c r="G93" s="34"/>
      <c r="H93" s="2"/>
      <c r="I93" s="31"/>
      <c r="J93" s="2"/>
      <c r="K93" s="31"/>
      <c r="L93" s="21"/>
      <c r="M93" s="2"/>
      <c r="N93" s="2"/>
      <c r="O93" s="6"/>
      <c r="P93" s="6"/>
      <c r="Q93" s="6"/>
      <c r="R93" s="2"/>
      <c r="S93" s="2"/>
      <c r="T93" s="2"/>
      <c r="U93" s="2"/>
      <c r="V93" s="2"/>
      <c r="W93" s="2"/>
    </row>
    <row r="94" spans="3:23" x14ac:dyDescent="0.25">
      <c r="C94" s="52" t="s">
        <v>5</v>
      </c>
      <c r="D94" s="112">
        <f>IF('Dedicated Role - Planner'!$C$16 = $C$140, IF(G84&gt;($D$46-2), $D$46, ROUNDUP(G84, 0)), 'Dedicated Role - Planner'!$C$16)</f>
        <v>4</v>
      </c>
      <c r="E94" s="113">
        <f>IF(G84 = 0, 0, ROUNDUP(G84/D94,  0))</f>
        <v>1</v>
      </c>
      <c r="F94" s="107">
        <f>G84+E94</f>
        <v>5</v>
      </c>
      <c r="G94" s="37"/>
      <c r="H94" s="2"/>
      <c r="I94" s="31"/>
      <c r="J94" s="2"/>
      <c r="K94" s="31"/>
      <c r="L94" s="21"/>
      <c r="M94" s="2"/>
      <c r="N94" s="2"/>
      <c r="O94" s="6"/>
      <c r="P94" s="6"/>
      <c r="Q94" s="6"/>
      <c r="R94" s="2"/>
      <c r="S94" s="2"/>
      <c r="T94" s="2"/>
      <c r="U94" s="2"/>
      <c r="V94" s="2"/>
      <c r="W94" s="2"/>
    </row>
    <row r="95" spans="3:23" x14ac:dyDescent="0.25">
      <c r="C95" s="52" t="s">
        <v>6</v>
      </c>
      <c r="D95" s="114">
        <f>IF('Dedicated Role - Planner'!$C$16 = $C$140, IF(G85&gt;($D$46-2), $D$46, ROUNDUP(G85, 0)), 'Dedicated Role - Planner'!$C$16)</f>
        <v>1</v>
      </c>
      <c r="E95" s="42">
        <f>IF(G85 = 0, 0, ROUNDUP(G85/D95,  0))</f>
        <v>1</v>
      </c>
      <c r="F95" s="44">
        <f>G85+E95</f>
        <v>2</v>
      </c>
      <c r="G95" s="37"/>
      <c r="H95" s="2"/>
      <c r="I95" s="31"/>
      <c r="J95" s="2"/>
      <c r="K95" s="31"/>
      <c r="L95" s="21"/>
      <c r="M95" s="2"/>
      <c r="N95" s="2"/>
      <c r="O95" s="6"/>
      <c r="P95" s="6"/>
      <c r="Q95" s="6"/>
      <c r="R95" s="2"/>
      <c r="S95" s="2"/>
      <c r="T95" s="2"/>
      <c r="U95" s="2"/>
      <c r="V95" s="2"/>
      <c r="W95" s="2"/>
    </row>
    <row r="96" spans="3:23" x14ac:dyDescent="0.25">
      <c r="C96" s="52" t="s">
        <v>3</v>
      </c>
      <c r="D96" s="114">
        <f>IF('Dedicated Role - Planner'!$C$16 = $C$140, IF(G86&gt;($D$46-2), $D$46, ROUNDUP(G86, 0)), 'Dedicated Role - Planner'!$C$16)</f>
        <v>1</v>
      </c>
      <c r="E96" s="42">
        <f>IF(G86 = 0, 0, ROUNDUP(G86/D96,  0))</f>
        <v>1</v>
      </c>
      <c r="F96" s="44">
        <f>G86+E96</f>
        <v>2</v>
      </c>
      <c r="G96" s="37"/>
      <c r="H96" s="2"/>
      <c r="I96" s="31"/>
      <c r="J96" s="2"/>
      <c r="K96" s="31"/>
      <c r="L96" s="21"/>
      <c r="M96" s="2"/>
      <c r="N96" s="2"/>
      <c r="O96" s="6"/>
      <c r="P96" s="6"/>
      <c r="Q96" s="6"/>
      <c r="R96" s="2"/>
      <c r="S96" s="2"/>
      <c r="T96" s="2"/>
      <c r="U96" s="2"/>
      <c r="V96" s="2"/>
      <c r="W96" s="2"/>
    </row>
    <row r="97" spans="3:23" x14ac:dyDescent="0.25">
      <c r="C97" s="52" t="s">
        <v>7</v>
      </c>
      <c r="D97" s="114">
        <f>IF('Dedicated Role - Planner'!$C$16 = $C$140, IF(G87&gt;($D$46-2), $D$46, ROUNDUP(G87, 0)), 'Dedicated Role - Planner'!$C$16)</f>
        <v>1</v>
      </c>
      <c r="E97" s="42">
        <f>IF(G87 = 0, 0, ROUNDUP(G87/D97,  0))</f>
        <v>1</v>
      </c>
      <c r="F97" s="44">
        <f>G87+E97</f>
        <v>2</v>
      </c>
      <c r="G97" s="37"/>
      <c r="H97" s="2"/>
      <c r="I97" s="31"/>
      <c r="J97" s="2"/>
      <c r="K97" s="31"/>
      <c r="L97" s="21"/>
      <c r="M97" s="2"/>
      <c r="N97" s="2"/>
      <c r="O97" s="6"/>
      <c r="P97" s="6"/>
      <c r="Q97" s="6"/>
      <c r="R97" s="2"/>
      <c r="S97" s="2"/>
      <c r="T97" s="2"/>
      <c r="U97" s="2"/>
      <c r="V97" s="2"/>
      <c r="W97" s="2"/>
    </row>
    <row r="98" spans="3:23" x14ac:dyDescent="0.25">
      <c r="C98" s="53" t="s">
        <v>8</v>
      </c>
      <c r="D98" s="115">
        <f>IF('Dedicated Role - Planner'!$C$16 = $C$140, IF(G88&gt;($D$46-2), $D$46, ROUNDUP(G88, 0)), 'Dedicated Role - Planner'!$C$16)</f>
        <v>1</v>
      </c>
      <c r="E98" s="45">
        <f>IF(G88 = 0, 0, ROUNDUP(G88/D98,  0))</f>
        <v>1</v>
      </c>
      <c r="F98" s="47">
        <f>G88+E98</f>
        <v>2</v>
      </c>
      <c r="G98" s="37"/>
      <c r="H98" s="2"/>
      <c r="I98" s="31"/>
      <c r="J98" s="2"/>
      <c r="K98" s="31"/>
      <c r="L98" s="21"/>
      <c r="M98" s="2"/>
      <c r="N98" s="2"/>
      <c r="O98" s="6"/>
      <c r="P98" s="6"/>
      <c r="Q98" s="6"/>
      <c r="R98" s="2"/>
      <c r="S98" s="2"/>
      <c r="T98" s="2"/>
      <c r="U98" s="2"/>
      <c r="V98" s="2"/>
      <c r="W98" s="2"/>
    </row>
    <row r="99" spans="3:23" x14ac:dyDescent="0.25">
      <c r="C99" s="21"/>
      <c r="D99" s="31"/>
      <c r="E99" s="31"/>
      <c r="F99" s="31"/>
      <c r="G99" s="31"/>
      <c r="H99" s="31"/>
      <c r="I99" s="31"/>
      <c r="J99" s="31"/>
      <c r="K99" s="31"/>
      <c r="L99" s="21"/>
      <c r="M99" s="2"/>
      <c r="N99" s="2"/>
      <c r="O99" s="6"/>
      <c r="P99" s="6"/>
      <c r="Q99" s="6"/>
      <c r="R99" s="2"/>
      <c r="S99" s="2"/>
      <c r="T99" s="2"/>
      <c r="U99" s="2"/>
      <c r="V99" s="2"/>
      <c r="W99" s="2"/>
    </row>
    <row r="100" spans="3:23" x14ac:dyDescent="0.25">
      <c r="C100" s="174" t="s">
        <v>49</v>
      </c>
      <c r="D100" s="165" t="s">
        <v>92</v>
      </c>
      <c r="E100" s="163"/>
      <c r="F100" s="163"/>
      <c r="G100" s="163"/>
      <c r="H100" s="163"/>
      <c r="I100" s="163"/>
      <c r="J100" s="163"/>
      <c r="K100" s="164"/>
      <c r="L100" s="63"/>
      <c r="M100" s="2"/>
      <c r="N100" s="2"/>
      <c r="O100" s="6"/>
      <c r="P100" s="6"/>
      <c r="Q100" s="6"/>
      <c r="R100" s="2"/>
      <c r="S100" s="2"/>
      <c r="T100" s="2"/>
      <c r="U100" s="2"/>
      <c r="V100" s="2"/>
      <c r="W100" s="2"/>
    </row>
    <row r="101" spans="3:23" ht="150" x14ac:dyDescent="0.25">
      <c r="C101" s="176"/>
      <c r="D101" s="65" t="s">
        <v>74</v>
      </c>
      <c r="E101" s="66" t="s">
        <v>75</v>
      </c>
      <c r="F101" s="66" t="s">
        <v>72</v>
      </c>
      <c r="G101" s="66" t="s">
        <v>120</v>
      </c>
      <c r="H101" s="66" t="s">
        <v>77</v>
      </c>
      <c r="I101" s="66" t="s">
        <v>78</v>
      </c>
      <c r="J101" s="66" t="s">
        <v>62</v>
      </c>
      <c r="K101" s="67" t="s">
        <v>79</v>
      </c>
      <c r="L101" s="64"/>
      <c r="M101" s="2"/>
      <c r="N101" s="2"/>
      <c r="O101" s="6"/>
      <c r="P101" s="6"/>
      <c r="Q101" s="6"/>
      <c r="R101" s="2"/>
      <c r="S101" s="2"/>
      <c r="T101" s="2"/>
      <c r="U101" s="2"/>
      <c r="V101" s="2"/>
      <c r="W101" s="2"/>
    </row>
    <row r="102" spans="3:23" x14ac:dyDescent="0.25">
      <c r="C102" s="52" t="s">
        <v>5</v>
      </c>
      <c r="D102" s="56">
        <f>MAX(I84,F94)</f>
        <v>63</v>
      </c>
      <c r="E102" s="42">
        <f>IF('Dedicated Role - Planner'!$C$16 = $C$140, IF(D102&gt;($D$46 - 2), $D$46, ROUNDUP(D102, 0)), 'Dedicated Role - Planner'!$C$16)</f>
        <v>16</v>
      </c>
      <c r="F102" s="42">
        <f>IF(D102 = 0, 0, ROUNDUP(D102/E102,  0))</f>
        <v>4</v>
      </c>
      <c r="G102" s="43">
        <f>IF(D102 = 0, 0, $D$68/D102)</f>
        <v>5.5803571428571432</v>
      </c>
      <c r="H102" s="43">
        <f>G102*F102</f>
        <v>22.321428571428573</v>
      </c>
      <c r="I102" s="43">
        <f>IF(D102 = 0, 0, IF(D102 = 1, 0, H102/(D102-F102)))</f>
        <v>0.37832929782082325</v>
      </c>
      <c r="J102" s="43">
        <f>I102/$D$45</f>
        <v>1.8015680848610632E-3</v>
      </c>
      <c r="K102" s="43">
        <f>IF($D$72 = 1, 0, IF(D102 = 1, 0, G102/$D$45))</f>
        <v>2.6573129251700682E-2</v>
      </c>
      <c r="L102" s="64"/>
      <c r="M102" s="2"/>
      <c r="N102" s="2"/>
      <c r="O102" s="6"/>
      <c r="P102" s="6"/>
      <c r="Q102" s="6"/>
      <c r="R102" s="2"/>
      <c r="S102" s="2"/>
      <c r="T102" s="2"/>
      <c r="U102" s="2"/>
      <c r="V102" s="2"/>
      <c r="W102" s="2"/>
    </row>
    <row r="103" spans="3:23" x14ac:dyDescent="0.25">
      <c r="C103" s="52" t="s">
        <v>6</v>
      </c>
      <c r="D103" s="56">
        <f>MAX(I85,F95)</f>
        <v>4</v>
      </c>
      <c r="E103" s="42">
        <f>IF('Dedicated Role - Planner'!$C$16 = $C$140, IF(D103&gt;($D$46 - 2), $D$46, ROUNDUP(D103, 0)), 'Dedicated Role - Planner'!$C$16)</f>
        <v>4</v>
      </c>
      <c r="F103" s="42">
        <f>IF(D103 = 0, 0, ROUNDUP(D103/E103,  0))</f>
        <v>1</v>
      </c>
      <c r="G103" s="43">
        <f>IF(D103 = 0, 0, $D$68/D103)</f>
        <v>87.890625</v>
      </c>
      <c r="H103" s="43">
        <f>G103*F103</f>
        <v>87.890625</v>
      </c>
      <c r="I103" s="43">
        <f>IF(D103 = 0, 0, IF(D103 = 1, 0, H103/(D103-F103)))</f>
        <v>29.296875</v>
      </c>
      <c r="J103" s="43">
        <f>I103/$D$45</f>
        <v>0.13950892857142858</v>
      </c>
      <c r="K103" s="43">
        <f>IF($D$72 = 1, 0, IF(D103 = 1, 0, G103/$D$45))</f>
        <v>0.4185267857142857</v>
      </c>
      <c r="L103" s="64"/>
      <c r="M103" s="2"/>
      <c r="N103" s="2"/>
      <c r="O103" s="6"/>
      <c r="P103" s="6"/>
      <c r="Q103" s="6"/>
      <c r="R103" s="2"/>
      <c r="S103" s="2"/>
      <c r="T103" s="2"/>
      <c r="U103" s="2"/>
      <c r="V103" s="2"/>
      <c r="W103" s="2"/>
    </row>
    <row r="104" spans="3:23" x14ac:dyDescent="0.25">
      <c r="C104" s="52" t="s">
        <v>3</v>
      </c>
      <c r="D104" s="56">
        <f>MAX(I86,F96)</f>
        <v>2</v>
      </c>
      <c r="E104" s="42">
        <f>IF('Dedicated Role - Planner'!$C$16 = $C$140, IF(D104&gt;($D$46 - 2), $D$46, ROUNDUP(D104, 0)), 'Dedicated Role - Planner'!$C$16)</f>
        <v>2</v>
      </c>
      <c r="F104" s="42">
        <f>IF(D104 = 0, 0, ROUNDUP(D104/E104,  0))</f>
        <v>1</v>
      </c>
      <c r="G104" s="43">
        <f>IF(D104 = 0, 0, $D$68/D104)</f>
        <v>175.78125</v>
      </c>
      <c r="H104" s="43">
        <f>G104*F104</f>
        <v>175.78125</v>
      </c>
      <c r="I104" s="43">
        <f>IF(D104 = 0, 0, IF(D104 = 1, 0, H104/(D104-F104)))</f>
        <v>175.78125</v>
      </c>
      <c r="J104" s="43">
        <f>I104/$D$45</f>
        <v>0.8370535714285714</v>
      </c>
      <c r="K104" s="43">
        <f>IF($D$72 = 1, 0, IF(D104 = 1, 0, G104/$D$45))</f>
        <v>0.8370535714285714</v>
      </c>
      <c r="L104" s="64"/>
      <c r="M104" s="2"/>
      <c r="N104" s="2"/>
      <c r="O104" s="6"/>
      <c r="P104" s="6"/>
      <c r="Q104" s="6"/>
      <c r="R104" s="2"/>
      <c r="S104" s="2"/>
      <c r="T104" s="2"/>
      <c r="U104" s="2"/>
      <c r="V104" s="2"/>
      <c r="W104" s="2"/>
    </row>
    <row r="105" spans="3:23" x14ac:dyDescent="0.25">
      <c r="C105" s="52" t="s">
        <v>7</v>
      </c>
      <c r="D105" s="56">
        <f>MAX(I87,F97)</f>
        <v>2</v>
      </c>
      <c r="E105" s="42">
        <f>IF('Dedicated Role - Planner'!$C$16 = $C$140, IF(D105&gt;($D$46 - 2), $D$46, ROUNDUP(D105, 0)), 'Dedicated Role - Planner'!$C$16)</f>
        <v>2</v>
      </c>
      <c r="F105" s="42">
        <f>IF(D105 = 0, 0, ROUNDUP(D105/E105,  0))</f>
        <v>1</v>
      </c>
      <c r="G105" s="43">
        <f>IF(D105 = 0, 0, $D$68/D105)</f>
        <v>175.78125</v>
      </c>
      <c r="H105" s="43">
        <f>G105*F105</f>
        <v>175.78125</v>
      </c>
      <c r="I105" s="43">
        <f>IF(D105 = 0, 0, IF(D105 = 1, 0, H105/(D105-F105)))</f>
        <v>175.78125</v>
      </c>
      <c r="J105" s="43">
        <f>I105/$D$45</f>
        <v>0.8370535714285714</v>
      </c>
      <c r="K105" s="43">
        <f>IF($D$72 = 1, 0, IF(D105 = 1, 0, G105/$D$45))</f>
        <v>0.8370535714285714</v>
      </c>
      <c r="L105" s="64"/>
      <c r="M105" s="2"/>
      <c r="N105" s="2"/>
      <c r="O105" s="6"/>
      <c r="P105" s="6"/>
      <c r="Q105" s="6"/>
      <c r="R105" s="2"/>
      <c r="S105" s="2"/>
      <c r="T105" s="2"/>
      <c r="U105" s="2"/>
      <c r="V105" s="2"/>
      <c r="W105" s="2"/>
    </row>
    <row r="106" spans="3:23" x14ac:dyDescent="0.25">
      <c r="C106" s="53" t="s">
        <v>8</v>
      </c>
      <c r="D106" s="57">
        <f>MAX(I88,F98)</f>
        <v>2</v>
      </c>
      <c r="E106" s="45">
        <f>IF('Dedicated Role - Planner'!$C$16 = $C$140, IF(D106&gt;($D$46 - 2), $D$46, ROUNDUP(D106, 0)), 'Dedicated Role - Planner'!$C$16)</f>
        <v>2</v>
      </c>
      <c r="F106" s="45">
        <f>IF(D106 = 0, 0, ROUNDUP(D106/E106,  0))</f>
        <v>1</v>
      </c>
      <c r="G106" s="46">
        <f>IF(D106 = 0, 0, $D$68/D106)</f>
        <v>175.78125</v>
      </c>
      <c r="H106" s="46">
        <f>G106*F106</f>
        <v>175.78125</v>
      </c>
      <c r="I106" s="46">
        <f>IF(D106 = 0, 0, IF(D106 = 1, 0, H106/(D106-F106)))</f>
        <v>175.78125</v>
      </c>
      <c r="J106" s="46">
        <f>I106/$D$45</f>
        <v>0.8370535714285714</v>
      </c>
      <c r="K106" s="46">
        <f>IF($D$72 = 1, 0, IF(D106 = 1, 0, G106/$D$45))</f>
        <v>0.8370535714285714</v>
      </c>
      <c r="L106" s="64"/>
      <c r="M106" s="2"/>
      <c r="N106" s="2"/>
      <c r="O106" s="6"/>
      <c r="P106" s="6"/>
      <c r="Q106" s="6"/>
      <c r="R106" s="2"/>
      <c r="S106" s="2"/>
      <c r="T106" s="2"/>
      <c r="U106" s="2"/>
      <c r="V106" s="2"/>
      <c r="W106" s="2"/>
    </row>
    <row r="107" spans="3:23" x14ac:dyDescent="0.25">
      <c r="C107" s="21"/>
      <c r="D107" s="31"/>
      <c r="E107" s="31"/>
      <c r="F107" s="31"/>
      <c r="G107" s="31"/>
      <c r="H107" s="31"/>
      <c r="I107" s="31"/>
      <c r="J107" s="31"/>
      <c r="K107" s="31"/>
      <c r="L107" s="21"/>
      <c r="M107" s="2"/>
      <c r="N107" s="2"/>
      <c r="O107" s="6"/>
      <c r="P107" s="6"/>
      <c r="Q107" s="6"/>
      <c r="R107" s="2"/>
      <c r="S107" s="2"/>
      <c r="T107" s="2"/>
      <c r="U107" s="2"/>
      <c r="V107" s="2"/>
      <c r="W107" s="2"/>
    </row>
    <row r="108" spans="3:23" x14ac:dyDescent="0.25">
      <c r="C108" s="174" t="s">
        <v>49</v>
      </c>
      <c r="D108" s="165" t="s">
        <v>93</v>
      </c>
      <c r="E108" s="163"/>
      <c r="F108" s="163"/>
      <c r="G108" s="164"/>
      <c r="H108" s="60"/>
      <c r="I108" s="165" t="s">
        <v>89</v>
      </c>
      <c r="J108" s="163"/>
      <c r="K108" s="164"/>
      <c r="L108" s="63"/>
      <c r="M108" s="2"/>
      <c r="N108" s="2"/>
      <c r="O108" s="6"/>
      <c r="P108" s="6"/>
      <c r="Q108" s="6"/>
      <c r="R108" s="2"/>
      <c r="S108" s="2"/>
      <c r="T108" s="2"/>
      <c r="U108" s="2"/>
      <c r="V108" s="2"/>
      <c r="W108" s="2"/>
    </row>
    <row r="109" spans="3:23" ht="180" x14ac:dyDescent="0.25">
      <c r="C109" s="175"/>
      <c r="D109" s="65" t="s">
        <v>80</v>
      </c>
      <c r="E109" s="66" t="s">
        <v>81</v>
      </c>
      <c r="F109" s="66" t="s">
        <v>83</v>
      </c>
      <c r="G109" s="67" t="s">
        <v>84</v>
      </c>
      <c r="H109" s="34"/>
      <c r="I109" s="65" t="s">
        <v>85</v>
      </c>
      <c r="J109" s="66" t="s">
        <v>90</v>
      </c>
      <c r="K109" s="67" t="s">
        <v>88</v>
      </c>
      <c r="L109" s="64"/>
      <c r="M109" s="2"/>
      <c r="N109" s="2"/>
      <c r="O109" s="6"/>
      <c r="P109" s="6"/>
      <c r="Q109" s="6"/>
      <c r="R109" s="2"/>
      <c r="S109" s="2"/>
      <c r="T109" s="2"/>
      <c r="U109" s="2"/>
      <c r="V109" s="2"/>
      <c r="W109" s="2"/>
    </row>
    <row r="110" spans="3:23" x14ac:dyDescent="0.25">
      <c r="C110" s="52" t="s">
        <v>5</v>
      </c>
      <c r="D110" s="50">
        <f>MIN(K102,J102)</f>
        <v>1.8015680848610632E-3</v>
      </c>
      <c r="E110" s="43">
        <f>F76-D110</f>
        <v>0.49819843191513896</v>
      </c>
      <c r="F110" s="43">
        <f>($D$71/E110)  + F102</f>
        <v>66.72601035669858</v>
      </c>
      <c r="G110" s="48">
        <f>ROUNDUP(F110, 0)</f>
        <v>67</v>
      </c>
      <c r="H110" s="43"/>
      <c r="I110" s="58">
        <f>MAX(G110,F94)</f>
        <v>67</v>
      </c>
      <c r="J110" s="36">
        <f>IF(I110 = 0, 0, IF(I110 = 1, 2, I110))</f>
        <v>67</v>
      </c>
      <c r="K110" s="89">
        <f>IF('Dedicated Role - Planner'!$C$16 = $C$140, IF(J110&gt;$D$46, $D$46, J110), 'Dedicated Role - Planner'!$C$16)</f>
        <v>16</v>
      </c>
      <c r="L110" s="64"/>
      <c r="M110" s="2"/>
      <c r="N110" s="2"/>
      <c r="O110" s="6"/>
      <c r="P110" s="6"/>
      <c r="Q110" s="6"/>
      <c r="R110" s="2"/>
      <c r="S110" s="2"/>
      <c r="T110" s="2"/>
      <c r="U110" s="2"/>
      <c r="V110" s="2"/>
      <c r="W110" s="2"/>
    </row>
    <row r="111" spans="3:23" x14ac:dyDescent="0.25">
      <c r="C111" s="52" t="s">
        <v>6</v>
      </c>
      <c r="D111" s="50">
        <f>MAX(K103,J103)</f>
        <v>0.4185267857142857</v>
      </c>
      <c r="E111" s="43">
        <f>F77-D111</f>
        <v>9.5814732142857135</v>
      </c>
      <c r="F111" s="43">
        <f>($D$71/E111)  + F103</f>
        <v>4.2615026208503206</v>
      </c>
      <c r="G111" s="48">
        <f>ROUNDUP(F111, 0)</f>
        <v>5</v>
      </c>
      <c r="H111" s="43"/>
      <c r="I111" s="58">
        <f>MAX(G111,F95)</f>
        <v>5</v>
      </c>
      <c r="J111" s="36">
        <f>IF(I111 = 0, 0, IF(I111 = 1, 2, I111))</f>
        <v>5</v>
      </c>
      <c r="K111" s="89">
        <f>IF('Dedicated Role - Planner'!$C$16 = $C$140, IF(J111&gt;$D$46, $D$46, J111), 'Dedicated Role - Planner'!$C$16)</f>
        <v>5</v>
      </c>
      <c r="L111" s="64"/>
      <c r="M111" s="2"/>
      <c r="N111" s="2"/>
      <c r="O111" s="6"/>
      <c r="P111" s="6"/>
      <c r="Q111" s="6"/>
      <c r="R111" s="2"/>
      <c r="S111" s="2"/>
      <c r="T111" s="2"/>
      <c r="U111" s="2"/>
      <c r="V111" s="2"/>
      <c r="W111" s="2"/>
    </row>
    <row r="112" spans="3:23" x14ac:dyDescent="0.25">
      <c r="C112" s="52" t="s">
        <v>3</v>
      </c>
      <c r="D112" s="50">
        <f>MAX(K104,J104)</f>
        <v>0.8370535714285714</v>
      </c>
      <c r="E112" s="43">
        <f>F78-D112</f>
        <v>19.162946428571427</v>
      </c>
      <c r="F112" s="43">
        <f>($D$71/E112)  + F104</f>
        <v>2.6307513104251603</v>
      </c>
      <c r="G112" s="48">
        <f>ROUNDUP(F112, 0)</f>
        <v>3</v>
      </c>
      <c r="H112" s="43"/>
      <c r="I112" s="58">
        <f>MAX(G112,F96)</f>
        <v>3</v>
      </c>
      <c r="J112" s="36">
        <f>IF(I112 = 0, 0, IF(I112 = 1, 2, I112))</f>
        <v>3</v>
      </c>
      <c r="K112" s="89">
        <f>IF('Dedicated Role - Planner'!$C$16 = $C$140, IF(J112&gt;$D$46, $D$46, J112), 'Dedicated Role - Planner'!$C$16)</f>
        <v>3</v>
      </c>
      <c r="L112" s="64"/>
      <c r="M112" s="2"/>
      <c r="N112" s="2"/>
      <c r="O112" s="6"/>
      <c r="P112" s="6"/>
      <c r="Q112" s="6"/>
      <c r="R112" s="2"/>
      <c r="S112" s="2"/>
      <c r="T112" s="2"/>
      <c r="U112" s="2"/>
      <c r="V112" s="2"/>
      <c r="W112" s="2"/>
    </row>
    <row r="113" spans="3:23" x14ac:dyDescent="0.25">
      <c r="C113" s="52" t="s">
        <v>7</v>
      </c>
      <c r="D113" s="50">
        <f>MAX(K105,J105)</f>
        <v>0.8370535714285714</v>
      </c>
      <c r="E113" s="43">
        <f>F79-D113</f>
        <v>39.162946428571431</v>
      </c>
      <c r="F113" s="43">
        <f>($D$71/E113)  + F105</f>
        <v>1.7979481333713307</v>
      </c>
      <c r="G113" s="48">
        <f>ROUNDUP(F113, 0)</f>
        <v>2</v>
      </c>
      <c r="H113" s="43"/>
      <c r="I113" s="58">
        <f>MAX(G113,F97)</f>
        <v>2</v>
      </c>
      <c r="J113" s="36">
        <f>IF(I113 = 0, 0, IF(I113 = 1, 2, I113))</f>
        <v>2</v>
      </c>
      <c r="K113" s="89">
        <f>IF('Dedicated Role - Planner'!$C$16 = $C$140, IF(J113&gt;$D$46, $D$46, J113), 'Dedicated Role - Planner'!$C$16)</f>
        <v>2</v>
      </c>
      <c r="L113" s="64"/>
      <c r="M113" s="2"/>
      <c r="N113" s="2"/>
      <c r="O113" s="6"/>
      <c r="P113" s="6"/>
      <c r="Q113" s="6"/>
      <c r="R113" s="2"/>
      <c r="S113" s="2"/>
      <c r="T113" s="2"/>
      <c r="U113" s="2"/>
      <c r="V113" s="2"/>
      <c r="W113" s="2"/>
    </row>
    <row r="114" spans="3:23" x14ac:dyDescent="0.25">
      <c r="C114" s="53" t="s">
        <v>8</v>
      </c>
      <c r="D114" s="51">
        <f>MAX(K106,J106)</f>
        <v>0.8370535714285714</v>
      </c>
      <c r="E114" s="46">
        <f>F80-D114</f>
        <v>79.162946428571431</v>
      </c>
      <c r="F114" s="46">
        <f>($D$71/E114)  + F106</f>
        <v>1.3947553926406315</v>
      </c>
      <c r="G114" s="49">
        <f>ROUNDUP(F114, 0)</f>
        <v>2</v>
      </c>
      <c r="H114" s="46"/>
      <c r="I114" s="59">
        <f>MAX(G114,F98)</f>
        <v>2</v>
      </c>
      <c r="J114" s="39">
        <f>IF(I114 = 0, 0, IF(I114 = 1, 2, I114))</f>
        <v>2</v>
      </c>
      <c r="K114" s="90">
        <f>IF('Dedicated Role - Planner'!$C$16 = $C$140, IF(J114&gt;$D$46, $D$46, J114), 'Dedicated Role - Planner'!$C$16)</f>
        <v>2</v>
      </c>
      <c r="L114" s="64"/>
      <c r="M114" s="2"/>
      <c r="N114" s="2"/>
      <c r="O114" s="6"/>
      <c r="P114" s="6"/>
      <c r="Q114" s="6"/>
      <c r="R114" s="2"/>
      <c r="S114" s="2"/>
      <c r="T114" s="2"/>
      <c r="U114" s="2"/>
      <c r="V114" s="2"/>
      <c r="W114" s="2"/>
    </row>
    <row r="115" spans="3:23" x14ac:dyDescent="0.25">
      <c r="C115" s="6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6"/>
      <c r="P115" s="6"/>
      <c r="Q115" s="6"/>
      <c r="R115" s="2"/>
      <c r="S115" s="2"/>
      <c r="T115" s="2"/>
      <c r="U115" s="2"/>
      <c r="V115" s="2"/>
      <c r="W115" s="2"/>
    </row>
    <row r="116" spans="3:23" x14ac:dyDescent="0.25">
      <c r="C116" s="174" t="s">
        <v>49</v>
      </c>
      <c r="D116" s="165" t="s">
        <v>102</v>
      </c>
      <c r="E116" s="163"/>
      <c r="F116" s="163"/>
      <c r="G116" s="164"/>
      <c r="H116" s="31"/>
      <c r="I116" s="31"/>
      <c r="J116" s="31"/>
      <c r="K116" s="31"/>
      <c r="L116" s="31"/>
      <c r="M116" s="6"/>
      <c r="N116" s="6"/>
      <c r="O116" s="6"/>
      <c r="P116" s="6"/>
      <c r="Q116" s="6"/>
      <c r="R116" s="2"/>
      <c r="S116" s="2"/>
      <c r="T116" s="2"/>
      <c r="U116" s="2"/>
      <c r="V116" s="2"/>
      <c r="W116" s="2"/>
    </row>
    <row r="117" spans="3:23" ht="60" x14ac:dyDescent="0.25">
      <c r="C117" s="175"/>
      <c r="D117" s="65" t="s">
        <v>105</v>
      </c>
      <c r="E117" s="66" t="s">
        <v>106</v>
      </c>
      <c r="F117" s="66" t="s">
        <v>107</v>
      </c>
      <c r="G117" s="67" t="s">
        <v>108</v>
      </c>
      <c r="H117" s="31"/>
      <c r="I117" s="31"/>
      <c r="J117" s="31"/>
      <c r="K117" s="31"/>
      <c r="L117" s="31"/>
      <c r="M117" s="6"/>
      <c r="N117" s="6"/>
      <c r="O117" s="6"/>
      <c r="P117" s="6"/>
      <c r="Q117" s="6"/>
      <c r="R117" s="2"/>
      <c r="S117" s="2"/>
      <c r="T117" s="2"/>
      <c r="U117" s="2"/>
      <c r="V117" s="2"/>
      <c r="W117" s="2"/>
    </row>
    <row r="118" spans="3:23" x14ac:dyDescent="0.25">
      <c r="C118" s="52" t="s">
        <v>5</v>
      </c>
      <c r="D118" s="56">
        <f>IF('Dedicated Role - Planner'!$C$15 = "No", K84, J110)</f>
        <v>67</v>
      </c>
      <c r="E118" s="88">
        <f>IF('Dedicated Role - Planner'!$C$16 = $C$140, IF('Dedicated Role - Planner'!$C$15 = "No", L84, K110), 'Dedicated Role - Planner'!$C$16)</f>
        <v>16</v>
      </c>
      <c r="F118" s="56">
        <v>0</v>
      </c>
      <c r="G118" s="91">
        <v>0</v>
      </c>
      <c r="H118" s="31"/>
      <c r="I118" s="31"/>
      <c r="J118" s="31"/>
      <c r="K118" s="31"/>
      <c r="L118" s="31"/>
      <c r="M118" s="6"/>
      <c r="N118" s="6"/>
      <c r="O118" s="6"/>
      <c r="P118" s="6"/>
      <c r="Q118" s="6"/>
      <c r="R118" s="2"/>
      <c r="S118" s="2"/>
      <c r="T118" s="2"/>
      <c r="U118" s="2"/>
      <c r="V118" s="2"/>
      <c r="W118" s="2"/>
    </row>
    <row r="119" spans="3:23" x14ac:dyDescent="0.25">
      <c r="C119" s="52" t="s">
        <v>6</v>
      </c>
      <c r="D119" s="56">
        <f>IF('Dedicated Role - Planner'!$C$15 = "No", K85, J111)</f>
        <v>5</v>
      </c>
      <c r="E119" s="88">
        <f>IF('Dedicated Role - Planner'!$C$16 = $C$140, IF('Dedicated Role - Planner'!$C$15 = "No", L85, K111), 'Dedicated Role - Planner'!$C$16)</f>
        <v>5</v>
      </c>
      <c r="F119" s="56">
        <f>IF(ISERROR(D119), -1, IF(D119&gt;G77, -1, IF(D119&gt;32, 0, 1)))</f>
        <v>1</v>
      </c>
      <c r="G119" s="91">
        <f>IF(F119=-1, 0, IF(SUM(G120:G122) = 1, 0, 1))</f>
        <v>0</v>
      </c>
      <c r="H119" s="31"/>
      <c r="I119" s="108"/>
      <c r="J119" s="31"/>
      <c r="K119" s="31"/>
      <c r="L119" s="31"/>
      <c r="M119" s="6"/>
      <c r="N119" s="6"/>
      <c r="O119" s="6"/>
      <c r="P119" s="6"/>
      <c r="Q119" s="6"/>
      <c r="R119" s="2"/>
      <c r="S119" s="2"/>
      <c r="T119" s="2"/>
      <c r="U119" s="2"/>
      <c r="V119" s="2"/>
      <c r="W119" s="2"/>
    </row>
    <row r="120" spans="3:23" x14ac:dyDescent="0.25">
      <c r="C120" s="52" t="s">
        <v>3</v>
      </c>
      <c r="D120" s="56">
        <f>IF('Dedicated Role - Planner'!$C$15 = "No", K86, J112)</f>
        <v>3</v>
      </c>
      <c r="E120" s="88">
        <f>IF('Dedicated Role - Planner'!$C$16 = $C$140, IF('Dedicated Role - Planner'!$C$15 = "No", L86, K112), 'Dedicated Role - Planner'!$C$16)</f>
        <v>3</v>
      </c>
      <c r="F120" s="56">
        <f>IF(ISERROR(D120), -1, IF(D120&gt;G78, -1, IF(D120&gt;32, 0, 1)))</f>
        <v>1</v>
      </c>
      <c r="G120" s="91">
        <f>IF(F120=-1, 0, IF(SUM(G121:G122) = 1, 0, IF(D120&gt;2, 1, 0)))</f>
        <v>1</v>
      </c>
      <c r="H120" s="31"/>
      <c r="I120" s="31"/>
      <c r="J120" s="31"/>
      <c r="K120" s="31"/>
      <c r="L120" s="31"/>
      <c r="M120" s="6"/>
      <c r="N120" s="6"/>
      <c r="O120" s="6"/>
      <c r="P120" s="6"/>
      <c r="Q120" s="6"/>
      <c r="R120" s="2"/>
      <c r="S120" s="2"/>
      <c r="T120" s="2"/>
      <c r="U120" s="2"/>
      <c r="V120" s="2"/>
      <c r="W120" s="2"/>
    </row>
    <row r="121" spans="3:23" x14ac:dyDescent="0.25">
      <c r="C121" s="52" t="s">
        <v>7</v>
      </c>
      <c r="D121" s="56">
        <f>IF('Dedicated Role - Planner'!$C$15 = "No", K87, J113)</f>
        <v>2</v>
      </c>
      <c r="E121" s="88">
        <f>IF('Dedicated Role - Planner'!$C$16 = $C$140, IF('Dedicated Role - Planner'!$C$15 = "No", L87, K113), 'Dedicated Role - Planner'!$C$16)</f>
        <v>2</v>
      </c>
      <c r="F121" s="56">
        <f>IF(ISERROR(D121), -1, IF(D121&gt;G79, -1, IF(D121&gt;32, 0, 1)))</f>
        <v>1</v>
      </c>
      <c r="G121" s="91">
        <f>IF(F121=-1, 0, IF(G122 = 1, 0, IF(D121&gt;2, 1, 0)))</f>
        <v>0</v>
      </c>
      <c r="H121" s="31"/>
      <c r="I121" s="31"/>
      <c r="J121" s="31"/>
      <c r="K121" s="31"/>
      <c r="L121" s="31"/>
      <c r="M121" s="6"/>
      <c r="N121" s="6"/>
      <c r="O121" s="6"/>
      <c r="P121" s="6"/>
      <c r="Q121" s="6"/>
      <c r="R121" s="2"/>
      <c r="S121" s="2"/>
      <c r="T121" s="2"/>
      <c r="U121" s="2"/>
      <c r="V121" s="2"/>
      <c r="W121" s="2"/>
    </row>
    <row r="122" spans="3:23" x14ac:dyDescent="0.25">
      <c r="C122" s="53" t="s">
        <v>8</v>
      </c>
      <c r="D122" s="57">
        <f>IF('Dedicated Role - Planner'!$C$15 = "No", K88, J114)</f>
        <v>2</v>
      </c>
      <c r="E122" s="92">
        <f>IF('Dedicated Role - Planner'!$C$16 = $C$140, IF('Dedicated Role - Planner'!$C$15 = "No", L88, K114), 'Dedicated Role - Planner'!$C$16)</f>
        <v>2</v>
      </c>
      <c r="F122" s="57">
        <f>IF(ISERROR(D122), -1, IF(D122&gt;G80, -1, IF(D122&gt;32, 0, 1)))</f>
        <v>1</v>
      </c>
      <c r="G122" s="93">
        <f>IF(F122=-1, 0, IF(D122&gt;2, 1, 0))</f>
        <v>0</v>
      </c>
      <c r="H122" s="31"/>
      <c r="I122" s="31"/>
      <c r="J122" s="31"/>
      <c r="K122" s="31"/>
      <c r="L122" s="31"/>
      <c r="M122" s="6"/>
      <c r="N122" s="6"/>
      <c r="O122" s="6"/>
      <c r="P122" s="6"/>
      <c r="Q122" s="6"/>
      <c r="R122" s="2"/>
      <c r="S122" s="2"/>
      <c r="T122" s="2"/>
      <c r="U122" s="2"/>
      <c r="V122" s="2"/>
      <c r="W122" s="2"/>
    </row>
    <row r="123" spans="3:23" x14ac:dyDescent="0.25">
      <c r="C123" s="1"/>
      <c r="D123" s="6"/>
      <c r="E123" s="34"/>
      <c r="F123" s="34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2"/>
      <c r="S123" s="2"/>
      <c r="T123" s="2"/>
      <c r="U123" s="2"/>
      <c r="V123" s="2"/>
      <c r="W123" s="2"/>
    </row>
    <row r="124" spans="3:23" x14ac:dyDescent="0.25">
      <c r="C124" s="172" t="s">
        <v>49</v>
      </c>
      <c r="D124" s="169" t="s">
        <v>125</v>
      </c>
      <c r="E124" s="170"/>
      <c r="F124" s="171"/>
      <c r="G124" s="169" t="s">
        <v>159</v>
      </c>
      <c r="H124" s="171"/>
      <c r="I124" s="6"/>
      <c r="J124" s="6"/>
      <c r="K124" s="6"/>
      <c r="L124" s="6"/>
      <c r="M124" s="6"/>
      <c r="N124" s="6"/>
      <c r="O124" s="6"/>
      <c r="P124" s="6"/>
      <c r="Q124" s="6"/>
      <c r="R124" s="3"/>
      <c r="S124" s="3"/>
      <c r="T124" s="3"/>
      <c r="U124" s="3"/>
      <c r="V124" s="3"/>
      <c r="W124" s="3"/>
    </row>
    <row r="125" spans="3:23" x14ac:dyDescent="0.25">
      <c r="C125" s="173"/>
      <c r="D125" s="116" t="s">
        <v>50</v>
      </c>
      <c r="E125" s="117" t="s">
        <v>86</v>
      </c>
      <c r="F125" s="116" t="s">
        <v>109</v>
      </c>
      <c r="G125" s="144" t="str">
        <f>IF($D$57=0, "CacheDataSize (MB) *", "&lt;blank&gt;")</f>
        <v>&lt;blank&gt;</v>
      </c>
      <c r="H125" s="125" t="s">
        <v>158</v>
      </c>
      <c r="I125" s="6"/>
      <c r="J125" s="6"/>
      <c r="K125" s="6"/>
      <c r="L125" s="6"/>
      <c r="M125" s="6"/>
      <c r="N125" s="6"/>
      <c r="O125" s="6"/>
      <c r="P125" s="6"/>
      <c r="Q125" s="6"/>
      <c r="R125" s="2"/>
      <c r="S125" s="2"/>
      <c r="T125" s="2"/>
      <c r="U125" s="2"/>
      <c r="V125" s="2"/>
      <c r="W125" s="2"/>
    </row>
    <row r="126" spans="3:23" x14ac:dyDescent="0.25">
      <c r="C126" s="82" t="str">
        <f>C119</f>
        <v>S</v>
      </c>
      <c r="D126" s="94">
        <f>IF(F119 = -1, $C$134, D119)</f>
        <v>5</v>
      </c>
      <c r="E126" s="94">
        <f>IF(F119=-1, $C$134, E119)</f>
        <v>5</v>
      </c>
      <c r="F126" s="124" t="str">
        <f>IF(F119=-1, $C$134, IF(F119 = 0, $C$137, IF(G119 = 1, $C$136, $C$135)))</f>
        <v>Feasible</v>
      </c>
      <c r="G126" s="145" t="str">
        <f>IF($D$57=0, D77, "")</f>
        <v/>
      </c>
      <c r="H126" s="6" t="str">
        <f>IF(F126=$C$134, $C$138, IF(F126=$C$137, $C$139, ""))</f>
        <v/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3:23" x14ac:dyDescent="0.25">
      <c r="C127" s="82" t="str">
        <f>C120</f>
        <v>M</v>
      </c>
      <c r="D127" s="94">
        <f>IF(F120 = -1, $C$134, D120)</f>
        <v>3</v>
      </c>
      <c r="E127" s="94">
        <f>IF(F120=-1, $C$134, E120)</f>
        <v>3</v>
      </c>
      <c r="F127" s="124" t="str">
        <f>IF(F120=-1, $C$134, IF(F120 = 0, $C$137, IF(G120 = 1, $C$136, $C$135)))</f>
        <v>Recommended</v>
      </c>
      <c r="G127" s="146" t="str">
        <f>IF($D$57=0, D78, "")</f>
        <v/>
      </c>
      <c r="H127" s="6" t="str">
        <f>IF(F127=$C$134, $C$138, IF(F127=$C$137, $C$139, ""))</f>
        <v/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3:23" x14ac:dyDescent="0.25">
      <c r="C128" s="82" t="str">
        <f>C121</f>
        <v>L</v>
      </c>
      <c r="D128" s="94">
        <f>IF(F121 = -1, $C$134, D121)</f>
        <v>2</v>
      </c>
      <c r="E128" s="94">
        <f>IF(F121=-1, $C$134, E121)</f>
        <v>2</v>
      </c>
      <c r="F128" s="124" t="str">
        <f>IF(F121=-1, $C$134, IF(F121 = 0, $C$137, IF(G121 = 1, $C$136, $C$135)))</f>
        <v>Feasible</v>
      </c>
      <c r="G128" s="146" t="str">
        <f>IF($D$57=0, D79, "")</f>
        <v/>
      </c>
      <c r="H128" s="6" t="str">
        <f>IF(F128=$C$134, $C$138, IF(F128=$C$137, $C$139, ""))</f>
        <v/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3:23" x14ac:dyDescent="0.25">
      <c r="C129" s="83" t="str">
        <f>C122</f>
        <v>XL</v>
      </c>
      <c r="D129" s="95">
        <f>IF(F122 = -1, $C$134, D122)</f>
        <v>2</v>
      </c>
      <c r="E129" s="95">
        <f>IF(F122=-1, $C$134, E122)</f>
        <v>2</v>
      </c>
      <c r="F129" s="83" t="str">
        <f>IF(F122=-1, $C$134, IF(F122 = 0, $C$137, IF(G122 = 1, $C$136, $C$135)))</f>
        <v>Feasible</v>
      </c>
      <c r="G129" s="147" t="str">
        <f>IF($D$57=0, D80, "")</f>
        <v/>
      </c>
      <c r="H129" s="25" t="str">
        <f>IF(F129=$C$134, $C$138, IF(F129=$C$137, $C$139, ""))</f>
        <v/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3:23" x14ac:dyDescent="0.25">
      <c r="C130" s="1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3:23" x14ac:dyDescent="0.25">
      <c r="C131" s="3" t="s">
        <v>160</v>
      </c>
      <c r="D131" s="1" t="str">
        <f>IF($D$57=0, $C$141, "")</f>
        <v/>
      </c>
      <c r="F131" s="3"/>
      <c r="G131" s="3"/>
      <c r="Q131" s="3"/>
      <c r="R131" s="3"/>
      <c r="S131" s="3"/>
      <c r="T131" s="3"/>
      <c r="U131" s="3"/>
      <c r="V131" s="3"/>
      <c r="W131" s="3"/>
    </row>
    <row r="132" spans="3:23" x14ac:dyDescent="0.25">
      <c r="C132" s="1"/>
      <c r="D132" s="3"/>
      <c r="F132" s="3"/>
      <c r="G132" s="3"/>
      <c r="Q132" s="3"/>
      <c r="R132" s="3"/>
      <c r="S132" s="3"/>
      <c r="T132" s="3"/>
      <c r="U132" s="3"/>
      <c r="V132" s="3"/>
      <c r="W132" s="3"/>
    </row>
    <row r="133" spans="3:23" x14ac:dyDescent="0.25">
      <c r="C133" s="1" t="s">
        <v>121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3:23" x14ac:dyDescent="0.25">
      <c r="C134" s="3" t="s">
        <v>122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3:23" x14ac:dyDescent="0.25">
      <c r="C135" s="3" t="s">
        <v>123</v>
      </c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</row>
    <row r="136" spans="3:23" x14ac:dyDescent="0.25">
      <c r="C136" s="4" t="s">
        <v>108</v>
      </c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</row>
    <row r="137" spans="3:23" x14ac:dyDescent="0.25">
      <c r="C137" s="4" t="s">
        <v>124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3:23" x14ac:dyDescent="0.25">
      <c r="C138" s="3" t="s">
        <v>127</v>
      </c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</row>
    <row r="139" spans="3:23" x14ac:dyDescent="0.25">
      <c r="C139" s="3" t="s">
        <v>128</v>
      </c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</row>
    <row r="140" spans="3:23" x14ac:dyDescent="0.25">
      <c r="C140" s="3" t="s">
        <v>177</v>
      </c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</row>
    <row r="141" spans="3:23" x14ac:dyDescent="0.25">
      <c r="C141" s="3" t="s">
        <v>179</v>
      </c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</row>
  </sheetData>
  <mergeCells count="24">
    <mergeCell ref="C2:C3"/>
    <mergeCell ref="L2:M2"/>
    <mergeCell ref="N2:O2"/>
    <mergeCell ref="F2:K2"/>
    <mergeCell ref="P2:P3"/>
    <mergeCell ref="D2:D3"/>
    <mergeCell ref="E2:E3"/>
    <mergeCell ref="D124:F124"/>
    <mergeCell ref="C124:C125"/>
    <mergeCell ref="C116:C117"/>
    <mergeCell ref="C92:C93"/>
    <mergeCell ref="C100:C101"/>
    <mergeCell ref="C108:C109"/>
    <mergeCell ref="D100:K100"/>
    <mergeCell ref="D116:G116"/>
    <mergeCell ref="D92:F92"/>
    <mergeCell ref="G124:H124"/>
    <mergeCell ref="C82:C83"/>
    <mergeCell ref="D82:L82"/>
    <mergeCell ref="D74:G74"/>
    <mergeCell ref="C74:C75"/>
    <mergeCell ref="D108:G108"/>
    <mergeCell ref="I108:K108"/>
    <mergeCell ref="C90:K9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Dedicated Role - Planner</vt:lpstr>
      <vt:lpstr>Co-located Role - Planner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2012-10-26T14:58:40Z</dcterms:created>
  <dcterms:modified xsi:type="dcterms:W3CDTF">2012-10-26T18:21:22Z</dcterms:modified>
</cp:coreProperties>
</file>