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95" yWindow="345" windowWidth="6150" windowHeight="11025" tabRatio="678"/>
  </bookViews>
  <sheets>
    <sheet name="Holds" sheetId="2" r:id="rId1"/>
    <sheet name="Intakes, Admins, Discharges" sheetId="10" r:id="rId2"/>
    <sheet name="AMH CMH Patients Served" sheetId="11" r:id="rId3"/>
    <sheet name="Invsigtns, Exams, and Comm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E50" i="10" l="1"/>
  <c r="L50" i="2"/>
  <c r="K50" i="2"/>
  <c r="J50" i="2"/>
  <c r="I50" i="2"/>
  <c r="C50" i="2"/>
  <c r="D50" i="2"/>
  <c r="E50" i="2"/>
  <c r="F50" i="2"/>
  <c r="J50" i="10" l="1"/>
  <c r="H50" i="10"/>
  <c r="C50" i="10"/>
  <c r="N49" i="12" l="1"/>
  <c r="M50" i="12"/>
  <c r="K50" i="12"/>
  <c r="H50" i="12"/>
  <c r="F50" i="12"/>
  <c r="D50" i="12" l="1"/>
  <c r="C50" i="12"/>
  <c r="G9" i="23" l="1"/>
  <c r="N50" i="12" l="1"/>
  <c r="I50" i="12"/>
  <c r="G49" i="12" l="1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M50" i="2" l="1"/>
  <c r="G50" i="2"/>
  <c r="H50" i="2"/>
  <c r="G50" i="11"/>
  <c r="D50" i="11"/>
  <c r="L50" i="12"/>
  <c r="G50" i="12"/>
  <c r="I50" i="10"/>
  <c r="F50" i="10"/>
  <c r="K50" i="10"/>
  <c r="N50" i="2"/>
  <c r="S50" i="10"/>
  <c r="U50" i="10"/>
  <c r="C50" i="11"/>
  <c r="F50" i="11"/>
  <c r="D50" i="10"/>
  <c r="H3" i="10"/>
  <c r="S3" i="10"/>
  <c r="C3" i="10"/>
</calcChain>
</file>

<file path=xl/sharedStrings.xml><?xml version="1.0" encoding="utf-8"?>
<sst xmlns="http://schemas.openxmlformats.org/spreadsheetml/2006/main" count="348" uniqueCount="126">
  <si>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</si>
  <si>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</si>
  <si>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</si>
  <si>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</si>
  <si>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</si>
  <si>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</si>
  <si>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</si>
  <si>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</si>
  <si>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</si>
  <si>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</si>
  <si>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</si>
  <si>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</si>
  <si>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</si>
  <si>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</si>
  <si>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</si>
  <si>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</si>
  <si>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</si>
  <si>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</si>
  <si>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</si>
  <si>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</si>
  <si>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</si>
  <si>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</si>
  <si>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</si>
  <si>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</si>
  <si>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</si>
  <si>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</si>
  <si>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</si>
  <si>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</si>
  <si>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</si>
  <si>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</si>
  <si>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</si>
  <si>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</si>
  <si>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</si>
  <si>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</si>
  <si>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</si>
  <si>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</si>
  <si>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</si>
  <si>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</si>
  <si>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</si>
  <si>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</si>
  <si>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</si>
  <si>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</si>
  <si>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</si>
  <si>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</si>
  <si>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</si>
  <si>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</si>
  <si>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</si>
  <si>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</si>
  <si>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</si>
  <si>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</si>
  <si>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</si>
  <si>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</si>
  <si>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</si>
  <si>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</si>
  <si>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</si>
  <si>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</si>
  <si>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</si>
  <si>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</si>
  <si>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</si>
  <si>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</si>
  <si>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</si>
  <si>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</si>
  <si>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</si>
  <si>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</si>
  <si>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</si>
  <si>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</si>
  <si>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</si>
  <si>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</si>
  <si>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</si>
  <si>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</si>
  <si>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</si>
  <si>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</si>
  <si>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</si>
  <si>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</si>
  <si>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</si>
  <si>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</si>
  <si>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</si>
  <si>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</si>
  <si>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</si>
  <si>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</si>
  <si>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</si>
  <si>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</si>
  <si>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</si>
  <si>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</si>
  <si>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</si>
  <si>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</si>
  <si>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</si>
  <si>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</si>
  <si>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</si>
  <si>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</si>
  <si>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</si>
  <si>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</si>
  <si>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</si>
  <si>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</si>
  <si>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</si>
  <si>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</si>
  <si>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</si>
  <si>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</si>
  <si>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</si>
  <si>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</si>
  <si>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</si>
  <si>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</si>
  <si>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</si>
  <si>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</si>
  <si>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>Admission / Discharge</t>
  </si>
  <si>
    <t>From 8/1/2012 12:00:00 AM To 8/31/2012 12:00:00 AM</t>
  </si>
  <si>
    <t>From 7/1/2012 12:00:00 AM To 8/31/2012 12:00:00 AM</t>
  </si>
  <si>
    <t>AMH Admissions</t>
  </si>
  <si>
    <t>AMH Discharges</t>
  </si>
  <si>
    <t>CMH Admissions</t>
  </si>
  <si>
    <t>CMH Discharges</t>
  </si>
  <si>
    <t xml:space="preserve">Region </t>
  </si>
  <si>
    <t>CMH Admissions October</t>
  </si>
  <si>
    <t>October CMH Discharges</t>
  </si>
  <si>
    <t>CMH Admissions FY</t>
  </si>
  <si>
    <t>FY CMH Discharges</t>
  </si>
  <si>
    <t>AMH Admissions October</t>
  </si>
  <si>
    <t>October AMH Discharges</t>
  </si>
  <si>
    <t>AMH Admissions FY</t>
  </si>
  <si>
    <t>FY AMH Discharges</t>
  </si>
  <si>
    <t>AMH Clients Served October</t>
  </si>
  <si>
    <t>AMH Clients Served SFY12</t>
  </si>
  <si>
    <t>CMH Clients Served October</t>
  </si>
  <si>
    <t>CMH Clients Served SFY13</t>
  </si>
  <si>
    <t>October 192524</t>
  </si>
  <si>
    <t>FY 192524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</si>
</sst>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11"/>
      <color indexed="8"/>
      <name val="Arial"/>
      <family val="2"/>
    </font>
    <font>
      <b/>
      <sz val="9"/>
      <color indexed="6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indexed="14"/>
        <bgColor indexed="9"/>
      </patternFill>
    </fill>
    <fill>
      <patternFill patternType="solid">
        <fgColor indexed="45"/>
        <bgColor indexed="9"/>
      </patternFill>
    </fill>
    <fill>
      <patternFill patternType="solid">
        <fgColor indexed="51"/>
        <bgColor indexed="9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55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4" xfId="0" applyFill="1" applyBorder="1"/>
    <xf numFmtId="0" fontId="0" fillId="4" borderId="32" xfId="0" applyFill="1" applyBorder="1"/>
    <xf numFmtId="0" fontId="0" fillId="4" borderId="33" xfId="0" applyFill="1" applyBorder="1"/>
    <xf numFmtId="0" fontId="3" fillId="4" borderId="31" xfId="0" applyFont="1" applyFill="1" applyBorder="1" applyAlignment="1">
      <alignment horizontal="center" wrapText="1"/>
    </xf>
    <xf numFmtId="0" fontId="3" fillId="5" borderId="31" xfId="0" applyFont="1" applyFill="1" applyBorder="1" applyAlignment="1">
      <alignment horizontal="center" wrapText="1"/>
    </xf>
    <xf numFmtId="0" fontId="3" fillId="5" borderId="34" xfId="0" applyFont="1" applyFill="1" applyBorder="1" applyAlignment="1">
      <alignment horizontal="center" wrapText="1"/>
    </xf>
    <xf numFmtId="0" fontId="0" fillId="0" borderId="35" xfId="0" applyBorder="1"/>
    <xf numFmtId="0" fontId="0" fillId="0" borderId="27" xfId="0" applyBorder="1"/>
    <xf numFmtId="0" fontId="3" fillId="4" borderId="3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2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4" borderId="24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8" fillId="8" borderId="37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7" xfId="0" applyNumberFormat="1" applyFont="1" applyFill="1" applyBorder="1" applyAlignment="1">
      <alignment horizontal="right"/>
    </xf>
    <xf numFmtId="1" fontId="7" fillId="7" borderId="37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7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39" xfId="1" applyNumberFormat="1" applyFont="1" applyFill="1" applyBorder="1" applyAlignment="1">
      <alignment horizontal="center" vertical="center"/>
    </xf>
    <xf numFmtId="37" fontId="0" fillId="5" borderId="38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39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7" borderId="37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1" fillId="9" borderId="0" xfId="0" applyFont="1" applyFill="1" applyAlignment="1">
      <alignment wrapText="1"/>
    </xf>
    <xf numFmtId="0" fontId="8" fillId="10" borderId="37" xfId="0" applyFont="1" applyFill="1" applyBorder="1" applyAlignment="1">
      <alignment horizontal="left" wrapText="1"/>
    </xf>
    <xf numFmtId="0" fontId="8" fillId="10" borderId="3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vertical="top" wrapText="1"/>
      <protection locked="0"/>
    </xf>
    <xf numFmtId="0" fontId="13" fillId="0" borderId="1" xfId="0" applyFont="1" applyFill="1" applyBorder="1" applyAlignment="1" applyProtection="1">
      <alignment vertical="top" wrapText="1" readingOrder="1"/>
      <protection locked="0"/>
    </xf>
    <xf numFmtId="166" fontId="13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4" fillId="7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1" fontId="0" fillId="4" borderId="42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1" fontId="18" fillId="7" borderId="1" xfId="0" applyNumberFormat="1" applyFont="1" applyFill="1" applyBorder="1" applyAlignment="1">
      <alignment horizontal="right" vertical="center" wrapText="1"/>
    </xf>
    <xf numFmtId="0" fontId="18" fillId="7" borderId="1" xfId="0" applyFont="1" applyFill="1" applyBorder="1" applyAlignment="1">
      <alignment horizontal="right" vertical="center" wrapText="1"/>
    </xf>
    <xf numFmtId="1" fontId="18" fillId="7" borderId="37" xfId="0" applyNumberFormat="1" applyFont="1" applyFill="1" applyBorder="1" applyAlignment="1">
      <alignment horizontal="right" vertical="center" wrapText="1"/>
    </xf>
    <xf numFmtId="0" fontId="18" fillId="7" borderId="37" xfId="0" applyFont="1" applyFill="1" applyBorder="1" applyAlignment="1">
      <alignment horizontal="right" vertical="center" wrapText="1"/>
    </xf>
    <xf numFmtId="1" fontId="0" fillId="5" borderId="38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3" fontId="6" fillId="4" borderId="43" xfId="0" applyNumberFormat="1" applyFont="1" applyFill="1" applyBorder="1" applyAlignment="1">
      <alignment horizontal="center" vertical="center"/>
    </xf>
    <xf numFmtId="3" fontId="6" fillId="5" borderId="43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/>
    </xf>
    <xf numFmtId="0" fontId="0" fillId="4" borderId="44" xfId="0" applyFill="1" applyBorder="1"/>
    <xf numFmtId="3" fontId="6" fillId="4" borderId="45" xfId="0" applyNumberFormat="1" applyFont="1" applyFill="1" applyBorder="1" applyAlignment="1">
      <alignment horizontal="center" vertical="center"/>
    </xf>
    <xf numFmtId="37" fontId="0" fillId="4" borderId="46" xfId="1" applyNumberFormat="1" applyFont="1" applyFill="1" applyBorder="1" applyAlignment="1">
      <alignment horizontal="center" vertical="center"/>
    </xf>
    <xf numFmtId="3" fontId="0" fillId="5" borderId="45" xfId="0" applyNumberFormat="1" applyFill="1" applyBorder="1" applyAlignment="1">
      <alignment horizontal="center" vertical="center"/>
    </xf>
    <xf numFmtId="37" fontId="0" fillId="5" borderId="40" xfId="1" applyNumberFormat="1" applyFon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1" fontId="0" fillId="4" borderId="46" xfId="1" applyNumberFormat="1" applyFont="1" applyFill="1" applyBorder="1" applyAlignment="1">
      <alignment horizontal="center" vertical="center"/>
    </xf>
    <xf numFmtId="3" fontId="6" fillId="4" borderId="48" xfId="0" applyNumberFormat="1" applyFont="1" applyFill="1" applyBorder="1" applyAlignment="1">
      <alignment horizontal="center" vertical="center"/>
    </xf>
    <xf numFmtId="0" fontId="0" fillId="0" borderId="1" xfId="0" applyBorder="1"/>
    <xf numFmtId="37" fontId="0" fillId="4" borderId="1" xfId="1" applyNumberFormat="1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9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left" wrapText="1"/>
    </xf>
    <xf numFmtId="1" fontId="8" fillId="8" borderId="1" xfId="0" applyNumberFormat="1" applyFont="1" applyFill="1" applyBorder="1" applyAlignment="1">
      <alignment horizontal="right" vertical="center" wrapText="1"/>
    </xf>
    <xf numFmtId="1" fontId="7" fillId="7" borderId="1" xfId="0" applyNumberFormat="1" applyFont="1" applyFill="1" applyBorder="1" applyAlignment="1">
      <alignment horizontal="right"/>
    </xf>
    <xf numFmtId="1" fontId="7" fillId="7" borderId="1" xfId="0" applyNumberFormat="1" applyFont="1" applyFill="1" applyBorder="1" applyAlignment="1">
      <alignment horizontal="right" vertical="center"/>
    </xf>
    <xf numFmtId="0" fontId="20" fillId="13" borderId="37" xfId="0" applyFont="1" applyFill="1" applyBorder="1" applyAlignment="1">
      <alignment horizontal="left" vertical="center" wrapText="1"/>
    </xf>
    <xf numFmtId="0" fontId="7" fillId="13" borderId="37" xfId="0" applyFont="1" applyFill="1" applyBorder="1" applyAlignment="1">
      <alignment horizontal="right"/>
    </xf>
    <xf numFmtId="0" fontId="7" fillId="13" borderId="37" xfId="0" applyFont="1" applyFill="1" applyBorder="1" applyAlignment="1">
      <alignment horizontal="right" vertical="center"/>
    </xf>
    <xf numFmtId="0" fontId="15" fillId="0" borderId="3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right" vertical="center"/>
    </xf>
    <xf numFmtId="1" fontId="0" fillId="5" borderId="22" xfId="0" applyNumberFormat="1" applyFill="1" applyBorder="1"/>
    <xf numFmtId="1" fontId="0" fillId="5" borderId="36" xfId="0" applyNumberFormat="1" applyFill="1" applyBorder="1"/>
    <xf numFmtId="1" fontId="0" fillId="5" borderId="41" xfId="0" applyNumberFormat="1" applyFill="1" applyBorder="1"/>
    <xf numFmtId="0" fontId="2" fillId="0" borderId="0" xfId="0" applyFont="1" applyAlignment="1">
      <alignment horizontal="center" vertical="center" wrapText="1"/>
    </xf>
    <xf numFmtId="0" fontId="0" fillId="5" borderId="20" xfId="0" applyFill="1" applyBorder="1"/>
    <xf numFmtId="0" fontId="0" fillId="0" borderId="10" xfId="0" applyBorder="1"/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37" fontId="0" fillId="5" borderId="21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1" fontId="0" fillId="5" borderId="23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21" xfId="1" applyNumberFormat="1" applyFont="1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4" borderId="14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1" fontId="0" fillId="5" borderId="38" xfId="1" applyNumberFormat="1" applyFont="1" applyFill="1" applyBorder="1" applyAlignment="1">
      <alignment horizontal="center" vertical="center"/>
    </xf>
    <xf numFmtId="37" fontId="0" fillId="5" borderId="23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" fontId="0" fillId="5" borderId="29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4" borderId="29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" fontId="0" fillId="5" borderId="30" xfId="0" applyNumberForma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7" fillId="11" borderId="37" xfId="0" applyFont="1" applyFill="1" applyBorder="1" applyAlignment="1">
      <alignment horizontal="center" vertical="center" wrapText="1"/>
    </xf>
    <xf numFmtId="0" fontId="17" fillId="12" borderId="37" xfId="0" applyFont="1" applyFill="1" applyBorder="1" applyAlignment="1">
      <alignment horizontal="left" vertical="center" wrapText="1"/>
    </xf>
    <xf numFmtId="3" fontId="0" fillId="5" borderId="8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tabSelected="1" zoomScale="70" zoomScaleNormal="70" workbookViewId="0">
      <selection activeCell="Q46" sqref="Q46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59">
        <v>41244</v>
      </c>
      <c r="B1" s="160"/>
      <c r="C1" s="169" t="s">
        <v>52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1"/>
    </row>
    <row r="2" spans="1:14" x14ac:dyDescent="0.25">
      <c r="A2" s="159"/>
      <c r="B2" s="160"/>
      <c r="C2" s="166">
        <f>A1</f>
        <v>41244</v>
      </c>
      <c r="D2" s="167"/>
      <c r="E2" s="167"/>
      <c r="F2" s="167"/>
      <c r="G2" s="167"/>
      <c r="H2" s="168"/>
      <c r="I2" s="172" t="s">
        <v>86</v>
      </c>
      <c r="J2" s="173"/>
      <c r="K2" s="173"/>
      <c r="L2" s="173"/>
      <c r="M2" s="173"/>
      <c r="N2" s="174"/>
    </row>
    <row r="3" spans="1:14" ht="45" x14ac:dyDescent="0.25">
      <c r="A3" s="159"/>
      <c r="B3" s="160"/>
      <c r="C3" s="6" t="s">
        <v>54</v>
      </c>
      <c r="D3" s="7" t="s">
        <v>55</v>
      </c>
      <c r="E3" s="7" t="s">
        <v>56</v>
      </c>
      <c r="F3" s="7" t="s">
        <v>57</v>
      </c>
      <c r="G3" s="28" t="s">
        <v>58</v>
      </c>
      <c r="H3" s="28" t="s">
        <v>59</v>
      </c>
      <c r="I3" s="32" t="s">
        <v>54</v>
      </c>
      <c r="J3" s="32" t="s">
        <v>55</v>
      </c>
      <c r="K3" s="32" t="s">
        <v>56</v>
      </c>
      <c r="L3" s="32" t="s">
        <v>57</v>
      </c>
      <c r="M3" s="32" t="s">
        <v>58</v>
      </c>
      <c r="N3" s="8" t="s">
        <v>59</v>
      </c>
    </row>
    <row r="4" spans="1:14" ht="11.25" customHeight="1" x14ac:dyDescent="0.25">
      <c r="A4" s="161"/>
      <c r="B4" s="162"/>
      <c r="C4" s="19"/>
      <c r="D4" s="10"/>
      <c r="E4" s="10"/>
      <c r="F4" s="10"/>
      <c r="G4" s="29"/>
      <c r="H4" s="29"/>
      <c r="I4" s="33"/>
      <c r="J4" s="33"/>
      <c r="K4" s="151"/>
      <c r="L4" s="151"/>
      <c r="M4" s="151"/>
      <c r="N4" s="20"/>
    </row>
    <row r="5" spans="1:14" x14ac:dyDescent="0.25">
      <c r="A5" s="163" t="s">
        <v>0</v>
      </c>
      <c r="B5" s="9" t="s">
        <v>8</v>
      </c>
      <c r="C5" s="81"/>
      <c r="D5" s="81"/>
      <c r="E5" s="81"/>
      <c r="F5" s="81"/>
      <c r="G5" s="36">
        <f>SUM(C5:F5)</f>
        <v>0</v>
      </c>
      <c r="H5" s="153">
        <f>SUM(C5:F9)</f>
        <v>39</v>
      </c>
      <c r="I5" s="133"/>
      <c r="J5" s="133">
        <v>3</v>
      </c>
      <c r="K5" s="133"/>
      <c r="L5" s="152"/>
      <c r="M5" s="36">
        <f t="shared" ref="M5:M49" si="0">SUM(I5:L5)</f>
        <v>3</v>
      </c>
      <c r="N5" s="156">
        <f>SUM(I5:L9)</f>
        <v>293</v>
      </c>
    </row>
    <row r="6" spans="1:14" x14ac:dyDescent="0.25">
      <c r="A6" s="164"/>
      <c r="B6" s="10" t="s">
        <v>9</v>
      </c>
      <c r="C6" s="81">
        <v>1</v>
      </c>
      <c r="D6" s="81">
        <v>4</v>
      </c>
      <c r="E6" s="81"/>
      <c r="F6" s="81"/>
      <c r="G6" s="36">
        <f t="shared" ref="G6:G49" si="1">SUM(C6:F6)</f>
        <v>5</v>
      </c>
      <c r="H6" s="154"/>
      <c r="I6" s="133">
        <v>2</v>
      </c>
      <c r="J6" s="133">
        <v>27</v>
      </c>
      <c r="K6" s="133"/>
      <c r="L6" s="133">
        <v>1</v>
      </c>
      <c r="M6" s="36">
        <f t="shared" si="0"/>
        <v>30</v>
      </c>
      <c r="N6" s="157"/>
    </row>
    <row r="7" spans="1:14" x14ac:dyDescent="0.25">
      <c r="A7" s="164"/>
      <c r="B7" s="10" t="s">
        <v>10</v>
      </c>
      <c r="C7" s="112"/>
      <c r="D7" s="112"/>
      <c r="E7" s="112"/>
      <c r="F7" s="112"/>
      <c r="G7" s="113">
        <f t="shared" si="1"/>
        <v>0</v>
      </c>
      <c r="H7" s="154"/>
      <c r="I7" s="133"/>
      <c r="J7" s="133"/>
      <c r="K7" s="133"/>
      <c r="L7" s="133"/>
      <c r="M7" s="36">
        <f t="shared" si="0"/>
        <v>0</v>
      </c>
      <c r="N7" s="157"/>
    </row>
    <row r="8" spans="1:14" x14ac:dyDescent="0.25">
      <c r="A8" s="164"/>
      <c r="B8" s="10" t="s">
        <v>11</v>
      </c>
      <c r="C8" s="81">
        <v>2</v>
      </c>
      <c r="D8" s="81">
        <v>23</v>
      </c>
      <c r="E8" s="81"/>
      <c r="F8" s="81">
        <v>8</v>
      </c>
      <c r="G8" s="36">
        <f t="shared" si="1"/>
        <v>33</v>
      </c>
      <c r="H8" s="154"/>
      <c r="I8" s="133">
        <v>54</v>
      </c>
      <c r="J8" s="133">
        <v>151</v>
      </c>
      <c r="K8" s="133">
        <v>1</v>
      </c>
      <c r="L8" s="133">
        <v>44</v>
      </c>
      <c r="M8" s="36">
        <f t="shared" si="0"/>
        <v>250</v>
      </c>
      <c r="N8" s="157"/>
    </row>
    <row r="9" spans="1:14" x14ac:dyDescent="0.25">
      <c r="A9" s="165"/>
      <c r="B9" s="10" t="s">
        <v>12</v>
      </c>
      <c r="C9" s="81"/>
      <c r="D9" s="81">
        <v>1</v>
      </c>
      <c r="E9" s="81"/>
      <c r="F9" s="81"/>
      <c r="G9" s="36">
        <f t="shared" si="1"/>
        <v>1</v>
      </c>
      <c r="H9" s="155"/>
      <c r="I9" s="133">
        <v>2</v>
      </c>
      <c r="J9" s="133">
        <v>7</v>
      </c>
      <c r="K9" s="133"/>
      <c r="L9" s="133">
        <v>1</v>
      </c>
      <c r="M9" s="36">
        <f t="shared" si="0"/>
        <v>10</v>
      </c>
      <c r="N9" s="158"/>
    </row>
    <row r="10" spans="1:14" x14ac:dyDescent="0.25">
      <c r="A10" s="163" t="s">
        <v>1</v>
      </c>
      <c r="B10" s="9" t="s">
        <v>14</v>
      </c>
      <c r="C10" s="81"/>
      <c r="D10" s="81">
        <v>1</v>
      </c>
      <c r="E10" s="81"/>
      <c r="F10" s="81"/>
      <c r="G10" s="36">
        <f t="shared" si="1"/>
        <v>1</v>
      </c>
      <c r="H10" s="153">
        <f>SUM(C10:F14)</f>
        <v>9</v>
      </c>
      <c r="I10" s="133">
        <v>2</v>
      </c>
      <c r="J10" s="133">
        <v>1</v>
      </c>
      <c r="K10" s="133">
        <v>1</v>
      </c>
      <c r="L10" s="133">
        <v>1</v>
      </c>
      <c r="M10" s="36">
        <f t="shared" si="0"/>
        <v>5</v>
      </c>
      <c r="N10" s="156">
        <f>SUM(I10:L14)</f>
        <v>98</v>
      </c>
    </row>
    <row r="11" spans="1:14" x14ac:dyDescent="0.25">
      <c r="A11" s="164"/>
      <c r="B11" s="10" t="s">
        <v>15</v>
      </c>
      <c r="C11" s="81"/>
      <c r="D11" s="81"/>
      <c r="E11" s="81"/>
      <c r="F11" s="81"/>
      <c r="G11" s="36">
        <f t="shared" si="1"/>
        <v>0</v>
      </c>
      <c r="H11" s="154"/>
      <c r="I11" s="133"/>
      <c r="J11" s="133"/>
      <c r="K11" s="133">
        <v>3</v>
      </c>
      <c r="L11" s="133"/>
      <c r="M11" s="36">
        <f t="shared" si="0"/>
        <v>3</v>
      </c>
      <c r="N11" s="157"/>
    </row>
    <row r="12" spans="1:14" x14ac:dyDescent="0.25">
      <c r="A12" s="164"/>
      <c r="B12" s="10" t="s">
        <v>16</v>
      </c>
      <c r="C12" s="81">
        <v>1</v>
      </c>
      <c r="D12" s="81"/>
      <c r="E12" s="81"/>
      <c r="F12" s="81"/>
      <c r="G12" s="36">
        <f t="shared" si="1"/>
        <v>1</v>
      </c>
      <c r="H12" s="154"/>
      <c r="I12" s="133">
        <v>11</v>
      </c>
      <c r="J12" s="133">
        <v>9</v>
      </c>
      <c r="K12" s="133">
        <v>3</v>
      </c>
      <c r="L12" s="133">
        <v>2</v>
      </c>
      <c r="M12" s="36">
        <f t="shared" si="0"/>
        <v>25</v>
      </c>
      <c r="N12" s="157"/>
    </row>
    <row r="13" spans="1:14" x14ac:dyDescent="0.25">
      <c r="A13" s="164"/>
      <c r="B13" s="10" t="s">
        <v>17</v>
      </c>
      <c r="C13" s="81"/>
      <c r="D13" s="81"/>
      <c r="E13" s="81"/>
      <c r="F13" s="81"/>
      <c r="G13" s="36">
        <f t="shared" si="1"/>
        <v>0</v>
      </c>
      <c r="H13" s="154"/>
      <c r="I13" s="133"/>
      <c r="J13" s="133"/>
      <c r="K13" s="133">
        <v>2</v>
      </c>
      <c r="L13" s="133"/>
      <c r="M13" s="36">
        <f t="shared" si="0"/>
        <v>2</v>
      </c>
      <c r="N13" s="157"/>
    </row>
    <row r="14" spans="1:14" x14ac:dyDescent="0.25">
      <c r="A14" s="165"/>
      <c r="B14" s="10" t="s">
        <v>18</v>
      </c>
      <c r="C14" s="81">
        <v>5</v>
      </c>
      <c r="D14" s="81">
        <v>2</v>
      </c>
      <c r="E14" s="81"/>
      <c r="F14" s="81"/>
      <c r="G14" s="36">
        <f t="shared" si="1"/>
        <v>7</v>
      </c>
      <c r="H14" s="155"/>
      <c r="I14" s="133">
        <v>36</v>
      </c>
      <c r="J14" s="133">
        <v>25</v>
      </c>
      <c r="K14" s="133"/>
      <c r="L14" s="133">
        <v>2</v>
      </c>
      <c r="M14" s="36">
        <f t="shared" si="0"/>
        <v>63</v>
      </c>
      <c r="N14" s="158"/>
    </row>
    <row r="15" spans="1:14" x14ac:dyDescent="0.25">
      <c r="A15" s="163" t="s">
        <v>2</v>
      </c>
      <c r="B15" s="9" t="s">
        <v>19</v>
      </c>
      <c r="C15" s="81"/>
      <c r="D15" s="81">
        <v>2</v>
      </c>
      <c r="E15" s="81"/>
      <c r="F15" s="81"/>
      <c r="G15" s="36">
        <f t="shared" si="1"/>
        <v>2</v>
      </c>
      <c r="H15" s="153">
        <f>SUM(C15:F20)</f>
        <v>105</v>
      </c>
      <c r="I15" s="133">
        <v>2</v>
      </c>
      <c r="J15" s="133">
        <v>3</v>
      </c>
      <c r="K15" s="133"/>
      <c r="L15" s="133">
        <v>3</v>
      </c>
      <c r="M15" s="36">
        <f t="shared" si="0"/>
        <v>8</v>
      </c>
      <c r="N15" s="156">
        <f>SUM(I15:L20)</f>
        <v>529</v>
      </c>
    </row>
    <row r="16" spans="1:14" x14ac:dyDescent="0.25">
      <c r="A16" s="164"/>
      <c r="B16" s="10" t="s">
        <v>20</v>
      </c>
      <c r="C16" s="81">
        <v>44</v>
      </c>
      <c r="D16" s="81">
        <v>53</v>
      </c>
      <c r="E16" s="81"/>
      <c r="F16" s="81">
        <v>1</v>
      </c>
      <c r="G16" s="36">
        <f t="shared" si="1"/>
        <v>98</v>
      </c>
      <c r="H16" s="154"/>
      <c r="I16" s="133">
        <v>193</v>
      </c>
      <c r="J16" s="133">
        <v>245</v>
      </c>
      <c r="K16" s="133"/>
      <c r="L16" s="133">
        <v>10</v>
      </c>
      <c r="M16" s="36">
        <f t="shared" si="0"/>
        <v>448</v>
      </c>
      <c r="N16" s="157"/>
    </row>
    <row r="17" spans="1:14" x14ac:dyDescent="0.25">
      <c r="A17" s="164"/>
      <c r="B17" s="10" t="s">
        <v>21</v>
      </c>
      <c r="C17" s="81"/>
      <c r="D17" s="81"/>
      <c r="E17" s="81"/>
      <c r="F17" s="81"/>
      <c r="G17" s="36">
        <f t="shared" si="1"/>
        <v>0</v>
      </c>
      <c r="H17" s="154"/>
      <c r="I17" s="133">
        <v>10</v>
      </c>
      <c r="J17" s="133">
        <v>9</v>
      </c>
      <c r="K17" s="133"/>
      <c r="L17" s="133"/>
      <c r="M17" s="36">
        <f t="shared" si="0"/>
        <v>19</v>
      </c>
      <c r="N17" s="157"/>
    </row>
    <row r="18" spans="1:14" x14ac:dyDescent="0.25">
      <c r="A18" s="164"/>
      <c r="B18" s="10" t="s">
        <v>22</v>
      </c>
      <c r="C18" s="81"/>
      <c r="D18" s="81"/>
      <c r="E18" s="81"/>
      <c r="F18" s="81"/>
      <c r="G18" s="36">
        <f t="shared" si="1"/>
        <v>0</v>
      </c>
      <c r="H18" s="154"/>
      <c r="I18" s="133">
        <v>8</v>
      </c>
      <c r="J18" s="133">
        <v>5</v>
      </c>
      <c r="K18" s="133"/>
      <c r="L18" s="133">
        <v>1</v>
      </c>
      <c r="M18" s="36">
        <f t="shared" si="0"/>
        <v>14</v>
      </c>
      <c r="N18" s="157"/>
    </row>
    <row r="19" spans="1:14" x14ac:dyDescent="0.25">
      <c r="A19" s="164"/>
      <c r="B19" s="10" t="s">
        <v>23</v>
      </c>
      <c r="C19" s="81">
        <v>2</v>
      </c>
      <c r="D19" s="81">
        <v>1</v>
      </c>
      <c r="E19" s="81"/>
      <c r="F19" s="81"/>
      <c r="G19" s="36">
        <f t="shared" si="1"/>
        <v>3</v>
      </c>
      <c r="H19" s="154"/>
      <c r="I19" s="133">
        <v>8</v>
      </c>
      <c r="J19" s="133">
        <v>14</v>
      </c>
      <c r="K19" s="133"/>
      <c r="L19" s="133"/>
      <c r="M19" s="36">
        <f t="shared" si="0"/>
        <v>22</v>
      </c>
      <c r="N19" s="157"/>
    </row>
    <row r="20" spans="1:14" x14ac:dyDescent="0.25">
      <c r="A20" s="165"/>
      <c r="B20" s="10" t="s">
        <v>24</v>
      </c>
      <c r="C20" s="81"/>
      <c r="D20" s="81">
        <v>2</v>
      </c>
      <c r="E20" s="81"/>
      <c r="F20" s="81"/>
      <c r="G20" s="36">
        <f t="shared" si="1"/>
        <v>2</v>
      </c>
      <c r="H20" s="155"/>
      <c r="I20" s="133">
        <v>10</v>
      </c>
      <c r="J20" s="133">
        <v>8</v>
      </c>
      <c r="K20" s="133"/>
      <c r="L20" s="133"/>
      <c r="M20" s="36">
        <f t="shared" si="0"/>
        <v>18</v>
      </c>
      <c r="N20" s="158"/>
    </row>
    <row r="21" spans="1:14" x14ac:dyDescent="0.25">
      <c r="A21" s="163" t="s">
        <v>3</v>
      </c>
      <c r="B21" s="9" t="s">
        <v>25</v>
      </c>
      <c r="C21" s="81">
        <v>95</v>
      </c>
      <c r="D21" s="81">
        <v>67</v>
      </c>
      <c r="E21" s="81">
        <v>11</v>
      </c>
      <c r="F21" s="81">
        <v>1</v>
      </c>
      <c r="G21" s="36">
        <f t="shared" si="1"/>
        <v>174</v>
      </c>
      <c r="H21" s="153">
        <f>SUM(C21:F24)</f>
        <v>179</v>
      </c>
      <c r="I21" s="133">
        <v>542</v>
      </c>
      <c r="J21" s="133">
        <v>341</v>
      </c>
      <c r="K21" s="133">
        <v>61</v>
      </c>
      <c r="L21" s="133">
        <v>3</v>
      </c>
      <c r="M21" s="36">
        <f t="shared" si="0"/>
        <v>947</v>
      </c>
      <c r="N21" s="156">
        <f>SUM(I21:L24)</f>
        <v>987</v>
      </c>
    </row>
    <row r="22" spans="1:14" x14ac:dyDescent="0.25">
      <c r="A22" s="164"/>
      <c r="B22" s="10" t="s">
        <v>26</v>
      </c>
      <c r="C22" s="81"/>
      <c r="D22" s="81">
        <v>3</v>
      </c>
      <c r="E22" s="81"/>
      <c r="F22" s="81"/>
      <c r="G22" s="36">
        <f t="shared" si="1"/>
        <v>3</v>
      </c>
      <c r="H22" s="154"/>
      <c r="I22" s="133"/>
      <c r="J22" s="133">
        <v>5</v>
      </c>
      <c r="K22" s="133"/>
      <c r="L22" s="133"/>
      <c r="M22" s="36">
        <f t="shared" si="0"/>
        <v>5</v>
      </c>
      <c r="N22" s="157"/>
    </row>
    <row r="23" spans="1:14" x14ac:dyDescent="0.25">
      <c r="A23" s="164"/>
      <c r="B23" s="10" t="s">
        <v>27</v>
      </c>
      <c r="C23" s="81"/>
      <c r="D23" s="81">
        <v>1</v>
      </c>
      <c r="E23" s="81">
        <v>1</v>
      </c>
      <c r="F23" s="81"/>
      <c r="G23" s="36">
        <f t="shared" si="1"/>
        <v>2</v>
      </c>
      <c r="H23" s="154"/>
      <c r="I23" s="133">
        <v>9</v>
      </c>
      <c r="J23" s="133">
        <v>18</v>
      </c>
      <c r="K23" s="133">
        <v>3</v>
      </c>
      <c r="L23" s="133"/>
      <c r="M23" s="36">
        <f t="shared" si="0"/>
        <v>30</v>
      </c>
      <c r="N23" s="157"/>
    </row>
    <row r="24" spans="1:14" x14ac:dyDescent="0.25">
      <c r="A24" s="165"/>
      <c r="B24" s="10" t="s">
        <v>28</v>
      </c>
      <c r="C24" s="81"/>
      <c r="D24" s="81"/>
      <c r="E24" s="81"/>
      <c r="F24" s="81"/>
      <c r="G24" s="36">
        <f t="shared" si="1"/>
        <v>0</v>
      </c>
      <c r="H24" s="155"/>
      <c r="I24" s="133">
        <v>3</v>
      </c>
      <c r="J24" s="133">
        <v>2</v>
      </c>
      <c r="K24" s="133"/>
      <c r="L24" s="133"/>
      <c r="M24" s="36">
        <f t="shared" si="0"/>
        <v>5</v>
      </c>
      <c r="N24" s="158"/>
    </row>
    <row r="25" spans="1:14" x14ac:dyDescent="0.25">
      <c r="A25" s="163" t="s">
        <v>4</v>
      </c>
      <c r="B25" s="9" t="s">
        <v>29</v>
      </c>
      <c r="C25" s="81">
        <v>1</v>
      </c>
      <c r="D25" s="81"/>
      <c r="E25" s="81"/>
      <c r="F25" s="81"/>
      <c r="G25" s="36">
        <f t="shared" si="1"/>
        <v>1</v>
      </c>
      <c r="H25" s="153">
        <f>SUM(C25:F32)</f>
        <v>37</v>
      </c>
      <c r="I25" s="133">
        <v>15</v>
      </c>
      <c r="J25" s="133">
        <v>1</v>
      </c>
      <c r="K25" s="133"/>
      <c r="L25" s="133"/>
      <c r="M25" s="36">
        <f t="shared" si="0"/>
        <v>16</v>
      </c>
      <c r="N25" s="156">
        <f>SUM(I25:L32)</f>
        <v>264</v>
      </c>
    </row>
    <row r="26" spans="1:14" x14ac:dyDescent="0.25">
      <c r="A26" s="164"/>
      <c r="B26" s="10" t="s">
        <v>30</v>
      </c>
      <c r="C26" s="81"/>
      <c r="D26" s="81"/>
      <c r="E26" s="81"/>
      <c r="F26" s="81"/>
      <c r="G26" s="36">
        <f t="shared" si="1"/>
        <v>0</v>
      </c>
      <c r="H26" s="154"/>
      <c r="I26" s="133"/>
      <c r="J26" s="133">
        <v>1</v>
      </c>
      <c r="K26" s="133"/>
      <c r="L26" s="133"/>
      <c r="M26" s="36">
        <f t="shared" si="0"/>
        <v>1</v>
      </c>
      <c r="N26" s="157"/>
    </row>
    <row r="27" spans="1:14" x14ac:dyDescent="0.25">
      <c r="A27" s="164"/>
      <c r="B27" s="10" t="s">
        <v>31</v>
      </c>
      <c r="C27" s="81">
        <v>2</v>
      </c>
      <c r="D27" s="81">
        <v>2</v>
      </c>
      <c r="E27" s="81"/>
      <c r="F27" s="81"/>
      <c r="G27" s="36">
        <f t="shared" si="1"/>
        <v>4</v>
      </c>
      <c r="H27" s="154"/>
      <c r="I27" s="133">
        <v>14</v>
      </c>
      <c r="J27" s="133">
        <v>6</v>
      </c>
      <c r="K27" s="133"/>
      <c r="L27" s="133">
        <v>1</v>
      </c>
      <c r="M27" s="36">
        <f t="shared" si="0"/>
        <v>21</v>
      </c>
      <c r="N27" s="157"/>
    </row>
    <row r="28" spans="1:14" x14ac:dyDescent="0.25">
      <c r="A28" s="164"/>
      <c r="B28" s="10" t="s">
        <v>32</v>
      </c>
      <c r="C28" s="81"/>
      <c r="D28" s="81"/>
      <c r="E28" s="81"/>
      <c r="F28" s="81"/>
      <c r="G28" s="36">
        <f t="shared" si="1"/>
        <v>0</v>
      </c>
      <c r="H28" s="154"/>
      <c r="I28" s="133">
        <v>8</v>
      </c>
      <c r="J28" s="133">
        <v>4</v>
      </c>
      <c r="K28" s="133"/>
      <c r="L28" s="133"/>
      <c r="M28" s="36">
        <f t="shared" si="0"/>
        <v>12</v>
      </c>
      <c r="N28" s="157"/>
    </row>
    <row r="29" spans="1:14" x14ac:dyDescent="0.25">
      <c r="A29" s="164"/>
      <c r="B29" s="10" t="s">
        <v>33</v>
      </c>
      <c r="C29" s="81">
        <v>1</v>
      </c>
      <c r="D29" s="81"/>
      <c r="E29" s="81"/>
      <c r="F29" s="81"/>
      <c r="G29" s="36">
        <f t="shared" si="1"/>
        <v>1</v>
      </c>
      <c r="H29" s="154"/>
      <c r="I29" s="133">
        <v>9</v>
      </c>
      <c r="J29" s="133">
        <v>4</v>
      </c>
      <c r="K29" s="133"/>
      <c r="L29" s="133"/>
      <c r="M29" s="36">
        <f t="shared" si="0"/>
        <v>13</v>
      </c>
      <c r="N29" s="157"/>
    </row>
    <row r="30" spans="1:14" x14ac:dyDescent="0.25">
      <c r="A30" s="164"/>
      <c r="B30" s="10" t="s">
        <v>69</v>
      </c>
      <c r="C30" s="81">
        <v>1</v>
      </c>
      <c r="D30" s="81">
        <v>2</v>
      </c>
      <c r="E30" s="81"/>
      <c r="F30" s="81"/>
      <c r="G30" s="36">
        <f t="shared" si="1"/>
        <v>3</v>
      </c>
      <c r="H30" s="154"/>
      <c r="I30" s="133">
        <v>7</v>
      </c>
      <c r="J30" s="133">
        <v>3</v>
      </c>
      <c r="K30" s="133"/>
      <c r="L30" s="133"/>
      <c r="M30" s="36">
        <f t="shared" si="0"/>
        <v>10</v>
      </c>
      <c r="N30" s="157"/>
    </row>
    <row r="31" spans="1:14" x14ac:dyDescent="0.25">
      <c r="A31" s="164"/>
      <c r="B31" s="10" t="s">
        <v>34</v>
      </c>
      <c r="C31" s="81">
        <v>2</v>
      </c>
      <c r="D31" s="81"/>
      <c r="E31" s="81"/>
      <c r="F31" s="81"/>
      <c r="G31" s="36">
        <f t="shared" si="1"/>
        <v>2</v>
      </c>
      <c r="H31" s="154"/>
      <c r="I31" s="133">
        <v>12</v>
      </c>
      <c r="J31" s="133">
        <v>4</v>
      </c>
      <c r="K31" s="133"/>
      <c r="L31" s="133"/>
      <c r="M31" s="36">
        <f t="shared" si="0"/>
        <v>16</v>
      </c>
      <c r="N31" s="157"/>
    </row>
    <row r="32" spans="1:14" x14ac:dyDescent="0.25">
      <c r="A32" s="165"/>
      <c r="B32" s="10" t="s">
        <v>35</v>
      </c>
      <c r="C32" s="81">
        <v>22</v>
      </c>
      <c r="D32" s="81">
        <v>4</v>
      </c>
      <c r="E32" s="81"/>
      <c r="F32" s="81"/>
      <c r="G32" s="36">
        <f t="shared" si="1"/>
        <v>26</v>
      </c>
      <c r="H32" s="155"/>
      <c r="I32" s="133">
        <v>139</v>
      </c>
      <c r="J32" s="133">
        <v>35</v>
      </c>
      <c r="K32" s="133"/>
      <c r="L32" s="133">
        <v>1</v>
      </c>
      <c r="M32" s="36">
        <f t="shared" si="0"/>
        <v>175</v>
      </c>
      <c r="N32" s="158"/>
    </row>
    <row r="33" spans="1:14" x14ac:dyDescent="0.25">
      <c r="A33" s="163" t="s">
        <v>5</v>
      </c>
      <c r="B33" s="9" t="s">
        <v>36</v>
      </c>
      <c r="C33" s="81">
        <v>18</v>
      </c>
      <c r="D33" s="81">
        <v>1</v>
      </c>
      <c r="E33" s="81"/>
      <c r="F33" s="81"/>
      <c r="G33" s="36">
        <f t="shared" si="1"/>
        <v>19</v>
      </c>
      <c r="H33" s="153">
        <f>SUM(C33:F38)</f>
        <v>23</v>
      </c>
      <c r="I33" s="133">
        <v>100</v>
      </c>
      <c r="J33" s="133">
        <v>9</v>
      </c>
      <c r="K33" s="133"/>
      <c r="L33" s="133">
        <v>11</v>
      </c>
      <c r="M33" s="36">
        <f t="shared" si="0"/>
        <v>120</v>
      </c>
      <c r="N33" s="156">
        <f>SUM(I33:L38)</f>
        <v>135</v>
      </c>
    </row>
    <row r="34" spans="1:14" x14ac:dyDescent="0.25">
      <c r="A34" s="164"/>
      <c r="B34" s="10" t="s">
        <v>37</v>
      </c>
      <c r="C34" s="81">
        <v>1</v>
      </c>
      <c r="D34" s="81"/>
      <c r="E34" s="81"/>
      <c r="F34" s="81"/>
      <c r="G34" s="36">
        <f t="shared" si="1"/>
        <v>1</v>
      </c>
      <c r="H34" s="154"/>
      <c r="I34" s="133">
        <v>1</v>
      </c>
      <c r="J34" s="133"/>
      <c r="K34" s="133"/>
      <c r="L34" s="133"/>
      <c r="M34" s="36">
        <f t="shared" si="0"/>
        <v>1</v>
      </c>
      <c r="N34" s="157"/>
    </row>
    <row r="35" spans="1:14" x14ac:dyDescent="0.25">
      <c r="A35" s="164"/>
      <c r="B35" s="10" t="s">
        <v>38</v>
      </c>
      <c r="C35" s="81"/>
      <c r="D35" s="81"/>
      <c r="E35" s="81"/>
      <c r="F35" s="81"/>
      <c r="G35" s="36">
        <f t="shared" si="1"/>
        <v>0</v>
      </c>
      <c r="H35" s="154"/>
      <c r="I35" s="133"/>
      <c r="J35" s="133"/>
      <c r="K35" s="133"/>
      <c r="L35" s="133"/>
      <c r="M35" s="36">
        <f t="shared" si="0"/>
        <v>0</v>
      </c>
      <c r="N35" s="157"/>
    </row>
    <row r="36" spans="1:14" x14ac:dyDescent="0.25">
      <c r="A36" s="164"/>
      <c r="B36" s="10" t="s">
        <v>39</v>
      </c>
      <c r="C36" s="81"/>
      <c r="D36" s="81">
        <v>1</v>
      </c>
      <c r="E36" s="81"/>
      <c r="F36" s="81"/>
      <c r="G36" s="36">
        <f t="shared" si="1"/>
        <v>1</v>
      </c>
      <c r="H36" s="154"/>
      <c r="I36" s="133">
        <v>1</v>
      </c>
      <c r="J36" s="133">
        <v>5</v>
      </c>
      <c r="K36" s="133"/>
      <c r="L36" s="133">
        <v>1</v>
      </c>
      <c r="M36" s="36">
        <f t="shared" si="0"/>
        <v>7</v>
      </c>
      <c r="N36" s="157"/>
    </row>
    <row r="37" spans="1:14" x14ac:dyDescent="0.25">
      <c r="A37" s="164"/>
      <c r="B37" s="10" t="s">
        <v>40</v>
      </c>
      <c r="C37" s="81"/>
      <c r="D37" s="81"/>
      <c r="E37" s="81"/>
      <c r="F37" s="81"/>
      <c r="G37" s="36">
        <f t="shared" si="1"/>
        <v>0</v>
      </c>
      <c r="H37" s="154"/>
      <c r="I37" s="133"/>
      <c r="J37" s="133">
        <v>1</v>
      </c>
      <c r="K37" s="133"/>
      <c r="L37" s="133"/>
      <c r="M37" s="36">
        <f t="shared" si="0"/>
        <v>1</v>
      </c>
      <c r="N37" s="157"/>
    </row>
    <row r="38" spans="1:14" x14ac:dyDescent="0.25">
      <c r="A38" s="165"/>
      <c r="B38" s="10" t="s">
        <v>41</v>
      </c>
      <c r="C38" s="81">
        <v>1</v>
      </c>
      <c r="D38" s="81">
        <v>1</v>
      </c>
      <c r="E38" s="81"/>
      <c r="F38" s="81"/>
      <c r="G38" s="36">
        <f t="shared" si="1"/>
        <v>2</v>
      </c>
      <c r="H38" s="155"/>
      <c r="I38" s="133">
        <v>4</v>
      </c>
      <c r="J38" s="133">
        <v>1</v>
      </c>
      <c r="K38" s="133"/>
      <c r="L38" s="133">
        <v>1</v>
      </c>
      <c r="M38" s="36">
        <f t="shared" si="0"/>
        <v>6</v>
      </c>
      <c r="N38" s="158"/>
    </row>
    <row r="39" spans="1:14" x14ac:dyDescent="0.25">
      <c r="A39" s="163" t="s">
        <v>6</v>
      </c>
      <c r="B39" s="9" t="s">
        <v>42</v>
      </c>
      <c r="C39" s="81"/>
      <c r="D39" s="81">
        <v>1</v>
      </c>
      <c r="E39" s="81"/>
      <c r="F39" s="81">
        <v>6</v>
      </c>
      <c r="G39" s="36">
        <f t="shared" si="1"/>
        <v>7</v>
      </c>
      <c r="H39" s="153">
        <f>SUM(C39:F48)</f>
        <v>31</v>
      </c>
      <c r="I39" s="133">
        <v>8</v>
      </c>
      <c r="J39" s="133">
        <v>2</v>
      </c>
      <c r="K39" s="133"/>
      <c r="L39" s="133">
        <v>39</v>
      </c>
      <c r="M39" s="36">
        <f t="shared" si="0"/>
        <v>49</v>
      </c>
      <c r="N39" s="156">
        <f>SUM(I39:L48)</f>
        <v>209</v>
      </c>
    </row>
    <row r="40" spans="1:14" x14ac:dyDescent="0.25">
      <c r="A40" s="164"/>
      <c r="B40" s="10" t="s">
        <v>43</v>
      </c>
      <c r="C40" s="81"/>
      <c r="D40" s="81">
        <v>3</v>
      </c>
      <c r="E40" s="81"/>
      <c r="F40" s="81">
        <v>12</v>
      </c>
      <c r="G40" s="36">
        <f t="shared" si="1"/>
        <v>15</v>
      </c>
      <c r="H40" s="154"/>
      <c r="I40" s="133">
        <v>6</v>
      </c>
      <c r="J40" s="133">
        <v>15</v>
      </c>
      <c r="K40" s="133"/>
      <c r="L40" s="133">
        <v>85</v>
      </c>
      <c r="M40" s="36">
        <f t="shared" si="0"/>
        <v>106</v>
      </c>
      <c r="N40" s="157"/>
    </row>
    <row r="41" spans="1:14" x14ac:dyDescent="0.25">
      <c r="A41" s="164"/>
      <c r="B41" s="10" t="s">
        <v>44</v>
      </c>
      <c r="C41" s="81"/>
      <c r="D41" s="81"/>
      <c r="E41" s="81"/>
      <c r="F41" s="81"/>
      <c r="G41" s="36">
        <f t="shared" si="1"/>
        <v>0</v>
      </c>
      <c r="H41" s="154"/>
      <c r="I41" s="133"/>
      <c r="J41" s="133"/>
      <c r="K41" s="133"/>
      <c r="L41" s="133"/>
      <c r="M41" s="36">
        <f t="shared" si="0"/>
        <v>0</v>
      </c>
      <c r="N41" s="157"/>
    </row>
    <row r="42" spans="1:14" x14ac:dyDescent="0.25">
      <c r="A42" s="164"/>
      <c r="B42" s="10" t="s">
        <v>45</v>
      </c>
      <c r="C42" s="81"/>
      <c r="D42" s="81"/>
      <c r="E42" s="81"/>
      <c r="F42" s="81"/>
      <c r="G42" s="36">
        <f t="shared" si="1"/>
        <v>0</v>
      </c>
      <c r="H42" s="154"/>
      <c r="I42" s="133"/>
      <c r="J42" s="133"/>
      <c r="K42" s="133"/>
      <c r="L42" s="133"/>
      <c r="M42" s="36">
        <f t="shared" si="0"/>
        <v>0</v>
      </c>
      <c r="N42" s="157"/>
    </row>
    <row r="43" spans="1:14" x14ac:dyDescent="0.25">
      <c r="A43" s="164"/>
      <c r="B43" s="10" t="s">
        <v>46</v>
      </c>
      <c r="C43" s="81"/>
      <c r="D43" s="81"/>
      <c r="E43" s="81"/>
      <c r="F43" s="81"/>
      <c r="G43" s="36">
        <f t="shared" si="1"/>
        <v>0</v>
      </c>
      <c r="H43" s="154"/>
      <c r="I43" s="133"/>
      <c r="J43" s="133"/>
      <c r="K43" s="133"/>
      <c r="L43" s="133">
        <v>1</v>
      </c>
      <c r="M43" s="36">
        <f t="shared" si="0"/>
        <v>1</v>
      </c>
      <c r="N43" s="157"/>
    </row>
    <row r="44" spans="1:14" x14ac:dyDescent="0.25">
      <c r="A44" s="164"/>
      <c r="B44" s="10" t="s">
        <v>47</v>
      </c>
      <c r="C44" s="81"/>
      <c r="D44" s="81"/>
      <c r="E44" s="81"/>
      <c r="F44" s="81">
        <v>2</v>
      </c>
      <c r="G44" s="36">
        <f t="shared" si="1"/>
        <v>2</v>
      </c>
      <c r="H44" s="154"/>
      <c r="I44" s="133"/>
      <c r="J44" s="133">
        <v>2</v>
      </c>
      <c r="K44" s="133"/>
      <c r="L44" s="133">
        <v>5</v>
      </c>
      <c r="M44" s="36">
        <f t="shared" si="0"/>
        <v>7</v>
      </c>
      <c r="N44" s="157"/>
    </row>
    <row r="45" spans="1:14" x14ac:dyDescent="0.25">
      <c r="A45" s="164"/>
      <c r="B45" s="10" t="s">
        <v>48</v>
      </c>
      <c r="C45" s="81"/>
      <c r="D45" s="81"/>
      <c r="E45" s="81"/>
      <c r="F45" s="81">
        <v>3</v>
      </c>
      <c r="G45" s="36">
        <f t="shared" si="1"/>
        <v>3</v>
      </c>
      <c r="H45" s="154"/>
      <c r="I45" s="133">
        <v>3</v>
      </c>
      <c r="J45" s="133">
        <v>1</v>
      </c>
      <c r="K45" s="133"/>
      <c r="L45" s="133">
        <v>11</v>
      </c>
      <c r="M45" s="36">
        <f t="shared" si="0"/>
        <v>15</v>
      </c>
      <c r="N45" s="157"/>
    </row>
    <row r="46" spans="1:14" x14ac:dyDescent="0.25">
      <c r="A46" s="164"/>
      <c r="B46" s="10" t="s">
        <v>49</v>
      </c>
      <c r="C46" s="81"/>
      <c r="D46" s="81"/>
      <c r="E46" s="81"/>
      <c r="F46" s="81">
        <v>1</v>
      </c>
      <c r="G46" s="36">
        <f t="shared" si="1"/>
        <v>1</v>
      </c>
      <c r="H46" s="154"/>
      <c r="I46" s="133">
        <v>1</v>
      </c>
      <c r="J46" s="133">
        <v>2</v>
      </c>
      <c r="K46" s="133"/>
      <c r="L46" s="133">
        <v>6</v>
      </c>
      <c r="M46" s="36">
        <f t="shared" si="0"/>
        <v>9</v>
      </c>
      <c r="N46" s="157"/>
    </row>
    <row r="47" spans="1:14" x14ac:dyDescent="0.25">
      <c r="A47" s="164"/>
      <c r="B47" s="10" t="s">
        <v>50</v>
      </c>
      <c r="C47" s="81"/>
      <c r="D47" s="81"/>
      <c r="E47" s="81"/>
      <c r="F47" s="81">
        <v>1</v>
      </c>
      <c r="G47" s="36">
        <f t="shared" si="1"/>
        <v>1</v>
      </c>
      <c r="H47" s="154"/>
      <c r="I47" s="133">
        <v>3</v>
      </c>
      <c r="J47" s="133"/>
      <c r="K47" s="133"/>
      <c r="L47" s="133">
        <v>14</v>
      </c>
      <c r="M47" s="36">
        <f t="shared" si="0"/>
        <v>17</v>
      </c>
      <c r="N47" s="157"/>
    </row>
    <row r="48" spans="1:14" x14ac:dyDescent="0.25">
      <c r="A48" s="165"/>
      <c r="B48" s="10" t="s">
        <v>51</v>
      </c>
      <c r="C48" s="81"/>
      <c r="D48" s="81">
        <v>1</v>
      </c>
      <c r="E48" s="81"/>
      <c r="F48" s="81">
        <v>1</v>
      </c>
      <c r="G48" s="36">
        <f t="shared" si="1"/>
        <v>2</v>
      </c>
      <c r="H48" s="155"/>
      <c r="I48" s="133"/>
      <c r="J48" s="133">
        <v>2</v>
      </c>
      <c r="K48" s="133"/>
      <c r="L48" s="133">
        <v>3</v>
      </c>
      <c r="M48" s="36">
        <f t="shared" si="0"/>
        <v>5</v>
      </c>
      <c r="N48" s="158"/>
    </row>
    <row r="49" spans="1:14" x14ac:dyDescent="0.25">
      <c r="A49" s="11" t="s">
        <v>72</v>
      </c>
      <c r="B49" s="79"/>
      <c r="C49" s="81">
        <v>1</v>
      </c>
      <c r="D49" s="81"/>
      <c r="E49" s="81"/>
      <c r="F49" s="81"/>
      <c r="G49" s="36">
        <f t="shared" si="1"/>
        <v>1</v>
      </c>
      <c r="H49" s="89">
        <f>G49</f>
        <v>1</v>
      </c>
      <c r="I49" s="133">
        <v>6</v>
      </c>
      <c r="J49" s="133"/>
      <c r="K49" s="133"/>
      <c r="L49" s="133"/>
      <c r="M49" s="36">
        <f t="shared" si="0"/>
        <v>6</v>
      </c>
      <c r="N49" s="30">
        <f>M49</f>
        <v>6</v>
      </c>
    </row>
    <row r="50" spans="1:14" x14ac:dyDescent="0.25">
      <c r="A50" s="4" t="s">
        <v>7</v>
      </c>
      <c r="B50" s="80"/>
      <c r="C50" s="74">
        <f>SUM(C5:C49)</f>
        <v>200</v>
      </c>
      <c r="D50" s="74">
        <f>SUM(D5:D49)</f>
        <v>176</v>
      </c>
      <c r="E50" s="74">
        <f>SUM(E5:E49)</f>
        <v>12</v>
      </c>
      <c r="F50" s="74">
        <f>SUM(F5:F49)</f>
        <v>36</v>
      </c>
      <c r="G50" s="74">
        <f t="shared" ref="G50" si="2">SUM(G5:G49)</f>
        <v>424</v>
      </c>
      <c r="H50" s="18">
        <f>SUM(H5:H49)</f>
        <v>424</v>
      </c>
      <c r="I50" s="74">
        <f t="shared" ref="I50:L50" si="3">SUM(I5:I49)</f>
        <v>1229</v>
      </c>
      <c r="J50" s="74">
        <f t="shared" si="3"/>
        <v>971</v>
      </c>
      <c r="K50" s="74">
        <f t="shared" si="3"/>
        <v>74</v>
      </c>
      <c r="L50" s="74">
        <f t="shared" si="3"/>
        <v>247</v>
      </c>
      <c r="M50" s="74">
        <f t="shared" ref="M50" si="4">SUM(M5:M49)</f>
        <v>2521</v>
      </c>
      <c r="N50" s="31">
        <f>SUM(N5:N49)</f>
        <v>2521</v>
      </c>
    </row>
    <row r="52" spans="1:14" x14ac:dyDescent="0.25">
      <c r="C52" s="88"/>
      <c r="D52" s="88"/>
      <c r="E52" s="88"/>
      <c r="F52" s="88"/>
    </row>
  </sheetData>
  <sheetProtection password="8A47" sheet="1" objects="1" scenarios="1"/>
  <mergeCells count="25">
    <mergeCell ref="C2:H2"/>
    <mergeCell ref="C1:N1"/>
    <mergeCell ref="H5:H9"/>
    <mergeCell ref="N5:N9"/>
    <mergeCell ref="H33:H38"/>
    <mergeCell ref="H25:H32"/>
    <mergeCell ref="H21:H24"/>
    <mergeCell ref="H15:H20"/>
    <mergeCell ref="I2:N2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110"/>
  <sheetViews>
    <sheetView topLeftCell="B3" zoomScale="70" zoomScaleNormal="70" workbookViewId="0">
      <selection activeCell="AA26" sqref="AA26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4" ht="34.5" customHeight="1" thickBot="1" x14ac:dyDescent="0.3">
      <c r="A1" s="175">
        <f>Holds!A1</f>
        <v>41244</v>
      </c>
      <c r="B1" s="176"/>
      <c r="C1" s="221" t="s">
        <v>62</v>
      </c>
      <c r="D1" s="222"/>
      <c r="E1" s="222"/>
      <c r="F1" s="222"/>
      <c r="G1" s="222"/>
      <c r="H1" s="222"/>
      <c r="I1" s="222"/>
      <c r="J1" s="222"/>
      <c r="K1" s="223"/>
      <c r="N1" s="210" t="s">
        <v>64</v>
      </c>
      <c r="O1" s="211"/>
      <c r="P1" s="211"/>
      <c r="Q1" s="211"/>
      <c r="R1" s="211"/>
      <c r="S1" s="211"/>
      <c r="T1" s="211"/>
      <c r="U1" s="211"/>
      <c r="V1" s="212"/>
    </row>
    <row r="2" spans="1:24" ht="45.75" customHeight="1" thickBot="1" x14ac:dyDescent="0.3">
      <c r="A2" s="175"/>
      <c r="B2" s="177"/>
      <c r="C2" s="214" t="s">
        <v>75</v>
      </c>
      <c r="D2" s="215"/>
      <c r="E2" s="215"/>
      <c r="F2" s="216"/>
      <c r="G2" s="35"/>
      <c r="H2" s="214" t="s">
        <v>76</v>
      </c>
      <c r="I2" s="215"/>
      <c r="J2" s="215"/>
      <c r="K2" s="216"/>
      <c r="N2" s="207" t="s">
        <v>63</v>
      </c>
      <c r="O2" s="208"/>
      <c r="P2" s="208"/>
      <c r="Q2" s="209"/>
      <c r="S2" s="207" t="s">
        <v>65</v>
      </c>
      <c r="T2" s="208"/>
      <c r="U2" s="208"/>
      <c r="V2" s="209"/>
    </row>
    <row r="3" spans="1:24" s="2" customFormat="1" ht="62.25" customHeight="1" thickBot="1" x14ac:dyDescent="0.3">
      <c r="A3" s="175"/>
      <c r="B3" s="177"/>
      <c r="C3" s="219">
        <f>A1</f>
        <v>41244</v>
      </c>
      <c r="D3" s="220"/>
      <c r="E3" s="217" t="s">
        <v>101</v>
      </c>
      <c r="F3" s="218"/>
      <c r="G3" s="34"/>
      <c r="H3" s="219">
        <f>A1</f>
        <v>41244</v>
      </c>
      <c r="I3" s="220"/>
      <c r="J3" s="217" t="s">
        <v>101</v>
      </c>
      <c r="K3" s="218"/>
      <c r="L3"/>
      <c r="N3" s="224">
        <f>A1</f>
        <v>41244</v>
      </c>
      <c r="O3" s="225"/>
      <c r="P3" s="217" t="s">
        <v>101</v>
      </c>
      <c r="Q3" s="218"/>
      <c r="S3" s="226">
        <f>A1</f>
        <v>41244</v>
      </c>
      <c r="T3" s="227"/>
      <c r="U3" s="228" t="s">
        <v>101</v>
      </c>
      <c r="V3" s="229"/>
    </row>
    <row r="4" spans="1:24" s="3" customFormat="1" ht="32.25" customHeight="1" thickBot="1" x14ac:dyDescent="0.3">
      <c r="A4" s="178"/>
      <c r="B4" s="177"/>
      <c r="C4" s="41" t="s">
        <v>58</v>
      </c>
      <c r="D4" s="41" t="s">
        <v>59</v>
      </c>
      <c r="E4" s="37" t="s">
        <v>58</v>
      </c>
      <c r="F4" s="40" t="s">
        <v>59</v>
      </c>
      <c r="G4" s="42"/>
      <c r="H4" s="41" t="s">
        <v>58</v>
      </c>
      <c r="I4" s="38" t="s">
        <v>59</v>
      </c>
      <c r="J4" s="40" t="s">
        <v>58</v>
      </c>
      <c r="K4" s="40" t="s">
        <v>59</v>
      </c>
      <c r="L4" s="1"/>
      <c r="M4" s="55"/>
      <c r="N4" s="49" t="s">
        <v>70</v>
      </c>
      <c r="O4" s="54" t="s">
        <v>71</v>
      </c>
      <c r="P4" s="50" t="s">
        <v>70</v>
      </c>
      <c r="Q4" s="51" t="s">
        <v>71</v>
      </c>
      <c r="S4" s="59" t="s">
        <v>70</v>
      </c>
      <c r="T4" s="60" t="s">
        <v>71</v>
      </c>
      <c r="U4" s="57" t="s">
        <v>70</v>
      </c>
      <c r="V4" s="58" t="s">
        <v>71</v>
      </c>
    </row>
    <row r="5" spans="1:24" x14ac:dyDescent="0.25">
      <c r="A5" s="163" t="s">
        <v>0</v>
      </c>
      <c r="B5" s="45" t="s">
        <v>8</v>
      </c>
      <c r="C5" s="82"/>
      <c r="D5" s="184">
        <f>SUM(C5:C9)</f>
        <v>9</v>
      </c>
      <c r="E5" s="85"/>
      <c r="F5" s="179">
        <f>SUM(E5:E9)</f>
        <v>62</v>
      </c>
      <c r="G5" s="39"/>
      <c r="H5" s="82">
        <v>4</v>
      </c>
      <c r="I5" s="186">
        <f>SUM(H5:H9)</f>
        <v>66</v>
      </c>
      <c r="J5" s="85">
        <v>14</v>
      </c>
      <c r="K5" s="188">
        <f>SUM(J5:J9)</f>
        <v>426</v>
      </c>
      <c r="L5" s="1"/>
      <c r="M5" s="1"/>
      <c r="N5" s="204">
        <v>5</v>
      </c>
      <c r="O5" s="204">
        <v>2</v>
      </c>
      <c r="P5" s="199">
        <v>40</v>
      </c>
      <c r="Q5" s="199">
        <v>44</v>
      </c>
      <c r="R5" s="52"/>
      <c r="S5" s="204">
        <v>13</v>
      </c>
      <c r="T5" s="204">
        <v>11</v>
      </c>
      <c r="U5" s="199">
        <v>119</v>
      </c>
      <c r="V5" s="199">
        <v>143</v>
      </c>
      <c r="X5" s="150"/>
    </row>
    <row r="6" spans="1:24" x14ac:dyDescent="0.25">
      <c r="A6" s="164"/>
      <c r="B6" s="46" t="s">
        <v>9</v>
      </c>
      <c r="C6" s="82">
        <v>2</v>
      </c>
      <c r="D6" s="185"/>
      <c r="E6" s="85">
        <v>9</v>
      </c>
      <c r="F6" s="180"/>
      <c r="G6" s="39"/>
      <c r="H6" s="82">
        <v>8</v>
      </c>
      <c r="I6" s="186"/>
      <c r="J6" s="85">
        <v>59</v>
      </c>
      <c r="K6" s="182"/>
      <c r="L6" s="1"/>
      <c r="M6" s="1"/>
      <c r="N6" s="205"/>
      <c r="O6" s="205"/>
      <c r="P6" s="203"/>
      <c r="Q6" s="203"/>
      <c r="R6" s="1"/>
      <c r="S6" s="205"/>
      <c r="T6" s="205"/>
      <c r="U6" s="203"/>
      <c r="V6" s="203"/>
      <c r="X6" s="150"/>
    </row>
    <row r="7" spans="1:24" x14ac:dyDescent="0.25">
      <c r="A7" s="164"/>
      <c r="B7" s="46" t="s">
        <v>10</v>
      </c>
      <c r="C7" s="82"/>
      <c r="D7" s="185"/>
      <c r="E7" s="85">
        <v>1</v>
      </c>
      <c r="F7" s="180"/>
      <c r="G7" s="39"/>
      <c r="H7" s="82">
        <v>1</v>
      </c>
      <c r="I7" s="186"/>
      <c r="J7" s="85">
        <v>8</v>
      </c>
      <c r="K7" s="182"/>
      <c r="L7" s="1"/>
      <c r="M7" s="1"/>
      <c r="N7" s="205"/>
      <c r="O7" s="205"/>
      <c r="P7" s="203"/>
      <c r="Q7" s="203"/>
      <c r="R7" s="1"/>
      <c r="S7" s="205"/>
      <c r="T7" s="205"/>
      <c r="U7" s="203"/>
      <c r="V7" s="203"/>
      <c r="X7" s="150"/>
    </row>
    <row r="8" spans="1:24" x14ac:dyDescent="0.25">
      <c r="A8" s="164"/>
      <c r="B8" s="46" t="s">
        <v>11</v>
      </c>
      <c r="C8" s="82">
        <v>7</v>
      </c>
      <c r="D8" s="185"/>
      <c r="E8" s="85">
        <v>47</v>
      </c>
      <c r="F8" s="180"/>
      <c r="G8" s="39"/>
      <c r="H8" s="82">
        <v>52</v>
      </c>
      <c r="I8" s="186"/>
      <c r="J8" s="85">
        <v>327</v>
      </c>
      <c r="K8" s="182"/>
      <c r="L8" s="1"/>
      <c r="M8" s="1"/>
      <c r="N8" s="205"/>
      <c r="O8" s="205"/>
      <c r="P8" s="203"/>
      <c r="Q8" s="203"/>
      <c r="R8" s="1"/>
      <c r="S8" s="205"/>
      <c r="T8" s="205"/>
      <c r="U8" s="203"/>
      <c r="V8" s="203"/>
      <c r="X8" s="150"/>
    </row>
    <row r="9" spans="1:24" ht="15.75" thickBot="1" x14ac:dyDescent="0.3">
      <c r="A9" s="165"/>
      <c r="B9" s="46" t="s">
        <v>12</v>
      </c>
      <c r="C9" s="82"/>
      <c r="D9" s="191"/>
      <c r="E9" s="85">
        <v>5</v>
      </c>
      <c r="F9" s="190"/>
      <c r="G9" s="39"/>
      <c r="H9" s="82">
        <v>1</v>
      </c>
      <c r="I9" s="186"/>
      <c r="J9" s="85">
        <v>18</v>
      </c>
      <c r="K9" s="189"/>
      <c r="L9" s="1"/>
      <c r="M9" s="1"/>
      <c r="N9" s="206"/>
      <c r="O9" s="206"/>
      <c r="P9" s="213"/>
      <c r="Q9" s="213"/>
      <c r="R9" s="53"/>
      <c r="S9" s="206"/>
      <c r="T9" s="206"/>
      <c r="U9" s="213"/>
      <c r="V9" s="213"/>
      <c r="X9" s="150"/>
    </row>
    <row r="10" spans="1:24" x14ac:dyDescent="0.25">
      <c r="A10" s="163" t="s">
        <v>1</v>
      </c>
      <c r="B10" s="47" t="s">
        <v>14</v>
      </c>
      <c r="C10" s="82"/>
      <c r="D10" s="184">
        <f>SUM(C10:C14)</f>
        <v>11</v>
      </c>
      <c r="E10" s="85">
        <v>3</v>
      </c>
      <c r="F10" s="179">
        <f>SUM(E10:E14)</f>
        <v>38</v>
      </c>
      <c r="G10" s="39"/>
      <c r="H10" s="82">
        <v>5</v>
      </c>
      <c r="I10" s="186">
        <f>SUM(H10:H14)</f>
        <v>31</v>
      </c>
      <c r="J10" s="85">
        <v>19</v>
      </c>
      <c r="K10" s="188">
        <f>SUM(J10:J14)</f>
        <v>215</v>
      </c>
      <c r="L10" s="1"/>
      <c r="M10" s="1"/>
      <c r="N10" s="204">
        <v>6</v>
      </c>
      <c r="O10" s="204">
        <v>2</v>
      </c>
      <c r="P10" s="199">
        <v>18</v>
      </c>
      <c r="Q10" s="199">
        <v>15</v>
      </c>
      <c r="R10" s="52"/>
      <c r="S10" s="204">
        <v>14</v>
      </c>
      <c r="T10" s="204">
        <v>18</v>
      </c>
      <c r="U10" s="199">
        <v>73</v>
      </c>
      <c r="V10" s="199">
        <v>103</v>
      </c>
      <c r="X10" s="150"/>
    </row>
    <row r="11" spans="1:24" x14ac:dyDescent="0.25">
      <c r="A11" s="164"/>
      <c r="B11" s="46" t="s">
        <v>15</v>
      </c>
      <c r="C11" s="82"/>
      <c r="D11" s="185"/>
      <c r="E11" s="85">
        <v>6</v>
      </c>
      <c r="F11" s="180"/>
      <c r="G11" s="39"/>
      <c r="H11" s="82">
        <v>1</v>
      </c>
      <c r="I11" s="186"/>
      <c r="J11" s="85">
        <v>13</v>
      </c>
      <c r="K11" s="182"/>
      <c r="L11" s="1"/>
      <c r="M11" s="1"/>
      <c r="N11" s="205"/>
      <c r="O11" s="205"/>
      <c r="P11" s="203"/>
      <c r="Q11" s="203"/>
      <c r="R11" s="1"/>
      <c r="S11" s="205"/>
      <c r="T11" s="205"/>
      <c r="U11" s="203"/>
      <c r="V11" s="203"/>
      <c r="X11" s="150"/>
    </row>
    <row r="12" spans="1:24" x14ac:dyDescent="0.25">
      <c r="A12" s="164"/>
      <c r="B12" s="46" t="s">
        <v>16</v>
      </c>
      <c r="C12" s="82">
        <v>6</v>
      </c>
      <c r="D12" s="185"/>
      <c r="E12" s="85">
        <v>13</v>
      </c>
      <c r="F12" s="180"/>
      <c r="G12" s="39"/>
      <c r="H12" s="82">
        <v>9</v>
      </c>
      <c r="I12" s="186"/>
      <c r="J12" s="85">
        <v>63</v>
      </c>
      <c r="K12" s="182"/>
      <c r="L12" s="1"/>
      <c r="M12" s="1"/>
      <c r="N12" s="205"/>
      <c r="O12" s="205"/>
      <c r="P12" s="203"/>
      <c r="Q12" s="203"/>
      <c r="R12" s="1"/>
      <c r="S12" s="205"/>
      <c r="T12" s="205"/>
      <c r="U12" s="203"/>
      <c r="V12" s="203"/>
    </row>
    <row r="13" spans="1:24" x14ac:dyDescent="0.25">
      <c r="A13" s="164"/>
      <c r="B13" s="46" t="s">
        <v>17</v>
      </c>
      <c r="C13" s="82"/>
      <c r="D13" s="185"/>
      <c r="E13" s="85">
        <v>1</v>
      </c>
      <c r="F13" s="180"/>
      <c r="G13" s="39"/>
      <c r="H13" s="82">
        <v>1</v>
      </c>
      <c r="I13" s="186"/>
      <c r="J13" s="85">
        <v>4</v>
      </c>
      <c r="K13" s="182"/>
      <c r="L13" s="1"/>
      <c r="M13" s="1"/>
      <c r="N13" s="205"/>
      <c r="O13" s="205"/>
      <c r="P13" s="203"/>
      <c r="Q13" s="203"/>
      <c r="R13" s="1"/>
      <c r="S13" s="205"/>
      <c r="T13" s="205"/>
      <c r="U13" s="203"/>
      <c r="V13" s="203"/>
    </row>
    <row r="14" spans="1:24" ht="15.75" thickBot="1" x14ac:dyDescent="0.3">
      <c r="A14" s="165"/>
      <c r="B14" s="46" t="s">
        <v>18</v>
      </c>
      <c r="C14" s="82">
        <v>5</v>
      </c>
      <c r="D14" s="191"/>
      <c r="E14" s="85">
        <v>15</v>
      </c>
      <c r="F14" s="190"/>
      <c r="G14" s="39"/>
      <c r="H14" s="82">
        <v>15</v>
      </c>
      <c r="I14" s="186"/>
      <c r="J14" s="85">
        <v>116</v>
      </c>
      <c r="K14" s="183"/>
      <c r="L14" s="1"/>
      <c r="M14" s="1"/>
      <c r="N14" s="206"/>
      <c r="O14" s="206"/>
      <c r="P14" s="213"/>
      <c r="Q14" s="213"/>
      <c r="R14" s="1"/>
      <c r="S14" s="206"/>
      <c r="T14" s="206"/>
      <c r="U14" s="213"/>
      <c r="V14" s="213"/>
    </row>
    <row r="15" spans="1:24" x14ac:dyDescent="0.25">
      <c r="A15" s="163" t="s">
        <v>2</v>
      </c>
      <c r="B15" s="47" t="s">
        <v>19</v>
      </c>
      <c r="C15" s="82"/>
      <c r="D15" s="184">
        <f>SUM(C15:C20)</f>
        <v>18</v>
      </c>
      <c r="E15" s="85"/>
      <c r="F15" s="179">
        <f>SUM(E15:E20)</f>
        <v>81</v>
      </c>
      <c r="G15" s="39"/>
      <c r="H15" s="82">
        <v>2</v>
      </c>
      <c r="I15" s="186">
        <f>SUM(H15:H20)</f>
        <v>162</v>
      </c>
      <c r="J15" s="85">
        <v>9</v>
      </c>
      <c r="K15" s="188">
        <f>SUM(J15:J20)</f>
        <v>791</v>
      </c>
      <c r="L15" s="1"/>
      <c r="M15" s="1"/>
      <c r="N15" s="192">
        <v>6</v>
      </c>
      <c r="O15" s="192">
        <v>8</v>
      </c>
      <c r="P15" s="196">
        <v>36</v>
      </c>
      <c r="Q15" s="199">
        <v>41</v>
      </c>
      <c r="R15" s="52"/>
      <c r="S15" s="192">
        <v>9</v>
      </c>
      <c r="T15" s="192">
        <v>13</v>
      </c>
      <c r="U15" s="196">
        <v>94</v>
      </c>
      <c r="V15" s="199">
        <v>97</v>
      </c>
    </row>
    <row r="16" spans="1:24" x14ac:dyDescent="0.25">
      <c r="A16" s="164"/>
      <c r="B16" s="46" t="s">
        <v>20</v>
      </c>
      <c r="C16" s="82">
        <v>14</v>
      </c>
      <c r="D16" s="185"/>
      <c r="E16" s="85">
        <v>60</v>
      </c>
      <c r="F16" s="180"/>
      <c r="G16" s="39"/>
      <c r="H16" s="82">
        <v>133</v>
      </c>
      <c r="I16" s="186"/>
      <c r="J16" s="85">
        <v>646</v>
      </c>
      <c r="K16" s="182"/>
      <c r="L16" s="1"/>
      <c r="M16" s="1"/>
      <c r="N16" s="193"/>
      <c r="O16" s="193"/>
      <c r="P16" s="197"/>
      <c r="Q16" s="200"/>
      <c r="R16" s="1"/>
      <c r="S16" s="193"/>
      <c r="T16" s="193"/>
      <c r="U16" s="197"/>
      <c r="V16" s="200"/>
    </row>
    <row r="17" spans="1:22" x14ac:dyDescent="0.25">
      <c r="A17" s="164"/>
      <c r="B17" s="46" t="s">
        <v>21</v>
      </c>
      <c r="C17" s="82">
        <v>1</v>
      </c>
      <c r="D17" s="185"/>
      <c r="E17" s="85">
        <v>6</v>
      </c>
      <c r="F17" s="180"/>
      <c r="G17" s="39"/>
      <c r="H17" s="82">
        <v>2</v>
      </c>
      <c r="I17" s="186"/>
      <c r="J17" s="85">
        <v>24</v>
      </c>
      <c r="K17" s="182"/>
      <c r="L17" s="1"/>
      <c r="M17" s="1"/>
      <c r="N17" s="193"/>
      <c r="O17" s="193"/>
      <c r="P17" s="197"/>
      <c r="Q17" s="200"/>
      <c r="R17" s="1"/>
      <c r="S17" s="193"/>
      <c r="T17" s="193"/>
      <c r="U17" s="197"/>
      <c r="V17" s="200"/>
    </row>
    <row r="18" spans="1:22" x14ac:dyDescent="0.25">
      <c r="A18" s="164"/>
      <c r="B18" s="46" t="s">
        <v>22</v>
      </c>
      <c r="C18" s="82"/>
      <c r="D18" s="185"/>
      <c r="E18" s="85">
        <v>3</v>
      </c>
      <c r="F18" s="180"/>
      <c r="G18" s="39"/>
      <c r="H18" s="82">
        <v>1</v>
      </c>
      <c r="I18" s="186"/>
      <c r="J18" s="85">
        <v>17</v>
      </c>
      <c r="K18" s="182"/>
      <c r="L18" s="1"/>
      <c r="M18" s="1"/>
      <c r="N18" s="193"/>
      <c r="O18" s="193"/>
      <c r="P18" s="197"/>
      <c r="Q18" s="200"/>
      <c r="R18" s="1"/>
      <c r="S18" s="193"/>
      <c r="T18" s="193"/>
      <c r="U18" s="197"/>
      <c r="V18" s="200"/>
    </row>
    <row r="19" spans="1:22" x14ac:dyDescent="0.25">
      <c r="A19" s="164"/>
      <c r="B19" s="46" t="s">
        <v>23</v>
      </c>
      <c r="C19" s="82"/>
      <c r="D19" s="185"/>
      <c r="E19" s="85">
        <v>3</v>
      </c>
      <c r="F19" s="180"/>
      <c r="G19" s="39"/>
      <c r="H19" s="82">
        <v>16</v>
      </c>
      <c r="I19" s="186"/>
      <c r="J19" s="85">
        <v>61</v>
      </c>
      <c r="K19" s="182"/>
      <c r="L19" s="1"/>
      <c r="M19" s="1"/>
      <c r="N19" s="193"/>
      <c r="O19" s="193"/>
      <c r="P19" s="197"/>
      <c r="Q19" s="200"/>
      <c r="R19" s="1"/>
      <c r="S19" s="193"/>
      <c r="T19" s="193"/>
      <c r="U19" s="197"/>
      <c r="V19" s="200"/>
    </row>
    <row r="20" spans="1:22" ht="15.75" thickBot="1" x14ac:dyDescent="0.3">
      <c r="A20" s="165"/>
      <c r="B20" s="46" t="s">
        <v>24</v>
      </c>
      <c r="C20" s="82">
        <v>3</v>
      </c>
      <c r="D20" s="191"/>
      <c r="E20" s="85">
        <v>9</v>
      </c>
      <c r="F20" s="190"/>
      <c r="G20" s="39"/>
      <c r="H20" s="82">
        <v>8</v>
      </c>
      <c r="I20" s="186"/>
      <c r="J20" s="85">
        <v>34</v>
      </c>
      <c r="K20" s="189"/>
      <c r="L20" s="1"/>
      <c r="M20" s="1"/>
      <c r="N20" s="194"/>
      <c r="O20" s="194"/>
      <c r="P20" s="198"/>
      <c r="Q20" s="201"/>
      <c r="R20" s="53"/>
      <c r="S20" s="194"/>
      <c r="T20" s="194"/>
      <c r="U20" s="198"/>
      <c r="V20" s="201"/>
    </row>
    <row r="21" spans="1:22" x14ac:dyDescent="0.25">
      <c r="A21" s="163" t="s">
        <v>3</v>
      </c>
      <c r="B21" s="47" t="s">
        <v>25</v>
      </c>
      <c r="C21" s="82">
        <v>17</v>
      </c>
      <c r="D21" s="184">
        <f>SUM(C21:C24)</f>
        <v>18</v>
      </c>
      <c r="E21" s="85">
        <v>133</v>
      </c>
      <c r="F21" s="179">
        <f>SUM(E21:E24)</f>
        <v>147</v>
      </c>
      <c r="G21" s="39"/>
      <c r="H21" s="82">
        <v>202</v>
      </c>
      <c r="I21" s="186">
        <f>SUM(H21:H24)</f>
        <v>206</v>
      </c>
      <c r="J21" s="85">
        <v>1074</v>
      </c>
      <c r="K21" s="188">
        <f>SUM(J21:J24)</f>
        <v>1140</v>
      </c>
      <c r="L21" s="1"/>
      <c r="M21" s="1"/>
      <c r="N21" s="192">
        <v>12</v>
      </c>
      <c r="O21" s="192">
        <v>12</v>
      </c>
      <c r="P21" s="196">
        <v>88</v>
      </c>
      <c r="Q21" s="199">
        <v>71</v>
      </c>
      <c r="R21" s="52"/>
      <c r="S21" s="192">
        <v>18</v>
      </c>
      <c r="T21" s="192">
        <v>8</v>
      </c>
      <c r="U21" s="196">
        <v>108</v>
      </c>
      <c r="V21" s="199">
        <v>120</v>
      </c>
    </row>
    <row r="22" spans="1:22" x14ac:dyDescent="0.25">
      <c r="A22" s="164"/>
      <c r="B22" s="46" t="s">
        <v>26</v>
      </c>
      <c r="C22" s="82"/>
      <c r="D22" s="185"/>
      <c r="E22" s="85">
        <v>1</v>
      </c>
      <c r="F22" s="180"/>
      <c r="G22" s="39"/>
      <c r="H22" s="82">
        <v>2</v>
      </c>
      <c r="I22" s="186"/>
      <c r="J22" s="85">
        <v>5</v>
      </c>
      <c r="K22" s="182"/>
      <c r="L22" s="1"/>
      <c r="M22" s="1"/>
      <c r="N22" s="193"/>
      <c r="O22" s="193"/>
      <c r="P22" s="197"/>
      <c r="Q22" s="200"/>
      <c r="R22" s="1"/>
      <c r="S22" s="193"/>
      <c r="T22" s="193"/>
      <c r="U22" s="197"/>
      <c r="V22" s="200"/>
    </row>
    <row r="23" spans="1:22" x14ac:dyDescent="0.25">
      <c r="A23" s="164"/>
      <c r="B23" s="46" t="s">
        <v>27</v>
      </c>
      <c r="C23" s="82"/>
      <c r="D23" s="185"/>
      <c r="E23" s="85">
        <v>8</v>
      </c>
      <c r="F23" s="180"/>
      <c r="G23" s="39"/>
      <c r="H23" s="82">
        <v>2</v>
      </c>
      <c r="I23" s="186"/>
      <c r="J23" s="85">
        <v>41</v>
      </c>
      <c r="K23" s="182"/>
      <c r="L23" s="1"/>
      <c r="M23" s="1"/>
      <c r="N23" s="193"/>
      <c r="O23" s="193"/>
      <c r="P23" s="197"/>
      <c r="Q23" s="200"/>
      <c r="R23" s="1"/>
      <c r="S23" s="193"/>
      <c r="T23" s="193"/>
      <c r="U23" s="197"/>
      <c r="V23" s="200"/>
    </row>
    <row r="24" spans="1:22" ht="15.75" thickBot="1" x14ac:dyDescent="0.3">
      <c r="A24" s="165"/>
      <c r="B24" s="46" t="s">
        <v>28</v>
      </c>
      <c r="C24" s="82">
        <v>1</v>
      </c>
      <c r="D24" s="191"/>
      <c r="E24" s="85">
        <v>5</v>
      </c>
      <c r="F24" s="190"/>
      <c r="G24" s="39"/>
      <c r="H24" s="82"/>
      <c r="I24" s="186"/>
      <c r="J24" s="85">
        <v>20</v>
      </c>
      <c r="K24" s="183"/>
      <c r="L24" s="1"/>
      <c r="M24" s="1"/>
      <c r="N24" s="193"/>
      <c r="O24" s="193"/>
      <c r="P24" s="197"/>
      <c r="Q24" s="200"/>
      <c r="R24" s="1"/>
      <c r="S24" s="193"/>
      <c r="T24" s="193"/>
      <c r="U24" s="197"/>
      <c r="V24" s="200"/>
    </row>
    <row r="25" spans="1:22" x14ac:dyDescent="0.25">
      <c r="A25" s="163" t="s">
        <v>4</v>
      </c>
      <c r="B25" s="47" t="s">
        <v>29</v>
      </c>
      <c r="C25" s="82"/>
      <c r="D25" s="184">
        <f>SUM(C25:C32)</f>
        <v>20</v>
      </c>
      <c r="E25" s="85">
        <v>3</v>
      </c>
      <c r="F25" s="179">
        <f>SUM(E25:E32)</f>
        <v>109</v>
      </c>
      <c r="G25" s="39"/>
      <c r="H25" s="82">
        <v>5</v>
      </c>
      <c r="I25" s="186">
        <f>SUM(H25:H32)</f>
        <v>63</v>
      </c>
      <c r="J25" s="85">
        <v>28</v>
      </c>
      <c r="K25" s="188">
        <f>SUM(J25:J32)</f>
        <v>449</v>
      </c>
      <c r="L25" s="1"/>
      <c r="M25" s="1"/>
      <c r="N25" s="192">
        <v>9</v>
      </c>
      <c r="O25" s="192">
        <v>5</v>
      </c>
      <c r="P25" s="196">
        <v>51</v>
      </c>
      <c r="Q25" s="199">
        <v>48</v>
      </c>
      <c r="R25" s="52"/>
      <c r="S25" s="192">
        <v>7</v>
      </c>
      <c r="T25" s="192">
        <v>7</v>
      </c>
      <c r="U25" s="196">
        <v>79</v>
      </c>
      <c r="V25" s="199">
        <v>98</v>
      </c>
    </row>
    <row r="26" spans="1:22" x14ac:dyDescent="0.25">
      <c r="A26" s="164"/>
      <c r="B26" s="46" t="s">
        <v>30</v>
      </c>
      <c r="C26" s="82"/>
      <c r="D26" s="185"/>
      <c r="E26" s="85"/>
      <c r="F26" s="180"/>
      <c r="G26" s="39"/>
      <c r="H26" s="82"/>
      <c r="I26" s="186"/>
      <c r="J26" s="85">
        <v>6</v>
      </c>
      <c r="K26" s="182"/>
      <c r="L26" s="1"/>
      <c r="M26" s="1"/>
      <c r="N26" s="193"/>
      <c r="O26" s="193"/>
      <c r="P26" s="197"/>
      <c r="Q26" s="200"/>
      <c r="R26" s="1"/>
      <c r="S26" s="193"/>
      <c r="T26" s="193"/>
      <c r="U26" s="197"/>
      <c r="V26" s="200"/>
    </row>
    <row r="27" spans="1:22" x14ac:dyDescent="0.25">
      <c r="A27" s="164"/>
      <c r="B27" s="46" t="s">
        <v>31</v>
      </c>
      <c r="C27" s="82">
        <v>2</v>
      </c>
      <c r="D27" s="185"/>
      <c r="E27" s="85">
        <v>4</v>
      </c>
      <c r="F27" s="180"/>
      <c r="G27" s="39"/>
      <c r="H27" s="82">
        <v>8</v>
      </c>
      <c r="I27" s="186"/>
      <c r="J27" s="85">
        <v>50</v>
      </c>
      <c r="K27" s="182"/>
      <c r="L27" s="1"/>
      <c r="M27" s="1"/>
      <c r="N27" s="193"/>
      <c r="O27" s="193"/>
      <c r="P27" s="197"/>
      <c r="Q27" s="200"/>
      <c r="R27" s="1"/>
      <c r="S27" s="193"/>
      <c r="T27" s="193"/>
      <c r="U27" s="197"/>
      <c r="V27" s="200"/>
    </row>
    <row r="28" spans="1:22" x14ac:dyDescent="0.25">
      <c r="A28" s="164"/>
      <c r="B28" s="46" t="s">
        <v>32</v>
      </c>
      <c r="C28" s="82">
        <v>3</v>
      </c>
      <c r="D28" s="185"/>
      <c r="E28" s="85">
        <v>9</v>
      </c>
      <c r="F28" s="180"/>
      <c r="G28" s="39"/>
      <c r="H28" s="82">
        <v>4</v>
      </c>
      <c r="I28" s="186"/>
      <c r="J28" s="85">
        <v>23</v>
      </c>
      <c r="K28" s="182"/>
      <c r="L28" s="1"/>
      <c r="M28" s="1"/>
      <c r="N28" s="193"/>
      <c r="O28" s="193"/>
      <c r="P28" s="197"/>
      <c r="Q28" s="200"/>
      <c r="R28" s="1"/>
      <c r="S28" s="193"/>
      <c r="T28" s="193"/>
      <c r="U28" s="197"/>
      <c r="V28" s="200"/>
    </row>
    <row r="29" spans="1:22" x14ac:dyDescent="0.25">
      <c r="A29" s="164"/>
      <c r="B29" s="46" t="s">
        <v>33</v>
      </c>
      <c r="C29" s="82">
        <v>2</v>
      </c>
      <c r="D29" s="185"/>
      <c r="E29" s="85">
        <v>17</v>
      </c>
      <c r="F29" s="180"/>
      <c r="G29" s="39"/>
      <c r="H29" s="82">
        <v>3</v>
      </c>
      <c r="I29" s="186"/>
      <c r="J29" s="85">
        <v>28</v>
      </c>
      <c r="K29" s="182"/>
      <c r="L29" s="1"/>
      <c r="M29" s="1"/>
      <c r="N29" s="193"/>
      <c r="O29" s="193"/>
      <c r="P29" s="197"/>
      <c r="Q29" s="200"/>
      <c r="R29" s="1"/>
      <c r="S29" s="193"/>
      <c r="T29" s="193"/>
      <c r="U29" s="197"/>
      <c r="V29" s="200"/>
    </row>
    <row r="30" spans="1:22" x14ac:dyDescent="0.25">
      <c r="A30" s="164"/>
      <c r="B30" s="46" t="s">
        <v>69</v>
      </c>
      <c r="C30" s="82">
        <v>1</v>
      </c>
      <c r="D30" s="185"/>
      <c r="E30" s="85">
        <v>2</v>
      </c>
      <c r="F30" s="180"/>
      <c r="G30" s="39"/>
      <c r="H30" s="82">
        <v>3</v>
      </c>
      <c r="I30" s="186"/>
      <c r="J30" s="85">
        <v>11</v>
      </c>
      <c r="K30" s="182"/>
      <c r="L30" s="1"/>
      <c r="M30" s="1"/>
      <c r="N30" s="193"/>
      <c r="O30" s="193"/>
      <c r="P30" s="197"/>
      <c r="Q30" s="200"/>
      <c r="R30" s="1"/>
      <c r="S30" s="193"/>
      <c r="T30" s="193"/>
      <c r="U30" s="197"/>
      <c r="V30" s="200"/>
    </row>
    <row r="31" spans="1:22" x14ac:dyDescent="0.25">
      <c r="A31" s="164"/>
      <c r="B31" s="46" t="s">
        <v>34</v>
      </c>
      <c r="C31" s="82">
        <v>2</v>
      </c>
      <c r="D31" s="185"/>
      <c r="E31" s="85">
        <v>12</v>
      </c>
      <c r="F31" s="180"/>
      <c r="G31" s="39"/>
      <c r="H31" s="82">
        <v>5</v>
      </c>
      <c r="I31" s="186"/>
      <c r="J31" s="85">
        <v>42</v>
      </c>
      <c r="K31" s="182"/>
      <c r="L31" s="1"/>
      <c r="M31" s="1"/>
      <c r="N31" s="193"/>
      <c r="O31" s="193"/>
      <c r="P31" s="197"/>
      <c r="Q31" s="200"/>
      <c r="R31" s="1"/>
      <c r="S31" s="193"/>
      <c r="T31" s="193"/>
      <c r="U31" s="197"/>
      <c r="V31" s="200"/>
    </row>
    <row r="32" spans="1:22" ht="12.75" customHeight="1" thickBot="1" x14ac:dyDescent="0.3">
      <c r="A32" s="165"/>
      <c r="B32" s="46" t="s">
        <v>35</v>
      </c>
      <c r="C32" s="82">
        <v>10</v>
      </c>
      <c r="D32" s="191"/>
      <c r="E32" s="85">
        <v>62</v>
      </c>
      <c r="F32" s="190"/>
      <c r="G32" s="39"/>
      <c r="H32" s="82">
        <v>35</v>
      </c>
      <c r="I32" s="186"/>
      <c r="J32" s="85">
        <v>261</v>
      </c>
      <c r="K32" s="183"/>
      <c r="L32" s="1"/>
      <c r="M32" s="1"/>
      <c r="N32" s="193"/>
      <c r="O32" s="193"/>
      <c r="P32" s="197"/>
      <c r="Q32" s="200"/>
      <c r="R32" s="1"/>
      <c r="S32" s="193"/>
      <c r="T32" s="193"/>
      <c r="U32" s="197"/>
      <c r="V32" s="200"/>
    </row>
    <row r="33" spans="1:22" x14ac:dyDescent="0.25">
      <c r="A33" s="163" t="s">
        <v>5</v>
      </c>
      <c r="B33" s="47" t="s">
        <v>36</v>
      </c>
      <c r="C33" s="82">
        <v>6</v>
      </c>
      <c r="D33" s="184">
        <f>SUM(C33:C38)</f>
        <v>6</v>
      </c>
      <c r="E33" s="85">
        <v>53</v>
      </c>
      <c r="F33" s="179">
        <f>SUM(E33:E38)</f>
        <v>59</v>
      </c>
      <c r="G33" s="39"/>
      <c r="H33" s="82">
        <v>48</v>
      </c>
      <c r="I33" s="186">
        <f>SUM(H33:H38)</f>
        <v>54</v>
      </c>
      <c r="J33" s="85">
        <v>255</v>
      </c>
      <c r="K33" s="188">
        <f>SUM(J33:J38)</f>
        <v>293</v>
      </c>
      <c r="L33" s="1"/>
      <c r="M33" s="1"/>
      <c r="N33" s="192">
        <v>3</v>
      </c>
      <c r="O33" s="192">
        <v>4</v>
      </c>
      <c r="P33" s="196">
        <v>34</v>
      </c>
      <c r="Q33" s="199">
        <v>33</v>
      </c>
      <c r="R33" s="52"/>
      <c r="S33" s="192">
        <v>10</v>
      </c>
      <c r="T33" s="192">
        <v>7</v>
      </c>
      <c r="U33" s="196">
        <v>83</v>
      </c>
      <c r="V33" s="199">
        <v>75</v>
      </c>
    </row>
    <row r="34" spans="1:22" x14ac:dyDescent="0.25">
      <c r="A34" s="164"/>
      <c r="B34" s="46" t="s">
        <v>37</v>
      </c>
      <c r="C34" s="82"/>
      <c r="D34" s="185"/>
      <c r="E34" s="85">
        <v>1</v>
      </c>
      <c r="F34" s="180"/>
      <c r="G34" s="39"/>
      <c r="H34" s="82">
        <v>1</v>
      </c>
      <c r="I34" s="186"/>
      <c r="J34" s="85">
        <v>4</v>
      </c>
      <c r="K34" s="182"/>
      <c r="L34" s="1"/>
      <c r="M34" s="1"/>
      <c r="N34" s="193"/>
      <c r="O34" s="193"/>
      <c r="P34" s="197"/>
      <c r="Q34" s="200"/>
      <c r="R34" s="1"/>
      <c r="S34" s="193"/>
      <c r="T34" s="193"/>
      <c r="U34" s="197"/>
      <c r="V34" s="200"/>
    </row>
    <row r="35" spans="1:22" x14ac:dyDescent="0.25">
      <c r="A35" s="164"/>
      <c r="B35" s="46" t="s">
        <v>38</v>
      </c>
      <c r="C35" s="82"/>
      <c r="D35" s="185"/>
      <c r="E35" s="85"/>
      <c r="F35" s="180"/>
      <c r="G35" s="39"/>
      <c r="H35" s="82">
        <v>1</v>
      </c>
      <c r="I35" s="186"/>
      <c r="J35" s="85">
        <v>8</v>
      </c>
      <c r="K35" s="182"/>
      <c r="L35" s="1"/>
      <c r="M35" s="1"/>
      <c r="N35" s="193"/>
      <c r="O35" s="193"/>
      <c r="P35" s="197"/>
      <c r="Q35" s="200"/>
      <c r="R35" s="1"/>
      <c r="S35" s="193"/>
      <c r="T35" s="193"/>
      <c r="U35" s="197"/>
      <c r="V35" s="200"/>
    </row>
    <row r="36" spans="1:22" x14ac:dyDescent="0.25">
      <c r="A36" s="164"/>
      <c r="B36" s="46" t="s">
        <v>39</v>
      </c>
      <c r="C36" s="82"/>
      <c r="D36" s="185"/>
      <c r="E36" s="85">
        <v>1</v>
      </c>
      <c r="F36" s="180"/>
      <c r="G36" s="39"/>
      <c r="H36" s="82">
        <v>1</v>
      </c>
      <c r="I36" s="186"/>
      <c r="J36" s="85">
        <v>10</v>
      </c>
      <c r="K36" s="182"/>
      <c r="L36" s="1"/>
      <c r="M36" s="1"/>
      <c r="N36" s="193"/>
      <c r="O36" s="193"/>
      <c r="P36" s="197"/>
      <c r="Q36" s="200"/>
      <c r="R36" s="1"/>
      <c r="S36" s="193"/>
      <c r="T36" s="193"/>
      <c r="U36" s="197"/>
      <c r="V36" s="200"/>
    </row>
    <row r="37" spans="1:22" x14ac:dyDescent="0.25">
      <c r="A37" s="164"/>
      <c r="B37" s="46" t="s">
        <v>40</v>
      </c>
      <c r="C37" s="82"/>
      <c r="D37" s="185"/>
      <c r="E37" s="85">
        <v>1</v>
      </c>
      <c r="F37" s="180"/>
      <c r="G37" s="39"/>
      <c r="H37" s="82"/>
      <c r="I37" s="186"/>
      <c r="J37" s="85">
        <v>3</v>
      </c>
      <c r="K37" s="182"/>
      <c r="L37" s="1"/>
      <c r="M37" s="1"/>
      <c r="N37" s="193"/>
      <c r="O37" s="193"/>
      <c r="P37" s="197"/>
      <c r="Q37" s="200"/>
      <c r="R37" s="1"/>
      <c r="S37" s="193"/>
      <c r="T37" s="193"/>
      <c r="U37" s="197"/>
      <c r="V37" s="200"/>
    </row>
    <row r="38" spans="1:22" ht="15.75" thickBot="1" x14ac:dyDescent="0.3">
      <c r="A38" s="165"/>
      <c r="B38" s="46" t="s">
        <v>41</v>
      </c>
      <c r="C38" s="82"/>
      <c r="D38" s="191"/>
      <c r="E38" s="85">
        <v>3</v>
      </c>
      <c r="F38" s="190"/>
      <c r="G38" s="39"/>
      <c r="H38" s="82">
        <v>3</v>
      </c>
      <c r="I38" s="186"/>
      <c r="J38" s="85">
        <v>13</v>
      </c>
      <c r="K38" s="189"/>
      <c r="L38" s="1"/>
      <c r="M38" s="1"/>
      <c r="N38" s="194"/>
      <c r="O38" s="194"/>
      <c r="P38" s="198"/>
      <c r="Q38" s="201"/>
      <c r="R38" s="53"/>
      <c r="S38" s="194"/>
      <c r="T38" s="194"/>
      <c r="U38" s="198"/>
      <c r="V38" s="201"/>
    </row>
    <row r="39" spans="1:22" x14ac:dyDescent="0.25">
      <c r="A39" s="163" t="s">
        <v>6</v>
      </c>
      <c r="B39" s="47" t="s">
        <v>42</v>
      </c>
      <c r="C39" s="82">
        <v>4</v>
      </c>
      <c r="D39" s="184">
        <f>SUM(C39:C48)</f>
        <v>22</v>
      </c>
      <c r="E39" s="85">
        <v>25</v>
      </c>
      <c r="F39" s="179">
        <f>SUM(E39:E48)</f>
        <v>178</v>
      </c>
      <c r="G39" s="39"/>
      <c r="H39" s="82">
        <v>17</v>
      </c>
      <c r="I39" s="186">
        <f>SUM(H39:H48)</f>
        <v>85</v>
      </c>
      <c r="J39" s="85">
        <v>109</v>
      </c>
      <c r="K39" s="181">
        <f>SUM(J39:J48)</f>
        <v>494</v>
      </c>
      <c r="L39" s="1"/>
      <c r="M39" s="1"/>
      <c r="N39" s="195">
        <v>9</v>
      </c>
      <c r="O39" s="195">
        <v>18</v>
      </c>
      <c r="P39" s="202">
        <v>76</v>
      </c>
      <c r="Q39" s="203">
        <v>77</v>
      </c>
      <c r="R39" s="1"/>
      <c r="S39" s="195">
        <v>19</v>
      </c>
      <c r="T39" s="195">
        <v>22</v>
      </c>
      <c r="U39" s="202">
        <v>181</v>
      </c>
      <c r="V39" s="203">
        <v>206</v>
      </c>
    </row>
    <row r="40" spans="1:22" x14ac:dyDescent="0.25">
      <c r="A40" s="164"/>
      <c r="B40" s="46" t="s">
        <v>43</v>
      </c>
      <c r="C40" s="82">
        <v>13</v>
      </c>
      <c r="D40" s="185"/>
      <c r="E40" s="85">
        <v>96</v>
      </c>
      <c r="F40" s="180"/>
      <c r="G40" s="39"/>
      <c r="H40" s="82">
        <v>51</v>
      </c>
      <c r="I40" s="186"/>
      <c r="J40" s="85">
        <v>277</v>
      </c>
      <c r="K40" s="182"/>
      <c r="L40" s="1"/>
      <c r="M40" s="1"/>
      <c r="N40" s="193"/>
      <c r="O40" s="193"/>
      <c r="P40" s="197"/>
      <c r="Q40" s="200"/>
      <c r="R40" s="1"/>
      <c r="S40" s="193"/>
      <c r="T40" s="193"/>
      <c r="U40" s="197"/>
      <c r="V40" s="200"/>
    </row>
    <row r="41" spans="1:22" x14ac:dyDescent="0.25">
      <c r="A41" s="164"/>
      <c r="B41" s="46" t="s">
        <v>44</v>
      </c>
      <c r="C41" s="82"/>
      <c r="D41" s="185"/>
      <c r="E41" s="85">
        <v>1</v>
      </c>
      <c r="F41" s="180"/>
      <c r="G41" s="39"/>
      <c r="H41" s="82"/>
      <c r="I41" s="186"/>
      <c r="J41" s="85">
        <v>3</v>
      </c>
      <c r="K41" s="182"/>
      <c r="L41" s="1"/>
      <c r="M41" s="1"/>
      <c r="N41" s="193"/>
      <c r="O41" s="193"/>
      <c r="P41" s="197"/>
      <c r="Q41" s="200"/>
      <c r="R41" s="1"/>
      <c r="S41" s="193"/>
      <c r="T41" s="193"/>
      <c r="U41" s="197"/>
      <c r="V41" s="200"/>
    </row>
    <row r="42" spans="1:22" x14ac:dyDescent="0.25">
      <c r="A42" s="164"/>
      <c r="B42" s="46" t="s">
        <v>45</v>
      </c>
      <c r="C42" s="82"/>
      <c r="D42" s="185"/>
      <c r="E42" s="85"/>
      <c r="F42" s="180"/>
      <c r="G42" s="39"/>
      <c r="H42" s="82"/>
      <c r="I42" s="186"/>
      <c r="J42" s="85"/>
      <c r="K42" s="182"/>
      <c r="L42" s="1"/>
      <c r="M42" s="1"/>
      <c r="N42" s="193"/>
      <c r="O42" s="193"/>
      <c r="P42" s="197"/>
      <c r="Q42" s="200"/>
      <c r="R42" s="1"/>
      <c r="S42" s="193"/>
      <c r="T42" s="193"/>
      <c r="U42" s="197"/>
      <c r="V42" s="200"/>
    </row>
    <row r="43" spans="1:22" x14ac:dyDescent="0.25">
      <c r="A43" s="164"/>
      <c r="B43" s="46" t="s">
        <v>46</v>
      </c>
      <c r="C43" s="82"/>
      <c r="D43" s="185"/>
      <c r="E43" s="85">
        <v>1</v>
      </c>
      <c r="F43" s="180"/>
      <c r="G43" s="39"/>
      <c r="H43" s="82"/>
      <c r="I43" s="186"/>
      <c r="J43" s="85">
        <v>2</v>
      </c>
      <c r="K43" s="182"/>
      <c r="L43" s="1"/>
      <c r="M43" s="1"/>
      <c r="N43" s="193"/>
      <c r="O43" s="193"/>
      <c r="P43" s="197"/>
      <c r="Q43" s="200"/>
      <c r="R43" s="1"/>
      <c r="S43" s="193"/>
      <c r="T43" s="193"/>
      <c r="U43" s="197"/>
      <c r="V43" s="200"/>
    </row>
    <row r="44" spans="1:22" x14ac:dyDescent="0.25">
      <c r="A44" s="164"/>
      <c r="B44" s="46" t="s">
        <v>47</v>
      </c>
      <c r="C44" s="82"/>
      <c r="D44" s="185"/>
      <c r="E44" s="85">
        <v>10</v>
      </c>
      <c r="F44" s="180"/>
      <c r="G44" s="39"/>
      <c r="H44" s="82">
        <v>3</v>
      </c>
      <c r="I44" s="186"/>
      <c r="J44" s="85">
        <v>14</v>
      </c>
      <c r="K44" s="182"/>
      <c r="L44" s="1"/>
      <c r="M44" s="1"/>
      <c r="N44" s="193"/>
      <c r="O44" s="193"/>
      <c r="P44" s="197"/>
      <c r="Q44" s="200"/>
      <c r="R44" s="1"/>
      <c r="S44" s="193"/>
      <c r="T44" s="193"/>
      <c r="U44" s="197"/>
      <c r="V44" s="200"/>
    </row>
    <row r="45" spans="1:22" x14ac:dyDescent="0.25">
      <c r="A45" s="164"/>
      <c r="B45" s="46" t="s">
        <v>48</v>
      </c>
      <c r="C45" s="82">
        <v>2</v>
      </c>
      <c r="D45" s="185"/>
      <c r="E45" s="85">
        <v>19</v>
      </c>
      <c r="F45" s="180"/>
      <c r="G45" s="39"/>
      <c r="H45" s="82">
        <v>7</v>
      </c>
      <c r="I45" s="186"/>
      <c r="J45" s="85">
        <v>30</v>
      </c>
      <c r="K45" s="182"/>
      <c r="L45" s="1"/>
      <c r="M45" s="1"/>
      <c r="N45" s="193"/>
      <c r="O45" s="193"/>
      <c r="P45" s="197"/>
      <c r="Q45" s="200"/>
      <c r="R45" s="1"/>
      <c r="S45" s="193"/>
      <c r="T45" s="193"/>
      <c r="U45" s="197"/>
      <c r="V45" s="200"/>
    </row>
    <row r="46" spans="1:22" x14ac:dyDescent="0.25">
      <c r="A46" s="164"/>
      <c r="B46" s="46" t="s">
        <v>49</v>
      </c>
      <c r="C46" s="82">
        <v>1</v>
      </c>
      <c r="D46" s="185"/>
      <c r="E46" s="85">
        <v>7</v>
      </c>
      <c r="F46" s="180"/>
      <c r="G46" s="39"/>
      <c r="H46" s="82">
        <v>2</v>
      </c>
      <c r="I46" s="186"/>
      <c r="J46" s="85">
        <v>12</v>
      </c>
      <c r="K46" s="182"/>
      <c r="L46" s="1"/>
      <c r="M46" s="1"/>
      <c r="N46" s="193"/>
      <c r="O46" s="193"/>
      <c r="P46" s="197"/>
      <c r="Q46" s="200"/>
      <c r="R46" s="1"/>
      <c r="S46" s="193"/>
      <c r="T46" s="193"/>
      <c r="U46" s="197"/>
      <c r="V46" s="200"/>
    </row>
    <row r="47" spans="1:22" x14ac:dyDescent="0.25">
      <c r="A47" s="164"/>
      <c r="B47" s="46" t="s">
        <v>50</v>
      </c>
      <c r="C47" s="82">
        <v>2</v>
      </c>
      <c r="D47" s="185"/>
      <c r="E47" s="85">
        <v>16</v>
      </c>
      <c r="F47" s="180"/>
      <c r="G47" s="39"/>
      <c r="H47" s="82">
        <v>4</v>
      </c>
      <c r="I47" s="186"/>
      <c r="J47" s="85">
        <v>37</v>
      </c>
      <c r="K47" s="182"/>
      <c r="L47" s="1"/>
      <c r="M47" s="1"/>
      <c r="N47" s="193"/>
      <c r="O47" s="193"/>
      <c r="P47" s="197"/>
      <c r="Q47" s="200"/>
      <c r="R47" s="1"/>
      <c r="S47" s="193"/>
      <c r="T47" s="193"/>
      <c r="U47" s="197"/>
      <c r="V47" s="200"/>
    </row>
    <row r="48" spans="1:22" ht="15.75" thickBot="1" x14ac:dyDescent="0.3">
      <c r="A48" s="165"/>
      <c r="B48" s="46" t="s">
        <v>51</v>
      </c>
      <c r="C48" s="123"/>
      <c r="D48" s="185"/>
      <c r="E48" s="124">
        <v>3</v>
      </c>
      <c r="F48" s="180"/>
      <c r="G48" s="39"/>
      <c r="H48" s="123">
        <v>1</v>
      </c>
      <c r="I48" s="187"/>
      <c r="J48" s="124">
        <v>10</v>
      </c>
      <c r="K48" s="183"/>
      <c r="L48" s="1"/>
      <c r="M48" s="1"/>
      <c r="N48" s="194"/>
      <c r="O48" s="194"/>
      <c r="P48" s="198"/>
      <c r="Q48" s="201"/>
      <c r="R48" s="53"/>
      <c r="S48" s="194"/>
      <c r="T48" s="194"/>
      <c r="U48" s="198"/>
      <c r="V48" s="201"/>
    </row>
    <row r="49" spans="1:30" ht="15.75" thickBot="1" x14ac:dyDescent="0.3">
      <c r="A49" s="11" t="s">
        <v>13</v>
      </c>
      <c r="B49" s="125"/>
      <c r="C49" s="126"/>
      <c r="D49" s="127">
        <f>C49</f>
        <v>0</v>
      </c>
      <c r="E49" s="128">
        <v>3</v>
      </c>
      <c r="F49" s="129">
        <f>E49</f>
        <v>3</v>
      </c>
      <c r="G49" s="43"/>
      <c r="H49" s="130">
        <v>13</v>
      </c>
      <c r="I49" s="131">
        <f>H49</f>
        <v>13</v>
      </c>
      <c r="J49" s="128">
        <v>99</v>
      </c>
      <c r="K49" s="119">
        <f>J49</f>
        <v>99</v>
      </c>
      <c r="L49" s="1"/>
      <c r="M49" s="1"/>
      <c r="N49" s="107" t="s">
        <v>87</v>
      </c>
      <c r="O49" s="107" t="s">
        <v>87</v>
      </c>
      <c r="P49" s="108" t="s">
        <v>87</v>
      </c>
      <c r="Q49" s="135" t="s">
        <v>87</v>
      </c>
      <c r="R49" s="106"/>
      <c r="S49" s="107" t="s">
        <v>87</v>
      </c>
      <c r="T49" s="107" t="s">
        <v>87</v>
      </c>
      <c r="U49" s="108" t="s">
        <v>87</v>
      </c>
      <c r="V49" s="90" t="s">
        <v>87</v>
      </c>
    </row>
    <row r="50" spans="1:30" ht="15.75" thickBot="1" x14ac:dyDescent="0.3">
      <c r="A50" s="11" t="s">
        <v>7</v>
      </c>
      <c r="B50" s="48"/>
      <c r="C50" s="121">
        <f>SUM(C5:C49)</f>
        <v>104</v>
      </c>
      <c r="D50" s="83">
        <f>SUM(D5:D49)</f>
        <v>104</v>
      </c>
      <c r="E50" s="121">
        <f>SUM(E5:E49)</f>
        <v>677</v>
      </c>
      <c r="F50" s="84">
        <f>SUM(F5:F49)</f>
        <v>677</v>
      </c>
      <c r="G50" s="44"/>
      <c r="H50" s="132">
        <f>SUM(H5:H49)</f>
        <v>680</v>
      </c>
      <c r="I50" s="87">
        <f>SUM(I5:I49)</f>
        <v>680</v>
      </c>
      <c r="J50" s="122">
        <f>SUM(J5:J49)</f>
        <v>3907</v>
      </c>
      <c r="K50" s="118">
        <f>SUM(K5:K49)</f>
        <v>3907</v>
      </c>
      <c r="L50" s="1"/>
      <c r="M50" s="1"/>
      <c r="N50" s="56">
        <f>SUM(N5:N49)</f>
        <v>50</v>
      </c>
      <c r="O50" s="109">
        <f t="shared" ref="O50:Q50" si="0">SUM(O5:O49)</f>
        <v>51</v>
      </c>
      <c r="P50" s="147">
        <f t="shared" si="0"/>
        <v>343</v>
      </c>
      <c r="Q50" s="148">
        <f t="shared" si="0"/>
        <v>329</v>
      </c>
      <c r="R50" s="53"/>
      <c r="S50" s="56">
        <f>SUM(S5:S49)</f>
        <v>90</v>
      </c>
      <c r="T50" s="56">
        <f t="shared" ref="T50:V50" si="1">SUM(T5:T49)</f>
        <v>86</v>
      </c>
      <c r="U50" s="147">
        <f t="shared" si="1"/>
        <v>737</v>
      </c>
      <c r="V50" s="149">
        <f t="shared" si="1"/>
        <v>842</v>
      </c>
    </row>
    <row r="51" spans="1:30" x14ac:dyDescent="0.25">
      <c r="L51" s="1"/>
      <c r="M51" s="1"/>
    </row>
    <row r="53" spans="1:30" ht="71.25" hidden="1" x14ac:dyDescent="0.25">
      <c r="M53" s="136" t="s">
        <v>111</v>
      </c>
      <c r="N53" s="137" t="s">
        <v>112</v>
      </c>
      <c r="O53" s="138" t="s">
        <v>113</v>
      </c>
      <c r="P53" s="137" t="s">
        <v>114</v>
      </c>
      <c r="Q53" s="139" t="s">
        <v>115</v>
      </c>
      <c r="S53" s="137" t="s">
        <v>116</v>
      </c>
      <c r="T53" s="138" t="s">
        <v>117</v>
      </c>
      <c r="U53" s="137" t="s">
        <v>118</v>
      </c>
      <c r="V53" s="139" t="s">
        <v>119</v>
      </c>
    </row>
    <row r="54" spans="1:30" hidden="1" x14ac:dyDescent="0.25">
      <c r="M54" s="133">
        <v>1</v>
      </c>
      <c r="N54" s="140">
        <v>4</v>
      </c>
      <c r="O54" s="140">
        <v>6</v>
      </c>
      <c r="P54" s="141">
        <v>21</v>
      </c>
      <c r="Q54" s="141">
        <v>31</v>
      </c>
      <c r="S54" s="140">
        <v>20</v>
      </c>
      <c r="T54" s="140">
        <v>19</v>
      </c>
      <c r="U54" s="141">
        <v>80</v>
      </c>
      <c r="V54" s="141">
        <v>90</v>
      </c>
    </row>
    <row r="55" spans="1:30" hidden="1" x14ac:dyDescent="0.25">
      <c r="M55" s="133">
        <v>2</v>
      </c>
      <c r="N55" s="140">
        <v>2</v>
      </c>
      <c r="O55" s="140">
        <v>3</v>
      </c>
      <c r="P55" s="141">
        <v>7</v>
      </c>
      <c r="Q55" s="141">
        <v>12</v>
      </c>
      <c r="S55" s="140">
        <v>14</v>
      </c>
      <c r="T55" s="140">
        <v>22</v>
      </c>
      <c r="U55" s="141">
        <v>40</v>
      </c>
      <c r="V55" s="141">
        <v>67</v>
      </c>
    </row>
    <row r="56" spans="1:30" hidden="1" x14ac:dyDescent="0.25">
      <c r="M56" s="133">
        <v>3</v>
      </c>
      <c r="N56" s="140">
        <v>4</v>
      </c>
      <c r="O56" s="140">
        <v>5</v>
      </c>
      <c r="P56" s="141">
        <v>20</v>
      </c>
      <c r="Q56" s="141">
        <v>25</v>
      </c>
      <c r="S56" s="140">
        <v>18</v>
      </c>
      <c r="T56" s="140">
        <v>11</v>
      </c>
      <c r="U56" s="141">
        <v>59</v>
      </c>
      <c r="V56" s="141">
        <v>59</v>
      </c>
    </row>
    <row r="57" spans="1:30" hidden="1" x14ac:dyDescent="0.25">
      <c r="M57" s="133">
        <v>4</v>
      </c>
      <c r="N57" s="140">
        <v>11</v>
      </c>
      <c r="O57" s="140">
        <v>8</v>
      </c>
      <c r="P57" s="141">
        <v>45</v>
      </c>
      <c r="Q57" s="141">
        <v>42</v>
      </c>
      <c r="S57" s="140">
        <v>15</v>
      </c>
      <c r="T57" s="140">
        <v>18</v>
      </c>
      <c r="U57" s="141">
        <v>72</v>
      </c>
      <c r="V57" s="141">
        <v>78</v>
      </c>
    </row>
    <row r="58" spans="1:30" hidden="1" x14ac:dyDescent="0.25">
      <c r="M58" s="133">
        <v>5</v>
      </c>
      <c r="N58" s="140">
        <v>6</v>
      </c>
      <c r="O58" s="140">
        <v>2</v>
      </c>
      <c r="P58" s="141">
        <v>19</v>
      </c>
      <c r="Q58" s="141">
        <v>22</v>
      </c>
      <c r="S58" s="140">
        <v>8</v>
      </c>
      <c r="T58" s="140">
        <v>15</v>
      </c>
      <c r="U58" s="141">
        <v>45</v>
      </c>
      <c r="V58" s="141">
        <v>66</v>
      </c>
    </row>
    <row r="59" spans="1:30" ht="26.25" hidden="1" customHeight="1" x14ac:dyDescent="0.25">
      <c r="M59" s="133">
        <v>6</v>
      </c>
      <c r="N59" s="140">
        <v>4</v>
      </c>
      <c r="O59" s="140">
        <v>3</v>
      </c>
      <c r="P59" s="141">
        <v>20</v>
      </c>
      <c r="Q59" s="141">
        <v>22</v>
      </c>
      <c r="S59" s="140">
        <v>10</v>
      </c>
      <c r="T59" s="140">
        <v>5</v>
      </c>
      <c r="U59" s="141">
        <v>52</v>
      </c>
      <c r="V59" s="141">
        <v>44</v>
      </c>
    </row>
    <row r="60" spans="1:30" ht="15" hidden="1" customHeight="1" x14ac:dyDescent="0.25">
      <c r="M60" s="133">
        <v>7</v>
      </c>
      <c r="N60" s="140">
        <v>6</v>
      </c>
      <c r="O60" s="140">
        <v>13</v>
      </c>
      <c r="P60" s="141">
        <v>40</v>
      </c>
      <c r="Q60" s="141">
        <v>42</v>
      </c>
      <c r="S60" s="140">
        <v>18</v>
      </c>
      <c r="T60" s="140">
        <v>26</v>
      </c>
      <c r="U60" s="141">
        <v>113</v>
      </c>
      <c r="V60" s="141">
        <v>154</v>
      </c>
    </row>
    <row r="61" spans="1:30" x14ac:dyDescent="0.25">
      <c r="X61" s="150"/>
      <c r="Y61" s="150"/>
      <c r="Z61" s="150"/>
      <c r="AA61" s="150"/>
      <c r="AB61" s="150"/>
      <c r="AC61" s="150"/>
      <c r="AD61" s="150"/>
    </row>
    <row r="99" spans="1:12" ht="26.25" x14ac:dyDescent="0.25">
      <c r="A99" s="230" t="s">
        <v>104</v>
      </c>
      <c r="B99" s="230"/>
      <c r="C99" s="230"/>
      <c r="D99" s="230"/>
      <c r="I99" s="232" t="s">
        <v>104</v>
      </c>
      <c r="J99" s="232"/>
      <c r="K99" s="232"/>
      <c r="L99" s="232"/>
    </row>
    <row r="100" spans="1:12" ht="26.25" x14ac:dyDescent="0.25">
      <c r="A100" s="230" t="s">
        <v>105</v>
      </c>
      <c r="B100" s="230"/>
      <c r="C100" s="230" t="s">
        <v>106</v>
      </c>
      <c r="D100" s="230"/>
      <c r="I100" s="232" t="s">
        <v>105</v>
      </c>
      <c r="J100" s="232"/>
      <c r="K100" s="232" t="s">
        <v>106</v>
      </c>
      <c r="L100" s="232"/>
    </row>
    <row r="101" spans="1:12" x14ac:dyDescent="0.25">
      <c r="A101" s="231" t="s">
        <v>107</v>
      </c>
      <c r="B101" s="231" t="s">
        <v>108</v>
      </c>
      <c r="C101" s="231" t="s">
        <v>107</v>
      </c>
      <c r="D101" s="231" t="s">
        <v>108</v>
      </c>
      <c r="I101" s="233" t="s">
        <v>109</v>
      </c>
      <c r="J101" s="233" t="s">
        <v>110</v>
      </c>
      <c r="K101" s="233" t="s">
        <v>109</v>
      </c>
      <c r="L101" s="233" t="s">
        <v>110</v>
      </c>
    </row>
    <row r="102" spans="1:12" ht="50.25" customHeight="1" x14ac:dyDescent="0.25">
      <c r="A102" s="231"/>
      <c r="B102" s="231"/>
      <c r="C102" s="231"/>
      <c r="D102" s="231"/>
      <c r="I102" s="233"/>
      <c r="J102" s="233"/>
      <c r="K102" s="233"/>
      <c r="L102" s="233"/>
    </row>
    <row r="103" spans="1:12" ht="25.5" x14ac:dyDescent="0.25">
      <c r="A103" s="114">
        <v>18</v>
      </c>
      <c r="B103" s="115">
        <v>17</v>
      </c>
      <c r="C103" s="114">
        <v>40</v>
      </c>
      <c r="D103" s="115">
        <v>50</v>
      </c>
      <c r="I103" s="116">
        <v>4</v>
      </c>
      <c r="J103" s="117">
        <v>8</v>
      </c>
      <c r="K103" s="116">
        <v>12</v>
      </c>
      <c r="L103" s="117">
        <v>13</v>
      </c>
    </row>
    <row r="104" spans="1:12" ht="25.5" x14ac:dyDescent="0.25">
      <c r="A104" s="114">
        <v>2</v>
      </c>
      <c r="B104" s="115">
        <v>15</v>
      </c>
      <c r="C104" s="114">
        <v>10</v>
      </c>
      <c r="D104" s="115">
        <v>34</v>
      </c>
      <c r="I104" s="116">
        <v>1</v>
      </c>
      <c r="J104" s="117">
        <v>2</v>
      </c>
      <c r="K104" s="116">
        <v>2</v>
      </c>
      <c r="L104" s="117">
        <v>4</v>
      </c>
    </row>
    <row r="105" spans="1:12" ht="25.5" x14ac:dyDescent="0.25">
      <c r="A105" s="114">
        <v>10</v>
      </c>
      <c r="B105" s="115">
        <v>23</v>
      </c>
      <c r="C105" s="114">
        <v>29</v>
      </c>
      <c r="D105" s="115">
        <v>37</v>
      </c>
      <c r="I105" s="116">
        <v>2</v>
      </c>
      <c r="J105" s="117">
        <v>11</v>
      </c>
      <c r="K105" s="116">
        <v>9</v>
      </c>
      <c r="L105" s="117">
        <v>13</v>
      </c>
    </row>
    <row r="106" spans="1:12" ht="25.5" x14ac:dyDescent="0.25">
      <c r="A106" s="114">
        <v>19</v>
      </c>
      <c r="B106" s="115">
        <v>25</v>
      </c>
      <c r="C106" s="114">
        <v>35</v>
      </c>
      <c r="D106" s="115">
        <v>39</v>
      </c>
      <c r="I106" s="116">
        <v>9</v>
      </c>
      <c r="J106" s="117">
        <v>3</v>
      </c>
      <c r="K106" s="116">
        <v>20</v>
      </c>
      <c r="L106" s="117">
        <v>18</v>
      </c>
    </row>
    <row r="107" spans="1:12" ht="25.5" x14ac:dyDescent="0.25">
      <c r="A107" s="114">
        <v>11</v>
      </c>
      <c r="B107" s="115">
        <v>19</v>
      </c>
      <c r="C107" s="114">
        <v>20</v>
      </c>
      <c r="D107" s="115">
        <v>37</v>
      </c>
      <c r="I107" s="116">
        <v>2</v>
      </c>
      <c r="J107" s="117">
        <v>3</v>
      </c>
      <c r="K107" s="116">
        <v>4</v>
      </c>
      <c r="L107" s="117">
        <v>11</v>
      </c>
    </row>
    <row r="108" spans="1:12" ht="25.5" x14ac:dyDescent="0.25">
      <c r="A108" s="114">
        <v>4</v>
      </c>
      <c r="B108" s="115">
        <v>9</v>
      </c>
      <c r="C108" s="114">
        <v>14</v>
      </c>
      <c r="D108" s="115">
        <v>25</v>
      </c>
      <c r="I108" s="116">
        <v>8</v>
      </c>
      <c r="J108" s="117">
        <v>6</v>
      </c>
      <c r="K108" s="116">
        <v>11</v>
      </c>
      <c r="L108" s="117">
        <v>15</v>
      </c>
    </row>
    <row r="109" spans="1:12" ht="25.5" x14ac:dyDescent="0.25">
      <c r="A109" s="114">
        <v>31</v>
      </c>
      <c r="B109" s="115">
        <v>54</v>
      </c>
      <c r="C109" s="114">
        <v>59</v>
      </c>
      <c r="D109" s="115">
        <v>87</v>
      </c>
      <c r="I109" s="116">
        <v>9</v>
      </c>
      <c r="J109" s="117">
        <v>11</v>
      </c>
      <c r="K109" s="116">
        <v>15</v>
      </c>
      <c r="L109" s="117">
        <v>22</v>
      </c>
    </row>
    <row r="110" spans="1:12" ht="25.5" x14ac:dyDescent="0.25">
      <c r="A110" s="114">
        <v>95</v>
      </c>
      <c r="B110" s="115">
        <v>162</v>
      </c>
      <c r="C110" s="114">
        <v>207</v>
      </c>
      <c r="D110" s="115">
        <v>309</v>
      </c>
      <c r="I110" s="116">
        <v>35</v>
      </c>
      <c r="J110" s="117">
        <v>44</v>
      </c>
      <c r="K110" s="116">
        <v>73</v>
      </c>
      <c r="L110" s="117">
        <v>96</v>
      </c>
    </row>
  </sheetData>
  <sheetProtection password="8A47" sheet="1" objects="1" scenarios="1"/>
  <mergeCells count="120">
    <mergeCell ref="A99:D99"/>
    <mergeCell ref="A100:B100"/>
    <mergeCell ref="C100:D100"/>
    <mergeCell ref="A101:A102"/>
    <mergeCell ref="B101:B102"/>
    <mergeCell ref="C101:C102"/>
    <mergeCell ref="D101:D102"/>
    <mergeCell ref="I99:L99"/>
    <mergeCell ref="I100:J100"/>
    <mergeCell ref="K100:L100"/>
    <mergeCell ref="I101:I102"/>
    <mergeCell ref="J101:J102"/>
    <mergeCell ref="K101:K102"/>
    <mergeCell ref="L101:L102"/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01"/>
  <sheetViews>
    <sheetView zoomScale="70" zoomScaleNormal="70" workbookViewId="0">
      <selection activeCell="I8" sqref="I8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9" ht="45.75" customHeight="1" x14ac:dyDescent="0.25">
      <c r="A1" s="175">
        <f>Holds!A1</f>
        <v>41244</v>
      </c>
      <c r="B1" s="175"/>
      <c r="C1" s="240" t="s">
        <v>65</v>
      </c>
      <c r="D1" s="241"/>
      <c r="E1" s="13"/>
      <c r="F1" s="240" t="s">
        <v>63</v>
      </c>
      <c r="G1" s="241"/>
    </row>
    <row r="2" spans="1:9" s="3" customFormat="1" ht="36.75" customHeight="1" x14ac:dyDescent="0.25">
      <c r="A2" s="175"/>
      <c r="B2" s="175"/>
      <c r="C2" s="21" t="s">
        <v>66</v>
      </c>
      <c r="D2" s="22" t="s">
        <v>99</v>
      </c>
      <c r="F2" s="21" t="s">
        <v>67</v>
      </c>
      <c r="G2" s="22" t="s">
        <v>100</v>
      </c>
    </row>
    <row r="3" spans="1:9" ht="5.25" customHeight="1" x14ac:dyDescent="0.25">
      <c r="A3" s="175"/>
      <c r="B3" s="175"/>
    </row>
    <row r="4" spans="1:9" ht="5.25" customHeight="1" x14ac:dyDescent="0.25">
      <c r="A4" s="178"/>
      <c r="B4" s="178"/>
    </row>
    <row r="5" spans="1:9" ht="15" customHeight="1" x14ac:dyDescent="0.25">
      <c r="A5" s="163" t="s">
        <v>0</v>
      </c>
      <c r="B5" s="9" t="s">
        <v>8</v>
      </c>
      <c r="C5" s="237">
        <v>345</v>
      </c>
      <c r="D5" s="234">
        <v>633</v>
      </c>
      <c r="F5" s="237">
        <v>63</v>
      </c>
      <c r="G5" s="234">
        <v>120</v>
      </c>
      <c r="I5" s="92"/>
    </row>
    <row r="6" spans="1:9" x14ac:dyDescent="0.25">
      <c r="A6" s="164"/>
      <c r="B6" s="10" t="s">
        <v>9</v>
      </c>
      <c r="C6" s="238"/>
      <c r="D6" s="235"/>
      <c r="F6" s="238"/>
      <c r="G6" s="235"/>
      <c r="I6" s="92"/>
    </row>
    <row r="7" spans="1:9" x14ac:dyDescent="0.25">
      <c r="A7" s="164"/>
      <c r="B7" s="10" t="s">
        <v>10</v>
      </c>
      <c r="C7" s="238"/>
      <c r="D7" s="235"/>
      <c r="F7" s="238"/>
      <c r="G7" s="235"/>
      <c r="I7" s="92"/>
    </row>
    <row r="8" spans="1:9" x14ac:dyDescent="0.25">
      <c r="A8" s="164"/>
      <c r="B8" s="10" t="s">
        <v>11</v>
      </c>
      <c r="C8" s="238"/>
      <c r="D8" s="235"/>
      <c r="F8" s="238"/>
      <c r="G8" s="235"/>
      <c r="I8" s="92"/>
    </row>
    <row r="9" spans="1:9" x14ac:dyDescent="0.25">
      <c r="A9" s="165"/>
      <c r="B9" s="10" t="s">
        <v>12</v>
      </c>
      <c r="C9" s="239"/>
      <c r="D9" s="236"/>
      <c r="F9" s="239"/>
      <c r="G9" s="236"/>
      <c r="I9" s="92"/>
    </row>
    <row r="10" spans="1:9" x14ac:dyDescent="0.25">
      <c r="A10" s="163" t="s">
        <v>1</v>
      </c>
      <c r="B10" s="9" t="s">
        <v>14</v>
      </c>
      <c r="C10" s="237">
        <v>221</v>
      </c>
      <c r="D10" s="234">
        <v>441</v>
      </c>
      <c r="F10" s="237">
        <v>79</v>
      </c>
      <c r="G10" s="234">
        <v>102</v>
      </c>
      <c r="I10" s="92"/>
    </row>
    <row r="11" spans="1:9" x14ac:dyDescent="0.25">
      <c r="A11" s="164"/>
      <c r="B11" s="10" t="s">
        <v>15</v>
      </c>
      <c r="C11" s="238"/>
      <c r="D11" s="235"/>
      <c r="F11" s="238"/>
      <c r="G11" s="235"/>
      <c r="I11" s="92"/>
    </row>
    <row r="12" spans="1:9" x14ac:dyDescent="0.25">
      <c r="A12" s="164"/>
      <c r="B12" s="10" t="s">
        <v>16</v>
      </c>
      <c r="C12" s="238"/>
      <c r="D12" s="235"/>
      <c r="F12" s="238"/>
      <c r="G12" s="235"/>
    </row>
    <row r="13" spans="1:9" x14ac:dyDescent="0.25">
      <c r="A13" s="164"/>
      <c r="B13" s="10" t="s">
        <v>17</v>
      </c>
      <c r="C13" s="238"/>
      <c r="D13" s="235"/>
      <c r="F13" s="238"/>
      <c r="G13" s="235"/>
    </row>
    <row r="14" spans="1:9" x14ac:dyDescent="0.25">
      <c r="A14" s="165"/>
      <c r="B14" s="10" t="s">
        <v>18</v>
      </c>
      <c r="C14" s="239"/>
      <c r="D14" s="236"/>
      <c r="F14" s="239"/>
      <c r="G14" s="236"/>
    </row>
    <row r="15" spans="1:9" x14ac:dyDescent="0.25">
      <c r="A15" s="163" t="s">
        <v>2</v>
      </c>
      <c r="B15" s="9" t="s">
        <v>19</v>
      </c>
      <c r="C15" s="237">
        <v>584</v>
      </c>
      <c r="D15" s="234">
        <v>865</v>
      </c>
      <c r="F15" s="237">
        <v>72</v>
      </c>
      <c r="G15" s="234">
        <v>135</v>
      </c>
    </row>
    <row r="16" spans="1:9" x14ac:dyDescent="0.25">
      <c r="A16" s="164"/>
      <c r="B16" s="10" t="s">
        <v>20</v>
      </c>
      <c r="C16" s="238"/>
      <c r="D16" s="235"/>
      <c r="F16" s="238"/>
      <c r="G16" s="235"/>
    </row>
    <row r="17" spans="1:7" x14ac:dyDescent="0.25">
      <c r="A17" s="164"/>
      <c r="B17" s="10" t="s">
        <v>21</v>
      </c>
      <c r="C17" s="238"/>
      <c r="D17" s="235"/>
      <c r="F17" s="238"/>
      <c r="G17" s="235"/>
    </row>
    <row r="18" spans="1:7" x14ac:dyDescent="0.25">
      <c r="A18" s="164"/>
      <c r="B18" s="10" t="s">
        <v>22</v>
      </c>
      <c r="C18" s="238"/>
      <c r="D18" s="235"/>
      <c r="F18" s="238"/>
      <c r="G18" s="235"/>
    </row>
    <row r="19" spans="1:7" x14ac:dyDescent="0.25">
      <c r="A19" s="164"/>
      <c r="B19" s="10" t="s">
        <v>23</v>
      </c>
      <c r="C19" s="238"/>
      <c r="D19" s="235"/>
      <c r="F19" s="238"/>
      <c r="G19" s="235"/>
    </row>
    <row r="20" spans="1:7" x14ac:dyDescent="0.25">
      <c r="A20" s="165"/>
      <c r="B20" s="10" t="s">
        <v>24</v>
      </c>
      <c r="C20" s="239"/>
      <c r="D20" s="236"/>
      <c r="F20" s="239"/>
      <c r="G20" s="236"/>
    </row>
    <row r="21" spans="1:7" x14ac:dyDescent="0.25">
      <c r="A21" s="163" t="s">
        <v>3</v>
      </c>
      <c r="B21" s="9" t="s">
        <v>25</v>
      </c>
      <c r="C21" s="237">
        <v>598</v>
      </c>
      <c r="D21" s="234">
        <v>1596</v>
      </c>
      <c r="F21" s="237">
        <v>154</v>
      </c>
      <c r="G21" s="234">
        <v>264</v>
      </c>
    </row>
    <row r="22" spans="1:7" x14ac:dyDescent="0.25">
      <c r="A22" s="164"/>
      <c r="B22" s="10" t="s">
        <v>26</v>
      </c>
      <c r="C22" s="238"/>
      <c r="D22" s="235"/>
      <c r="F22" s="238"/>
      <c r="G22" s="235"/>
    </row>
    <row r="23" spans="1:7" x14ac:dyDescent="0.25">
      <c r="A23" s="164"/>
      <c r="B23" s="10" t="s">
        <v>27</v>
      </c>
      <c r="C23" s="238"/>
      <c r="D23" s="235"/>
      <c r="F23" s="238"/>
      <c r="G23" s="235"/>
    </row>
    <row r="24" spans="1:7" x14ac:dyDescent="0.25">
      <c r="A24" s="165"/>
      <c r="B24" s="10" t="s">
        <v>28</v>
      </c>
      <c r="C24" s="239"/>
      <c r="D24" s="236"/>
      <c r="F24" s="239"/>
      <c r="G24" s="236"/>
    </row>
    <row r="25" spans="1:7" x14ac:dyDescent="0.25">
      <c r="A25" s="163" t="s">
        <v>4</v>
      </c>
      <c r="B25" s="9" t="s">
        <v>29</v>
      </c>
      <c r="C25" s="237">
        <v>234</v>
      </c>
      <c r="D25" s="234">
        <v>580</v>
      </c>
      <c r="F25" s="237">
        <v>68</v>
      </c>
      <c r="G25" s="234">
        <v>132</v>
      </c>
    </row>
    <row r="26" spans="1:7" x14ac:dyDescent="0.25">
      <c r="A26" s="164"/>
      <c r="B26" s="10" t="s">
        <v>30</v>
      </c>
      <c r="C26" s="238"/>
      <c r="D26" s="235"/>
      <c r="F26" s="238"/>
      <c r="G26" s="235"/>
    </row>
    <row r="27" spans="1:7" x14ac:dyDescent="0.25">
      <c r="A27" s="164"/>
      <c r="B27" s="10" t="s">
        <v>31</v>
      </c>
      <c r="C27" s="238"/>
      <c r="D27" s="235"/>
      <c r="F27" s="238"/>
      <c r="G27" s="235"/>
    </row>
    <row r="28" spans="1:7" x14ac:dyDescent="0.25">
      <c r="A28" s="164"/>
      <c r="B28" s="10" t="s">
        <v>32</v>
      </c>
      <c r="C28" s="238"/>
      <c r="D28" s="235"/>
      <c r="F28" s="238"/>
      <c r="G28" s="235"/>
    </row>
    <row r="29" spans="1:7" x14ac:dyDescent="0.25">
      <c r="A29" s="164"/>
      <c r="B29" s="10" t="s">
        <v>33</v>
      </c>
      <c r="C29" s="238"/>
      <c r="D29" s="235"/>
      <c r="F29" s="238"/>
      <c r="G29" s="235"/>
    </row>
    <row r="30" spans="1:7" x14ac:dyDescent="0.25">
      <c r="A30" s="164"/>
      <c r="B30" s="10" t="s">
        <v>69</v>
      </c>
      <c r="C30" s="238"/>
      <c r="D30" s="235"/>
      <c r="F30" s="238"/>
      <c r="G30" s="235"/>
    </row>
    <row r="31" spans="1:7" x14ac:dyDescent="0.25">
      <c r="A31" s="164"/>
      <c r="B31" s="10" t="s">
        <v>34</v>
      </c>
      <c r="C31" s="238"/>
      <c r="D31" s="235"/>
      <c r="F31" s="238"/>
      <c r="G31" s="235"/>
    </row>
    <row r="32" spans="1:7" x14ac:dyDescent="0.25">
      <c r="A32" s="165"/>
      <c r="B32" s="10" t="s">
        <v>35</v>
      </c>
      <c r="C32" s="239"/>
      <c r="D32" s="236"/>
      <c r="F32" s="239"/>
      <c r="G32" s="236"/>
    </row>
    <row r="33" spans="1:13" x14ac:dyDescent="0.25">
      <c r="A33" s="163" t="s">
        <v>5</v>
      </c>
      <c r="B33" s="9" t="s">
        <v>36</v>
      </c>
      <c r="C33" s="237">
        <v>228</v>
      </c>
      <c r="D33" s="234">
        <v>501</v>
      </c>
      <c r="F33" s="237">
        <v>51</v>
      </c>
      <c r="G33" s="234">
        <v>103</v>
      </c>
    </row>
    <row r="34" spans="1:13" x14ac:dyDescent="0.25">
      <c r="A34" s="164"/>
      <c r="B34" s="10" t="s">
        <v>37</v>
      </c>
      <c r="C34" s="238"/>
      <c r="D34" s="235"/>
      <c r="F34" s="238"/>
      <c r="G34" s="235"/>
    </row>
    <row r="35" spans="1:13" x14ac:dyDescent="0.25">
      <c r="A35" s="164"/>
      <c r="B35" s="10" t="s">
        <v>38</v>
      </c>
      <c r="C35" s="238"/>
      <c r="D35" s="235"/>
      <c r="F35" s="238"/>
      <c r="G35" s="235"/>
    </row>
    <row r="36" spans="1:13" x14ac:dyDescent="0.25">
      <c r="A36" s="164"/>
      <c r="B36" s="10" t="s">
        <v>39</v>
      </c>
      <c r="C36" s="238"/>
      <c r="D36" s="235"/>
      <c r="F36" s="238"/>
      <c r="G36" s="235"/>
    </row>
    <row r="37" spans="1:13" x14ac:dyDescent="0.25">
      <c r="A37" s="164"/>
      <c r="B37" s="10" t="s">
        <v>40</v>
      </c>
      <c r="C37" s="238"/>
      <c r="D37" s="235"/>
      <c r="F37" s="238"/>
      <c r="G37" s="235"/>
    </row>
    <row r="38" spans="1:13" x14ac:dyDescent="0.25">
      <c r="A38" s="165"/>
      <c r="B38" s="10" t="s">
        <v>41</v>
      </c>
      <c r="C38" s="239"/>
      <c r="D38" s="236"/>
      <c r="F38" s="239"/>
      <c r="G38" s="236"/>
    </row>
    <row r="39" spans="1:13" x14ac:dyDescent="0.25">
      <c r="A39" s="163" t="s">
        <v>6</v>
      </c>
      <c r="B39" s="9" t="s">
        <v>42</v>
      </c>
      <c r="C39" s="237">
        <v>488</v>
      </c>
      <c r="D39" s="234">
        <v>975</v>
      </c>
      <c r="F39" s="237">
        <v>157</v>
      </c>
      <c r="G39" s="234">
        <v>326</v>
      </c>
    </row>
    <row r="40" spans="1:13" x14ac:dyDescent="0.25">
      <c r="A40" s="164"/>
      <c r="B40" s="10" t="s">
        <v>43</v>
      </c>
      <c r="C40" s="238"/>
      <c r="D40" s="235"/>
      <c r="F40" s="238"/>
      <c r="G40" s="235"/>
    </row>
    <row r="41" spans="1:13" x14ac:dyDescent="0.25">
      <c r="A41" s="164"/>
      <c r="B41" s="10" t="s">
        <v>44</v>
      </c>
      <c r="C41" s="238"/>
      <c r="D41" s="235"/>
      <c r="F41" s="238"/>
      <c r="G41" s="235"/>
      <c r="J41" s="92"/>
      <c r="K41" s="92"/>
      <c r="L41" s="92"/>
      <c r="M41" s="92"/>
    </row>
    <row r="42" spans="1:13" x14ac:dyDescent="0.25">
      <c r="A42" s="164"/>
      <c r="B42" s="10" t="s">
        <v>45</v>
      </c>
      <c r="C42" s="238"/>
      <c r="D42" s="235"/>
      <c r="F42" s="238"/>
      <c r="G42" s="235"/>
    </row>
    <row r="43" spans="1:13" x14ac:dyDescent="0.25">
      <c r="A43" s="164"/>
      <c r="B43" s="10" t="s">
        <v>46</v>
      </c>
      <c r="C43" s="238"/>
      <c r="D43" s="235"/>
      <c r="F43" s="238"/>
      <c r="G43" s="235"/>
    </row>
    <row r="44" spans="1:13" x14ac:dyDescent="0.25">
      <c r="A44" s="164"/>
      <c r="B44" s="10" t="s">
        <v>47</v>
      </c>
      <c r="C44" s="238"/>
      <c r="D44" s="235"/>
      <c r="F44" s="238"/>
      <c r="G44" s="235"/>
    </row>
    <row r="45" spans="1:13" x14ac:dyDescent="0.25">
      <c r="A45" s="164"/>
      <c r="B45" s="10" t="s">
        <v>48</v>
      </c>
      <c r="C45" s="238"/>
      <c r="D45" s="235"/>
      <c r="F45" s="238"/>
      <c r="G45" s="235"/>
    </row>
    <row r="46" spans="1:13" x14ac:dyDescent="0.25">
      <c r="A46" s="164"/>
      <c r="B46" s="10" t="s">
        <v>49</v>
      </c>
      <c r="C46" s="238"/>
      <c r="D46" s="235"/>
      <c r="F46" s="238"/>
      <c r="G46" s="235"/>
    </row>
    <row r="47" spans="1:13" x14ac:dyDescent="0.25">
      <c r="A47" s="164"/>
      <c r="B47" s="10" t="s">
        <v>50</v>
      </c>
      <c r="C47" s="238"/>
      <c r="D47" s="235"/>
      <c r="F47" s="238"/>
      <c r="G47" s="235"/>
    </row>
    <row r="48" spans="1:13" x14ac:dyDescent="0.25">
      <c r="A48" s="165"/>
      <c r="B48" s="10" t="s">
        <v>51</v>
      </c>
      <c r="C48" s="239"/>
      <c r="D48" s="236"/>
      <c r="F48" s="239"/>
      <c r="G48" s="236"/>
    </row>
    <row r="49" spans="1:15" x14ac:dyDescent="0.25">
      <c r="A49" s="11" t="s">
        <v>13</v>
      </c>
      <c r="B49" s="12"/>
      <c r="C49" s="86" t="s">
        <v>87</v>
      </c>
      <c r="D49" s="104" t="s">
        <v>87</v>
      </c>
      <c r="E49" s="105"/>
      <c r="F49" s="86" t="s">
        <v>87</v>
      </c>
      <c r="G49" s="104" t="s">
        <v>87</v>
      </c>
    </row>
    <row r="50" spans="1:15" x14ac:dyDescent="0.25">
      <c r="A50" s="11" t="s">
        <v>7</v>
      </c>
      <c r="B50" s="12"/>
      <c r="C50" s="63">
        <f>SUM(C5:C49)</f>
        <v>2698</v>
      </c>
      <c r="D50" s="64">
        <f>SUM(D5:D49)</f>
        <v>5591</v>
      </c>
      <c r="F50" s="63">
        <f>SUM(F5:F49)</f>
        <v>644</v>
      </c>
      <c r="G50" s="64">
        <f>SUM(G5:G49)</f>
        <v>1182</v>
      </c>
    </row>
    <row r="51" spans="1:15" x14ac:dyDescent="0.25">
      <c r="I51" s="92"/>
      <c r="N51" s="92"/>
      <c r="O51" s="92"/>
    </row>
    <row r="58" spans="1:15" ht="24" hidden="1" x14ac:dyDescent="0.25">
      <c r="C58" s="142" t="s">
        <v>120</v>
      </c>
      <c r="D58" s="142" t="s">
        <v>121</v>
      </c>
      <c r="F58" s="142" t="s">
        <v>122</v>
      </c>
      <c r="G58" s="142" t="s">
        <v>123</v>
      </c>
    </row>
    <row r="59" spans="1:15" hidden="1" x14ac:dyDescent="0.25">
      <c r="C59" s="143">
        <v>318</v>
      </c>
      <c r="D59" s="143">
        <v>516</v>
      </c>
      <c r="F59" s="143">
        <v>57</v>
      </c>
      <c r="G59" s="143">
        <v>95</v>
      </c>
    </row>
    <row r="60" spans="1:15" hidden="1" x14ac:dyDescent="0.25">
      <c r="C60" s="143">
        <v>226</v>
      </c>
      <c r="D60" s="143">
        <v>366</v>
      </c>
      <c r="F60" s="143">
        <v>66</v>
      </c>
      <c r="G60" s="143">
        <v>85</v>
      </c>
      <c r="J60">
        <v>76</v>
      </c>
      <c r="K60">
        <v>114</v>
      </c>
      <c r="L60">
        <v>45</v>
      </c>
      <c r="M60">
        <v>48</v>
      </c>
    </row>
    <row r="61" spans="1:15" hidden="1" x14ac:dyDescent="0.25">
      <c r="C61" s="143">
        <v>444</v>
      </c>
      <c r="D61" s="143">
        <v>634</v>
      </c>
      <c r="F61" s="143">
        <v>58</v>
      </c>
      <c r="G61" s="143">
        <v>102</v>
      </c>
      <c r="J61">
        <v>83</v>
      </c>
      <c r="K61">
        <v>147</v>
      </c>
      <c r="L61">
        <v>68</v>
      </c>
      <c r="M61">
        <v>66</v>
      </c>
    </row>
    <row r="62" spans="1:15" hidden="1" x14ac:dyDescent="0.25">
      <c r="C62" s="143">
        <v>587</v>
      </c>
      <c r="D62" s="143">
        <v>1224</v>
      </c>
      <c r="F62" s="143">
        <v>126</v>
      </c>
      <c r="G62" s="143">
        <v>208</v>
      </c>
    </row>
    <row r="63" spans="1:15" hidden="1" x14ac:dyDescent="0.25">
      <c r="C63" s="143">
        <v>216</v>
      </c>
      <c r="D63" s="143">
        <v>463</v>
      </c>
      <c r="F63" s="143">
        <v>54</v>
      </c>
      <c r="G63" s="143">
        <v>99</v>
      </c>
    </row>
    <row r="64" spans="1:15" hidden="1" x14ac:dyDescent="0.25">
      <c r="C64" s="143">
        <v>213</v>
      </c>
      <c r="D64" s="143">
        <v>399</v>
      </c>
      <c r="F64" s="143">
        <v>54</v>
      </c>
      <c r="G64" s="143">
        <v>90</v>
      </c>
    </row>
    <row r="65" spans="3:14" hidden="1" x14ac:dyDescent="0.25">
      <c r="C65" s="143">
        <v>442</v>
      </c>
      <c r="D65" s="143">
        <v>796</v>
      </c>
      <c r="F65" s="143">
        <v>165</v>
      </c>
      <c r="G65" s="143">
        <v>270</v>
      </c>
    </row>
    <row r="66" spans="3:14" hidden="1" x14ac:dyDescent="0.25">
      <c r="C66" s="144">
        <v>2446</v>
      </c>
      <c r="D66" s="144">
        <v>4398</v>
      </c>
      <c r="F66" s="144">
        <v>580</v>
      </c>
      <c r="G66" s="144">
        <v>949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430</v>
      </c>
      <c r="K71">
        <v>605</v>
      </c>
      <c r="L71">
        <v>236</v>
      </c>
      <c r="M71">
        <v>244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  <c r="J72">
        <v>527</v>
      </c>
      <c r="K72">
        <v>830</v>
      </c>
      <c r="L72">
        <v>362</v>
      </c>
      <c r="M72">
        <v>315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N81">
        <v>543</v>
      </c>
    </row>
    <row r="82" spans="8:14" hidden="1" x14ac:dyDescent="0.25">
      <c r="H82">
        <v>414</v>
      </c>
      <c r="I82">
        <v>266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ht="43.5" customHeight="1" x14ac:dyDescent="0.25"/>
    <row r="98" ht="44.25" customHeight="1" x14ac:dyDescent="0.25"/>
    <row r="99" ht="37.5" customHeight="1" x14ac:dyDescent="0.25"/>
    <row r="100" ht="37.5" customHeight="1" x14ac:dyDescent="0.25"/>
    <row r="101" ht="37.5" customHeight="1" x14ac:dyDescent="0.25"/>
  </sheetData>
  <sheetProtection password="8A47" sheet="1" objects="1" scenarios="1"/>
  <mergeCells count="38">
    <mergeCell ref="C10:C14"/>
    <mergeCell ref="D10:D14"/>
    <mergeCell ref="F10:F14"/>
    <mergeCell ref="G10:G14"/>
    <mergeCell ref="C1:D1"/>
    <mergeCell ref="F1:G1"/>
    <mergeCell ref="C5:C9"/>
    <mergeCell ref="D5:D9"/>
    <mergeCell ref="F5:F9"/>
    <mergeCell ref="G5:G9"/>
    <mergeCell ref="C21:C24"/>
    <mergeCell ref="D21:D24"/>
    <mergeCell ref="F21:F24"/>
    <mergeCell ref="G21:G24"/>
    <mergeCell ref="G15:G20"/>
    <mergeCell ref="F15:F20"/>
    <mergeCell ref="D15:D20"/>
    <mergeCell ref="C15:C20"/>
    <mergeCell ref="G25:G32"/>
    <mergeCell ref="G33:G38"/>
    <mergeCell ref="F33:F38"/>
    <mergeCell ref="F25:F32"/>
    <mergeCell ref="F39:F48"/>
    <mergeCell ref="G39:G48"/>
    <mergeCell ref="D25:D32"/>
    <mergeCell ref="D33:D38"/>
    <mergeCell ref="C33:C38"/>
    <mergeCell ref="C25:C32"/>
    <mergeCell ref="D39:D48"/>
    <mergeCell ref="C39:C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08"/>
  <sheetViews>
    <sheetView zoomScale="70" zoomScaleNormal="70" workbookViewId="0">
      <selection activeCell="S23" sqref="S23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05" customWidth="1"/>
    <col min="13" max="14" width="11.140625" customWidth="1"/>
  </cols>
  <sheetData>
    <row r="1" spans="1:23" s="2" customFormat="1" ht="81" customHeight="1" x14ac:dyDescent="0.25">
      <c r="A1" s="175">
        <f>Holds!A1</f>
        <v>41244</v>
      </c>
      <c r="B1" s="175"/>
      <c r="C1" s="240" t="s">
        <v>68</v>
      </c>
      <c r="D1" s="241"/>
      <c r="E1" s="5"/>
      <c r="F1" s="240" t="s">
        <v>73</v>
      </c>
      <c r="G1" s="254"/>
      <c r="H1" s="254"/>
      <c r="I1" s="241"/>
      <c r="J1" s="5"/>
      <c r="K1" s="240" t="s">
        <v>74</v>
      </c>
      <c r="L1" s="254"/>
      <c r="M1" s="254"/>
      <c r="N1" s="241"/>
    </row>
    <row r="2" spans="1:23" s="2" customFormat="1" ht="36.75" x14ac:dyDescent="0.25">
      <c r="A2" s="175"/>
      <c r="B2" s="175"/>
      <c r="C2" s="23" t="s">
        <v>53</v>
      </c>
      <c r="D2" s="24" t="s">
        <v>101</v>
      </c>
      <c r="E2" s="14"/>
      <c r="F2" s="16" t="s">
        <v>60</v>
      </c>
      <c r="G2" s="17" t="s">
        <v>61</v>
      </c>
      <c r="H2" s="26" t="s">
        <v>102</v>
      </c>
      <c r="I2" s="27" t="s">
        <v>103</v>
      </c>
      <c r="J2" s="15"/>
      <c r="K2" s="16" t="s">
        <v>60</v>
      </c>
      <c r="L2" s="110" t="s">
        <v>61</v>
      </c>
      <c r="M2" s="26" t="s">
        <v>102</v>
      </c>
      <c r="N2" s="27" t="s">
        <v>103</v>
      </c>
    </row>
    <row r="3" spans="1:23" ht="3" customHeight="1" x14ac:dyDescent="0.25">
      <c r="A3" s="175"/>
      <c r="B3" s="175"/>
    </row>
    <row r="4" spans="1:23" ht="3" customHeight="1" x14ac:dyDescent="0.25">
      <c r="A4" s="178"/>
      <c r="B4" s="178"/>
    </row>
    <row r="5" spans="1:23" x14ac:dyDescent="0.25">
      <c r="A5" s="163" t="s">
        <v>0</v>
      </c>
      <c r="B5" s="9" t="s">
        <v>8</v>
      </c>
      <c r="C5" s="251">
        <v>4</v>
      </c>
      <c r="D5" s="252">
        <v>48</v>
      </c>
      <c r="F5" s="67"/>
      <c r="G5" s="245">
        <f>SUM(F5:F9)</f>
        <v>39</v>
      </c>
      <c r="H5" s="69">
        <v>3</v>
      </c>
      <c r="I5" s="248">
        <f>SUM(H5:H9)</f>
        <v>293</v>
      </c>
      <c r="K5" s="67"/>
      <c r="L5" s="153">
        <f>SUM(K5:K9)</f>
        <v>4</v>
      </c>
      <c r="M5" s="72">
        <v>1</v>
      </c>
      <c r="N5" s="242">
        <f>SUM(M5:M9)</f>
        <v>62</v>
      </c>
      <c r="O5" s="1"/>
      <c r="P5" s="1"/>
      <c r="Q5" s="1"/>
      <c r="R5" s="1"/>
      <c r="S5" s="1"/>
    </row>
    <row r="6" spans="1:23" x14ac:dyDescent="0.25">
      <c r="A6" s="164"/>
      <c r="B6" s="10" t="s">
        <v>9</v>
      </c>
      <c r="C6" s="164"/>
      <c r="D6" s="253"/>
      <c r="F6" s="67">
        <v>5</v>
      </c>
      <c r="G6" s="246"/>
      <c r="H6" s="69">
        <v>30</v>
      </c>
      <c r="I6" s="249"/>
      <c r="K6" s="67">
        <v>1</v>
      </c>
      <c r="L6" s="154"/>
      <c r="M6" s="72">
        <v>9</v>
      </c>
      <c r="N6" s="243"/>
      <c r="O6" s="1"/>
      <c r="P6" s="1"/>
      <c r="Q6" s="1"/>
      <c r="R6" s="1"/>
      <c r="S6" s="1"/>
    </row>
    <row r="7" spans="1:23" x14ac:dyDescent="0.25">
      <c r="A7" s="164"/>
      <c r="B7" s="10" t="s">
        <v>10</v>
      </c>
      <c r="C7" s="164"/>
      <c r="D7" s="253"/>
      <c r="F7" s="67"/>
      <c r="G7" s="246"/>
      <c r="H7" s="69"/>
      <c r="I7" s="249"/>
      <c r="K7" s="67"/>
      <c r="L7" s="154"/>
      <c r="M7" s="72"/>
      <c r="N7" s="243"/>
      <c r="O7" s="1"/>
      <c r="P7" s="1"/>
      <c r="Q7" s="1"/>
      <c r="R7" s="1"/>
      <c r="S7" s="1"/>
    </row>
    <row r="8" spans="1:23" x14ac:dyDescent="0.25">
      <c r="A8" s="164"/>
      <c r="B8" s="10" t="s">
        <v>11</v>
      </c>
      <c r="C8" s="164"/>
      <c r="D8" s="253"/>
      <c r="F8" s="67">
        <v>33</v>
      </c>
      <c r="G8" s="246"/>
      <c r="H8" s="69">
        <v>250</v>
      </c>
      <c r="I8" s="249"/>
      <c r="K8" s="67">
        <v>3</v>
      </c>
      <c r="L8" s="154"/>
      <c r="M8" s="72">
        <v>46</v>
      </c>
      <c r="N8" s="243"/>
      <c r="O8" s="1"/>
      <c r="P8" s="1"/>
      <c r="Q8" s="1"/>
      <c r="R8" s="1"/>
      <c r="S8" s="1"/>
    </row>
    <row r="9" spans="1:23" x14ac:dyDescent="0.25">
      <c r="A9" s="165"/>
      <c r="B9" s="10" t="s">
        <v>12</v>
      </c>
      <c r="C9" s="164"/>
      <c r="D9" s="253"/>
      <c r="F9" s="67">
        <v>1</v>
      </c>
      <c r="G9" s="247"/>
      <c r="H9" s="69">
        <v>10</v>
      </c>
      <c r="I9" s="250"/>
      <c r="K9" s="67"/>
      <c r="L9" s="155"/>
      <c r="M9" s="72">
        <v>6</v>
      </c>
      <c r="N9" s="244"/>
      <c r="O9" s="1"/>
      <c r="P9" s="1"/>
      <c r="Q9" s="1"/>
      <c r="R9" s="1"/>
      <c r="S9" s="1"/>
    </row>
    <row r="10" spans="1:23" x14ac:dyDescent="0.25">
      <c r="A10" s="163" t="s">
        <v>1</v>
      </c>
      <c r="B10" s="9" t="s">
        <v>14</v>
      </c>
      <c r="C10" s="251">
        <v>8</v>
      </c>
      <c r="D10" s="252">
        <v>51</v>
      </c>
      <c r="F10" s="67">
        <v>1</v>
      </c>
      <c r="G10" s="245">
        <f>SUM(F10:F14)</f>
        <v>9</v>
      </c>
      <c r="H10" s="69">
        <v>5</v>
      </c>
      <c r="I10" s="248">
        <f>SUM(H10:H14)</f>
        <v>97</v>
      </c>
      <c r="K10" s="67"/>
      <c r="L10" s="153">
        <f>SUM(K10:K14)</f>
        <v>1</v>
      </c>
      <c r="M10" s="72">
        <v>3</v>
      </c>
      <c r="N10" s="242">
        <f>SUM(M10:M14)</f>
        <v>34</v>
      </c>
      <c r="O10" s="1"/>
      <c r="P10" s="1"/>
      <c r="Q10" s="1"/>
      <c r="R10" s="1"/>
      <c r="S10" s="1"/>
    </row>
    <row r="11" spans="1:23" x14ac:dyDescent="0.25">
      <c r="A11" s="164"/>
      <c r="B11" s="10" t="s">
        <v>15</v>
      </c>
      <c r="C11" s="164"/>
      <c r="D11" s="253"/>
      <c r="F11" s="67"/>
      <c r="G11" s="246"/>
      <c r="H11" s="69">
        <v>3</v>
      </c>
      <c r="I11" s="249"/>
      <c r="K11" s="67"/>
      <c r="L11" s="154"/>
      <c r="M11" s="72">
        <v>2</v>
      </c>
      <c r="N11" s="243"/>
      <c r="O11" s="1"/>
      <c r="P11" s="1"/>
      <c r="Q11" s="1"/>
      <c r="R11" s="1"/>
      <c r="S11" s="1"/>
    </row>
    <row r="12" spans="1:23" x14ac:dyDescent="0.25">
      <c r="A12" s="164"/>
      <c r="B12" s="10" t="s">
        <v>16</v>
      </c>
      <c r="C12" s="164"/>
      <c r="D12" s="253"/>
      <c r="F12" s="67">
        <v>1</v>
      </c>
      <c r="G12" s="246"/>
      <c r="H12" s="69">
        <v>25</v>
      </c>
      <c r="I12" s="249"/>
      <c r="K12" s="67"/>
      <c r="L12" s="154"/>
      <c r="M12" s="72">
        <v>5</v>
      </c>
      <c r="N12" s="243"/>
      <c r="O12" s="1"/>
      <c r="P12" s="1"/>
      <c r="Q12" s="1"/>
      <c r="R12" s="1"/>
      <c r="S12" s="1"/>
    </row>
    <row r="13" spans="1:23" x14ac:dyDescent="0.25">
      <c r="A13" s="164"/>
      <c r="B13" s="10" t="s">
        <v>17</v>
      </c>
      <c r="C13" s="164"/>
      <c r="D13" s="253"/>
      <c r="F13" s="67"/>
      <c r="G13" s="246"/>
      <c r="H13" s="69">
        <v>2</v>
      </c>
      <c r="I13" s="249"/>
      <c r="K13" s="67"/>
      <c r="L13" s="154"/>
      <c r="M13" s="72">
        <v>2</v>
      </c>
      <c r="N13" s="243"/>
      <c r="O13" s="1"/>
      <c r="P13" s="1"/>
      <c r="Q13" s="1"/>
      <c r="R13" s="1"/>
      <c r="S13" s="1"/>
      <c r="T13" s="1"/>
      <c r="U13" s="1"/>
    </row>
    <row r="14" spans="1:23" x14ac:dyDescent="0.25">
      <c r="A14" s="165"/>
      <c r="B14" s="10" t="s">
        <v>18</v>
      </c>
      <c r="C14" s="164"/>
      <c r="D14" s="253"/>
      <c r="F14" s="67">
        <v>7</v>
      </c>
      <c r="G14" s="247"/>
      <c r="H14" s="69">
        <v>62</v>
      </c>
      <c r="I14" s="250"/>
      <c r="K14" s="67">
        <v>1</v>
      </c>
      <c r="L14" s="155"/>
      <c r="M14" s="72">
        <v>22</v>
      </c>
      <c r="N14" s="244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63" t="s">
        <v>2</v>
      </c>
      <c r="B15" s="9" t="s">
        <v>19</v>
      </c>
      <c r="C15" s="251">
        <v>28</v>
      </c>
      <c r="D15" s="252">
        <v>137</v>
      </c>
      <c r="F15" s="67">
        <v>2</v>
      </c>
      <c r="G15" s="245">
        <f>SUM(F15:F20)</f>
        <v>101</v>
      </c>
      <c r="H15" s="69">
        <v>7</v>
      </c>
      <c r="I15" s="248">
        <f>SUM(H15:H20)</f>
        <v>496</v>
      </c>
      <c r="K15" s="67"/>
      <c r="L15" s="153">
        <f>SUM(K15:K20)</f>
        <v>10</v>
      </c>
      <c r="M15" s="72">
        <v>2</v>
      </c>
      <c r="N15" s="242">
        <f>SUM(M15:M20)</f>
        <v>81</v>
      </c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64"/>
      <c r="B16" s="10" t="s">
        <v>20</v>
      </c>
      <c r="C16" s="164"/>
      <c r="D16" s="253"/>
      <c r="F16" s="67">
        <v>94</v>
      </c>
      <c r="G16" s="246"/>
      <c r="H16" s="69">
        <v>422</v>
      </c>
      <c r="I16" s="249"/>
      <c r="K16" s="67">
        <v>9</v>
      </c>
      <c r="L16" s="154"/>
      <c r="M16" s="72">
        <v>66</v>
      </c>
      <c r="N16" s="243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64"/>
      <c r="B17" s="10" t="s">
        <v>21</v>
      </c>
      <c r="C17" s="164"/>
      <c r="D17" s="253"/>
      <c r="F17" s="67"/>
      <c r="G17" s="246"/>
      <c r="H17" s="69">
        <v>17</v>
      </c>
      <c r="I17" s="249"/>
      <c r="K17" s="67"/>
      <c r="L17" s="154"/>
      <c r="M17" s="72">
        <v>2</v>
      </c>
      <c r="N17" s="243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64"/>
      <c r="B18" s="10" t="s">
        <v>22</v>
      </c>
      <c r="C18" s="164"/>
      <c r="D18" s="253"/>
      <c r="F18" s="67"/>
      <c r="G18" s="246"/>
      <c r="H18" s="69">
        <v>12</v>
      </c>
      <c r="I18" s="249"/>
      <c r="K18" s="67"/>
      <c r="L18" s="154"/>
      <c r="M18" s="72">
        <v>3</v>
      </c>
      <c r="N18" s="243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64"/>
      <c r="B19" s="10" t="s">
        <v>23</v>
      </c>
      <c r="C19" s="164"/>
      <c r="D19" s="253"/>
      <c r="F19" s="67">
        <v>3</v>
      </c>
      <c r="G19" s="246"/>
      <c r="H19" s="69">
        <v>20</v>
      </c>
      <c r="I19" s="249"/>
      <c r="K19" s="67">
        <v>1</v>
      </c>
      <c r="L19" s="154"/>
      <c r="M19" s="72">
        <v>6</v>
      </c>
      <c r="N19" s="243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65"/>
      <c r="B20" s="10" t="s">
        <v>24</v>
      </c>
      <c r="C20" s="164"/>
      <c r="D20" s="253"/>
      <c r="F20" s="67">
        <v>2</v>
      </c>
      <c r="G20" s="247"/>
      <c r="H20" s="69">
        <v>18</v>
      </c>
      <c r="I20" s="250"/>
      <c r="K20" s="67"/>
      <c r="L20" s="155"/>
      <c r="M20" s="72">
        <v>2</v>
      </c>
      <c r="N20" s="244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63" t="s">
        <v>3</v>
      </c>
      <c r="B21" s="9" t="s">
        <v>25</v>
      </c>
      <c r="C21" s="251">
        <v>19</v>
      </c>
      <c r="D21" s="252">
        <v>172</v>
      </c>
      <c r="F21" s="67">
        <v>168</v>
      </c>
      <c r="G21" s="245">
        <f>SUM(F21:F24)</f>
        <v>173</v>
      </c>
      <c r="H21" s="69">
        <v>906</v>
      </c>
      <c r="I21" s="248">
        <f>SUM(H21:H24)</f>
        <v>945</v>
      </c>
      <c r="K21" s="67">
        <v>21</v>
      </c>
      <c r="L21" s="153">
        <f>SUM(K21:K24)</f>
        <v>22</v>
      </c>
      <c r="M21" s="72">
        <v>181</v>
      </c>
      <c r="N21" s="242">
        <f>SUM(M21:M24)</f>
        <v>189</v>
      </c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64"/>
      <c r="B22" s="10" t="s">
        <v>26</v>
      </c>
      <c r="C22" s="164"/>
      <c r="D22" s="253"/>
      <c r="F22" s="67">
        <v>3</v>
      </c>
      <c r="G22" s="246"/>
      <c r="H22" s="69">
        <v>5</v>
      </c>
      <c r="I22" s="249"/>
      <c r="K22" s="67"/>
      <c r="L22" s="154"/>
      <c r="M22" s="72"/>
      <c r="N22" s="243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64"/>
      <c r="B23" s="10" t="s">
        <v>27</v>
      </c>
      <c r="C23" s="164"/>
      <c r="D23" s="253"/>
      <c r="F23" s="67">
        <v>2</v>
      </c>
      <c r="G23" s="246"/>
      <c r="H23" s="69">
        <v>29</v>
      </c>
      <c r="I23" s="249"/>
      <c r="K23" s="67">
        <v>1</v>
      </c>
      <c r="L23" s="154"/>
      <c r="M23" s="72">
        <v>7</v>
      </c>
      <c r="N23" s="243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65"/>
      <c r="B24" s="10" t="s">
        <v>28</v>
      </c>
      <c r="C24" s="164"/>
      <c r="D24" s="253"/>
      <c r="F24" s="67"/>
      <c r="G24" s="247"/>
      <c r="H24" s="69">
        <v>5</v>
      </c>
      <c r="I24" s="250"/>
      <c r="K24" s="67"/>
      <c r="L24" s="155"/>
      <c r="M24" s="72">
        <v>1</v>
      </c>
      <c r="N24" s="244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63" t="s">
        <v>4</v>
      </c>
      <c r="B25" s="9" t="s">
        <v>29</v>
      </c>
      <c r="C25" s="251">
        <v>7</v>
      </c>
      <c r="D25" s="252">
        <v>62</v>
      </c>
      <c r="F25" s="67">
        <v>1</v>
      </c>
      <c r="G25" s="245">
        <f>SUM(F25:F32)</f>
        <v>37</v>
      </c>
      <c r="H25" s="69">
        <v>16</v>
      </c>
      <c r="I25" s="248">
        <f>SUM(H25:H32)</f>
        <v>264</v>
      </c>
      <c r="K25" s="67"/>
      <c r="L25" s="153">
        <f>SUM(K25:K32)</f>
        <v>7</v>
      </c>
      <c r="M25" s="72">
        <v>2</v>
      </c>
      <c r="N25" s="242">
        <f>SUM(M25:M32)</f>
        <v>29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64"/>
      <c r="B26" s="10" t="s">
        <v>30</v>
      </c>
      <c r="C26" s="164"/>
      <c r="D26" s="253"/>
      <c r="F26" s="67"/>
      <c r="G26" s="246"/>
      <c r="H26" s="69">
        <v>1</v>
      </c>
      <c r="I26" s="249"/>
      <c r="K26" s="67"/>
      <c r="L26" s="154"/>
      <c r="M26" s="72"/>
      <c r="N26" s="243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64"/>
      <c r="B27" s="10" t="s">
        <v>31</v>
      </c>
      <c r="C27" s="164"/>
      <c r="D27" s="253"/>
      <c r="F27" s="67">
        <v>4</v>
      </c>
      <c r="G27" s="246"/>
      <c r="H27" s="69">
        <v>21</v>
      </c>
      <c r="I27" s="249"/>
      <c r="K27" s="67"/>
      <c r="L27" s="154"/>
      <c r="M27" s="72">
        <v>1</v>
      </c>
      <c r="N27" s="243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64"/>
      <c r="B28" s="10" t="s">
        <v>32</v>
      </c>
      <c r="C28" s="164"/>
      <c r="D28" s="253"/>
      <c r="F28" s="67"/>
      <c r="G28" s="246"/>
      <c r="H28" s="69">
        <v>12</v>
      </c>
      <c r="I28" s="249"/>
      <c r="K28" s="67"/>
      <c r="L28" s="154"/>
      <c r="M28" s="72">
        <v>4</v>
      </c>
      <c r="N28" s="243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64"/>
      <c r="B29" s="10" t="s">
        <v>33</v>
      </c>
      <c r="C29" s="164"/>
      <c r="D29" s="253"/>
      <c r="F29" s="67">
        <v>1</v>
      </c>
      <c r="G29" s="246"/>
      <c r="H29" s="69">
        <v>13</v>
      </c>
      <c r="I29" s="249"/>
      <c r="K29" s="67">
        <v>1</v>
      </c>
      <c r="L29" s="154"/>
      <c r="M29" s="72">
        <v>3</v>
      </c>
      <c r="N29" s="243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64"/>
      <c r="B30" s="10" t="s">
        <v>69</v>
      </c>
      <c r="C30" s="164"/>
      <c r="D30" s="253"/>
      <c r="F30" s="67">
        <v>3</v>
      </c>
      <c r="G30" s="246"/>
      <c r="H30" s="69">
        <v>10</v>
      </c>
      <c r="I30" s="249"/>
      <c r="K30" s="67">
        <v>1</v>
      </c>
      <c r="L30" s="154"/>
      <c r="M30" s="72">
        <v>1</v>
      </c>
      <c r="N30" s="243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64"/>
      <c r="B31" s="10" t="s">
        <v>34</v>
      </c>
      <c r="C31" s="164"/>
      <c r="D31" s="253"/>
      <c r="F31" s="67">
        <v>2</v>
      </c>
      <c r="G31" s="246"/>
      <c r="H31" s="69">
        <v>16</v>
      </c>
      <c r="I31" s="249"/>
      <c r="K31" s="67"/>
      <c r="L31" s="154"/>
      <c r="M31" s="72">
        <v>2</v>
      </c>
      <c r="N31" s="243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65"/>
      <c r="B32" s="10" t="s">
        <v>35</v>
      </c>
      <c r="C32" s="164"/>
      <c r="D32" s="253"/>
      <c r="F32" s="67">
        <v>26</v>
      </c>
      <c r="G32" s="247"/>
      <c r="H32" s="69">
        <v>175</v>
      </c>
      <c r="I32" s="250"/>
      <c r="K32" s="67">
        <v>5</v>
      </c>
      <c r="L32" s="155"/>
      <c r="M32" s="72">
        <v>16</v>
      </c>
      <c r="N32" s="244"/>
      <c r="O32" s="1"/>
      <c r="P32" s="1"/>
      <c r="Q32" s="1"/>
      <c r="R32" s="1"/>
      <c r="S32" s="1"/>
      <c r="T32" s="1"/>
      <c r="U32" s="1"/>
      <c r="V32" s="1"/>
      <c r="W32" s="1"/>
    </row>
    <row r="33" spans="1:14" x14ac:dyDescent="0.25">
      <c r="A33" s="163" t="s">
        <v>5</v>
      </c>
      <c r="B33" s="9" t="s">
        <v>36</v>
      </c>
      <c r="C33" s="251">
        <v>13</v>
      </c>
      <c r="D33" s="252">
        <v>81</v>
      </c>
      <c r="F33" s="67">
        <v>19</v>
      </c>
      <c r="G33" s="245">
        <f>SUM(F33:F38)</f>
        <v>23</v>
      </c>
      <c r="H33" s="69">
        <v>115</v>
      </c>
      <c r="I33" s="248">
        <f>SUM(H33:H38)</f>
        <v>130</v>
      </c>
      <c r="K33" s="67">
        <v>5</v>
      </c>
      <c r="L33" s="153">
        <f>SUM(K33:K38)</f>
        <v>7</v>
      </c>
      <c r="M33" s="72">
        <v>48</v>
      </c>
      <c r="N33" s="242">
        <f>SUM(M33:M38)</f>
        <v>53</v>
      </c>
    </row>
    <row r="34" spans="1:14" x14ac:dyDescent="0.25">
      <c r="A34" s="164"/>
      <c r="B34" s="10" t="s">
        <v>37</v>
      </c>
      <c r="C34" s="164"/>
      <c r="D34" s="253"/>
      <c r="F34" s="67">
        <v>1</v>
      </c>
      <c r="G34" s="246"/>
      <c r="H34" s="69">
        <v>1</v>
      </c>
      <c r="I34" s="249"/>
      <c r="K34" s="67">
        <v>1</v>
      </c>
      <c r="L34" s="154"/>
      <c r="M34" s="72">
        <v>1</v>
      </c>
      <c r="N34" s="243"/>
    </row>
    <row r="35" spans="1:14" x14ac:dyDescent="0.25">
      <c r="A35" s="164"/>
      <c r="B35" s="10" t="s">
        <v>38</v>
      </c>
      <c r="C35" s="164"/>
      <c r="D35" s="253"/>
      <c r="F35" s="67"/>
      <c r="G35" s="246"/>
      <c r="H35" s="69"/>
      <c r="I35" s="249"/>
      <c r="K35" s="67"/>
      <c r="L35" s="154"/>
      <c r="M35" s="72"/>
      <c r="N35" s="243"/>
    </row>
    <row r="36" spans="1:14" x14ac:dyDescent="0.25">
      <c r="A36" s="164"/>
      <c r="B36" s="10" t="s">
        <v>39</v>
      </c>
      <c r="C36" s="164"/>
      <c r="D36" s="253"/>
      <c r="F36" s="67">
        <v>1</v>
      </c>
      <c r="G36" s="246"/>
      <c r="H36" s="69">
        <v>7</v>
      </c>
      <c r="I36" s="249"/>
      <c r="K36" s="67"/>
      <c r="L36" s="154"/>
      <c r="M36" s="72">
        <v>2</v>
      </c>
      <c r="N36" s="243"/>
    </row>
    <row r="37" spans="1:14" x14ac:dyDescent="0.25">
      <c r="A37" s="164"/>
      <c r="B37" s="10" t="s">
        <v>40</v>
      </c>
      <c r="C37" s="164"/>
      <c r="D37" s="253"/>
      <c r="F37" s="67"/>
      <c r="G37" s="246"/>
      <c r="H37" s="69">
        <v>1</v>
      </c>
      <c r="I37" s="249"/>
      <c r="K37" s="67"/>
      <c r="L37" s="154"/>
      <c r="M37" s="72"/>
      <c r="N37" s="243"/>
    </row>
    <row r="38" spans="1:14" x14ac:dyDescent="0.25">
      <c r="A38" s="165"/>
      <c r="B38" s="10" t="s">
        <v>41</v>
      </c>
      <c r="C38" s="164"/>
      <c r="D38" s="253"/>
      <c r="F38" s="67">
        <v>2</v>
      </c>
      <c r="G38" s="247"/>
      <c r="H38" s="69">
        <v>6</v>
      </c>
      <c r="I38" s="250"/>
      <c r="K38" s="67">
        <v>1</v>
      </c>
      <c r="L38" s="155"/>
      <c r="M38" s="72">
        <v>2</v>
      </c>
      <c r="N38" s="244"/>
    </row>
    <row r="39" spans="1:14" x14ac:dyDescent="0.25">
      <c r="A39" s="163" t="s">
        <v>6</v>
      </c>
      <c r="B39" s="9" t="s">
        <v>42</v>
      </c>
      <c r="C39" s="251">
        <v>20</v>
      </c>
      <c r="D39" s="252">
        <v>129</v>
      </c>
      <c r="F39" s="67">
        <v>7</v>
      </c>
      <c r="G39" s="245">
        <f>SUM(F39:F48)</f>
        <v>30</v>
      </c>
      <c r="H39" s="69">
        <v>49</v>
      </c>
      <c r="I39" s="248">
        <f>SUM(H39:H48)</f>
        <v>203</v>
      </c>
      <c r="K39" s="67">
        <v>3</v>
      </c>
      <c r="L39" s="153">
        <f>SUM(K39:K48)</f>
        <v>10</v>
      </c>
      <c r="M39" s="72">
        <v>19</v>
      </c>
      <c r="N39" s="242">
        <f>SUM(M39:M48)</f>
        <v>71</v>
      </c>
    </row>
    <row r="40" spans="1:14" x14ac:dyDescent="0.25">
      <c r="A40" s="164"/>
      <c r="B40" s="10" t="s">
        <v>43</v>
      </c>
      <c r="C40" s="164"/>
      <c r="D40" s="253"/>
      <c r="F40" s="67">
        <v>15</v>
      </c>
      <c r="G40" s="246"/>
      <c r="H40" s="69">
        <v>102</v>
      </c>
      <c r="I40" s="249"/>
      <c r="K40" s="67">
        <v>5</v>
      </c>
      <c r="L40" s="154"/>
      <c r="M40" s="72">
        <v>40</v>
      </c>
      <c r="N40" s="243"/>
    </row>
    <row r="41" spans="1:14" x14ac:dyDescent="0.25">
      <c r="A41" s="164"/>
      <c r="B41" s="10" t="s">
        <v>44</v>
      </c>
      <c r="C41" s="164"/>
      <c r="D41" s="253"/>
      <c r="F41" s="67"/>
      <c r="G41" s="246"/>
      <c r="H41" s="69"/>
      <c r="I41" s="249"/>
      <c r="K41" s="67"/>
      <c r="L41" s="154"/>
      <c r="M41" s="72"/>
      <c r="N41" s="243"/>
    </row>
    <row r="42" spans="1:14" x14ac:dyDescent="0.25">
      <c r="A42" s="164"/>
      <c r="B42" s="10" t="s">
        <v>45</v>
      </c>
      <c r="C42" s="164"/>
      <c r="D42" s="253"/>
      <c r="F42" s="67"/>
      <c r="G42" s="246"/>
      <c r="H42" s="69"/>
      <c r="I42" s="249"/>
      <c r="K42" s="67"/>
      <c r="L42" s="154"/>
      <c r="M42" s="72"/>
      <c r="N42" s="243"/>
    </row>
    <row r="43" spans="1:14" x14ac:dyDescent="0.25">
      <c r="A43" s="164"/>
      <c r="B43" s="10" t="s">
        <v>46</v>
      </c>
      <c r="C43" s="164"/>
      <c r="D43" s="253"/>
      <c r="F43" s="67"/>
      <c r="G43" s="246"/>
      <c r="H43" s="69"/>
      <c r="I43" s="249"/>
      <c r="K43" s="67"/>
      <c r="L43" s="154"/>
      <c r="M43" s="72"/>
      <c r="N43" s="243"/>
    </row>
    <row r="44" spans="1:14" x14ac:dyDescent="0.25">
      <c r="A44" s="164"/>
      <c r="B44" s="10" t="s">
        <v>47</v>
      </c>
      <c r="C44" s="164"/>
      <c r="D44" s="253"/>
      <c r="F44" s="67">
        <v>2</v>
      </c>
      <c r="G44" s="246"/>
      <c r="H44" s="69">
        <v>7</v>
      </c>
      <c r="I44" s="249"/>
      <c r="K44" s="67">
        <v>1</v>
      </c>
      <c r="L44" s="154"/>
      <c r="M44" s="72">
        <v>1</v>
      </c>
      <c r="N44" s="243"/>
    </row>
    <row r="45" spans="1:14" x14ac:dyDescent="0.25">
      <c r="A45" s="164"/>
      <c r="B45" s="10" t="s">
        <v>48</v>
      </c>
      <c r="C45" s="164"/>
      <c r="D45" s="253"/>
      <c r="F45" s="67">
        <v>2</v>
      </c>
      <c r="G45" s="246"/>
      <c r="H45" s="69">
        <v>14</v>
      </c>
      <c r="I45" s="249"/>
      <c r="K45" s="67"/>
      <c r="L45" s="154"/>
      <c r="M45" s="72">
        <v>2</v>
      </c>
      <c r="N45" s="243"/>
    </row>
    <row r="46" spans="1:14" x14ac:dyDescent="0.25">
      <c r="A46" s="164"/>
      <c r="B46" s="10" t="s">
        <v>49</v>
      </c>
      <c r="C46" s="164"/>
      <c r="D46" s="253"/>
      <c r="F46" s="67">
        <v>1</v>
      </c>
      <c r="G46" s="246"/>
      <c r="H46" s="69">
        <v>9</v>
      </c>
      <c r="I46" s="249"/>
      <c r="K46" s="67">
        <v>1</v>
      </c>
      <c r="L46" s="154"/>
      <c r="M46" s="72">
        <v>4</v>
      </c>
      <c r="N46" s="243"/>
    </row>
    <row r="47" spans="1:14" x14ac:dyDescent="0.25">
      <c r="A47" s="164"/>
      <c r="B47" s="10" t="s">
        <v>50</v>
      </c>
      <c r="C47" s="164"/>
      <c r="D47" s="253"/>
      <c r="F47" s="67">
        <v>1</v>
      </c>
      <c r="G47" s="246"/>
      <c r="H47" s="69">
        <v>17</v>
      </c>
      <c r="I47" s="249"/>
      <c r="K47" s="67"/>
      <c r="L47" s="154"/>
      <c r="M47" s="72">
        <v>4</v>
      </c>
      <c r="N47" s="243"/>
    </row>
    <row r="48" spans="1:14" x14ac:dyDescent="0.25">
      <c r="A48" s="165"/>
      <c r="B48" s="10" t="s">
        <v>51</v>
      </c>
      <c r="C48" s="165"/>
      <c r="D48" s="253"/>
      <c r="F48" s="67">
        <v>2</v>
      </c>
      <c r="G48" s="247"/>
      <c r="H48" s="69">
        <v>5</v>
      </c>
      <c r="I48" s="250"/>
      <c r="K48" s="67"/>
      <c r="L48" s="155"/>
      <c r="M48" s="72">
        <v>1</v>
      </c>
      <c r="N48" s="244"/>
    </row>
    <row r="49" spans="1:23" x14ac:dyDescent="0.25">
      <c r="A49" s="11" t="s">
        <v>13</v>
      </c>
      <c r="B49" s="12"/>
      <c r="C49" s="103"/>
      <c r="D49" s="120"/>
      <c r="F49" s="67">
        <v>1</v>
      </c>
      <c r="G49" s="68">
        <f>F49</f>
        <v>1</v>
      </c>
      <c r="H49" s="69">
        <v>6</v>
      </c>
      <c r="I49" s="70">
        <f>H49</f>
        <v>6</v>
      </c>
      <c r="K49" s="67"/>
      <c r="L49" s="73">
        <f>K49</f>
        <v>0</v>
      </c>
      <c r="M49" s="72"/>
      <c r="N49" s="25">
        <f>M49</f>
        <v>0</v>
      </c>
    </row>
    <row r="50" spans="1:23" x14ac:dyDescent="0.25">
      <c r="A50" s="11" t="s">
        <v>7</v>
      </c>
      <c r="B50" s="12"/>
      <c r="C50" s="71">
        <f>SUM(C5:C49)</f>
        <v>99</v>
      </c>
      <c r="D50" s="78">
        <f>SUM(D5:D49)</f>
        <v>680</v>
      </c>
      <c r="F50" s="134">
        <f>SUM(F5:F49)</f>
        <v>413</v>
      </c>
      <c r="G50" s="68">
        <f>SUM(G5:G49)</f>
        <v>413</v>
      </c>
      <c r="H50" s="134">
        <f>SUM(H5:H49)</f>
        <v>2434</v>
      </c>
      <c r="I50" s="78">
        <f>H50</f>
        <v>2434</v>
      </c>
      <c r="K50" s="134">
        <f>SUM(K5:K49)</f>
        <v>61</v>
      </c>
      <c r="L50" s="18">
        <f>SUM(L5:L49)</f>
        <v>61</v>
      </c>
      <c r="M50" s="134">
        <f>SUM(M5:M49)</f>
        <v>519</v>
      </c>
      <c r="N50" s="25">
        <f>M50</f>
        <v>519</v>
      </c>
    </row>
    <row r="51" spans="1:23" x14ac:dyDescent="0.25">
      <c r="H51" s="1"/>
      <c r="I51" s="1"/>
    </row>
    <row r="53" spans="1:23" x14ac:dyDescent="0.25">
      <c r="Q53" s="150"/>
      <c r="R53" s="150"/>
      <c r="S53" s="150"/>
      <c r="T53" s="150"/>
      <c r="U53" s="150"/>
      <c r="V53" s="150"/>
      <c r="W53" s="150"/>
    </row>
    <row r="56" spans="1:23" hidden="1" x14ac:dyDescent="0.25">
      <c r="C56" s="76" t="s">
        <v>124</v>
      </c>
      <c r="D56" s="146" t="s">
        <v>125</v>
      </c>
    </row>
    <row r="57" spans="1:23" hidden="1" x14ac:dyDescent="0.25">
      <c r="C57" s="65">
        <v>2</v>
      </c>
      <c r="D57" s="66">
        <v>22</v>
      </c>
    </row>
    <row r="58" spans="1:23" hidden="1" x14ac:dyDescent="0.25">
      <c r="C58" s="65">
        <v>4</v>
      </c>
      <c r="D58" s="66">
        <v>12</v>
      </c>
    </row>
    <row r="59" spans="1:23" hidden="1" x14ac:dyDescent="0.25">
      <c r="C59" s="65">
        <v>10</v>
      </c>
      <c r="D59" s="66">
        <v>67</v>
      </c>
    </row>
    <row r="60" spans="1:23" hidden="1" x14ac:dyDescent="0.25">
      <c r="C60" s="65">
        <v>17</v>
      </c>
      <c r="D60" s="66">
        <v>85</v>
      </c>
    </row>
    <row r="61" spans="1:23" hidden="1" x14ac:dyDescent="0.25">
      <c r="C61" s="65">
        <v>7</v>
      </c>
      <c r="D61" s="66">
        <v>33</v>
      </c>
    </row>
    <row r="62" spans="1:23" hidden="1" x14ac:dyDescent="0.25">
      <c r="C62" s="65">
        <v>8</v>
      </c>
      <c r="D62" s="66">
        <v>45</v>
      </c>
    </row>
    <row r="63" spans="1:23" hidden="1" x14ac:dyDescent="0.25">
      <c r="C63" s="65">
        <v>13</v>
      </c>
      <c r="D63" s="66">
        <v>63</v>
      </c>
    </row>
    <row r="64" spans="1:23" hidden="1" x14ac:dyDescent="0.25">
      <c r="C64" s="66">
        <v>61</v>
      </c>
      <c r="D64" s="66">
        <v>327</v>
      </c>
    </row>
    <row r="98" spans="1:12" ht="18" customHeight="1" x14ac:dyDescent="0.25"/>
    <row r="99" spans="1:12" ht="25.5" customHeight="1" x14ac:dyDescent="0.25"/>
    <row r="100" spans="1:12" s="2" customFormat="1" ht="71.25" customHeight="1" x14ac:dyDescent="0.3">
      <c r="A100" s="100"/>
      <c r="B100" s="101"/>
      <c r="C100" s="99"/>
      <c r="H100" s="99"/>
      <c r="L100" s="111"/>
    </row>
    <row r="101" spans="1:12" ht="18" x14ac:dyDescent="0.25">
      <c r="A101" s="145"/>
      <c r="B101" s="105"/>
      <c r="C101" s="105"/>
      <c r="E101"/>
      <c r="H101" s="1"/>
      <c r="J101"/>
    </row>
    <row r="102" spans="1:12" ht="18" x14ac:dyDescent="0.25">
      <c r="A102" s="145"/>
      <c r="B102" s="105"/>
      <c r="C102" s="105"/>
      <c r="E102"/>
      <c r="H102" s="1"/>
      <c r="J102"/>
    </row>
    <row r="103" spans="1:12" ht="18" x14ac:dyDescent="0.25">
      <c r="A103" s="145"/>
      <c r="B103" s="105"/>
      <c r="C103" s="105"/>
      <c r="E103"/>
      <c r="H103" s="1"/>
      <c r="J103" s="88"/>
    </row>
    <row r="104" spans="1:12" ht="18" x14ac:dyDescent="0.25">
      <c r="A104" s="145"/>
      <c r="B104" s="105"/>
      <c r="C104" s="106"/>
      <c r="E104"/>
      <c r="H104" s="1"/>
      <c r="J104"/>
    </row>
    <row r="105" spans="1:12" ht="18" x14ac:dyDescent="0.25">
      <c r="A105" s="145"/>
      <c r="B105" s="106"/>
      <c r="C105" s="105"/>
      <c r="E105"/>
      <c r="H105" s="1"/>
      <c r="J105"/>
    </row>
    <row r="106" spans="1:12" ht="18" x14ac:dyDescent="0.25">
      <c r="A106" s="145"/>
      <c r="B106" s="105"/>
      <c r="C106" s="105"/>
      <c r="E106"/>
      <c r="H106" s="1"/>
      <c r="J106"/>
    </row>
    <row r="107" spans="1:12" ht="18" x14ac:dyDescent="0.25">
      <c r="A107" s="145"/>
      <c r="B107" s="105"/>
      <c r="C107" s="105"/>
      <c r="E107"/>
      <c r="H107" s="1"/>
      <c r="J107"/>
    </row>
    <row r="108" spans="1:12" ht="18.75" x14ac:dyDescent="0.25">
      <c r="A108" s="145"/>
      <c r="B108" s="102"/>
      <c r="C108" s="1"/>
      <c r="E108"/>
      <c r="H108" s="1"/>
      <c r="J108"/>
    </row>
  </sheetData>
  <sheetProtection password="8A47" sheet="1" objects="1" scenarios="1"/>
  <mergeCells count="53">
    <mergeCell ref="G5:G9"/>
    <mergeCell ref="G10:G14"/>
    <mergeCell ref="G15:G20"/>
    <mergeCell ref="I5:I9"/>
    <mergeCell ref="I10:I14"/>
    <mergeCell ref="I15:I20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C39:C48"/>
    <mergeCell ref="D39:D48"/>
    <mergeCell ref="G33:G38"/>
    <mergeCell ref="G39:G48"/>
    <mergeCell ref="I39:I48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77"/>
      <c r="B1" s="94" t="s">
        <v>88</v>
      </c>
      <c r="C1" s="94" t="s">
        <v>90</v>
      </c>
      <c r="D1" s="94" t="s">
        <v>89</v>
      </c>
      <c r="E1" s="94" t="s">
        <v>91</v>
      </c>
      <c r="F1" s="94" t="s">
        <v>93</v>
      </c>
      <c r="G1" s="93" t="s">
        <v>94</v>
      </c>
      <c r="H1" s="93" t="s">
        <v>95</v>
      </c>
      <c r="I1" s="2"/>
    </row>
    <row r="2" spans="1:9" x14ac:dyDescent="0.25">
      <c r="A2" s="95" t="s">
        <v>0</v>
      </c>
      <c r="B2" s="65">
        <v>7</v>
      </c>
      <c r="C2" s="65">
        <v>5</v>
      </c>
      <c r="D2" s="65">
        <v>22</v>
      </c>
      <c r="E2" s="65">
        <v>33</v>
      </c>
      <c r="F2" s="91">
        <v>1636</v>
      </c>
      <c r="G2" s="92">
        <v>64</v>
      </c>
      <c r="H2" s="92">
        <v>3</v>
      </c>
    </row>
    <row r="3" spans="1:9" x14ac:dyDescent="0.25">
      <c r="A3" s="95" t="s">
        <v>1</v>
      </c>
      <c r="B3" s="65">
        <v>1</v>
      </c>
      <c r="C3" s="65">
        <v>2</v>
      </c>
      <c r="D3" s="65">
        <v>8</v>
      </c>
      <c r="E3" s="65">
        <v>19</v>
      </c>
      <c r="F3" s="91">
        <v>1409</v>
      </c>
      <c r="G3" s="92">
        <v>67</v>
      </c>
      <c r="H3" s="92">
        <v>1</v>
      </c>
    </row>
    <row r="4" spans="1:9" x14ac:dyDescent="0.25">
      <c r="A4" s="95" t="s">
        <v>2</v>
      </c>
      <c r="B4" s="65">
        <v>7</v>
      </c>
      <c r="C4" s="65">
        <v>2</v>
      </c>
      <c r="D4" s="65">
        <v>19</v>
      </c>
      <c r="E4" s="65">
        <v>14</v>
      </c>
      <c r="F4" s="91">
        <v>2683</v>
      </c>
      <c r="G4" s="92">
        <v>70</v>
      </c>
      <c r="H4" s="92">
        <v>19</v>
      </c>
    </row>
    <row r="5" spans="1:9" x14ac:dyDescent="0.25">
      <c r="A5" s="95" t="s">
        <v>3</v>
      </c>
      <c r="B5" s="65">
        <v>10</v>
      </c>
      <c r="C5" s="65">
        <v>15</v>
      </c>
      <c r="D5" s="65">
        <v>16</v>
      </c>
      <c r="E5" s="65">
        <v>14</v>
      </c>
      <c r="F5" s="91">
        <v>2673</v>
      </c>
      <c r="G5" s="92">
        <v>121</v>
      </c>
      <c r="H5" s="92">
        <v>22</v>
      </c>
    </row>
    <row r="6" spans="1:9" x14ac:dyDescent="0.25">
      <c r="A6" s="95" t="s">
        <v>4</v>
      </c>
      <c r="B6" s="65">
        <v>2</v>
      </c>
      <c r="C6" s="65">
        <v>7</v>
      </c>
      <c r="D6" s="65">
        <v>7</v>
      </c>
      <c r="E6" s="65">
        <v>18</v>
      </c>
      <c r="F6" s="91">
        <v>1250</v>
      </c>
      <c r="G6" s="92">
        <v>45</v>
      </c>
      <c r="H6" s="92">
        <v>10</v>
      </c>
    </row>
    <row r="7" spans="1:9" x14ac:dyDescent="0.25">
      <c r="A7" s="95" t="s">
        <v>96</v>
      </c>
      <c r="B7" s="65">
        <v>3</v>
      </c>
      <c r="C7" s="65">
        <v>8</v>
      </c>
      <c r="D7" s="65">
        <v>10</v>
      </c>
      <c r="E7" s="65">
        <v>14</v>
      </c>
      <c r="F7" s="91">
        <v>1514</v>
      </c>
      <c r="G7" s="92">
        <v>54</v>
      </c>
      <c r="H7" s="92">
        <v>11</v>
      </c>
    </row>
    <row r="8" spans="1:9" x14ac:dyDescent="0.25">
      <c r="A8" s="95" t="s">
        <v>6</v>
      </c>
      <c r="B8" s="65">
        <v>4</v>
      </c>
      <c r="C8" s="65">
        <v>11</v>
      </c>
      <c r="D8" s="65">
        <v>26</v>
      </c>
      <c r="E8" s="65">
        <v>33</v>
      </c>
      <c r="F8" s="91">
        <v>3126</v>
      </c>
      <c r="G8" s="92">
        <v>165</v>
      </c>
      <c r="H8" s="92">
        <v>15</v>
      </c>
    </row>
    <row r="9" spans="1:9" x14ac:dyDescent="0.25">
      <c r="A9" s="95" t="s">
        <v>77</v>
      </c>
      <c r="B9" s="66">
        <v>34</v>
      </c>
      <c r="C9" s="66">
        <v>50</v>
      </c>
      <c r="D9" s="66">
        <v>108</v>
      </c>
      <c r="E9" s="66">
        <v>145</v>
      </c>
      <c r="F9" s="62">
        <v>14291</v>
      </c>
      <c r="G9" s="92">
        <f>SUM(G2:G8)</f>
        <v>586</v>
      </c>
      <c r="H9" s="92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75"/>
      <c r="B1" s="61" t="s">
        <v>79</v>
      </c>
      <c r="C1" s="61" t="s">
        <v>80</v>
      </c>
      <c r="D1" s="61" t="s">
        <v>81</v>
      </c>
      <c r="E1" s="61" t="s">
        <v>82</v>
      </c>
      <c r="F1" s="61" t="s">
        <v>83</v>
      </c>
      <c r="G1" s="61" t="s">
        <v>84</v>
      </c>
      <c r="H1" s="61" t="s">
        <v>85</v>
      </c>
      <c r="I1" s="61" t="s">
        <v>92</v>
      </c>
    </row>
    <row r="2" spans="1:9" x14ac:dyDescent="0.25">
      <c r="A2" s="76" t="s">
        <v>93</v>
      </c>
      <c r="B2" s="91">
        <v>1636</v>
      </c>
      <c r="C2" s="91">
        <v>1409</v>
      </c>
      <c r="D2" s="91">
        <v>2683</v>
      </c>
      <c r="E2" s="91">
        <v>2673</v>
      </c>
      <c r="F2" s="91">
        <v>1250</v>
      </c>
      <c r="G2" s="91">
        <v>1514</v>
      </c>
      <c r="H2" s="91">
        <v>3126</v>
      </c>
      <c r="I2" s="62">
        <v>14291</v>
      </c>
    </row>
    <row r="3" spans="1:9" x14ac:dyDescent="0.25">
      <c r="A3" t="s">
        <v>94</v>
      </c>
      <c r="B3" s="92">
        <v>64</v>
      </c>
      <c r="C3" s="92">
        <v>67</v>
      </c>
      <c r="D3" s="92">
        <v>70</v>
      </c>
      <c r="E3" s="92">
        <v>121</v>
      </c>
      <c r="F3" s="92">
        <v>45</v>
      </c>
      <c r="G3" s="92">
        <v>54</v>
      </c>
      <c r="H3" s="92">
        <v>165</v>
      </c>
      <c r="I3" s="92"/>
    </row>
    <row r="4" spans="1:9" x14ac:dyDescent="0.25">
      <c r="A4" t="s">
        <v>95</v>
      </c>
      <c r="B4" s="92">
        <v>3</v>
      </c>
      <c r="C4" s="92">
        <v>1</v>
      </c>
      <c r="D4" s="92">
        <v>19</v>
      </c>
      <c r="E4" s="92">
        <v>22</v>
      </c>
      <c r="F4" s="92">
        <v>10</v>
      </c>
      <c r="G4" s="92">
        <v>11</v>
      </c>
      <c r="H4" s="92">
        <v>15</v>
      </c>
      <c r="I4" s="92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96"/>
      <c r="B1" s="97" t="s">
        <v>97</v>
      </c>
      <c r="C1" s="97" t="s">
        <v>98</v>
      </c>
    </row>
    <row r="2" spans="1:3" ht="21" x14ac:dyDescent="0.25">
      <c r="A2" s="97" t="s">
        <v>79</v>
      </c>
      <c r="B2" s="98">
        <v>68</v>
      </c>
      <c r="C2" s="98">
        <v>323</v>
      </c>
    </row>
    <row r="3" spans="1:3" ht="21" x14ac:dyDescent="0.25">
      <c r="A3" s="97" t="s">
        <v>80</v>
      </c>
      <c r="B3" s="98">
        <v>67</v>
      </c>
      <c r="C3" s="98">
        <v>219</v>
      </c>
    </row>
    <row r="4" spans="1:3" ht="21" x14ac:dyDescent="0.25">
      <c r="A4" s="97" t="s">
        <v>81</v>
      </c>
      <c r="B4" s="98">
        <v>70</v>
      </c>
      <c r="C4" s="98">
        <v>438</v>
      </c>
    </row>
    <row r="5" spans="1:3" ht="21" x14ac:dyDescent="0.25">
      <c r="A5" s="97" t="s">
        <v>82</v>
      </c>
      <c r="B5" s="98">
        <v>125</v>
      </c>
      <c r="C5" s="98">
        <v>599</v>
      </c>
    </row>
    <row r="6" spans="1:3" ht="21" x14ac:dyDescent="0.25">
      <c r="A6" s="97" t="s">
        <v>83</v>
      </c>
      <c r="B6" s="98">
        <v>53</v>
      </c>
      <c r="C6" s="98">
        <v>301</v>
      </c>
    </row>
    <row r="7" spans="1:3" ht="21" x14ac:dyDescent="0.25">
      <c r="A7" s="97" t="s">
        <v>84</v>
      </c>
      <c r="B7" s="98">
        <v>54</v>
      </c>
      <c r="C7" s="98">
        <v>268</v>
      </c>
    </row>
    <row r="8" spans="1:3" ht="21" x14ac:dyDescent="0.25">
      <c r="A8" s="97" t="s">
        <v>85</v>
      </c>
      <c r="B8" s="98">
        <v>167</v>
      </c>
      <c r="C8" s="98">
        <v>478</v>
      </c>
    </row>
    <row r="9" spans="1:3" x14ac:dyDescent="0.25">
      <c r="A9" s="97" t="s">
        <v>78</v>
      </c>
      <c r="B9" s="98">
        <v>604</v>
      </c>
      <c r="C9" s="98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9AD497E-8824-461D-A689-6BA8B937C506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2013-01-28T18:09:51Z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