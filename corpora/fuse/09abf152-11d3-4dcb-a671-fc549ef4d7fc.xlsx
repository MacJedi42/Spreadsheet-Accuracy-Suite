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020" windowHeight="10920"/>
  </bookViews>
  <sheets>
    <sheet name="2010 ANTC from Law Change" sheetId="1" r:id="rId1"/>
  </sheets>
  <definedNames>
    <definedName name="_xlnm.Print_Area" localSheetId="0">'2010 ANTC from Law Change'!$A$11:$L$346</definedName>
    <definedName name="_xlnm.Print_Titles" localSheetId="0">'2010 ANTC from Law Change'!$4:$8</definedName>
  </definedNames>
  <calcPr calcId="145621" fullCalcOnLoad="1"/>
</workbook>
</file>

<file path=xl/calcChain.xml><?xml version="1.0" encoding="utf-8"?>
<calcChain xmlns="http://schemas.openxmlformats.org/spreadsheetml/2006/main">
  <c r="L346" i="1" l="1"/>
  <c r="K346" i="1"/>
  <c r="G346" i="1"/>
  <c r="F346" i="1"/>
  <c r="L345" i="1"/>
  <c r="K345" i="1"/>
  <c r="G345" i="1"/>
  <c r="F345" i="1"/>
  <c r="L344" i="1"/>
  <c r="K344" i="1"/>
  <c r="G344" i="1"/>
  <c r="F344" i="1"/>
  <c r="L343" i="1"/>
  <c r="K343" i="1"/>
  <c r="G343" i="1"/>
  <c r="F343" i="1"/>
  <c r="L342" i="1"/>
  <c r="K342" i="1"/>
  <c r="G342" i="1"/>
  <c r="F342" i="1"/>
  <c r="L341" i="1"/>
  <c r="K341" i="1"/>
  <c r="G341" i="1"/>
  <c r="F341" i="1"/>
  <c r="L340" i="1"/>
  <c r="K340" i="1"/>
  <c r="G340" i="1"/>
  <c r="F340" i="1"/>
  <c r="L339" i="1"/>
  <c r="K339" i="1"/>
  <c r="G339" i="1"/>
  <c r="F339" i="1"/>
  <c r="L338" i="1"/>
  <c r="K338" i="1"/>
  <c r="G338" i="1"/>
  <c r="F338" i="1"/>
  <c r="L337" i="1"/>
  <c r="K337" i="1"/>
  <c r="G337" i="1"/>
  <c r="F337" i="1"/>
  <c r="L336" i="1"/>
  <c r="K336" i="1"/>
  <c r="G336" i="1"/>
  <c r="F336" i="1"/>
  <c r="L335" i="1"/>
  <c r="K335" i="1"/>
  <c r="G335" i="1"/>
  <c r="F335" i="1"/>
  <c r="L334" i="1"/>
  <c r="K334" i="1"/>
  <c r="G334" i="1"/>
  <c r="F334" i="1"/>
  <c r="L333" i="1"/>
  <c r="K333" i="1"/>
  <c r="G333" i="1"/>
  <c r="F333" i="1"/>
  <c r="L332" i="1"/>
  <c r="K332" i="1"/>
  <c r="G332" i="1"/>
  <c r="F332" i="1"/>
  <c r="L331" i="1"/>
  <c r="K331" i="1"/>
  <c r="G331" i="1"/>
  <c r="F331" i="1"/>
  <c r="L330" i="1"/>
  <c r="K330" i="1"/>
  <c r="G330" i="1"/>
  <c r="F330" i="1"/>
  <c r="L329" i="1"/>
  <c r="K329" i="1"/>
  <c r="G329" i="1"/>
  <c r="F329" i="1"/>
  <c r="L328" i="1"/>
  <c r="K328" i="1"/>
  <c r="G328" i="1"/>
  <c r="F328" i="1"/>
  <c r="L327" i="1"/>
  <c r="K327" i="1"/>
  <c r="G327" i="1"/>
  <c r="F327" i="1"/>
  <c r="L326" i="1"/>
  <c r="K326" i="1"/>
  <c r="G326" i="1"/>
  <c r="F326" i="1"/>
  <c r="L325" i="1"/>
  <c r="K325" i="1"/>
  <c r="G325" i="1"/>
  <c r="F325" i="1"/>
  <c r="L324" i="1"/>
  <c r="K324" i="1"/>
  <c r="G324" i="1"/>
  <c r="F324" i="1"/>
  <c r="L323" i="1"/>
  <c r="K323" i="1"/>
  <c r="G323" i="1"/>
  <c r="F323" i="1"/>
  <c r="L322" i="1"/>
  <c r="K322" i="1"/>
  <c r="G322" i="1"/>
  <c r="F322" i="1"/>
  <c r="L321" i="1"/>
  <c r="K321" i="1"/>
  <c r="G321" i="1"/>
  <c r="F321" i="1"/>
  <c r="L320" i="1"/>
  <c r="K320" i="1"/>
  <c r="G320" i="1"/>
  <c r="F320" i="1"/>
  <c r="L319" i="1"/>
  <c r="K319" i="1"/>
  <c r="G319" i="1"/>
  <c r="F319" i="1"/>
  <c r="L318" i="1"/>
  <c r="K318" i="1"/>
  <c r="G318" i="1"/>
  <c r="F318" i="1"/>
  <c r="L317" i="1"/>
  <c r="K317" i="1"/>
  <c r="G317" i="1"/>
  <c r="F317" i="1"/>
  <c r="L316" i="1"/>
  <c r="K316" i="1"/>
  <c r="G316" i="1"/>
  <c r="F316" i="1"/>
  <c r="L315" i="1"/>
  <c r="K315" i="1"/>
  <c r="G315" i="1"/>
  <c r="F315" i="1"/>
  <c r="L314" i="1"/>
  <c r="K314" i="1"/>
  <c r="G314" i="1"/>
  <c r="F314" i="1"/>
  <c r="L313" i="1"/>
  <c r="K313" i="1"/>
  <c r="G313" i="1"/>
  <c r="F313" i="1"/>
  <c r="L312" i="1"/>
  <c r="K312" i="1"/>
  <c r="G312" i="1"/>
  <c r="F312" i="1"/>
  <c r="L311" i="1"/>
  <c r="K311" i="1"/>
  <c r="G311" i="1"/>
  <c r="F311" i="1"/>
  <c r="L310" i="1"/>
  <c r="K310" i="1"/>
  <c r="G310" i="1"/>
  <c r="F310" i="1"/>
  <c r="L309" i="1"/>
  <c r="K309" i="1"/>
  <c r="G309" i="1"/>
  <c r="F309" i="1"/>
  <c r="L308" i="1"/>
  <c r="K308" i="1"/>
  <c r="G308" i="1"/>
  <c r="F308" i="1"/>
  <c r="L307" i="1"/>
  <c r="K307" i="1"/>
  <c r="G307" i="1"/>
  <c r="F307" i="1"/>
  <c r="L306" i="1"/>
  <c r="K306" i="1"/>
  <c r="G306" i="1"/>
  <c r="F306" i="1"/>
  <c r="L305" i="1"/>
  <c r="K305" i="1"/>
  <c r="G305" i="1"/>
  <c r="F305" i="1"/>
  <c r="L304" i="1"/>
  <c r="K304" i="1"/>
  <c r="G304" i="1"/>
  <c r="F304" i="1"/>
  <c r="L303" i="1"/>
  <c r="K303" i="1"/>
  <c r="G303" i="1"/>
  <c r="F303" i="1"/>
  <c r="L302" i="1"/>
  <c r="K302" i="1"/>
  <c r="G302" i="1"/>
  <c r="F302" i="1"/>
  <c r="L301" i="1"/>
  <c r="K301" i="1"/>
  <c r="G301" i="1"/>
  <c r="F301" i="1"/>
  <c r="L300" i="1"/>
  <c r="K300" i="1"/>
  <c r="G300" i="1"/>
  <c r="F300" i="1"/>
  <c r="L299" i="1"/>
  <c r="K299" i="1"/>
  <c r="G299" i="1"/>
  <c r="F299" i="1"/>
  <c r="L298" i="1"/>
  <c r="K298" i="1"/>
  <c r="G298" i="1"/>
  <c r="F298" i="1"/>
  <c r="L297" i="1"/>
  <c r="K297" i="1"/>
  <c r="G297" i="1"/>
  <c r="F297" i="1"/>
  <c r="L296" i="1"/>
  <c r="K296" i="1"/>
  <c r="G296" i="1"/>
  <c r="F296" i="1"/>
  <c r="L295" i="1"/>
  <c r="K295" i="1"/>
  <c r="G295" i="1"/>
  <c r="F295" i="1"/>
  <c r="L294" i="1"/>
  <c r="K294" i="1"/>
  <c r="G294" i="1"/>
  <c r="F294" i="1"/>
  <c r="L293" i="1"/>
  <c r="K293" i="1"/>
  <c r="G293" i="1"/>
  <c r="F293" i="1"/>
  <c r="L292" i="1"/>
  <c r="K292" i="1"/>
  <c r="G292" i="1"/>
  <c r="F292" i="1"/>
  <c r="L291" i="1"/>
  <c r="K291" i="1"/>
  <c r="G291" i="1"/>
  <c r="F291" i="1"/>
  <c r="L290" i="1"/>
  <c r="K290" i="1"/>
  <c r="G290" i="1"/>
  <c r="F290" i="1"/>
  <c r="L289" i="1"/>
  <c r="K289" i="1"/>
  <c r="G289" i="1"/>
  <c r="F289" i="1"/>
  <c r="L288" i="1"/>
  <c r="K288" i="1"/>
  <c r="G288" i="1"/>
  <c r="F288" i="1"/>
  <c r="L287" i="1"/>
  <c r="K287" i="1"/>
  <c r="G287" i="1"/>
  <c r="F287" i="1"/>
  <c r="L286" i="1"/>
  <c r="K286" i="1"/>
  <c r="G286" i="1"/>
  <c r="F286" i="1"/>
  <c r="L285" i="1"/>
  <c r="K285" i="1"/>
  <c r="G285" i="1"/>
  <c r="F285" i="1"/>
  <c r="L284" i="1"/>
  <c r="K284" i="1"/>
  <c r="G284" i="1"/>
  <c r="F284" i="1"/>
  <c r="L283" i="1"/>
  <c r="K283" i="1"/>
  <c r="G283" i="1"/>
  <c r="F283" i="1"/>
  <c r="L282" i="1"/>
  <c r="K282" i="1"/>
  <c r="G282" i="1"/>
  <c r="F282" i="1"/>
  <c r="L281" i="1"/>
  <c r="K281" i="1"/>
  <c r="G281" i="1"/>
  <c r="F281" i="1"/>
  <c r="L280" i="1"/>
  <c r="K280" i="1"/>
  <c r="G280" i="1"/>
  <c r="F280" i="1"/>
  <c r="L279" i="1"/>
  <c r="K279" i="1"/>
  <c r="G279" i="1"/>
  <c r="F279" i="1"/>
  <c r="L278" i="1"/>
  <c r="K278" i="1"/>
  <c r="G278" i="1"/>
  <c r="F278" i="1"/>
  <c r="L277" i="1"/>
  <c r="K277" i="1"/>
  <c r="G277" i="1"/>
  <c r="F277" i="1"/>
  <c r="L276" i="1"/>
  <c r="K276" i="1"/>
  <c r="G276" i="1"/>
  <c r="F276" i="1"/>
  <c r="L275" i="1"/>
  <c r="K275" i="1"/>
  <c r="G275" i="1"/>
  <c r="F275" i="1"/>
  <c r="L274" i="1"/>
  <c r="K274" i="1"/>
  <c r="G274" i="1"/>
  <c r="F274" i="1"/>
  <c r="L273" i="1"/>
  <c r="K273" i="1"/>
  <c r="G273" i="1"/>
  <c r="F273" i="1"/>
  <c r="L272" i="1"/>
  <c r="K272" i="1"/>
  <c r="G272" i="1"/>
  <c r="F272" i="1"/>
  <c r="L271" i="1"/>
  <c r="K271" i="1"/>
  <c r="G271" i="1"/>
  <c r="F271" i="1"/>
  <c r="L270" i="1"/>
  <c r="K270" i="1"/>
  <c r="G270" i="1"/>
  <c r="F270" i="1"/>
  <c r="L269" i="1"/>
  <c r="K269" i="1"/>
  <c r="G269" i="1"/>
  <c r="F269" i="1"/>
  <c r="L268" i="1"/>
  <c r="K268" i="1"/>
  <c r="G268" i="1"/>
  <c r="F268" i="1"/>
  <c r="L267" i="1"/>
  <c r="K267" i="1"/>
  <c r="G267" i="1"/>
  <c r="F267" i="1"/>
  <c r="L266" i="1"/>
  <c r="K266" i="1"/>
  <c r="G266" i="1"/>
  <c r="F266" i="1"/>
  <c r="L265" i="1"/>
  <c r="K265" i="1"/>
  <c r="G265" i="1"/>
  <c r="F265" i="1"/>
  <c r="L264" i="1"/>
  <c r="K264" i="1"/>
  <c r="G264" i="1"/>
  <c r="F264" i="1"/>
  <c r="L263" i="1"/>
  <c r="K263" i="1"/>
  <c r="G263" i="1"/>
  <c r="F263" i="1"/>
  <c r="L262" i="1"/>
  <c r="K262" i="1"/>
  <c r="G262" i="1"/>
  <c r="F262" i="1"/>
  <c r="L261" i="1"/>
  <c r="K261" i="1"/>
  <c r="G261" i="1"/>
  <c r="F261" i="1"/>
  <c r="L260" i="1"/>
  <c r="K260" i="1"/>
  <c r="G260" i="1"/>
  <c r="F260" i="1"/>
  <c r="L259" i="1"/>
  <c r="K259" i="1"/>
  <c r="G259" i="1"/>
  <c r="F259" i="1"/>
  <c r="L258" i="1"/>
  <c r="K258" i="1"/>
  <c r="G258" i="1"/>
  <c r="F258" i="1"/>
  <c r="L257" i="1"/>
  <c r="K257" i="1"/>
  <c r="G257" i="1"/>
  <c r="F257" i="1"/>
  <c r="L256" i="1"/>
  <c r="K256" i="1"/>
  <c r="G256" i="1"/>
  <c r="F256" i="1"/>
  <c r="L255" i="1"/>
  <c r="K255" i="1"/>
  <c r="G255" i="1"/>
  <c r="F255" i="1"/>
  <c r="L254" i="1"/>
  <c r="K254" i="1"/>
  <c r="G254" i="1"/>
  <c r="F254" i="1"/>
  <c r="L253" i="1"/>
  <c r="K253" i="1"/>
  <c r="G253" i="1"/>
  <c r="F253" i="1"/>
  <c r="L252" i="1"/>
  <c r="K252" i="1"/>
  <c r="G252" i="1"/>
  <c r="F252" i="1"/>
  <c r="L251" i="1"/>
  <c r="K251" i="1"/>
  <c r="G251" i="1"/>
  <c r="F251" i="1"/>
  <c r="L250" i="1"/>
  <c r="K250" i="1"/>
  <c r="G250" i="1"/>
  <c r="F250" i="1"/>
  <c r="L249" i="1"/>
  <c r="K249" i="1"/>
  <c r="G249" i="1"/>
  <c r="F249" i="1"/>
  <c r="L248" i="1"/>
  <c r="K248" i="1"/>
  <c r="G248" i="1"/>
  <c r="F248" i="1"/>
  <c r="L247" i="1"/>
  <c r="K247" i="1"/>
  <c r="G247" i="1"/>
  <c r="F247" i="1"/>
  <c r="L246" i="1"/>
  <c r="K246" i="1"/>
  <c r="G246" i="1"/>
  <c r="F246" i="1"/>
  <c r="L245" i="1"/>
  <c r="K245" i="1"/>
  <c r="G245" i="1"/>
  <c r="F245" i="1"/>
  <c r="L244" i="1"/>
  <c r="K244" i="1"/>
  <c r="G244" i="1"/>
  <c r="F244" i="1"/>
  <c r="L243" i="1"/>
  <c r="K243" i="1"/>
  <c r="G243" i="1"/>
  <c r="F243" i="1"/>
  <c r="L242" i="1"/>
  <c r="K242" i="1"/>
  <c r="G242" i="1"/>
  <c r="F242" i="1"/>
  <c r="L241" i="1"/>
  <c r="K241" i="1"/>
  <c r="G241" i="1"/>
  <c r="F241" i="1"/>
  <c r="L240" i="1"/>
  <c r="K240" i="1"/>
  <c r="G240" i="1"/>
  <c r="F240" i="1"/>
  <c r="L239" i="1"/>
  <c r="K239" i="1"/>
  <c r="G239" i="1"/>
  <c r="F239" i="1"/>
  <c r="L238" i="1"/>
  <c r="K238" i="1"/>
  <c r="G238" i="1"/>
  <c r="F238" i="1"/>
  <c r="L237" i="1"/>
  <c r="K237" i="1"/>
  <c r="G237" i="1"/>
  <c r="F237" i="1"/>
  <c r="L236" i="1"/>
  <c r="K236" i="1"/>
  <c r="G236" i="1"/>
  <c r="F236" i="1"/>
  <c r="L235" i="1"/>
  <c r="K235" i="1"/>
  <c r="G235" i="1"/>
  <c r="F235" i="1"/>
  <c r="L234" i="1"/>
  <c r="K234" i="1"/>
  <c r="G234" i="1"/>
  <c r="F234" i="1"/>
  <c r="L233" i="1"/>
  <c r="K233" i="1"/>
  <c r="G233" i="1"/>
  <c r="F233" i="1"/>
  <c r="L232" i="1"/>
  <c r="K232" i="1"/>
  <c r="G232" i="1"/>
  <c r="F232" i="1"/>
  <c r="L231" i="1"/>
  <c r="K231" i="1"/>
  <c r="G231" i="1"/>
  <c r="F231" i="1"/>
  <c r="L230" i="1"/>
  <c r="K230" i="1"/>
  <c r="G230" i="1"/>
  <c r="F230" i="1"/>
  <c r="L229" i="1"/>
  <c r="K229" i="1"/>
  <c r="G229" i="1"/>
  <c r="F229" i="1"/>
  <c r="L228" i="1"/>
  <c r="K228" i="1"/>
  <c r="G228" i="1"/>
  <c r="F228" i="1"/>
  <c r="L227" i="1"/>
  <c r="K227" i="1"/>
  <c r="G227" i="1"/>
  <c r="F227" i="1"/>
  <c r="L226" i="1"/>
  <c r="K226" i="1"/>
  <c r="G226" i="1"/>
  <c r="F226" i="1"/>
  <c r="L225" i="1"/>
  <c r="K225" i="1"/>
  <c r="G225" i="1"/>
  <c r="F225" i="1"/>
  <c r="L224" i="1"/>
  <c r="K224" i="1"/>
  <c r="G224" i="1"/>
  <c r="F224" i="1"/>
  <c r="L223" i="1"/>
  <c r="K223" i="1"/>
  <c r="G223" i="1"/>
  <c r="F223" i="1"/>
  <c r="L222" i="1"/>
  <c r="K222" i="1"/>
  <c r="G222" i="1"/>
  <c r="F222" i="1"/>
  <c r="L221" i="1"/>
  <c r="K221" i="1"/>
  <c r="G221" i="1"/>
  <c r="F221" i="1"/>
  <c r="L220" i="1"/>
  <c r="K220" i="1"/>
  <c r="G220" i="1"/>
  <c r="F220" i="1"/>
  <c r="L219" i="1"/>
  <c r="K219" i="1"/>
  <c r="G219" i="1"/>
  <c r="F219" i="1"/>
  <c r="L218" i="1"/>
  <c r="K218" i="1"/>
  <c r="G218" i="1"/>
  <c r="F218" i="1"/>
  <c r="L217" i="1"/>
  <c r="K217" i="1"/>
  <c r="G217" i="1"/>
  <c r="F217" i="1"/>
  <c r="L216" i="1"/>
  <c r="K216" i="1"/>
  <c r="G216" i="1"/>
  <c r="F216" i="1"/>
  <c r="L215" i="1"/>
  <c r="K215" i="1"/>
  <c r="G215" i="1"/>
  <c r="F215" i="1"/>
  <c r="L214" i="1"/>
  <c r="K214" i="1"/>
  <c r="G214" i="1"/>
  <c r="F214" i="1"/>
  <c r="L213" i="1"/>
  <c r="K213" i="1"/>
  <c r="G213" i="1"/>
  <c r="F213" i="1"/>
  <c r="L212" i="1"/>
  <c r="K212" i="1"/>
  <c r="G212" i="1"/>
  <c r="F212" i="1"/>
  <c r="L211" i="1"/>
  <c r="K211" i="1"/>
  <c r="G211" i="1"/>
  <c r="F211" i="1"/>
  <c r="L210" i="1"/>
  <c r="K210" i="1"/>
  <c r="G210" i="1"/>
  <c r="F210" i="1"/>
  <c r="L209" i="1"/>
  <c r="K209" i="1"/>
  <c r="G209" i="1"/>
  <c r="F209" i="1"/>
  <c r="L208" i="1"/>
  <c r="K208" i="1"/>
  <c r="G208" i="1"/>
  <c r="F208" i="1"/>
  <c r="L207" i="1"/>
  <c r="K207" i="1"/>
  <c r="G207" i="1"/>
  <c r="F207" i="1"/>
  <c r="L206" i="1"/>
  <c r="K206" i="1"/>
  <c r="G206" i="1"/>
  <c r="F206" i="1"/>
  <c r="L205" i="1"/>
  <c r="K205" i="1"/>
  <c r="G205" i="1"/>
  <c r="F205" i="1"/>
  <c r="L204" i="1"/>
  <c r="K204" i="1"/>
  <c r="G204" i="1"/>
  <c r="F204" i="1"/>
  <c r="L203" i="1"/>
  <c r="K203" i="1"/>
  <c r="G203" i="1"/>
  <c r="F203" i="1"/>
  <c r="L202" i="1"/>
  <c r="K202" i="1"/>
  <c r="G202" i="1"/>
  <c r="F202" i="1"/>
  <c r="L201" i="1"/>
  <c r="K201" i="1"/>
  <c r="G201" i="1"/>
  <c r="F201" i="1"/>
  <c r="L200" i="1"/>
  <c r="K200" i="1"/>
  <c r="G200" i="1"/>
  <c r="F200" i="1"/>
  <c r="L199" i="1"/>
  <c r="K199" i="1"/>
  <c r="G199" i="1"/>
  <c r="F199" i="1"/>
  <c r="L198" i="1"/>
  <c r="K198" i="1"/>
  <c r="G198" i="1"/>
  <c r="F198" i="1"/>
  <c r="L197" i="1"/>
  <c r="K197" i="1"/>
  <c r="G197" i="1"/>
  <c r="F197" i="1"/>
  <c r="L196" i="1"/>
  <c r="K196" i="1"/>
  <c r="G196" i="1"/>
  <c r="F196" i="1"/>
  <c r="L195" i="1"/>
  <c r="K195" i="1"/>
  <c r="G195" i="1"/>
  <c r="F195" i="1"/>
  <c r="L194" i="1"/>
  <c r="K194" i="1"/>
  <c r="G194" i="1"/>
  <c r="F194" i="1"/>
  <c r="L193" i="1"/>
  <c r="K193" i="1"/>
  <c r="G193" i="1"/>
  <c r="F193" i="1"/>
  <c r="L192" i="1"/>
  <c r="K192" i="1"/>
  <c r="G192" i="1"/>
  <c r="F192" i="1"/>
  <c r="L191" i="1"/>
  <c r="K191" i="1"/>
  <c r="G191" i="1"/>
  <c r="F191" i="1"/>
  <c r="L190" i="1"/>
  <c r="K190" i="1"/>
  <c r="G190" i="1"/>
  <c r="F190" i="1"/>
  <c r="L189" i="1"/>
  <c r="K189" i="1"/>
  <c r="G189" i="1"/>
  <c r="F189" i="1"/>
  <c r="L188" i="1"/>
  <c r="K188" i="1"/>
  <c r="G188" i="1"/>
  <c r="F188" i="1"/>
  <c r="L187" i="1"/>
  <c r="K187" i="1"/>
  <c r="G187" i="1"/>
  <c r="F187" i="1"/>
  <c r="L186" i="1"/>
  <c r="K186" i="1"/>
  <c r="G186" i="1"/>
  <c r="F186" i="1"/>
  <c r="L185" i="1"/>
  <c r="K185" i="1"/>
  <c r="G185" i="1"/>
  <c r="F185" i="1"/>
  <c r="L184" i="1"/>
  <c r="K184" i="1"/>
  <c r="G184" i="1"/>
  <c r="F184" i="1"/>
  <c r="L183" i="1"/>
  <c r="K183" i="1"/>
  <c r="G183" i="1"/>
  <c r="F183" i="1"/>
  <c r="L182" i="1"/>
  <c r="K182" i="1"/>
  <c r="G182" i="1"/>
  <c r="F182" i="1"/>
  <c r="L181" i="1"/>
  <c r="K181" i="1"/>
  <c r="G181" i="1"/>
  <c r="F181" i="1"/>
  <c r="L180" i="1"/>
  <c r="K180" i="1"/>
  <c r="G180" i="1"/>
  <c r="F180" i="1"/>
  <c r="L179" i="1"/>
  <c r="K179" i="1"/>
  <c r="G179" i="1"/>
  <c r="F179" i="1"/>
  <c r="L178" i="1"/>
  <c r="K178" i="1"/>
  <c r="G178" i="1"/>
  <c r="F178" i="1"/>
  <c r="L177" i="1"/>
  <c r="K177" i="1"/>
  <c r="G177" i="1"/>
  <c r="F177" i="1"/>
  <c r="L176" i="1"/>
  <c r="K176" i="1"/>
  <c r="G176" i="1"/>
  <c r="F176" i="1"/>
  <c r="L175" i="1"/>
  <c r="K175" i="1"/>
  <c r="G175" i="1"/>
  <c r="F175" i="1"/>
  <c r="L174" i="1"/>
  <c r="K174" i="1"/>
  <c r="G174" i="1"/>
  <c r="F174" i="1"/>
  <c r="L173" i="1"/>
  <c r="K173" i="1"/>
  <c r="G173" i="1"/>
  <c r="F173" i="1"/>
  <c r="L172" i="1"/>
  <c r="K172" i="1"/>
  <c r="G172" i="1"/>
  <c r="F172" i="1"/>
  <c r="L171" i="1"/>
  <c r="K171" i="1"/>
  <c r="G171" i="1"/>
  <c r="F171" i="1"/>
  <c r="L170" i="1"/>
  <c r="K170" i="1"/>
  <c r="G170" i="1"/>
  <c r="F170" i="1"/>
  <c r="L169" i="1"/>
  <c r="K169" i="1"/>
  <c r="G169" i="1"/>
  <c r="F169" i="1"/>
  <c r="L168" i="1"/>
  <c r="K168" i="1"/>
  <c r="G168" i="1"/>
  <c r="F168" i="1"/>
  <c r="L167" i="1"/>
  <c r="K167" i="1"/>
  <c r="G167" i="1"/>
  <c r="F167" i="1"/>
  <c r="L166" i="1"/>
  <c r="K166" i="1"/>
  <c r="G166" i="1"/>
  <c r="F166" i="1"/>
  <c r="L165" i="1"/>
  <c r="K165" i="1"/>
  <c r="G165" i="1"/>
  <c r="F165" i="1"/>
  <c r="L164" i="1"/>
  <c r="K164" i="1"/>
  <c r="G164" i="1"/>
  <c r="F164" i="1"/>
  <c r="L163" i="1"/>
  <c r="K163" i="1"/>
  <c r="G163" i="1"/>
  <c r="F163" i="1"/>
  <c r="L162" i="1"/>
  <c r="K162" i="1"/>
  <c r="G162" i="1"/>
  <c r="F162" i="1"/>
  <c r="L161" i="1"/>
  <c r="K161" i="1"/>
  <c r="G161" i="1"/>
  <c r="F161" i="1"/>
  <c r="L160" i="1"/>
  <c r="K160" i="1"/>
  <c r="G160" i="1"/>
  <c r="F160" i="1"/>
  <c r="L159" i="1"/>
  <c r="K159" i="1"/>
  <c r="G159" i="1"/>
  <c r="F159" i="1"/>
  <c r="L158" i="1"/>
  <c r="K158" i="1"/>
  <c r="G158" i="1"/>
  <c r="F158" i="1"/>
  <c r="L157" i="1"/>
  <c r="K157" i="1"/>
  <c r="G157" i="1"/>
  <c r="F157" i="1"/>
  <c r="L156" i="1"/>
  <c r="K156" i="1"/>
  <c r="G156" i="1"/>
  <c r="F156" i="1"/>
  <c r="L155" i="1"/>
  <c r="K155" i="1"/>
  <c r="G155" i="1"/>
  <c r="F155" i="1"/>
  <c r="L154" i="1"/>
  <c r="K154" i="1"/>
  <c r="G154" i="1"/>
  <c r="F154" i="1"/>
  <c r="L153" i="1"/>
  <c r="K153" i="1"/>
  <c r="G153" i="1"/>
  <c r="F153" i="1"/>
  <c r="L152" i="1"/>
  <c r="K152" i="1"/>
  <c r="G152" i="1"/>
  <c r="F152" i="1"/>
  <c r="L151" i="1"/>
  <c r="K151" i="1"/>
  <c r="G151" i="1"/>
  <c r="F151" i="1"/>
  <c r="L150" i="1"/>
  <c r="K150" i="1"/>
  <c r="G150" i="1"/>
  <c r="F150" i="1"/>
  <c r="L149" i="1"/>
  <c r="K149" i="1"/>
  <c r="G149" i="1"/>
  <c r="F149" i="1"/>
  <c r="L148" i="1"/>
  <c r="K148" i="1"/>
  <c r="G148" i="1"/>
  <c r="F148" i="1"/>
  <c r="L147" i="1"/>
  <c r="K147" i="1"/>
  <c r="G147" i="1"/>
  <c r="F147" i="1"/>
  <c r="L146" i="1"/>
  <c r="K146" i="1"/>
  <c r="G146" i="1"/>
  <c r="F146" i="1"/>
  <c r="L145" i="1"/>
  <c r="K145" i="1"/>
  <c r="G145" i="1"/>
  <c r="F145" i="1"/>
  <c r="L144" i="1"/>
  <c r="K144" i="1"/>
  <c r="G144" i="1"/>
  <c r="F144" i="1"/>
  <c r="L143" i="1"/>
  <c r="K143" i="1"/>
  <c r="G143" i="1"/>
  <c r="F143" i="1"/>
  <c r="L142" i="1"/>
  <c r="K142" i="1"/>
  <c r="G142" i="1"/>
  <c r="F142" i="1"/>
  <c r="L141" i="1"/>
  <c r="K141" i="1"/>
  <c r="G141" i="1"/>
  <c r="F141" i="1"/>
  <c r="L140" i="1"/>
  <c r="K140" i="1"/>
  <c r="G140" i="1"/>
  <c r="F140" i="1"/>
  <c r="L139" i="1"/>
  <c r="K139" i="1"/>
  <c r="G139" i="1"/>
  <c r="F139" i="1"/>
  <c r="L138" i="1"/>
  <c r="K138" i="1"/>
  <c r="G138" i="1"/>
  <c r="F138" i="1"/>
  <c r="L137" i="1"/>
  <c r="K137" i="1"/>
  <c r="G137" i="1"/>
  <c r="F137" i="1"/>
  <c r="L136" i="1"/>
  <c r="K136" i="1"/>
  <c r="G136" i="1"/>
  <c r="F136" i="1"/>
  <c r="L135" i="1"/>
  <c r="K135" i="1"/>
  <c r="G135" i="1"/>
  <c r="F135" i="1"/>
  <c r="L134" i="1"/>
  <c r="K134" i="1"/>
  <c r="G134" i="1"/>
  <c r="F134" i="1"/>
  <c r="L133" i="1"/>
  <c r="K133" i="1"/>
  <c r="G133" i="1"/>
  <c r="F133" i="1"/>
  <c r="L132" i="1"/>
  <c r="K132" i="1"/>
  <c r="G132" i="1"/>
  <c r="F132" i="1"/>
  <c r="L131" i="1"/>
  <c r="K131" i="1"/>
  <c r="G131" i="1"/>
  <c r="F131" i="1"/>
  <c r="L130" i="1"/>
  <c r="K130" i="1"/>
  <c r="G130" i="1"/>
  <c r="F130" i="1"/>
  <c r="L129" i="1"/>
  <c r="K129" i="1"/>
  <c r="G129" i="1"/>
  <c r="F129" i="1"/>
  <c r="L128" i="1"/>
  <c r="K128" i="1"/>
  <c r="G128" i="1"/>
  <c r="F128" i="1"/>
  <c r="L127" i="1"/>
  <c r="K127" i="1"/>
  <c r="G127" i="1"/>
  <c r="F127" i="1"/>
  <c r="L126" i="1"/>
  <c r="K126" i="1"/>
  <c r="G126" i="1"/>
  <c r="F126" i="1"/>
  <c r="L125" i="1"/>
  <c r="K125" i="1"/>
  <c r="G125" i="1"/>
  <c r="F125" i="1"/>
  <c r="L124" i="1"/>
  <c r="K124" i="1"/>
  <c r="G124" i="1"/>
  <c r="F124" i="1"/>
  <c r="L123" i="1"/>
  <c r="K123" i="1"/>
  <c r="G123" i="1"/>
  <c r="F123" i="1"/>
  <c r="L122" i="1"/>
  <c r="K122" i="1"/>
  <c r="G122" i="1"/>
  <c r="F122" i="1"/>
  <c r="L121" i="1"/>
  <c r="K121" i="1"/>
  <c r="G121" i="1"/>
  <c r="F121" i="1"/>
  <c r="L120" i="1"/>
  <c r="K120" i="1"/>
  <c r="G120" i="1"/>
  <c r="F120" i="1"/>
  <c r="L119" i="1"/>
  <c r="K119" i="1"/>
  <c r="G119" i="1"/>
  <c r="F119" i="1"/>
  <c r="L118" i="1"/>
  <c r="K118" i="1"/>
  <c r="G118" i="1"/>
  <c r="F118" i="1"/>
  <c r="L117" i="1"/>
  <c r="K117" i="1"/>
  <c r="G117" i="1"/>
  <c r="F117" i="1"/>
  <c r="L116" i="1"/>
  <c r="K116" i="1"/>
  <c r="G116" i="1"/>
  <c r="F116" i="1"/>
  <c r="L115" i="1"/>
  <c r="K115" i="1"/>
  <c r="G115" i="1"/>
  <c r="F115" i="1"/>
  <c r="L114" i="1"/>
  <c r="K114" i="1"/>
  <c r="G114" i="1"/>
  <c r="F114" i="1"/>
  <c r="L113" i="1"/>
  <c r="K113" i="1"/>
  <c r="G113" i="1"/>
  <c r="F113" i="1"/>
  <c r="L112" i="1"/>
  <c r="K112" i="1"/>
  <c r="G112" i="1"/>
  <c r="F112" i="1"/>
  <c r="L111" i="1"/>
  <c r="K111" i="1"/>
  <c r="G111" i="1"/>
  <c r="F111" i="1"/>
  <c r="L110" i="1"/>
  <c r="K110" i="1"/>
  <c r="G110" i="1"/>
  <c r="F110" i="1"/>
  <c r="L109" i="1"/>
  <c r="K109" i="1"/>
  <c r="G109" i="1"/>
  <c r="F109" i="1"/>
  <c r="L108" i="1"/>
  <c r="K108" i="1"/>
  <c r="G108" i="1"/>
  <c r="F108" i="1"/>
  <c r="L107" i="1"/>
  <c r="K107" i="1"/>
  <c r="G107" i="1"/>
  <c r="F107" i="1"/>
  <c r="L106" i="1"/>
  <c r="K106" i="1"/>
  <c r="G106" i="1"/>
  <c r="F106" i="1"/>
  <c r="L105" i="1"/>
  <c r="K105" i="1"/>
  <c r="G105" i="1"/>
  <c r="F105" i="1"/>
  <c r="L104" i="1"/>
  <c r="K104" i="1"/>
  <c r="G104" i="1"/>
  <c r="F104" i="1"/>
  <c r="L103" i="1"/>
  <c r="K103" i="1"/>
  <c r="G103" i="1"/>
  <c r="F103" i="1"/>
  <c r="L102" i="1"/>
  <c r="K102" i="1"/>
  <c r="G102" i="1"/>
  <c r="F102" i="1"/>
  <c r="L101" i="1"/>
  <c r="K101" i="1"/>
  <c r="G101" i="1"/>
  <c r="F101" i="1"/>
  <c r="L100" i="1"/>
  <c r="K100" i="1"/>
  <c r="G100" i="1"/>
  <c r="F100" i="1"/>
  <c r="L99" i="1"/>
  <c r="K99" i="1"/>
  <c r="G99" i="1"/>
  <c r="F99" i="1"/>
  <c r="L98" i="1"/>
  <c r="K98" i="1"/>
  <c r="G98" i="1"/>
  <c r="F98" i="1"/>
  <c r="L97" i="1"/>
  <c r="K97" i="1"/>
  <c r="G97" i="1"/>
  <c r="F97" i="1"/>
  <c r="L96" i="1"/>
  <c r="K96" i="1"/>
  <c r="G96" i="1"/>
  <c r="F96" i="1"/>
  <c r="L95" i="1"/>
  <c r="K95" i="1"/>
  <c r="G95" i="1"/>
  <c r="F95" i="1"/>
  <c r="L94" i="1"/>
  <c r="K94" i="1"/>
  <c r="G94" i="1"/>
  <c r="F94" i="1"/>
  <c r="L93" i="1"/>
  <c r="K93" i="1"/>
  <c r="G93" i="1"/>
  <c r="F93" i="1"/>
  <c r="L92" i="1"/>
  <c r="K92" i="1"/>
  <c r="G92" i="1"/>
  <c r="F92" i="1"/>
  <c r="L91" i="1"/>
  <c r="K91" i="1"/>
  <c r="G91" i="1"/>
  <c r="F91" i="1"/>
  <c r="L90" i="1"/>
  <c r="K90" i="1"/>
  <c r="G90" i="1"/>
  <c r="F90" i="1"/>
  <c r="L89" i="1"/>
  <c r="K89" i="1"/>
  <c r="G89" i="1"/>
  <c r="F89" i="1"/>
  <c r="L88" i="1"/>
  <c r="K88" i="1"/>
  <c r="G88" i="1"/>
  <c r="F88" i="1"/>
  <c r="L87" i="1"/>
  <c r="K87" i="1"/>
  <c r="G87" i="1"/>
  <c r="F87" i="1"/>
  <c r="L86" i="1"/>
  <c r="K86" i="1"/>
  <c r="G86" i="1"/>
  <c r="F86" i="1"/>
  <c r="L85" i="1"/>
  <c r="K85" i="1"/>
  <c r="G85" i="1"/>
  <c r="F85" i="1"/>
  <c r="L84" i="1"/>
  <c r="K84" i="1"/>
  <c r="G84" i="1"/>
  <c r="F84" i="1"/>
  <c r="L83" i="1"/>
  <c r="K83" i="1"/>
  <c r="G83" i="1"/>
  <c r="F83" i="1"/>
  <c r="L82" i="1"/>
  <c r="K82" i="1"/>
  <c r="G82" i="1"/>
  <c r="F82" i="1"/>
  <c r="L81" i="1"/>
  <c r="K81" i="1"/>
  <c r="G81" i="1"/>
  <c r="F81" i="1"/>
  <c r="L80" i="1"/>
  <c r="K80" i="1"/>
  <c r="G80" i="1"/>
  <c r="F80" i="1"/>
  <c r="L79" i="1"/>
  <c r="K79" i="1"/>
  <c r="G79" i="1"/>
  <c r="F79" i="1"/>
  <c r="L78" i="1"/>
  <c r="K78" i="1"/>
  <c r="G78" i="1"/>
  <c r="F78" i="1"/>
  <c r="L77" i="1"/>
  <c r="K77" i="1"/>
  <c r="G77" i="1"/>
  <c r="F77" i="1"/>
  <c r="L76" i="1"/>
  <c r="K76" i="1"/>
  <c r="G76" i="1"/>
  <c r="F76" i="1"/>
  <c r="L75" i="1"/>
  <c r="K75" i="1"/>
  <c r="G75" i="1"/>
  <c r="F75" i="1"/>
  <c r="L74" i="1"/>
  <c r="K74" i="1"/>
  <c r="G74" i="1"/>
  <c r="F74" i="1"/>
  <c r="L73" i="1"/>
  <c r="K73" i="1"/>
  <c r="G73" i="1"/>
  <c r="F73" i="1"/>
  <c r="L72" i="1"/>
  <c r="K72" i="1"/>
  <c r="G72" i="1"/>
  <c r="F72" i="1"/>
  <c r="L71" i="1"/>
  <c r="K71" i="1"/>
  <c r="G71" i="1"/>
  <c r="F71" i="1"/>
  <c r="L70" i="1"/>
  <c r="K70" i="1"/>
  <c r="G70" i="1"/>
  <c r="F70" i="1"/>
  <c r="L69" i="1"/>
  <c r="K69" i="1"/>
  <c r="G69" i="1"/>
  <c r="F69" i="1"/>
  <c r="L68" i="1"/>
  <c r="K68" i="1"/>
  <c r="G68" i="1"/>
  <c r="F68" i="1"/>
  <c r="L67" i="1"/>
  <c r="K67" i="1"/>
  <c r="G67" i="1"/>
  <c r="F67" i="1"/>
  <c r="L66" i="1"/>
  <c r="K66" i="1"/>
  <c r="G66" i="1"/>
  <c r="F66" i="1"/>
  <c r="L65" i="1"/>
  <c r="K65" i="1"/>
  <c r="G65" i="1"/>
  <c r="F65" i="1"/>
  <c r="L64" i="1"/>
  <c r="K64" i="1"/>
  <c r="G64" i="1"/>
  <c r="F64" i="1"/>
  <c r="L63" i="1"/>
  <c r="K63" i="1"/>
  <c r="G63" i="1"/>
  <c r="F63" i="1"/>
  <c r="L62" i="1"/>
  <c r="K62" i="1"/>
  <c r="G62" i="1"/>
  <c r="F62" i="1"/>
  <c r="L61" i="1"/>
  <c r="K61" i="1"/>
  <c r="G61" i="1"/>
  <c r="F61" i="1"/>
  <c r="L60" i="1"/>
  <c r="K60" i="1"/>
  <c r="G60" i="1"/>
  <c r="F60" i="1"/>
  <c r="L59" i="1"/>
  <c r="K59" i="1"/>
  <c r="G59" i="1"/>
  <c r="F59" i="1"/>
  <c r="L58" i="1"/>
  <c r="K58" i="1"/>
  <c r="G58" i="1"/>
  <c r="F58" i="1"/>
  <c r="L57" i="1"/>
  <c r="K57" i="1"/>
  <c r="G57" i="1"/>
  <c r="F57" i="1"/>
  <c r="L56" i="1"/>
  <c r="K56" i="1"/>
  <c r="G56" i="1"/>
  <c r="F56" i="1"/>
  <c r="L55" i="1"/>
  <c r="K55" i="1"/>
  <c r="G55" i="1"/>
  <c r="F55" i="1"/>
  <c r="L54" i="1"/>
  <c r="K54" i="1"/>
  <c r="G54" i="1"/>
  <c r="F54" i="1"/>
  <c r="L53" i="1"/>
  <c r="K53" i="1"/>
  <c r="G53" i="1"/>
  <c r="F53" i="1"/>
  <c r="L52" i="1"/>
  <c r="K52" i="1"/>
  <c r="G52" i="1"/>
  <c r="F52" i="1"/>
  <c r="L51" i="1"/>
  <c r="K51" i="1"/>
  <c r="G51" i="1"/>
  <c r="F51" i="1"/>
  <c r="L50" i="1"/>
  <c r="K50" i="1"/>
  <c r="G50" i="1"/>
  <c r="F50" i="1"/>
  <c r="L49" i="1"/>
  <c r="K49" i="1"/>
  <c r="G49" i="1"/>
  <c r="F49" i="1"/>
  <c r="L48" i="1"/>
  <c r="K48" i="1"/>
  <c r="G48" i="1"/>
  <c r="F48" i="1"/>
  <c r="L47" i="1"/>
  <c r="K47" i="1"/>
  <c r="G47" i="1"/>
  <c r="F47" i="1"/>
  <c r="L46" i="1"/>
  <c r="K46" i="1"/>
  <c r="G46" i="1"/>
  <c r="F46" i="1"/>
  <c r="L45" i="1"/>
  <c r="K45" i="1"/>
  <c r="G45" i="1"/>
  <c r="F45" i="1"/>
  <c r="L44" i="1"/>
  <c r="K44" i="1"/>
  <c r="G44" i="1"/>
  <c r="F44" i="1"/>
  <c r="L43" i="1"/>
  <c r="K43" i="1"/>
  <c r="G43" i="1"/>
  <c r="F43" i="1"/>
  <c r="L42" i="1"/>
  <c r="K42" i="1"/>
  <c r="G42" i="1"/>
  <c r="F42" i="1"/>
  <c r="L41" i="1"/>
  <c r="K41" i="1"/>
  <c r="G41" i="1"/>
  <c r="F41" i="1"/>
  <c r="L40" i="1"/>
  <c r="K40" i="1"/>
  <c r="G40" i="1"/>
  <c r="F40" i="1"/>
  <c r="L39" i="1"/>
  <c r="K39" i="1"/>
  <c r="G39" i="1"/>
  <c r="F39" i="1"/>
  <c r="L38" i="1"/>
  <c r="K38" i="1"/>
  <c r="G38" i="1"/>
  <c r="F38" i="1"/>
  <c r="L37" i="1"/>
  <c r="K37" i="1"/>
  <c r="G37" i="1"/>
  <c r="F37" i="1"/>
  <c r="L36" i="1"/>
  <c r="K36" i="1"/>
  <c r="G36" i="1"/>
  <c r="F36" i="1"/>
  <c r="L35" i="1"/>
  <c r="K35" i="1"/>
  <c r="G35" i="1"/>
  <c r="F35" i="1"/>
  <c r="L34" i="1"/>
  <c r="K34" i="1"/>
  <c r="G34" i="1"/>
  <c r="F34" i="1"/>
  <c r="L33" i="1"/>
  <c r="K33" i="1"/>
  <c r="G33" i="1"/>
  <c r="F33" i="1"/>
  <c r="L32" i="1"/>
  <c r="K32" i="1"/>
  <c r="G32" i="1"/>
  <c r="F32" i="1"/>
  <c r="L31" i="1"/>
  <c r="K31" i="1"/>
  <c r="G31" i="1"/>
  <c r="F31" i="1"/>
  <c r="L30" i="1"/>
  <c r="K30" i="1"/>
  <c r="G30" i="1"/>
  <c r="F30" i="1"/>
  <c r="L29" i="1"/>
  <c r="K29" i="1"/>
  <c r="G29" i="1"/>
  <c r="F29" i="1"/>
  <c r="L28" i="1"/>
  <c r="K28" i="1"/>
  <c r="G28" i="1"/>
  <c r="F28" i="1"/>
  <c r="L27" i="1"/>
  <c r="K27" i="1"/>
  <c r="G27" i="1"/>
  <c r="F27" i="1"/>
  <c r="L26" i="1"/>
  <c r="K26" i="1"/>
  <c r="G26" i="1"/>
  <c r="F26" i="1"/>
  <c r="L25" i="1"/>
  <c r="K25" i="1"/>
  <c r="G25" i="1"/>
  <c r="F25" i="1"/>
  <c r="L24" i="1"/>
  <c r="K24" i="1"/>
  <c r="G24" i="1"/>
  <c r="F24" i="1"/>
  <c r="L23" i="1"/>
  <c r="K23" i="1"/>
  <c r="G23" i="1"/>
  <c r="F23" i="1"/>
  <c r="L22" i="1"/>
  <c r="K22" i="1"/>
  <c r="G22" i="1"/>
  <c r="F22" i="1"/>
  <c r="L21" i="1"/>
  <c r="K21" i="1"/>
  <c r="G21" i="1"/>
  <c r="F21" i="1"/>
  <c r="L20" i="1"/>
  <c r="K20" i="1"/>
  <c r="G20" i="1"/>
  <c r="F20" i="1"/>
  <c r="L19" i="1"/>
  <c r="K19" i="1"/>
  <c r="G19" i="1"/>
  <c r="F19" i="1"/>
  <c r="L18" i="1"/>
  <c r="K18" i="1"/>
  <c r="G18" i="1"/>
  <c r="F18" i="1"/>
  <c r="L17" i="1"/>
  <c r="K17" i="1"/>
  <c r="G17" i="1"/>
  <c r="F17" i="1"/>
  <c r="L16" i="1"/>
  <c r="K16" i="1"/>
  <c r="G16" i="1"/>
  <c r="F16" i="1"/>
  <c r="L15" i="1"/>
  <c r="K15" i="1"/>
  <c r="G15" i="1"/>
  <c r="F15" i="1"/>
  <c r="L14" i="1"/>
  <c r="K14" i="1"/>
  <c r="G14" i="1"/>
  <c r="F14" i="1"/>
  <c r="L13" i="1"/>
  <c r="K13" i="1"/>
  <c r="G13" i="1"/>
  <c r="F13" i="1"/>
  <c r="L12" i="1"/>
  <c r="K12" i="1"/>
  <c r="G12" i="1"/>
  <c r="F12" i="1"/>
  <c r="L11" i="1"/>
  <c r="K11" i="1"/>
  <c r="G11" i="1"/>
  <c r="F11" i="1"/>
  <c r="J9" i="1"/>
  <c r="I9" i="1"/>
  <c r="L9" i="1" s="1"/>
  <c r="E9" i="1"/>
  <c r="G9" i="1"/>
  <c r="D9" i="1"/>
  <c r="F9" i="1"/>
  <c r="K9" i="1" l="1"/>
</calcChain>
</file>

<file path=xl/sharedStrings.xml><?xml version="1.0" encoding="utf-8"?>
<sst xmlns="http://schemas.openxmlformats.org/spreadsheetml/2006/main" count="350" uniqueCount="346">
  <si>
    <t>2010 ADJUSTED NET TAX CAPACITIES</t>
  </si>
  <si>
    <t>After Homestead Market Value Exclusion Law Change</t>
  </si>
  <si>
    <t>2010 Net Tax Capacity (NTC)</t>
  </si>
  <si>
    <t>2010 Adjusted Net Tax Capacity (ANTC)</t>
  </si>
  <si>
    <t>School District</t>
  </si>
  <si>
    <t>New Law</t>
  </si>
  <si>
    <t>Old Law</t>
  </si>
  <si>
    <t>Difference</t>
  </si>
  <si>
    <t>% Change</t>
  </si>
  <si>
    <t>STATE TOTALS</t>
  </si>
  <si>
    <t>AITKIN</t>
  </si>
  <si>
    <t>MINNEAPOLIS</t>
  </si>
  <si>
    <t>HILL CITY</t>
  </si>
  <si>
    <t>MC GREGOR</t>
  </si>
  <si>
    <t>SOUTH ST PAUL</t>
  </si>
  <si>
    <t>ANOKA</t>
  </si>
  <si>
    <t>CENTENNIAL</t>
  </si>
  <si>
    <t>COLUMBIA HEIGHTS</t>
  </si>
  <si>
    <t>FRIDLEY</t>
  </si>
  <si>
    <t>ST FRANCIS</t>
  </si>
  <si>
    <t>SPRING LAKE PARK</t>
  </si>
  <si>
    <t>DETROIT LAKES</t>
  </si>
  <si>
    <t>FRAZEE-VERGAS</t>
  </si>
  <si>
    <t>BEMIDJI</t>
  </si>
  <si>
    <t>BLACKDUCK</t>
  </si>
  <si>
    <t>KELLIHER</t>
  </si>
  <si>
    <t>RED LAKE</t>
  </si>
  <si>
    <t>SAUK RAPIDS</t>
  </si>
  <si>
    <t>FOLEY</t>
  </si>
  <si>
    <t>ST CLAIR</t>
  </si>
  <si>
    <t>MANKATO</t>
  </si>
  <si>
    <t>COMFREY</t>
  </si>
  <si>
    <t>SLEEPY EYE</t>
  </si>
  <si>
    <t>SPRINGFIELD</t>
  </si>
  <si>
    <t>NEW ULM-HANSKA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</si>
  <si>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</si>
  <si>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</si>
  <si>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</si>
  <si>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</si>
  <si>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</si>
  <si>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</si>
  <si>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</si>
  <si>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</si>
  <si>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</si>
  <si>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</si>
  <si>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</si>
  <si>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</si>
  <si>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</si>
  <si>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</si>
  <si>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</si>
  <si>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</si>
  <si>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</si>
  <si>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</si>
  <si>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</si>
  <si>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</si>
  <si>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</si>
  <si>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</si>
  <si>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</si>
  <si>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</si>
  <si>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</si>
  <si>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</si>
  <si>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CROSBY-IRONTON</t>
  </si>
  <si>
    <t>PEQUOT LAKES</t>
  </si>
  <si>
    <t>BURNSVILLE</t>
  </si>
  <si>
    <t>FARMINGTON</t>
  </si>
  <si>
    <t>LAKEVILLE</t>
  </si>
  <si>
    <t>RANDOLPH</t>
  </si>
  <si>
    <t>ROSEMOUNT</t>
  </si>
  <si>
    <t>WEST ST PAUL</t>
  </si>
  <si>
    <t>INVER GROVE</t>
  </si>
  <si>
    <t>HASTINGS</t>
  </si>
  <si>
    <t>HAYFIELD</t>
  </si>
  <si>
    <t>KASSON-MANTORVILLE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</si>
  <si>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</si>
  <si>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</si>
  <si>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</si>
  <si>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</si>
  <si>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</si>
  <si>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</si>
  <si>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</si>
  <si>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RUSHFORD-PETERSON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</si>
  <si>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</si>
  <si>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</si>
  <si>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</si>
  <si>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</si>
  <si>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</si>
  <si>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</si>
  <si>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</si>
  <si>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</si>
  <si>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</si>
  <si>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</si>
  <si>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</si>
  <si>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</si>
  <si>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</si>
  <si>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</si>
  <si>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</si>
  <si>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</si>
  <si>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</si>
  <si>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</si>
  <si>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 ANTHONY VILLAGE</t>
  </si>
  <si>
    <t>ST LOUIS PARK</t>
  </si>
  <si>
    <t>WAYZATA</t>
  </si>
  <si>
    <t>BROOKLYN CENTER</t>
  </si>
  <si>
    <t>HOUSTON</t>
  </si>
  <si>
    <t>SPRING GROVE</t>
  </si>
  <si>
    <t>CALEDONIA</t>
  </si>
  <si>
    <t>LA CRESCENT</t>
  </si>
  <si>
    <t>LAPORTE</t>
  </si>
  <si>
    <t>NEVIS</t>
  </si>
  <si>
    <t>PARK RAPIDS</t>
  </si>
  <si>
    <t>BRAHAM</t>
  </si>
  <si>
    <t>COLERAINE</t>
  </si>
  <si>
    <t>DEER RIVER</t>
  </si>
  <si>
    <t>GRAND RAPIDS</t>
  </si>
  <si>
    <t>NASHWAUK-KEEWATIN</t>
  </si>
  <si>
    <t>FRANCONIA</t>
  </si>
  <si>
    <t>HERON LAKE-OKABENA</t>
  </si>
  <si>
    <t>MORA</t>
  </si>
  <si>
    <t>OGILVIE</t>
  </si>
  <si>
    <t>NEW LONDON-SPICER</t>
  </si>
  <si>
    <t>WILLMAR</t>
  </si>
  <si>
    <t>LANCASTER</t>
  </si>
  <si>
    <t>INTERNATIONAL FALLS</t>
  </si>
  <si>
    <t>LITTLE FORK-BIG FALLS</t>
  </si>
  <si>
    <t>SOUTH KOOCHICHING</t>
  </si>
  <si>
    <t>DAWSON-BOYD</t>
  </si>
  <si>
    <t>LAKE SUPERIOR</t>
  </si>
  <si>
    <t>LAKE OF THE WOODS</t>
  </si>
  <si>
    <t>CLEVELAND</t>
  </si>
  <si>
    <t>LE CENTER</t>
  </si>
  <si>
    <t>MONTGOMERY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</si>
  <si>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</si>
  <si>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</si>
  <si>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</si>
  <si>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</si>
  <si>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</si>
  <si>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</si>
  <si>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</si>
  <si>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</si>
  <si>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</si>
  <si>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</si>
  <si>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MARSHALL COUNTY CENTRAL</t>
  </si>
  <si>
    <t>GRYGLA-GATZKE</t>
  </si>
  <si>
    <t>TRUMAN</t>
  </si>
  <si>
    <t>EDEN VALLEY-WATKINS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</si>
  <si>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</si>
  <si>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</si>
  <si>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</si>
  <si>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</si>
  <si>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</si>
  <si>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</si>
  <si>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</si>
  <si>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</si>
  <si>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</si>
  <si>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</si>
  <si>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</si>
  <si>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</si>
  <si>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</si>
  <si>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 ROY-OSTRANDER</t>
  </si>
  <si>
    <t>SOUTHLAND</t>
  </si>
  <si>
    <t>FULDA</t>
  </si>
  <si>
    <t>NICOLLET</t>
  </si>
  <si>
    <t>ST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</si>
  <si>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</si>
  <si>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</si>
  <si>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</si>
  <si>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</si>
  <si>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</si>
  <si>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</si>
  <si>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</si>
  <si>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</si>
  <si>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</si>
  <si>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</si>
  <si>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</si>
  <si>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</si>
  <si>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</si>
  <si>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</si>
  <si>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</si>
  <si>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</si>
  <si>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</si>
  <si>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</si>
  <si>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FALLS</t>
  </si>
  <si>
    <t>WILLOW RIVER</t>
  </si>
  <si>
    <t>PINE CITY</t>
  </si>
  <si>
    <t>EDGERTON</t>
  </si>
  <si>
    <t>CLIMAX</t>
  </si>
  <si>
    <t>CROOKSTON</t>
  </si>
  <si>
    <t>EAST GRAND FORKS</t>
  </si>
  <si>
    <t>FERTILE</t>
  </si>
  <si>
    <t>FISHER</t>
  </si>
  <si>
    <t>FOSSTON</t>
  </si>
  <si>
    <t>CYRUS</t>
  </si>
  <si>
    <t>MOUNDS VIEW</t>
  </si>
  <si>
    <t>NO ST PAUL-MAPLEWOOD</t>
  </si>
  <si>
    <t>ROSEVILLE</t>
  </si>
  <si>
    <t>WHITE BEAR LAKE</t>
  </si>
  <si>
    <t>ST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</si>
  <si>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</si>
  <si>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</si>
  <si>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</si>
  <si>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</si>
  <si>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</si>
  <si>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</si>
  <si>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</si>
  <si>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CREEK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</si>
  <si>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</si>
  <si>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</si>
  <si>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</si>
  <si>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</si>
  <si>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</si>
  <si>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</si>
  <si>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</si>
  <si>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</si>
  <si>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</si>
  <si>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</si>
  <si>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</si>
  <si>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</si>
  <si>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IRON-BUHL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</si>
  <si>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</si>
  <si>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</si>
  <si>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</si>
  <si>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</si>
  <si>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</si>
  <si>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</si>
  <si>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</si>
  <si>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</si>
  <si>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</si>
  <si>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</si>
  <si>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</si>
  <si>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</si>
  <si>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</si>
  <si>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</si>
  <si>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</si>
  <si>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</si>
  <si>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</si>
  <si>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</si>
  <si>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</si>
  <si>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</si>
  <si>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</si>
  <si>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</si>
  <si>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</si>
  <si>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KERKHOVEN-MURDOCH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</si>
  <si>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</si>
  <si>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</si>
  <si>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</si>
  <si>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</si>
  <si>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</si>
  <si>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</si>
  <si>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</si>
  <si>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</si>
  <si>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</si>
  <si>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</si>
  <si>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</si>
  <si>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</si>
  <si>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</si>
  <si>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</si>
  <si>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SO. WASHINGTON COUNTY</t>
  </si>
  <si>
    <t>STILLWATER</t>
  </si>
  <si>
    <t>BUTTERFIELD</t>
  </si>
  <si>
    <t>MADELIA</t>
  </si>
  <si>
    <t>ST JAMES</t>
  </si>
  <si>
    <t>BRECKENRIDGE</t>
  </si>
  <si>
    <t>ROTHSAY</t>
  </si>
  <si>
    <t>CAMPBELL</t>
  </si>
  <si>
    <t>LEWISTON</t>
  </si>
  <si>
    <t>ST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</si>
  <si>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</si>
  <si>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</si>
  <si>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</si>
  <si>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</si>
  <si>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</si>
  <si>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</si>
  <si>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</si>
  <si>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 MICHAEL-ALBERTVILLE</t>
  </si>
  <si>
    <t>CANBY</t>
  </si>
  <si>
    <t>CAMBRIDGE</t>
  </si>
  <si>
    <t>MILACA</t>
  </si>
  <si>
    <t>ULEN-HITTERDAL</t>
  </si>
  <si>
    <t>LAKE CRYSTAL-WELCOME</t>
  </si>
  <si>
    <t>TRITON</t>
  </si>
  <si>
    <t>UNITED SOUTH CENTRAL</t>
  </si>
  <si>
    <t>MAPLE RIVER</t>
  </si>
  <si>
    <t>KINGSLAND</t>
  </si>
  <si>
    <t>ST LOUIS COUNTY</t>
  </si>
  <si>
    <t>WATERVILLE-ELYS.-MORRIS.</t>
  </si>
  <si>
    <t>CHISAGO LAKES AREA</t>
  </si>
  <si>
    <t>MINNEWASKA</t>
  </si>
  <si>
    <t>EVELETH-GILBERT</t>
  </si>
  <si>
    <t>WADENA-DEER CREEK</t>
  </si>
  <si>
    <t>BUFFALO LAKE-HECTOR</t>
  </si>
  <si>
    <t>DILWORTH-GLYNDON-FELTON</t>
  </si>
  <si>
    <t>HINCKLEY-FINLAYSON</t>
  </si>
  <si>
    <t>LAKEVIEW</t>
  </si>
  <si>
    <t>NRHEG</t>
  </si>
  <si>
    <t>MURRAY COUNTY</t>
  </si>
  <si>
    <t>STAPLES-MOTLEY</t>
  </si>
  <si>
    <t>KITTSON CENTRAL</t>
  </si>
  <si>
    <t>KENYON-WANAMINGO</t>
  </si>
  <si>
    <t>PINE RIVER-BACKUS</t>
  </si>
  <si>
    <t>WARREN-ALVARADO-OLSO</t>
  </si>
  <si>
    <t>MACCRAY</t>
  </si>
  <si>
    <t>LUVERNE-MAGNOLIA</t>
  </si>
  <si>
    <t>YELLOW MEDICINE EAST</t>
  </si>
  <si>
    <t>FILLMORE CENTRAL</t>
  </si>
  <si>
    <t>NORMAN COUNTY EAST</t>
  </si>
  <si>
    <t>SIBLEY EAST</t>
  </si>
  <si>
    <t>CLEARBROOK-GONVICK</t>
  </si>
  <si>
    <t>WEST CENTRAL AREA</t>
  </si>
  <si>
    <t>KARLSTAD-STRANDQUIST</t>
  </si>
  <si>
    <t>BELGRADE-BROOTEN-ELROSA</t>
  </si>
  <si>
    <t>GIBBON-FAIRFAX-WINTHROP</t>
  </si>
  <si>
    <t>A.C.G.C.</t>
  </si>
  <si>
    <t>LE SUEUR-HENDERSON</t>
  </si>
  <si>
    <t>MARTIN COUNTY WEST</t>
  </si>
  <si>
    <t>HALSTAD-HENDRUM</t>
  </si>
  <si>
    <t>BIRD ISLAND-OLIVIA</t>
  </si>
  <si>
    <t>GRANADA-HUNT.-E CHAIN</t>
  </si>
  <si>
    <t>EAST CENTRAL</t>
  </si>
  <si>
    <t>WIN-E-MAC</t>
  </si>
  <si>
    <t>GREENBUSH-MIDDLE RIVER</t>
  </si>
  <si>
    <t>HOWARD LK-WAVERLY-WINST</t>
  </si>
  <si>
    <t>PIPESTONE-JASPER</t>
  </si>
  <si>
    <t>MESABI EAST</t>
  </si>
  <si>
    <t>FAIRMONT AREA</t>
  </si>
  <si>
    <t>LONG PRAIRIE-GREY EAGLE</t>
  </si>
  <si>
    <t>CEDAR MOUNTAIN</t>
  </si>
  <si>
    <t>EAGLE VALLEY</t>
  </si>
  <si>
    <t>ZUMBROTA-MAZEPPA</t>
  </si>
  <si>
    <t>JANESVILLE-WALD-PEMBER</t>
  </si>
  <si>
    <t>LAC QUI PARLE VALLEY</t>
  </si>
  <si>
    <t>ADA-BORUP</t>
  </si>
  <si>
    <t>STEPHEN-ARGYLE CENTRAL</t>
  </si>
  <si>
    <t>GLENCOE-SILVER LAKE</t>
  </si>
  <si>
    <t>BLUE EARTH AREA</t>
  </si>
  <si>
    <t>STORDEN-JEFFERS</t>
  </si>
  <si>
    <t>GLENVILLEN-EMMONS</t>
  </si>
  <si>
    <t>CLINTON-GRACEVILLE-BEARDS</t>
  </si>
  <si>
    <t>LAKE PARK-AUDUBON</t>
  </si>
  <si>
    <t>DANUBE-RENVILLE-SACRED H</t>
  </si>
  <si>
    <t>JACKSON COUNTY CENTRAL</t>
  </si>
  <si>
    <t>REDWOOD FALLS AREA</t>
  </si>
  <si>
    <t>WESTBROOK WALNUT GROVE</t>
  </si>
  <si>
    <t>PLAINVIEW-ELGIN-MILLVILLE</t>
  </si>
  <si>
    <t>RTR PUBLIC SCHOOLS</t>
  </si>
  <si>
    <t>ORTONVILLE BELLINGHAM</t>
  </si>
  <si>
    <t>TRACY AREA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</si>
</sst>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2" applyNumberFormat="1" applyFont="1"/>
    <xf numFmtId="164" fontId="3" fillId="0" borderId="0" xfId="2" applyNumberFormat="1" applyFont="1" applyAlignment="1">
      <alignment horizontal="right"/>
    </xf>
    <xf numFmtId="164" fontId="2" fillId="0" borderId="0" xfId="2" applyNumberFormat="1" applyFont="1"/>
    <xf numFmtId="0" fontId="2" fillId="0" borderId="0" xfId="0" applyFont="1" applyAlignment="1">
      <alignment horizontal="center"/>
    </xf>
    <xf numFmtId="164" fontId="2" fillId="0" borderId="0" xfId="2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2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3" fillId="0" borderId="0" xfId="1" applyNumberFormat="1" applyFont="1"/>
    <xf numFmtId="165" fontId="3" fillId="0" borderId="0" xfId="0" applyNumberFormat="1" applyFont="1"/>
    <xf numFmtId="14" fontId="3" fillId="0" borderId="0" xfId="2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8"/>
  <sheetViews>
    <sheetView tabSelected="1" workbookViewId="0">
      <pane xSplit="3" ySplit="8" topLeftCell="D9" activePane="bottomRight" state="frozen"/>
      <selection pane="topRight" activeCell="D1" sqref="D1"/>
      <selection pane="bottomLeft" activeCell="A12" sqref="A12"/>
      <selection pane="bottomRight" activeCell="I11" sqref="I11"/>
    </sheetView>
  </sheetViews>
  <sheetFormatPr defaultRowHeight="12" x14ac:dyDescent="0.2"/>
  <cols>
    <col min="1" max="1" width="5" style="2" bestFit="1" customWidth="1"/>
    <col min="2" max="2" width="5.140625" style="2" hidden="1" customWidth="1"/>
    <col min="3" max="3" width="27.85546875" style="2" bestFit="1" customWidth="1"/>
    <col min="4" max="5" width="13.5703125" style="2" bestFit="1" customWidth="1"/>
    <col min="6" max="6" width="12.5703125" style="2" bestFit="1" customWidth="1"/>
    <col min="7" max="7" width="9.28515625" style="3" bestFit="1" customWidth="1"/>
    <col min="8" max="8" width="2.28515625" style="3" customWidth="1"/>
    <col min="9" max="10" width="14.5703125" style="2" bestFit="1" customWidth="1"/>
    <col min="11" max="11" width="12.5703125" style="2" bestFit="1" customWidth="1"/>
    <col min="12" max="12" width="11" style="3" bestFit="1" customWidth="1"/>
    <col min="13" max="16384" width="9.140625" style="2"/>
  </cols>
  <sheetData>
    <row r="1" spans="1:12" x14ac:dyDescent="0.2">
      <c r="A1" s="1" t="s">
        <v>0</v>
      </c>
      <c r="L1" s="14">
        <v>40784</v>
      </c>
    </row>
    <row r="2" spans="1:12" x14ac:dyDescent="0.2">
      <c r="A2" s="1" t="s">
        <v>1</v>
      </c>
    </row>
    <row r="5" spans="1:12" x14ac:dyDescent="0.2">
      <c r="D5" s="15" t="s">
        <v>2</v>
      </c>
      <c r="E5" s="15"/>
      <c r="F5" s="15"/>
      <c r="G5" s="15"/>
      <c r="H5" s="5"/>
      <c r="I5" s="15" t="s">
        <v>3</v>
      </c>
      <c r="J5" s="15"/>
      <c r="K5" s="15"/>
      <c r="L5" s="15"/>
    </row>
    <row r="6" spans="1:12" x14ac:dyDescent="0.2">
      <c r="D6" s="6"/>
      <c r="E6" s="6"/>
      <c r="F6" s="6"/>
      <c r="G6" s="6"/>
      <c r="H6" s="5"/>
      <c r="I6" s="6"/>
      <c r="J6" s="6"/>
      <c r="K6" s="6"/>
      <c r="L6" s="6"/>
    </row>
    <row r="7" spans="1:12" x14ac:dyDescent="0.2">
      <c r="C7" s="1" t="s">
        <v>4</v>
      </c>
      <c r="D7" s="6" t="s">
        <v>5</v>
      </c>
      <c r="E7" s="6" t="s">
        <v>6</v>
      </c>
      <c r="F7" s="6" t="s">
        <v>7</v>
      </c>
      <c r="G7" s="7" t="s">
        <v>8</v>
      </c>
      <c r="H7" s="7"/>
      <c r="I7" s="6" t="s">
        <v>5</v>
      </c>
      <c r="J7" s="6" t="s">
        <v>6</v>
      </c>
      <c r="K7" s="6" t="s">
        <v>7</v>
      </c>
      <c r="L7" s="7" t="s">
        <v>8</v>
      </c>
    </row>
    <row r="8" spans="1:12" x14ac:dyDescent="0.2">
      <c r="D8" s="8"/>
      <c r="E8" s="8"/>
      <c r="F8" s="8"/>
      <c r="G8" s="4"/>
      <c r="K8" s="9"/>
      <c r="L8" s="10"/>
    </row>
    <row r="9" spans="1:12" x14ac:dyDescent="0.2">
      <c r="C9" s="2" t="s">
        <v>9</v>
      </c>
      <c r="D9" s="11">
        <f>SUM(D11:D346)</f>
        <v>5735119057</v>
      </c>
      <c r="E9" s="11">
        <f>SUM(E11:E346)</f>
        <v>6019613216</v>
      </c>
      <c r="F9" s="12">
        <f>D9-E9</f>
        <v>-284494159</v>
      </c>
      <c r="G9" s="3">
        <f>(D9-E9)/D9</f>
        <v>-4.9605623906405334E-2</v>
      </c>
      <c r="I9" s="11">
        <f>SUM(I11:I346)</f>
        <v>5806925965</v>
      </c>
      <c r="J9" s="11">
        <f>SUM(J11:J346)</f>
        <v>6094016641</v>
      </c>
      <c r="K9" s="13">
        <f>I9-J9</f>
        <v>-287090676</v>
      </c>
      <c r="L9" s="3">
        <f>(I9-J9)/I9</f>
        <v>-4.9439355302681218E-2</v>
      </c>
    </row>
    <row r="10" spans="1:12" x14ac:dyDescent="0.2">
      <c r="D10" s="8"/>
      <c r="E10" s="8"/>
      <c r="F10" s="8"/>
      <c r="G10" s="4"/>
      <c r="K10" s="9"/>
      <c r="L10" s="10"/>
    </row>
    <row r="11" spans="1:12" x14ac:dyDescent="0.2">
      <c r="A11" s="2">
        <v>1</v>
      </c>
      <c r="B11" s="2">
        <v>1</v>
      </c>
      <c r="C11" s="2" t="s">
        <v>10</v>
      </c>
      <c r="D11" s="12">
        <v>18205067</v>
      </c>
      <c r="E11" s="12">
        <v>18924934</v>
      </c>
      <c r="F11" s="12">
        <f>D11-E11</f>
        <v>-719867</v>
      </c>
      <c r="G11" s="3">
        <f>(D11-E11)/D11</f>
        <v>-3.9542123080349004E-2</v>
      </c>
      <c r="I11" s="12">
        <v>18259188</v>
      </c>
      <c r="J11" s="12">
        <v>18982434</v>
      </c>
      <c r="K11" s="13">
        <f>I11-J11</f>
        <v>-723246</v>
      </c>
      <c r="L11" s="3">
        <f>(I11-J11)/I11</f>
        <v>-3.9609976084369142E-2</v>
      </c>
    </row>
    <row r="12" spans="1:12" x14ac:dyDescent="0.2">
      <c r="A12" s="2">
        <v>1</v>
      </c>
      <c r="B12" s="2">
        <v>3</v>
      </c>
      <c r="C12" s="2" t="s">
        <v>11</v>
      </c>
      <c r="D12" s="12">
        <v>383263398</v>
      </c>
      <c r="E12" s="12">
        <v>397644157</v>
      </c>
      <c r="F12" s="12">
        <f t="shared" ref="F12:F75" si="0">D12-E12</f>
        <v>-14380759</v>
      </c>
      <c r="G12" s="3">
        <f t="shared" ref="G12:G75" si="1">(D12-E12)/D12</f>
        <v>-3.7521868968035395E-2</v>
      </c>
      <c r="I12" s="12">
        <v>388311447</v>
      </c>
      <c r="J12" s="12">
        <v>402881618</v>
      </c>
      <c r="K12" s="13">
        <f t="shared" ref="K12:K75" si="2">I12-J12</f>
        <v>-14570171</v>
      </c>
      <c r="L12" s="3">
        <f t="shared" ref="L12:L75" si="3">(I12-J12)/I12</f>
        <v>-3.7521868367686825E-2</v>
      </c>
    </row>
    <row r="13" spans="1:12" x14ac:dyDescent="0.2">
      <c r="A13" s="2">
        <v>2</v>
      </c>
      <c r="B13" s="2">
        <v>1</v>
      </c>
      <c r="C13" s="2" t="s">
        <v>12</v>
      </c>
      <c r="D13" s="12">
        <v>1583153</v>
      </c>
      <c r="E13" s="12">
        <v>1705550</v>
      </c>
      <c r="F13" s="12">
        <f t="shared" si="0"/>
        <v>-122397</v>
      </c>
      <c r="G13" s="3">
        <f t="shared" si="1"/>
        <v>-7.7312173870750331E-2</v>
      </c>
      <c r="I13" s="12">
        <v>1589511</v>
      </c>
      <c r="J13" s="12">
        <v>1712400</v>
      </c>
      <c r="K13" s="13">
        <f t="shared" si="2"/>
        <v>-122889</v>
      </c>
      <c r="L13" s="3">
        <f t="shared" si="3"/>
        <v>-7.7312456472462279E-2</v>
      </c>
    </row>
    <row r="14" spans="1:12" x14ac:dyDescent="0.2">
      <c r="A14" s="2">
        <v>4</v>
      </c>
      <c r="B14" s="2">
        <v>1</v>
      </c>
      <c r="C14" s="2" t="s">
        <v>13</v>
      </c>
      <c r="D14" s="12">
        <v>9542478</v>
      </c>
      <c r="E14" s="12">
        <v>9876897</v>
      </c>
      <c r="F14" s="12">
        <f t="shared" si="0"/>
        <v>-334419</v>
      </c>
      <c r="G14" s="3">
        <f t="shared" si="1"/>
        <v>-3.5045299554266725E-2</v>
      </c>
      <c r="I14" s="12">
        <v>9847758</v>
      </c>
      <c r="J14" s="12">
        <v>10192876</v>
      </c>
      <c r="K14" s="13">
        <f t="shared" si="2"/>
        <v>-345118</v>
      </c>
      <c r="L14" s="3">
        <f t="shared" si="3"/>
        <v>-3.5045337222949627E-2</v>
      </c>
    </row>
    <row r="15" spans="1:12" x14ac:dyDescent="0.2">
      <c r="A15" s="2">
        <v>6</v>
      </c>
      <c r="B15" s="2">
        <v>3</v>
      </c>
      <c r="C15" s="2" t="s">
        <v>14</v>
      </c>
      <c r="D15" s="12">
        <v>15782971</v>
      </c>
      <c r="E15" s="12">
        <v>17097442</v>
      </c>
      <c r="F15" s="12">
        <f t="shared" si="0"/>
        <v>-1314471</v>
      </c>
      <c r="G15" s="3">
        <f t="shared" si="1"/>
        <v>-8.3284129458262329E-2</v>
      </c>
      <c r="I15" s="12">
        <v>15767204</v>
      </c>
      <c r="J15" s="12">
        <v>17080362</v>
      </c>
      <c r="K15" s="13">
        <f t="shared" si="2"/>
        <v>-1313158</v>
      </c>
      <c r="L15" s="3">
        <f t="shared" si="3"/>
        <v>-8.3284138392577409E-2</v>
      </c>
    </row>
    <row r="16" spans="1:12" x14ac:dyDescent="0.2">
      <c r="A16" s="2">
        <v>11</v>
      </c>
      <c r="B16" s="2">
        <v>1</v>
      </c>
      <c r="C16" s="2" t="s">
        <v>15</v>
      </c>
      <c r="D16" s="12">
        <v>193663146</v>
      </c>
      <c r="E16" s="12">
        <v>206433529</v>
      </c>
      <c r="F16" s="12">
        <f t="shared" si="0"/>
        <v>-12770383</v>
      </c>
      <c r="G16" s="3">
        <f t="shared" si="1"/>
        <v>-6.594121423598065E-2</v>
      </c>
      <c r="I16" s="12">
        <v>187404610</v>
      </c>
      <c r="J16" s="12">
        <v>199762054</v>
      </c>
      <c r="K16" s="13">
        <f t="shared" si="2"/>
        <v>-12357444</v>
      </c>
      <c r="L16" s="3">
        <f t="shared" si="3"/>
        <v>-6.5939914711809919E-2</v>
      </c>
    </row>
    <row r="17" spans="1:12" x14ac:dyDescent="0.2">
      <c r="A17" s="2">
        <v>12</v>
      </c>
      <c r="B17" s="2">
        <v>1</v>
      </c>
      <c r="C17" s="2" t="s">
        <v>16</v>
      </c>
      <c r="D17" s="12">
        <v>28879884</v>
      </c>
      <c r="E17" s="12">
        <v>30457891</v>
      </c>
      <c r="F17" s="12">
        <f t="shared" si="0"/>
        <v>-1578007</v>
      </c>
      <c r="G17" s="3">
        <f t="shared" si="1"/>
        <v>-5.4640351048501443E-2</v>
      </c>
      <c r="I17" s="12">
        <v>28966785</v>
      </c>
      <c r="J17" s="12">
        <v>30549540</v>
      </c>
      <c r="K17" s="13">
        <f t="shared" si="2"/>
        <v>-1582755</v>
      </c>
      <c r="L17" s="3">
        <f t="shared" si="3"/>
        <v>-5.4640340652233242E-2</v>
      </c>
    </row>
    <row r="18" spans="1:12" x14ac:dyDescent="0.2">
      <c r="A18" s="2">
        <v>13</v>
      </c>
      <c r="B18" s="2">
        <v>1</v>
      </c>
      <c r="C18" s="2" t="s">
        <v>17</v>
      </c>
      <c r="D18" s="12">
        <v>20098424</v>
      </c>
      <c r="E18" s="12">
        <v>21738352</v>
      </c>
      <c r="F18" s="12">
        <f t="shared" si="0"/>
        <v>-1639928</v>
      </c>
      <c r="G18" s="3">
        <f t="shared" si="1"/>
        <v>-8.1594855397617252E-2</v>
      </c>
      <c r="I18" s="12">
        <v>19762462</v>
      </c>
      <c r="J18" s="12">
        <v>21374977</v>
      </c>
      <c r="K18" s="13">
        <f t="shared" si="2"/>
        <v>-1612515</v>
      </c>
      <c r="L18" s="3">
        <f t="shared" si="3"/>
        <v>-8.1594843800332162E-2</v>
      </c>
    </row>
    <row r="19" spans="1:12" x14ac:dyDescent="0.2">
      <c r="A19" s="2">
        <v>14</v>
      </c>
      <c r="B19" s="2">
        <v>1</v>
      </c>
      <c r="C19" s="2" t="s">
        <v>18</v>
      </c>
      <c r="D19" s="12">
        <v>13547290</v>
      </c>
      <c r="E19" s="12">
        <v>14402704</v>
      </c>
      <c r="F19" s="12">
        <f t="shared" si="0"/>
        <v>-855414</v>
      </c>
      <c r="G19" s="3">
        <f t="shared" si="1"/>
        <v>-6.3142813064457903E-2</v>
      </c>
      <c r="I19" s="12">
        <v>13615367</v>
      </c>
      <c r="J19" s="12">
        <v>14475079</v>
      </c>
      <c r="K19" s="13">
        <f t="shared" si="2"/>
        <v>-859712</v>
      </c>
      <c r="L19" s="3">
        <f t="shared" si="3"/>
        <v>-6.3142770958726266E-2</v>
      </c>
    </row>
    <row r="20" spans="1:12" x14ac:dyDescent="0.2">
      <c r="A20" s="2">
        <v>15</v>
      </c>
      <c r="B20" s="2">
        <v>1</v>
      </c>
      <c r="C20" s="2" t="s">
        <v>19</v>
      </c>
      <c r="D20" s="12">
        <v>28585101</v>
      </c>
      <c r="E20" s="12">
        <v>30357087</v>
      </c>
      <c r="F20" s="12">
        <f t="shared" si="0"/>
        <v>-1771986</v>
      </c>
      <c r="G20" s="3">
        <f t="shared" si="1"/>
        <v>-6.1989845689193121E-2</v>
      </c>
      <c r="I20" s="12">
        <v>27669124</v>
      </c>
      <c r="J20" s="12">
        <v>29379952</v>
      </c>
      <c r="K20" s="13">
        <f t="shared" si="2"/>
        <v>-1710828</v>
      </c>
      <c r="L20" s="3">
        <f t="shared" si="3"/>
        <v>-6.1831664782737612E-2</v>
      </c>
    </row>
    <row r="21" spans="1:12" x14ac:dyDescent="0.2">
      <c r="A21" s="2">
        <v>16</v>
      </c>
      <c r="B21" s="2">
        <v>1</v>
      </c>
      <c r="C21" s="2" t="s">
        <v>20</v>
      </c>
      <c r="D21" s="12">
        <v>35987306</v>
      </c>
      <c r="E21" s="12">
        <v>37579219</v>
      </c>
      <c r="F21" s="12">
        <f t="shared" si="0"/>
        <v>-1591913</v>
      </c>
      <c r="G21" s="3">
        <f t="shared" si="1"/>
        <v>-4.4235403450316617E-2</v>
      </c>
      <c r="I21" s="12">
        <v>36240993</v>
      </c>
      <c r="J21" s="12">
        <v>37844128</v>
      </c>
      <c r="K21" s="13">
        <f t="shared" si="2"/>
        <v>-1603135</v>
      </c>
      <c r="L21" s="3">
        <f t="shared" si="3"/>
        <v>-4.4235404918402763E-2</v>
      </c>
    </row>
    <row r="22" spans="1:12" x14ac:dyDescent="0.2">
      <c r="A22" s="2">
        <v>22</v>
      </c>
      <c r="B22" s="2">
        <v>1</v>
      </c>
      <c r="C22" s="2" t="s">
        <v>21</v>
      </c>
      <c r="D22" s="12">
        <v>20970498</v>
      </c>
      <c r="E22" s="12">
        <v>21992422</v>
      </c>
      <c r="F22" s="12">
        <f t="shared" si="0"/>
        <v>-1021924</v>
      </c>
      <c r="G22" s="3">
        <f t="shared" si="1"/>
        <v>-4.8731508426743134E-2</v>
      </c>
      <c r="I22" s="12">
        <v>20668172</v>
      </c>
      <c r="J22" s="12">
        <v>21675305</v>
      </c>
      <c r="K22" s="13">
        <f t="shared" si="2"/>
        <v>-1007133</v>
      </c>
      <c r="L22" s="3">
        <f t="shared" si="3"/>
        <v>-4.8728692600390588E-2</v>
      </c>
    </row>
    <row r="23" spans="1:12" x14ac:dyDescent="0.2">
      <c r="A23" s="2">
        <v>23</v>
      </c>
      <c r="B23" s="2">
        <v>1</v>
      </c>
      <c r="C23" s="2" t="s">
        <v>22</v>
      </c>
      <c r="D23" s="12">
        <v>7290661</v>
      </c>
      <c r="E23" s="12">
        <v>7748376</v>
      </c>
      <c r="F23" s="12">
        <f t="shared" si="0"/>
        <v>-457715</v>
      </c>
      <c r="G23" s="3">
        <f t="shared" si="1"/>
        <v>-6.2781001612885301E-2</v>
      </c>
      <c r="I23" s="12">
        <v>7046901</v>
      </c>
      <c r="J23" s="12">
        <v>7488881</v>
      </c>
      <c r="K23" s="13">
        <f t="shared" si="2"/>
        <v>-441980</v>
      </c>
      <c r="L23" s="3">
        <f t="shared" si="3"/>
        <v>-6.2719768590476857E-2</v>
      </c>
    </row>
    <row r="24" spans="1:12" x14ac:dyDescent="0.2">
      <c r="A24" s="2">
        <v>31</v>
      </c>
      <c r="B24" s="2">
        <v>1</v>
      </c>
      <c r="C24" s="2" t="s">
        <v>23</v>
      </c>
      <c r="D24" s="12">
        <v>27810215</v>
      </c>
      <c r="E24" s="12">
        <v>29952734</v>
      </c>
      <c r="F24" s="12">
        <f t="shared" si="0"/>
        <v>-2142519</v>
      </c>
      <c r="G24" s="3">
        <f t="shared" si="1"/>
        <v>-7.7040720469079435E-2</v>
      </c>
      <c r="I24" s="12">
        <v>28921282</v>
      </c>
      <c r="J24" s="12">
        <v>31148887</v>
      </c>
      <c r="K24" s="13">
        <f t="shared" si="2"/>
        <v>-2227605</v>
      </c>
      <c r="L24" s="3">
        <f t="shared" si="3"/>
        <v>-7.7023037913741169E-2</v>
      </c>
    </row>
    <row r="25" spans="1:12" x14ac:dyDescent="0.2">
      <c r="A25" s="2">
        <v>32</v>
      </c>
      <c r="B25" s="2">
        <v>1</v>
      </c>
      <c r="C25" s="2" t="s">
        <v>24</v>
      </c>
      <c r="D25" s="12">
        <v>3112877</v>
      </c>
      <c r="E25" s="12">
        <v>3401903</v>
      </c>
      <c r="F25" s="12">
        <f t="shared" si="0"/>
        <v>-289026</v>
      </c>
      <c r="G25" s="3">
        <f t="shared" si="1"/>
        <v>-9.2848512806641567E-2</v>
      </c>
      <c r="I25" s="12">
        <v>3189423</v>
      </c>
      <c r="J25" s="12">
        <v>3485556</v>
      </c>
      <c r="K25" s="13">
        <f t="shared" si="2"/>
        <v>-296133</v>
      </c>
      <c r="L25" s="3">
        <f t="shared" si="3"/>
        <v>-9.2848455661102336E-2</v>
      </c>
    </row>
    <row r="26" spans="1:12" x14ac:dyDescent="0.2">
      <c r="A26" s="2">
        <v>36</v>
      </c>
      <c r="B26" s="2">
        <v>1</v>
      </c>
      <c r="C26" s="2" t="s">
        <v>25</v>
      </c>
      <c r="D26" s="12">
        <v>1286901</v>
      </c>
      <c r="E26" s="12">
        <v>1372904</v>
      </c>
      <c r="F26" s="12">
        <f t="shared" si="0"/>
        <v>-86003</v>
      </c>
      <c r="G26" s="3">
        <f t="shared" si="1"/>
        <v>-6.6829538558133061E-2</v>
      </c>
      <c r="I26" s="12">
        <v>1109623</v>
      </c>
      <c r="J26" s="12">
        <v>1183894</v>
      </c>
      <c r="K26" s="13">
        <f t="shared" si="2"/>
        <v>-74271</v>
      </c>
      <c r="L26" s="3">
        <f t="shared" si="3"/>
        <v>-6.6933544095607242E-2</v>
      </c>
    </row>
    <row r="27" spans="1:12" x14ac:dyDescent="0.2">
      <c r="A27" s="2">
        <v>38</v>
      </c>
      <c r="B27" s="2">
        <v>1</v>
      </c>
      <c r="C27" s="2" t="s">
        <v>26</v>
      </c>
      <c r="D27" s="12">
        <v>10956</v>
      </c>
      <c r="E27" s="12">
        <v>11321</v>
      </c>
      <c r="F27" s="12">
        <f t="shared" si="0"/>
        <v>-365</v>
      </c>
      <c r="G27" s="3">
        <f t="shared" si="1"/>
        <v>-3.3315078495801384E-2</v>
      </c>
      <c r="I27" s="12">
        <v>11055</v>
      </c>
      <c r="J27" s="12">
        <v>11424</v>
      </c>
      <c r="K27" s="13">
        <f t="shared" si="2"/>
        <v>-369</v>
      </c>
      <c r="L27" s="3">
        <f t="shared" si="3"/>
        <v>-3.3378561736770694E-2</v>
      </c>
    </row>
    <row r="28" spans="1:12" x14ac:dyDescent="0.2">
      <c r="A28" s="2">
        <v>47</v>
      </c>
      <c r="B28" s="2">
        <v>1</v>
      </c>
      <c r="C28" s="2" t="s">
        <v>27</v>
      </c>
      <c r="D28" s="12">
        <v>15827685</v>
      </c>
      <c r="E28" s="12">
        <v>17188390</v>
      </c>
      <c r="F28" s="12">
        <f t="shared" si="0"/>
        <v>-1360705</v>
      </c>
      <c r="G28" s="3">
        <f t="shared" si="1"/>
        <v>-8.5969931799881036E-2</v>
      </c>
      <c r="I28" s="12">
        <v>15923225</v>
      </c>
      <c r="J28" s="12">
        <v>17292143</v>
      </c>
      <c r="K28" s="13">
        <f t="shared" si="2"/>
        <v>-1368918</v>
      </c>
      <c r="L28" s="3">
        <f t="shared" si="3"/>
        <v>-8.5969896173670846E-2</v>
      </c>
    </row>
    <row r="29" spans="1:12" x14ac:dyDescent="0.2">
      <c r="A29" s="2">
        <v>51</v>
      </c>
      <c r="B29" s="2">
        <v>1</v>
      </c>
      <c r="C29" s="2" t="s">
        <v>28</v>
      </c>
      <c r="D29" s="12">
        <v>6832132</v>
      </c>
      <c r="E29" s="12">
        <v>7386955</v>
      </c>
      <c r="F29" s="12">
        <f t="shared" si="0"/>
        <v>-554823</v>
      </c>
      <c r="G29" s="3">
        <f t="shared" si="1"/>
        <v>-8.1207886498680062E-2</v>
      </c>
      <c r="I29" s="12">
        <v>6751891</v>
      </c>
      <c r="J29" s="12">
        <v>7301065</v>
      </c>
      <c r="K29" s="13">
        <f t="shared" si="2"/>
        <v>-549174</v>
      </c>
      <c r="L29" s="3">
        <f t="shared" si="3"/>
        <v>-8.133632489031592E-2</v>
      </c>
    </row>
    <row r="30" spans="1:12" x14ac:dyDescent="0.2">
      <c r="A30" s="2">
        <v>75</v>
      </c>
      <c r="B30" s="2">
        <v>1</v>
      </c>
      <c r="C30" s="2" t="s">
        <v>29</v>
      </c>
      <c r="D30" s="12">
        <v>2999725</v>
      </c>
      <c r="E30" s="12">
        <v>3167717</v>
      </c>
      <c r="F30" s="12">
        <f t="shared" si="0"/>
        <v>-167992</v>
      </c>
      <c r="G30" s="3">
        <f t="shared" si="1"/>
        <v>-5.6002466892798509E-2</v>
      </c>
      <c r="I30" s="12">
        <v>3118593</v>
      </c>
      <c r="J30" s="12">
        <v>3293221</v>
      </c>
      <c r="K30" s="13">
        <f t="shared" si="2"/>
        <v>-174628</v>
      </c>
      <c r="L30" s="3">
        <f t="shared" si="3"/>
        <v>-5.5995764756734845E-2</v>
      </c>
    </row>
    <row r="31" spans="1:12" x14ac:dyDescent="0.2">
      <c r="A31" s="2">
        <v>77</v>
      </c>
      <c r="B31" s="2">
        <v>1</v>
      </c>
      <c r="C31" s="2" t="s">
        <v>30</v>
      </c>
      <c r="D31" s="12">
        <v>53208544</v>
      </c>
      <c r="E31" s="12">
        <v>56251314</v>
      </c>
      <c r="F31" s="12">
        <f t="shared" si="0"/>
        <v>-3042770</v>
      </c>
      <c r="G31" s="3">
        <f t="shared" si="1"/>
        <v>-5.7185740696080692E-2</v>
      </c>
      <c r="I31" s="12">
        <v>55387105</v>
      </c>
      <c r="J31" s="12">
        <v>58565727</v>
      </c>
      <c r="K31" s="13">
        <f t="shared" si="2"/>
        <v>-3178622</v>
      </c>
      <c r="L31" s="3">
        <f t="shared" si="3"/>
        <v>-5.7389206386576803E-2</v>
      </c>
    </row>
    <row r="32" spans="1:12" x14ac:dyDescent="0.2">
      <c r="A32" s="2">
        <v>81</v>
      </c>
      <c r="B32" s="2">
        <v>1</v>
      </c>
      <c r="C32" s="2" t="s">
        <v>31</v>
      </c>
      <c r="D32" s="12">
        <v>2366211</v>
      </c>
      <c r="E32" s="12">
        <v>2443340</v>
      </c>
      <c r="F32" s="12">
        <f t="shared" si="0"/>
        <v>-77129</v>
      </c>
      <c r="G32" s="3">
        <f t="shared" si="1"/>
        <v>-3.259599418648633E-2</v>
      </c>
      <c r="I32" s="12">
        <v>2845020</v>
      </c>
      <c r="J32" s="12">
        <v>2943201</v>
      </c>
      <c r="K32" s="13">
        <f t="shared" si="2"/>
        <v>-98181</v>
      </c>
      <c r="L32" s="3">
        <f t="shared" si="3"/>
        <v>-3.4509774975219856E-2</v>
      </c>
    </row>
    <row r="33" spans="1:12" x14ac:dyDescent="0.2">
      <c r="A33" s="2">
        <v>84</v>
      </c>
      <c r="B33" s="2">
        <v>1</v>
      </c>
      <c r="C33" s="2" t="s">
        <v>32</v>
      </c>
      <c r="D33" s="12">
        <v>5752247</v>
      </c>
      <c r="E33" s="12">
        <v>6152938</v>
      </c>
      <c r="F33" s="12">
        <f t="shared" si="0"/>
        <v>-400691</v>
      </c>
      <c r="G33" s="3">
        <f t="shared" si="1"/>
        <v>-6.9658170102918041E-2</v>
      </c>
      <c r="I33" s="12">
        <v>7272120</v>
      </c>
      <c r="J33" s="12">
        <v>7778683</v>
      </c>
      <c r="K33" s="13">
        <f t="shared" si="2"/>
        <v>-506563</v>
      </c>
      <c r="L33" s="3">
        <f t="shared" si="3"/>
        <v>-6.9658228962118332E-2</v>
      </c>
    </row>
    <row r="34" spans="1:12" x14ac:dyDescent="0.2">
      <c r="A34" s="2">
        <v>85</v>
      </c>
      <c r="B34" s="2">
        <v>1</v>
      </c>
      <c r="C34" s="2" t="s">
        <v>33</v>
      </c>
      <c r="D34" s="12">
        <v>3782558</v>
      </c>
      <c r="E34" s="12">
        <v>4023194</v>
      </c>
      <c r="F34" s="12">
        <f t="shared" si="0"/>
        <v>-240636</v>
      </c>
      <c r="G34" s="3">
        <f t="shared" si="1"/>
        <v>-6.3617266410719936E-2</v>
      </c>
      <c r="I34" s="12">
        <v>4513912</v>
      </c>
      <c r="J34" s="12">
        <v>4806568</v>
      </c>
      <c r="K34" s="13">
        <f t="shared" si="2"/>
        <v>-292656</v>
      </c>
      <c r="L34" s="3">
        <f t="shared" si="3"/>
        <v>-6.4834228048752385E-2</v>
      </c>
    </row>
    <row r="35" spans="1:12" x14ac:dyDescent="0.2">
      <c r="A35" s="2">
        <v>88</v>
      </c>
      <c r="B35" s="2">
        <v>1</v>
      </c>
      <c r="C35" s="2" t="s">
        <v>34</v>
      </c>
      <c r="D35" s="12">
        <v>15764261</v>
      </c>
      <c r="E35" s="12">
        <v>17198377</v>
      </c>
      <c r="F35" s="12">
        <f t="shared" si="0"/>
        <v>-1434116</v>
      </c>
      <c r="G35" s="3">
        <f t="shared" si="1"/>
        <v>-9.0972612036809078E-2</v>
      </c>
      <c r="I35" s="12">
        <v>16803550</v>
      </c>
      <c r="J35" s="12">
        <v>18337723</v>
      </c>
      <c r="K35" s="13">
        <f t="shared" si="2"/>
        <v>-1534173</v>
      </c>
      <c r="L35" s="3">
        <f t="shared" si="3"/>
        <v>-9.130052875731616E-2</v>
      </c>
    </row>
    <row r="36" spans="1:12" x14ac:dyDescent="0.2">
      <c r="A36" s="2">
        <v>91</v>
      </c>
      <c r="B36" s="2">
        <v>1</v>
      </c>
      <c r="C36" s="2" t="s">
        <v>35</v>
      </c>
      <c r="D36" s="12">
        <v>3204468</v>
      </c>
      <c r="E36" s="12">
        <v>3503924</v>
      </c>
      <c r="F36" s="12">
        <f t="shared" si="0"/>
        <v>-299456</v>
      </c>
      <c r="G36" s="3">
        <f t="shared" si="1"/>
        <v>-9.3449521106155536E-2</v>
      </c>
      <c r="I36" s="12">
        <v>3120222</v>
      </c>
      <c r="J36" s="12">
        <v>3411805</v>
      </c>
      <c r="K36" s="13">
        <f t="shared" si="2"/>
        <v>-291583</v>
      </c>
      <c r="L36" s="3">
        <f t="shared" si="3"/>
        <v>-9.3449440456480334E-2</v>
      </c>
    </row>
    <row r="37" spans="1:12" x14ac:dyDescent="0.2">
      <c r="A37" s="2">
        <v>93</v>
      </c>
      <c r="B37" s="2">
        <v>1</v>
      </c>
      <c r="C37" s="2" t="s">
        <v>36</v>
      </c>
      <c r="D37" s="12">
        <v>3626733</v>
      </c>
      <c r="E37" s="12">
        <v>3930780</v>
      </c>
      <c r="F37" s="12">
        <f t="shared" si="0"/>
        <v>-304047</v>
      </c>
      <c r="G37" s="3">
        <f t="shared" si="1"/>
        <v>-8.3834955592264448E-2</v>
      </c>
      <c r="I37" s="12">
        <v>3681963</v>
      </c>
      <c r="J37" s="12">
        <v>3990640</v>
      </c>
      <c r="K37" s="13">
        <f t="shared" si="2"/>
        <v>-308677</v>
      </c>
      <c r="L37" s="3">
        <f t="shared" si="3"/>
        <v>-8.3834900024796558E-2</v>
      </c>
    </row>
    <row r="38" spans="1:12" x14ac:dyDescent="0.2">
      <c r="A38" s="2">
        <v>94</v>
      </c>
      <c r="B38" s="2">
        <v>1</v>
      </c>
      <c r="C38" s="2" t="s">
        <v>37</v>
      </c>
      <c r="D38" s="12">
        <v>9082462</v>
      </c>
      <c r="E38" s="12">
        <v>10107557</v>
      </c>
      <c r="F38" s="12">
        <f t="shared" si="0"/>
        <v>-1025095</v>
      </c>
      <c r="G38" s="3">
        <f t="shared" si="1"/>
        <v>-0.11286532220008187</v>
      </c>
      <c r="I38" s="12">
        <v>9393547</v>
      </c>
      <c r="J38" s="12">
        <v>10452818</v>
      </c>
      <c r="K38" s="13">
        <f t="shared" si="2"/>
        <v>-1059271</v>
      </c>
      <c r="L38" s="3">
        <f t="shared" si="3"/>
        <v>-0.11276581678890839</v>
      </c>
    </row>
    <row r="39" spans="1:12" x14ac:dyDescent="0.2">
      <c r="A39" s="2">
        <v>95</v>
      </c>
      <c r="B39" s="2">
        <v>1</v>
      </c>
      <c r="C39" s="2" t="s">
        <v>38</v>
      </c>
      <c r="D39" s="12">
        <v>1920364</v>
      </c>
      <c r="E39" s="12">
        <v>2062732</v>
      </c>
      <c r="F39" s="12">
        <f t="shared" si="0"/>
        <v>-142368</v>
      </c>
      <c r="G39" s="3">
        <f t="shared" si="1"/>
        <v>-7.4135945060415626E-2</v>
      </c>
      <c r="I39" s="12">
        <v>1788176</v>
      </c>
      <c r="J39" s="12">
        <v>1920745</v>
      </c>
      <c r="K39" s="13">
        <f t="shared" si="2"/>
        <v>-132569</v>
      </c>
      <c r="L39" s="3">
        <f t="shared" si="3"/>
        <v>-7.4136438471380892E-2</v>
      </c>
    </row>
    <row r="40" spans="1:12" x14ac:dyDescent="0.2">
      <c r="A40" s="2">
        <v>97</v>
      </c>
      <c r="B40" s="2">
        <v>1</v>
      </c>
      <c r="C40" s="2" t="s">
        <v>39</v>
      </c>
      <c r="D40" s="12">
        <v>4608671</v>
      </c>
      <c r="E40" s="12">
        <v>4917178</v>
      </c>
      <c r="F40" s="12">
        <f t="shared" si="0"/>
        <v>-308507</v>
      </c>
      <c r="G40" s="3">
        <f t="shared" si="1"/>
        <v>-6.6940556182031652E-2</v>
      </c>
      <c r="I40" s="12">
        <v>4574468</v>
      </c>
      <c r="J40" s="12">
        <v>4877412</v>
      </c>
      <c r="K40" s="13">
        <f t="shared" si="2"/>
        <v>-302944</v>
      </c>
      <c r="L40" s="3">
        <f t="shared" si="3"/>
        <v>-6.6224968673952903E-2</v>
      </c>
    </row>
    <row r="41" spans="1:12" x14ac:dyDescent="0.2">
      <c r="A41" s="2">
        <v>99</v>
      </c>
      <c r="B41" s="2">
        <v>1</v>
      </c>
      <c r="C41" s="2" t="s">
        <v>40</v>
      </c>
      <c r="D41" s="12">
        <v>3801220</v>
      </c>
      <c r="E41" s="12">
        <v>4148993</v>
      </c>
      <c r="F41" s="12">
        <f t="shared" si="0"/>
        <v>-347773</v>
      </c>
      <c r="G41" s="3">
        <f t="shared" si="1"/>
        <v>-9.1489837473232277E-2</v>
      </c>
      <c r="I41" s="12">
        <v>3898687</v>
      </c>
      <c r="J41" s="12">
        <v>4255377</v>
      </c>
      <c r="K41" s="13">
        <f t="shared" si="2"/>
        <v>-356690</v>
      </c>
      <c r="L41" s="3">
        <f t="shared" si="3"/>
        <v>-9.148977591686637E-2</v>
      </c>
    </row>
    <row r="42" spans="1:12" x14ac:dyDescent="0.2">
      <c r="A42" s="2">
        <v>100</v>
      </c>
      <c r="B42" s="2">
        <v>1</v>
      </c>
      <c r="C42" s="2" t="s">
        <v>41</v>
      </c>
      <c r="D42" s="12">
        <v>2264203</v>
      </c>
      <c r="E42" s="12">
        <v>2416963</v>
      </c>
      <c r="F42" s="12">
        <f t="shared" si="0"/>
        <v>-152760</v>
      </c>
      <c r="G42" s="3">
        <f t="shared" si="1"/>
        <v>-6.7467448810906092E-2</v>
      </c>
      <c r="I42" s="12">
        <v>2447787</v>
      </c>
      <c r="J42" s="12">
        <v>2612933</v>
      </c>
      <c r="K42" s="13">
        <f t="shared" si="2"/>
        <v>-165146</v>
      </c>
      <c r="L42" s="3">
        <f t="shared" si="3"/>
        <v>-6.7467471638667911E-2</v>
      </c>
    </row>
    <row r="43" spans="1:12" x14ac:dyDescent="0.2">
      <c r="A43" s="2">
        <v>108</v>
      </c>
      <c r="B43" s="2">
        <v>1</v>
      </c>
      <c r="C43" s="2" t="s">
        <v>42</v>
      </c>
      <c r="D43" s="12">
        <v>8337048</v>
      </c>
      <c r="E43" s="12">
        <v>8797184</v>
      </c>
      <c r="F43" s="12">
        <f t="shared" si="0"/>
        <v>-460136</v>
      </c>
      <c r="G43" s="3">
        <f t="shared" si="1"/>
        <v>-5.519171773990026E-2</v>
      </c>
      <c r="I43" s="12">
        <v>8506375</v>
      </c>
      <c r="J43" s="12">
        <v>8975503</v>
      </c>
      <c r="K43" s="13">
        <f t="shared" si="2"/>
        <v>-469128</v>
      </c>
      <c r="L43" s="3">
        <f t="shared" si="3"/>
        <v>-5.5150166786674698E-2</v>
      </c>
    </row>
    <row r="44" spans="1:12" x14ac:dyDescent="0.2">
      <c r="A44" s="2">
        <v>110</v>
      </c>
      <c r="B44" s="2">
        <v>1</v>
      </c>
      <c r="C44" s="2" t="s">
        <v>43</v>
      </c>
      <c r="D44" s="12">
        <v>22156380</v>
      </c>
      <c r="E44" s="12">
        <v>22992389</v>
      </c>
      <c r="F44" s="12">
        <f t="shared" si="0"/>
        <v>-836009</v>
      </c>
      <c r="G44" s="3">
        <f t="shared" si="1"/>
        <v>-3.7732201740537034E-2</v>
      </c>
      <c r="I44" s="12">
        <v>22380732</v>
      </c>
      <c r="J44" s="12">
        <v>23223877</v>
      </c>
      <c r="K44" s="13">
        <f t="shared" si="2"/>
        <v>-843145</v>
      </c>
      <c r="L44" s="3">
        <f t="shared" si="3"/>
        <v>-3.7672807127130607E-2</v>
      </c>
    </row>
    <row r="45" spans="1:12" x14ac:dyDescent="0.2">
      <c r="A45" s="2">
        <v>111</v>
      </c>
      <c r="B45" s="2">
        <v>1</v>
      </c>
      <c r="C45" s="2" t="s">
        <v>44</v>
      </c>
      <c r="D45" s="12">
        <v>10755535</v>
      </c>
      <c r="E45" s="12">
        <v>11211852</v>
      </c>
      <c r="F45" s="12">
        <f t="shared" si="0"/>
        <v>-456317</v>
      </c>
      <c r="G45" s="3">
        <f t="shared" si="1"/>
        <v>-4.242624843859464E-2</v>
      </c>
      <c r="I45" s="12">
        <v>10751913</v>
      </c>
      <c r="J45" s="12">
        <v>11209347</v>
      </c>
      <c r="K45" s="13">
        <f t="shared" si="2"/>
        <v>-457434</v>
      </c>
      <c r="L45" s="3">
        <f t="shared" si="3"/>
        <v>-4.2544429070436117E-2</v>
      </c>
    </row>
    <row r="46" spans="1:12" x14ac:dyDescent="0.2">
      <c r="A46" s="2">
        <v>112</v>
      </c>
      <c r="B46" s="2">
        <v>1</v>
      </c>
      <c r="C46" s="2" t="s">
        <v>45</v>
      </c>
      <c r="D46" s="12">
        <v>58859056</v>
      </c>
      <c r="E46" s="12">
        <v>60810510</v>
      </c>
      <c r="F46" s="12">
        <f t="shared" si="0"/>
        <v>-1951454</v>
      </c>
      <c r="G46" s="3">
        <f t="shared" si="1"/>
        <v>-3.3154694156155004E-2</v>
      </c>
      <c r="I46" s="12">
        <v>58917974</v>
      </c>
      <c r="J46" s="12">
        <v>60871381</v>
      </c>
      <c r="K46" s="13">
        <f t="shared" si="2"/>
        <v>-1953407</v>
      </c>
      <c r="L46" s="3">
        <f t="shared" si="3"/>
        <v>-3.31546872266857E-2</v>
      </c>
    </row>
    <row r="47" spans="1:12" x14ac:dyDescent="0.2">
      <c r="A47" s="2">
        <v>113</v>
      </c>
      <c r="B47" s="2">
        <v>1</v>
      </c>
      <c r="C47" s="2" t="s">
        <v>46</v>
      </c>
      <c r="D47" s="12">
        <v>20988149</v>
      </c>
      <c r="E47" s="12">
        <v>21428229</v>
      </c>
      <c r="F47" s="12">
        <f t="shared" si="0"/>
        <v>-440080</v>
      </c>
      <c r="G47" s="3">
        <f t="shared" si="1"/>
        <v>-2.0968023430746562E-2</v>
      </c>
      <c r="I47" s="12">
        <v>21315565</v>
      </c>
      <c r="J47" s="12">
        <v>21760651</v>
      </c>
      <c r="K47" s="13">
        <f t="shared" si="2"/>
        <v>-445086</v>
      </c>
      <c r="L47" s="3">
        <f t="shared" si="3"/>
        <v>-2.0880797670622384E-2</v>
      </c>
    </row>
    <row r="48" spans="1:12" x14ac:dyDescent="0.2">
      <c r="A48" s="2">
        <v>115</v>
      </c>
      <c r="B48" s="2">
        <v>1</v>
      </c>
      <c r="C48" s="2" t="s">
        <v>47</v>
      </c>
      <c r="D48" s="12">
        <v>4917513</v>
      </c>
      <c r="E48" s="12">
        <v>5071418</v>
      </c>
      <c r="F48" s="12">
        <f t="shared" si="0"/>
        <v>-153905</v>
      </c>
      <c r="G48" s="3">
        <f t="shared" si="1"/>
        <v>-3.1297324480891051E-2</v>
      </c>
      <c r="I48" s="12">
        <v>5024510</v>
      </c>
      <c r="J48" s="12">
        <v>5179437</v>
      </c>
      <c r="K48" s="13">
        <f t="shared" si="2"/>
        <v>-154927</v>
      </c>
      <c r="L48" s="3">
        <f t="shared" si="3"/>
        <v>-3.0834250504029249E-2</v>
      </c>
    </row>
    <row r="49" spans="1:12" x14ac:dyDescent="0.2">
      <c r="A49" s="2">
        <v>116</v>
      </c>
      <c r="B49" s="2">
        <v>1</v>
      </c>
      <c r="C49" s="2" t="s">
        <v>48</v>
      </c>
      <c r="D49" s="12">
        <v>10313819</v>
      </c>
      <c r="E49" s="12">
        <v>10629648</v>
      </c>
      <c r="F49" s="12">
        <f t="shared" si="0"/>
        <v>-315829</v>
      </c>
      <c r="G49" s="3">
        <f t="shared" si="1"/>
        <v>-3.0621925787140535E-2</v>
      </c>
      <c r="I49" s="12">
        <v>9938150</v>
      </c>
      <c r="J49" s="12">
        <v>10242222</v>
      </c>
      <c r="K49" s="13">
        <f t="shared" si="2"/>
        <v>-304072</v>
      </c>
      <c r="L49" s="3">
        <f t="shared" si="3"/>
        <v>-3.0596438975060751E-2</v>
      </c>
    </row>
    <row r="50" spans="1:12" x14ac:dyDescent="0.2">
      <c r="A50" s="2">
        <v>118</v>
      </c>
      <c r="B50" s="2">
        <v>1</v>
      </c>
      <c r="C50" s="2" t="s">
        <v>49</v>
      </c>
      <c r="D50" s="12">
        <v>16498165</v>
      </c>
      <c r="E50" s="12">
        <v>16790831</v>
      </c>
      <c r="F50" s="12">
        <f t="shared" si="0"/>
        <v>-292666</v>
      </c>
      <c r="G50" s="3">
        <f t="shared" si="1"/>
        <v>-1.7739306159200129E-2</v>
      </c>
      <c r="I50" s="12">
        <v>16383480</v>
      </c>
      <c r="J50" s="12">
        <v>16674112</v>
      </c>
      <c r="K50" s="13">
        <f t="shared" si="2"/>
        <v>-290632</v>
      </c>
      <c r="L50" s="3">
        <f t="shared" si="3"/>
        <v>-1.7739332547175569E-2</v>
      </c>
    </row>
    <row r="51" spans="1:12" x14ac:dyDescent="0.2">
      <c r="A51" s="2">
        <v>129</v>
      </c>
      <c r="B51" s="2">
        <v>1</v>
      </c>
      <c r="C51" s="2" t="s">
        <v>50</v>
      </c>
      <c r="D51" s="12">
        <v>5845004</v>
      </c>
      <c r="E51" s="12">
        <v>6384995</v>
      </c>
      <c r="F51" s="12">
        <f t="shared" si="0"/>
        <v>-539991</v>
      </c>
      <c r="G51" s="3">
        <f t="shared" si="1"/>
        <v>-9.238505226001556E-2</v>
      </c>
      <c r="I51" s="12">
        <v>6105693</v>
      </c>
      <c r="J51" s="12">
        <v>6670503</v>
      </c>
      <c r="K51" s="13">
        <f t="shared" si="2"/>
        <v>-564810</v>
      </c>
      <c r="L51" s="3">
        <f t="shared" si="3"/>
        <v>-9.2505469895063502E-2</v>
      </c>
    </row>
    <row r="52" spans="1:12" x14ac:dyDescent="0.2">
      <c r="A52" s="2">
        <v>138</v>
      </c>
      <c r="B52" s="2">
        <v>1</v>
      </c>
      <c r="C52" s="2" t="s">
        <v>51</v>
      </c>
      <c r="D52" s="12">
        <v>15771603</v>
      </c>
      <c r="E52" s="12">
        <v>17001472</v>
      </c>
      <c r="F52" s="12">
        <f t="shared" si="0"/>
        <v>-1229869</v>
      </c>
      <c r="G52" s="3">
        <f t="shared" si="1"/>
        <v>-7.7979961833936601E-2</v>
      </c>
      <c r="I52" s="12">
        <v>15439259</v>
      </c>
      <c r="J52" s="12">
        <v>16645604</v>
      </c>
      <c r="K52" s="13">
        <f t="shared" si="2"/>
        <v>-1206345</v>
      </c>
      <c r="L52" s="3">
        <f t="shared" si="3"/>
        <v>-7.8134902717805307E-2</v>
      </c>
    </row>
    <row r="53" spans="1:12" x14ac:dyDescent="0.2">
      <c r="A53" s="2">
        <v>139</v>
      </c>
      <c r="B53" s="2">
        <v>1</v>
      </c>
      <c r="C53" s="2" t="s">
        <v>52</v>
      </c>
      <c r="D53" s="12">
        <v>4674127</v>
      </c>
      <c r="E53" s="12">
        <v>5044352</v>
      </c>
      <c r="F53" s="12">
        <f t="shared" si="0"/>
        <v>-370225</v>
      </c>
      <c r="G53" s="3">
        <f t="shared" si="1"/>
        <v>-7.9207304380047874E-2</v>
      </c>
      <c r="I53" s="12">
        <v>4499990</v>
      </c>
      <c r="J53" s="12">
        <v>4856421</v>
      </c>
      <c r="K53" s="13">
        <f t="shared" si="2"/>
        <v>-356431</v>
      </c>
      <c r="L53" s="3">
        <f t="shared" si="3"/>
        <v>-7.9207064904588675E-2</v>
      </c>
    </row>
    <row r="54" spans="1:12" x14ac:dyDescent="0.2">
      <c r="A54" s="2">
        <v>146</v>
      </c>
      <c r="B54" s="2">
        <v>1</v>
      </c>
      <c r="C54" s="2" t="s">
        <v>53</v>
      </c>
      <c r="D54" s="12">
        <v>4712189</v>
      </c>
      <c r="E54" s="12">
        <v>5055788</v>
      </c>
      <c r="F54" s="12">
        <f t="shared" si="0"/>
        <v>-343599</v>
      </c>
      <c r="G54" s="3">
        <f t="shared" si="1"/>
        <v>-7.2917066781489459E-2</v>
      </c>
      <c r="I54" s="12">
        <v>5102309</v>
      </c>
      <c r="J54" s="12">
        <v>5477278</v>
      </c>
      <c r="K54" s="13">
        <f t="shared" si="2"/>
        <v>-374969</v>
      </c>
      <c r="L54" s="3">
        <f t="shared" si="3"/>
        <v>-7.3490061068429993E-2</v>
      </c>
    </row>
    <row r="55" spans="1:12" x14ac:dyDescent="0.2">
      <c r="A55" s="2">
        <v>150</v>
      </c>
      <c r="B55" s="2">
        <v>1</v>
      </c>
      <c r="C55" s="2" t="s">
        <v>54</v>
      </c>
      <c r="D55" s="12">
        <v>2866853</v>
      </c>
      <c r="E55" s="12">
        <v>3124896</v>
      </c>
      <c r="F55" s="12">
        <f t="shared" si="0"/>
        <v>-258043</v>
      </c>
      <c r="G55" s="3">
        <f t="shared" si="1"/>
        <v>-9.000914940528866E-2</v>
      </c>
      <c r="I55" s="12">
        <v>3140036</v>
      </c>
      <c r="J55" s="12">
        <v>3422668</v>
      </c>
      <c r="K55" s="13">
        <f t="shared" si="2"/>
        <v>-282632</v>
      </c>
      <c r="L55" s="3">
        <f t="shared" si="3"/>
        <v>-9.0009159130659655E-2</v>
      </c>
    </row>
    <row r="56" spans="1:12" x14ac:dyDescent="0.2">
      <c r="A56" s="2">
        <v>152</v>
      </c>
      <c r="B56" s="2">
        <v>1</v>
      </c>
      <c r="C56" s="2" t="s">
        <v>55</v>
      </c>
      <c r="D56" s="12">
        <v>26395702</v>
      </c>
      <c r="E56" s="12">
        <v>28811620</v>
      </c>
      <c r="F56" s="12">
        <f t="shared" si="0"/>
        <v>-2415918</v>
      </c>
      <c r="G56" s="3">
        <f t="shared" si="1"/>
        <v>-9.152694631876053E-2</v>
      </c>
      <c r="I56" s="12">
        <v>28505078</v>
      </c>
      <c r="J56" s="12">
        <v>31114060</v>
      </c>
      <c r="K56" s="13">
        <f t="shared" si="2"/>
        <v>-2608982</v>
      </c>
      <c r="L56" s="3">
        <f t="shared" si="3"/>
        <v>-9.1526920221021671E-2</v>
      </c>
    </row>
    <row r="57" spans="1:12" x14ac:dyDescent="0.2">
      <c r="A57" s="2">
        <v>162</v>
      </c>
      <c r="B57" s="2">
        <v>1</v>
      </c>
      <c r="C57" s="2" t="s">
        <v>56</v>
      </c>
      <c r="D57" s="12">
        <v>4251216</v>
      </c>
      <c r="E57" s="12">
        <v>4693395</v>
      </c>
      <c r="F57" s="12">
        <f t="shared" si="0"/>
        <v>-442179</v>
      </c>
      <c r="G57" s="3">
        <f t="shared" si="1"/>
        <v>-0.10401235787595832</v>
      </c>
      <c r="I57" s="12">
        <v>4391752</v>
      </c>
      <c r="J57" s="12">
        <v>4848549</v>
      </c>
      <c r="K57" s="13">
        <f t="shared" si="2"/>
        <v>-456797</v>
      </c>
      <c r="L57" s="3">
        <f t="shared" si="3"/>
        <v>-0.1040124761143161</v>
      </c>
    </row>
    <row r="58" spans="1:12" x14ac:dyDescent="0.2">
      <c r="A58" s="2">
        <v>166</v>
      </c>
      <c r="B58" s="2">
        <v>1</v>
      </c>
      <c r="C58" s="2" t="s">
        <v>57</v>
      </c>
      <c r="D58" s="12">
        <v>18430178</v>
      </c>
      <c r="E58" s="12">
        <v>18684931</v>
      </c>
      <c r="F58" s="12">
        <f t="shared" si="0"/>
        <v>-254753</v>
      </c>
      <c r="G58" s="3">
        <f t="shared" si="1"/>
        <v>-1.382260117075375E-2</v>
      </c>
      <c r="I58" s="12">
        <v>18122102</v>
      </c>
      <c r="J58" s="12">
        <v>18372597</v>
      </c>
      <c r="K58" s="13">
        <f t="shared" si="2"/>
        <v>-250495</v>
      </c>
      <c r="L58" s="3">
        <f t="shared" si="3"/>
        <v>-1.3822623887670426E-2</v>
      </c>
    </row>
    <row r="59" spans="1:12" x14ac:dyDescent="0.2">
      <c r="A59" s="2">
        <v>173</v>
      </c>
      <c r="B59" s="2">
        <v>1</v>
      </c>
      <c r="C59" s="2" t="s">
        <v>58</v>
      </c>
      <c r="D59" s="12">
        <v>4085260</v>
      </c>
      <c r="E59" s="12">
        <v>4267228</v>
      </c>
      <c r="F59" s="12">
        <f t="shared" si="0"/>
        <v>-181968</v>
      </c>
      <c r="G59" s="3">
        <f t="shared" si="1"/>
        <v>-4.4542575013585425E-2</v>
      </c>
      <c r="I59" s="12">
        <v>4293477</v>
      </c>
      <c r="J59" s="12">
        <v>4485341</v>
      </c>
      <c r="K59" s="13">
        <f t="shared" si="2"/>
        <v>-191864</v>
      </c>
      <c r="L59" s="3">
        <f t="shared" si="3"/>
        <v>-4.4687324515771253E-2</v>
      </c>
    </row>
    <row r="60" spans="1:12" x14ac:dyDescent="0.2">
      <c r="A60" s="2">
        <v>177</v>
      </c>
      <c r="B60" s="2">
        <v>1</v>
      </c>
      <c r="C60" s="2" t="s">
        <v>59</v>
      </c>
      <c r="D60" s="12">
        <v>6290527</v>
      </c>
      <c r="E60" s="12">
        <v>6732072</v>
      </c>
      <c r="F60" s="12">
        <f t="shared" si="0"/>
        <v>-441545</v>
      </c>
      <c r="G60" s="3">
        <f t="shared" si="1"/>
        <v>-7.0192052271614125E-2</v>
      </c>
      <c r="I60" s="12">
        <v>6538141</v>
      </c>
      <c r="J60" s="12">
        <v>6998116</v>
      </c>
      <c r="K60" s="13">
        <f t="shared" si="2"/>
        <v>-459975</v>
      </c>
      <c r="L60" s="3">
        <f t="shared" si="3"/>
        <v>-7.0352566578175665E-2</v>
      </c>
    </row>
    <row r="61" spans="1:12" x14ac:dyDescent="0.2">
      <c r="A61" s="2">
        <v>181</v>
      </c>
      <c r="B61" s="2">
        <v>1</v>
      </c>
      <c r="C61" s="2" t="s">
        <v>60</v>
      </c>
      <c r="D61" s="12">
        <v>58072374</v>
      </c>
      <c r="E61" s="12">
        <v>60707798</v>
      </c>
      <c r="F61" s="12">
        <f t="shared" si="0"/>
        <v>-2635424</v>
      </c>
      <c r="G61" s="3">
        <f t="shared" si="1"/>
        <v>-4.538171627011494E-2</v>
      </c>
      <c r="I61" s="12">
        <v>56670234</v>
      </c>
      <c r="J61" s="12">
        <v>59215038</v>
      </c>
      <c r="K61" s="13">
        <f t="shared" si="2"/>
        <v>-2544804</v>
      </c>
      <c r="L61" s="3">
        <f t="shared" si="3"/>
        <v>-4.4905478950378074E-2</v>
      </c>
    </row>
    <row r="62" spans="1:12" x14ac:dyDescent="0.2">
      <c r="A62" s="2">
        <v>182</v>
      </c>
      <c r="B62" s="2">
        <v>1</v>
      </c>
      <c r="C62" s="2" t="s">
        <v>61</v>
      </c>
      <c r="D62" s="12">
        <v>22413943</v>
      </c>
      <c r="E62" s="12">
        <v>23135423</v>
      </c>
      <c r="F62" s="12">
        <f t="shared" si="0"/>
        <v>-721480</v>
      </c>
      <c r="G62" s="3">
        <f t="shared" si="1"/>
        <v>-3.2188892422899441E-2</v>
      </c>
      <c r="I62" s="12">
        <v>21469294</v>
      </c>
      <c r="J62" s="12">
        <v>22160366</v>
      </c>
      <c r="K62" s="13">
        <f t="shared" si="2"/>
        <v>-691072</v>
      </c>
      <c r="L62" s="3">
        <f t="shared" si="3"/>
        <v>-3.2188855395058634E-2</v>
      </c>
    </row>
    <row r="63" spans="1:12" x14ac:dyDescent="0.2">
      <c r="A63" s="2">
        <v>186</v>
      </c>
      <c r="B63" s="2">
        <v>1</v>
      </c>
      <c r="C63" s="2" t="s">
        <v>62</v>
      </c>
      <c r="D63" s="12">
        <v>35164295</v>
      </c>
      <c r="E63" s="12">
        <v>35752160</v>
      </c>
      <c r="F63" s="12">
        <f t="shared" si="0"/>
        <v>-587865</v>
      </c>
      <c r="G63" s="3">
        <f t="shared" si="1"/>
        <v>-1.6717667736549247E-2</v>
      </c>
      <c r="I63" s="12">
        <v>34155130</v>
      </c>
      <c r="J63" s="12">
        <v>34727194</v>
      </c>
      <c r="K63" s="13">
        <f t="shared" si="2"/>
        <v>-572064</v>
      </c>
      <c r="L63" s="3">
        <f t="shared" si="3"/>
        <v>-1.6748992025502465E-2</v>
      </c>
    </row>
    <row r="64" spans="1:12" x14ac:dyDescent="0.2">
      <c r="A64" s="2">
        <v>191</v>
      </c>
      <c r="B64" s="2">
        <v>1</v>
      </c>
      <c r="C64" s="2" t="s">
        <v>63</v>
      </c>
      <c r="D64" s="12">
        <v>65857743</v>
      </c>
      <c r="E64" s="12">
        <v>69270503</v>
      </c>
      <c r="F64" s="12">
        <f t="shared" si="0"/>
        <v>-3412760</v>
      </c>
      <c r="G64" s="3">
        <f t="shared" si="1"/>
        <v>-5.1820178532386088E-2</v>
      </c>
      <c r="I64" s="12">
        <v>65505845</v>
      </c>
      <c r="J64" s="12">
        <v>68895274</v>
      </c>
      <c r="K64" s="13">
        <f t="shared" si="2"/>
        <v>-3389429</v>
      </c>
      <c r="L64" s="3">
        <f t="shared" si="3"/>
        <v>-5.1742390316467178E-2</v>
      </c>
    </row>
    <row r="65" spans="1:12" x14ac:dyDescent="0.2">
      <c r="A65" s="2">
        <v>192</v>
      </c>
      <c r="B65" s="2">
        <v>1</v>
      </c>
      <c r="C65" s="2" t="s">
        <v>64</v>
      </c>
      <c r="D65" s="12">
        <v>28081242</v>
      </c>
      <c r="E65" s="12">
        <v>29819510</v>
      </c>
      <c r="F65" s="12">
        <f t="shared" si="0"/>
        <v>-1738268</v>
      </c>
      <c r="G65" s="3">
        <f t="shared" si="1"/>
        <v>-6.1901393107897433E-2</v>
      </c>
      <c r="I65" s="12">
        <v>27748263</v>
      </c>
      <c r="J65" s="12">
        <v>29465919</v>
      </c>
      <c r="K65" s="13">
        <f t="shared" si="2"/>
        <v>-1717656</v>
      </c>
      <c r="L65" s="3">
        <f t="shared" si="3"/>
        <v>-6.1901388205813097E-2</v>
      </c>
    </row>
    <row r="66" spans="1:12" x14ac:dyDescent="0.2">
      <c r="A66" s="2">
        <v>194</v>
      </c>
      <c r="B66" s="2">
        <v>1</v>
      </c>
      <c r="C66" s="2" t="s">
        <v>65</v>
      </c>
      <c r="D66" s="12">
        <v>64744590</v>
      </c>
      <c r="E66" s="12">
        <v>66583757</v>
      </c>
      <c r="F66" s="12">
        <f t="shared" si="0"/>
        <v>-1839167</v>
      </c>
      <c r="G66" s="3">
        <f t="shared" si="1"/>
        <v>-2.8406496975268512E-2</v>
      </c>
      <c r="I66" s="12">
        <v>65234852</v>
      </c>
      <c r="J66" s="12">
        <v>67089311</v>
      </c>
      <c r="K66" s="13">
        <f t="shared" si="2"/>
        <v>-1854459</v>
      </c>
      <c r="L66" s="3">
        <f t="shared" si="3"/>
        <v>-2.8427427105989295E-2</v>
      </c>
    </row>
    <row r="67" spans="1:12" x14ac:dyDescent="0.2">
      <c r="A67" s="2">
        <v>195</v>
      </c>
      <c r="B67" s="2">
        <v>1</v>
      </c>
      <c r="C67" s="2" t="s">
        <v>66</v>
      </c>
      <c r="D67" s="12">
        <v>3908615</v>
      </c>
      <c r="E67" s="12">
        <v>4013651</v>
      </c>
      <c r="F67" s="12">
        <f t="shared" si="0"/>
        <v>-105036</v>
      </c>
      <c r="G67" s="3">
        <f t="shared" si="1"/>
        <v>-2.6872946043547393E-2</v>
      </c>
      <c r="I67" s="12">
        <v>3666350</v>
      </c>
      <c r="J67" s="12">
        <v>3765124</v>
      </c>
      <c r="K67" s="13">
        <f t="shared" si="2"/>
        <v>-98774</v>
      </c>
      <c r="L67" s="3">
        <f t="shared" si="3"/>
        <v>-2.6940690332346886E-2</v>
      </c>
    </row>
    <row r="68" spans="1:12" x14ac:dyDescent="0.2">
      <c r="A68" s="2">
        <v>196</v>
      </c>
      <c r="B68" s="2">
        <v>1</v>
      </c>
      <c r="C68" s="2" t="s">
        <v>67</v>
      </c>
      <c r="D68" s="12">
        <v>153188492</v>
      </c>
      <c r="E68" s="12">
        <v>160242474</v>
      </c>
      <c r="F68" s="12">
        <f t="shared" si="0"/>
        <v>-7053982</v>
      </c>
      <c r="G68" s="3">
        <f t="shared" si="1"/>
        <v>-4.6047727919405326E-2</v>
      </c>
      <c r="I68" s="12">
        <v>155837733</v>
      </c>
      <c r="J68" s="12">
        <v>163013707</v>
      </c>
      <c r="K68" s="13">
        <f t="shared" si="2"/>
        <v>-7175974</v>
      </c>
      <c r="L68" s="3">
        <f t="shared" si="3"/>
        <v>-4.6047730943313964E-2</v>
      </c>
    </row>
    <row r="69" spans="1:12" x14ac:dyDescent="0.2">
      <c r="A69" s="2">
        <v>197</v>
      </c>
      <c r="B69" s="2">
        <v>1</v>
      </c>
      <c r="C69" s="2" t="s">
        <v>68</v>
      </c>
      <c r="D69" s="12">
        <v>58645169</v>
      </c>
      <c r="E69" s="12">
        <v>60537758</v>
      </c>
      <c r="F69" s="12">
        <f t="shared" si="0"/>
        <v>-1892589</v>
      </c>
      <c r="G69" s="3">
        <f t="shared" si="1"/>
        <v>-3.2271865394402736E-2</v>
      </c>
      <c r="I69" s="12">
        <v>59297440</v>
      </c>
      <c r="J69" s="12">
        <v>61211080</v>
      </c>
      <c r="K69" s="13">
        <f t="shared" si="2"/>
        <v>-1913640</v>
      </c>
      <c r="L69" s="3">
        <f t="shared" si="3"/>
        <v>-3.2271882226281606E-2</v>
      </c>
    </row>
    <row r="70" spans="1:12" x14ac:dyDescent="0.2">
      <c r="A70" s="2">
        <v>199</v>
      </c>
      <c r="B70" s="2">
        <v>1</v>
      </c>
      <c r="C70" s="2" t="s">
        <v>69</v>
      </c>
      <c r="D70" s="12">
        <v>27507731</v>
      </c>
      <c r="E70" s="12">
        <v>29025315</v>
      </c>
      <c r="F70" s="12">
        <f t="shared" si="0"/>
        <v>-1517584</v>
      </c>
      <c r="G70" s="3">
        <f t="shared" si="1"/>
        <v>-5.5169363114682193E-2</v>
      </c>
      <c r="I70" s="12">
        <v>27813681</v>
      </c>
      <c r="J70" s="12">
        <v>29348145</v>
      </c>
      <c r="K70" s="13">
        <f t="shared" si="2"/>
        <v>-1534464</v>
      </c>
      <c r="L70" s="3">
        <f t="shared" si="3"/>
        <v>-5.5169396672090976E-2</v>
      </c>
    </row>
    <row r="71" spans="1:12" x14ac:dyDescent="0.2">
      <c r="A71" s="2">
        <v>200</v>
      </c>
      <c r="B71" s="2">
        <v>1</v>
      </c>
      <c r="C71" s="2" t="s">
        <v>70</v>
      </c>
      <c r="D71" s="12">
        <v>33132586</v>
      </c>
      <c r="E71" s="12">
        <v>34808837</v>
      </c>
      <c r="F71" s="12">
        <f t="shared" si="0"/>
        <v>-1676251</v>
      </c>
      <c r="G71" s="3">
        <f t="shared" si="1"/>
        <v>-5.0592217583016311E-2</v>
      </c>
      <c r="I71" s="12">
        <v>33269538</v>
      </c>
      <c r="J71" s="12">
        <v>34960169</v>
      </c>
      <c r="K71" s="13">
        <f t="shared" si="2"/>
        <v>-1690631</v>
      </c>
      <c r="L71" s="3">
        <f t="shared" si="3"/>
        <v>-5.0816185063946487E-2</v>
      </c>
    </row>
    <row r="72" spans="1:12" x14ac:dyDescent="0.2">
      <c r="A72" s="2">
        <v>203</v>
      </c>
      <c r="B72" s="2">
        <v>1</v>
      </c>
      <c r="C72" s="2" t="s">
        <v>71</v>
      </c>
      <c r="D72" s="12">
        <v>6346755</v>
      </c>
      <c r="E72" s="12">
        <v>6651039</v>
      </c>
      <c r="F72" s="12">
        <f t="shared" si="0"/>
        <v>-304284</v>
      </c>
      <c r="G72" s="3">
        <f t="shared" si="1"/>
        <v>-4.7943240285783839E-2</v>
      </c>
      <c r="I72" s="12">
        <v>6985090</v>
      </c>
      <c r="J72" s="12">
        <v>7320436</v>
      </c>
      <c r="K72" s="13">
        <f t="shared" si="2"/>
        <v>-335346</v>
      </c>
      <c r="L72" s="3">
        <f t="shared" si="3"/>
        <v>-4.8008830236976191E-2</v>
      </c>
    </row>
    <row r="73" spans="1:12" x14ac:dyDescent="0.2">
      <c r="A73" s="2">
        <v>204</v>
      </c>
      <c r="B73" s="2">
        <v>1</v>
      </c>
      <c r="C73" s="2" t="s">
        <v>72</v>
      </c>
      <c r="D73" s="12">
        <v>7278561</v>
      </c>
      <c r="E73" s="12">
        <v>7879773</v>
      </c>
      <c r="F73" s="12">
        <f t="shared" si="0"/>
        <v>-601212</v>
      </c>
      <c r="G73" s="3">
        <f t="shared" si="1"/>
        <v>-8.2600393127157959E-2</v>
      </c>
      <c r="I73" s="12">
        <v>7354938</v>
      </c>
      <c r="J73" s="12">
        <v>7962306</v>
      </c>
      <c r="K73" s="13">
        <f t="shared" si="2"/>
        <v>-607368</v>
      </c>
      <c r="L73" s="3">
        <f t="shared" si="3"/>
        <v>-8.2579622017208032E-2</v>
      </c>
    </row>
    <row r="74" spans="1:12" x14ac:dyDescent="0.2">
      <c r="A74" s="2">
        <v>206</v>
      </c>
      <c r="B74" s="2">
        <v>1</v>
      </c>
      <c r="C74" s="2" t="s">
        <v>73</v>
      </c>
      <c r="D74" s="12">
        <v>40591695</v>
      </c>
      <c r="E74" s="12">
        <v>42275192</v>
      </c>
      <c r="F74" s="12">
        <f t="shared" si="0"/>
        <v>-1683497</v>
      </c>
      <c r="G74" s="3">
        <f t="shared" si="1"/>
        <v>-4.1473927117357381E-2</v>
      </c>
      <c r="I74" s="12">
        <v>41081874</v>
      </c>
      <c r="J74" s="12">
        <v>42785730</v>
      </c>
      <c r="K74" s="13">
        <f t="shared" si="2"/>
        <v>-1703856</v>
      </c>
      <c r="L74" s="3">
        <f t="shared" si="3"/>
        <v>-4.1474641590108573E-2</v>
      </c>
    </row>
    <row r="75" spans="1:12" x14ac:dyDescent="0.2">
      <c r="A75" s="2">
        <v>207</v>
      </c>
      <c r="B75" s="2">
        <v>1</v>
      </c>
      <c r="C75" s="2" t="s">
        <v>74</v>
      </c>
      <c r="D75" s="12">
        <v>2666509</v>
      </c>
      <c r="E75" s="12">
        <v>2794157</v>
      </c>
      <c r="F75" s="12">
        <f t="shared" si="0"/>
        <v>-127648</v>
      </c>
      <c r="G75" s="3">
        <f t="shared" si="1"/>
        <v>-4.7870830362845201E-2</v>
      </c>
      <c r="I75" s="12">
        <v>2679664</v>
      </c>
      <c r="J75" s="12">
        <v>2807943</v>
      </c>
      <c r="K75" s="13">
        <f t="shared" si="2"/>
        <v>-128279</v>
      </c>
      <c r="L75" s="3">
        <f t="shared" si="3"/>
        <v>-4.7871300282423465E-2</v>
      </c>
    </row>
    <row r="76" spans="1:12" x14ac:dyDescent="0.2">
      <c r="A76" s="2">
        <v>208</v>
      </c>
      <c r="B76" s="2">
        <v>1</v>
      </c>
      <c r="C76" s="2" t="s">
        <v>75</v>
      </c>
      <c r="D76" s="12">
        <v>2009443</v>
      </c>
      <c r="E76" s="12">
        <v>2116987</v>
      </c>
      <c r="F76" s="12">
        <f t="shared" ref="F76:F139" si="4">D76-E76</f>
        <v>-107544</v>
      </c>
      <c r="G76" s="3">
        <f t="shared" ref="G76:G139" si="5">(D76-E76)/D76</f>
        <v>-5.3519308584518199E-2</v>
      </c>
      <c r="I76" s="12">
        <v>2003930</v>
      </c>
      <c r="J76" s="12">
        <v>2110873</v>
      </c>
      <c r="K76" s="13">
        <f t="shared" ref="K76:K139" si="6">I76-J76</f>
        <v>-106943</v>
      </c>
      <c r="L76" s="3">
        <f t="shared" ref="L76:L139" si="7">(I76-J76)/I76</f>
        <v>-5.3366634563083541E-2</v>
      </c>
    </row>
    <row r="77" spans="1:12" x14ac:dyDescent="0.2">
      <c r="A77" s="2">
        <v>213</v>
      </c>
      <c r="B77" s="2">
        <v>1</v>
      </c>
      <c r="C77" s="2" t="s">
        <v>76</v>
      </c>
      <c r="D77" s="12">
        <v>3983343</v>
      </c>
      <c r="E77" s="12">
        <v>4256943</v>
      </c>
      <c r="F77" s="12">
        <f t="shared" si="4"/>
        <v>-273600</v>
      </c>
      <c r="G77" s="3">
        <f t="shared" si="5"/>
        <v>-6.8686025782866297E-2</v>
      </c>
      <c r="I77" s="12">
        <v>4003448</v>
      </c>
      <c r="J77" s="12">
        <v>4278897</v>
      </c>
      <c r="K77" s="13">
        <f t="shared" si="6"/>
        <v>-275449</v>
      </c>
      <c r="L77" s="3">
        <f t="shared" si="7"/>
        <v>-6.8802941864113135E-2</v>
      </c>
    </row>
    <row r="78" spans="1:12" x14ac:dyDescent="0.2">
      <c r="A78" s="2">
        <v>227</v>
      </c>
      <c r="B78" s="2">
        <v>1</v>
      </c>
      <c r="C78" s="2" t="s">
        <v>77</v>
      </c>
      <c r="D78" s="12">
        <v>5327090</v>
      </c>
      <c r="E78" s="12">
        <v>5608137</v>
      </c>
      <c r="F78" s="12">
        <f t="shared" si="4"/>
        <v>-281047</v>
      </c>
      <c r="G78" s="3">
        <f t="shared" si="5"/>
        <v>-5.2758072418524933E-2</v>
      </c>
      <c r="I78" s="12">
        <v>5637826</v>
      </c>
      <c r="J78" s="12">
        <v>5935084</v>
      </c>
      <c r="K78" s="13">
        <f t="shared" si="6"/>
        <v>-297258</v>
      </c>
      <c r="L78" s="3">
        <f t="shared" si="7"/>
        <v>-5.2725642827572188E-2</v>
      </c>
    </row>
    <row r="79" spans="1:12" x14ac:dyDescent="0.2">
      <c r="A79" s="2">
        <v>229</v>
      </c>
      <c r="B79" s="2">
        <v>1</v>
      </c>
      <c r="C79" s="2" t="s">
        <v>78</v>
      </c>
      <c r="D79" s="12">
        <v>2335080</v>
      </c>
      <c r="E79" s="12">
        <v>2450615</v>
      </c>
      <c r="F79" s="12">
        <f t="shared" si="4"/>
        <v>-115535</v>
      </c>
      <c r="G79" s="3">
        <f t="shared" si="5"/>
        <v>-4.9477962211144803E-2</v>
      </c>
      <c r="I79" s="12">
        <v>2659544</v>
      </c>
      <c r="J79" s="12">
        <v>2791133</v>
      </c>
      <c r="K79" s="13">
        <f t="shared" si="6"/>
        <v>-131589</v>
      </c>
      <c r="L79" s="3">
        <f t="shared" si="7"/>
        <v>-4.9478030820321074E-2</v>
      </c>
    </row>
    <row r="80" spans="1:12" x14ac:dyDescent="0.2">
      <c r="A80" s="2">
        <v>238</v>
      </c>
      <c r="B80" s="2">
        <v>1</v>
      </c>
      <c r="C80" s="2" t="s">
        <v>79</v>
      </c>
      <c r="D80" s="12">
        <v>2400712</v>
      </c>
      <c r="E80" s="12">
        <v>2580131</v>
      </c>
      <c r="F80" s="12">
        <f t="shared" si="4"/>
        <v>-179419</v>
      </c>
      <c r="G80" s="3">
        <f t="shared" si="5"/>
        <v>-7.4735745062298187E-2</v>
      </c>
      <c r="I80" s="12">
        <v>2687553</v>
      </c>
      <c r="J80" s="12">
        <v>2888704</v>
      </c>
      <c r="K80" s="13">
        <f t="shared" si="6"/>
        <v>-201151</v>
      </c>
      <c r="L80" s="3">
        <f t="shared" si="7"/>
        <v>-7.4845407699866751E-2</v>
      </c>
    </row>
    <row r="81" spans="1:12" x14ac:dyDescent="0.2">
      <c r="A81" s="2">
        <v>239</v>
      </c>
      <c r="B81" s="2">
        <v>1</v>
      </c>
      <c r="C81" s="2" t="s">
        <v>80</v>
      </c>
      <c r="D81" s="12">
        <v>4187807</v>
      </c>
      <c r="E81" s="12">
        <v>4458207</v>
      </c>
      <c r="F81" s="12">
        <f t="shared" si="4"/>
        <v>-270400</v>
      </c>
      <c r="G81" s="3">
        <f t="shared" si="5"/>
        <v>-6.45684005972577E-2</v>
      </c>
      <c r="I81" s="12">
        <v>4429125</v>
      </c>
      <c r="J81" s="12">
        <v>4716982</v>
      </c>
      <c r="K81" s="13">
        <f t="shared" si="6"/>
        <v>-287857</v>
      </c>
      <c r="L81" s="3">
        <f t="shared" si="7"/>
        <v>-6.4991843761465301E-2</v>
      </c>
    </row>
    <row r="82" spans="1:12" x14ac:dyDescent="0.2">
      <c r="A82" s="2">
        <v>241</v>
      </c>
      <c r="B82" s="2">
        <v>1</v>
      </c>
      <c r="C82" s="2" t="s">
        <v>81</v>
      </c>
      <c r="D82" s="12">
        <v>16381282</v>
      </c>
      <c r="E82" s="12">
        <v>18128489</v>
      </c>
      <c r="F82" s="12">
        <f t="shared" si="4"/>
        <v>-1747207</v>
      </c>
      <c r="G82" s="3">
        <f t="shared" si="5"/>
        <v>-0.10665874624464679</v>
      </c>
      <c r="I82" s="12">
        <v>16187038</v>
      </c>
      <c r="J82" s="12">
        <v>17913527</v>
      </c>
      <c r="K82" s="13">
        <f t="shared" si="6"/>
        <v>-1726489</v>
      </c>
      <c r="L82" s="3">
        <f t="shared" si="7"/>
        <v>-0.1066587352176476</v>
      </c>
    </row>
    <row r="83" spans="1:12" x14ac:dyDescent="0.2">
      <c r="A83" s="2">
        <v>242</v>
      </c>
      <c r="B83" s="2">
        <v>1</v>
      </c>
      <c r="C83" s="2" t="s">
        <v>82</v>
      </c>
      <c r="D83" s="12">
        <v>2275437</v>
      </c>
      <c r="E83" s="12">
        <v>2404045</v>
      </c>
      <c r="F83" s="12">
        <f t="shared" si="4"/>
        <v>-128608</v>
      </c>
      <c r="G83" s="3">
        <f t="shared" si="5"/>
        <v>-5.6520132176808235E-2</v>
      </c>
      <c r="I83" s="12">
        <v>2419861</v>
      </c>
      <c r="J83" s="12">
        <v>2556581</v>
      </c>
      <c r="K83" s="13">
        <f t="shared" si="6"/>
        <v>-136720</v>
      </c>
      <c r="L83" s="3">
        <f t="shared" si="7"/>
        <v>-5.6499112965579426E-2</v>
      </c>
    </row>
    <row r="84" spans="1:12" x14ac:dyDescent="0.2">
      <c r="A84" s="2">
        <v>252</v>
      </c>
      <c r="B84" s="2">
        <v>1</v>
      </c>
      <c r="C84" s="2" t="s">
        <v>83</v>
      </c>
      <c r="D84" s="12">
        <v>9080941</v>
      </c>
      <c r="E84" s="12">
        <v>9480767</v>
      </c>
      <c r="F84" s="12">
        <f t="shared" si="4"/>
        <v>-399826</v>
      </c>
      <c r="G84" s="3">
        <f t="shared" si="5"/>
        <v>-4.402913750898723E-2</v>
      </c>
      <c r="I84" s="12">
        <v>8704180</v>
      </c>
      <c r="J84" s="12">
        <v>9088228</v>
      </c>
      <c r="K84" s="13">
        <f t="shared" si="6"/>
        <v>-384048</v>
      </c>
      <c r="L84" s="3">
        <f t="shared" si="7"/>
        <v>-4.4122249310101586E-2</v>
      </c>
    </row>
    <row r="85" spans="1:12" x14ac:dyDescent="0.2">
      <c r="A85" s="2">
        <v>253</v>
      </c>
      <c r="B85" s="2">
        <v>1</v>
      </c>
      <c r="C85" s="2" t="s">
        <v>84</v>
      </c>
      <c r="D85" s="12">
        <v>3405288</v>
      </c>
      <c r="E85" s="12">
        <v>3553281</v>
      </c>
      <c r="F85" s="12">
        <f t="shared" si="4"/>
        <v>-147993</v>
      </c>
      <c r="G85" s="3">
        <f t="shared" si="5"/>
        <v>-4.3459760231733702E-2</v>
      </c>
      <c r="I85" s="12">
        <v>3506363</v>
      </c>
      <c r="J85" s="12">
        <v>3658789</v>
      </c>
      <c r="K85" s="13">
        <f t="shared" si="6"/>
        <v>-152426</v>
      </c>
      <c r="L85" s="3">
        <f t="shared" si="7"/>
        <v>-4.347125497274526E-2</v>
      </c>
    </row>
    <row r="86" spans="1:12" x14ac:dyDescent="0.2">
      <c r="A86" s="2">
        <v>255</v>
      </c>
      <c r="B86" s="2">
        <v>1</v>
      </c>
      <c r="C86" s="2" t="s">
        <v>85</v>
      </c>
      <c r="D86" s="12">
        <v>5878087</v>
      </c>
      <c r="E86" s="12">
        <v>6188919</v>
      </c>
      <c r="F86" s="12">
        <f t="shared" si="4"/>
        <v>-310832</v>
      </c>
      <c r="G86" s="3">
        <f t="shared" si="5"/>
        <v>-5.2879788951745693E-2</v>
      </c>
      <c r="I86" s="12">
        <v>5993845</v>
      </c>
      <c r="J86" s="12">
        <v>6305867</v>
      </c>
      <c r="K86" s="13">
        <f t="shared" si="6"/>
        <v>-312022</v>
      </c>
      <c r="L86" s="3">
        <f t="shared" si="7"/>
        <v>-5.20570685428135E-2</v>
      </c>
    </row>
    <row r="87" spans="1:12" x14ac:dyDescent="0.2">
      <c r="A87" s="2">
        <v>256</v>
      </c>
      <c r="B87" s="2">
        <v>1</v>
      </c>
      <c r="C87" s="2" t="s">
        <v>86</v>
      </c>
      <c r="D87" s="12">
        <v>27356302</v>
      </c>
      <c r="E87" s="12">
        <v>28529250</v>
      </c>
      <c r="F87" s="12">
        <f t="shared" si="4"/>
        <v>-1172948</v>
      </c>
      <c r="G87" s="3">
        <f t="shared" si="5"/>
        <v>-4.2876701682851723E-2</v>
      </c>
      <c r="I87" s="12">
        <v>27801120</v>
      </c>
      <c r="J87" s="12">
        <v>28993140</v>
      </c>
      <c r="K87" s="13">
        <f t="shared" si="6"/>
        <v>-1192020</v>
      </c>
      <c r="L87" s="3">
        <f t="shared" si="7"/>
        <v>-4.2876689859976863E-2</v>
      </c>
    </row>
    <row r="88" spans="1:12" x14ac:dyDescent="0.2">
      <c r="A88" s="2">
        <v>261</v>
      </c>
      <c r="B88" s="2">
        <v>1</v>
      </c>
      <c r="C88" s="2" t="s">
        <v>87</v>
      </c>
      <c r="D88" s="12">
        <v>1865467</v>
      </c>
      <c r="E88" s="12">
        <v>1966223</v>
      </c>
      <c r="F88" s="12">
        <f t="shared" si="4"/>
        <v>-100756</v>
      </c>
      <c r="G88" s="3">
        <f t="shared" si="5"/>
        <v>-5.4011140373965337E-2</v>
      </c>
      <c r="I88" s="12">
        <v>1871997</v>
      </c>
      <c r="J88" s="12">
        <v>1973236</v>
      </c>
      <c r="K88" s="13">
        <f t="shared" si="6"/>
        <v>-101239</v>
      </c>
      <c r="L88" s="3">
        <f t="shared" si="7"/>
        <v>-5.4080749061029477E-2</v>
      </c>
    </row>
    <row r="89" spans="1:12" x14ac:dyDescent="0.2">
      <c r="A89" s="2">
        <v>264</v>
      </c>
      <c r="B89" s="2">
        <v>1</v>
      </c>
      <c r="C89" s="2" t="s">
        <v>88</v>
      </c>
      <c r="D89" s="12">
        <v>3080073</v>
      </c>
      <c r="E89" s="12">
        <v>3144717</v>
      </c>
      <c r="F89" s="12">
        <f t="shared" si="4"/>
        <v>-64644</v>
      </c>
      <c r="G89" s="3">
        <f t="shared" si="5"/>
        <v>-2.0987814249857066E-2</v>
      </c>
      <c r="I89" s="12">
        <v>3198239</v>
      </c>
      <c r="J89" s="12">
        <v>3264198</v>
      </c>
      <c r="K89" s="13">
        <f t="shared" si="6"/>
        <v>-65959</v>
      </c>
      <c r="L89" s="3">
        <f t="shared" si="7"/>
        <v>-2.0623536890144858E-2</v>
      </c>
    </row>
    <row r="90" spans="1:12" x14ac:dyDescent="0.2">
      <c r="A90" s="2">
        <v>270</v>
      </c>
      <c r="B90" s="2">
        <v>1</v>
      </c>
      <c r="C90" s="2" t="s">
        <v>89</v>
      </c>
      <c r="D90" s="12">
        <v>96517408</v>
      </c>
      <c r="E90" s="12">
        <v>99163081</v>
      </c>
      <c r="F90" s="12">
        <f t="shared" si="4"/>
        <v>-2645673</v>
      </c>
      <c r="G90" s="3">
        <f t="shared" si="5"/>
        <v>-2.7411355680003344E-2</v>
      </c>
      <c r="I90" s="12">
        <v>94439734</v>
      </c>
      <c r="J90" s="12">
        <v>97028455</v>
      </c>
      <c r="K90" s="13">
        <f t="shared" si="6"/>
        <v>-2588721</v>
      </c>
      <c r="L90" s="3">
        <f t="shared" si="7"/>
        <v>-2.7411354208176825E-2</v>
      </c>
    </row>
    <row r="91" spans="1:12" x14ac:dyDescent="0.2">
      <c r="A91" s="2">
        <v>271</v>
      </c>
      <c r="B91" s="2">
        <v>1</v>
      </c>
      <c r="C91" s="2" t="s">
        <v>90</v>
      </c>
      <c r="D91" s="12">
        <v>103082991</v>
      </c>
      <c r="E91" s="12">
        <v>107483844</v>
      </c>
      <c r="F91" s="12">
        <f t="shared" si="4"/>
        <v>-4400853</v>
      </c>
      <c r="G91" s="3">
        <f t="shared" si="5"/>
        <v>-4.2692329329093684E-2</v>
      </c>
      <c r="I91" s="12">
        <v>104337801</v>
      </c>
      <c r="J91" s="12">
        <v>108792105</v>
      </c>
      <c r="K91" s="13">
        <f t="shared" si="6"/>
        <v>-4454304</v>
      </c>
      <c r="L91" s="3">
        <f t="shared" si="7"/>
        <v>-4.2691181501898816E-2</v>
      </c>
    </row>
    <row r="92" spans="1:12" x14ac:dyDescent="0.2">
      <c r="A92" s="2">
        <v>272</v>
      </c>
      <c r="B92" s="2">
        <v>1</v>
      </c>
      <c r="C92" s="2" t="s">
        <v>91</v>
      </c>
      <c r="D92" s="12">
        <v>92169122</v>
      </c>
      <c r="E92" s="12">
        <v>94111238</v>
      </c>
      <c r="F92" s="12">
        <f t="shared" si="4"/>
        <v>-1942116</v>
      </c>
      <c r="G92" s="3">
        <f t="shared" si="5"/>
        <v>-2.1071221661414979E-2</v>
      </c>
      <c r="I92" s="12">
        <v>89397791</v>
      </c>
      <c r="J92" s="12">
        <v>91281511</v>
      </c>
      <c r="K92" s="13">
        <f t="shared" si="6"/>
        <v>-1883720</v>
      </c>
      <c r="L92" s="3">
        <f t="shared" si="7"/>
        <v>-2.1071214164564759E-2</v>
      </c>
    </row>
    <row r="93" spans="1:12" x14ac:dyDescent="0.2">
      <c r="A93" s="2">
        <v>273</v>
      </c>
      <c r="B93" s="2">
        <v>1</v>
      </c>
      <c r="C93" s="2" t="s">
        <v>92</v>
      </c>
      <c r="D93" s="12">
        <v>85927330</v>
      </c>
      <c r="E93" s="12">
        <v>86722060</v>
      </c>
      <c r="F93" s="12">
        <f t="shared" si="4"/>
        <v>-794730</v>
      </c>
      <c r="G93" s="3">
        <f t="shared" si="5"/>
        <v>-9.2488617998487798E-3</v>
      </c>
      <c r="I93" s="12">
        <v>86795283</v>
      </c>
      <c r="J93" s="12">
        <v>87598040</v>
      </c>
      <c r="K93" s="13">
        <f t="shared" si="6"/>
        <v>-802757</v>
      </c>
      <c r="L93" s="3">
        <f t="shared" si="7"/>
        <v>-9.2488551480384013E-3</v>
      </c>
    </row>
    <row r="94" spans="1:12" x14ac:dyDescent="0.2">
      <c r="A94" s="2">
        <v>276</v>
      </c>
      <c r="B94" s="2">
        <v>1</v>
      </c>
      <c r="C94" s="2" t="s">
        <v>93</v>
      </c>
      <c r="D94" s="12">
        <v>80085244</v>
      </c>
      <c r="E94" s="12">
        <v>81193081</v>
      </c>
      <c r="F94" s="12">
        <f t="shared" si="4"/>
        <v>-1107837</v>
      </c>
      <c r="G94" s="3">
        <f t="shared" si="5"/>
        <v>-1.3833222509754731E-2</v>
      </c>
      <c r="I94" s="12">
        <v>80525086</v>
      </c>
      <c r="J94" s="12">
        <v>81637397</v>
      </c>
      <c r="K94" s="13">
        <f t="shared" si="6"/>
        <v>-1112311</v>
      </c>
      <c r="L94" s="3">
        <f t="shared" si="7"/>
        <v>-1.3813223372403477E-2</v>
      </c>
    </row>
    <row r="95" spans="1:12" x14ac:dyDescent="0.2">
      <c r="A95" s="2">
        <v>277</v>
      </c>
      <c r="B95" s="2">
        <v>1</v>
      </c>
      <c r="C95" s="2" t="s">
        <v>94</v>
      </c>
      <c r="D95" s="12">
        <v>37467228</v>
      </c>
      <c r="E95" s="12">
        <v>38137690</v>
      </c>
      <c r="F95" s="12">
        <f t="shared" si="4"/>
        <v>-670462</v>
      </c>
      <c r="G95" s="3">
        <f t="shared" si="5"/>
        <v>-1.7894625137466803E-2</v>
      </c>
      <c r="I95" s="12">
        <v>35819530</v>
      </c>
      <c r="J95" s="12">
        <v>36460507</v>
      </c>
      <c r="K95" s="13">
        <f t="shared" si="6"/>
        <v>-640977</v>
      </c>
      <c r="L95" s="3">
        <f t="shared" si="7"/>
        <v>-1.7894623407956497E-2</v>
      </c>
    </row>
    <row r="96" spans="1:12" x14ac:dyDescent="0.2">
      <c r="A96" s="2">
        <v>278</v>
      </c>
      <c r="B96" s="2">
        <v>1</v>
      </c>
      <c r="C96" s="2" t="s">
        <v>95</v>
      </c>
      <c r="D96" s="12">
        <v>37820552</v>
      </c>
      <c r="E96" s="12">
        <v>38097518</v>
      </c>
      <c r="F96" s="12">
        <f t="shared" si="4"/>
        <v>-276966</v>
      </c>
      <c r="G96" s="3">
        <f t="shared" si="5"/>
        <v>-7.3231612272607761E-3</v>
      </c>
      <c r="I96" s="12">
        <v>36576936</v>
      </c>
      <c r="J96" s="12">
        <v>36844795</v>
      </c>
      <c r="K96" s="13">
        <f t="shared" si="6"/>
        <v>-267859</v>
      </c>
      <c r="L96" s="3">
        <f t="shared" si="7"/>
        <v>-7.3231667081135503E-3</v>
      </c>
    </row>
    <row r="97" spans="1:12" x14ac:dyDescent="0.2">
      <c r="A97" s="2">
        <v>279</v>
      </c>
      <c r="B97" s="2">
        <v>1</v>
      </c>
      <c r="C97" s="2" t="s">
        <v>96</v>
      </c>
      <c r="D97" s="12">
        <v>142053768</v>
      </c>
      <c r="E97" s="12">
        <v>149099559</v>
      </c>
      <c r="F97" s="12">
        <f t="shared" si="4"/>
        <v>-7045791</v>
      </c>
      <c r="G97" s="3">
        <f t="shared" si="5"/>
        <v>-4.9599465745956139E-2</v>
      </c>
      <c r="I97" s="12">
        <v>144805065</v>
      </c>
      <c r="J97" s="12">
        <v>151987318</v>
      </c>
      <c r="K97" s="13">
        <f t="shared" si="6"/>
        <v>-7182253</v>
      </c>
      <c r="L97" s="3">
        <f t="shared" si="7"/>
        <v>-4.9599459797901403E-2</v>
      </c>
    </row>
    <row r="98" spans="1:12" x14ac:dyDescent="0.2">
      <c r="A98" s="2">
        <v>280</v>
      </c>
      <c r="B98" s="2">
        <v>1</v>
      </c>
      <c r="C98" s="2" t="s">
        <v>97</v>
      </c>
      <c r="D98" s="12">
        <v>35570463</v>
      </c>
      <c r="E98" s="12">
        <v>38042533</v>
      </c>
      <c r="F98" s="12">
        <f t="shared" si="4"/>
        <v>-2472070</v>
      </c>
      <c r="G98" s="3">
        <f t="shared" si="5"/>
        <v>-6.9497830264396612E-2</v>
      </c>
      <c r="I98" s="12">
        <v>35428748</v>
      </c>
      <c r="J98" s="12">
        <v>37890969</v>
      </c>
      <c r="K98" s="13">
        <f t="shared" si="6"/>
        <v>-2462221</v>
      </c>
      <c r="L98" s="3">
        <f t="shared" si="7"/>
        <v>-6.949782701889437E-2</v>
      </c>
    </row>
    <row r="99" spans="1:12" x14ac:dyDescent="0.2">
      <c r="A99" s="2">
        <v>281</v>
      </c>
      <c r="B99" s="2">
        <v>1</v>
      </c>
      <c r="C99" s="2" t="s">
        <v>98</v>
      </c>
      <c r="D99" s="12">
        <v>91375062</v>
      </c>
      <c r="E99" s="12">
        <v>96972890</v>
      </c>
      <c r="F99" s="12">
        <f t="shared" si="4"/>
        <v>-5597828</v>
      </c>
      <c r="G99" s="3">
        <f t="shared" si="5"/>
        <v>-6.1262097967167452E-2</v>
      </c>
      <c r="I99" s="12">
        <v>91283778</v>
      </c>
      <c r="J99" s="12">
        <v>96876014</v>
      </c>
      <c r="K99" s="13">
        <f t="shared" si="6"/>
        <v>-5592236</v>
      </c>
      <c r="L99" s="3">
        <f t="shared" si="7"/>
        <v>-6.1262100698768189E-2</v>
      </c>
    </row>
    <row r="100" spans="1:12" x14ac:dyDescent="0.2">
      <c r="A100" s="2">
        <v>282</v>
      </c>
      <c r="B100" s="2">
        <v>1</v>
      </c>
      <c r="C100" s="2" t="s">
        <v>99</v>
      </c>
      <c r="D100" s="12">
        <v>9296529</v>
      </c>
      <c r="E100" s="12">
        <v>9825496</v>
      </c>
      <c r="F100" s="12">
        <f t="shared" si="4"/>
        <v>-528967</v>
      </c>
      <c r="G100" s="3">
        <f t="shared" si="5"/>
        <v>-5.6899408370586484E-2</v>
      </c>
      <c r="I100" s="12">
        <v>9350562</v>
      </c>
      <c r="J100" s="12">
        <v>9882548</v>
      </c>
      <c r="K100" s="13">
        <f t="shared" si="6"/>
        <v>-531986</v>
      </c>
      <c r="L100" s="3">
        <f t="shared" si="7"/>
        <v>-5.6893478702135764E-2</v>
      </c>
    </row>
    <row r="101" spans="1:12" x14ac:dyDescent="0.2">
      <c r="A101" s="2">
        <v>283</v>
      </c>
      <c r="B101" s="2">
        <v>1</v>
      </c>
      <c r="C101" s="2" t="s">
        <v>100</v>
      </c>
      <c r="D101" s="12">
        <v>51960589</v>
      </c>
      <c r="E101" s="12">
        <v>54074590</v>
      </c>
      <c r="F101" s="12">
        <f t="shared" si="4"/>
        <v>-2114001</v>
      </c>
      <c r="G101" s="3">
        <f t="shared" si="5"/>
        <v>-4.068470047558545E-2</v>
      </c>
      <c r="I101" s="12">
        <v>51344455</v>
      </c>
      <c r="J101" s="12">
        <v>53433389</v>
      </c>
      <c r="K101" s="13">
        <f t="shared" si="6"/>
        <v>-2088934</v>
      </c>
      <c r="L101" s="3">
        <f t="shared" si="7"/>
        <v>-4.0684704901434832E-2</v>
      </c>
    </row>
    <row r="102" spans="1:12" x14ac:dyDescent="0.2">
      <c r="A102" s="2">
        <v>284</v>
      </c>
      <c r="B102" s="2">
        <v>1</v>
      </c>
      <c r="C102" s="2" t="s">
        <v>101</v>
      </c>
      <c r="D102" s="12">
        <v>111127795</v>
      </c>
      <c r="E102" s="12">
        <v>112826382</v>
      </c>
      <c r="F102" s="12">
        <f t="shared" si="4"/>
        <v>-1698587</v>
      </c>
      <c r="G102" s="3">
        <f t="shared" si="5"/>
        <v>-1.5284987882644482E-2</v>
      </c>
      <c r="I102" s="12">
        <v>113280117</v>
      </c>
      <c r="J102" s="12">
        <v>115011602</v>
      </c>
      <c r="K102" s="13">
        <f t="shared" si="6"/>
        <v>-1731485</v>
      </c>
      <c r="L102" s="3">
        <f t="shared" si="7"/>
        <v>-1.5284985978607349E-2</v>
      </c>
    </row>
    <row r="103" spans="1:12" x14ac:dyDescent="0.2">
      <c r="A103" s="2">
        <v>286</v>
      </c>
      <c r="B103" s="2">
        <v>1</v>
      </c>
      <c r="C103" s="2" t="s">
        <v>102</v>
      </c>
      <c r="D103" s="12">
        <v>6762728</v>
      </c>
      <c r="E103" s="12">
        <v>7265207</v>
      </c>
      <c r="F103" s="12">
        <f t="shared" si="4"/>
        <v>-502479</v>
      </c>
      <c r="G103" s="3">
        <f t="shared" si="5"/>
        <v>-7.4301228734912891E-2</v>
      </c>
      <c r="I103" s="12">
        <v>6669357</v>
      </c>
      <c r="J103" s="12">
        <v>7164898</v>
      </c>
      <c r="K103" s="13">
        <f t="shared" si="6"/>
        <v>-495541</v>
      </c>
      <c r="L103" s="3">
        <f t="shared" si="7"/>
        <v>-7.4301165764555713E-2</v>
      </c>
    </row>
    <row r="104" spans="1:12" x14ac:dyDescent="0.2">
      <c r="A104" s="2">
        <v>294</v>
      </c>
      <c r="B104" s="2">
        <v>1</v>
      </c>
      <c r="C104" s="2" t="s">
        <v>103</v>
      </c>
      <c r="D104" s="12">
        <v>2745482</v>
      </c>
      <c r="E104" s="12">
        <v>2951427</v>
      </c>
      <c r="F104" s="12">
        <f t="shared" si="4"/>
        <v>-205945</v>
      </c>
      <c r="G104" s="3">
        <f t="shared" si="5"/>
        <v>-7.5012329346905202E-2</v>
      </c>
      <c r="I104" s="12">
        <v>2767733</v>
      </c>
      <c r="J104" s="12">
        <v>2974854</v>
      </c>
      <c r="K104" s="13">
        <f t="shared" si="6"/>
        <v>-207121</v>
      </c>
      <c r="L104" s="3">
        <f t="shared" si="7"/>
        <v>-7.4834169336420814E-2</v>
      </c>
    </row>
    <row r="105" spans="1:12" x14ac:dyDescent="0.2">
      <c r="A105" s="2">
        <v>297</v>
      </c>
      <c r="B105" s="2">
        <v>1</v>
      </c>
      <c r="C105" s="2" t="s">
        <v>104</v>
      </c>
      <c r="D105" s="12">
        <v>1863800</v>
      </c>
      <c r="E105" s="12">
        <v>2034666</v>
      </c>
      <c r="F105" s="12">
        <f t="shared" si="4"/>
        <v>-170866</v>
      </c>
      <c r="G105" s="3">
        <f t="shared" si="5"/>
        <v>-9.16761455091748E-2</v>
      </c>
      <c r="I105" s="12">
        <v>1886438</v>
      </c>
      <c r="J105" s="12">
        <v>2059379</v>
      </c>
      <c r="K105" s="13">
        <f t="shared" si="6"/>
        <v>-172941</v>
      </c>
      <c r="L105" s="3">
        <f t="shared" si="7"/>
        <v>-9.1675952244388625E-2</v>
      </c>
    </row>
    <row r="106" spans="1:12" x14ac:dyDescent="0.2">
      <c r="A106" s="2">
        <v>299</v>
      </c>
      <c r="B106" s="2">
        <v>1</v>
      </c>
      <c r="C106" s="2" t="s">
        <v>105</v>
      </c>
      <c r="D106" s="12">
        <v>4820596</v>
      </c>
      <c r="E106" s="12">
        <v>5273461</v>
      </c>
      <c r="F106" s="12">
        <f t="shared" si="4"/>
        <v>-452865</v>
      </c>
      <c r="G106" s="3">
        <f t="shared" si="5"/>
        <v>-9.3943777906300388E-2</v>
      </c>
      <c r="I106" s="12">
        <v>4934080</v>
      </c>
      <c r="J106" s="12">
        <v>5397606</v>
      </c>
      <c r="K106" s="13">
        <f t="shared" si="6"/>
        <v>-463526</v>
      </c>
      <c r="L106" s="3">
        <f t="shared" si="7"/>
        <v>-9.3943754458784612E-2</v>
      </c>
    </row>
    <row r="107" spans="1:12" x14ac:dyDescent="0.2">
      <c r="A107" s="2">
        <v>300</v>
      </c>
      <c r="B107" s="2">
        <v>1</v>
      </c>
      <c r="C107" s="2" t="s">
        <v>106</v>
      </c>
      <c r="D107" s="12">
        <v>6310547</v>
      </c>
      <c r="E107" s="12">
        <v>6893514</v>
      </c>
      <c r="F107" s="12">
        <f t="shared" si="4"/>
        <v>-582967</v>
      </c>
      <c r="G107" s="3">
        <f t="shared" si="5"/>
        <v>-9.2379788946980346E-2</v>
      </c>
      <c r="I107" s="12">
        <v>6744142</v>
      </c>
      <c r="J107" s="12">
        <v>7367048</v>
      </c>
      <c r="K107" s="13">
        <f t="shared" si="6"/>
        <v>-622906</v>
      </c>
      <c r="L107" s="3">
        <f t="shared" si="7"/>
        <v>-9.236252736078214E-2</v>
      </c>
    </row>
    <row r="108" spans="1:12" x14ac:dyDescent="0.2">
      <c r="A108" s="2">
        <v>306</v>
      </c>
      <c r="B108" s="2">
        <v>1</v>
      </c>
      <c r="C108" s="2" t="s">
        <v>107</v>
      </c>
      <c r="D108" s="12">
        <v>2887368</v>
      </c>
      <c r="E108" s="12">
        <v>3001253</v>
      </c>
      <c r="F108" s="12">
        <f t="shared" si="4"/>
        <v>-113885</v>
      </c>
      <c r="G108" s="3">
        <f t="shared" si="5"/>
        <v>-3.944249572621155E-2</v>
      </c>
      <c r="I108" s="12">
        <v>2870147</v>
      </c>
      <c r="J108" s="12">
        <v>2983353</v>
      </c>
      <c r="K108" s="13">
        <f t="shared" si="6"/>
        <v>-113206</v>
      </c>
      <c r="L108" s="3">
        <f t="shared" si="7"/>
        <v>-3.9442579073476029E-2</v>
      </c>
    </row>
    <row r="109" spans="1:12" x14ac:dyDescent="0.2">
      <c r="A109" s="2">
        <v>308</v>
      </c>
      <c r="B109" s="2">
        <v>1</v>
      </c>
      <c r="C109" s="2" t="s">
        <v>108</v>
      </c>
      <c r="D109" s="12">
        <v>6632128</v>
      </c>
      <c r="E109" s="12">
        <v>6788356</v>
      </c>
      <c r="F109" s="12">
        <f t="shared" si="4"/>
        <v>-156228</v>
      </c>
      <c r="G109" s="3">
        <f t="shared" si="5"/>
        <v>-2.3556240169067908E-2</v>
      </c>
      <c r="I109" s="12">
        <v>6286378</v>
      </c>
      <c r="J109" s="12">
        <v>6434461</v>
      </c>
      <c r="K109" s="13">
        <f t="shared" si="6"/>
        <v>-148083</v>
      </c>
      <c r="L109" s="3">
        <f t="shared" si="7"/>
        <v>-2.3556171773316845E-2</v>
      </c>
    </row>
    <row r="110" spans="1:12" x14ac:dyDescent="0.2">
      <c r="A110" s="2">
        <v>309</v>
      </c>
      <c r="B110" s="2">
        <v>1</v>
      </c>
      <c r="C110" s="2" t="s">
        <v>109</v>
      </c>
      <c r="D110" s="12">
        <v>22182131</v>
      </c>
      <c r="E110" s="12">
        <v>22943237</v>
      </c>
      <c r="F110" s="12">
        <f t="shared" si="4"/>
        <v>-761106</v>
      </c>
      <c r="G110" s="3">
        <f t="shared" si="5"/>
        <v>-3.4311671858758747E-2</v>
      </c>
      <c r="I110" s="12">
        <v>21951832</v>
      </c>
      <c r="J110" s="12">
        <v>22706301</v>
      </c>
      <c r="K110" s="13">
        <f t="shared" si="6"/>
        <v>-754469</v>
      </c>
      <c r="L110" s="3">
        <f t="shared" si="7"/>
        <v>-3.4369295464724767E-2</v>
      </c>
    </row>
    <row r="111" spans="1:12" x14ac:dyDescent="0.2">
      <c r="A111" s="2">
        <v>314</v>
      </c>
      <c r="B111" s="2">
        <v>1</v>
      </c>
      <c r="C111" s="2" t="s">
        <v>110</v>
      </c>
      <c r="D111" s="12">
        <v>4249044</v>
      </c>
      <c r="E111" s="12">
        <v>4675854</v>
      </c>
      <c r="F111" s="12">
        <f t="shared" si="4"/>
        <v>-426810</v>
      </c>
      <c r="G111" s="3">
        <f t="shared" si="5"/>
        <v>-0.10044847735161133</v>
      </c>
      <c r="I111" s="12">
        <v>3935014</v>
      </c>
      <c r="J111" s="12">
        <v>4329319</v>
      </c>
      <c r="K111" s="13">
        <f t="shared" si="6"/>
        <v>-394305</v>
      </c>
      <c r="L111" s="3">
        <f t="shared" si="7"/>
        <v>-0.10020421782489211</v>
      </c>
    </row>
    <row r="112" spans="1:12" x14ac:dyDescent="0.2">
      <c r="A112" s="2">
        <v>316</v>
      </c>
      <c r="B112" s="2">
        <v>1</v>
      </c>
      <c r="C112" s="2" t="s">
        <v>111</v>
      </c>
      <c r="D112" s="12">
        <v>5958278</v>
      </c>
      <c r="E112" s="12">
        <v>6619628</v>
      </c>
      <c r="F112" s="12">
        <f t="shared" si="4"/>
        <v>-661350</v>
      </c>
      <c r="G112" s="3">
        <f t="shared" si="5"/>
        <v>-0.1109968349915865</v>
      </c>
      <c r="I112" s="12">
        <v>6161611</v>
      </c>
      <c r="J112" s="12">
        <v>6845531</v>
      </c>
      <c r="K112" s="13">
        <f t="shared" si="6"/>
        <v>-683920</v>
      </c>
      <c r="L112" s="3">
        <f t="shared" si="7"/>
        <v>-0.11099694544170348</v>
      </c>
    </row>
    <row r="113" spans="1:12" x14ac:dyDescent="0.2">
      <c r="A113" s="2">
        <v>317</v>
      </c>
      <c r="B113" s="2">
        <v>1</v>
      </c>
      <c r="C113" s="2" t="s">
        <v>112</v>
      </c>
      <c r="D113" s="12">
        <v>8114663</v>
      </c>
      <c r="E113" s="12">
        <v>8475255</v>
      </c>
      <c r="F113" s="12">
        <f t="shared" si="4"/>
        <v>-360592</v>
      </c>
      <c r="G113" s="3">
        <f t="shared" si="5"/>
        <v>-4.4437088761418685E-2</v>
      </c>
      <c r="I113" s="12">
        <v>8630209</v>
      </c>
      <c r="J113" s="12">
        <v>9012866</v>
      </c>
      <c r="K113" s="13">
        <f t="shared" si="6"/>
        <v>-382657</v>
      </c>
      <c r="L113" s="3">
        <f t="shared" si="7"/>
        <v>-4.4339250648506891E-2</v>
      </c>
    </row>
    <row r="114" spans="1:12" x14ac:dyDescent="0.2">
      <c r="A114" s="2">
        <v>318</v>
      </c>
      <c r="B114" s="2">
        <v>1</v>
      </c>
      <c r="C114" s="2" t="s">
        <v>113</v>
      </c>
      <c r="D114" s="12">
        <v>41943807</v>
      </c>
      <c r="E114" s="12">
        <v>43820072</v>
      </c>
      <c r="F114" s="12">
        <f t="shared" si="4"/>
        <v>-1876265</v>
      </c>
      <c r="G114" s="3">
        <f t="shared" si="5"/>
        <v>-4.4732825515814527E-2</v>
      </c>
      <c r="I114" s="12">
        <v>43019290</v>
      </c>
      <c r="J114" s="12">
        <v>44943664</v>
      </c>
      <c r="K114" s="13">
        <f t="shared" si="6"/>
        <v>-1924374</v>
      </c>
      <c r="L114" s="3">
        <f t="shared" si="7"/>
        <v>-4.4732816371446389E-2</v>
      </c>
    </row>
    <row r="115" spans="1:12" x14ac:dyDescent="0.2">
      <c r="A115" s="2">
        <v>319</v>
      </c>
      <c r="B115" s="2">
        <v>1</v>
      </c>
      <c r="C115" s="2" t="s">
        <v>114</v>
      </c>
      <c r="D115" s="12">
        <v>3656982</v>
      </c>
      <c r="E115" s="12">
        <v>3986020</v>
      </c>
      <c r="F115" s="12">
        <f t="shared" si="4"/>
        <v>-329038</v>
      </c>
      <c r="G115" s="3">
        <f t="shared" si="5"/>
        <v>-8.9975285631703955E-2</v>
      </c>
      <c r="I115" s="12">
        <v>3837336</v>
      </c>
      <c r="J115" s="12">
        <v>4182602</v>
      </c>
      <c r="K115" s="13">
        <f t="shared" si="6"/>
        <v>-345266</v>
      </c>
      <c r="L115" s="3">
        <f t="shared" si="7"/>
        <v>-8.9975441295732247E-2</v>
      </c>
    </row>
    <row r="116" spans="1:12" x14ac:dyDescent="0.2">
      <c r="A116" s="2">
        <v>323</v>
      </c>
      <c r="B116" s="2">
        <v>2</v>
      </c>
      <c r="C116" s="2" t="s">
        <v>115</v>
      </c>
      <c r="D116" s="12">
        <v>291352</v>
      </c>
      <c r="E116" s="12">
        <v>299960</v>
      </c>
      <c r="F116" s="12">
        <f t="shared" si="4"/>
        <v>-8608</v>
      </c>
      <c r="G116" s="3">
        <f t="shared" si="5"/>
        <v>-2.954501771053571E-2</v>
      </c>
      <c r="I116" s="12">
        <v>276687</v>
      </c>
      <c r="J116" s="12">
        <v>284862</v>
      </c>
      <c r="K116" s="13">
        <f t="shared" si="6"/>
        <v>-8175</v>
      </c>
      <c r="L116" s="3">
        <f t="shared" si="7"/>
        <v>-2.9546021316505654E-2</v>
      </c>
    </row>
    <row r="117" spans="1:12" x14ac:dyDescent="0.2">
      <c r="A117" s="2">
        <v>330</v>
      </c>
      <c r="B117" s="2">
        <v>1</v>
      </c>
      <c r="C117" s="2" t="s">
        <v>116</v>
      </c>
      <c r="D117" s="12">
        <v>3590380</v>
      </c>
      <c r="E117" s="12">
        <v>3694272</v>
      </c>
      <c r="F117" s="12">
        <f t="shared" si="4"/>
        <v>-103892</v>
      </c>
      <c r="G117" s="3">
        <f t="shared" si="5"/>
        <v>-2.8936212879973708E-2</v>
      </c>
      <c r="I117" s="12">
        <v>3739725</v>
      </c>
      <c r="J117" s="12">
        <v>3847511</v>
      </c>
      <c r="K117" s="13">
        <f t="shared" si="6"/>
        <v>-107786</v>
      </c>
      <c r="L117" s="3">
        <f t="shared" si="7"/>
        <v>-2.8821905354003301E-2</v>
      </c>
    </row>
    <row r="118" spans="1:12" x14ac:dyDescent="0.2">
      <c r="A118" s="2">
        <v>332</v>
      </c>
      <c r="B118" s="2">
        <v>1</v>
      </c>
      <c r="C118" s="2" t="s">
        <v>117</v>
      </c>
      <c r="D118" s="12">
        <v>7847746</v>
      </c>
      <c r="E118" s="12">
        <v>8632602</v>
      </c>
      <c r="F118" s="12">
        <f t="shared" si="4"/>
        <v>-784856</v>
      </c>
      <c r="G118" s="3">
        <f t="shared" si="5"/>
        <v>-0.10001037240501923</v>
      </c>
      <c r="I118" s="12">
        <v>7403458</v>
      </c>
      <c r="J118" s="12">
        <v>8143870</v>
      </c>
      <c r="K118" s="13">
        <f t="shared" si="6"/>
        <v>-740412</v>
      </c>
      <c r="L118" s="3">
        <f t="shared" si="7"/>
        <v>-0.10000894176748217</v>
      </c>
    </row>
    <row r="119" spans="1:12" x14ac:dyDescent="0.2">
      <c r="A119" s="2">
        <v>333</v>
      </c>
      <c r="B119" s="2">
        <v>1</v>
      </c>
      <c r="C119" s="2" t="s">
        <v>118</v>
      </c>
      <c r="D119" s="12">
        <v>2344442</v>
      </c>
      <c r="E119" s="12">
        <v>2595488</v>
      </c>
      <c r="F119" s="12">
        <f t="shared" si="4"/>
        <v>-251046</v>
      </c>
      <c r="G119" s="3">
        <f t="shared" si="5"/>
        <v>-0.10708134387628271</v>
      </c>
      <c r="I119" s="12">
        <v>2237638</v>
      </c>
      <c r="J119" s="12">
        <v>2477679</v>
      </c>
      <c r="K119" s="13">
        <f t="shared" si="6"/>
        <v>-240041</v>
      </c>
      <c r="L119" s="3">
        <f t="shared" si="7"/>
        <v>-0.1072742776088</v>
      </c>
    </row>
    <row r="120" spans="1:12" x14ac:dyDescent="0.2">
      <c r="A120" s="2">
        <v>345</v>
      </c>
      <c r="B120" s="2">
        <v>1</v>
      </c>
      <c r="C120" s="2" t="s">
        <v>119</v>
      </c>
      <c r="D120" s="12">
        <v>13047766</v>
      </c>
      <c r="E120" s="12">
        <v>13613912</v>
      </c>
      <c r="F120" s="12">
        <f t="shared" si="4"/>
        <v>-566146</v>
      </c>
      <c r="G120" s="3">
        <f t="shared" si="5"/>
        <v>-4.3390263130102122E-2</v>
      </c>
      <c r="I120" s="12">
        <v>13778000</v>
      </c>
      <c r="J120" s="12">
        <v>14375831</v>
      </c>
      <c r="K120" s="13">
        <f t="shared" si="6"/>
        <v>-597831</v>
      </c>
      <c r="L120" s="3">
        <f t="shared" si="7"/>
        <v>-4.3390259834518795E-2</v>
      </c>
    </row>
    <row r="121" spans="1:12" x14ac:dyDescent="0.2">
      <c r="A121" s="2">
        <v>347</v>
      </c>
      <c r="B121" s="2">
        <v>1</v>
      </c>
      <c r="C121" s="2" t="s">
        <v>120</v>
      </c>
      <c r="D121" s="12">
        <v>19977599</v>
      </c>
      <c r="E121" s="12">
        <v>21474047</v>
      </c>
      <c r="F121" s="12">
        <f t="shared" si="4"/>
        <v>-1496448</v>
      </c>
      <c r="G121" s="3">
        <f t="shared" si="5"/>
        <v>-7.4906298799970905E-2</v>
      </c>
      <c r="I121" s="12">
        <v>21481289</v>
      </c>
      <c r="J121" s="12">
        <v>23090373</v>
      </c>
      <c r="K121" s="13">
        <f t="shared" si="6"/>
        <v>-1609084</v>
      </c>
      <c r="L121" s="3">
        <f t="shared" si="7"/>
        <v>-7.4906305669087181E-2</v>
      </c>
    </row>
    <row r="122" spans="1:12" x14ac:dyDescent="0.2">
      <c r="A122" s="2">
        <v>356</v>
      </c>
      <c r="B122" s="2">
        <v>1</v>
      </c>
      <c r="C122" s="2" t="s">
        <v>121</v>
      </c>
      <c r="D122" s="12">
        <v>905500</v>
      </c>
      <c r="E122" s="12">
        <v>976419</v>
      </c>
      <c r="F122" s="12">
        <f t="shared" si="4"/>
        <v>-70919</v>
      </c>
      <c r="G122" s="3">
        <f t="shared" si="5"/>
        <v>-7.83202650469354E-2</v>
      </c>
      <c r="I122" s="12">
        <v>913724</v>
      </c>
      <c r="J122" s="12">
        <v>985287</v>
      </c>
      <c r="K122" s="13">
        <f t="shared" si="6"/>
        <v>-71563</v>
      </c>
      <c r="L122" s="3">
        <f t="shared" si="7"/>
        <v>-7.8320149191659624E-2</v>
      </c>
    </row>
    <row r="123" spans="1:12" x14ac:dyDescent="0.2">
      <c r="A123" s="2">
        <v>361</v>
      </c>
      <c r="B123" s="2">
        <v>1</v>
      </c>
      <c r="C123" s="2" t="s">
        <v>122</v>
      </c>
      <c r="D123" s="12">
        <v>6799133</v>
      </c>
      <c r="E123" s="12">
        <v>7578961</v>
      </c>
      <c r="F123" s="12">
        <f t="shared" si="4"/>
        <v>-779828</v>
      </c>
      <c r="G123" s="3">
        <f t="shared" si="5"/>
        <v>-0.11469521187480816</v>
      </c>
      <c r="I123" s="12">
        <v>7382337</v>
      </c>
      <c r="J123" s="12">
        <v>8229056</v>
      </c>
      <c r="K123" s="13">
        <f t="shared" si="6"/>
        <v>-846719</v>
      </c>
      <c r="L123" s="3">
        <f t="shared" si="7"/>
        <v>-0.1146952516526948</v>
      </c>
    </row>
    <row r="124" spans="1:12" x14ac:dyDescent="0.2">
      <c r="A124" s="2">
        <v>362</v>
      </c>
      <c r="B124" s="2">
        <v>1</v>
      </c>
      <c r="C124" s="2" t="s">
        <v>123</v>
      </c>
      <c r="D124" s="12">
        <v>1225740</v>
      </c>
      <c r="E124" s="12">
        <v>1367810</v>
      </c>
      <c r="F124" s="12">
        <f t="shared" si="4"/>
        <v>-142070</v>
      </c>
      <c r="G124" s="3">
        <f t="shared" si="5"/>
        <v>-0.11590549382413889</v>
      </c>
      <c r="I124" s="12">
        <v>1294340</v>
      </c>
      <c r="J124" s="12">
        <v>1444361</v>
      </c>
      <c r="K124" s="13">
        <f t="shared" si="6"/>
        <v>-150021</v>
      </c>
      <c r="L124" s="3">
        <f t="shared" si="7"/>
        <v>-0.11590540352612141</v>
      </c>
    </row>
    <row r="125" spans="1:12" x14ac:dyDescent="0.2">
      <c r="A125" s="2">
        <v>363</v>
      </c>
      <c r="B125" s="2">
        <v>1</v>
      </c>
      <c r="C125" s="2" t="s">
        <v>124</v>
      </c>
      <c r="D125" s="12">
        <v>1418020</v>
      </c>
      <c r="E125" s="12">
        <v>1550541</v>
      </c>
      <c r="F125" s="12">
        <f t="shared" si="4"/>
        <v>-132521</v>
      </c>
      <c r="G125" s="3">
        <f t="shared" si="5"/>
        <v>-9.3454958322167533E-2</v>
      </c>
      <c r="I125" s="12">
        <v>1579086</v>
      </c>
      <c r="J125" s="12">
        <v>1726660</v>
      </c>
      <c r="K125" s="13">
        <f t="shared" si="6"/>
        <v>-147574</v>
      </c>
      <c r="L125" s="3">
        <f t="shared" si="7"/>
        <v>-9.3455327955538833E-2</v>
      </c>
    </row>
    <row r="126" spans="1:12" x14ac:dyDescent="0.2">
      <c r="A126" s="2">
        <v>378</v>
      </c>
      <c r="B126" s="2">
        <v>1</v>
      </c>
      <c r="C126" s="2" t="s">
        <v>125</v>
      </c>
      <c r="D126" s="12">
        <v>4601087</v>
      </c>
      <c r="E126" s="12">
        <v>4795658</v>
      </c>
      <c r="F126" s="12">
        <f t="shared" si="4"/>
        <v>-194571</v>
      </c>
      <c r="G126" s="3">
        <f t="shared" si="5"/>
        <v>-4.2288050628036374E-2</v>
      </c>
      <c r="I126" s="12">
        <v>4890658</v>
      </c>
      <c r="J126" s="12">
        <v>5096563</v>
      </c>
      <c r="K126" s="13">
        <f t="shared" si="6"/>
        <v>-205905</v>
      </c>
      <c r="L126" s="3">
        <f t="shared" si="7"/>
        <v>-4.2101696745100559E-2</v>
      </c>
    </row>
    <row r="127" spans="1:12" x14ac:dyDescent="0.2">
      <c r="A127" s="2">
        <v>381</v>
      </c>
      <c r="B127" s="2">
        <v>1</v>
      </c>
      <c r="C127" s="2" t="s">
        <v>126</v>
      </c>
      <c r="D127" s="12">
        <v>21990329</v>
      </c>
      <c r="E127" s="12">
        <v>23051291</v>
      </c>
      <c r="F127" s="12">
        <f t="shared" si="4"/>
        <v>-1060962</v>
      </c>
      <c r="G127" s="3">
        <f t="shared" si="5"/>
        <v>-4.8246754289124096E-2</v>
      </c>
      <c r="I127" s="12">
        <v>21686518</v>
      </c>
      <c r="J127" s="12">
        <v>22735514</v>
      </c>
      <c r="K127" s="13">
        <f t="shared" si="6"/>
        <v>-1048996</v>
      </c>
      <c r="L127" s="3">
        <f t="shared" si="7"/>
        <v>-4.8370881853878063E-2</v>
      </c>
    </row>
    <row r="128" spans="1:12" x14ac:dyDescent="0.2">
      <c r="A128" s="2">
        <v>390</v>
      </c>
      <c r="B128" s="2">
        <v>1</v>
      </c>
      <c r="C128" s="2" t="s">
        <v>127</v>
      </c>
      <c r="D128" s="12">
        <v>3757774</v>
      </c>
      <c r="E128" s="12">
        <v>4063438</v>
      </c>
      <c r="F128" s="12">
        <f t="shared" si="4"/>
        <v>-305664</v>
      </c>
      <c r="G128" s="3">
        <f t="shared" si="5"/>
        <v>-8.1341773081616942E-2</v>
      </c>
      <c r="I128" s="12">
        <v>3830555</v>
      </c>
      <c r="J128" s="12">
        <v>4142139</v>
      </c>
      <c r="K128" s="13">
        <f t="shared" si="6"/>
        <v>-311584</v>
      </c>
      <c r="L128" s="3">
        <f t="shared" si="7"/>
        <v>-8.1341737685531212E-2</v>
      </c>
    </row>
    <row r="129" spans="1:12" x14ac:dyDescent="0.2">
      <c r="A129" s="2">
        <v>391</v>
      </c>
      <c r="B129" s="2">
        <v>1</v>
      </c>
      <c r="C129" s="2" t="s">
        <v>128</v>
      </c>
      <c r="D129" s="12">
        <v>4454208</v>
      </c>
      <c r="E129" s="12">
        <v>4591135</v>
      </c>
      <c r="F129" s="12">
        <f t="shared" si="4"/>
        <v>-136927</v>
      </c>
      <c r="G129" s="3">
        <f t="shared" si="5"/>
        <v>-3.0741043076569392E-2</v>
      </c>
      <c r="I129" s="12">
        <v>4630893</v>
      </c>
      <c r="J129" s="12">
        <v>4773275</v>
      </c>
      <c r="K129" s="13">
        <f t="shared" si="6"/>
        <v>-142382</v>
      </c>
      <c r="L129" s="3">
        <f t="shared" si="7"/>
        <v>-3.074612175232725E-2</v>
      </c>
    </row>
    <row r="130" spans="1:12" x14ac:dyDescent="0.2">
      <c r="A130" s="2">
        <v>392</v>
      </c>
      <c r="B130" s="2">
        <v>1</v>
      </c>
      <c r="C130" s="2" t="s">
        <v>129</v>
      </c>
      <c r="D130" s="12">
        <v>4071637</v>
      </c>
      <c r="E130" s="12">
        <v>4304665</v>
      </c>
      <c r="F130" s="12">
        <f t="shared" si="4"/>
        <v>-233028</v>
      </c>
      <c r="G130" s="3">
        <f t="shared" si="5"/>
        <v>-5.7232017490753719E-2</v>
      </c>
      <c r="I130" s="12">
        <v>3926361</v>
      </c>
      <c r="J130" s="12">
        <v>4151075</v>
      </c>
      <c r="K130" s="13">
        <f t="shared" si="6"/>
        <v>-224714</v>
      </c>
      <c r="L130" s="3">
        <f t="shared" si="7"/>
        <v>-5.7232129190362274E-2</v>
      </c>
    </row>
    <row r="131" spans="1:12" x14ac:dyDescent="0.2">
      <c r="A131" s="2">
        <v>394</v>
      </c>
      <c r="B131" s="2">
        <v>1</v>
      </c>
      <c r="C131" s="2" t="s">
        <v>130</v>
      </c>
      <c r="D131" s="12">
        <v>8460742</v>
      </c>
      <c r="E131" s="12">
        <v>9002274</v>
      </c>
      <c r="F131" s="12">
        <f t="shared" si="4"/>
        <v>-541532</v>
      </c>
      <c r="G131" s="3">
        <f t="shared" si="5"/>
        <v>-6.4005261004294892E-2</v>
      </c>
      <c r="I131" s="12">
        <v>7901351</v>
      </c>
      <c r="J131" s="12">
        <v>8407376</v>
      </c>
      <c r="K131" s="13">
        <f t="shared" si="6"/>
        <v>-506025</v>
      </c>
      <c r="L131" s="3">
        <f t="shared" si="7"/>
        <v>-6.4042845331133871E-2</v>
      </c>
    </row>
    <row r="132" spans="1:12" x14ac:dyDescent="0.2">
      <c r="A132" s="2">
        <v>402</v>
      </c>
      <c r="B132" s="2">
        <v>1</v>
      </c>
      <c r="C132" s="2" t="s">
        <v>131</v>
      </c>
      <c r="D132" s="12">
        <v>1450764</v>
      </c>
      <c r="E132" s="12">
        <v>1516329</v>
      </c>
      <c r="F132" s="12">
        <f t="shared" si="4"/>
        <v>-65565</v>
      </c>
      <c r="G132" s="3">
        <f t="shared" si="5"/>
        <v>-4.5193429117347826E-2</v>
      </c>
      <c r="I132" s="12">
        <v>1722619</v>
      </c>
      <c r="J132" s="12">
        <v>1800486</v>
      </c>
      <c r="K132" s="13">
        <f t="shared" si="6"/>
        <v>-77867</v>
      </c>
      <c r="L132" s="3">
        <f t="shared" si="7"/>
        <v>-4.5202682659369248E-2</v>
      </c>
    </row>
    <row r="133" spans="1:12" x14ac:dyDescent="0.2">
      <c r="A133" s="2">
        <v>403</v>
      </c>
      <c r="B133" s="2">
        <v>1</v>
      </c>
      <c r="C133" s="2" t="s">
        <v>132</v>
      </c>
      <c r="D133" s="12">
        <v>2103211</v>
      </c>
      <c r="E133" s="12">
        <v>2184082</v>
      </c>
      <c r="F133" s="12">
        <f t="shared" si="4"/>
        <v>-80871</v>
      </c>
      <c r="G133" s="3">
        <f t="shared" si="5"/>
        <v>-3.845120627459632E-2</v>
      </c>
      <c r="I133" s="12">
        <v>2141763</v>
      </c>
      <c r="J133" s="12">
        <v>2224116</v>
      </c>
      <c r="K133" s="13">
        <f t="shared" si="6"/>
        <v>-82353</v>
      </c>
      <c r="L133" s="3">
        <f t="shared" si="7"/>
        <v>-3.845103309749958E-2</v>
      </c>
    </row>
    <row r="134" spans="1:12" x14ac:dyDescent="0.2">
      <c r="A134" s="2">
        <v>404</v>
      </c>
      <c r="B134" s="2">
        <v>1</v>
      </c>
      <c r="C134" s="2" t="s">
        <v>133</v>
      </c>
      <c r="D134" s="12">
        <v>2715340</v>
      </c>
      <c r="E134" s="12">
        <v>2808671</v>
      </c>
      <c r="F134" s="12">
        <f t="shared" si="4"/>
        <v>-93331</v>
      </c>
      <c r="G134" s="3">
        <f t="shared" si="5"/>
        <v>-3.4371754550074761E-2</v>
      </c>
      <c r="I134" s="12">
        <v>2930953</v>
      </c>
      <c r="J134" s="12">
        <v>3031677</v>
      </c>
      <c r="K134" s="13">
        <f t="shared" si="6"/>
        <v>-100724</v>
      </c>
      <c r="L134" s="3">
        <f t="shared" si="7"/>
        <v>-3.4365614187603824E-2</v>
      </c>
    </row>
    <row r="135" spans="1:12" x14ac:dyDescent="0.2">
      <c r="A135" s="2">
        <v>413</v>
      </c>
      <c r="B135" s="2">
        <v>1</v>
      </c>
      <c r="C135" s="2" t="s">
        <v>134</v>
      </c>
      <c r="D135" s="12">
        <v>13428340</v>
      </c>
      <c r="E135" s="12">
        <v>14219358</v>
      </c>
      <c r="F135" s="12">
        <f t="shared" si="4"/>
        <v>-791018</v>
      </c>
      <c r="G135" s="3">
        <f t="shared" si="5"/>
        <v>-5.8906610943720517E-2</v>
      </c>
      <c r="I135" s="12">
        <v>14439075</v>
      </c>
      <c r="J135" s="12">
        <v>15289632</v>
      </c>
      <c r="K135" s="13">
        <f t="shared" si="6"/>
        <v>-850557</v>
      </c>
      <c r="L135" s="3">
        <f t="shared" si="7"/>
        <v>-5.8906612785098768E-2</v>
      </c>
    </row>
    <row r="136" spans="1:12" x14ac:dyDescent="0.2">
      <c r="A136" s="2">
        <v>414</v>
      </c>
      <c r="B136" s="2">
        <v>1</v>
      </c>
      <c r="C136" s="2" t="s">
        <v>135</v>
      </c>
      <c r="D136" s="12">
        <v>3866284</v>
      </c>
      <c r="E136" s="12">
        <v>4042064</v>
      </c>
      <c r="F136" s="12">
        <f t="shared" si="4"/>
        <v>-175780</v>
      </c>
      <c r="G136" s="3">
        <f t="shared" si="5"/>
        <v>-4.5464844279416619E-2</v>
      </c>
      <c r="I136" s="12">
        <v>4366868</v>
      </c>
      <c r="J136" s="12">
        <v>4565784</v>
      </c>
      <c r="K136" s="13">
        <f t="shared" si="6"/>
        <v>-198916</v>
      </c>
      <c r="L136" s="3">
        <f t="shared" si="7"/>
        <v>-4.5551182220300683E-2</v>
      </c>
    </row>
    <row r="137" spans="1:12" x14ac:dyDescent="0.2">
      <c r="A137" s="2">
        <v>415</v>
      </c>
      <c r="B137" s="2">
        <v>1</v>
      </c>
      <c r="C137" s="2" t="s">
        <v>136</v>
      </c>
      <c r="D137" s="12">
        <v>1757959</v>
      </c>
      <c r="E137" s="12">
        <v>1812128</v>
      </c>
      <c r="F137" s="12">
        <f t="shared" si="4"/>
        <v>-54169</v>
      </c>
      <c r="G137" s="3">
        <f t="shared" si="5"/>
        <v>-3.0813574150477911E-2</v>
      </c>
      <c r="I137" s="12">
        <v>1912905</v>
      </c>
      <c r="J137" s="12">
        <v>1971848</v>
      </c>
      <c r="K137" s="13">
        <f t="shared" si="6"/>
        <v>-58943</v>
      </c>
      <c r="L137" s="3">
        <f t="shared" si="7"/>
        <v>-3.0813344102294679E-2</v>
      </c>
    </row>
    <row r="138" spans="1:12" x14ac:dyDescent="0.2">
      <c r="A138" s="2">
        <v>423</v>
      </c>
      <c r="B138" s="2">
        <v>1</v>
      </c>
      <c r="C138" s="2" t="s">
        <v>137</v>
      </c>
      <c r="D138" s="12">
        <v>15062041</v>
      </c>
      <c r="E138" s="12">
        <v>16205686</v>
      </c>
      <c r="F138" s="12">
        <f t="shared" si="4"/>
        <v>-1143645</v>
      </c>
      <c r="G138" s="3">
        <f t="shared" si="5"/>
        <v>-7.5928952789333135E-2</v>
      </c>
      <c r="I138" s="12">
        <v>15246294</v>
      </c>
      <c r="J138" s="12">
        <v>16401109</v>
      </c>
      <c r="K138" s="13">
        <f t="shared" si="6"/>
        <v>-1154815</v>
      </c>
      <c r="L138" s="3">
        <f t="shared" si="7"/>
        <v>-7.5743980799530694E-2</v>
      </c>
    </row>
    <row r="139" spans="1:12" x14ac:dyDescent="0.2">
      <c r="A139" s="2">
        <v>424</v>
      </c>
      <c r="B139" s="2">
        <v>1</v>
      </c>
      <c r="C139" s="2" t="s">
        <v>138</v>
      </c>
      <c r="D139" s="12">
        <v>2408346</v>
      </c>
      <c r="E139" s="12">
        <v>2606249</v>
      </c>
      <c r="F139" s="12">
        <f t="shared" si="4"/>
        <v>-197903</v>
      </c>
      <c r="G139" s="3">
        <f t="shared" si="5"/>
        <v>-8.2173823860857198E-2</v>
      </c>
      <c r="I139" s="12">
        <v>2226925</v>
      </c>
      <c r="J139" s="12">
        <v>2409830</v>
      </c>
      <c r="K139" s="13">
        <f t="shared" si="6"/>
        <v>-182905</v>
      </c>
      <c r="L139" s="3">
        <f t="shared" si="7"/>
        <v>-8.2133435117931683E-2</v>
      </c>
    </row>
    <row r="140" spans="1:12" x14ac:dyDescent="0.2">
      <c r="A140" s="2">
        <v>432</v>
      </c>
      <c r="B140" s="2">
        <v>1</v>
      </c>
      <c r="C140" s="2" t="s">
        <v>139</v>
      </c>
      <c r="D140" s="12">
        <v>2049425</v>
      </c>
      <c r="E140" s="12">
        <v>2232816</v>
      </c>
      <c r="F140" s="12">
        <f t="shared" ref="F140:F203" si="8">D140-E140</f>
        <v>-183391</v>
      </c>
      <c r="G140" s="3">
        <f t="shared" ref="G140:G203" si="9">(D140-E140)/D140</f>
        <v>-8.9484123595642687E-2</v>
      </c>
      <c r="I140" s="12">
        <v>2201327</v>
      </c>
      <c r="J140" s="12">
        <v>2398176</v>
      </c>
      <c r="K140" s="13">
        <f t="shared" ref="K140:K203" si="10">I140-J140</f>
        <v>-196849</v>
      </c>
      <c r="L140" s="3">
        <f t="shared" ref="L140:L203" si="11">(I140-J140)/I140</f>
        <v>-8.9422879926517054E-2</v>
      </c>
    </row>
    <row r="141" spans="1:12" x14ac:dyDescent="0.2">
      <c r="A141" s="2">
        <v>435</v>
      </c>
      <c r="B141" s="2">
        <v>1</v>
      </c>
      <c r="C141" s="2" t="s">
        <v>140</v>
      </c>
      <c r="D141" s="12">
        <v>4243284</v>
      </c>
      <c r="E141" s="12">
        <v>4414635</v>
      </c>
      <c r="F141" s="12">
        <f t="shared" si="8"/>
        <v>-171351</v>
      </c>
      <c r="G141" s="3">
        <f t="shared" si="9"/>
        <v>-4.0381694932509822E-2</v>
      </c>
      <c r="I141" s="12">
        <v>4483862</v>
      </c>
      <c r="J141" s="12">
        <v>4666256</v>
      </c>
      <c r="K141" s="13">
        <f t="shared" si="10"/>
        <v>-182394</v>
      </c>
      <c r="L141" s="3">
        <f t="shared" si="11"/>
        <v>-4.0677879916910915E-2</v>
      </c>
    </row>
    <row r="142" spans="1:12" x14ac:dyDescent="0.2">
      <c r="A142" s="2">
        <v>441</v>
      </c>
      <c r="B142" s="2">
        <v>1</v>
      </c>
      <c r="C142" s="2" t="s">
        <v>141</v>
      </c>
      <c r="D142" s="12">
        <v>3158835</v>
      </c>
      <c r="E142" s="12">
        <v>3331309</v>
      </c>
      <c r="F142" s="12">
        <f t="shared" si="8"/>
        <v>-172474</v>
      </c>
      <c r="G142" s="3">
        <f t="shared" si="9"/>
        <v>-5.4600509365003234E-2</v>
      </c>
      <c r="I142" s="12">
        <v>3181632</v>
      </c>
      <c r="J142" s="12">
        <v>3181632</v>
      </c>
      <c r="K142" s="13">
        <f t="shared" si="10"/>
        <v>0</v>
      </c>
      <c r="L142" s="3">
        <f t="shared" si="11"/>
        <v>0</v>
      </c>
    </row>
    <row r="143" spans="1:12" x14ac:dyDescent="0.2">
      <c r="A143" s="2">
        <v>447</v>
      </c>
      <c r="B143" s="2">
        <v>1</v>
      </c>
      <c r="C143" s="2" t="s">
        <v>142</v>
      </c>
      <c r="D143" s="12">
        <v>979553</v>
      </c>
      <c r="E143" s="12">
        <v>1075821</v>
      </c>
      <c r="F143" s="12">
        <f t="shared" si="8"/>
        <v>-96268</v>
      </c>
      <c r="G143" s="3">
        <f t="shared" si="9"/>
        <v>-9.8277479625911005E-2</v>
      </c>
      <c r="I143" s="12">
        <v>1019582</v>
      </c>
      <c r="J143" s="12">
        <v>1119859</v>
      </c>
      <c r="K143" s="13">
        <f t="shared" si="10"/>
        <v>-100277</v>
      </c>
      <c r="L143" s="3">
        <f t="shared" si="11"/>
        <v>-9.8351088975678264E-2</v>
      </c>
    </row>
    <row r="144" spans="1:12" x14ac:dyDescent="0.2">
      <c r="A144" s="2">
        <v>458</v>
      </c>
      <c r="B144" s="2">
        <v>1</v>
      </c>
      <c r="C144" s="2" t="s">
        <v>143</v>
      </c>
      <c r="D144" s="12">
        <v>4196313</v>
      </c>
      <c r="E144" s="12">
        <v>4361420</v>
      </c>
      <c r="F144" s="12">
        <f t="shared" si="8"/>
        <v>-165107</v>
      </c>
      <c r="G144" s="3">
        <f t="shared" si="9"/>
        <v>-3.9345730406668902E-2</v>
      </c>
      <c r="I144" s="12">
        <v>4499404</v>
      </c>
      <c r="J144" s="12">
        <v>4677101</v>
      </c>
      <c r="K144" s="13">
        <f t="shared" si="10"/>
        <v>-177697</v>
      </c>
      <c r="L144" s="3">
        <f t="shared" si="11"/>
        <v>-3.9493452910652163E-2</v>
      </c>
    </row>
    <row r="145" spans="1:12" x14ac:dyDescent="0.2">
      <c r="A145" s="2">
        <v>463</v>
      </c>
      <c r="B145" s="2">
        <v>1</v>
      </c>
      <c r="C145" s="2" t="s">
        <v>144</v>
      </c>
      <c r="D145" s="12">
        <v>5006396</v>
      </c>
      <c r="E145" s="12">
        <v>5291963</v>
      </c>
      <c r="F145" s="12">
        <f t="shared" si="8"/>
        <v>-285567</v>
      </c>
      <c r="G145" s="3">
        <f t="shared" si="9"/>
        <v>-5.7040433876984563E-2</v>
      </c>
      <c r="I145" s="12">
        <v>5091916</v>
      </c>
      <c r="J145" s="12">
        <v>5385531</v>
      </c>
      <c r="K145" s="13">
        <f t="shared" si="10"/>
        <v>-293615</v>
      </c>
      <c r="L145" s="3">
        <f t="shared" si="11"/>
        <v>-5.7662970088273258E-2</v>
      </c>
    </row>
    <row r="146" spans="1:12" x14ac:dyDescent="0.2">
      <c r="A146" s="2">
        <v>465</v>
      </c>
      <c r="B146" s="2">
        <v>1</v>
      </c>
      <c r="C146" s="2" t="s">
        <v>145</v>
      </c>
      <c r="D146" s="12">
        <v>10848831</v>
      </c>
      <c r="E146" s="12">
        <v>11619034</v>
      </c>
      <c r="F146" s="12">
        <f t="shared" si="8"/>
        <v>-770203</v>
      </c>
      <c r="G146" s="3">
        <f t="shared" si="9"/>
        <v>-7.0994100654715703E-2</v>
      </c>
      <c r="I146" s="12">
        <v>11126810</v>
      </c>
      <c r="J146" s="12">
        <v>11916757</v>
      </c>
      <c r="K146" s="13">
        <f t="shared" si="10"/>
        <v>-789947</v>
      </c>
      <c r="L146" s="3">
        <f t="shared" si="11"/>
        <v>-7.0994921275729525E-2</v>
      </c>
    </row>
    <row r="147" spans="1:12" x14ac:dyDescent="0.2">
      <c r="A147" s="2">
        <v>466</v>
      </c>
      <c r="B147" s="2">
        <v>1</v>
      </c>
      <c r="C147" s="2" t="s">
        <v>146</v>
      </c>
      <c r="D147" s="12">
        <v>9467205</v>
      </c>
      <c r="E147" s="12">
        <v>10026950</v>
      </c>
      <c r="F147" s="12">
        <f t="shared" si="8"/>
        <v>-559745</v>
      </c>
      <c r="G147" s="3">
        <f t="shared" si="9"/>
        <v>-5.9124630764835026E-2</v>
      </c>
      <c r="I147" s="12">
        <v>8983788</v>
      </c>
      <c r="J147" s="12">
        <v>9515274</v>
      </c>
      <c r="K147" s="13">
        <f t="shared" si="10"/>
        <v>-531486</v>
      </c>
      <c r="L147" s="3">
        <f t="shared" si="11"/>
        <v>-5.9160567902982575E-2</v>
      </c>
    </row>
    <row r="148" spans="1:12" x14ac:dyDescent="0.2">
      <c r="A148" s="2">
        <v>473</v>
      </c>
      <c r="B148" s="2">
        <v>1</v>
      </c>
      <c r="C148" s="2" t="s">
        <v>147</v>
      </c>
      <c r="D148" s="12">
        <v>5929230</v>
      </c>
      <c r="E148" s="12">
        <v>6185319</v>
      </c>
      <c r="F148" s="12">
        <f t="shared" si="8"/>
        <v>-256089</v>
      </c>
      <c r="G148" s="3">
        <f t="shared" si="9"/>
        <v>-4.3190937103131433E-2</v>
      </c>
      <c r="I148" s="12">
        <v>6023186</v>
      </c>
      <c r="J148" s="12">
        <v>6282769</v>
      </c>
      <c r="K148" s="13">
        <f t="shared" si="10"/>
        <v>-259583</v>
      </c>
      <c r="L148" s="3">
        <f t="shared" si="11"/>
        <v>-4.3097291035010372E-2</v>
      </c>
    </row>
    <row r="149" spans="1:12" x14ac:dyDescent="0.2">
      <c r="A149" s="2">
        <v>477</v>
      </c>
      <c r="B149" s="2">
        <v>1</v>
      </c>
      <c r="C149" s="2" t="s">
        <v>148</v>
      </c>
      <c r="D149" s="12">
        <v>14695528</v>
      </c>
      <c r="E149" s="12">
        <v>16002790</v>
      </c>
      <c r="F149" s="12">
        <f t="shared" si="8"/>
        <v>-1307262</v>
      </c>
      <c r="G149" s="3">
        <f t="shared" si="9"/>
        <v>-8.8956449880535082E-2</v>
      </c>
      <c r="I149" s="12">
        <v>13741104</v>
      </c>
      <c r="J149" s="12">
        <v>14970962</v>
      </c>
      <c r="K149" s="13">
        <f t="shared" si="10"/>
        <v>-1229858</v>
      </c>
      <c r="L149" s="3">
        <f t="shared" si="11"/>
        <v>-8.9502124429012397E-2</v>
      </c>
    </row>
    <row r="150" spans="1:12" x14ac:dyDescent="0.2">
      <c r="A150" s="2">
        <v>480</v>
      </c>
      <c r="B150" s="2">
        <v>1</v>
      </c>
      <c r="C150" s="2" t="s">
        <v>149</v>
      </c>
      <c r="D150" s="12">
        <v>7573206</v>
      </c>
      <c r="E150" s="12">
        <v>7913538</v>
      </c>
      <c r="F150" s="12">
        <f t="shared" si="8"/>
        <v>-340332</v>
      </c>
      <c r="G150" s="3">
        <f t="shared" si="9"/>
        <v>-4.4938959801172712E-2</v>
      </c>
      <c r="I150" s="12">
        <v>7754751</v>
      </c>
      <c r="J150" s="12">
        <v>8104069</v>
      </c>
      <c r="K150" s="13">
        <f t="shared" si="10"/>
        <v>-349318</v>
      </c>
      <c r="L150" s="3">
        <f t="shared" si="11"/>
        <v>-4.5045675870185903E-2</v>
      </c>
    </row>
    <row r="151" spans="1:12" x14ac:dyDescent="0.2">
      <c r="A151" s="2">
        <v>482</v>
      </c>
      <c r="B151" s="2">
        <v>1</v>
      </c>
      <c r="C151" s="2" t="s">
        <v>150</v>
      </c>
      <c r="D151" s="12">
        <v>11613824</v>
      </c>
      <c r="E151" s="12">
        <v>12913732</v>
      </c>
      <c r="F151" s="12">
        <f t="shared" si="8"/>
        <v>-1299908</v>
      </c>
      <c r="G151" s="3">
        <f t="shared" si="9"/>
        <v>-0.1119276476034078</v>
      </c>
      <c r="I151" s="12">
        <v>11613574</v>
      </c>
      <c r="J151" s="12">
        <v>12913466</v>
      </c>
      <c r="K151" s="13">
        <f t="shared" si="10"/>
        <v>-1299892</v>
      </c>
      <c r="L151" s="3">
        <f t="shared" si="11"/>
        <v>-0.11192867931956174</v>
      </c>
    </row>
    <row r="152" spans="1:12" x14ac:dyDescent="0.2">
      <c r="A152" s="2">
        <v>484</v>
      </c>
      <c r="B152" s="2">
        <v>1</v>
      </c>
      <c r="C152" s="2" t="s">
        <v>151</v>
      </c>
      <c r="D152" s="12">
        <v>4194530</v>
      </c>
      <c r="E152" s="12">
        <v>4547847</v>
      </c>
      <c r="F152" s="12">
        <f t="shared" si="8"/>
        <v>-353317</v>
      </c>
      <c r="G152" s="3">
        <f t="shared" si="9"/>
        <v>-8.4232798430336653E-2</v>
      </c>
      <c r="I152" s="12">
        <v>4278964</v>
      </c>
      <c r="J152" s="12">
        <v>4639378</v>
      </c>
      <c r="K152" s="13">
        <f t="shared" si="10"/>
        <v>-360414</v>
      </c>
      <c r="L152" s="3">
        <f t="shared" si="11"/>
        <v>-8.4229266710353259E-2</v>
      </c>
    </row>
    <row r="153" spans="1:12" x14ac:dyDescent="0.2">
      <c r="A153" s="2">
        <v>485</v>
      </c>
      <c r="B153" s="2">
        <v>1</v>
      </c>
      <c r="C153" s="2" t="s">
        <v>152</v>
      </c>
      <c r="D153" s="12">
        <v>3052303</v>
      </c>
      <c r="E153" s="12">
        <v>3301021</v>
      </c>
      <c r="F153" s="12">
        <f t="shared" si="8"/>
        <v>-248718</v>
      </c>
      <c r="G153" s="3">
        <f t="shared" si="9"/>
        <v>-8.1485357122146787E-2</v>
      </c>
      <c r="I153" s="12">
        <v>3006598</v>
      </c>
      <c r="J153" s="12">
        <v>3251201</v>
      </c>
      <c r="K153" s="13">
        <f t="shared" si="10"/>
        <v>-244603</v>
      </c>
      <c r="L153" s="3">
        <f t="shared" si="11"/>
        <v>-8.1355405677779338E-2</v>
      </c>
    </row>
    <row r="154" spans="1:12" x14ac:dyDescent="0.2">
      <c r="A154" s="2">
        <v>486</v>
      </c>
      <c r="B154" s="2">
        <v>1</v>
      </c>
      <c r="C154" s="2" t="s">
        <v>153</v>
      </c>
      <c r="D154" s="12">
        <v>2068887</v>
      </c>
      <c r="E154" s="12">
        <v>2202911</v>
      </c>
      <c r="F154" s="12">
        <f t="shared" si="8"/>
        <v>-134024</v>
      </c>
      <c r="G154" s="3">
        <f t="shared" si="9"/>
        <v>-6.4780725095184025E-2</v>
      </c>
      <c r="I154" s="12">
        <v>2088173</v>
      </c>
      <c r="J154" s="12">
        <v>2223533</v>
      </c>
      <c r="K154" s="13">
        <f t="shared" si="10"/>
        <v>-135360</v>
      </c>
      <c r="L154" s="3">
        <f t="shared" si="11"/>
        <v>-6.4822215400735475E-2</v>
      </c>
    </row>
    <row r="155" spans="1:12" x14ac:dyDescent="0.2">
      <c r="A155" s="2">
        <v>487</v>
      </c>
      <c r="B155" s="2">
        <v>1</v>
      </c>
      <c r="C155" s="2" t="s">
        <v>154</v>
      </c>
      <c r="D155" s="12">
        <v>1498123</v>
      </c>
      <c r="E155" s="12">
        <v>1630384</v>
      </c>
      <c r="F155" s="12">
        <f t="shared" si="8"/>
        <v>-132261</v>
      </c>
      <c r="G155" s="3">
        <f t="shared" si="9"/>
        <v>-8.8284473304261396E-2</v>
      </c>
      <c r="I155" s="12">
        <v>1483603</v>
      </c>
      <c r="J155" s="12">
        <v>1614556</v>
      </c>
      <c r="K155" s="13">
        <f t="shared" si="10"/>
        <v>-130953</v>
      </c>
      <c r="L155" s="3">
        <f t="shared" si="11"/>
        <v>-8.8266874628859612E-2</v>
      </c>
    </row>
    <row r="156" spans="1:12" x14ac:dyDescent="0.2">
      <c r="A156" s="2">
        <v>492</v>
      </c>
      <c r="B156" s="2">
        <v>1</v>
      </c>
      <c r="C156" s="2" t="s">
        <v>155</v>
      </c>
      <c r="D156" s="12">
        <v>14113231</v>
      </c>
      <c r="E156" s="12">
        <v>16188671</v>
      </c>
      <c r="F156" s="12">
        <f t="shared" si="8"/>
        <v>-2075440</v>
      </c>
      <c r="G156" s="3">
        <f t="shared" si="9"/>
        <v>-0.14705633316708272</v>
      </c>
      <c r="I156" s="12">
        <v>15052984</v>
      </c>
      <c r="J156" s="12">
        <v>17265830</v>
      </c>
      <c r="K156" s="13">
        <f t="shared" si="10"/>
        <v>-2212846</v>
      </c>
      <c r="L156" s="3">
        <f t="shared" si="11"/>
        <v>-0.14700381000869994</v>
      </c>
    </row>
    <row r="157" spans="1:12" x14ac:dyDescent="0.2">
      <c r="A157" s="2">
        <v>495</v>
      </c>
      <c r="B157" s="2">
        <v>1</v>
      </c>
      <c r="C157" s="2" t="s">
        <v>156</v>
      </c>
      <c r="D157" s="12">
        <v>2904393</v>
      </c>
      <c r="E157" s="12">
        <v>3035829</v>
      </c>
      <c r="F157" s="12">
        <f t="shared" si="8"/>
        <v>-131436</v>
      </c>
      <c r="G157" s="3">
        <f t="shared" si="9"/>
        <v>-4.5254206300593618E-2</v>
      </c>
      <c r="I157" s="12">
        <v>3259700</v>
      </c>
      <c r="J157" s="12">
        <v>3407215</v>
      </c>
      <c r="K157" s="13">
        <f t="shared" si="10"/>
        <v>-147515</v>
      </c>
      <c r="L157" s="3">
        <f t="shared" si="11"/>
        <v>-4.525416449366506E-2</v>
      </c>
    </row>
    <row r="158" spans="1:12" x14ac:dyDescent="0.2">
      <c r="A158" s="2">
        <v>497</v>
      </c>
      <c r="B158" s="2">
        <v>1</v>
      </c>
      <c r="C158" s="2" t="s">
        <v>157</v>
      </c>
      <c r="D158" s="12">
        <v>1617752</v>
      </c>
      <c r="E158" s="12">
        <v>1703969</v>
      </c>
      <c r="F158" s="12">
        <f t="shared" si="8"/>
        <v>-86217</v>
      </c>
      <c r="G158" s="3">
        <f t="shared" si="9"/>
        <v>-5.3294324470005289E-2</v>
      </c>
      <c r="I158" s="12">
        <v>1803864</v>
      </c>
      <c r="J158" s="12">
        <v>1900186</v>
      </c>
      <c r="K158" s="13">
        <f t="shared" si="10"/>
        <v>-96322</v>
      </c>
      <c r="L158" s="3">
        <f t="shared" si="11"/>
        <v>-5.3397595384130955E-2</v>
      </c>
    </row>
    <row r="159" spans="1:12" x14ac:dyDescent="0.2">
      <c r="A159" s="2">
        <v>499</v>
      </c>
      <c r="B159" s="2">
        <v>1</v>
      </c>
      <c r="C159" s="2" t="s">
        <v>158</v>
      </c>
      <c r="D159" s="12">
        <v>3120851</v>
      </c>
      <c r="E159" s="12">
        <v>3268184</v>
      </c>
      <c r="F159" s="12">
        <f t="shared" si="8"/>
        <v>-147333</v>
      </c>
      <c r="G159" s="3">
        <f t="shared" si="9"/>
        <v>-4.7209238762119694E-2</v>
      </c>
      <c r="I159" s="12">
        <v>3467696</v>
      </c>
      <c r="J159" s="12">
        <v>3631616</v>
      </c>
      <c r="K159" s="13">
        <f t="shared" si="10"/>
        <v>-163920</v>
      </c>
      <c r="L159" s="3">
        <f t="shared" si="11"/>
        <v>-4.72705796586552E-2</v>
      </c>
    </row>
    <row r="160" spans="1:12" x14ac:dyDescent="0.2">
      <c r="A160" s="2">
        <v>500</v>
      </c>
      <c r="B160" s="2">
        <v>1</v>
      </c>
      <c r="C160" s="2" t="s">
        <v>159</v>
      </c>
      <c r="D160" s="12">
        <v>5606086</v>
      </c>
      <c r="E160" s="12">
        <v>5839502</v>
      </c>
      <c r="F160" s="12">
        <f t="shared" si="8"/>
        <v>-233416</v>
      </c>
      <c r="G160" s="3">
        <f t="shared" si="9"/>
        <v>-4.1636178966929865E-2</v>
      </c>
      <c r="I160" s="12">
        <v>6556825</v>
      </c>
      <c r="J160" s="12">
        <v>6829827</v>
      </c>
      <c r="K160" s="13">
        <f t="shared" si="10"/>
        <v>-273002</v>
      </c>
      <c r="L160" s="3">
        <f t="shared" si="11"/>
        <v>-4.163631025686975E-2</v>
      </c>
    </row>
    <row r="161" spans="1:12" x14ac:dyDescent="0.2">
      <c r="A161" s="2">
        <v>505</v>
      </c>
      <c r="B161" s="2">
        <v>1</v>
      </c>
      <c r="C161" s="2" t="s">
        <v>160</v>
      </c>
      <c r="D161" s="12">
        <v>4588178</v>
      </c>
      <c r="E161" s="12">
        <v>4755038</v>
      </c>
      <c r="F161" s="12">
        <f t="shared" si="8"/>
        <v>-166860</v>
      </c>
      <c r="G161" s="3">
        <f t="shared" si="9"/>
        <v>-3.6367377202889691E-2</v>
      </c>
      <c r="I161" s="12">
        <v>4933386</v>
      </c>
      <c r="J161" s="12">
        <v>5111238</v>
      </c>
      <c r="K161" s="13">
        <f t="shared" si="10"/>
        <v>-177852</v>
      </c>
      <c r="L161" s="3">
        <f t="shared" si="11"/>
        <v>-3.6050696215540405E-2</v>
      </c>
    </row>
    <row r="162" spans="1:12" x14ac:dyDescent="0.2">
      <c r="A162" s="2">
        <v>507</v>
      </c>
      <c r="B162" s="2">
        <v>1</v>
      </c>
      <c r="C162" s="2" t="s">
        <v>161</v>
      </c>
      <c r="D162" s="12">
        <v>3725446</v>
      </c>
      <c r="E162" s="12">
        <v>3877194</v>
      </c>
      <c r="F162" s="12">
        <f t="shared" si="8"/>
        <v>-151748</v>
      </c>
      <c r="G162" s="3">
        <f t="shared" si="9"/>
        <v>-4.0732841114862486E-2</v>
      </c>
      <c r="I162" s="12">
        <v>4111971</v>
      </c>
      <c r="J162" s="12">
        <v>4279464</v>
      </c>
      <c r="K162" s="13">
        <f t="shared" si="10"/>
        <v>-167493</v>
      </c>
      <c r="L162" s="3">
        <f t="shared" si="11"/>
        <v>-4.0733020733852453E-2</v>
      </c>
    </row>
    <row r="163" spans="1:12" x14ac:dyDescent="0.2">
      <c r="A163" s="2">
        <v>508</v>
      </c>
      <c r="B163" s="2">
        <v>1</v>
      </c>
      <c r="C163" s="2" t="s">
        <v>162</v>
      </c>
      <c r="D163" s="12">
        <v>9051390</v>
      </c>
      <c r="E163" s="12">
        <v>9756647</v>
      </c>
      <c r="F163" s="12">
        <f t="shared" si="8"/>
        <v>-705257</v>
      </c>
      <c r="G163" s="3">
        <f t="shared" si="9"/>
        <v>-7.7916982916436034E-2</v>
      </c>
      <c r="I163" s="12">
        <v>9633275</v>
      </c>
      <c r="J163" s="12">
        <v>10384406</v>
      </c>
      <c r="K163" s="13">
        <f t="shared" si="10"/>
        <v>-751131</v>
      </c>
      <c r="L163" s="3">
        <f t="shared" si="11"/>
        <v>-7.7972548276676421E-2</v>
      </c>
    </row>
    <row r="164" spans="1:12" x14ac:dyDescent="0.2">
      <c r="A164" s="2">
        <v>511</v>
      </c>
      <c r="B164" s="2">
        <v>1</v>
      </c>
      <c r="C164" s="2" t="s">
        <v>163</v>
      </c>
      <c r="D164" s="12">
        <v>4107624</v>
      </c>
      <c r="E164" s="12">
        <v>4273367</v>
      </c>
      <c r="F164" s="12">
        <f t="shared" si="8"/>
        <v>-165743</v>
      </c>
      <c r="G164" s="3">
        <f t="shared" si="9"/>
        <v>-4.0350090465923853E-2</v>
      </c>
      <c r="I164" s="12">
        <v>4610128</v>
      </c>
      <c r="J164" s="12">
        <v>4796147</v>
      </c>
      <c r="K164" s="13">
        <f t="shared" si="10"/>
        <v>-186019</v>
      </c>
      <c r="L164" s="3">
        <f t="shared" si="11"/>
        <v>-4.0350072709477915E-2</v>
      </c>
    </row>
    <row r="165" spans="1:12" x14ac:dyDescent="0.2">
      <c r="A165" s="2">
        <v>513</v>
      </c>
      <c r="B165" s="2">
        <v>1</v>
      </c>
      <c r="C165" s="2" t="s">
        <v>164</v>
      </c>
      <c r="D165" s="12">
        <v>2144475</v>
      </c>
      <c r="E165" s="12">
        <v>2211457</v>
      </c>
      <c r="F165" s="12">
        <f t="shared" si="8"/>
        <v>-66982</v>
      </c>
      <c r="G165" s="3">
        <f t="shared" si="9"/>
        <v>-3.1234684479884353E-2</v>
      </c>
      <c r="I165" s="12">
        <v>2282933</v>
      </c>
      <c r="J165" s="12">
        <v>2355110</v>
      </c>
      <c r="K165" s="13">
        <f t="shared" si="10"/>
        <v>-72177</v>
      </c>
      <c r="L165" s="3">
        <f t="shared" si="11"/>
        <v>-3.1615908132214127E-2</v>
      </c>
    </row>
    <row r="166" spans="1:12" x14ac:dyDescent="0.2">
      <c r="A166" s="2">
        <v>514</v>
      </c>
      <c r="B166" s="2">
        <v>1</v>
      </c>
      <c r="C166" s="2" t="s">
        <v>165</v>
      </c>
      <c r="D166" s="12">
        <v>1832849</v>
      </c>
      <c r="E166" s="12">
        <v>1892880</v>
      </c>
      <c r="F166" s="12">
        <f t="shared" si="8"/>
        <v>-60031</v>
      </c>
      <c r="G166" s="3">
        <f t="shared" si="9"/>
        <v>-3.2752834521556334E-2</v>
      </c>
      <c r="I166" s="12">
        <v>1981660</v>
      </c>
      <c r="J166" s="12">
        <v>2046719</v>
      </c>
      <c r="K166" s="13">
        <f t="shared" si="10"/>
        <v>-65059</v>
      </c>
      <c r="L166" s="3">
        <f t="shared" si="11"/>
        <v>-3.2830556200357276E-2</v>
      </c>
    </row>
    <row r="167" spans="1:12" x14ac:dyDescent="0.2">
      <c r="A167" s="2">
        <v>516</v>
      </c>
      <c r="B167" s="2">
        <v>1</v>
      </c>
      <c r="C167" s="2" t="s">
        <v>166</v>
      </c>
      <c r="D167" s="12">
        <v>1479081</v>
      </c>
      <c r="E167" s="12">
        <v>1527284</v>
      </c>
      <c r="F167" s="12">
        <f t="shared" si="8"/>
        <v>-48203</v>
      </c>
      <c r="G167" s="3">
        <f t="shared" si="9"/>
        <v>-3.2589831118106448E-2</v>
      </c>
      <c r="I167" s="12">
        <v>1579167</v>
      </c>
      <c r="J167" s="12">
        <v>1631522</v>
      </c>
      <c r="K167" s="13">
        <f t="shared" si="10"/>
        <v>-52355</v>
      </c>
      <c r="L167" s="3">
        <f t="shared" si="11"/>
        <v>-3.3153555007165172E-2</v>
      </c>
    </row>
    <row r="168" spans="1:12" x14ac:dyDescent="0.2">
      <c r="A168" s="2">
        <v>518</v>
      </c>
      <c r="B168" s="2">
        <v>1</v>
      </c>
      <c r="C168" s="2" t="s">
        <v>167</v>
      </c>
      <c r="D168" s="12">
        <v>11401894</v>
      </c>
      <c r="E168" s="12">
        <v>12261870</v>
      </c>
      <c r="F168" s="12">
        <f t="shared" si="8"/>
        <v>-859976</v>
      </c>
      <c r="G168" s="3">
        <f t="shared" si="9"/>
        <v>-7.5423960264847226E-2</v>
      </c>
      <c r="I168" s="12">
        <v>12570997</v>
      </c>
      <c r="J168" s="12">
        <v>13519151</v>
      </c>
      <c r="K168" s="13">
        <f t="shared" si="10"/>
        <v>-948154</v>
      </c>
      <c r="L168" s="3">
        <f t="shared" si="11"/>
        <v>-7.5423930178330323E-2</v>
      </c>
    </row>
    <row r="169" spans="1:12" x14ac:dyDescent="0.2">
      <c r="A169" s="2">
        <v>531</v>
      </c>
      <c r="B169" s="2">
        <v>1</v>
      </c>
      <c r="C169" s="2" t="s">
        <v>168</v>
      </c>
      <c r="D169" s="12">
        <v>7178270</v>
      </c>
      <c r="E169" s="12">
        <v>7593544</v>
      </c>
      <c r="F169" s="12">
        <f t="shared" si="8"/>
        <v>-415274</v>
      </c>
      <c r="G169" s="3">
        <f t="shared" si="9"/>
        <v>-5.7851543617055363E-2</v>
      </c>
      <c r="I169" s="12">
        <v>7557227</v>
      </c>
      <c r="J169" s="12">
        <v>7994393</v>
      </c>
      <c r="K169" s="13">
        <f t="shared" si="10"/>
        <v>-437166</v>
      </c>
      <c r="L169" s="3">
        <f t="shared" si="11"/>
        <v>-5.7847408844540461E-2</v>
      </c>
    </row>
    <row r="170" spans="1:12" x14ac:dyDescent="0.2">
      <c r="A170" s="2">
        <v>533</v>
      </c>
      <c r="B170" s="2">
        <v>1</v>
      </c>
      <c r="C170" s="2" t="s">
        <v>169</v>
      </c>
      <c r="D170" s="12">
        <v>3907334</v>
      </c>
      <c r="E170" s="12">
        <v>4153584</v>
      </c>
      <c r="F170" s="12">
        <f t="shared" si="8"/>
        <v>-246250</v>
      </c>
      <c r="G170" s="3">
        <f t="shared" si="9"/>
        <v>-6.3022511001107145E-2</v>
      </c>
      <c r="I170" s="12">
        <v>4036502</v>
      </c>
      <c r="J170" s="12">
        <v>4290893</v>
      </c>
      <c r="K170" s="13">
        <f t="shared" si="10"/>
        <v>-254391</v>
      </c>
      <c r="L170" s="3">
        <f t="shared" si="11"/>
        <v>-6.3022636926725176E-2</v>
      </c>
    </row>
    <row r="171" spans="1:12" x14ac:dyDescent="0.2">
      <c r="A171" s="2">
        <v>534</v>
      </c>
      <c r="B171" s="2">
        <v>1</v>
      </c>
      <c r="C171" s="2" t="s">
        <v>170</v>
      </c>
      <c r="D171" s="12">
        <v>8126633</v>
      </c>
      <c r="E171" s="12">
        <v>8631269</v>
      </c>
      <c r="F171" s="12">
        <f t="shared" si="8"/>
        <v>-504636</v>
      </c>
      <c r="G171" s="3">
        <f t="shared" si="9"/>
        <v>-6.2096565699472341E-2</v>
      </c>
      <c r="I171" s="12">
        <v>8548404</v>
      </c>
      <c r="J171" s="12">
        <v>9076429</v>
      </c>
      <c r="K171" s="13">
        <f t="shared" si="10"/>
        <v>-528025</v>
      </c>
      <c r="L171" s="3">
        <f t="shared" si="11"/>
        <v>-6.1768840125010473E-2</v>
      </c>
    </row>
    <row r="172" spans="1:12" x14ac:dyDescent="0.2">
      <c r="A172" s="2">
        <v>535</v>
      </c>
      <c r="B172" s="2">
        <v>1</v>
      </c>
      <c r="C172" s="2" t="s">
        <v>171</v>
      </c>
      <c r="D172" s="12">
        <v>114460037</v>
      </c>
      <c r="E172" s="12">
        <v>121295026</v>
      </c>
      <c r="F172" s="12">
        <f t="shared" si="8"/>
        <v>-6834989</v>
      </c>
      <c r="G172" s="3">
        <f t="shared" si="9"/>
        <v>-5.9715068937117324E-2</v>
      </c>
      <c r="I172" s="12">
        <v>119729471</v>
      </c>
      <c r="J172" s="12">
        <v>126879138</v>
      </c>
      <c r="K172" s="13">
        <f t="shared" si="10"/>
        <v>-7149667</v>
      </c>
      <c r="L172" s="3">
        <f t="shared" si="11"/>
        <v>-5.9715180734407486E-2</v>
      </c>
    </row>
    <row r="173" spans="1:12" x14ac:dyDescent="0.2">
      <c r="A173" s="2">
        <v>542</v>
      </c>
      <c r="B173" s="2">
        <v>1</v>
      </c>
      <c r="C173" s="2" t="s">
        <v>172</v>
      </c>
      <c r="D173" s="12">
        <v>12205153</v>
      </c>
      <c r="E173" s="12">
        <v>12477046</v>
      </c>
      <c r="F173" s="12">
        <f t="shared" si="8"/>
        <v>-271893</v>
      </c>
      <c r="G173" s="3">
        <f t="shared" si="9"/>
        <v>-2.2276902223183927E-2</v>
      </c>
      <c r="I173" s="12">
        <v>11919095</v>
      </c>
      <c r="J173" s="12">
        <v>12184615</v>
      </c>
      <c r="K173" s="13">
        <f t="shared" si="10"/>
        <v>-265520</v>
      </c>
      <c r="L173" s="3">
        <f t="shared" si="11"/>
        <v>-2.2276859107172146E-2</v>
      </c>
    </row>
    <row r="174" spans="1:12" x14ac:dyDescent="0.2">
      <c r="A174" s="2">
        <v>544</v>
      </c>
      <c r="B174" s="2">
        <v>1</v>
      </c>
      <c r="C174" s="2" t="s">
        <v>173</v>
      </c>
      <c r="D174" s="12">
        <v>16272633</v>
      </c>
      <c r="E174" s="12">
        <v>17581909</v>
      </c>
      <c r="F174" s="12">
        <f t="shared" si="8"/>
        <v>-1309276</v>
      </c>
      <c r="G174" s="3">
        <f t="shared" si="9"/>
        <v>-8.0458767797442488E-2</v>
      </c>
      <c r="I174" s="12">
        <v>17165235</v>
      </c>
      <c r="J174" s="12">
        <v>18546328</v>
      </c>
      <c r="K174" s="13">
        <f t="shared" si="10"/>
        <v>-1381093</v>
      </c>
      <c r="L174" s="3">
        <f t="shared" si="11"/>
        <v>-8.0458729519287092E-2</v>
      </c>
    </row>
    <row r="175" spans="1:12" x14ac:dyDescent="0.2">
      <c r="A175" s="2">
        <v>545</v>
      </c>
      <c r="B175" s="2">
        <v>1</v>
      </c>
      <c r="C175" s="2" t="s">
        <v>174</v>
      </c>
      <c r="D175" s="12">
        <v>4541627</v>
      </c>
      <c r="E175" s="12">
        <v>4756837</v>
      </c>
      <c r="F175" s="12">
        <f t="shared" si="8"/>
        <v>-215210</v>
      </c>
      <c r="G175" s="3">
        <f t="shared" si="9"/>
        <v>-4.7386101941000437E-2</v>
      </c>
      <c r="I175" s="12">
        <v>4639047</v>
      </c>
      <c r="J175" s="12">
        <v>4858873</v>
      </c>
      <c r="K175" s="13">
        <f t="shared" si="10"/>
        <v>-219826</v>
      </c>
      <c r="L175" s="3">
        <f t="shared" si="11"/>
        <v>-4.738602562121056E-2</v>
      </c>
    </row>
    <row r="176" spans="1:12" x14ac:dyDescent="0.2">
      <c r="A176" s="2">
        <v>547</v>
      </c>
      <c r="B176" s="2">
        <v>1</v>
      </c>
      <c r="C176" s="2" t="s">
        <v>175</v>
      </c>
      <c r="D176" s="12">
        <v>3813076</v>
      </c>
      <c r="E176" s="12">
        <v>4041198</v>
      </c>
      <c r="F176" s="12">
        <f t="shared" si="8"/>
        <v>-228122</v>
      </c>
      <c r="G176" s="3">
        <f t="shared" si="9"/>
        <v>-5.9826240022491026E-2</v>
      </c>
      <c r="I176" s="12">
        <v>3770081</v>
      </c>
      <c r="J176" s="12">
        <v>3995671</v>
      </c>
      <c r="K176" s="13">
        <f t="shared" si="10"/>
        <v>-225590</v>
      </c>
      <c r="L176" s="3">
        <f t="shared" si="11"/>
        <v>-5.9836910665845108E-2</v>
      </c>
    </row>
    <row r="177" spans="1:12" x14ac:dyDescent="0.2">
      <c r="A177" s="2">
        <v>548</v>
      </c>
      <c r="B177" s="2">
        <v>1</v>
      </c>
      <c r="C177" s="2" t="s">
        <v>176</v>
      </c>
      <c r="D177" s="12">
        <v>15665880</v>
      </c>
      <c r="E177" s="12">
        <v>16112590</v>
      </c>
      <c r="F177" s="12">
        <f t="shared" si="8"/>
        <v>-446710</v>
      </c>
      <c r="G177" s="3">
        <f t="shared" si="9"/>
        <v>-2.8514836064108751E-2</v>
      </c>
      <c r="I177" s="12">
        <v>16653843</v>
      </c>
      <c r="J177" s="12">
        <v>17129271</v>
      </c>
      <c r="K177" s="13">
        <f t="shared" si="10"/>
        <v>-475428</v>
      </c>
      <c r="L177" s="3">
        <f t="shared" si="11"/>
        <v>-2.8547645129115243E-2</v>
      </c>
    </row>
    <row r="178" spans="1:12" x14ac:dyDescent="0.2">
      <c r="A178" s="2">
        <v>549</v>
      </c>
      <c r="B178" s="2">
        <v>1</v>
      </c>
      <c r="C178" s="2" t="s">
        <v>177</v>
      </c>
      <c r="D178" s="12">
        <v>17601427</v>
      </c>
      <c r="E178" s="12">
        <v>18332513</v>
      </c>
      <c r="F178" s="12">
        <f t="shared" si="8"/>
        <v>-731086</v>
      </c>
      <c r="G178" s="3">
        <f t="shared" si="9"/>
        <v>-4.1535609584381995E-2</v>
      </c>
      <c r="I178" s="12">
        <v>17924260</v>
      </c>
      <c r="J178" s="12">
        <v>18668776</v>
      </c>
      <c r="K178" s="13">
        <f t="shared" si="10"/>
        <v>-744516</v>
      </c>
      <c r="L178" s="3">
        <f t="shared" si="11"/>
        <v>-4.1536777529448912E-2</v>
      </c>
    </row>
    <row r="179" spans="1:12" x14ac:dyDescent="0.2">
      <c r="A179" s="2">
        <v>550</v>
      </c>
      <c r="B179" s="2">
        <v>1</v>
      </c>
      <c r="C179" s="2" t="s">
        <v>178</v>
      </c>
      <c r="D179" s="12">
        <v>3028055</v>
      </c>
      <c r="E179" s="12">
        <v>3191105</v>
      </c>
      <c r="F179" s="12">
        <f t="shared" si="8"/>
        <v>-163050</v>
      </c>
      <c r="G179" s="3">
        <f t="shared" si="9"/>
        <v>-5.3846445985954679E-2</v>
      </c>
      <c r="I179" s="12">
        <v>3118492</v>
      </c>
      <c r="J179" s="12">
        <v>3286411</v>
      </c>
      <c r="K179" s="13">
        <f t="shared" si="10"/>
        <v>-167919</v>
      </c>
      <c r="L179" s="3">
        <f t="shared" si="11"/>
        <v>-5.3846217979715838E-2</v>
      </c>
    </row>
    <row r="180" spans="1:12" x14ac:dyDescent="0.2">
      <c r="A180" s="2">
        <v>553</v>
      </c>
      <c r="B180" s="2">
        <v>1</v>
      </c>
      <c r="C180" s="2" t="s">
        <v>179</v>
      </c>
      <c r="D180" s="12">
        <v>2922059</v>
      </c>
      <c r="E180" s="12">
        <v>3180914</v>
      </c>
      <c r="F180" s="12">
        <f t="shared" si="8"/>
        <v>-258855</v>
      </c>
      <c r="G180" s="3">
        <f t="shared" si="9"/>
        <v>-8.8586506980180751E-2</v>
      </c>
      <c r="I180" s="12">
        <v>2833244</v>
      </c>
      <c r="J180" s="12">
        <v>3084362</v>
      </c>
      <c r="K180" s="13">
        <f t="shared" si="10"/>
        <v>-251118</v>
      </c>
      <c r="L180" s="3">
        <f t="shared" si="11"/>
        <v>-8.8632676889106615E-2</v>
      </c>
    </row>
    <row r="181" spans="1:12" x14ac:dyDescent="0.2">
      <c r="A181" s="2">
        <v>561</v>
      </c>
      <c r="B181" s="2">
        <v>1</v>
      </c>
      <c r="C181" s="2" t="s">
        <v>180</v>
      </c>
      <c r="D181" s="12">
        <v>899918</v>
      </c>
      <c r="E181" s="12">
        <v>977391</v>
      </c>
      <c r="F181" s="12">
        <f t="shared" si="8"/>
        <v>-77473</v>
      </c>
      <c r="G181" s="3">
        <f t="shared" si="9"/>
        <v>-8.6088954771434731E-2</v>
      </c>
      <c r="I181" s="12">
        <v>1005367</v>
      </c>
      <c r="J181" s="12">
        <v>1091495</v>
      </c>
      <c r="K181" s="13">
        <f t="shared" si="10"/>
        <v>-86128</v>
      </c>
      <c r="L181" s="3">
        <f t="shared" si="11"/>
        <v>-8.5668218670395979E-2</v>
      </c>
    </row>
    <row r="182" spans="1:12" x14ac:dyDescent="0.2">
      <c r="A182" s="2">
        <v>564</v>
      </c>
      <c r="B182" s="2">
        <v>1</v>
      </c>
      <c r="C182" s="2" t="s">
        <v>181</v>
      </c>
      <c r="D182" s="12">
        <v>7878575</v>
      </c>
      <c r="E182" s="12">
        <v>8794163</v>
      </c>
      <c r="F182" s="12">
        <f t="shared" si="8"/>
        <v>-915588</v>
      </c>
      <c r="G182" s="3">
        <f t="shared" si="9"/>
        <v>-0.11621238612312505</v>
      </c>
      <c r="I182" s="12">
        <v>8650692</v>
      </c>
      <c r="J182" s="12">
        <v>9655760</v>
      </c>
      <c r="K182" s="13">
        <f t="shared" si="10"/>
        <v>-1005068</v>
      </c>
      <c r="L182" s="3">
        <f t="shared" si="11"/>
        <v>-0.11618353768692724</v>
      </c>
    </row>
    <row r="183" spans="1:12" x14ac:dyDescent="0.2">
      <c r="A183" s="2">
        <v>577</v>
      </c>
      <c r="B183" s="2">
        <v>1</v>
      </c>
      <c r="C183" s="2" t="s">
        <v>182</v>
      </c>
      <c r="D183" s="12">
        <v>3622312</v>
      </c>
      <c r="E183" s="12">
        <v>3872529</v>
      </c>
      <c r="F183" s="12">
        <f t="shared" si="8"/>
        <v>-250217</v>
      </c>
      <c r="G183" s="3">
        <f t="shared" si="9"/>
        <v>-6.9076600800814514E-2</v>
      </c>
      <c r="I183" s="12">
        <v>3567044</v>
      </c>
      <c r="J183" s="12">
        <v>3813424</v>
      </c>
      <c r="K183" s="13">
        <f t="shared" si="10"/>
        <v>-246380</v>
      </c>
      <c r="L183" s="3">
        <f t="shared" si="11"/>
        <v>-6.9071197327535069E-2</v>
      </c>
    </row>
    <row r="184" spans="1:12" x14ac:dyDescent="0.2">
      <c r="A184" s="2">
        <v>578</v>
      </c>
      <c r="B184" s="2">
        <v>1</v>
      </c>
      <c r="C184" s="2" t="s">
        <v>183</v>
      </c>
      <c r="D184" s="12">
        <v>9489717</v>
      </c>
      <c r="E184" s="12">
        <v>10230698</v>
      </c>
      <c r="F184" s="12">
        <f t="shared" si="8"/>
        <v>-740981</v>
      </c>
      <c r="G184" s="3">
        <f t="shared" si="9"/>
        <v>-7.8082518161500497E-2</v>
      </c>
      <c r="I184" s="12">
        <v>9107294</v>
      </c>
      <c r="J184" s="12">
        <v>9818413</v>
      </c>
      <c r="K184" s="13">
        <f t="shared" si="10"/>
        <v>-711119</v>
      </c>
      <c r="L184" s="3">
        <f t="shared" si="11"/>
        <v>-7.8082359041006036E-2</v>
      </c>
    </row>
    <row r="185" spans="1:12" x14ac:dyDescent="0.2">
      <c r="A185" s="2">
        <v>581</v>
      </c>
      <c r="B185" s="2">
        <v>1</v>
      </c>
      <c r="C185" s="2" t="s">
        <v>184</v>
      </c>
      <c r="D185" s="12">
        <v>2812530</v>
      </c>
      <c r="E185" s="12">
        <v>2986279</v>
      </c>
      <c r="F185" s="12">
        <f t="shared" si="8"/>
        <v>-173749</v>
      </c>
      <c r="G185" s="3">
        <f t="shared" si="9"/>
        <v>-6.1776763270080672E-2</v>
      </c>
      <c r="I185" s="12">
        <v>3072582</v>
      </c>
      <c r="J185" s="12">
        <v>3262512</v>
      </c>
      <c r="K185" s="13">
        <f t="shared" si="10"/>
        <v>-189930</v>
      </c>
      <c r="L185" s="3">
        <f t="shared" si="11"/>
        <v>-6.1814460932206203E-2</v>
      </c>
    </row>
    <row r="186" spans="1:12" x14ac:dyDescent="0.2">
      <c r="A186" s="2">
        <v>592</v>
      </c>
      <c r="B186" s="2">
        <v>1</v>
      </c>
      <c r="C186" s="2" t="s">
        <v>185</v>
      </c>
      <c r="D186" s="12">
        <v>1538808</v>
      </c>
      <c r="E186" s="12">
        <v>1592328</v>
      </c>
      <c r="F186" s="12">
        <f t="shared" si="8"/>
        <v>-53520</v>
      </c>
      <c r="G186" s="3">
        <f t="shared" si="9"/>
        <v>-3.4780167506277583E-2</v>
      </c>
      <c r="I186" s="12">
        <v>1740494</v>
      </c>
      <c r="J186" s="12">
        <v>1770003</v>
      </c>
      <c r="K186" s="13">
        <f t="shared" si="10"/>
        <v>-29509</v>
      </c>
      <c r="L186" s="3">
        <f t="shared" si="11"/>
        <v>-1.6954381916858087E-2</v>
      </c>
    </row>
    <row r="187" spans="1:12" x14ac:dyDescent="0.2">
      <c r="A187" s="2">
        <v>593</v>
      </c>
      <c r="B187" s="2">
        <v>1</v>
      </c>
      <c r="C187" s="2" t="s">
        <v>186</v>
      </c>
      <c r="D187" s="12">
        <v>6908215</v>
      </c>
      <c r="E187" s="12">
        <v>7507581</v>
      </c>
      <c r="F187" s="12">
        <f t="shared" si="8"/>
        <v>-599366</v>
      </c>
      <c r="G187" s="3">
        <f t="shared" si="9"/>
        <v>-8.6761341388477339E-2</v>
      </c>
      <c r="I187" s="12">
        <v>7233904</v>
      </c>
      <c r="J187" s="12">
        <v>7861522</v>
      </c>
      <c r="K187" s="13">
        <f t="shared" si="10"/>
        <v>-627618</v>
      </c>
      <c r="L187" s="3">
        <f t="shared" si="11"/>
        <v>-8.6760620544591133E-2</v>
      </c>
    </row>
    <row r="188" spans="1:12" x14ac:dyDescent="0.2">
      <c r="A188" s="2">
        <v>595</v>
      </c>
      <c r="B188" s="2">
        <v>1</v>
      </c>
      <c r="C188" s="2" t="s">
        <v>187</v>
      </c>
      <c r="D188" s="12">
        <v>7501817</v>
      </c>
      <c r="E188" s="12">
        <v>8134143</v>
      </c>
      <c r="F188" s="12">
        <f t="shared" si="8"/>
        <v>-632326</v>
      </c>
      <c r="G188" s="3">
        <f t="shared" si="9"/>
        <v>-8.4289712745592174E-2</v>
      </c>
      <c r="I188" s="12">
        <v>8544211</v>
      </c>
      <c r="J188" s="12">
        <v>9264400</v>
      </c>
      <c r="K188" s="13">
        <f t="shared" si="10"/>
        <v>-720189</v>
      </c>
      <c r="L188" s="3">
        <f t="shared" si="11"/>
        <v>-8.4289702115268456E-2</v>
      </c>
    </row>
    <row r="189" spans="1:12" x14ac:dyDescent="0.2">
      <c r="A189" s="2">
        <v>599</v>
      </c>
      <c r="B189" s="2">
        <v>1</v>
      </c>
      <c r="C189" s="2" t="s">
        <v>188</v>
      </c>
      <c r="D189" s="12">
        <v>3728815</v>
      </c>
      <c r="E189" s="12">
        <v>3952170</v>
      </c>
      <c r="F189" s="12">
        <f t="shared" si="8"/>
        <v>-223355</v>
      </c>
      <c r="G189" s="3">
        <f t="shared" si="9"/>
        <v>-5.9899726856923713E-2</v>
      </c>
      <c r="I189" s="12">
        <v>3979288</v>
      </c>
      <c r="J189" s="12">
        <v>4217435</v>
      </c>
      <c r="K189" s="13">
        <f t="shared" si="10"/>
        <v>-238147</v>
      </c>
      <c r="L189" s="3">
        <f t="shared" si="11"/>
        <v>-5.9846635880589694E-2</v>
      </c>
    </row>
    <row r="190" spans="1:12" x14ac:dyDescent="0.2">
      <c r="A190" s="2">
        <v>600</v>
      </c>
      <c r="B190" s="2">
        <v>1</v>
      </c>
      <c r="C190" s="2" t="s">
        <v>189</v>
      </c>
      <c r="D190" s="12">
        <v>2255297</v>
      </c>
      <c r="E190" s="12">
        <v>2330365</v>
      </c>
      <c r="F190" s="12">
        <f t="shared" si="8"/>
        <v>-75068</v>
      </c>
      <c r="G190" s="3">
        <f t="shared" si="9"/>
        <v>-3.3285194810262243E-2</v>
      </c>
      <c r="I190" s="12">
        <v>2736198</v>
      </c>
      <c r="J190" s="12">
        <v>2736198</v>
      </c>
      <c r="K190" s="13">
        <f t="shared" si="10"/>
        <v>0</v>
      </c>
      <c r="L190" s="3">
        <f t="shared" si="11"/>
        <v>0</v>
      </c>
    </row>
    <row r="191" spans="1:12" x14ac:dyDescent="0.2">
      <c r="A191" s="2">
        <v>601</v>
      </c>
      <c r="B191" s="2">
        <v>1</v>
      </c>
      <c r="C191" s="2" t="s">
        <v>190</v>
      </c>
      <c r="D191" s="12">
        <v>2762240</v>
      </c>
      <c r="E191" s="12">
        <v>3054353</v>
      </c>
      <c r="F191" s="12">
        <f t="shared" si="8"/>
        <v>-292113</v>
      </c>
      <c r="G191" s="3">
        <f t="shared" si="9"/>
        <v>-0.1057522155931418</v>
      </c>
      <c r="I191" s="12">
        <v>3028707</v>
      </c>
      <c r="J191" s="12">
        <v>3350883</v>
      </c>
      <c r="K191" s="13">
        <f t="shared" si="10"/>
        <v>-322176</v>
      </c>
      <c r="L191" s="3">
        <f t="shared" si="11"/>
        <v>-0.10637410617798289</v>
      </c>
    </row>
    <row r="192" spans="1:12" x14ac:dyDescent="0.2">
      <c r="A192" s="2">
        <v>611</v>
      </c>
      <c r="B192" s="2">
        <v>1</v>
      </c>
      <c r="C192" s="2" t="s">
        <v>191</v>
      </c>
      <c r="D192" s="12">
        <v>1110421</v>
      </c>
      <c r="E192" s="12">
        <v>1160398</v>
      </c>
      <c r="F192" s="12">
        <f t="shared" si="8"/>
        <v>-49977</v>
      </c>
      <c r="G192" s="3">
        <f t="shared" si="9"/>
        <v>-4.5007254005462793E-2</v>
      </c>
      <c r="I192" s="12">
        <v>1110236</v>
      </c>
      <c r="J192" s="12">
        <v>1159621</v>
      </c>
      <c r="K192" s="13">
        <f t="shared" si="10"/>
        <v>-49385</v>
      </c>
      <c r="L192" s="3">
        <f t="shared" si="11"/>
        <v>-4.4481533655907395E-2</v>
      </c>
    </row>
    <row r="193" spans="1:12" x14ac:dyDescent="0.2">
      <c r="A193" s="2">
        <v>621</v>
      </c>
      <c r="B193" s="2">
        <v>1</v>
      </c>
      <c r="C193" s="2" t="s">
        <v>192</v>
      </c>
      <c r="D193" s="12">
        <v>84211822</v>
      </c>
      <c r="E193" s="12">
        <v>87580888</v>
      </c>
      <c r="F193" s="12">
        <f t="shared" si="8"/>
        <v>-3369066</v>
      </c>
      <c r="G193" s="3">
        <f t="shared" si="9"/>
        <v>-4.0007043191631696E-2</v>
      </c>
      <c r="I193" s="12">
        <v>82479747</v>
      </c>
      <c r="J193" s="12">
        <v>85779518</v>
      </c>
      <c r="K193" s="13">
        <f t="shared" si="10"/>
        <v>-3299771</v>
      </c>
      <c r="L193" s="3">
        <f t="shared" si="11"/>
        <v>-4.0007045608420694E-2</v>
      </c>
    </row>
    <row r="194" spans="1:12" x14ac:dyDescent="0.2">
      <c r="A194" s="2">
        <v>622</v>
      </c>
      <c r="B194" s="2">
        <v>1</v>
      </c>
      <c r="C194" s="2" t="s">
        <v>193</v>
      </c>
      <c r="D194" s="12">
        <v>83336023</v>
      </c>
      <c r="E194" s="12">
        <v>87718536</v>
      </c>
      <c r="F194" s="12">
        <f t="shared" si="8"/>
        <v>-4382513</v>
      </c>
      <c r="G194" s="3">
        <f t="shared" si="9"/>
        <v>-5.2588458654908452E-2</v>
      </c>
      <c r="I194" s="12">
        <v>83214563</v>
      </c>
      <c r="J194" s="12">
        <v>87590683</v>
      </c>
      <c r="K194" s="13">
        <f t="shared" si="10"/>
        <v>-4376120</v>
      </c>
      <c r="L194" s="3">
        <f t="shared" si="11"/>
        <v>-5.2588391289154518E-2</v>
      </c>
    </row>
    <row r="195" spans="1:12" x14ac:dyDescent="0.2">
      <c r="A195" s="2">
        <v>623</v>
      </c>
      <c r="B195" s="2">
        <v>1</v>
      </c>
      <c r="C195" s="2" t="s">
        <v>194</v>
      </c>
      <c r="D195" s="12">
        <v>61806191</v>
      </c>
      <c r="E195" s="12">
        <v>64487517</v>
      </c>
      <c r="F195" s="12">
        <f t="shared" si="8"/>
        <v>-2681326</v>
      </c>
      <c r="G195" s="3">
        <f t="shared" si="9"/>
        <v>-4.3382806101091069E-2</v>
      </c>
      <c r="I195" s="12">
        <v>63326015</v>
      </c>
      <c r="J195" s="12">
        <v>66073276</v>
      </c>
      <c r="K195" s="13">
        <f t="shared" si="10"/>
        <v>-2747261</v>
      </c>
      <c r="L195" s="3">
        <f t="shared" si="11"/>
        <v>-4.3382818261973377E-2</v>
      </c>
    </row>
    <row r="196" spans="1:12" x14ac:dyDescent="0.2">
      <c r="A196" s="2">
        <v>624</v>
      </c>
      <c r="B196" s="2">
        <v>1</v>
      </c>
      <c r="C196" s="2" t="s">
        <v>195</v>
      </c>
      <c r="D196" s="12">
        <v>69839127</v>
      </c>
      <c r="E196" s="12">
        <v>73324082</v>
      </c>
      <c r="F196" s="12">
        <f t="shared" si="8"/>
        <v>-3484955</v>
      </c>
      <c r="G196" s="3">
        <f t="shared" si="9"/>
        <v>-4.989975032190766E-2</v>
      </c>
      <c r="I196" s="12">
        <v>69587864</v>
      </c>
      <c r="J196" s="12">
        <v>73058523</v>
      </c>
      <c r="K196" s="13">
        <f t="shared" si="10"/>
        <v>-3470659</v>
      </c>
      <c r="L196" s="3">
        <f t="shared" si="11"/>
        <v>-4.9874486735215787E-2</v>
      </c>
    </row>
    <row r="197" spans="1:12" x14ac:dyDescent="0.2">
      <c r="A197" s="2">
        <v>625</v>
      </c>
      <c r="B197" s="2">
        <v>1</v>
      </c>
      <c r="C197" s="2" t="s">
        <v>196</v>
      </c>
      <c r="D197" s="12">
        <v>241059575</v>
      </c>
      <c r="E197" s="12">
        <v>252745705</v>
      </c>
      <c r="F197" s="12">
        <f t="shared" si="8"/>
        <v>-11686130</v>
      </c>
      <c r="G197" s="3">
        <f t="shared" si="9"/>
        <v>-4.84781822086926E-2</v>
      </c>
      <c r="I197" s="12">
        <v>241542660</v>
      </c>
      <c r="J197" s="12">
        <v>253252209</v>
      </c>
      <c r="K197" s="13">
        <f t="shared" si="10"/>
        <v>-11709549</v>
      </c>
      <c r="L197" s="3">
        <f t="shared" si="11"/>
        <v>-4.8478181866507555E-2</v>
      </c>
    </row>
    <row r="198" spans="1:12" x14ac:dyDescent="0.2">
      <c r="A198" s="2">
        <v>627</v>
      </c>
      <c r="B198" s="2">
        <v>1</v>
      </c>
      <c r="C198" s="2" t="s">
        <v>197</v>
      </c>
      <c r="D198" s="12">
        <v>1592178</v>
      </c>
      <c r="E198" s="12">
        <v>1689487</v>
      </c>
      <c r="F198" s="12">
        <f t="shared" si="8"/>
        <v>-97309</v>
      </c>
      <c r="G198" s="3">
        <f t="shared" si="9"/>
        <v>-6.111691029520569E-2</v>
      </c>
      <c r="I198" s="12">
        <v>1808525</v>
      </c>
      <c r="J198" s="12">
        <v>1919795</v>
      </c>
      <c r="K198" s="13">
        <f t="shared" si="10"/>
        <v>-111270</v>
      </c>
      <c r="L198" s="3">
        <f t="shared" si="11"/>
        <v>-6.1525276122807261E-2</v>
      </c>
    </row>
    <row r="199" spans="1:12" x14ac:dyDescent="0.2">
      <c r="A199" s="2">
        <v>628</v>
      </c>
      <c r="B199" s="2">
        <v>1</v>
      </c>
      <c r="C199" s="2" t="s">
        <v>198</v>
      </c>
      <c r="D199" s="12">
        <v>1639894</v>
      </c>
      <c r="E199" s="12">
        <v>1699178</v>
      </c>
      <c r="F199" s="12">
        <f t="shared" si="8"/>
        <v>-59284</v>
      </c>
      <c r="G199" s="3">
        <f t="shared" si="9"/>
        <v>-3.6151117084396917E-2</v>
      </c>
      <c r="I199" s="12">
        <v>1329729</v>
      </c>
      <c r="J199" s="12">
        <v>1353621</v>
      </c>
      <c r="K199" s="13">
        <f t="shared" si="10"/>
        <v>-23892</v>
      </c>
      <c r="L199" s="3">
        <f t="shared" si="11"/>
        <v>-1.7967570835862045E-2</v>
      </c>
    </row>
    <row r="200" spans="1:12" x14ac:dyDescent="0.2">
      <c r="A200" s="2">
        <v>630</v>
      </c>
      <c r="B200" s="2">
        <v>1</v>
      </c>
      <c r="C200" s="2" t="s">
        <v>199</v>
      </c>
      <c r="D200" s="12">
        <v>1166462</v>
      </c>
      <c r="E200" s="12">
        <v>1341494</v>
      </c>
      <c r="F200" s="12">
        <f t="shared" si="8"/>
        <v>-175032</v>
      </c>
      <c r="G200" s="3">
        <f t="shared" si="9"/>
        <v>-0.15005375228682974</v>
      </c>
      <c r="I200" s="12">
        <v>1412410</v>
      </c>
      <c r="J200" s="12">
        <v>1624842</v>
      </c>
      <c r="K200" s="13">
        <f t="shared" si="10"/>
        <v>-212432</v>
      </c>
      <c r="L200" s="3">
        <f t="shared" si="11"/>
        <v>-0.15040391954177612</v>
      </c>
    </row>
    <row r="201" spans="1:12" x14ac:dyDescent="0.2">
      <c r="A201" s="2">
        <v>635</v>
      </c>
      <c r="B201" s="2">
        <v>1</v>
      </c>
      <c r="C201" s="2" t="s">
        <v>200</v>
      </c>
      <c r="D201" s="12">
        <v>1900229</v>
      </c>
      <c r="E201" s="12">
        <v>1945740</v>
      </c>
      <c r="F201" s="12">
        <f t="shared" si="8"/>
        <v>-45511</v>
      </c>
      <c r="G201" s="3">
        <f t="shared" si="9"/>
        <v>-2.3950271256780103E-2</v>
      </c>
      <c r="I201" s="12">
        <v>2024062</v>
      </c>
      <c r="J201" s="12">
        <v>2072316</v>
      </c>
      <c r="K201" s="13">
        <f t="shared" si="10"/>
        <v>-48254</v>
      </c>
      <c r="L201" s="3">
        <f t="shared" si="11"/>
        <v>-2.3840178808751906E-2</v>
      </c>
    </row>
    <row r="202" spans="1:12" x14ac:dyDescent="0.2">
      <c r="A202" s="2">
        <v>640</v>
      </c>
      <c r="B202" s="2">
        <v>1</v>
      </c>
      <c r="C202" s="2" t="s">
        <v>201</v>
      </c>
      <c r="D202" s="12">
        <v>4535791</v>
      </c>
      <c r="E202" s="12">
        <v>4690213</v>
      </c>
      <c r="F202" s="12">
        <f t="shared" si="8"/>
        <v>-154422</v>
      </c>
      <c r="G202" s="3">
        <f t="shared" si="9"/>
        <v>-3.4045219455658339E-2</v>
      </c>
      <c r="I202" s="12">
        <v>5113631</v>
      </c>
      <c r="J202" s="12">
        <v>5287726</v>
      </c>
      <c r="K202" s="13">
        <f t="shared" si="10"/>
        <v>-174095</v>
      </c>
      <c r="L202" s="3">
        <f t="shared" si="11"/>
        <v>-3.4045280154160515E-2</v>
      </c>
    </row>
    <row r="203" spans="1:12" x14ac:dyDescent="0.2">
      <c r="A203" s="2">
        <v>656</v>
      </c>
      <c r="B203" s="2">
        <v>1</v>
      </c>
      <c r="C203" s="2" t="s">
        <v>202</v>
      </c>
      <c r="D203" s="12">
        <v>26274191</v>
      </c>
      <c r="E203" s="12">
        <v>27893019</v>
      </c>
      <c r="F203" s="12">
        <f t="shared" si="8"/>
        <v>-1618828</v>
      </c>
      <c r="G203" s="3">
        <f t="shared" si="9"/>
        <v>-6.1612858032431904E-2</v>
      </c>
      <c r="I203" s="12">
        <v>25683824</v>
      </c>
      <c r="J203" s="12">
        <v>27266256</v>
      </c>
      <c r="K203" s="13">
        <f t="shared" si="10"/>
        <v>-1582432</v>
      </c>
      <c r="L203" s="3">
        <f t="shared" si="11"/>
        <v>-6.1612009177449585E-2</v>
      </c>
    </row>
    <row r="204" spans="1:12" x14ac:dyDescent="0.2">
      <c r="A204" s="2">
        <v>659</v>
      </c>
      <c r="B204" s="2">
        <v>1</v>
      </c>
      <c r="C204" s="2" t="s">
        <v>203</v>
      </c>
      <c r="D204" s="12">
        <v>24502591</v>
      </c>
      <c r="E204" s="12">
        <v>25687654</v>
      </c>
      <c r="F204" s="12">
        <f t="shared" ref="F204:F267" si="12">D204-E204</f>
        <v>-1185063</v>
      </c>
      <c r="G204" s="3">
        <f t="shared" ref="G204:G267" si="13">(D204-E204)/D204</f>
        <v>-4.8364803542613105E-2</v>
      </c>
      <c r="I204" s="12">
        <v>24080506</v>
      </c>
      <c r="J204" s="12">
        <v>25246150</v>
      </c>
      <c r="K204" s="13">
        <f t="shared" ref="K204:K267" si="14">I204-J204</f>
        <v>-1165644</v>
      </c>
      <c r="L204" s="3">
        <f t="shared" ref="L204:L267" si="15">(I204-J204)/I204</f>
        <v>-4.8406125685232691E-2</v>
      </c>
    </row>
    <row r="205" spans="1:12" x14ac:dyDescent="0.2">
      <c r="A205" s="2">
        <v>671</v>
      </c>
      <c r="B205" s="2">
        <v>1</v>
      </c>
      <c r="C205" s="2" t="s">
        <v>204</v>
      </c>
      <c r="D205" s="12">
        <v>3773474</v>
      </c>
      <c r="E205" s="12">
        <v>3913188</v>
      </c>
      <c r="F205" s="12">
        <f t="shared" si="12"/>
        <v>-139714</v>
      </c>
      <c r="G205" s="3">
        <f t="shared" si="13"/>
        <v>-3.702529817351332E-2</v>
      </c>
      <c r="I205" s="12">
        <v>3914392</v>
      </c>
      <c r="J205" s="12">
        <v>4059324</v>
      </c>
      <c r="K205" s="13">
        <f t="shared" si="14"/>
        <v>-144932</v>
      </c>
      <c r="L205" s="3">
        <f t="shared" si="15"/>
        <v>-3.7025417995949307E-2</v>
      </c>
    </row>
    <row r="206" spans="1:12" x14ac:dyDescent="0.2">
      <c r="A206" s="2">
        <v>676</v>
      </c>
      <c r="B206" s="2">
        <v>1</v>
      </c>
      <c r="C206" s="2" t="s">
        <v>205</v>
      </c>
      <c r="D206" s="12">
        <v>690076</v>
      </c>
      <c r="E206" s="12">
        <v>789646</v>
      </c>
      <c r="F206" s="12">
        <f t="shared" si="12"/>
        <v>-99570</v>
      </c>
      <c r="G206" s="3">
        <f t="shared" si="13"/>
        <v>-0.14428845518464634</v>
      </c>
      <c r="I206" s="12">
        <v>678541</v>
      </c>
      <c r="J206" s="12">
        <v>776446</v>
      </c>
      <c r="K206" s="13">
        <f t="shared" si="14"/>
        <v>-97905</v>
      </c>
      <c r="L206" s="3">
        <f t="shared" si="15"/>
        <v>-0.14428752278786397</v>
      </c>
    </row>
    <row r="207" spans="1:12" x14ac:dyDescent="0.2">
      <c r="A207" s="2">
        <v>682</v>
      </c>
      <c r="B207" s="2">
        <v>1</v>
      </c>
      <c r="C207" s="2" t="s">
        <v>206</v>
      </c>
      <c r="D207" s="12">
        <v>4132171</v>
      </c>
      <c r="E207" s="12">
        <v>4688134</v>
      </c>
      <c r="F207" s="12">
        <f t="shared" si="12"/>
        <v>-555963</v>
      </c>
      <c r="G207" s="3">
        <f t="shared" si="13"/>
        <v>-0.1345450127789968</v>
      </c>
      <c r="I207" s="12">
        <v>4251819</v>
      </c>
      <c r="J207" s="12">
        <v>4823412</v>
      </c>
      <c r="K207" s="13">
        <f t="shared" si="14"/>
        <v>-571593</v>
      </c>
      <c r="L207" s="3">
        <f t="shared" si="15"/>
        <v>-0.13443493243715218</v>
      </c>
    </row>
    <row r="208" spans="1:12" x14ac:dyDescent="0.2">
      <c r="A208" s="2">
        <v>690</v>
      </c>
      <c r="B208" s="2">
        <v>1</v>
      </c>
      <c r="C208" s="2" t="s">
        <v>207</v>
      </c>
      <c r="D208" s="12">
        <v>3594442</v>
      </c>
      <c r="E208" s="12">
        <v>4016196</v>
      </c>
      <c r="F208" s="12">
        <f t="shared" si="12"/>
        <v>-421754</v>
      </c>
      <c r="G208" s="3">
        <f t="shared" si="13"/>
        <v>-0.11733504115520574</v>
      </c>
      <c r="I208" s="12">
        <v>3647992</v>
      </c>
      <c r="J208" s="12">
        <v>4075849</v>
      </c>
      <c r="K208" s="13">
        <f t="shared" si="14"/>
        <v>-427857</v>
      </c>
      <c r="L208" s="3">
        <f t="shared" si="15"/>
        <v>-0.11728561904741019</v>
      </c>
    </row>
    <row r="209" spans="1:12" x14ac:dyDescent="0.2">
      <c r="A209" s="2">
        <v>695</v>
      </c>
      <c r="B209" s="2">
        <v>1</v>
      </c>
      <c r="C209" s="2" t="s">
        <v>208</v>
      </c>
      <c r="D209" s="12">
        <v>2028264</v>
      </c>
      <c r="E209" s="12">
        <v>2486957</v>
      </c>
      <c r="F209" s="12">
        <f t="shared" si="12"/>
        <v>-458693</v>
      </c>
      <c r="G209" s="3">
        <f t="shared" si="13"/>
        <v>-0.22615054056079484</v>
      </c>
      <c r="I209" s="12">
        <v>2204634</v>
      </c>
      <c r="J209" s="12">
        <v>2703214</v>
      </c>
      <c r="K209" s="13">
        <f t="shared" si="14"/>
        <v>-498580</v>
      </c>
      <c r="L209" s="3">
        <f t="shared" si="15"/>
        <v>-0.2261509166600896</v>
      </c>
    </row>
    <row r="210" spans="1:12" x14ac:dyDescent="0.2">
      <c r="A210" s="2">
        <v>696</v>
      </c>
      <c r="B210" s="2">
        <v>1</v>
      </c>
      <c r="C210" s="2" t="s">
        <v>209</v>
      </c>
      <c r="D210" s="12">
        <v>7514506</v>
      </c>
      <c r="E210" s="12">
        <v>7918869</v>
      </c>
      <c r="F210" s="12">
        <f t="shared" si="12"/>
        <v>-404363</v>
      </c>
      <c r="G210" s="3">
        <f t="shared" si="13"/>
        <v>-5.3810989039066573E-2</v>
      </c>
      <c r="I210" s="12">
        <v>7803225</v>
      </c>
      <c r="J210" s="12">
        <v>8223125</v>
      </c>
      <c r="K210" s="13">
        <f t="shared" si="14"/>
        <v>-419900</v>
      </c>
      <c r="L210" s="3">
        <f t="shared" si="15"/>
        <v>-5.3811084519541599E-2</v>
      </c>
    </row>
    <row r="211" spans="1:12" x14ac:dyDescent="0.2">
      <c r="A211" s="2">
        <v>698</v>
      </c>
      <c r="B211" s="2">
        <v>1</v>
      </c>
      <c r="C211" s="2" t="s">
        <v>210</v>
      </c>
      <c r="D211" s="12">
        <v>2443383</v>
      </c>
      <c r="E211" s="12">
        <v>2584176</v>
      </c>
      <c r="F211" s="12">
        <f t="shared" si="12"/>
        <v>-140793</v>
      </c>
      <c r="G211" s="3">
        <f t="shared" si="13"/>
        <v>-5.7622157475925799E-2</v>
      </c>
      <c r="I211" s="12">
        <v>2438506</v>
      </c>
      <c r="J211" s="12">
        <v>2579017</v>
      </c>
      <c r="K211" s="13">
        <f t="shared" si="14"/>
        <v>-140511</v>
      </c>
      <c r="L211" s="3">
        <f t="shared" si="15"/>
        <v>-5.7621756928217527E-2</v>
      </c>
    </row>
    <row r="212" spans="1:12" x14ac:dyDescent="0.2">
      <c r="A212" s="2">
        <v>700</v>
      </c>
      <c r="B212" s="2">
        <v>1</v>
      </c>
      <c r="C212" s="2" t="s">
        <v>211</v>
      </c>
      <c r="D212" s="12">
        <v>11821718</v>
      </c>
      <c r="E212" s="12">
        <v>12355635</v>
      </c>
      <c r="F212" s="12">
        <f t="shared" si="12"/>
        <v>-533917</v>
      </c>
      <c r="G212" s="3">
        <f t="shared" si="13"/>
        <v>-4.5164078520566975E-2</v>
      </c>
      <c r="I212" s="12">
        <v>12562930</v>
      </c>
      <c r="J212" s="12">
        <v>13130324</v>
      </c>
      <c r="K212" s="13">
        <f t="shared" si="14"/>
        <v>-567394</v>
      </c>
      <c r="L212" s="3">
        <f t="shared" si="15"/>
        <v>-4.516414562526417E-2</v>
      </c>
    </row>
    <row r="213" spans="1:12" x14ac:dyDescent="0.2">
      <c r="A213" s="2">
        <v>701</v>
      </c>
      <c r="B213" s="2">
        <v>1</v>
      </c>
      <c r="C213" s="2" t="s">
        <v>212</v>
      </c>
      <c r="D213" s="12">
        <v>9949019</v>
      </c>
      <c r="E213" s="12">
        <v>11380418</v>
      </c>
      <c r="F213" s="12">
        <f t="shared" si="12"/>
        <v>-1431399</v>
      </c>
      <c r="G213" s="3">
        <f t="shared" si="13"/>
        <v>-0.14387338088308002</v>
      </c>
      <c r="I213" s="12">
        <v>9706360</v>
      </c>
      <c r="J213" s="12">
        <v>11102847</v>
      </c>
      <c r="K213" s="13">
        <f t="shared" si="14"/>
        <v>-1396487</v>
      </c>
      <c r="L213" s="3">
        <f t="shared" si="15"/>
        <v>-0.14387339847275396</v>
      </c>
    </row>
    <row r="214" spans="1:12" x14ac:dyDescent="0.2">
      <c r="A214" s="2">
        <v>704</v>
      </c>
      <c r="B214" s="2">
        <v>1</v>
      </c>
      <c r="C214" s="2" t="s">
        <v>213</v>
      </c>
      <c r="D214" s="12">
        <v>10033358</v>
      </c>
      <c r="E214" s="12">
        <v>10877929</v>
      </c>
      <c r="F214" s="12">
        <f t="shared" si="12"/>
        <v>-844571</v>
      </c>
      <c r="G214" s="3">
        <f t="shared" si="13"/>
        <v>-8.4176304682838987E-2</v>
      </c>
      <c r="I214" s="12">
        <v>10484177</v>
      </c>
      <c r="J214" s="12">
        <v>11366697</v>
      </c>
      <c r="K214" s="13">
        <f t="shared" si="14"/>
        <v>-882520</v>
      </c>
      <c r="L214" s="3">
        <f t="shared" si="15"/>
        <v>-8.4176373596134446E-2</v>
      </c>
    </row>
    <row r="215" spans="1:12" x14ac:dyDescent="0.2">
      <c r="A215" s="2">
        <v>706</v>
      </c>
      <c r="B215" s="2">
        <v>1</v>
      </c>
      <c r="C215" s="2" t="s">
        <v>214</v>
      </c>
      <c r="D215" s="12">
        <v>5515960</v>
      </c>
      <c r="E215" s="12">
        <v>6355327</v>
      </c>
      <c r="F215" s="12">
        <f t="shared" si="12"/>
        <v>-839367</v>
      </c>
      <c r="G215" s="3">
        <f t="shared" si="13"/>
        <v>-0.15217061037425941</v>
      </c>
      <c r="I215" s="12">
        <v>5868042</v>
      </c>
      <c r="J215" s="12">
        <v>6760986</v>
      </c>
      <c r="K215" s="13">
        <f t="shared" si="14"/>
        <v>-892944</v>
      </c>
      <c r="L215" s="3">
        <f t="shared" si="15"/>
        <v>-0.15217068998483652</v>
      </c>
    </row>
    <row r="216" spans="1:12" x14ac:dyDescent="0.2">
      <c r="A216" s="2">
        <v>707</v>
      </c>
      <c r="B216" s="2">
        <v>1</v>
      </c>
      <c r="C216" s="2" t="s">
        <v>215</v>
      </c>
      <c r="D216" s="12">
        <v>127298</v>
      </c>
      <c r="E216" s="12">
        <v>127298</v>
      </c>
      <c r="F216" s="12">
        <f t="shared" si="12"/>
        <v>0</v>
      </c>
      <c r="G216" s="3">
        <f t="shared" si="13"/>
        <v>0</v>
      </c>
      <c r="I216" s="12">
        <v>134814</v>
      </c>
      <c r="J216" s="12">
        <v>134814</v>
      </c>
      <c r="K216" s="13">
        <f t="shared" si="14"/>
        <v>0</v>
      </c>
      <c r="L216" s="3">
        <f t="shared" si="15"/>
        <v>0</v>
      </c>
    </row>
    <row r="217" spans="1:12" x14ac:dyDescent="0.2">
      <c r="A217" s="2">
        <v>709</v>
      </c>
      <c r="B217" s="2">
        <v>1</v>
      </c>
      <c r="C217" s="2" t="s">
        <v>216</v>
      </c>
      <c r="D217" s="12">
        <v>66250170</v>
      </c>
      <c r="E217" s="12">
        <v>71559096</v>
      </c>
      <c r="F217" s="12">
        <f t="shared" si="12"/>
        <v>-5308926</v>
      </c>
      <c r="G217" s="3">
        <f t="shared" si="13"/>
        <v>-8.0134526447252885E-2</v>
      </c>
      <c r="I217" s="12">
        <v>69957941</v>
      </c>
      <c r="J217" s="12">
        <v>75563987</v>
      </c>
      <c r="K217" s="13">
        <f t="shared" si="14"/>
        <v>-5606046</v>
      </c>
      <c r="L217" s="3">
        <f t="shared" si="15"/>
        <v>-8.0134519682333136E-2</v>
      </c>
    </row>
    <row r="218" spans="1:12" x14ac:dyDescent="0.2">
      <c r="A218" s="2">
        <v>712</v>
      </c>
      <c r="B218" s="2">
        <v>1</v>
      </c>
      <c r="C218" s="2" t="s">
        <v>217</v>
      </c>
      <c r="D218" s="12">
        <v>3155098</v>
      </c>
      <c r="E218" s="12">
        <v>3537242</v>
      </c>
      <c r="F218" s="12">
        <f t="shared" si="12"/>
        <v>-382144</v>
      </c>
      <c r="G218" s="3">
        <f t="shared" si="13"/>
        <v>-0.12111953416343961</v>
      </c>
      <c r="I218" s="12">
        <v>3328163</v>
      </c>
      <c r="J218" s="12">
        <v>3731268</v>
      </c>
      <c r="K218" s="13">
        <f t="shared" si="14"/>
        <v>-403105</v>
      </c>
      <c r="L218" s="3">
        <f t="shared" si="15"/>
        <v>-0.12111936825209582</v>
      </c>
    </row>
    <row r="219" spans="1:12" x14ac:dyDescent="0.2">
      <c r="A219" s="2">
        <v>716</v>
      </c>
      <c r="B219" s="2">
        <v>1</v>
      </c>
      <c r="C219" s="2" t="s">
        <v>218</v>
      </c>
      <c r="D219" s="12">
        <v>10096829</v>
      </c>
      <c r="E219" s="12">
        <v>10584104</v>
      </c>
      <c r="F219" s="12">
        <f t="shared" si="12"/>
        <v>-487275</v>
      </c>
      <c r="G219" s="3">
        <f t="shared" si="13"/>
        <v>-4.8260201296862607E-2</v>
      </c>
      <c r="I219" s="12">
        <v>10188969</v>
      </c>
      <c r="J219" s="12">
        <v>10678687</v>
      </c>
      <c r="K219" s="13">
        <f t="shared" si="14"/>
        <v>-489718</v>
      </c>
      <c r="L219" s="3">
        <f t="shared" si="15"/>
        <v>-4.8063547940915316E-2</v>
      </c>
    </row>
    <row r="220" spans="1:12" x14ac:dyDescent="0.2">
      <c r="A220" s="2">
        <v>717</v>
      </c>
      <c r="B220" s="2">
        <v>1</v>
      </c>
      <c r="C220" s="2" t="s">
        <v>219</v>
      </c>
      <c r="D220" s="12">
        <v>10826256</v>
      </c>
      <c r="E220" s="12">
        <v>11165369</v>
      </c>
      <c r="F220" s="12">
        <f t="shared" si="12"/>
        <v>-339113</v>
      </c>
      <c r="G220" s="3">
        <f t="shared" si="13"/>
        <v>-3.1323201668240618E-2</v>
      </c>
      <c r="I220" s="12">
        <v>10687321</v>
      </c>
      <c r="J220" s="12">
        <v>11022082</v>
      </c>
      <c r="K220" s="13">
        <f t="shared" si="14"/>
        <v>-334761</v>
      </c>
      <c r="L220" s="3">
        <f t="shared" si="15"/>
        <v>-3.1323191284326542E-2</v>
      </c>
    </row>
    <row r="221" spans="1:12" x14ac:dyDescent="0.2">
      <c r="A221" s="2">
        <v>719</v>
      </c>
      <c r="B221" s="2">
        <v>1</v>
      </c>
      <c r="C221" s="2" t="s">
        <v>220</v>
      </c>
      <c r="D221" s="12">
        <v>47826399</v>
      </c>
      <c r="E221" s="12">
        <v>49380207</v>
      </c>
      <c r="F221" s="12">
        <f t="shared" si="12"/>
        <v>-1553808</v>
      </c>
      <c r="G221" s="3">
        <f t="shared" si="13"/>
        <v>-3.2488500754572804E-2</v>
      </c>
      <c r="I221" s="12">
        <v>48260746</v>
      </c>
      <c r="J221" s="12">
        <v>49828665</v>
      </c>
      <c r="K221" s="13">
        <f t="shared" si="14"/>
        <v>-1567919</v>
      </c>
      <c r="L221" s="3">
        <f t="shared" si="15"/>
        <v>-3.2488494893966206E-2</v>
      </c>
    </row>
    <row r="222" spans="1:12" x14ac:dyDescent="0.2">
      <c r="A222" s="2">
        <v>720</v>
      </c>
      <c r="B222" s="2">
        <v>1</v>
      </c>
      <c r="C222" s="2" t="s">
        <v>221</v>
      </c>
      <c r="D222" s="12">
        <v>46429945</v>
      </c>
      <c r="E222" s="12">
        <v>48344275</v>
      </c>
      <c r="F222" s="12">
        <f t="shared" si="12"/>
        <v>-1914330</v>
      </c>
      <c r="G222" s="3">
        <f t="shared" si="13"/>
        <v>-4.1230503288341179E-2</v>
      </c>
      <c r="I222" s="12">
        <v>46757245</v>
      </c>
      <c r="J222" s="12">
        <v>48685070</v>
      </c>
      <c r="K222" s="13">
        <f t="shared" si="14"/>
        <v>-1927825</v>
      </c>
      <c r="L222" s="3">
        <f t="shared" si="15"/>
        <v>-4.1230508769282706E-2</v>
      </c>
    </row>
    <row r="223" spans="1:12" x14ac:dyDescent="0.2">
      <c r="A223" s="2">
        <v>721</v>
      </c>
      <c r="B223" s="2">
        <v>1</v>
      </c>
      <c r="C223" s="2" t="s">
        <v>222</v>
      </c>
      <c r="D223" s="12">
        <v>20129857</v>
      </c>
      <c r="E223" s="12">
        <v>20958424</v>
      </c>
      <c r="F223" s="12">
        <f t="shared" si="12"/>
        <v>-828567</v>
      </c>
      <c r="G223" s="3">
        <f t="shared" si="13"/>
        <v>-4.116109717023822E-2</v>
      </c>
      <c r="I223" s="12">
        <v>19261032</v>
      </c>
      <c r="J223" s="12">
        <v>20050180</v>
      </c>
      <c r="K223" s="13">
        <f t="shared" si="14"/>
        <v>-789148</v>
      </c>
      <c r="L223" s="3">
        <f t="shared" si="15"/>
        <v>-4.0971221064374952E-2</v>
      </c>
    </row>
    <row r="224" spans="1:12" x14ac:dyDescent="0.2">
      <c r="A224" s="2">
        <v>726</v>
      </c>
      <c r="B224" s="2">
        <v>1</v>
      </c>
      <c r="C224" s="2" t="s">
        <v>223</v>
      </c>
      <c r="D224" s="12">
        <v>21013753</v>
      </c>
      <c r="E224" s="12">
        <v>21607607</v>
      </c>
      <c r="F224" s="12">
        <f t="shared" si="12"/>
        <v>-593854</v>
      </c>
      <c r="G224" s="3">
        <f t="shared" si="13"/>
        <v>-2.8260254129759688E-2</v>
      </c>
      <c r="I224" s="12">
        <v>19835078</v>
      </c>
      <c r="J224" s="12">
        <v>19835078</v>
      </c>
      <c r="K224" s="13">
        <f t="shared" si="14"/>
        <v>0</v>
      </c>
      <c r="L224" s="3">
        <f t="shared" si="15"/>
        <v>0</v>
      </c>
    </row>
    <row r="225" spans="1:12" x14ac:dyDescent="0.2">
      <c r="A225" s="2">
        <v>727</v>
      </c>
      <c r="B225" s="2">
        <v>1</v>
      </c>
      <c r="C225" s="2" t="s">
        <v>224</v>
      </c>
      <c r="D225" s="12">
        <v>13600829</v>
      </c>
      <c r="E225" s="12">
        <v>14608769</v>
      </c>
      <c r="F225" s="12">
        <f t="shared" si="12"/>
        <v>-1007940</v>
      </c>
      <c r="G225" s="3">
        <f t="shared" si="13"/>
        <v>-7.4108717931826065E-2</v>
      </c>
      <c r="I225" s="12">
        <v>12818877</v>
      </c>
      <c r="J225" s="12">
        <v>13768868</v>
      </c>
      <c r="K225" s="13">
        <f t="shared" si="14"/>
        <v>-949991</v>
      </c>
      <c r="L225" s="3">
        <f t="shared" si="15"/>
        <v>-7.4108753832336477E-2</v>
      </c>
    </row>
    <row r="226" spans="1:12" x14ac:dyDescent="0.2">
      <c r="A226" s="2">
        <v>728</v>
      </c>
      <c r="B226" s="2">
        <v>1</v>
      </c>
      <c r="C226" s="2" t="s">
        <v>225</v>
      </c>
      <c r="D226" s="12">
        <v>62981402</v>
      </c>
      <c r="E226" s="12">
        <v>66683249</v>
      </c>
      <c r="F226" s="12">
        <f t="shared" si="12"/>
        <v>-3701847</v>
      </c>
      <c r="G226" s="3">
        <f t="shared" si="13"/>
        <v>-5.8776827483135417E-2</v>
      </c>
      <c r="I226" s="12">
        <v>61433732</v>
      </c>
      <c r="J226" s="12">
        <v>65044772</v>
      </c>
      <c r="K226" s="13">
        <f t="shared" si="14"/>
        <v>-3611040</v>
      </c>
      <c r="L226" s="3">
        <f t="shared" si="15"/>
        <v>-5.8779434073775623E-2</v>
      </c>
    </row>
    <row r="227" spans="1:12" x14ac:dyDescent="0.2">
      <c r="A227" s="2">
        <v>738</v>
      </c>
      <c r="B227" s="2">
        <v>1</v>
      </c>
      <c r="C227" s="2" t="s">
        <v>226</v>
      </c>
      <c r="D227" s="12">
        <v>3808440</v>
      </c>
      <c r="E227" s="12">
        <v>4086565</v>
      </c>
      <c r="F227" s="12">
        <f t="shared" si="12"/>
        <v>-278125</v>
      </c>
      <c r="G227" s="3">
        <f t="shared" si="13"/>
        <v>-7.3028589133608518E-2</v>
      </c>
      <c r="I227" s="12">
        <v>3686293</v>
      </c>
      <c r="J227" s="12">
        <v>3955597</v>
      </c>
      <c r="K227" s="13">
        <f t="shared" si="14"/>
        <v>-269304</v>
      </c>
      <c r="L227" s="3">
        <f t="shared" si="15"/>
        <v>-7.3055505897116693E-2</v>
      </c>
    </row>
    <row r="228" spans="1:12" x14ac:dyDescent="0.2">
      <c r="A228" s="2">
        <v>739</v>
      </c>
      <c r="B228" s="2">
        <v>1</v>
      </c>
      <c r="C228" s="2" t="s">
        <v>227</v>
      </c>
      <c r="D228" s="12">
        <v>4992664</v>
      </c>
      <c r="E228" s="12">
        <v>5252804</v>
      </c>
      <c r="F228" s="12">
        <f t="shared" si="12"/>
        <v>-260140</v>
      </c>
      <c r="G228" s="3">
        <f t="shared" si="13"/>
        <v>-5.2104447645585604E-2</v>
      </c>
      <c r="I228" s="12">
        <v>4951372</v>
      </c>
      <c r="J228" s="12">
        <v>5209124</v>
      </c>
      <c r="K228" s="13">
        <f t="shared" si="14"/>
        <v>-257752</v>
      </c>
      <c r="L228" s="3">
        <f t="shared" si="15"/>
        <v>-5.2056682471040353E-2</v>
      </c>
    </row>
    <row r="229" spans="1:12" x14ac:dyDescent="0.2">
      <c r="A229" s="2">
        <v>740</v>
      </c>
      <c r="B229" s="2">
        <v>1</v>
      </c>
      <c r="C229" s="2" t="s">
        <v>228</v>
      </c>
      <c r="D229" s="12">
        <v>7540649</v>
      </c>
      <c r="E229" s="12">
        <v>8042632</v>
      </c>
      <c r="F229" s="12">
        <f t="shared" si="12"/>
        <v>-501983</v>
      </c>
      <c r="G229" s="3">
        <f t="shared" si="13"/>
        <v>-6.6570264707984689E-2</v>
      </c>
      <c r="I229" s="12">
        <v>7660223</v>
      </c>
      <c r="J229" s="12">
        <v>8170323</v>
      </c>
      <c r="K229" s="13">
        <f t="shared" si="14"/>
        <v>-510100</v>
      </c>
      <c r="L229" s="3">
        <f t="shared" si="15"/>
        <v>-6.6590750687023081E-2</v>
      </c>
    </row>
    <row r="230" spans="1:12" x14ac:dyDescent="0.2">
      <c r="A230" s="2">
        <v>741</v>
      </c>
      <c r="B230" s="2">
        <v>1</v>
      </c>
      <c r="C230" s="2" t="s">
        <v>229</v>
      </c>
      <c r="D230" s="12">
        <v>7110284</v>
      </c>
      <c r="E230" s="12">
        <v>7506766</v>
      </c>
      <c r="F230" s="12">
        <f t="shared" si="12"/>
        <v>-396482</v>
      </c>
      <c r="G230" s="3">
        <f t="shared" si="13"/>
        <v>-5.5761767040528903E-2</v>
      </c>
      <c r="I230" s="12">
        <v>6986259</v>
      </c>
      <c r="J230" s="12">
        <v>7374863</v>
      </c>
      <c r="K230" s="13">
        <f t="shared" si="14"/>
        <v>-388604</v>
      </c>
      <c r="L230" s="3">
        <f t="shared" si="15"/>
        <v>-5.5624047147407506E-2</v>
      </c>
    </row>
    <row r="231" spans="1:12" x14ac:dyDescent="0.2">
      <c r="A231" s="2">
        <v>742</v>
      </c>
      <c r="B231" s="2">
        <v>1</v>
      </c>
      <c r="C231" s="2" t="s">
        <v>230</v>
      </c>
      <c r="D231" s="12">
        <v>73783499</v>
      </c>
      <c r="E231" s="12">
        <v>78646939</v>
      </c>
      <c r="F231" s="12">
        <f t="shared" si="12"/>
        <v>-4863440</v>
      </c>
      <c r="G231" s="3">
        <f t="shared" si="13"/>
        <v>-6.5915008991373536E-2</v>
      </c>
      <c r="I231" s="12">
        <v>73981463</v>
      </c>
      <c r="J231" s="12">
        <v>78856447</v>
      </c>
      <c r="K231" s="13">
        <f t="shared" si="14"/>
        <v>-4874984</v>
      </c>
      <c r="L231" s="3">
        <f t="shared" si="15"/>
        <v>-6.5894668776690729E-2</v>
      </c>
    </row>
    <row r="232" spans="1:12" x14ac:dyDescent="0.2">
      <c r="A232" s="2">
        <v>743</v>
      </c>
      <c r="B232" s="2">
        <v>1</v>
      </c>
      <c r="C232" s="2" t="s">
        <v>231</v>
      </c>
      <c r="D232" s="12">
        <v>6697547</v>
      </c>
      <c r="E232" s="12">
        <v>7186205</v>
      </c>
      <c r="F232" s="12">
        <f t="shared" si="12"/>
        <v>-488658</v>
      </c>
      <c r="G232" s="3">
        <f t="shared" si="13"/>
        <v>-7.2960742194119729E-2</v>
      </c>
      <c r="I232" s="12">
        <v>7011733</v>
      </c>
      <c r="J232" s="12">
        <v>7525158</v>
      </c>
      <c r="K232" s="13">
        <f t="shared" si="14"/>
        <v>-513425</v>
      </c>
      <c r="L232" s="3">
        <f t="shared" si="15"/>
        <v>-7.3223695197749253E-2</v>
      </c>
    </row>
    <row r="233" spans="1:12" x14ac:dyDescent="0.2">
      <c r="A233" s="2">
        <v>745</v>
      </c>
      <c r="B233" s="2">
        <v>1</v>
      </c>
      <c r="C233" s="2" t="s">
        <v>232</v>
      </c>
      <c r="D233" s="12">
        <v>7254087</v>
      </c>
      <c r="E233" s="12">
        <v>7786636</v>
      </c>
      <c r="F233" s="12">
        <f t="shared" si="12"/>
        <v>-532549</v>
      </c>
      <c r="G233" s="3">
        <f t="shared" si="13"/>
        <v>-7.3413649436517653E-2</v>
      </c>
      <c r="I233" s="12">
        <v>7556340</v>
      </c>
      <c r="J233" s="12">
        <v>8111079</v>
      </c>
      <c r="K233" s="13">
        <f t="shared" si="14"/>
        <v>-554739</v>
      </c>
      <c r="L233" s="3">
        <f t="shared" si="15"/>
        <v>-7.3413716164174719E-2</v>
      </c>
    </row>
    <row r="234" spans="1:12" x14ac:dyDescent="0.2">
      <c r="A234" s="2">
        <v>748</v>
      </c>
      <c r="B234" s="2">
        <v>1</v>
      </c>
      <c r="C234" s="2" t="s">
        <v>233</v>
      </c>
      <c r="D234" s="12">
        <v>14580446</v>
      </c>
      <c r="E234" s="12">
        <v>15499481</v>
      </c>
      <c r="F234" s="12">
        <f t="shared" si="12"/>
        <v>-919035</v>
      </c>
      <c r="G234" s="3">
        <f t="shared" si="13"/>
        <v>-6.3032022477227376E-2</v>
      </c>
      <c r="I234" s="12">
        <v>14529698</v>
      </c>
      <c r="J234" s="12">
        <v>15444812</v>
      </c>
      <c r="K234" s="13">
        <f t="shared" si="14"/>
        <v>-915114</v>
      </c>
      <c r="L234" s="3">
        <f t="shared" si="15"/>
        <v>-6.2982313878788124E-2</v>
      </c>
    </row>
    <row r="235" spans="1:12" x14ac:dyDescent="0.2">
      <c r="A235" s="2">
        <v>750</v>
      </c>
      <c r="B235" s="2">
        <v>1</v>
      </c>
      <c r="C235" s="2" t="s">
        <v>234</v>
      </c>
      <c r="D235" s="12">
        <v>13038628</v>
      </c>
      <c r="E235" s="12">
        <v>13765694</v>
      </c>
      <c r="F235" s="12">
        <f t="shared" si="12"/>
        <v>-727066</v>
      </c>
      <c r="G235" s="3">
        <f t="shared" si="13"/>
        <v>-5.5762462124082382E-2</v>
      </c>
      <c r="I235" s="12">
        <v>12986681</v>
      </c>
      <c r="J235" s="12">
        <v>13710851</v>
      </c>
      <c r="K235" s="13">
        <f t="shared" si="14"/>
        <v>-724170</v>
      </c>
      <c r="L235" s="3">
        <f t="shared" si="15"/>
        <v>-5.5762515457182631E-2</v>
      </c>
    </row>
    <row r="236" spans="1:12" x14ac:dyDescent="0.2">
      <c r="A236" s="2">
        <v>756</v>
      </c>
      <c r="B236" s="2">
        <v>1</v>
      </c>
      <c r="C236" s="2" t="s">
        <v>235</v>
      </c>
      <c r="D236" s="12">
        <v>5241829</v>
      </c>
      <c r="E236" s="12">
        <v>5544472</v>
      </c>
      <c r="F236" s="12">
        <f t="shared" si="12"/>
        <v>-302643</v>
      </c>
      <c r="G236" s="3">
        <f t="shared" si="13"/>
        <v>-5.7736145150862415E-2</v>
      </c>
      <c r="I236" s="12">
        <v>5981236</v>
      </c>
      <c r="J236" s="12">
        <v>6322380</v>
      </c>
      <c r="K236" s="13">
        <f t="shared" si="14"/>
        <v>-341144</v>
      </c>
      <c r="L236" s="3">
        <f t="shared" si="15"/>
        <v>-5.7035702988479306E-2</v>
      </c>
    </row>
    <row r="237" spans="1:12" x14ac:dyDescent="0.2">
      <c r="A237" s="2">
        <v>761</v>
      </c>
      <c r="B237" s="2">
        <v>1</v>
      </c>
      <c r="C237" s="2" t="s">
        <v>236</v>
      </c>
      <c r="D237" s="12">
        <v>24033087</v>
      </c>
      <c r="E237" s="12">
        <v>25983282</v>
      </c>
      <c r="F237" s="12">
        <f t="shared" si="12"/>
        <v>-1950195</v>
      </c>
      <c r="G237" s="3">
        <f t="shared" si="13"/>
        <v>-8.1146254744552795E-2</v>
      </c>
      <c r="I237" s="12">
        <v>25166432</v>
      </c>
      <c r="J237" s="12">
        <v>27208570</v>
      </c>
      <c r="K237" s="13">
        <f t="shared" si="14"/>
        <v>-2042138</v>
      </c>
      <c r="L237" s="3">
        <f t="shared" si="15"/>
        <v>-8.1145312931129851E-2</v>
      </c>
    </row>
    <row r="238" spans="1:12" x14ac:dyDescent="0.2">
      <c r="A238" s="2">
        <v>763</v>
      </c>
      <c r="B238" s="2">
        <v>1</v>
      </c>
      <c r="C238" s="2" t="s">
        <v>237</v>
      </c>
      <c r="D238" s="12">
        <v>3341911</v>
      </c>
      <c r="E238" s="12">
        <v>3505643</v>
      </c>
      <c r="F238" s="12">
        <f t="shared" si="12"/>
        <v>-163732</v>
      </c>
      <c r="G238" s="3">
        <f t="shared" si="13"/>
        <v>-4.8993524962214735E-2</v>
      </c>
      <c r="I238" s="12">
        <v>3429730</v>
      </c>
      <c r="J238" s="12">
        <v>3599640</v>
      </c>
      <c r="K238" s="13">
        <f t="shared" si="14"/>
        <v>-169910</v>
      </c>
      <c r="L238" s="3">
        <f t="shared" si="15"/>
        <v>-4.9540342825820108E-2</v>
      </c>
    </row>
    <row r="239" spans="1:12" x14ac:dyDescent="0.2">
      <c r="A239" s="2">
        <v>768</v>
      </c>
      <c r="B239" s="2">
        <v>1</v>
      </c>
      <c r="C239" s="2" t="s">
        <v>238</v>
      </c>
      <c r="D239" s="12">
        <v>1867304</v>
      </c>
      <c r="E239" s="12">
        <v>1942593</v>
      </c>
      <c r="F239" s="12">
        <f t="shared" si="12"/>
        <v>-75289</v>
      </c>
      <c r="G239" s="3">
        <f t="shared" si="13"/>
        <v>-4.031962658463753E-2</v>
      </c>
      <c r="I239" s="12">
        <v>1962291</v>
      </c>
      <c r="J239" s="12">
        <v>2041536</v>
      </c>
      <c r="K239" s="13">
        <f t="shared" si="14"/>
        <v>-79245</v>
      </c>
      <c r="L239" s="3">
        <f t="shared" si="15"/>
        <v>-4.0383918593113868E-2</v>
      </c>
    </row>
    <row r="240" spans="1:12" x14ac:dyDescent="0.2">
      <c r="A240" s="2">
        <v>769</v>
      </c>
      <c r="B240" s="2">
        <v>1</v>
      </c>
      <c r="C240" s="2" t="s">
        <v>239</v>
      </c>
      <c r="D240" s="12">
        <v>5691213</v>
      </c>
      <c r="E240" s="12">
        <v>6087494</v>
      </c>
      <c r="F240" s="12">
        <f t="shared" si="12"/>
        <v>-396281</v>
      </c>
      <c r="G240" s="3">
        <f t="shared" si="13"/>
        <v>-6.9630323096324109E-2</v>
      </c>
      <c r="I240" s="12">
        <v>6067494</v>
      </c>
      <c r="J240" s="12">
        <v>6489969</v>
      </c>
      <c r="K240" s="13">
        <f t="shared" si="14"/>
        <v>-422475</v>
      </c>
      <c r="L240" s="3">
        <f t="shared" si="15"/>
        <v>-6.9629240671684231E-2</v>
      </c>
    </row>
    <row r="241" spans="1:12" x14ac:dyDescent="0.2">
      <c r="A241" s="2">
        <v>771</v>
      </c>
      <c r="B241" s="2">
        <v>1</v>
      </c>
      <c r="C241" s="2" t="s">
        <v>240</v>
      </c>
      <c r="D241" s="12">
        <v>3436940</v>
      </c>
      <c r="E241" s="12">
        <v>3518224</v>
      </c>
      <c r="F241" s="12">
        <f t="shared" si="12"/>
        <v>-81284</v>
      </c>
      <c r="G241" s="3">
        <f t="shared" si="13"/>
        <v>-2.3650107362944945E-2</v>
      </c>
      <c r="I241" s="12">
        <v>3515760</v>
      </c>
      <c r="J241" s="12">
        <v>3598844</v>
      </c>
      <c r="K241" s="13">
        <f t="shared" si="14"/>
        <v>-83084</v>
      </c>
      <c r="L241" s="3">
        <f t="shared" si="15"/>
        <v>-2.3631874758231506E-2</v>
      </c>
    </row>
    <row r="242" spans="1:12" x14ac:dyDescent="0.2">
      <c r="A242" s="2">
        <v>775</v>
      </c>
      <c r="B242" s="2">
        <v>1</v>
      </c>
      <c r="C242" s="2" t="s">
        <v>241</v>
      </c>
      <c r="D242" s="12">
        <v>5194389</v>
      </c>
      <c r="E242" s="12">
        <v>5374541</v>
      </c>
      <c r="F242" s="12">
        <f t="shared" si="12"/>
        <v>-180152</v>
      </c>
      <c r="G242" s="3">
        <f t="shared" si="13"/>
        <v>-3.4682038638230599E-2</v>
      </c>
      <c r="I242" s="12">
        <v>5710715</v>
      </c>
      <c r="J242" s="12">
        <v>5909658</v>
      </c>
      <c r="K242" s="13">
        <f t="shared" si="14"/>
        <v>-198943</v>
      </c>
      <c r="L242" s="3">
        <f t="shared" si="15"/>
        <v>-3.4836793641426687E-2</v>
      </c>
    </row>
    <row r="243" spans="1:12" x14ac:dyDescent="0.2">
      <c r="A243" s="2">
        <v>777</v>
      </c>
      <c r="B243" s="2">
        <v>1</v>
      </c>
      <c r="C243" s="2" t="s">
        <v>242</v>
      </c>
      <c r="D243" s="12">
        <v>8608009</v>
      </c>
      <c r="E243" s="12">
        <v>9016726</v>
      </c>
      <c r="F243" s="12">
        <f t="shared" si="12"/>
        <v>-408717</v>
      </c>
      <c r="G243" s="3">
        <f t="shared" si="13"/>
        <v>-4.7481014483140065E-2</v>
      </c>
      <c r="I243" s="12">
        <v>9704962</v>
      </c>
      <c r="J243" s="12">
        <v>10168647</v>
      </c>
      <c r="K243" s="13">
        <f t="shared" si="14"/>
        <v>-463685</v>
      </c>
      <c r="L243" s="3">
        <f t="shared" si="15"/>
        <v>-4.7778136586212293E-2</v>
      </c>
    </row>
    <row r="244" spans="1:12" x14ac:dyDescent="0.2">
      <c r="A244" s="2">
        <v>786</v>
      </c>
      <c r="B244" s="2">
        <v>1</v>
      </c>
      <c r="C244" s="2" t="s">
        <v>243</v>
      </c>
      <c r="D244" s="12">
        <v>1371971</v>
      </c>
      <c r="E244" s="12">
        <v>1540345</v>
      </c>
      <c r="F244" s="12">
        <f t="shared" si="12"/>
        <v>-168374</v>
      </c>
      <c r="G244" s="3">
        <f t="shared" si="13"/>
        <v>-0.12272416836799029</v>
      </c>
      <c r="I244" s="12">
        <v>1261407</v>
      </c>
      <c r="J244" s="12">
        <v>1414859</v>
      </c>
      <c r="K244" s="13">
        <f t="shared" si="14"/>
        <v>-153452</v>
      </c>
      <c r="L244" s="3">
        <f t="shared" si="15"/>
        <v>-0.12165145745980481</v>
      </c>
    </row>
    <row r="245" spans="1:12" x14ac:dyDescent="0.2">
      <c r="A245" s="2">
        <v>787</v>
      </c>
      <c r="B245" s="2">
        <v>1</v>
      </c>
      <c r="C245" s="2" t="s">
        <v>244</v>
      </c>
      <c r="D245" s="12">
        <v>1854943</v>
      </c>
      <c r="E245" s="12">
        <v>2026041</v>
      </c>
      <c r="F245" s="12">
        <f t="shared" si="12"/>
        <v>-171098</v>
      </c>
      <c r="G245" s="3">
        <f t="shared" si="13"/>
        <v>-9.223895289504852E-2</v>
      </c>
      <c r="I245" s="12">
        <v>1816790</v>
      </c>
      <c r="J245" s="12">
        <v>1984369</v>
      </c>
      <c r="K245" s="13">
        <f t="shared" si="14"/>
        <v>-167579</v>
      </c>
      <c r="L245" s="3">
        <f t="shared" si="15"/>
        <v>-9.2239058999664239E-2</v>
      </c>
    </row>
    <row r="246" spans="1:12" x14ac:dyDescent="0.2">
      <c r="A246" s="2">
        <v>801</v>
      </c>
      <c r="B246" s="2">
        <v>1</v>
      </c>
      <c r="C246" s="2" t="s">
        <v>245</v>
      </c>
      <c r="D246" s="12">
        <v>1016717</v>
      </c>
      <c r="E246" s="12">
        <v>1058048</v>
      </c>
      <c r="F246" s="12">
        <f t="shared" si="12"/>
        <v>-41331</v>
      </c>
      <c r="G246" s="3">
        <f t="shared" si="13"/>
        <v>-4.0651430043955203E-2</v>
      </c>
      <c r="I246" s="12">
        <v>1210378</v>
      </c>
      <c r="J246" s="12">
        <v>1220703</v>
      </c>
      <c r="K246" s="13">
        <f t="shared" si="14"/>
        <v>-10325</v>
      </c>
      <c r="L246" s="3">
        <f t="shared" si="15"/>
        <v>-8.5303929846709051E-3</v>
      </c>
    </row>
    <row r="247" spans="1:12" x14ac:dyDescent="0.2">
      <c r="A247" s="2">
        <v>803</v>
      </c>
      <c r="B247" s="2">
        <v>1</v>
      </c>
      <c r="C247" s="2" t="s">
        <v>246</v>
      </c>
      <c r="D247" s="12">
        <v>5379785</v>
      </c>
      <c r="E247" s="12">
        <v>5521146</v>
      </c>
      <c r="F247" s="12">
        <f t="shared" si="12"/>
        <v>-141361</v>
      </c>
      <c r="G247" s="3">
        <f t="shared" si="13"/>
        <v>-2.6276328886749193E-2</v>
      </c>
      <c r="I247" s="12">
        <v>5970904</v>
      </c>
      <c r="J247" s="12">
        <v>6127798</v>
      </c>
      <c r="K247" s="13">
        <f t="shared" si="14"/>
        <v>-156894</v>
      </c>
      <c r="L247" s="3">
        <f t="shared" si="15"/>
        <v>-2.6276423134587324E-2</v>
      </c>
    </row>
    <row r="248" spans="1:12" x14ac:dyDescent="0.2">
      <c r="A248" s="2">
        <v>811</v>
      </c>
      <c r="B248" s="2">
        <v>1</v>
      </c>
      <c r="C248" s="2" t="s">
        <v>247</v>
      </c>
      <c r="D248" s="12">
        <v>5406579</v>
      </c>
      <c r="E248" s="12">
        <v>5796141</v>
      </c>
      <c r="F248" s="12">
        <f t="shared" si="12"/>
        <v>-389562</v>
      </c>
      <c r="G248" s="3">
        <f t="shared" si="13"/>
        <v>-7.2053326142094656E-2</v>
      </c>
      <c r="I248" s="12">
        <v>5511293</v>
      </c>
      <c r="J248" s="12">
        <v>5908401</v>
      </c>
      <c r="K248" s="13">
        <f t="shared" si="14"/>
        <v>-397108</v>
      </c>
      <c r="L248" s="3">
        <f t="shared" si="15"/>
        <v>-7.2053509040437516E-2</v>
      </c>
    </row>
    <row r="249" spans="1:12" x14ac:dyDescent="0.2">
      <c r="A249" s="2">
        <v>813</v>
      </c>
      <c r="B249" s="2">
        <v>1</v>
      </c>
      <c r="C249" s="2" t="s">
        <v>248</v>
      </c>
      <c r="D249" s="12">
        <v>10021324</v>
      </c>
      <c r="E249" s="12">
        <v>10560814</v>
      </c>
      <c r="F249" s="12">
        <f t="shared" si="12"/>
        <v>-539490</v>
      </c>
      <c r="G249" s="3">
        <f t="shared" si="13"/>
        <v>-5.3834203943510857E-2</v>
      </c>
      <c r="I249" s="12">
        <v>10349879</v>
      </c>
      <c r="J249" s="12">
        <v>10908960</v>
      </c>
      <c r="K249" s="13">
        <f t="shared" si="14"/>
        <v>-559081</v>
      </c>
      <c r="L249" s="3">
        <f t="shared" si="15"/>
        <v>-5.4018119438884259E-2</v>
      </c>
    </row>
    <row r="250" spans="1:12" x14ac:dyDescent="0.2">
      <c r="A250" s="2">
        <v>815</v>
      </c>
      <c r="B250" s="2">
        <v>2</v>
      </c>
      <c r="C250" s="2" t="s">
        <v>249</v>
      </c>
      <c r="D250" s="12">
        <v>1001599</v>
      </c>
      <c r="E250" s="12">
        <v>1001599</v>
      </c>
      <c r="F250" s="12">
        <f t="shared" si="12"/>
        <v>0</v>
      </c>
      <c r="G250" s="3">
        <f t="shared" si="13"/>
        <v>0</v>
      </c>
      <c r="I250" s="12">
        <v>1086333</v>
      </c>
      <c r="J250" s="12">
        <v>1086333</v>
      </c>
      <c r="K250" s="13">
        <f t="shared" si="14"/>
        <v>0</v>
      </c>
      <c r="L250" s="3">
        <f t="shared" si="15"/>
        <v>0</v>
      </c>
    </row>
    <row r="251" spans="1:12" x14ac:dyDescent="0.2">
      <c r="A251" s="2">
        <v>818</v>
      </c>
      <c r="B251" s="2">
        <v>1</v>
      </c>
      <c r="C251" s="2" t="s">
        <v>250</v>
      </c>
      <c r="D251" s="12">
        <v>1271394</v>
      </c>
      <c r="E251" s="12">
        <v>1394278</v>
      </c>
      <c r="F251" s="12">
        <f t="shared" si="12"/>
        <v>-122884</v>
      </c>
      <c r="G251" s="3">
        <f t="shared" si="13"/>
        <v>-9.6652965170513624E-2</v>
      </c>
      <c r="I251" s="12">
        <v>1327528</v>
      </c>
      <c r="J251" s="12">
        <v>1455690</v>
      </c>
      <c r="K251" s="13">
        <f t="shared" si="14"/>
        <v>-128162</v>
      </c>
      <c r="L251" s="3">
        <f t="shared" si="15"/>
        <v>-9.6541843185228488E-2</v>
      </c>
    </row>
    <row r="252" spans="1:12" x14ac:dyDescent="0.2">
      <c r="A252" s="2">
        <v>820</v>
      </c>
      <c r="B252" s="2">
        <v>1</v>
      </c>
      <c r="C252" s="2" t="s">
        <v>251</v>
      </c>
      <c r="D252" s="12">
        <v>2594938</v>
      </c>
      <c r="E252" s="12">
        <v>2807210</v>
      </c>
      <c r="F252" s="12">
        <f t="shared" si="12"/>
        <v>-212272</v>
      </c>
      <c r="G252" s="3">
        <f t="shared" si="13"/>
        <v>-8.1802339786152881E-2</v>
      </c>
      <c r="I252" s="12">
        <v>2601490</v>
      </c>
      <c r="J252" s="12">
        <v>2814624</v>
      </c>
      <c r="K252" s="13">
        <f t="shared" si="14"/>
        <v>-213134</v>
      </c>
      <c r="L252" s="3">
        <f t="shared" si="15"/>
        <v>-8.192766453071125E-2</v>
      </c>
    </row>
    <row r="253" spans="1:12" x14ac:dyDescent="0.2">
      <c r="A253" s="2">
        <v>821</v>
      </c>
      <c r="B253" s="2">
        <v>1</v>
      </c>
      <c r="C253" s="2" t="s">
        <v>252</v>
      </c>
      <c r="D253" s="12">
        <v>3234465</v>
      </c>
      <c r="E253" s="12">
        <v>3492822</v>
      </c>
      <c r="F253" s="12">
        <f t="shared" si="12"/>
        <v>-258357</v>
      </c>
      <c r="G253" s="3">
        <f t="shared" si="13"/>
        <v>-7.9876270109585354E-2</v>
      </c>
      <c r="I253" s="12">
        <v>3313925</v>
      </c>
      <c r="J253" s="12">
        <v>3578819</v>
      </c>
      <c r="K253" s="13">
        <f t="shared" si="14"/>
        <v>-264894</v>
      </c>
      <c r="L253" s="3">
        <f t="shared" si="15"/>
        <v>-7.9933613464396452E-2</v>
      </c>
    </row>
    <row r="254" spans="1:12" x14ac:dyDescent="0.2">
      <c r="A254" s="2">
        <v>829</v>
      </c>
      <c r="B254" s="2">
        <v>1</v>
      </c>
      <c r="C254" s="2" t="s">
        <v>253</v>
      </c>
      <c r="D254" s="12">
        <v>9545605</v>
      </c>
      <c r="E254" s="12">
        <v>10326965</v>
      </c>
      <c r="F254" s="12">
        <f t="shared" si="12"/>
        <v>-781360</v>
      </c>
      <c r="G254" s="3">
        <f t="shared" si="13"/>
        <v>-8.1855471706612629E-2</v>
      </c>
      <c r="I254" s="12">
        <v>10125445</v>
      </c>
      <c r="J254" s="12">
        <v>10954790</v>
      </c>
      <c r="K254" s="13">
        <f t="shared" si="14"/>
        <v>-829345</v>
      </c>
      <c r="L254" s="3">
        <f t="shared" si="15"/>
        <v>-8.1907017419975123E-2</v>
      </c>
    </row>
    <row r="255" spans="1:12" x14ac:dyDescent="0.2">
      <c r="A255" s="2">
        <v>831</v>
      </c>
      <c r="B255" s="2">
        <v>1</v>
      </c>
      <c r="C255" s="2" t="s">
        <v>254</v>
      </c>
      <c r="D255" s="12">
        <v>50658895</v>
      </c>
      <c r="E255" s="12">
        <v>52954572</v>
      </c>
      <c r="F255" s="12">
        <f t="shared" si="12"/>
        <v>-2295677</v>
      </c>
      <c r="G255" s="3">
        <f t="shared" si="13"/>
        <v>-4.5316365467505754E-2</v>
      </c>
      <c r="I255" s="12">
        <v>49668615</v>
      </c>
      <c r="J255" s="12">
        <v>51921028</v>
      </c>
      <c r="K255" s="13">
        <f t="shared" si="14"/>
        <v>-2252413</v>
      </c>
      <c r="L255" s="3">
        <f t="shared" si="15"/>
        <v>-4.5348818363467554E-2</v>
      </c>
    </row>
    <row r="256" spans="1:12" x14ac:dyDescent="0.2">
      <c r="A256" s="2">
        <v>832</v>
      </c>
      <c r="B256" s="2">
        <v>1</v>
      </c>
      <c r="C256" s="2" t="s">
        <v>255</v>
      </c>
      <c r="D256" s="12">
        <v>22505831</v>
      </c>
      <c r="E256" s="12">
        <v>22908195</v>
      </c>
      <c r="F256" s="12">
        <f t="shared" si="12"/>
        <v>-402364</v>
      </c>
      <c r="G256" s="3">
        <f t="shared" si="13"/>
        <v>-1.7878211206686836E-2</v>
      </c>
      <c r="I256" s="12">
        <v>21640222</v>
      </c>
      <c r="J256" s="12">
        <v>22027111</v>
      </c>
      <c r="K256" s="13">
        <f t="shared" si="14"/>
        <v>-386889</v>
      </c>
      <c r="L256" s="3">
        <f t="shared" si="15"/>
        <v>-1.7878236184453191E-2</v>
      </c>
    </row>
    <row r="257" spans="1:12" x14ac:dyDescent="0.2">
      <c r="A257" s="2">
        <v>833</v>
      </c>
      <c r="B257" s="2">
        <v>1</v>
      </c>
      <c r="C257" s="2" t="s">
        <v>256</v>
      </c>
      <c r="D257" s="12">
        <v>93019724</v>
      </c>
      <c r="E257" s="12">
        <v>97636142</v>
      </c>
      <c r="F257" s="12">
        <f t="shared" si="12"/>
        <v>-4616418</v>
      </c>
      <c r="G257" s="3">
        <f t="shared" si="13"/>
        <v>-4.962837774061768E-2</v>
      </c>
      <c r="I257" s="12">
        <v>92007640</v>
      </c>
      <c r="J257" s="12">
        <v>96573830</v>
      </c>
      <c r="K257" s="13">
        <f t="shared" si="14"/>
        <v>-4566190</v>
      </c>
      <c r="L257" s="3">
        <f t="shared" si="15"/>
        <v>-4.9628378686813399E-2</v>
      </c>
    </row>
    <row r="258" spans="1:12" x14ac:dyDescent="0.2">
      <c r="A258" s="2">
        <v>834</v>
      </c>
      <c r="B258" s="2">
        <v>1</v>
      </c>
      <c r="C258" s="2" t="s">
        <v>257</v>
      </c>
      <c r="D258" s="12">
        <v>85069233</v>
      </c>
      <c r="E258" s="12">
        <v>87187442</v>
      </c>
      <c r="F258" s="12">
        <f t="shared" si="12"/>
        <v>-2118209</v>
      </c>
      <c r="G258" s="3">
        <f t="shared" si="13"/>
        <v>-2.489982482856052E-2</v>
      </c>
      <c r="I258" s="12">
        <v>84310439</v>
      </c>
      <c r="J258" s="12">
        <v>86409754</v>
      </c>
      <c r="K258" s="13">
        <f t="shared" si="14"/>
        <v>-2099315</v>
      </c>
      <c r="L258" s="3">
        <f t="shared" si="15"/>
        <v>-2.4899822903306196E-2</v>
      </c>
    </row>
    <row r="259" spans="1:12" x14ac:dyDescent="0.2">
      <c r="A259" s="2">
        <v>836</v>
      </c>
      <c r="B259" s="2">
        <v>1</v>
      </c>
      <c r="C259" s="2" t="s">
        <v>258</v>
      </c>
      <c r="D259" s="12">
        <v>2224748</v>
      </c>
      <c r="E259" s="12">
        <v>2296638</v>
      </c>
      <c r="F259" s="12">
        <f t="shared" si="12"/>
        <v>-71890</v>
      </c>
      <c r="G259" s="3">
        <f t="shared" si="13"/>
        <v>-3.2313772166555496E-2</v>
      </c>
      <c r="I259" s="12">
        <v>2388167</v>
      </c>
      <c r="J259" s="12">
        <v>2465400</v>
      </c>
      <c r="K259" s="13">
        <f t="shared" si="14"/>
        <v>-77233</v>
      </c>
      <c r="L259" s="3">
        <f t="shared" si="15"/>
        <v>-3.233986567941019E-2</v>
      </c>
    </row>
    <row r="260" spans="1:12" x14ac:dyDescent="0.2">
      <c r="A260" s="2">
        <v>837</v>
      </c>
      <c r="B260" s="2">
        <v>1</v>
      </c>
      <c r="C260" s="2" t="s">
        <v>259</v>
      </c>
      <c r="D260" s="12">
        <v>4023223</v>
      </c>
      <c r="E260" s="12">
        <v>4253495</v>
      </c>
      <c r="F260" s="12">
        <f t="shared" si="12"/>
        <v>-230272</v>
      </c>
      <c r="G260" s="3">
        <f t="shared" si="13"/>
        <v>-5.7235703812590057E-2</v>
      </c>
      <c r="I260" s="12">
        <v>4313403</v>
      </c>
      <c r="J260" s="12">
        <v>4557319</v>
      </c>
      <c r="K260" s="13">
        <f t="shared" si="14"/>
        <v>-243916</v>
      </c>
      <c r="L260" s="3">
        <f t="shared" si="15"/>
        <v>-5.6548391142677831E-2</v>
      </c>
    </row>
    <row r="261" spans="1:12" x14ac:dyDescent="0.2">
      <c r="A261" s="2">
        <v>840</v>
      </c>
      <c r="B261" s="2">
        <v>1</v>
      </c>
      <c r="C261" s="2" t="s">
        <v>260</v>
      </c>
      <c r="D261" s="12">
        <v>6560631</v>
      </c>
      <c r="E261" s="12">
        <v>7004016</v>
      </c>
      <c r="F261" s="12">
        <f t="shared" si="12"/>
        <v>-443385</v>
      </c>
      <c r="G261" s="3">
        <f t="shared" si="13"/>
        <v>-6.7582676117586865E-2</v>
      </c>
      <c r="I261" s="12">
        <v>6898498</v>
      </c>
      <c r="J261" s="12">
        <v>7361259</v>
      </c>
      <c r="K261" s="13">
        <f t="shared" si="14"/>
        <v>-462761</v>
      </c>
      <c r="L261" s="3">
        <f t="shared" si="15"/>
        <v>-6.7081413954168001E-2</v>
      </c>
    </row>
    <row r="262" spans="1:12" x14ac:dyDescent="0.2">
      <c r="A262" s="2">
        <v>846</v>
      </c>
      <c r="B262" s="2">
        <v>1</v>
      </c>
      <c r="C262" s="2" t="s">
        <v>261</v>
      </c>
      <c r="D262" s="12">
        <v>6665204</v>
      </c>
      <c r="E262" s="12">
        <v>7006377</v>
      </c>
      <c r="F262" s="12">
        <f t="shared" si="12"/>
        <v>-341173</v>
      </c>
      <c r="G262" s="3">
        <f t="shared" si="13"/>
        <v>-5.1187180467394545E-2</v>
      </c>
      <c r="I262" s="12">
        <v>7067825</v>
      </c>
      <c r="J262" s="12">
        <v>7429601</v>
      </c>
      <c r="K262" s="13">
        <f t="shared" si="14"/>
        <v>-361776</v>
      </c>
      <c r="L262" s="3">
        <f t="shared" si="15"/>
        <v>-5.1186326769550747E-2</v>
      </c>
    </row>
    <row r="263" spans="1:12" x14ac:dyDescent="0.2">
      <c r="A263" s="2">
        <v>850</v>
      </c>
      <c r="B263" s="2">
        <v>1</v>
      </c>
      <c r="C263" s="2" t="s">
        <v>262</v>
      </c>
      <c r="D263" s="12">
        <v>2005276</v>
      </c>
      <c r="E263" s="12">
        <v>2083015</v>
      </c>
      <c r="F263" s="12">
        <f t="shared" si="12"/>
        <v>-77739</v>
      </c>
      <c r="G263" s="3">
        <f t="shared" si="13"/>
        <v>-3.8767232041873538E-2</v>
      </c>
      <c r="I263" s="12">
        <v>2058494</v>
      </c>
      <c r="J263" s="12">
        <v>2137714</v>
      </c>
      <c r="K263" s="13">
        <f t="shared" si="14"/>
        <v>-79220</v>
      </c>
      <c r="L263" s="3">
        <f t="shared" si="15"/>
        <v>-3.848444542466483E-2</v>
      </c>
    </row>
    <row r="264" spans="1:12" x14ac:dyDescent="0.2">
      <c r="A264" s="2">
        <v>852</v>
      </c>
      <c r="B264" s="2">
        <v>1</v>
      </c>
      <c r="C264" s="2" t="s">
        <v>263</v>
      </c>
      <c r="D264" s="12">
        <v>4652083</v>
      </c>
      <c r="E264" s="12">
        <v>4696527</v>
      </c>
      <c r="F264" s="12">
        <f t="shared" si="12"/>
        <v>-44444</v>
      </c>
      <c r="G264" s="3">
        <f t="shared" si="13"/>
        <v>-9.5535698739682845E-3</v>
      </c>
      <c r="I264" s="12">
        <v>5095358</v>
      </c>
      <c r="J264" s="12">
        <v>5143433</v>
      </c>
      <c r="K264" s="13">
        <f t="shared" si="14"/>
        <v>-48075</v>
      </c>
      <c r="L264" s="3">
        <f t="shared" si="15"/>
        <v>-9.4350583413373504E-3</v>
      </c>
    </row>
    <row r="265" spans="1:12" x14ac:dyDescent="0.2">
      <c r="A265" s="2">
        <v>857</v>
      </c>
      <c r="B265" s="2">
        <v>1</v>
      </c>
      <c r="C265" s="2" t="s">
        <v>264</v>
      </c>
      <c r="D265" s="12">
        <v>4182066</v>
      </c>
      <c r="E265" s="12">
        <v>4400377</v>
      </c>
      <c r="F265" s="12">
        <f t="shared" si="12"/>
        <v>-218311</v>
      </c>
      <c r="G265" s="3">
        <f t="shared" si="13"/>
        <v>-5.2201710829049564E-2</v>
      </c>
      <c r="I265" s="12">
        <v>4169558</v>
      </c>
      <c r="J265" s="12">
        <v>4387215</v>
      </c>
      <c r="K265" s="13">
        <f t="shared" si="14"/>
        <v>-217657</v>
      </c>
      <c r="L265" s="3">
        <f t="shared" si="15"/>
        <v>-5.220145636539892E-2</v>
      </c>
    </row>
    <row r="266" spans="1:12" x14ac:dyDescent="0.2">
      <c r="A266" s="2">
        <v>858</v>
      </c>
      <c r="B266" s="2">
        <v>1</v>
      </c>
      <c r="C266" s="2" t="s">
        <v>265</v>
      </c>
      <c r="D266" s="12">
        <v>4848868</v>
      </c>
      <c r="E266" s="12">
        <v>5179779</v>
      </c>
      <c r="F266" s="12">
        <f t="shared" si="12"/>
        <v>-330911</v>
      </c>
      <c r="G266" s="3">
        <f t="shared" si="13"/>
        <v>-6.824500068882057E-2</v>
      </c>
      <c r="I266" s="12">
        <v>4860847</v>
      </c>
      <c r="J266" s="12">
        <v>5191395</v>
      </c>
      <c r="K266" s="13">
        <f t="shared" si="14"/>
        <v>-330548</v>
      </c>
      <c r="L266" s="3">
        <f t="shared" si="15"/>
        <v>-6.8002140367717803E-2</v>
      </c>
    </row>
    <row r="267" spans="1:12" x14ac:dyDescent="0.2">
      <c r="A267" s="2">
        <v>861</v>
      </c>
      <c r="B267" s="2">
        <v>1</v>
      </c>
      <c r="C267" s="2" t="s">
        <v>266</v>
      </c>
      <c r="D267" s="12">
        <v>27794675</v>
      </c>
      <c r="E267" s="12">
        <v>30092035</v>
      </c>
      <c r="F267" s="12">
        <f t="shared" si="12"/>
        <v>-2297360</v>
      </c>
      <c r="G267" s="3">
        <f t="shared" si="13"/>
        <v>-8.265468115745192E-2</v>
      </c>
      <c r="I267" s="12">
        <v>28448645</v>
      </c>
      <c r="J267" s="12">
        <v>30800042</v>
      </c>
      <c r="K267" s="13">
        <f t="shared" si="14"/>
        <v>-2351397</v>
      </c>
      <c r="L267" s="3">
        <f t="shared" si="15"/>
        <v>-8.2654094773230852E-2</v>
      </c>
    </row>
    <row r="268" spans="1:12" x14ac:dyDescent="0.2">
      <c r="A268" s="2">
        <v>876</v>
      </c>
      <c r="B268" s="2">
        <v>1</v>
      </c>
      <c r="C268" s="2" t="s">
        <v>267</v>
      </c>
      <c r="D268" s="12">
        <v>15491242</v>
      </c>
      <c r="E268" s="12">
        <v>16072734</v>
      </c>
      <c r="F268" s="12">
        <f t="shared" ref="F268:F331" si="16">D268-E268</f>
        <v>-581492</v>
      </c>
      <c r="G268" s="3">
        <f t="shared" ref="G268:G331" si="17">(D268-E268)/D268</f>
        <v>-3.7536822418757644E-2</v>
      </c>
      <c r="I268" s="12">
        <v>15856907</v>
      </c>
      <c r="J268" s="12">
        <v>16452011</v>
      </c>
      <c r="K268" s="13">
        <f t="shared" ref="K268:K331" si="18">I268-J268</f>
        <v>-595104</v>
      </c>
      <c r="L268" s="3">
        <f t="shared" ref="L268:L331" si="19">(I268-J268)/I268</f>
        <v>-3.7529639292202446E-2</v>
      </c>
    </row>
    <row r="269" spans="1:12" x14ac:dyDescent="0.2">
      <c r="A269" s="2">
        <v>877</v>
      </c>
      <c r="B269" s="2">
        <v>1</v>
      </c>
      <c r="C269" s="2" t="s">
        <v>268</v>
      </c>
      <c r="D269" s="12">
        <v>29029388</v>
      </c>
      <c r="E269" s="12">
        <v>30645454</v>
      </c>
      <c r="F269" s="12">
        <f t="shared" si="16"/>
        <v>-1616066</v>
      </c>
      <c r="G269" s="3">
        <f t="shared" si="17"/>
        <v>-5.5669998967942419E-2</v>
      </c>
      <c r="I269" s="12">
        <v>28837190</v>
      </c>
      <c r="J269" s="12">
        <v>30430481</v>
      </c>
      <c r="K269" s="13">
        <f t="shared" si="18"/>
        <v>-1593291</v>
      </c>
      <c r="L269" s="3">
        <f t="shared" si="19"/>
        <v>-5.525125714398664E-2</v>
      </c>
    </row>
    <row r="270" spans="1:12" x14ac:dyDescent="0.2">
      <c r="A270" s="2">
        <v>879</v>
      </c>
      <c r="B270" s="2">
        <v>1</v>
      </c>
      <c r="C270" s="2" t="s">
        <v>269</v>
      </c>
      <c r="D270" s="12">
        <v>13396786</v>
      </c>
      <c r="E270" s="12">
        <v>13844585</v>
      </c>
      <c r="F270" s="12">
        <f t="shared" si="16"/>
        <v>-447799</v>
      </c>
      <c r="G270" s="3">
        <f t="shared" si="17"/>
        <v>-3.3425853036691038E-2</v>
      </c>
      <c r="I270" s="12">
        <v>12794275</v>
      </c>
      <c r="J270" s="12">
        <v>13223990</v>
      </c>
      <c r="K270" s="13">
        <f t="shared" si="18"/>
        <v>-429715</v>
      </c>
      <c r="L270" s="3">
        <f t="shared" si="19"/>
        <v>-3.358650646480555E-2</v>
      </c>
    </row>
    <row r="271" spans="1:12" x14ac:dyDescent="0.2">
      <c r="A271" s="2">
        <v>881</v>
      </c>
      <c r="B271" s="2">
        <v>1</v>
      </c>
      <c r="C271" s="2" t="s">
        <v>270</v>
      </c>
      <c r="D271" s="12">
        <v>5231398</v>
      </c>
      <c r="E271" s="12">
        <v>5526685</v>
      </c>
      <c r="F271" s="12">
        <f t="shared" si="16"/>
        <v>-295287</v>
      </c>
      <c r="G271" s="3">
        <f t="shared" si="17"/>
        <v>-5.6445141432557799E-2</v>
      </c>
      <c r="I271" s="12">
        <v>5241881</v>
      </c>
      <c r="J271" s="12">
        <v>5537761</v>
      </c>
      <c r="K271" s="13">
        <f t="shared" si="18"/>
        <v>-295880</v>
      </c>
      <c r="L271" s="3">
        <f t="shared" si="19"/>
        <v>-5.6445386684665297E-2</v>
      </c>
    </row>
    <row r="272" spans="1:12" x14ac:dyDescent="0.2">
      <c r="A272" s="2">
        <v>882</v>
      </c>
      <c r="B272" s="2">
        <v>1</v>
      </c>
      <c r="C272" s="2" t="s">
        <v>271</v>
      </c>
      <c r="D272" s="12">
        <v>23378884</v>
      </c>
      <c r="E272" s="12">
        <v>24510285</v>
      </c>
      <c r="F272" s="12">
        <f t="shared" si="16"/>
        <v>-1131401</v>
      </c>
      <c r="G272" s="3">
        <f t="shared" si="17"/>
        <v>-4.8394140627071848E-2</v>
      </c>
      <c r="I272" s="12">
        <v>24480507</v>
      </c>
      <c r="J272" s="12">
        <v>25665219</v>
      </c>
      <c r="K272" s="13">
        <f t="shared" si="18"/>
        <v>-1184712</v>
      </c>
      <c r="L272" s="3">
        <f t="shared" si="19"/>
        <v>-4.8394095759536356E-2</v>
      </c>
    </row>
    <row r="273" spans="1:12" x14ac:dyDescent="0.2">
      <c r="A273" s="2">
        <v>883</v>
      </c>
      <c r="B273" s="2">
        <v>1</v>
      </c>
      <c r="C273" s="2" t="s">
        <v>272</v>
      </c>
      <c r="D273" s="12">
        <v>10167493</v>
      </c>
      <c r="E273" s="12">
        <v>10516421</v>
      </c>
      <c r="F273" s="12">
        <f t="shared" si="16"/>
        <v>-348928</v>
      </c>
      <c r="G273" s="3">
        <f t="shared" si="17"/>
        <v>-3.4317997563411161E-2</v>
      </c>
      <c r="I273" s="12">
        <v>9916829</v>
      </c>
      <c r="J273" s="12">
        <v>10254881</v>
      </c>
      <c r="K273" s="13">
        <f t="shared" si="18"/>
        <v>-338052</v>
      </c>
      <c r="L273" s="3">
        <f t="shared" si="19"/>
        <v>-3.4088719287183433E-2</v>
      </c>
    </row>
    <row r="274" spans="1:12" x14ac:dyDescent="0.2">
      <c r="A274" s="2">
        <v>885</v>
      </c>
      <c r="B274" s="2">
        <v>1</v>
      </c>
      <c r="C274" s="2" t="s">
        <v>273</v>
      </c>
      <c r="D274" s="12">
        <v>17436883</v>
      </c>
      <c r="E274" s="12">
        <v>18724392</v>
      </c>
      <c r="F274" s="12">
        <f t="shared" si="16"/>
        <v>-1287509</v>
      </c>
      <c r="G274" s="3">
        <f t="shared" si="17"/>
        <v>-7.3838254233855899E-2</v>
      </c>
      <c r="I274" s="12">
        <v>17011593</v>
      </c>
      <c r="J274" s="12">
        <v>18267700</v>
      </c>
      <c r="K274" s="13">
        <f t="shared" si="18"/>
        <v>-1256107</v>
      </c>
      <c r="L274" s="3">
        <f t="shared" si="19"/>
        <v>-7.3838293685958747E-2</v>
      </c>
    </row>
    <row r="275" spans="1:12" x14ac:dyDescent="0.2">
      <c r="A275" s="2">
        <v>891</v>
      </c>
      <c r="B275" s="2">
        <v>1</v>
      </c>
      <c r="C275" s="2" t="s">
        <v>274</v>
      </c>
      <c r="D275" s="12">
        <v>5124770</v>
      </c>
      <c r="E275" s="12">
        <v>5362468</v>
      </c>
      <c r="F275" s="12">
        <f t="shared" si="16"/>
        <v>-237698</v>
      </c>
      <c r="G275" s="3">
        <f t="shared" si="17"/>
        <v>-4.6382179102671922E-2</v>
      </c>
      <c r="I275" s="12">
        <v>5995253</v>
      </c>
      <c r="J275" s="12">
        <v>6278305</v>
      </c>
      <c r="K275" s="13">
        <f t="shared" si="18"/>
        <v>-283052</v>
      </c>
      <c r="L275" s="3">
        <f t="shared" si="19"/>
        <v>-4.7212686437086142E-2</v>
      </c>
    </row>
    <row r="276" spans="1:12" x14ac:dyDescent="0.2">
      <c r="A276" s="2">
        <v>911</v>
      </c>
      <c r="B276" s="2">
        <v>1</v>
      </c>
      <c r="C276" s="2" t="s">
        <v>275</v>
      </c>
      <c r="D276" s="12">
        <v>21759295</v>
      </c>
      <c r="E276" s="12">
        <v>23557657</v>
      </c>
      <c r="F276" s="12">
        <f t="shared" si="16"/>
        <v>-1798362</v>
      </c>
      <c r="G276" s="3">
        <f t="shared" si="17"/>
        <v>-8.2647990203726734E-2</v>
      </c>
      <c r="I276" s="12">
        <v>20688263</v>
      </c>
      <c r="J276" s="12">
        <v>22398082</v>
      </c>
      <c r="K276" s="13">
        <f t="shared" si="18"/>
        <v>-1709819</v>
      </c>
      <c r="L276" s="3">
        <f t="shared" si="19"/>
        <v>-8.2646812832957509E-2</v>
      </c>
    </row>
    <row r="277" spans="1:12" x14ac:dyDescent="0.2">
      <c r="A277" s="2">
        <v>912</v>
      </c>
      <c r="B277" s="2">
        <v>1</v>
      </c>
      <c r="C277" s="2" t="s">
        <v>276</v>
      </c>
      <c r="D277" s="12">
        <v>7194182</v>
      </c>
      <c r="E277" s="12">
        <v>8003925</v>
      </c>
      <c r="F277" s="12">
        <f t="shared" si="16"/>
        <v>-809743</v>
      </c>
      <c r="G277" s="3">
        <f t="shared" si="17"/>
        <v>-0.11255525645584168</v>
      </c>
      <c r="I277" s="12">
        <v>6875878</v>
      </c>
      <c r="J277" s="12">
        <v>7647183</v>
      </c>
      <c r="K277" s="13">
        <f t="shared" si="18"/>
        <v>-771305</v>
      </c>
      <c r="L277" s="3">
        <f t="shared" si="19"/>
        <v>-0.11217549235166767</v>
      </c>
    </row>
    <row r="278" spans="1:12" x14ac:dyDescent="0.2">
      <c r="A278" s="2">
        <v>914</v>
      </c>
      <c r="B278" s="2">
        <v>1</v>
      </c>
      <c r="C278" s="2" t="s">
        <v>277</v>
      </c>
      <c r="D278" s="12">
        <v>1950451</v>
      </c>
      <c r="E278" s="12">
        <v>2084254</v>
      </c>
      <c r="F278" s="12">
        <f t="shared" si="16"/>
        <v>-133803</v>
      </c>
      <c r="G278" s="3">
        <f t="shared" si="17"/>
        <v>-6.8601056883766887E-2</v>
      </c>
      <c r="I278" s="12">
        <v>2166827</v>
      </c>
      <c r="J278" s="12">
        <v>2315947</v>
      </c>
      <c r="K278" s="13">
        <f t="shared" si="18"/>
        <v>-149120</v>
      </c>
      <c r="L278" s="3">
        <f t="shared" si="19"/>
        <v>-6.8819522739932623E-2</v>
      </c>
    </row>
    <row r="279" spans="1:12" x14ac:dyDescent="0.2">
      <c r="A279" s="2">
        <v>2071</v>
      </c>
      <c r="B279" s="2">
        <v>1</v>
      </c>
      <c r="C279" s="2" t="s">
        <v>278</v>
      </c>
      <c r="D279" s="12">
        <v>7810592</v>
      </c>
      <c r="E279" s="12">
        <v>8244245</v>
      </c>
      <c r="F279" s="12">
        <f t="shared" si="16"/>
        <v>-433653</v>
      </c>
      <c r="G279" s="3">
        <f t="shared" si="17"/>
        <v>-5.5521143595773537E-2</v>
      </c>
      <c r="I279" s="12">
        <v>8068794</v>
      </c>
      <c r="J279" s="12">
        <v>8516782</v>
      </c>
      <c r="K279" s="13">
        <f t="shared" si="18"/>
        <v>-447988</v>
      </c>
      <c r="L279" s="3">
        <f t="shared" si="19"/>
        <v>-5.5521060520320631E-2</v>
      </c>
    </row>
    <row r="280" spans="1:12" x14ac:dyDescent="0.2">
      <c r="A280" s="2">
        <v>2125</v>
      </c>
      <c r="B280" s="2">
        <v>1</v>
      </c>
      <c r="C280" s="2" t="s">
        <v>279</v>
      </c>
      <c r="D280" s="12">
        <v>8009341</v>
      </c>
      <c r="E280" s="12">
        <v>8460787</v>
      </c>
      <c r="F280" s="12">
        <f t="shared" si="16"/>
        <v>-451446</v>
      </c>
      <c r="G280" s="3">
        <f t="shared" si="17"/>
        <v>-5.6364936890563155E-2</v>
      </c>
      <c r="I280" s="12">
        <v>8701855</v>
      </c>
      <c r="J280" s="12">
        <v>9192469</v>
      </c>
      <c r="K280" s="13">
        <f t="shared" si="18"/>
        <v>-490614</v>
      </c>
      <c r="L280" s="3">
        <f t="shared" si="19"/>
        <v>-5.638039245655093E-2</v>
      </c>
    </row>
    <row r="281" spans="1:12" x14ac:dyDescent="0.2">
      <c r="A281" s="2">
        <v>2134</v>
      </c>
      <c r="B281" s="2">
        <v>1</v>
      </c>
      <c r="C281" s="2" t="s">
        <v>280</v>
      </c>
      <c r="D281" s="12">
        <v>8561455</v>
      </c>
      <c r="E281" s="12">
        <v>9005059</v>
      </c>
      <c r="F281" s="12">
        <f t="shared" si="16"/>
        <v>-443604</v>
      </c>
      <c r="G281" s="3">
        <f t="shared" si="17"/>
        <v>-5.1814090011569294E-2</v>
      </c>
      <c r="I281" s="12">
        <v>9841337</v>
      </c>
      <c r="J281" s="12">
        <v>10354936</v>
      </c>
      <c r="K281" s="13">
        <f t="shared" si="18"/>
        <v>-513599</v>
      </c>
      <c r="L281" s="3">
        <f t="shared" si="19"/>
        <v>-5.2187929343340239E-2</v>
      </c>
    </row>
    <row r="282" spans="1:12" x14ac:dyDescent="0.2">
      <c r="A282" s="2">
        <v>2135</v>
      </c>
      <c r="B282" s="2">
        <v>1</v>
      </c>
      <c r="C282" s="2" t="s">
        <v>281</v>
      </c>
      <c r="D282" s="12">
        <v>8361512</v>
      </c>
      <c r="E282" s="12">
        <v>8796344</v>
      </c>
      <c r="F282" s="12">
        <f t="shared" si="16"/>
        <v>-434832</v>
      </c>
      <c r="G282" s="3">
        <f t="shared" si="17"/>
        <v>-5.2003991622567781E-2</v>
      </c>
      <c r="I282" s="12">
        <v>8780576</v>
      </c>
      <c r="J282" s="12">
        <v>9237884</v>
      </c>
      <c r="K282" s="13">
        <f t="shared" si="18"/>
        <v>-457308</v>
      </c>
      <c r="L282" s="3">
        <f t="shared" si="19"/>
        <v>-5.2081776867485684E-2</v>
      </c>
    </row>
    <row r="283" spans="1:12" x14ac:dyDescent="0.2">
      <c r="A283" s="2">
        <v>2137</v>
      </c>
      <c r="B283" s="2">
        <v>1</v>
      </c>
      <c r="C283" s="2" t="s">
        <v>282</v>
      </c>
      <c r="D283" s="12">
        <v>5132476</v>
      </c>
      <c r="E283" s="12">
        <v>5518609</v>
      </c>
      <c r="F283" s="12">
        <f t="shared" si="16"/>
        <v>-386133</v>
      </c>
      <c r="G283" s="3">
        <f t="shared" si="17"/>
        <v>-7.5233279220399671E-2</v>
      </c>
      <c r="I283" s="12">
        <v>5446353</v>
      </c>
      <c r="J283" s="12">
        <v>5855483</v>
      </c>
      <c r="K283" s="13">
        <f t="shared" si="18"/>
        <v>-409130</v>
      </c>
      <c r="L283" s="3">
        <f t="shared" si="19"/>
        <v>-7.5119993140363842E-2</v>
      </c>
    </row>
    <row r="284" spans="1:12" x14ac:dyDescent="0.2">
      <c r="A284" s="2">
        <v>2142</v>
      </c>
      <c r="B284" s="2">
        <v>1</v>
      </c>
      <c r="C284" s="2" t="s">
        <v>283</v>
      </c>
      <c r="D284" s="12">
        <v>33300732</v>
      </c>
      <c r="E284" s="12">
        <v>34843941</v>
      </c>
      <c r="F284" s="12">
        <f t="shared" si="16"/>
        <v>-1543209</v>
      </c>
      <c r="G284" s="3">
        <f t="shared" si="17"/>
        <v>-4.6341593932529769E-2</v>
      </c>
      <c r="I284" s="12">
        <v>34879003</v>
      </c>
      <c r="J284" s="12">
        <v>36495093</v>
      </c>
      <c r="K284" s="13">
        <f t="shared" si="18"/>
        <v>-1616090</v>
      </c>
      <c r="L284" s="3">
        <f t="shared" si="19"/>
        <v>-4.6334179907608027E-2</v>
      </c>
    </row>
    <row r="285" spans="1:12" x14ac:dyDescent="0.2">
      <c r="A285" s="2">
        <v>2143</v>
      </c>
      <c r="B285" s="2">
        <v>1</v>
      </c>
      <c r="C285" s="2" t="s">
        <v>284</v>
      </c>
      <c r="D285" s="12">
        <v>8481784</v>
      </c>
      <c r="E285" s="12">
        <v>8896549</v>
      </c>
      <c r="F285" s="12">
        <f t="shared" si="16"/>
        <v>-414765</v>
      </c>
      <c r="G285" s="3">
        <f t="shared" si="17"/>
        <v>-4.8900679385374589E-2</v>
      </c>
      <c r="I285" s="12">
        <v>8366160</v>
      </c>
      <c r="J285" s="12">
        <v>8773124</v>
      </c>
      <c r="K285" s="13">
        <f t="shared" si="18"/>
        <v>-406964</v>
      </c>
      <c r="L285" s="3">
        <f t="shared" si="19"/>
        <v>-4.864406131367318E-2</v>
      </c>
    </row>
    <row r="286" spans="1:12" x14ac:dyDescent="0.2">
      <c r="A286" s="2">
        <v>2144</v>
      </c>
      <c r="B286" s="2">
        <v>1</v>
      </c>
      <c r="C286" s="2" t="s">
        <v>285</v>
      </c>
      <c r="D286" s="12">
        <v>19567677</v>
      </c>
      <c r="E286" s="12">
        <v>20712135</v>
      </c>
      <c r="F286" s="12">
        <f t="shared" si="16"/>
        <v>-1144458</v>
      </c>
      <c r="G286" s="3">
        <f t="shared" si="17"/>
        <v>-5.848716738323103E-2</v>
      </c>
      <c r="I286" s="12">
        <v>19119089</v>
      </c>
      <c r="J286" s="12">
        <v>20237556</v>
      </c>
      <c r="K286" s="13">
        <f t="shared" si="18"/>
        <v>-1118467</v>
      </c>
      <c r="L286" s="3">
        <f t="shared" si="19"/>
        <v>-5.8500015351149841E-2</v>
      </c>
    </row>
    <row r="287" spans="1:12" x14ac:dyDescent="0.2">
      <c r="A287" s="2">
        <v>2149</v>
      </c>
      <c r="B287" s="2">
        <v>1</v>
      </c>
      <c r="C287" s="2" t="s">
        <v>286</v>
      </c>
      <c r="D287" s="12">
        <v>12600213</v>
      </c>
      <c r="E287" s="12">
        <v>13256219</v>
      </c>
      <c r="F287" s="12">
        <f t="shared" si="16"/>
        <v>-656006</v>
      </c>
      <c r="G287" s="3">
        <f t="shared" si="17"/>
        <v>-5.2063088139859222E-2</v>
      </c>
      <c r="I287" s="12">
        <v>12866930</v>
      </c>
      <c r="J287" s="12">
        <v>13536786</v>
      </c>
      <c r="K287" s="13">
        <f t="shared" si="18"/>
        <v>-669856</v>
      </c>
      <c r="L287" s="3">
        <f t="shared" si="19"/>
        <v>-5.2060281667810425E-2</v>
      </c>
    </row>
    <row r="288" spans="1:12" x14ac:dyDescent="0.2">
      <c r="A288" s="2">
        <v>2154</v>
      </c>
      <c r="B288" s="2">
        <v>1</v>
      </c>
      <c r="C288" s="2" t="s">
        <v>287</v>
      </c>
      <c r="D288" s="12">
        <v>4360074</v>
      </c>
      <c r="E288" s="12">
        <v>5068252</v>
      </c>
      <c r="F288" s="12">
        <f t="shared" si="16"/>
        <v>-708178</v>
      </c>
      <c r="G288" s="3">
        <f t="shared" si="17"/>
        <v>-0.16242339006172832</v>
      </c>
      <c r="I288" s="12">
        <v>4613835</v>
      </c>
      <c r="J288" s="12">
        <v>5363230</v>
      </c>
      <c r="K288" s="13">
        <f t="shared" si="18"/>
        <v>-749395</v>
      </c>
      <c r="L288" s="3">
        <f t="shared" si="19"/>
        <v>-0.16242345034011837</v>
      </c>
    </row>
    <row r="289" spans="1:12" x14ac:dyDescent="0.2">
      <c r="A289" s="2">
        <v>2155</v>
      </c>
      <c r="B289" s="2">
        <v>1</v>
      </c>
      <c r="C289" s="2" t="s">
        <v>288</v>
      </c>
      <c r="D289" s="12">
        <v>4077779</v>
      </c>
      <c r="E289" s="12">
        <v>4642497</v>
      </c>
      <c r="F289" s="12">
        <f t="shared" si="16"/>
        <v>-564718</v>
      </c>
      <c r="G289" s="3">
        <f t="shared" si="17"/>
        <v>-0.13848666148901154</v>
      </c>
      <c r="I289" s="12">
        <v>4081183</v>
      </c>
      <c r="J289" s="12">
        <v>4650931</v>
      </c>
      <c r="K289" s="13">
        <f t="shared" si="18"/>
        <v>-569748</v>
      </c>
      <c r="L289" s="3">
        <f t="shared" si="19"/>
        <v>-0.13960363943493834</v>
      </c>
    </row>
    <row r="290" spans="1:12" x14ac:dyDescent="0.2">
      <c r="A290" s="2">
        <v>2159</v>
      </c>
      <c r="B290" s="2">
        <v>1</v>
      </c>
      <c r="C290" s="2" t="s">
        <v>289</v>
      </c>
      <c r="D290" s="12">
        <v>8565751</v>
      </c>
      <c r="E290" s="12">
        <v>8873387</v>
      </c>
      <c r="F290" s="12">
        <f t="shared" si="16"/>
        <v>-307636</v>
      </c>
      <c r="G290" s="3">
        <f t="shared" si="17"/>
        <v>-3.5914655936181192E-2</v>
      </c>
      <c r="I290" s="12">
        <v>9489080</v>
      </c>
      <c r="J290" s="12">
        <v>9826683</v>
      </c>
      <c r="K290" s="13">
        <f t="shared" si="18"/>
        <v>-337603</v>
      </c>
      <c r="L290" s="3">
        <f t="shared" si="19"/>
        <v>-3.5578053931466486E-2</v>
      </c>
    </row>
    <row r="291" spans="1:12" x14ac:dyDescent="0.2">
      <c r="A291" s="2">
        <v>2164</v>
      </c>
      <c r="B291" s="2">
        <v>1</v>
      </c>
      <c r="C291" s="2" t="s">
        <v>290</v>
      </c>
      <c r="D291" s="12">
        <v>5391291</v>
      </c>
      <c r="E291" s="12">
        <v>5803931</v>
      </c>
      <c r="F291" s="12">
        <f t="shared" si="16"/>
        <v>-412640</v>
      </c>
      <c r="G291" s="3">
        <f t="shared" si="17"/>
        <v>-7.65382540100321E-2</v>
      </c>
      <c r="I291" s="12">
        <v>6218328</v>
      </c>
      <c r="J291" s="12">
        <v>6694269</v>
      </c>
      <c r="K291" s="13">
        <f t="shared" si="18"/>
        <v>-475941</v>
      </c>
      <c r="L291" s="3">
        <f t="shared" si="19"/>
        <v>-7.6538419973986582E-2</v>
      </c>
    </row>
    <row r="292" spans="1:12" x14ac:dyDescent="0.2">
      <c r="A292" s="2">
        <v>2165</v>
      </c>
      <c r="B292" s="2">
        <v>1</v>
      </c>
      <c r="C292" s="2" t="s">
        <v>291</v>
      </c>
      <c r="D292" s="12">
        <v>7613875</v>
      </c>
      <c r="E292" s="12">
        <v>8089105</v>
      </c>
      <c r="F292" s="12">
        <f t="shared" si="16"/>
        <v>-475230</v>
      </c>
      <c r="G292" s="3">
        <f t="shared" si="17"/>
        <v>-6.2416312324539085E-2</v>
      </c>
      <c r="I292" s="12">
        <v>7317832</v>
      </c>
      <c r="J292" s="12">
        <v>7774822</v>
      </c>
      <c r="K292" s="13">
        <f t="shared" si="18"/>
        <v>-456990</v>
      </c>
      <c r="L292" s="3">
        <f t="shared" si="19"/>
        <v>-6.2448823640662975E-2</v>
      </c>
    </row>
    <row r="293" spans="1:12" x14ac:dyDescent="0.2">
      <c r="A293" s="2">
        <v>2167</v>
      </c>
      <c r="B293" s="2">
        <v>1</v>
      </c>
      <c r="C293" s="2" t="s">
        <v>292</v>
      </c>
      <c r="D293" s="12">
        <v>4786574</v>
      </c>
      <c r="E293" s="12">
        <v>4955429</v>
      </c>
      <c r="F293" s="12">
        <f t="shared" si="16"/>
        <v>-168855</v>
      </c>
      <c r="G293" s="3">
        <f t="shared" si="17"/>
        <v>-3.5276797141337413E-2</v>
      </c>
      <c r="I293" s="12">
        <v>5244524</v>
      </c>
      <c r="J293" s="12">
        <v>5429328</v>
      </c>
      <c r="K293" s="13">
        <f t="shared" si="18"/>
        <v>-184804</v>
      </c>
      <c r="L293" s="3">
        <f t="shared" si="19"/>
        <v>-3.5237516312252554E-2</v>
      </c>
    </row>
    <row r="294" spans="1:12" x14ac:dyDescent="0.2">
      <c r="A294" s="2">
        <v>2168</v>
      </c>
      <c r="B294" s="2">
        <v>1</v>
      </c>
      <c r="C294" s="2" t="s">
        <v>293</v>
      </c>
      <c r="D294" s="12">
        <v>7793297</v>
      </c>
      <c r="E294" s="12">
        <v>8176429</v>
      </c>
      <c r="F294" s="12">
        <f t="shared" si="16"/>
        <v>-383132</v>
      </c>
      <c r="G294" s="3">
        <f t="shared" si="17"/>
        <v>-4.9161734757446049E-2</v>
      </c>
      <c r="I294" s="12">
        <v>8279421</v>
      </c>
      <c r="J294" s="12">
        <v>8684724</v>
      </c>
      <c r="K294" s="13">
        <f t="shared" si="18"/>
        <v>-405303</v>
      </c>
      <c r="L294" s="3">
        <f t="shared" si="19"/>
        <v>-4.8953060848095538E-2</v>
      </c>
    </row>
    <row r="295" spans="1:12" x14ac:dyDescent="0.2">
      <c r="A295" s="2">
        <v>2169</v>
      </c>
      <c r="B295" s="2">
        <v>1</v>
      </c>
      <c r="C295" s="2" t="s">
        <v>294</v>
      </c>
      <c r="D295" s="12">
        <v>7274162</v>
      </c>
      <c r="E295" s="12">
        <v>7615950</v>
      </c>
      <c r="F295" s="12">
        <f t="shared" si="16"/>
        <v>-341788</v>
      </c>
      <c r="G295" s="3">
        <f t="shared" si="17"/>
        <v>-4.6986580722288007E-2</v>
      </c>
      <c r="I295" s="12">
        <v>8028483</v>
      </c>
      <c r="J295" s="12">
        <v>8405724</v>
      </c>
      <c r="K295" s="13">
        <f t="shared" si="18"/>
        <v>-377241</v>
      </c>
      <c r="L295" s="3">
        <f t="shared" si="19"/>
        <v>-4.6987830702263429E-2</v>
      </c>
    </row>
    <row r="296" spans="1:12" x14ac:dyDescent="0.2">
      <c r="A296" s="2">
        <v>2170</v>
      </c>
      <c r="B296" s="2">
        <v>1</v>
      </c>
      <c r="C296" s="2" t="s">
        <v>295</v>
      </c>
      <c r="D296" s="12">
        <v>9875201</v>
      </c>
      <c r="E296" s="12">
        <v>10576841</v>
      </c>
      <c r="F296" s="12">
        <f t="shared" si="16"/>
        <v>-701640</v>
      </c>
      <c r="G296" s="3">
        <f t="shared" si="17"/>
        <v>-7.1050705702091529E-2</v>
      </c>
      <c r="I296" s="12">
        <v>9486074</v>
      </c>
      <c r="J296" s="12">
        <v>10173678</v>
      </c>
      <c r="K296" s="13">
        <f t="shared" si="18"/>
        <v>-687604</v>
      </c>
      <c r="L296" s="3">
        <f t="shared" si="19"/>
        <v>-7.2485624716821739E-2</v>
      </c>
    </row>
    <row r="297" spans="1:12" x14ac:dyDescent="0.2">
      <c r="A297" s="2">
        <v>2171</v>
      </c>
      <c r="B297" s="2">
        <v>1</v>
      </c>
      <c r="C297" s="2" t="s">
        <v>296</v>
      </c>
      <c r="D297" s="12">
        <v>5972589</v>
      </c>
      <c r="E297" s="12">
        <v>6136177</v>
      </c>
      <c r="F297" s="12">
        <f t="shared" si="16"/>
        <v>-163588</v>
      </c>
      <c r="G297" s="3">
        <f t="shared" si="17"/>
        <v>-2.7389796954051249E-2</v>
      </c>
      <c r="I297" s="12">
        <v>6644742</v>
      </c>
      <c r="J297" s="12">
        <v>6644742</v>
      </c>
      <c r="K297" s="13">
        <f t="shared" si="18"/>
        <v>0</v>
      </c>
      <c r="L297" s="3">
        <f t="shared" si="19"/>
        <v>0</v>
      </c>
    </row>
    <row r="298" spans="1:12" x14ac:dyDescent="0.2">
      <c r="A298" s="2">
        <v>2172</v>
      </c>
      <c r="B298" s="2">
        <v>1</v>
      </c>
      <c r="C298" s="2" t="s">
        <v>297</v>
      </c>
      <c r="D298" s="12">
        <v>7444827</v>
      </c>
      <c r="E298" s="12">
        <v>7779371</v>
      </c>
      <c r="F298" s="12">
        <f t="shared" si="16"/>
        <v>-334544</v>
      </c>
      <c r="G298" s="3">
        <f t="shared" si="17"/>
        <v>-4.4936437072345674E-2</v>
      </c>
      <c r="I298" s="12">
        <v>7930524</v>
      </c>
      <c r="J298" s="12">
        <v>8290204</v>
      </c>
      <c r="K298" s="13">
        <f t="shared" si="18"/>
        <v>-359680</v>
      </c>
      <c r="L298" s="3">
        <f t="shared" si="19"/>
        <v>-4.5353875733810278E-2</v>
      </c>
    </row>
    <row r="299" spans="1:12" x14ac:dyDescent="0.2">
      <c r="A299" s="2">
        <v>2174</v>
      </c>
      <c r="B299" s="2">
        <v>1</v>
      </c>
      <c r="C299" s="2" t="s">
        <v>298</v>
      </c>
      <c r="D299" s="12">
        <v>15473760</v>
      </c>
      <c r="E299" s="12">
        <v>16044289</v>
      </c>
      <c r="F299" s="12">
        <f t="shared" si="16"/>
        <v>-570529</v>
      </c>
      <c r="G299" s="3">
        <f t="shared" si="17"/>
        <v>-3.6870741177322128E-2</v>
      </c>
      <c r="I299" s="12">
        <v>15407040</v>
      </c>
      <c r="J299" s="12">
        <v>15984108</v>
      </c>
      <c r="K299" s="13">
        <f t="shared" si="18"/>
        <v>-577068</v>
      </c>
      <c r="L299" s="3">
        <f t="shared" si="19"/>
        <v>-3.7454825845847091E-2</v>
      </c>
    </row>
    <row r="300" spans="1:12" x14ac:dyDescent="0.2">
      <c r="A300" s="2">
        <v>2176</v>
      </c>
      <c r="B300" s="2">
        <v>1</v>
      </c>
      <c r="C300" s="2" t="s">
        <v>299</v>
      </c>
      <c r="D300" s="12">
        <v>5000041</v>
      </c>
      <c r="E300" s="12">
        <v>5292155</v>
      </c>
      <c r="F300" s="12">
        <f t="shared" si="16"/>
        <v>-292114</v>
      </c>
      <c r="G300" s="3">
        <f t="shared" si="17"/>
        <v>-5.8422320936968315E-2</v>
      </c>
      <c r="I300" s="12">
        <v>6155541</v>
      </c>
      <c r="J300" s="12">
        <v>6502869</v>
      </c>
      <c r="K300" s="13">
        <f t="shared" si="18"/>
        <v>-347328</v>
      </c>
      <c r="L300" s="3">
        <f t="shared" si="19"/>
        <v>-5.6425259778141355E-2</v>
      </c>
    </row>
    <row r="301" spans="1:12" x14ac:dyDescent="0.2">
      <c r="A301" s="2">
        <v>2180</v>
      </c>
      <c r="B301" s="2">
        <v>1</v>
      </c>
      <c r="C301" s="2" t="s">
        <v>300</v>
      </c>
      <c r="D301" s="12">
        <v>7967174</v>
      </c>
      <c r="E301" s="12">
        <v>8267034</v>
      </c>
      <c r="F301" s="12">
        <f t="shared" si="16"/>
        <v>-299860</v>
      </c>
      <c r="G301" s="3">
        <f t="shared" si="17"/>
        <v>-3.7636933748403135E-2</v>
      </c>
      <c r="I301" s="12">
        <v>8496572</v>
      </c>
      <c r="J301" s="12">
        <v>8815794</v>
      </c>
      <c r="K301" s="13">
        <f t="shared" si="18"/>
        <v>-319222</v>
      </c>
      <c r="L301" s="3">
        <f t="shared" si="19"/>
        <v>-3.7570681446588108E-2</v>
      </c>
    </row>
    <row r="302" spans="1:12" x14ac:dyDescent="0.2">
      <c r="A302" s="2">
        <v>2184</v>
      </c>
      <c r="B302" s="2">
        <v>1</v>
      </c>
      <c r="C302" s="2" t="s">
        <v>301</v>
      </c>
      <c r="D302" s="12">
        <v>8252801</v>
      </c>
      <c r="E302" s="12">
        <v>8769023</v>
      </c>
      <c r="F302" s="12">
        <f t="shared" si="16"/>
        <v>-516222</v>
      </c>
      <c r="G302" s="3">
        <f t="shared" si="17"/>
        <v>-6.2551126581144992E-2</v>
      </c>
      <c r="I302" s="12">
        <v>8897979</v>
      </c>
      <c r="J302" s="12">
        <v>9454350</v>
      </c>
      <c r="K302" s="13">
        <f t="shared" si="18"/>
        <v>-556371</v>
      </c>
      <c r="L302" s="3">
        <f t="shared" si="19"/>
        <v>-6.2527794232825229E-2</v>
      </c>
    </row>
    <row r="303" spans="1:12" x14ac:dyDescent="0.2">
      <c r="A303" s="2">
        <v>2190</v>
      </c>
      <c r="B303" s="2">
        <v>1</v>
      </c>
      <c r="C303" s="2" t="s">
        <v>302</v>
      </c>
      <c r="D303" s="12">
        <v>9934464</v>
      </c>
      <c r="E303" s="12">
        <v>10374867</v>
      </c>
      <c r="F303" s="12">
        <f t="shared" si="16"/>
        <v>-440403</v>
      </c>
      <c r="G303" s="3">
        <f t="shared" si="17"/>
        <v>-4.4330826504580416E-2</v>
      </c>
      <c r="I303" s="12">
        <v>10811914</v>
      </c>
      <c r="J303" s="12">
        <v>11291025</v>
      </c>
      <c r="K303" s="13">
        <f t="shared" si="18"/>
        <v>-479111</v>
      </c>
      <c r="L303" s="3">
        <f t="shared" si="19"/>
        <v>-4.4313245554857356E-2</v>
      </c>
    </row>
    <row r="304" spans="1:12" x14ac:dyDescent="0.2">
      <c r="A304" s="2">
        <v>2198</v>
      </c>
      <c r="B304" s="2">
        <v>1</v>
      </c>
      <c r="C304" s="2" t="s">
        <v>303</v>
      </c>
      <c r="D304" s="12">
        <v>5294279</v>
      </c>
      <c r="E304" s="12">
        <v>5658752</v>
      </c>
      <c r="F304" s="12">
        <f t="shared" si="16"/>
        <v>-364473</v>
      </c>
      <c r="G304" s="3">
        <f t="shared" si="17"/>
        <v>-6.8842801824384403E-2</v>
      </c>
      <c r="I304" s="12">
        <v>5644220</v>
      </c>
      <c r="J304" s="12">
        <v>6032785</v>
      </c>
      <c r="K304" s="13">
        <f t="shared" si="18"/>
        <v>-388565</v>
      </c>
      <c r="L304" s="3">
        <f t="shared" si="19"/>
        <v>-6.8842993363121913E-2</v>
      </c>
    </row>
    <row r="305" spans="1:12" x14ac:dyDescent="0.2">
      <c r="A305" s="2">
        <v>2215</v>
      </c>
      <c r="B305" s="2">
        <v>1</v>
      </c>
      <c r="C305" s="2" t="s">
        <v>304</v>
      </c>
      <c r="D305" s="12">
        <v>1966186</v>
      </c>
      <c r="E305" s="12">
        <v>2132257</v>
      </c>
      <c r="F305" s="12">
        <f t="shared" si="16"/>
        <v>-166071</v>
      </c>
      <c r="G305" s="3">
        <f t="shared" si="17"/>
        <v>-8.4463524814030813E-2</v>
      </c>
      <c r="I305" s="12">
        <v>2262584</v>
      </c>
      <c r="J305" s="12">
        <v>2453690</v>
      </c>
      <c r="K305" s="13">
        <f t="shared" si="18"/>
        <v>-191106</v>
      </c>
      <c r="L305" s="3">
        <f t="shared" si="19"/>
        <v>-8.4463604445183027E-2</v>
      </c>
    </row>
    <row r="306" spans="1:12" x14ac:dyDescent="0.2">
      <c r="A306" s="2">
        <v>2310</v>
      </c>
      <c r="B306" s="2">
        <v>1</v>
      </c>
      <c r="C306" s="2" t="s">
        <v>305</v>
      </c>
      <c r="D306" s="12">
        <v>8376463</v>
      </c>
      <c r="E306" s="12">
        <v>8904240</v>
      </c>
      <c r="F306" s="12">
        <f t="shared" si="16"/>
        <v>-527777</v>
      </c>
      <c r="G306" s="3">
        <f t="shared" si="17"/>
        <v>-6.3007142752257134E-2</v>
      </c>
      <c r="I306" s="12">
        <v>8892632</v>
      </c>
      <c r="J306" s="12">
        <v>9451970</v>
      </c>
      <c r="K306" s="13">
        <f t="shared" si="18"/>
        <v>-559338</v>
      </c>
      <c r="L306" s="3">
        <f t="shared" si="19"/>
        <v>-6.2899038215007655E-2</v>
      </c>
    </row>
    <row r="307" spans="1:12" x14ac:dyDescent="0.2">
      <c r="A307" s="2">
        <v>2311</v>
      </c>
      <c r="B307" s="2">
        <v>1</v>
      </c>
      <c r="C307" s="2" t="s">
        <v>306</v>
      </c>
      <c r="D307" s="12">
        <v>6094097</v>
      </c>
      <c r="E307" s="12">
        <v>6336701</v>
      </c>
      <c r="F307" s="12">
        <f t="shared" si="16"/>
        <v>-242604</v>
      </c>
      <c r="G307" s="3">
        <f t="shared" si="17"/>
        <v>-3.9809671555933554E-2</v>
      </c>
      <c r="I307" s="12">
        <v>5783509</v>
      </c>
      <c r="J307" s="12">
        <v>5783509</v>
      </c>
      <c r="K307" s="13">
        <f t="shared" si="18"/>
        <v>0</v>
      </c>
      <c r="L307" s="3">
        <f t="shared" si="19"/>
        <v>0</v>
      </c>
    </row>
    <row r="308" spans="1:12" x14ac:dyDescent="0.2">
      <c r="A308" s="2">
        <v>2342</v>
      </c>
      <c r="B308" s="2">
        <v>1</v>
      </c>
      <c r="C308" s="2" t="s">
        <v>307</v>
      </c>
      <c r="D308" s="12">
        <v>7828060</v>
      </c>
      <c r="E308" s="12">
        <v>8182464</v>
      </c>
      <c r="F308" s="12">
        <f t="shared" si="16"/>
        <v>-354404</v>
      </c>
      <c r="G308" s="3">
        <f t="shared" si="17"/>
        <v>-4.527354159268069E-2</v>
      </c>
      <c r="I308" s="12">
        <v>8121748</v>
      </c>
      <c r="J308" s="12">
        <v>8489299</v>
      </c>
      <c r="K308" s="13">
        <f t="shared" si="18"/>
        <v>-367551</v>
      </c>
      <c r="L308" s="3">
        <f t="shared" si="19"/>
        <v>-4.5255159357320614E-2</v>
      </c>
    </row>
    <row r="309" spans="1:12" x14ac:dyDescent="0.2">
      <c r="A309" s="2">
        <v>2358</v>
      </c>
      <c r="B309" s="2">
        <v>1</v>
      </c>
      <c r="C309" s="2" t="s">
        <v>308</v>
      </c>
      <c r="D309" s="12">
        <v>1732550</v>
      </c>
      <c r="E309" s="12">
        <v>1882014</v>
      </c>
      <c r="F309" s="12">
        <f t="shared" si="16"/>
        <v>-149464</v>
      </c>
      <c r="G309" s="3">
        <f t="shared" si="17"/>
        <v>-8.6268217367464137E-2</v>
      </c>
      <c r="I309" s="12">
        <v>1826338</v>
      </c>
      <c r="J309" s="12">
        <v>1984302</v>
      </c>
      <c r="K309" s="13">
        <f t="shared" si="18"/>
        <v>-157964</v>
      </c>
      <c r="L309" s="3">
        <f t="shared" si="19"/>
        <v>-8.6492204619298296E-2</v>
      </c>
    </row>
    <row r="310" spans="1:12" x14ac:dyDescent="0.2">
      <c r="A310" s="2">
        <v>2364</v>
      </c>
      <c r="B310" s="2">
        <v>1</v>
      </c>
      <c r="C310" s="2" t="s">
        <v>309</v>
      </c>
      <c r="D310" s="12">
        <v>5247286</v>
      </c>
      <c r="E310" s="12">
        <v>5535564</v>
      </c>
      <c r="F310" s="12">
        <f t="shared" si="16"/>
        <v>-288278</v>
      </c>
      <c r="G310" s="3">
        <f t="shared" si="17"/>
        <v>-5.4938495824317563E-2</v>
      </c>
      <c r="I310" s="12">
        <v>5491482</v>
      </c>
      <c r="J310" s="12">
        <v>5796192</v>
      </c>
      <c r="K310" s="13">
        <f t="shared" si="18"/>
        <v>-304710</v>
      </c>
      <c r="L310" s="3">
        <f t="shared" si="19"/>
        <v>-5.5487753579088486E-2</v>
      </c>
    </row>
    <row r="311" spans="1:12" x14ac:dyDescent="0.2">
      <c r="A311" s="2">
        <v>2365</v>
      </c>
      <c r="B311" s="2">
        <v>1</v>
      </c>
      <c r="C311" s="2" t="s">
        <v>310</v>
      </c>
      <c r="D311" s="12">
        <v>10799284</v>
      </c>
      <c r="E311" s="12">
        <v>11229003</v>
      </c>
      <c r="F311" s="12">
        <f t="shared" si="16"/>
        <v>-429719</v>
      </c>
      <c r="G311" s="3">
        <f t="shared" si="17"/>
        <v>-3.9791434321016096E-2</v>
      </c>
      <c r="I311" s="12">
        <v>11704648</v>
      </c>
      <c r="J311" s="12">
        <v>12173197</v>
      </c>
      <c r="K311" s="13">
        <f t="shared" si="18"/>
        <v>-468549</v>
      </c>
      <c r="L311" s="3">
        <f t="shared" si="19"/>
        <v>-4.0031020155411767E-2</v>
      </c>
    </row>
    <row r="312" spans="1:12" x14ac:dyDescent="0.2">
      <c r="A312" s="2">
        <v>2396</v>
      </c>
      <c r="B312" s="2">
        <v>1</v>
      </c>
      <c r="C312" s="2" t="s">
        <v>311</v>
      </c>
      <c r="D312" s="12">
        <v>9611156</v>
      </c>
      <c r="E312" s="12">
        <v>10007433</v>
      </c>
      <c r="F312" s="12">
        <f t="shared" si="16"/>
        <v>-396277</v>
      </c>
      <c r="G312" s="3">
        <f t="shared" si="17"/>
        <v>-4.1230940378035694E-2</v>
      </c>
      <c r="I312" s="12">
        <v>9672108</v>
      </c>
      <c r="J312" s="12">
        <v>10073252</v>
      </c>
      <c r="K312" s="13">
        <f t="shared" si="18"/>
        <v>-401144</v>
      </c>
      <c r="L312" s="3">
        <f t="shared" si="19"/>
        <v>-4.1474309426652388E-2</v>
      </c>
    </row>
    <row r="313" spans="1:12" x14ac:dyDescent="0.2">
      <c r="A313" s="2">
        <v>2397</v>
      </c>
      <c r="B313" s="2">
        <v>1</v>
      </c>
      <c r="C313" s="2" t="s">
        <v>312</v>
      </c>
      <c r="D313" s="12">
        <v>7965852</v>
      </c>
      <c r="E313" s="12">
        <v>8442287</v>
      </c>
      <c r="F313" s="12">
        <f t="shared" si="16"/>
        <v>-476435</v>
      </c>
      <c r="G313" s="3">
        <f t="shared" si="17"/>
        <v>-5.9809672587439487E-2</v>
      </c>
      <c r="I313" s="12">
        <v>8034108</v>
      </c>
      <c r="J313" s="12">
        <v>8513074</v>
      </c>
      <c r="K313" s="13">
        <f t="shared" si="18"/>
        <v>-478966</v>
      </c>
      <c r="L313" s="3">
        <f t="shared" si="19"/>
        <v>-5.9616574733623195E-2</v>
      </c>
    </row>
    <row r="314" spans="1:12" x14ac:dyDescent="0.2">
      <c r="A314" s="2">
        <v>2448</v>
      </c>
      <c r="B314" s="2">
        <v>1</v>
      </c>
      <c r="C314" s="2" t="s">
        <v>313</v>
      </c>
      <c r="D314" s="12">
        <v>9358062</v>
      </c>
      <c r="E314" s="12">
        <v>9674259</v>
      </c>
      <c r="F314" s="12">
        <f t="shared" si="16"/>
        <v>-316197</v>
      </c>
      <c r="G314" s="3">
        <f t="shared" si="17"/>
        <v>-3.3788726768427049E-2</v>
      </c>
      <c r="I314" s="12">
        <v>9879970</v>
      </c>
      <c r="J314" s="12">
        <v>10213845</v>
      </c>
      <c r="K314" s="13">
        <f t="shared" si="18"/>
        <v>-333875</v>
      </c>
      <c r="L314" s="3">
        <f t="shared" si="19"/>
        <v>-3.3793118805016613E-2</v>
      </c>
    </row>
    <row r="315" spans="1:12" x14ac:dyDescent="0.2">
      <c r="A315" s="2">
        <v>2527</v>
      </c>
      <c r="B315" s="2">
        <v>1</v>
      </c>
      <c r="C315" s="2" t="s">
        <v>314</v>
      </c>
      <c r="D315" s="12">
        <v>2653301</v>
      </c>
      <c r="E315" s="12">
        <v>2763825</v>
      </c>
      <c r="F315" s="12">
        <f t="shared" si="16"/>
        <v>-110524</v>
      </c>
      <c r="G315" s="3">
        <f t="shared" si="17"/>
        <v>-4.1655281477676297E-2</v>
      </c>
      <c r="I315" s="12">
        <v>3286561</v>
      </c>
      <c r="J315" s="12">
        <v>3423691</v>
      </c>
      <c r="K315" s="13">
        <f t="shared" si="18"/>
        <v>-137130</v>
      </c>
      <c r="L315" s="3">
        <f t="shared" si="19"/>
        <v>-4.1724465178038683E-2</v>
      </c>
    </row>
    <row r="316" spans="1:12" x14ac:dyDescent="0.2">
      <c r="A316" s="2">
        <v>2534</v>
      </c>
      <c r="B316" s="2">
        <v>1</v>
      </c>
      <c r="C316" s="2" t="s">
        <v>315</v>
      </c>
      <c r="D316" s="12">
        <v>7875324</v>
      </c>
      <c r="E316" s="12">
        <v>8254496</v>
      </c>
      <c r="F316" s="12">
        <f t="shared" si="16"/>
        <v>-379172</v>
      </c>
      <c r="G316" s="3">
        <f t="shared" si="17"/>
        <v>-4.8146844498080335E-2</v>
      </c>
      <c r="I316" s="12">
        <v>9111533</v>
      </c>
      <c r="J316" s="12">
        <v>9550457</v>
      </c>
      <c r="K316" s="13">
        <f t="shared" si="18"/>
        <v>-438924</v>
      </c>
      <c r="L316" s="3">
        <f t="shared" si="19"/>
        <v>-4.8172354750841598E-2</v>
      </c>
    </row>
    <row r="317" spans="1:12" x14ac:dyDescent="0.2">
      <c r="A317" s="2">
        <v>2536</v>
      </c>
      <c r="B317" s="2">
        <v>1</v>
      </c>
      <c r="C317" s="2" t="s">
        <v>316</v>
      </c>
      <c r="D317" s="12">
        <v>4954512</v>
      </c>
      <c r="E317" s="12">
        <v>5079631</v>
      </c>
      <c r="F317" s="12">
        <f t="shared" si="16"/>
        <v>-125119</v>
      </c>
      <c r="G317" s="3">
        <f t="shared" si="17"/>
        <v>-2.5253546666149967E-2</v>
      </c>
      <c r="I317" s="12">
        <v>5245807</v>
      </c>
      <c r="J317" s="12">
        <v>5379018</v>
      </c>
      <c r="K317" s="13">
        <f t="shared" si="18"/>
        <v>-133211</v>
      </c>
      <c r="L317" s="3">
        <f t="shared" si="19"/>
        <v>-2.5393804995113241E-2</v>
      </c>
    </row>
    <row r="318" spans="1:12" x14ac:dyDescent="0.2">
      <c r="A318" s="2">
        <v>2580</v>
      </c>
      <c r="B318" s="2">
        <v>1</v>
      </c>
      <c r="C318" s="2" t="s">
        <v>317</v>
      </c>
      <c r="D318" s="12">
        <v>5864516</v>
      </c>
      <c r="E318" s="12">
        <v>6267265</v>
      </c>
      <c r="F318" s="12">
        <f t="shared" si="16"/>
        <v>-402749</v>
      </c>
      <c r="G318" s="3">
        <f t="shared" si="17"/>
        <v>-6.8675573568219447E-2</v>
      </c>
      <c r="I318" s="12">
        <v>5737688</v>
      </c>
      <c r="J318" s="12">
        <v>6131819</v>
      </c>
      <c r="K318" s="13">
        <f t="shared" si="18"/>
        <v>-394131</v>
      </c>
      <c r="L318" s="3">
        <f t="shared" si="19"/>
        <v>-6.8691605399247915E-2</v>
      </c>
    </row>
    <row r="319" spans="1:12" x14ac:dyDescent="0.2">
      <c r="A319" s="2">
        <v>2609</v>
      </c>
      <c r="B319" s="2">
        <v>1</v>
      </c>
      <c r="C319" s="2" t="s">
        <v>318</v>
      </c>
      <c r="D319" s="12">
        <v>3579949</v>
      </c>
      <c r="E319" s="12">
        <v>3818363</v>
      </c>
      <c r="F319" s="12">
        <f t="shared" si="16"/>
        <v>-238414</v>
      </c>
      <c r="G319" s="3">
        <f t="shared" si="17"/>
        <v>-6.6597038114230123E-2</v>
      </c>
      <c r="I319" s="12">
        <v>3737902</v>
      </c>
      <c r="J319" s="12">
        <v>3986747</v>
      </c>
      <c r="K319" s="13">
        <f t="shared" si="18"/>
        <v>-248845</v>
      </c>
      <c r="L319" s="3">
        <f t="shared" si="19"/>
        <v>-6.6573441465292565E-2</v>
      </c>
    </row>
    <row r="320" spans="1:12" x14ac:dyDescent="0.2">
      <c r="A320" s="2">
        <v>2683</v>
      </c>
      <c r="B320" s="2">
        <v>1</v>
      </c>
      <c r="C320" s="2" t="s">
        <v>319</v>
      </c>
      <c r="D320" s="12">
        <v>1881876</v>
      </c>
      <c r="E320" s="12">
        <v>2126012</v>
      </c>
      <c r="F320" s="12">
        <f t="shared" si="16"/>
        <v>-244136</v>
      </c>
      <c r="G320" s="3">
        <f t="shared" si="17"/>
        <v>-0.12973012036924855</v>
      </c>
      <c r="I320" s="12">
        <v>1786732</v>
      </c>
      <c r="J320" s="12">
        <v>2016733</v>
      </c>
      <c r="K320" s="13">
        <f t="shared" si="18"/>
        <v>-230001</v>
      </c>
      <c r="L320" s="3">
        <f t="shared" si="19"/>
        <v>-0.12872719579657163</v>
      </c>
    </row>
    <row r="321" spans="1:12" x14ac:dyDescent="0.2">
      <c r="A321" s="2">
        <v>2687</v>
      </c>
      <c r="B321" s="2">
        <v>1</v>
      </c>
      <c r="C321" s="2" t="s">
        <v>320</v>
      </c>
      <c r="D321" s="12">
        <v>7499967</v>
      </c>
      <c r="E321" s="12">
        <v>8059838</v>
      </c>
      <c r="F321" s="12">
        <f t="shared" si="16"/>
        <v>-559871</v>
      </c>
      <c r="G321" s="3">
        <f t="shared" si="17"/>
        <v>-7.4649795125765223E-2</v>
      </c>
      <c r="I321" s="12">
        <v>7209037</v>
      </c>
      <c r="J321" s="12">
        <v>7746636</v>
      </c>
      <c r="K321" s="13">
        <f t="shared" si="18"/>
        <v>-537599</v>
      </c>
      <c r="L321" s="3">
        <f t="shared" si="19"/>
        <v>-7.4572928395290519E-2</v>
      </c>
    </row>
    <row r="322" spans="1:12" x14ac:dyDescent="0.2">
      <c r="A322" s="2">
        <v>2689</v>
      </c>
      <c r="B322" s="2">
        <v>1</v>
      </c>
      <c r="C322" s="2" t="s">
        <v>321</v>
      </c>
      <c r="D322" s="12">
        <v>9921532</v>
      </c>
      <c r="E322" s="12">
        <v>10408304</v>
      </c>
      <c r="F322" s="12">
        <f t="shared" si="16"/>
        <v>-486772</v>
      </c>
      <c r="G322" s="3">
        <f t="shared" si="17"/>
        <v>-4.9062181122834662E-2</v>
      </c>
      <c r="I322" s="12">
        <v>11622136</v>
      </c>
      <c r="J322" s="12">
        <v>12203998</v>
      </c>
      <c r="K322" s="13">
        <f t="shared" si="18"/>
        <v>-581862</v>
      </c>
      <c r="L322" s="3">
        <f t="shared" si="19"/>
        <v>-5.0064979449560731E-2</v>
      </c>
    </row>
    <row r="323" spans="1:12" x14ac:dyDescent="0.2">
      <c r="A323" s="2">
        <v>2711</v>
      </c>
      <c r="B323" s="2">
        <v>1</v>
      </c>
      <c r="C323" s="2" t="s">
        <v>322</v>
      </c>
      <c r="D323" s="12">
        <v>6023740</v>
      </c>
      <c r="E323" s="12">
        <v>6738764</v>
      </c>
      <c r="F323" s="12">
        <f t="shared" si="16"/>
        <v>-715024</v>
      </c>
      <c r="G323" s="3">
        <f t="shared" si="17"/>
        <v>-0.11870100635153576</v>
      </c>
      <c r="I323" s="12">
        <v>6255182</v>
      </c>
      <c r="J323" s="12">
        <v>6997678</v>
      </c>
      <c r="K323" s="13">
        <f t="shared" si="18"/>
        <v>-742496</v>
      </c>
      <c r="L323" s="3">
        <f t="shared" si="19"/>
        <v>-0.1187009426744098</v>
      </c>
    </row>
    <row r="324" spans="1:12" x14ac:dyDescent="0.2">
      <c r="A324" s="2">
        <v>2752</v>
      </c>
      <c r="B324" s="2">
        <v>1</v>
      </c>
      <c r="C324" s="2" t="s">
        <v>323</v>
      </c>
      <c r="D324" s="12">
        <v>10576997</v>
      </c>
      <c r="E324" s="12">
        <v>11460271</v>
      </c>
      <c r="F324" s="12">
        <f t="shared" si="16"/>
        <v>-883274</v>
      </c>
      <c r="G324" s="3">
        <f t="shared" si="17"/>
        <v>-8.3508958166481476E-2</v>
      </c>
      <c r="I324" s="12">
        <v>11409922</v>
      </c>
      <c r="J324" s="12">
        <v>12362752</v>
      </c>
      <c r="K324" s="13">
        <f t="shared" si="18"/>
        <v>-952830</v>
      </c>
      <c r="L324" s="3">
        <f t="shared" si="19"/>
        <v>-8.3508896905693131E-2</v>
      </c>
    </row>
    <row r="325" spans="1:12" x14ac:dyDescent="0.2">
      <c r="A325" s="2">
        <v>2753</v>
      </c>
      <c r="B325" s="2">
        <v>1</v>
      </c>
      <c r="C325" s="2" t="s">
        <v>324</v>
      </c>
      <c r="D325" s="12">
        <v>5980991</v>
      </c>
      <c r="E325" s="12">
        <v>6546306</v>
      </c>
      <c r="F325" s="12">
        <f t="shared" si="16"/>
        <v>-565315</v>
      </c>
      <c r="G325" s="3">
        <f t="shared" si="17"/>
        <v>-9.4518617399691793E-2</v>
      </c>
      <c r="I325" s="12">
        <v>6028430</v>
      </c>
      <c r="J325" s="12">
        <v>6598276</v>
      </c>
      <c r="K325" s="13">
        <f t="shared" si="18"/>
        <v>-569846</v>
      </c>
      <c r="L325" s="3">
        <f t="shared" si="19"/>
        <v>-9.4526435572777651E-2</v>
      </c>
    </row>
    <row r="326" spans="1:12" x14ac:dyDescent="0.2">
      <c r="A326" s="2">
        <v>2754</v>
      </c>
      <c r="B326" s="2">
        <v>1</v>
      </c>
      <c r="C326" s="2" t="s">
        <v>325</v>
      </c>
      <c r="D326" s="12">
        <v>4710406</v>
      </c>
      <c r="E326" s="12">
        <v>4873279</v>
      </c>
      <c r="F326" s="12">
        <f t="shared" si="16"/>
        <v>-162873</v>
      </c>
      <c r="G326" s="3">
        <f t="shared" si="17"/>
        <v>-3.457727423071387E-2</v>
      </c>
      <c r="I326" s="12">
        <v>5413138</v>
      </c>
      <c r="J326" s="12">
        <v>5597466</v>
      </c>
      <c r="K326" s="13">
        <f t="shared" si="18"/>
        <v>-184328</v>
      </c>
      <c r="L326" s="3">
        <f t="shared" si="19"/>
        <v>-3.4051967638733763E-2</v>
      </c>
    </row>
    <row r="327" spans="1:12" x14ac:dyDescent="0.2">
      <c r="A327" s="2">
        <v>2759</v>
      </c>
      <c r="B327" s="2">
        <v>1</v>
      </c>
      <c r="C327" s="2" t="s">
        <v>326</v>
      </c>
      <c r="D327" s="12">
        <v>1591140</v>
      </c>
      <c r="E327" s="12">
        <v>1799962</v>
      </c>
      <c r="F327" s="12">
        <f t="shared" si="16"/>
        <v>-208822</v>
      </c>
      <c r="G327" s="3">
        <f t="shared" si="17"/>
        <v>-0.13124049423683648</v>
      </c>
      <c r="I327" s="12">
        <v>1450447</v>
      </c>
      <c r="J327" s="12">
        <v>1640804</v>
      </c>
      <c r="K327" s="13">
        <f t="shared" si="18"/>
        <v>-190357</v>
      </c>
      <c r="L327" s="3">
        <f t="shared" si="19"/>
        <v>-0.13124023145968106</v>
      </c>
    </row>
    <row r="328" spans="1:12" x14ac:dyDescent="0.2">
      <c r="A328" s="2">
        <v>2805</v>
      </c>
      <c r="B328" s="2">
        <v>1</v>
      </c>
      <c r="C328" s="2" t="s">
        <v>327</v>
      </c>
      <c r="D328" s="12">
        <v>6741979</v>
      </c>
      <c r="E328" s="12">
        <v>7156794</v>
      </c>
      <c r="F328" s="12">
        <f t="shared" si="16"/>
        <v>-414815</v>
      </c>
      <c r="G328" s="3">
        <f t="shared" si="17"/>
        <v>-6.1527186602034802E-2</v>
      </c>
      <c r="I328" s="12">
        <v>7038443</v>
      </c>
      <c r="J328" s="12">
        <v>7471412</v>
      </c>
      <c r="K328" s="13">
        <f t="shared" si="18"/>
        <v>-432969</v>
      </c>
      <c r="L328" s="3">
        <f t="shared" si="19"/>
        <v>-6.1514883334282879E-2</v>
      </c>
    </row>
    <row r="329" spans="1:12" x14ac:dyDescent="0.2">
      <c r="A329" s="2">
        <v>2835</v>
      </c>
      <c r="B329" s="2">
        <v>1</v>
      </c>
      <c r="C329" s="2" t="s">
        <v>328</v>
      </c>
      <c r="D329" s="12">
        <v>6735407</v>
      </c>
      <c r="E329" s="12">
        <v>7077474</v>
      </c>
      <c r="F329" s="12">
        <f t="shared" si="16"/>
        <v>-342067</v>
      </c>
      <c r="G329" s="3">
        <f t="shared" si="17"/>
        <v>-5.0786389003663772E-2</v>
      </c>
      <c r="I329" s="12">
        <v>7329143</v>
      </c>
      <c r="J329" s="12">
        <v>7702268</v>
      </c>
      <c r="K329" s="13">
        <f t="shared" si="18"/>
        <v>-373125</v>
      </c>
      <c r="L329" s="3">
        <f t="shared" si="19"/>
        <v>-5.0909772124790031E-2</v>
      </c>
    </row>
    <row r="330" spans="1:12" x14ac:dyDescent="0.2">
      <c r="A330" s="2">
        <v>2853</v>
      </c>
      <c r="B330" s="2">
        <v>1</v>
      </c>
      <c r="C330" s="2" t="s">
        <v>329</v>
      </c>
      <c r="D330" s="12">
        <v>11104941</v>
      </c>
      <c r="E330" s="12">
        <v>11526073</v>
      </c>
      <c r="F330" s="12">
        <f t="shared" si="16"/>
        <v>-421132</v>
      </c>
      <c r="G330" s="3">
        <f t="shared" si="17"/>
        <v>-3.7922938987249008E-2</v>
      </c>
      <c r="I330" s="12">
        <v>11588802</v>
      </c>
      <c r="J330" s="12">
        <v>12025280</v>
      </c>
      <c r="K330" s="13">
        <f t="shared" si="18"/>
        <v>-436478</v>
      </c>
      <c r="L330" s="3">
        <f t="shared" si="19"/>
        <v>-3.7663772320900811E-2</v>
      </c>
    </row>
    <row r="331" spans="1:12" x14ac:dyDescent="0.2">
      <c r="A331" s="2">
        <v>2854</v>
      </c>
      <c r="B331" s="2">
        <v>1</v>
      </c>
      <c r="C331" s="2" t="s">
        <v>330</v>
      </c>
      <c r="D331" s="12">
        <v>4218922</v>
      </c>
      <c r="E331" s="12">
        <v>4405912</v>
      </c>
      <c r="F331" s="12">
        <f t="shared" si="16"/>
        <v>-186990</v>
      </c>
      <c r="G331" s="3">
        <f t="shared" si="17"/>
        <v>-4.4321748541452058E-2</v>
      </c>
      <c r="I331" s="12">
        <v>5086184</v>
      </c>
      <c r="J331" s="12">
        <v>5119868</v>
      </c>
      <c r="K331" s="13">
        <f t="shared" si="18"/>
        <v>-33684</v>
      </c>
      <c r="L331" s="3">
        <f t="shared" si="19"/>
        <v>-6.6226467622877974E-3</v>
      </c>
    </row>
    <row r="332" spans="1:12" x14ac:dyDescent="0.2">
      <c r="A332" s="2">
        <v>2856</v>
      </c>
      <c r="B332" s="2">
        <v>1</v>
      </c>
      <c r="C332" s="2" t="s">
        <v>331</v>
      </c>
      <c r="D332" s="12">
        <v>4533425</v>
      </c>
      <c r="E332" s="12">
        <v>4694063</v>
      </c>
      <c r="F332" s="12">
        <f t="shared" ref="F332:F346" si="20">D332-E332</f>
        <v>-160638</v>
      </c>
      <c r="G332" s="3">
        <f t="shared" ref="G332:G346" si="21">(D332-E332)/D332</f>
        <v>-3.5434136442093998E-2</v>
      </c>
      <c r="I332" s="12">
        <v>4859939</v>
      </c>
      <c r="J332" s="12">
        <v>4859939</v>
      </c>
      <c r="K332" s="13">
        <f t="shared" ref="K332:K346" si="22">I332-J332</f>
        <v>0</v>
      </c>
      <c r="L332" s="3">
        <f t="shared" ref="L332:L346" si="23">(I332-J332)/I332</f>
        <v>0</v>
      </c>
    </row>
    <row r="333" spans="1:12" x14ac:dyDescent="0.2">
      <c r="A333" s="2">
        <v>2859</v>
      </c>
      <c r="B333" s="2">
        <v>1</v>
      </c>
      <c r="C333" s="2" t="s">
        <v>332</v>
      </c>
      <c r="D333" s="12">
        <v>11575799</v>
      </c>
      <c r="E333" s="12">
        <v>12442778</v>
      </c>
      <c r="F333" s="12">
        <f t="shared" si="20"/>
        <v>-866979</v>
      </c>
      <c r="G333" s="3">
        <f t="shared" si="21"/>
        <v>-7.4895823605783063E-2</v>
      </c>
      <c r="I333" s="12">
        <v>11023072</v>
      </c>
      <c r="J333" s="12">
        <v>11848526</v>
      </c>
      <c r="K333" s="13">
        <f t="shared" si="22"/>
        <v>-825454</v>
      </c>
      <c r="L333" s="3">
        <f t="shared" si="23"/>
        <v>-7.4884206507949871E-2</v>
      </c>
    </row>
    <row r="334" spans="1:12" x14ac:dyDescent="0.2">
      <c r="A334" s="2">
        <v>2860</v>
      </c>
      <c r="B334" s="2">
        <v>1</v>
      </c>
      <c r="C334" s="2" t="s">
        <v>333</v>
      </c>
      <c r="D334" s="12">
        <v>10845451</v>
      </c>
      <c r="E334" s="12">
        <v>11437787</v>
      </c>
      <c r="F334" s="12">
        <f t="shared" si="20"/>
        <v>-592336</v>
      </c>
      <c r="G334" s="3">
        <f t="shared" si="21"/>
        <v>-5.4616078206429587E-2</v>
      </c>
      <c r="I334" s="12">
        <v>12840646</v>
      </c>
      <c r="J334" s="12">
        <v>13541897</v>
      </c>
      <c r="K334" s="13">
        <f t="shared" si="22"/>
        <v>-701251</v>
      </c>
      <c r="L334" s="3">
        <f t="shared" si="23"/>
        <v>-5.4611816259088522E-2</v>
      </c>
    </row>
    <row r="335" spans="1:12" x14ac:dyDescent="0.2">
      <c r="A335" s="2">
        <v>2884</v>
      </c>
      <c r="B335" s="2">
        <v>1</v>
      </c>
      <c r="C335" s="2" t="s">
        <v>334</v>
      </c>
      <c r="D335" s="12">
        <v>7363466</v>
      </c>
      <c r="E335" s="12">
        <v>7591698</v>
      </c>
      <c r="F335" s="12">
        <f t="shared" si="20"/>
        <v>-228232</v>
      </c>
      <c r="G335" s="3">
        <f t="shared" si="21"/>
        <v>-3.0995186234308681E-2</v>
      </c>
      <c r="I335" s="12">
        <v>8297445</v>
      </c>
      <c r="J335" s="12">
        <v>8545915</v>
      </c>
      <c r="K335" s="13">
        <f t="shared" si="22"/>
        <v>-248470</v>
      </c>
      <c r="L335" s="3">
        <f t="shared" si="23"/>
        <v>-2.9945362698999511E-2</v>
      </c>
    </row>
    <row r="336" spans="1:12" x14ac:dyDescent="0.2">
      <c r="A336" s="2">
        <v>2886</v>
      </c>
      <c r="B336" s="2">
        <v>1</v>
      </c>
      <c r="C336" s="2" t="s">
        <v>335</v>
      </c>
      <c r="D336" s="12">
        <v>4023082</v>
      </c>
      <c r="E336" s="12">
        <v>4223059</v>
      </c>
      <c r="F336" s="12">
        <f t="shared" si="20"/>
        <v>-199977</v>
      </c>
      <c r="G336" s="3">
        <f t="shared" si="21"/>
        <v>-4.9707413371141825E-2</v>
      </c>
      <c r="I336" s="12">
        <v>4749802</v>
      </c>
      <c r="J336" s="12">
        <v>4985902</v>
      </c>
      <c r="K336" s="13">
        <f t="shared" si="22"/>
        <v>-236100</v>
      </c>
      <c r="L336" s="3">
        <f t="shared" si="23"/>
        <v>-4.970733516891862E-2</v>
      </c>
    </row>
    <row r="337" spans="1:12" x14ac:dyDescent="0.2">
      <c r="A337" s="2">
        <v>2888</v>
      </c>
      <c r="B337" s="2">
        <v>1</v>
      </c>
      <c r="C337" s="2" t="s">
        <v>336</v>
      </c>
      <c r="D337" s="12">
        <v>6503633</v>
      </c>
      <c r="E337" s="12">
        <v>6656289</v>
      </c>
      <c r="F337" s="12">
        <f t="shared" si="20"/>
        <v>-152656</v>
      </c>
      <c r="G337" s="3">
        <f t="shared" si="21"/>
        <v>-2.3472419184784873E-2</v>
      </c>
      <c r="I337" s="12">
        <v>7225403</v>
      </c>
      <c r="J337" s="12">
        <v>7390468</v>
      </c>
      <c r="K337" s="13">
        <f t="shared" si="22"/>
        <v>-165065</v>
      </c>
      <c r="L337" s="3">
        <f t="shared" si="23"/>
        <v>-2.2845092515946862E-2</v>
      </c>
    </row>
    <row r="338" spans="1:12" x14ac:dyDescent="0.2">
      <c r="A338" s="2">
        <v>2889</v>
      </c>
      <c r="B338" s="2">
        <v>1</v>
      </c>
      <c r="C338" s="2" t="s">
        <v>337</v>
      </c>
      <c r="D338" s="12">
        <v>9448154</v>
      </c>
      <c r="E338" s="12">
        <v>9758993</v>
      </c>
      <c r="F338" s="12">
        <f t="shared" si="20"/>
        <v>-310839</v>
      </c>
      <c r="G338" s="3">
        <f t="shared" si="21"/>
        <v>-3.2899442578941875E-2</v>
      </c>
      <c r="I338" s="12">
        <v>9995758</v>
      </c>
      <c r="J338" s="12">
        <v>10325235</v>
      </c>
      <c r="K338" s="13">
        <f t="shared" si="22"/>
        <v>-329477</v>
      </c>
      <c r="L338" s="3">
        <f t="shared" si="23"/>
        <v>-3.2961682345651028E-2</v>
      </c>
    </row>
    <row r="339" spans="1:12" x14ac:dyDescent="0.2">
      <c r="A339" s="2">
        <v>2890</v>
      </c>
      <c r="B339" s="2">
        <v>1</v>
      </c>
      <c r="C339" s="2" t="s">
        <v>338</v>
      </c>
      <c r="D339" s="12">
        <v>8271859</v>
      </c>
      <c r="E339" s="12">
        <v>8550615</v>
      </c>
      <c r="F339" s="12">
        <f t="shared" si="20"/>
        <v>-278756</v>
      </c>
      <c r="G339" s="3">
        <f t="shared" si="21"/>
        <v>-3.3699317166794064E-2</v>
      </c>
      <c r="I339" s="12">
        <v>8859356</v>
      </c>
      <c r="J339" s="12">
        <v>9157907</v>
      </c>
      <c r="K339" s="13">
        <f t="shared" si="22"/>
        <v>-298551</v>
      </c>
      <c r="L339" s="3">
        <f t="shared" si="23"/>
        <v>-3.3698950578349034E-2</v>
      </c>
    </row>
    <row r="340" spans="1:12" x14ac:dyDescent="0.2">
      <c r="A340" s="2">
        <v>2895</v>
      </c>
      <c r="B340" s="2">
        <v>1</v>
      </c>
      <c r="C340" s="2" t="s">
        <v>339</v>
      </c>
      <c r="D340" s="12">
        <v>11990555</v>
      </c>
      <c r="E340" s="12">
        <v>12567261</v>
      </c>
      <c r="F340" s="12">
        <f t="shared" si="20"/>
        <v>-576706</v>
      </c>
      <c r="G340" s="3">
        <f t="shared" si="21"/>
        <v>-4.8096689435976898E-2</v>
      </c>
      <c r="I340" s="12">
        <v>12425747</v>
      </c>
      <c r="J340" s="12">
        <v>13023371</v>
      </c>
      <c r="K340" s="13">
        <f t="shared" si="22"/>
        <v>-597624</v>
      </c>
      <c r="L340" s="3">
        <f t="shared" si="23"/>
        <v>-4.8095619522914801E-2</v>
      </c>
    </row>
    <row r="341" spans="1:12" x14ac:dyDescent="0.2">
      <c r="A341" s="2">
        <v>2897</v>
      </c>
      <c r="B341" s="2">
        <v>1</v>
      </c>
      <c r="C341" s="2" t="s">
        <v>340</v>
      </c>
      <c r="D341" s="12">
        <v>7960106</v>
      </c>
      <c r="E341" s="12">
        <v>8499279</v>
      </c>
      <c r="F341" s="12">
        <f t="shared" si="20"/>
        <v>-539173</v>
      </c>
      <c r="G341" s="3">
        <f t="shared" si="21"/>
        <v>-6.7734399516790361E-2</v>
      </c>
      <c r="I341" s="12">
        <v>8563796</v>
      </c>
      <c r="J341" s="12">
        <v>9139337</v>
      </c>
      <c r="K341" s="13">
        <f t="shared" si="22"/>
        <v>-575541</v>
      </c>
      <c r="L341" s="3">
        <f t="shared" si="23"/>
        <v>-6.7206294965456909E-2</v>
      </c>
    </row>
    <row r="342" spans="1:12" x14ac:dyDescent="0.2">
      <c r="A342" s="2">
        <v>2898</v>
      </c>
      <c r="B342" s="2">
        <v>1</v>
      </c>
      <c r="C342" s="2" t="s">
        <v>341</v>
      </c>
      <c r="D342" s="12">
        <v>5492109</v>
      </c>
      <c r="E342" s="12">
        <v>5660584</v>
      </c>
      <c r="F342" s="12">
        <f t="shared" si="20"/>
        <v>-168475</v>
      </c>
      <c r="G342" s="3">
        <f t="shared" si="21"/>
        <v>-3.0675829631203605E-2</v>
      </c>
      <c r="I342" s="12">
        <v>5856886</v>
      </c>
      <c r="J342" s="12">
        <v>6034284</v>
      </c>
      <c r="K342" s="13">
        <f t="shared" si="22"/>
        <v>-177398</v>
      </c>
      <c r="L342" s="3">
        <f t="shared" si="23"/>
        <v>-3.0288791688962358E-2</v>
      </c>
    </row>
    <row r="343" spans="1:12" x14ac:dyDescent="0.2">
      <c r="A343" s="2">
        <v>2899</v>
      </c>
      <c r="B343" s="2">
        <v>1</v>
      </c>
      <c r="C343" s="2" t="s">
        <v>342</v>
      </c>
      <c r="D343" s="12">
        <v>7685677</v>
      </c>
      <c r="E343" s="12">
        <v>8156680</v>
      </c>
      <c r="F343" s="12">
        <f t="shared" si="20"/>
        <v>-471003</v>
      </c>
      <c r="G343" s="3">
        <f t="shared" si="21"/>
        <v>-6.1283215518945174E-2</v>
      </c>
      <c r="I343" s="12">
        <v>8096415</v>
      </c>
      <c r="J343" s="12">
        <v>8593750</v>
      </c>
      <c r="K343" s="13">
        <f t="shared" si="22"/>
        <v>-497335</v>
      </c>
      <c r="L343" s="3">
        <f t="shared" si="23"/>
        <v>-6.1426569660769613E-2</v>
      </c>
    </row>
    <row r="344" spans="1:12" x14ac:dyDescent="0.2">
      <c r="A344" s="2">
        <v>2902</v>
      </c>
      <c r="B344" s="2">
        <v>1</v>
      </c>
      <c r="C344" s="2" t="s">
        <v>343</v>
      </c>
      <c r="D344" s="12">
        <v>5016678</v>
      </c>
      <c r="E344" s="12">
        <v>5253805</v>
      </c>
      <c r="F344" s="12">
        <f t="shared" si="20"/>
        <v>-237127</v>
      </c>
      <c r="G344" s="3">
        <f t="shared" si="21"/>
        <v>-4.7267733747312461E-2</v>
      </c>
      <c r="I344" s="12">
        <v>5645511</v>
      </c>
      <c r="J344" s="12">
        <v>5909831</v>
      </c>
      <c r="K344" s="13">
        <f t="shared" si="22"/>
        <v>-264320</v>
      </c>
      <c r="L344" s="3">
        <f t="shared" si="23"/>
        <v>-4.6819499598884852E-2</v>
      </c>
    </row>
    <row r="345" spans="1:12" x14ac:dyDescent="0.2">
      <c r="A345" s="2">
        <v>2903</v>
      </c>
      <c r="B345" s="2">
        <v>1</v>
      </c>
      <c r="C345" s="2" t="s">
        <v>344</v>
      </c>
      <c r="D345" s="12">
        <v>4276048</v>
      </c>
      <c r="E345" s="12">
        <v>4536160</v>
      </c>
      <c r="F345" s="12">
        <f t="shared" si="20"/>
        <v>-260112</v>
      </c>
      <c r="G345" s="3">
        <f t="shared" si="21"/>
        <v>-6.0830000037417731E-2</v>
      </c>
      <c r="I345" s="12">
        <v>4500007</v>
      </c>
      <c r="J345" s="12">
        <v>4777094</v>
      </c>
      <c r="K345" s="13">
        <f t="shared" si="22"/>
        <v>-277087</v>
      </c>
      <c r="L345" s="3">
        <f t="shared" si="23"/>
        <v>-6.1574793105877393E-2</v>
      </c>
    </row>
    <row r="346" spans="1:12" x14ac:dyDescent="0.2">
      <c r="A346" s="2">
        <v>2904</v>
      </c>
      <c r="B346" s="2">
        <v>1</v>
      </c>
      <c r="C346" s="2" t="s">
        <v>345</v>
      </c>
      <c r="D346" s="12">
        <v>8611309</v>
      </c>
      <c r="E346" s="12">
        <v>8949884</v>
      </c>
      <c r="F346" s="12">
        <f t="shared" si="20"/>
        <v>-338575</v>
      </c>
      <c r="G346" s="3">
        <f t="shared" si="21"/>
        <v>-3.9317483555635968E-2</v>
      </c>
      <c r="I346" s="12">
        <v>9833384</v>
      </c>
      <c r="J346" s="12">
        <v>10229142</v>
      </c>
      <c r="K346" s="13">
        <f t="shared" si="22"/>
        <v>-395758</v>
      </c>
      <c r="L346" s="3">
        <f t="shared" si="23"/>
        <v>-4.0246368900065325E-2</v>
      </c>
    </row>
    <row r="347" spans="1:12" x14ac:dyDescent="0.2">
      <c r="F347" s="13"/>
    </row>
    <row r="348" spans="1:12" x14ac:dyDescent="0.2">
      <c r="F348" s="13"/>
    </row>
  </sheetData>
  <mergeCells count="2">
    <mergeCell ref="D5:G5"/>
    <mergeCell ref="I5:L5"/>
  </mergeCells>
  <pageMargins left="0.7" right="0.45" top="0.75" bottom="0.5" header="0.3" footer="0.3"/>
  <pageSetup scale="91" fitToHeight="8" orientation="landscape" r:id="rId1"/>
  <headerFooter>
    <oddHeader>&amp;LMDE, Program Finance Division&amp;C&amp;"-,Bold"2010 ADJUSTED NET TAX CAPACITIES
After Homestead Market Value Exclusion Law Change&amp;RAugust 29, 2011</oddHeader>
    <oddFooter>&amp;C&amp;9&amp;P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 ANTC from Law Change</vt:lpstr>
      <vt:lpstr>'2010 ANTC from Law Change'!Print_Area</vt:lpstr>
      <vt:lpstr>'2010 ANTC from Law Change'!Print_Titles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Yetter, Terri</dc:creator>
  <cp:lastModifiedBy>Kostelecky, Teri</cp:lastModifiedBy>
  <cp:lastPrinted>2011-08-28T22:45:29Z</cp:lastPrinted>
  <dcterms:created xsi:type="dcterms:W3CDTF">2011-08-28T22:41:27Z</dcterms:created>
  <dcterms:modified xsi:type="dcterms:W3CDTF">2011-10-25T18:26:11Z</dcterms:modified>
</cp:coreProperties>
</file>