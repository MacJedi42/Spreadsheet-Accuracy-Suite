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nputs" state="visible" r:id="rId3"/>
    <sheet sheetId="2" name="Prod &amp; Costs" state="visible" r:id="rId4"/>
    <sheet sheetId="3" name="DCF" state="visible" r:id="rId5"/>
    <sheet sheetId="4" name="Valuation range" state="visible" r:id="rId6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t xml:space="preserve">joey:
You can changes around the projected silver prices. Ther long term silver price matters the most. It will likely be 25-35$/oz due to the inflation and the demand for silver.
</t>
      </text>
    </comment>
  </commentList>
</comments>
</file>

<file path=xl/sharedStrings.xml><?xml version="1.0" encoding="utf-8"?>
<sst xmlns="http://schemas.openxmlformats.org/spreadsheetml/2006/main" count="60" uniqueCount="59">
  <si>
    <t>Timestamp</t>
  </si>
  <si>
    <t>Inputs</t>
  </si>
  <si>
    <t>Silver Price 2009</t>
  </si>
  <si>
    <t>Silver price 2010</t>
  </si>
  <si>
    <t>Silver Price 2011</t>
  </si>
  <si>
    <t>Silver Pirce 2012</t>
  </si>
  <si>
    <t>Silver Price 2013</t>
  </si>
  <si>
    <t>Silver Price 2014-2015</t>
  </si>
  <si>
    <t>Silver Price (Terminal)</t>
  </si>
  <si>
    <t>Require Rate of Return</t>
  </si>
  <si>
    <t>Total Resources</t>
  </si>
  <si>
    <t>Current Reserves</t>
  </si>
  <si>
    <t>Net Measured/Inferred Reserves</t>
  </si>
  <si>
    <t>Reserve Multiple</t>
  </si>
  <si>
    <t>Resource Multiple</t>
  </si>
  <si>
    <t>Fully Diluted Shares</t>
  </si>
  <si>
    <t>Net Debt</t>
  </si>
  <si>
    <t>Tax Rate</t>
  </si>
  <si>
    <t>Silver Wheaton</t>
  </si>
  <si>
    <t>Royalty Costs/oz</t>
  </si>
  <si>
    <t>2009 Production</t>
  </si>
  <si>
    <t>2009 Purchasing Price</t>
  </si>
  <si>
    <t>2010 Prodcution</t>
  </si>
  <si>
    <t>2010 Purchasing Price</t>
  </si>
  <si>
    <t>2011 Production</t>
  </si>
  <si>
    <t>2011 Purchasing Price</t>
  </si>
  <si>
    <t>2012 Production</t>
  </si>
  <si>
    <t>2012 Purchasing Price</t>
  </si>
  <si>
    <t>2013 Production</t>
  </si>
  <si>
    <t>2013 Purchasing Price</t>
  </si>
  <si>
    <t>2014 Production</t>
  </si>
  <si>
    <t>2014 Purchasing Price</t>
  </si>
  <si>
    <t>2015 Production</t>
  </si>
  <si>
    <t>2015 Purchasing Price</t>
  </si>
  <si>
    <t>Terminal Production</t>
  </si>
  <si>
    <t>Terminal Purchasing Price</t>
  </si>
  <si>
    <t>Net Reserves</t>
  </si>
  <si>
    <t>Year</t>
  </si>
  <si>
    <t>Royalty Revenue</t>
  </si>
  <si>
    <t>Purchasing Costs</t>
  </si>
  <si>
    <t>Operating Income</t>
  </si>
  <si>
    <t>Interest Expense</t>
  </si>
  <si>
    <t>Taxes</t>
  </si>
  <si>
    <t>NOPAT</t>
  </si>
  <si>
    <t>Debt Repayment</t>
  </si>
  <si>
    <t>Capital Reinvestment</t>
  </si>
  <si>
    <t>FCF</t>
  </si>
  <si>
    <t>Ke</t>
  </si>
  <si>
    <t>Net Present Value</t>
  </si>
  <si>
    <t>Debt Remaining</t>
  </si>
  <si>
    <t>Valuation 1(BASIC DCF: Best for Retailers)</t>
  </si>
  <si>
    <t>Valuation 2 (Mining Companies)</t>
  </si>
  <si>
    <t>VPS (2009-2015)</t>
  </si>
  <si>
    <t>VPS</t>
  </si>
  <si>
    <t>VPS Terminal Stage</t>
  </si>
  <si>
    <t>Reserve Value</t>
  </si>
  <si>
    <t>Intrinsic Value</t>
  </si>
  <si>
    <t>Resource Value</t>
  </si>
  <si>
    <t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</si>
</sst>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&quot;$&quot;#,##0"/>
    <numFmt numFmtId="165" formatCode="&quot;$&quot;#,##0.00"/>
    <numFmt numFmtId="166" formatCode="&quot;$&quot;#,##0"/>
    <numFmt numFmtId="167" formatCode="&quot;$&quot;#,##0.00"/>
    <numFmt numFmtId="168" formatCode="&quot;$&quot;#,##0"/>
    <numFmt numFmtId="169" formatCode="&quot;$&quot;#,##0.00"/>
    <numFmt numFmtId="170" formatCode="&quot;$&quot;#,##0"/>
    <numFmt numFmtId="171" formatCode="&quot;$&quot;#,##0.00"/>
    <numFmt numFmtId="172" formatCode="&quot;$&quot;#,##0"/>
    <numFmt numFmtId="173" formatCode="&quot;$&quot;#,##0.00"/>
    <numFmt numFmtId="174" formatCode="&quot;$&quot;#,##0.00"/>
    <numFmt numFmtId="175" formatCode="&quot;$&quot;#,##0"/>
    <numFmt numFmtId="176" formatCode="&quot;$&quot;#,##0.00"/>
    <numFmt numFmtId="177" formatCode="&quot;$&quot;#,##0"/>
    <numFmt numFmtId="178" formatCode="&quot;$&quot;#,##0.00"/>
  </numFmts>
  <fonts count="62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3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/>
      <i val="0"/>
      <strike val="0"/>
      <u val="none"/>
      <sz val="10.0"/>
      <color rgb="FF80808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</fills>
  <borders count="5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fillId="0" numFmtId="0" borderId="0" fontId="0"/>
  </cellStyleXfs>
  <cellXfs count="7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Border="1" applyAlignment="1" fillId="0" xfId="0" numFmtId="164" borderId="1" applyFont="1" fontId="2" applyNumberFormat="1">
      <alignment vertical="bottom" horizontal="center"/>
    </xf>
    <xf applyBorder="1" applyAlignment="1" fillId="0" xfId="0" numFmtId="0" borderId="2" applyFont="1" fontId="3">
      <alignment vertical="bottom" horizontal="center"/>
    </xf>
    <xf applyBorder="1" applyAlignment="1" fillId="0" xfId="0" numFmtId="0" borderId="3" applyFont="1" fontId="4">
      <alignment vertical="bottom" horizontal="general" wrapText="1"/>
    </xf>
    <xf fillId="0" xfId="0" numFmtId="0" borderId="0" applyFont="1" fontId="5"/>
    <xf applyBorder="1" fillId="0" xfId="0" numFmtId="165" borderId="4" applyFont="1" fontId="6" applyNumberFormat="1"/>
    <xf applyBorder="1" applyAlignment="1" fillId="0" xfId="0" numFmtId="166" borderId="5" applyFont="1" fontId="7" applyNumberFormat="1">
      <alignment vertical="bottom" horizontal="center"/>
    </xf>
    <xf applyBorder="1" applyAlignment="1" fillId="0" xfId="0" numFmtId="0" borderId="6" fontId="0">
      <alignment vertical="bottom" horizontal="general" wrapText="1"/>
    </xf>
    <xf applyBorder="1" applyAlignment="1" fillId="0" xfId="0" numFmtId="0" borderId="7" applyFont="1" fontId="8">
      <alignment vertical="bottom" horizontal="general" wrapText="1"/>
    </xf>
    <xf applyBorder="1" applyAlignment="1" fillId="2" xfId="0" numFmtId="10" borderId="8" applyFont="1" fontId="9" applyNumberFormat="1" applyFill="1">
      <alignment vertical="bottom" horizontal="center"/>
    </xf>
    <xf applyBorder="1" fillId="0" xfId="0" numFmtId="0" borderId="9" applyFont="1" fontId="10"/>
    <xf applyBorder="1" fillId="0" xfId="0" numFmtId="0" borderId="10" applyFont="1" fontId="11"/>
    <xf applyBorder="1" applyAlignment="1" fillId="0" xfId="0" numFmtId="0" borderId="11" fontId="0">
      <alignment vertical="bottom" horizontal="general" wrapText="1"/>
    </xf>
    <xf applyBorder="1" applyAlignment="1" fillId="0" xfId="0" numFmtId="0" borderId="12" applyFont="1" fontId="12">
      <alignment vertical="bottom" horizontal="general" wrapText="1"/>
    </xf>
    <xf applyAlignment="1" fillId="0" xfId="0" numFmtId="167" borderId="0" applyFont="1" fontId="13" applyNumberFormat="1">
      <alignment vertical="bottom" horizontal="center"/>
    </xf>
    <xf applyBorder="1" applyAlignment="1" fillId="0" xfId="0" numFmtId="0" borderId="13" applyFont="1" fontId="14">
      <alignment vertical="bottom" horizontal="center"/>
    </xf>
    <xf applyBorder="1" applyAlignment="1" fillId="0" xfId="0" numFmtId="0" borderId="14" applyFont="1" fontId="15">
      <alignment vertical="bottom" horizontal="general" wrapText="1"/>
    </xf>
    <xf applyBorder="1" fillId="0" xfId="0" numFmtId="0" borderId="15" applyFont="1" fontId="16"/>
    <xf applyBorder="1" applyAlignment="1" fillId="0" xfId="0" numFmtId="0" borderId="16" fontId="0">
      <alignment vertical="bottom" horizontal="general" wrapText="1"/>
    </xf>
    <xf applyBorder="1" fillId="0" xfId="0" numFmtId="0" borderId="17" applyFont="1" fontId="17"/>
    <xf applyBorder="1" applyAlignment="1" fillId="3" xfId="0" numFmtId="3" borderId="18" applyFont="1" fontId="18" applyNumberFormat="1" applyFill="1">
      <alignment vertical="bottom" horizontal="center"/>
    </xf>
    <xf applyBorder="1" applyAlignment="1" fillId="0" xfId="0" numFmtId="0" borderId="19" applyFont="1" fontId="19">
      <alignment vertical="bottom" horizontal="center"/>
    </xf>
    <xf applyBorder="1" applyAlignment="1" fillId="0" xfId="0" numFmtId="0" borderId="20" fontId="0">
      <alignment vertical="bottom" horizontal="general" wrapText="1"/>
    </xf>
    <xf applyBorder="1" fillId="0" xfId="0" numFmtId="0" borderId="21" applyFont="1" fontId="20"/>
    <xf applyBorder="1" applyAlignment="1" fillId="0" xfId="0" numFmtId="168" borderId="22" applyFont="1" fontId="21" applyNumberFormat="1">
      <alignment vertical="bottom" horizontal="center"/>
    </xf>
    <xf applyAlignment="1" fillId="0" xfId="0" numFmtId="2" borderId="0" applyFont="1" fontId="22" applyNumberFormat="1">
      <alignment vertical="bottom" horizontal="center"/>
    </xf>
    <xf applyBorder="1" fillId="0" xfId="0" numFmtId="0" borderId="23" applyFont="1" fontId="23"/>
    <xf applyBorder="1" applyAlignment="1" fillId="0" xfId="0" numFmtId="0" borderId="24" fontId="0">
      <alignment vertical="bottom" horizontal="general" wrapText="1"/>
    </xf>
    <xf applyBorder="1" fillId="0" xfId="0" numFmtId="0" borderId="25" applyFont="1" fontId="24"/>
    <xf applyBorder="1" applyAlignment="1" fillId="0" xfId="0" numFmtId="0" borderId="26" fontId="0">
      <alignment vertical="bottom" horizontal="general" wrapText="1"/>
    </xf>
    <xf applyBorder="1" applyAlignment="1" fillId="0" xfId="0" numFmtId="169" borderId="27" applyFont="1" fontId="25" applyNumberFormat="1">
      <alignment vertical="bottom" horizontal="center"/>
    </xf>
    <xf applyBorder="1" applyAlignment="1" fillId="0" xfId="0" numFmtId="2" borderId="28" applyFont="1" fontId="26" applyNumberFormat="1">
      <alignment vertical="bottom" horizontal="center"/>
    </xf>
    <xf applyAlignment="1" fillId="0" xfId="0" numFmtId="0" borderId="0" applyFont="1" fontId="27">
      <alignment vertical="bottom" horizontal="center"/>
    </xf>
    <xf applyAlignment="1" fillId="0" xfId="0" numFmtId="0" borderId="0" applyFont="1" fontId="28">
      <alignment vertical="bottom" horizontal="center"/>
    </xf>
    <xf applyBorder="1" applyAlignment="1" fillId="0" xfId="0" numFmtId="170" borderId="29" applyFont="1" fontId="29" applyNumberFormat="1">
      <alignment vertical="bottom" horizontal="center"/>
    </xf>
    <xf applyBorder="1" applyAlignment="1" fillId="0" xfId="0" numFmtId="0" borderId="30" fontId="0">
      <alignment vertical="bottom" horizontal="general" wrapText="1"/>
    </xf>
    <xf applyBorder="1" fillId="0" xfId="0" numFmtId="0" borderId="31" applyFont="1" fontId="30"/>
    <xf applyBorder="1" applyAlignment="1" fillId="4" xfId="0" numFmtId="0" borderId="32" applyFont="1" fontId="31" applyFill="1">
      <alignment vertical="bottom" horizontal="center"/>
    </xf>
    <xf applyBorder="1" fillId="0" xfId="0" numFmtId="0" borderId="33" applyFont="1" fontId="32"/>
    <xf applyBorder="1" applyAlignment="1" fillId="0" xfId="0" numFmtId="0" borderId="34" applyFont="1" fontId="33">
      <alignment vertical="bottom" horizontal="general" wrapText="1"/>
    </xf>
    <xf applyBorder="1" applyAlignment="1" fillId="5" xfId="0" numFmtId="0" borderId="35" applyFont="1" fontId="34" applyFill="1">
      <alignment vertical="bottom" horizontal="center"/>
    </xf>
    <xf applyBorder="1" fillId="0" xfId="0" numFmtId="0" borderId="36" applyFont="1" fontId="35"/>
    <xf fillId="0" xfId="0" numFmtId="0" borderId="0" applyFont="1" fontId="36"/>
    <xf applyAlignment="1" fillId="0" xfId="0" numFmtId="171" borderId="0" applyFont="1" fontId="37" applyNumberFormat="1">
      <alignment vertical="bottom" horizontal="center"/>
    </xf>
    <xf applyBorder="1" applyAlignment="1" fillId="0" xfId="0" numFmtId="0" borderId="37" applyFont="1" fontId="38">
      <alignment vertical="bottom" horizontal="center"/>
    </xf>
    <xf applyBorder="1" fillId="0" xfId="0" numFmtId="0" borderId="38" applyFont="1" fontId="39"/>
    <xf applyBorder="1" applyAlignment="1" fillId="0" xfId="0" numFmtId="0" borderId="39" fontId="0">
      <alignment vertical="bottom" horizontal="general" wrapText="1"/>
    </xf>
    <xf applyAlignment="1" fillId="0" xfId="0" numFmtId="172" borderId="0" applyFont="1" fontId="40" applyNumberFormat="1">
      <alignment vertical="bottom" horizontal="center"/>
    </xf>
    <xf applyBorder="1" applyAlignment="1" fillId="0" xfId="0" numFmtId="0" borderId="40" applyFont="1" fontId="41">
      <alignment vertical="bottom" horizontal="general" wrapText="1"/>
    </xf>
    <xf applyBorder="1" applyAlignment="1" fillId="0" xfId="0" numFmtId="0" borderId="41" fontId="0">
      <alignment vertical="bottom" horizontal="general" wrapText="1"/>
    </xf>
    <xf applyBorder="1" applyAlignment="1" fillId="0" xfId="0" numFmtId="0" borderId="42" applyFont="1" fontId="42">
      <alignment vertical="bottom" horizontal="center"/>
    </xf>
    <xf applyBorder="1" applyAlignment="1" fillId="0" xfId="0" numFmtId="0" borderId="43" applyFont="1" fontId="43">
      <alignment vertical="bottom" horizontal="general" wrapText="1"/>
    </xf>
    <xf applyBorder="1" fillId="0" xfId="0" numFmtId="0" borderId="44" applyFont="1" fontId="44"/>
    <xf applyBorder="1" fillId="0" xfId="0" numFmtId="173" borderId="45" applyFont="1" fontId="45" applyNumberFormat="1"/>
    <xf applyBorder="1" fillId="0" xfId="0" numFmtId="0" borderId="46" applyFont="1" fontId="46"/>
    <xf applyBorder="1" applyAlignment="1" fillId="0" xfId="0" numFmtId="174" borderId="47" applyFont="1" fontId="47" applyNumberFormat="1">
      <alignment vertical="bottom" horizontal="center"/>
    </xf>
    <xf applyAlignment="1" fillId="0" xfId="0" numFmtId="175" borderId="0" applyFont="1" fontId="48" applyNumberFormat="1">
      <alignment vertical="bottom" horizontal="center"/>
    </xf>
    <xf applyAlignment="1" fillId="0" xfId="0" numFmtId="0" borderId="0" applyFont="1" fontId="49">
      <alignment vertical="bottom" horizontal="general" wrapText="1"/>
    </xf>
    <xf applyBorder="1" fillId="0" xfId="0" numFmtId="3" borderId="48" applyFont="1" fontId="50" applyNumberFormat="1"/>
    <xf applyAlignment="1" fillId="0" xfId="0" numFmtId="0" borderId="0" applyFont="1" fontId="51">
      <alignment vertical="bottom" horizontal="center" wrapText="1"/>
    </xf>
    <xf applyBorder="1" applyAlignment="1" fillId="0" xfId="0" numFmtId="176" borderId="49" applyFont="1" fontId="52" applyNumberFormat="1">
      <alignment vertical="bottom" horizontal="center"/>
    </xf>
    <xf applyBorder="1" fillId="0" xfId="0" numFmtId="0" borderId="50" applyFont="1" fontId="53"/>
    <xf applyBorder="1" fillId="0" xfId="0" numFmtId="0" borderId="51" applyFont="1" fontId="54"/>
    <xf applyAlignment="1" fillId="0" xfId="0" numFmtId="0" borderId="0" fontId="0">
      <alignment vertical="bottom" horizontal="general" wrapText="1"/>
    </xf>
    <xf fillId="0" xfId="0" numFmtId="0" borderId="0" applyFont="1" fontId="55"/>
    <xf applyBorder="1" fillId="0" xfId="0" numFmtId="0" borderId="52" applyFont="1" fontId="56"/>
    <xf applyAlignment="1" fillId="0" xfId="0" numFmtId="0" borderId="0" applyFont="1" fontId="57">
      <alignment vertical="bottom" horizontal="center" wrapText="1"/>
    </xf>
    <xf applyBorder="1" applyAlignment="1" fillId="0" xfId="0" numFmtId="177" borderId="53" applyFont="1" fontId="58" applyNumberFormat="1">
      <alignment vertical="bottom" horizontal="center"/>
    </xf>
    <xf applyBorder="1" applyAlignment="1" fillId="6" xfId="0" numFmtId="10" borderId="54" applyFont="1" fontId="59" applyNumberFormat="1" applyFill="1">
      <alignment vertical="bottom" horizontal="center"/>
    </xf>
    <xf applyBorder="1" applyAlignment="1" fillId="0" xfId="0" numFmtId="0" borderId="55" applyFont="1" fontId="60">
      <alignment vertical="bottom" horizontal="center"/>
    </xf>
    <xf fillId="0" xfId="0" numFmtId="178" borderId="0" applyFont="1" fontId="61" applyNumberFormat="1"/>
    <xf applyBorder="1" applyAlignment="1" fillId="0" xfId="0" numFmtId="0" borderId="56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2" customWidth="1" max="3" width="7.86"/>
    <col min="4" customWidth="1" max="4" style="5" width="23.14"/>
    <col min="5" customWidth="1" max="6" width="7.86"/>
  </cols>
  <sheetData>
    <row customHeight="1" r="1" ht="15.0">
      <c t="s" s="67" r="A1">
        <v>0</v>
      </c>
      <c s="60" r="B1"/>
      <c s="60" r="C1"/>
      <c s="1" r="D1"/>
      <c s="60" r="E1"/>
      <c s="60" r="F1"/>
    </row>
    <row customHeight="1" s="5" customFormat="1" r="2" ht="15.0">
      <c s="5" r="B2"/>
      <c s="66" r="C2"/>
      <c s="66" r="D2"/>
      <c s="66" r="E2"/>
      <c s="66" r="F2"/>
      <c s="5" r="G2"/>
    </row>
    <row customHeight="1" s="5" customFormat="1" r="3" ht="15.0">
      <c s="62" r="B3"/>
      <c t="s" s="45" r="C3">
        <v>1</v>
      </c>
      <c s="8" r="D3"/>
      <c s="8" r="E3"/>
      <c s="36" r="F3"/>
      <c s="63" r="G3"/>
    </row>
    <row customHeight="1" s="5" customFormat="1" r="4" ht="15.0">
      <c s="62" r="B4"/>
      <c t="s" s="63" r="C4">
        <v>2</v>
      </c>
      <c s="28" r="D4"/>
      <c s="41" r="E4">
        <v>12</v>
      </c>
      <c s="13" r="F4"/>
      <c s="63" r="G4"/>
    </row>
    <row customHeight="1" s="5" customFormat="1" r="5" ht="15.0">
      <c s="62" r="B5"/>
      <c t="s" s="63" r="C5">
        <v>3</v>
      </c>
      <c s="28" r="D5"/>
      <c s="38" r="E5">
        <v>20</v>
      </c>
      <c s="47" r="F5"/>
      <c s="63" r="G5"/>
    </row>
    <row customHeight="1" s="5" customFormat="1" r="6" ht="15.0">
      <c s="62" r="B6"/>
      <c t="s" s="63" r="C6">
        <v>4</v>
      </c>
      <c s="28" r="D6"/>
      <c s="38" r="E6">
        <v>28</v>
      </c>
      <c s="47" r="F6"/>
      <c s="63" r="G6"/>
    </row>
    <row customHeight="1" s="5" customFormat="1" r="7" ht="15.0">
      <c s="62" r="B7"/>
      <c t="s" s="63" r="C7">
        <v>5</v>
      </c>
      <c s="28" r="D7"/>
      <c s="38" r="E7">
        <v>40</v>
      </c>
      <c s="47" r="F7"/>
      <c s="63" r="G7"/>
    </row>
    <row customHeight="1" s="5" customFormat="1" r="8" ht="15.0">
      <c s="62" r="B8"/>
      <c t="s" s="63" r="C8">
        <v>6</v>
      </c>
      <c s="28" r="D8"/>
      <c s="38" r="E8">
        <v>38</v>
      </c>
      <c s="47" r="F8"/>
      <c s="63" r="G8"/>
    </row>
    <row customHeight="1" s="5" customFormat="1" r="9" ht="15.0">
      <c s="62" r="B9"/>
      <c t="s" s="63" r="C9">
        <v>7</v>
      </c>
      <c s="28" r="D9"/>
      <c s="38" r="E9">
        <v>35</v>
      </c>
      <c s="47" r="F9"/>
      <c s="63" r="G9"/>
    </row>
    <row customHeight="1" s="5" customFormat="1" r="10" ht="15.0">
      <c s="62" r="B10"/>
      <c t="s" s="63" r="C10">
        <v>8</v>
      </c>
      <c s="28" r="D10"/>
      <c s="38" r="E10">
        <v>22</v>
      </c>
      <c s="47" r="F10"/>
      <c s="63" r="G10"/>
    </row>
    <row customHeight="1" s="5" customFormat="1" r="11" ht="15.0">
      <c s="62" r="B11"/>
      <c t="s" s="63" r="C11">
        <v>9</v>
      </c>
      <c s="28" r="D11"/>
      <c s="69" r="E11">
        <v>0.06</v>
      </c>
      <c s="47" r="F11"/>
      <c s="63" r="G11"/>
    </row>
    <row customHeight="1" s="5" customFormat="1" r="12" ht="15.0">
      <c s="62" r="B12"/>
      <c t="s" s="63" r="C12">
        <v>10</v>
      </c>
      <c s="28" r="D12"/>
      <c s="21" r="E12">
        <v>1160000</v>
      </c>
      <c s="47" r="F12"/>
      <c s="63" r="G12"/>
    </row>
    <row customHeight="1" s="5" customFormat="1" r="13" ht="15.0">
      <c s="62" r="B13"/>
      <c t="s" s="63" r="C13">
        <v>11</v>
      </c>
      <c s="28" r="D13"/>
      <c s="21" r="E13">
        <v>609000</v>
      </c>
      <c s="47" r="F13"/>
      <c s="63" r="G13"/>
    </row>
    <row customHeight="1" s="5" customFormat="1" r="14" ht="15.0">
      <c s="62" r="B14"/>
      <c t="s" s="63" r="C14">
        <v>12</v>
      </c>
      <c s="28" r="D14"/>
      <c s="21" r="E14">
        <f>E12-E13</f>
        <v>551000</v>
      </c>
      <c s="47" r="F14"/>
      <c s="63" r="G14"/>
    </row>
    <row customHeight="1" s="5" customFormat="1" r="15" ht="15.0">
      <c s="62" r="B15"/>
      <c t="s" s="63" r="C15">
        <v>13</v>
      </c>
      <c s="28" r="D15"/>
      <c s="69" r="E15">
        <v>0.5</v>
      </c>
      <c s="47" r="F15"/>
      <c s="63" r="G15"/>
    </row>
    <row customHeight="1" s="5" customFormat="1" r="16" ht="15.0">
      <c s="62" r="B16"/>
      <c t="s" s="63" r="C16">
        <v>14</v>
      </c>
      <c s="28" r="D16"/>
      <c s="69" r="E16">
        <v>0.1</v>
      </c>
      <c s="47" r="F16"/>
      <c s="63" r="G16"/>
    </row>
    <row customHeight="1" s="5" customFormat="1" r="17" ht="15.0">
      <c s="62" r="B17"/>
      <c t="s" s="63" r="C17">
        <v>15</v>
      </c>
      <c s="28" r="D17"/>
      <c s="38" r="E17">
        <v>329000</v>
      </c>
      <c s="47" r="F17"/>
      <c s="63" r="G17"/>
    </row>
    <row customHeight="1" s="5" customFormat="1" r="18" ht="15.0">
      <c s="62" r="B18"/>
      <c t="s" s="63" r="C18">
        <v>16</v>
      </c>
      <c s="28" r="D18"/>
      <c s="38" r="E18">
        <v>-239000</v>
      </c>
      <c s="47" r="F18"/>
      <c s="63" r="G18"/>
    </row>
    <row customHeight="1" s="5" customFormat="1" r="19" ht="15.0">
      <c s="62" r="B19"/>
      <c t="s" s="18" r="C19">
        <v>17</v>
      </c>
      <c s="72" r="D19"/>
      <c s="10" r="E19">
        <v>0.1</v>
      </c>
      <c s="23" r="F19"/>
      <c s="63" r="G19"/>
    </row>
    <row customHeight="1" s="5" customFormat="1" r="20" ht="15.0">
      <c s="5" r="B20"/>
      <c s="12" r="C20"/>
      <c s="8" r="D20"/>
      <c s="12" r="E20"/>
      <c s="8" r="F20"/>
      <c s="5" r="G20"/>
    </row>
    <row customHeight="1" s="5" customFormat="1" r="21" ht="15.0">
      <c s="5" r="B21"/>
      <c s="5" r="C21"/>
      <c s="5" r="E21"/>
      <c s="5" r="F21"/>
      <c s="5" r="G21"/>
    </row>
    <row r="22">
      <c s="5" r="D22"/>
    </row>
  </sheetData>
  <mergeCells count="36">
    <mergeCell ref="C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</mergeCell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5" width="7.86"/>
    <col min="6" customWidth="1" max="6" style="5" width="14.43"/>
    <col min="7" customWidth="1" max="10" width="7.86"/>
    <col min="11" customWidth="1" max="11" style="5" width="15.57"/>
  </cols>
  <sheetData>
    <row customHeight="1" r="1" ht="15.0">
      <c s="5" r="F1"/>
      <c s="5" r="K1"/>
    </row>
    <row customHeight="1" r="2" ht="15.0">
      <c s="5" r="F2"/>
      <c s="5" r="K2"/>
    </row>
    <row customHeight="1" s="5" customFormat="1" r="3" ht="15.0">
      <c s="5" r="A3"/>
      <c s="5" r="B3"/>
      <c s="66" r="C3"/>
      <c s="66" r="D3"/>
      <c s="66" r="E3"/>
      <c s="66" r="F3"/>
      <c s="5" r="G3"/>
      <c s="66" r="H3"/>
      <c s="66" r="I3"/>
      <c s="66" r="J3"/>
      <c s="66" r="K3"/>
      <c s="5" r="L3"/>
    </row>
    <row customHeight="1" s="5" customFormat="1" r="4" ht="15.0">
      <c s="5" r="A4"/>
      <c s="62" r="B4"/>
      <c t="s" s="45" r="C4">
        <v>18</v>
      </c>
      <c s="8" r="D4"/>
      <c s="8" r="E4"/>
      <c s="50" r="F4"/>
      <c s="37" r="G4"/>
      <c t="s" s="45" r="H4">
        <v>19</v>
      </c>
      <c s="8" r="I4"/>
      <c s="8" r="J4"/>
      <c s="50" r="K4"/>
      <c s="63" r="L4"/>
    </row>
    <row customHeight="1" s="5" customFormat="1" r="5" ht="15.0">
      <c s="5" r="A5"/>
      <c s="62" r="B5"/>
      <c t="s" s="63" r="C5">
        <v>20</v>
      </c>
      <c s="62" r="F5">
        <v>17400</v>
      </c>
      <c s="37" r="G5"/>
      <c t="s" s="63" r="H5">
        <v>21</v>
      </c>
      <c s="54" r="K5">
        <v>3.95</v>
      </c>
      <c s="63" r="L5"/>
    </row>
    <row customHeight="1" s="5" customFormat="1" r="6" ht="15.0">
      <c s="5" r="A6"/>
      <c s="62" r="B6"/>
      <c t="s" s="63" r="C6">
        <v>22</v>
      </c>
      <c s="62" r="F6">
        <v>27400</v>
      </c>
      <c s="37" r="G6"/>
      <c t="s" s="63" r="H6">
        <v>23</v>
      </c>
      <c s="54" r="K6">
        <v>3.98</v>
      </c>
      <c s="63" r="L6"/>
    </row>
    <row customHeight="1" s="5" customFormat="1" r="7" ht="15.0">
      <c s="5" r="A7"/>
      <c s="62" r="B7"/>
      <c t="s" s="63" r="C7">
        <v>24</v>
      </c>
      <c s="62" r="F7">
        <v>32400</v>
      </c>
      <c s="37" r="G7"/>
      <c t="s" s="63" r="H7">
        <v>25</v>
      </c>
      <c s="54" r="K7">
        <v>4.01</v>
      </c>
      <c s="63" r="L7"/>
    </row>
    <row customHeight="1" s="5" customFormat="1" r="8" ht="15.0">
      <c s="5" r="A8"/>
      <c s="62" r="B8"/>
      <c t="s" s="63" r="C8">
        <v>26</v>
      </c>
      <c s="62" r="F8">
        <v>34186</v>
      </c>
      <c s="37" r="G8"/>
      <c t="s" s="63" r="H8">
        <v>27</v>
      </c>
      <c s="54" r="K8">
        <v>4.07</v>
      </c>
      <c s="63" r="L8"/>
    </row>
    <row customHeight="1" s="5" customFormat="1" r="9" ht="15.0">
      <c s="5" r="A9"/>
      <c s="62" r="B9"/>
      <c t="s" s="63" r="C9">
        <v>28</v>
      </c>
      <c s="62" r="F9">
        <v>36200</v>
      </c>
      <c s="37" r="G9"/>
      <c t="s" s="63" r="H9">
        <v>29</v>
      </c>
      <c s="54" r="K9">
        <v>4.14</v>
      </c>
      <c s="63" r="L9"/>
    </row>
    <row customHeight="1" s="5" customFormat="1" r="10" ht="15.0">
      <c s="5" r="A10"/>
      <c s="62" r="B10"/>
      <c t="s" s="63" r="C10">
        <v>30</v>
      </c>
      <c s="62" r="F10">
        <v>38430</v>
      </c>
      <c s="37" r="G10"/>
      <c t="s" s="63" r="H10">
        <v>31</v>
      </c>
      <c s="54" r="K10">
        <v>4.2</v>
      </c>
      <c s="63" r="L10"/>
    </row>
    <row customHeight="1" s="5" customFormat="1" r="11" ht="15.0">
      <c s="5" r="A11"/>
      <c s="62" r="B11"/>
      <c t="s" s="63" r="C11">
        <v>32</v>
      </c>
      <c s="62" r="F11">
        <v>39890</v>
      </c>
      <c s="37" r="G11"/>
      <c t="s" s="63" r="H11">
        <v>33</v>
      </c>
      <c s="54" r="K11">
        <v>4.3</v>
      </c>
      <c s="63" r="L11"/>
    </row>
    <row customHeight="1" s="5" customFormat="1" r="12" ht="15.0">
      <c s="5" r="A12"/>
      <c s="62" r="B12"/>
      <c t="s" s="18" r="C12">
        <v>34</v>
      </c>
      <c s="30" r="D12"/>
      <c s="30" r="E12"/>
      <c s="42" r="F12">
        <v>41000</v>
      </c>
      <c s="37" r="G12"/>
      <c t="s" s="18" r="H12">
        <v>35</v>
      </c>
      <c s="30" r="I12"/>
      <c s="30" r="J12"/>
      <c s="6" r="K12">
        <v>4.9</v>
      </c>
      <c s="63" r="L12"/>
    </row>
    <row customHeight="1" s="5" customFormat="1" r="13" ht="15.0">
      <c s="5" r="A13"/>
      <c s="5" r="B13"/>
      <c s="20" r="C13"/>
      <c s="19" r="D13"/>
      <c s="19" r="E13"/>
      <c s="20" r="F13"/>
      <c s="5" r="G13"/>
      <c s="12" r="H13"/>
      <c s="12" r="I13"/>
      <c s="12" r="J13"/>
      <c s="12" r="K13"/>
      <c s="5" r="L13"/>
    </row>
    <row customHeight="1" s="5" customFormat="1" r="14" ht="15.0">
      <c s="5" r="A14"/>
      <c s="62" r="B14"/>
      <c t="s" s="24" r="C14">
        <v>36</v>
      </c>
      <c s="19" r="D14"/>
      <c s="19" r="E14"/>
      <c s="59" r="F14">
        <f>'Inputs'!E13-SUM('Prod &amp; Costs'!F5:F12)</f>
        <v>342094</v>
      </c>
      <c s="63" r="G14"/>
      <c s="5" r="H14"/>
      <c s="5" r="I14"/>
      <c s="5" r="J14"/>
      <c s="5" r="K14"/>
      <c s="5" r="L14"/>
    </row>
    <row customHeight="1" s="5" customFormat="1" r="15" ht="15.0">
      <c s="5" r="A15"/>
      <c s="5" r="B15"/>
      <c s="12" r="C15"/>
      <c s="8" r="D15"/>
      <c s="8" r="E15"/>
      <c s="12" r="F15"/>
      <c s="5" r="G15"/>
      <c s="5" r="H15"/>
      <c s="5" r="I15"/>
      <c s="5" r="J15"/>
      <c s="5" r="K15"/>
      <c s="5" r="L15"/>
    </row>
    <row customHeight="1" s="5" customFormat="1" r="16" ht="15.0">
      <c s="5" r="A16"/>
      <c s="5" r="B16"/>
      <c s="5" r="C16"/>
      <c s="5" r="F16"/>
      <c s="5" r="G16"/>
      <c s="5" r="H16"/>
      <c s="5" r="I16"/>
      <c s="5" r="J16"/>
      <c s="5" r="K16"/>
      <c s="5" r="L16"/>
    </row>
    <row customHeight="1" s="5" customFormat="1" r="17" ht="15.0">
      <c s="5" r="A17"/>
      <c s="5" r="B17"/>
      <c s="5" r="C17"/>
      <c s="5" r="F17"/>
      <c s="5" r="G17"/>
      <c s="5" r="H17"/>
      <c s="5" r="I17"/>
      <c s="5" r="J17"/>
      <c s="5" r="K17"/>
      <c s="5" r="L17"/>
    </row>
    <row customHeight="1" s="5" customFormat="1" r="18" ht="15.0">
      <c s="5" r="A18"/>
      <c s="5" r="B18"/>
      <c s="5" r="C18"/>
      <c s="5" r="F18"/>
      <c s="5" r="G18"/>
      <c s="5" r="H18"/>
      <c s="5" r="I18"/>
      <c s="5" r="J18"/>
      <c s="5" r="K18"/>
      <c s="5" r="L18"/>
    </row>
    <row customHeight="1" s="5" customFormat="1" r="19" ht="15.0">
      <c s="5" r="A19"/>
      <c s="5" r="B19"/>
      <c s="5" r="C19"/>
      <c s="5" r="F19"/>
      <c s="5" r="G19"/>
      <c s="5" r="H19"/>
      <c s="5" r="I19"/>
      <c s="5" r="J19"/>
      <c s="5" r="K19"/>
      <c s="5" r="L19"/>
    </row>
    <row customHeight="1" s="5" customFormat="1" r="20" ht="15.0">
      <c s="5" r="A20"/>
      <c s="5" r="B20"/>
      <c s="5" r="C20"/>
      <c s="5" r="F20"/>
      <c s="5" r="G20"/>
      <c s="5" r="H20"/>
      <c s="5" r="I20"/>
      <c s="5" r="J20"/>
      <c s="5" r="K20"/>
      <c s="5" r="L20"/>
    </row>
    <row r="21">
      <c s="5" r="F21"/>
      <c s="5" r="K21"/>
    </row>
  </sheetData>
  <mergeCells count="26">
    <mergeCell ref="C4:F4"/>
    <mergeCell ref="H4:K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C14:E14"/>
    <mergeCell ref="C15:E15"/>
    <mergeCell ref="C16:E16"/>
    <mergeCell ref="C17:E17"/>
    <mergeCell ref="C18:E18"/>
    <mergeCell ref="C19:E19"/>
    <mergeCell ref="C20:E20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style="43" width="9.0"/>
    <col min="3" max="3" style="43" width="8.43"/>
    <col min="4" customWidth="1" max="4" style="43" width="9.0"/>
    <col min="5" customWidth="1" max="5" style="43" width="3.29"/>
    <col min="6" customWidth="1" max="6" style="43" width="9.0"/>
    <col min="7" customWidth="1" max="7" style="43" width="3.14"/>
    <col min="8" customWidth="1" max="8" style="43" width="9.0"/>
    <col min="9" customWidth="1" max="9" style="43" width="2.86"/>
    <col min="10" customWidth="1" max="10" style="43" width="9.0"/>
    <col min="11" customWidth="1" max="11" style="43" width="4.57"/>
    <col min="12" customWidth="1" max="12" style="43" width="9.0"/>
    <col min="13" customWidth="1" max="13" style="43" width="4.0"/>
    <col min="14" customWidth="1" max="14" style="43" width="9.0"/>
    <col min="15" customWidth="1" max="15" style="43" width="5.0"/>
    <col min="16" customWidth="1" max="16" style="43" width="9.0"/>
    <col min="17" customWidth="1" max="17" style="43" width="5.43"/>
    <col min="18" customWidth="1" max="18" style="43" width="9.0"/>
  </cols>
  <sheetData>
    <row customHeight="1" r="1" ht="16.5">
      <c s="65" r="A1"/>
      <c s="65" r="B1"/>
      <c s="65" r="C1"/>
      <c s="65" r="D1"/>
      <c s="65" r="E1"/>
      <c s="65" r="F1"/>
      <c s="65" r="G1"/>
      <c s="65" r="H1"/>
      <c s="65" r="I1"/>
      <c s="65" r="J1"/>
      <c s="65" r="K1"/>
      <c s="65" r="L1"/>
      <c s="65" r="M1"/>
      <c s="65" r="N1"/>
      <c s="65" r="O1"/>
      <c s="65" r="P1"/>
      <c s="65" r="Q1"/>
      <c s="65" r="R1"/>
      <c s="65" r="S1"/>
    </row>
    <row customHeight="1" r="2" ht="16.5">
      <c s="65" r="A2"/>
      <c s="65" r="B2"/>
      <c s="65" r="C2"/>
      <c s="65" r="D2"/>
      <c s="65" r="E2"/>
      <c s="65" r="F2"/>
      <c s="65" r="G2"/>
      <c s="65" r="H2"/>
      <c s="65" r="I2"/>
      <c s="65" r="J2"/>
      <c s="65" r="K2"/>
      <c s="65" r="L2"/>
      <c s="65" r="M2"/>
      <c s="65" r="N2"/>
      <c s="65" r="O2"/>
      <c s="65" r="P2"/>
      <c s="65" r="Q2"/>
      <c s="65" r="R2"/>
      <c s="65" r="S2"/>
    </row>
    <row customHeight="1" s="5" customFormat="1" r="3" ht="18.0">
      <c s="65" r="A3"/>
      <c s="53" r="B3"/>
      <c s="53" r="C3"/>
      <c s="53" r="D3"/>
      <c s="53" r="E3"/>
      <c s="53" r="F3"/>
      <c s="53" r="G3"/>
      <c s="53" r="H3"/>
      <c s="53" r="I3"/>
      <c s="53" r="J3"/>
      <c s="53" r="K3"/>
      <c s="53" r="L3"/>
      <c s="53" r="M3"/>
      <c s="53" r="N3"/>
      <c s="53" r="O3"/>
      <c s="53" r="P3"/>
      <c s="53" r="Q3"/>
      <c s="65" r="R3"/>
      <c s="65" r="S3"/>
    </row>
    <row customHeight="1" s="5" customFormat="1" r="4" ht="18.0">
      <c s="46" r="A4"/>
      <c t="s" s="51" r="B4">
        <v>37</v>
      </c>
      <c s="4" r="C4"/>
      <c s="3" r="D4">
        <v>2009</v>
      </c>
      <c s="4" r="E4"/>
      <c s="3" r="F4">
        <v>2010</v>
      </c>
      <c s="4" r="G4"/>
      <c s="3" r="H4">
        <v>2011</v>
      </c>
      <c s="4" r="I4"/>
      <c s="3" r="J4">
        <v>2012</v>
      </c>
      <c s="4" r="K4"/>
      <c s="3" r="L4">
        <v>2013</v>
      </c>
      <c s="4" r="M4"/>
      <c s="3" r="N4">
        <v>2014</v>
      </c>
      <c s="4" r="O4"/>
      <c s="16" r="P4">
        <v>2015</v>
      </c>
      <c s="40" r="Q4"/>
      <c s="55" r="R4"/>
      <c s="65" r="S4"/>
    </row>
    <row customHeight="1" s="5" customFormat="1" r="5" ht="16.5">
      <c s="46" r="A5"/>
      <c t="s" s="27" r="B5">
        <v>38</v>
      </c>
      <c s="17" r="C5"/>
      <c s="7" r="D5">
        <f>('Inputs'!E4*'Prod &amp; Costs'!F5)</f>
        <v>208800</v>
      </c>
      <c s="17" r="E5"/>
      <c s="7" r="F5">
        <f>('Inputs'!E5*'Prod &amp; Costs'!F6)</f>
        <v>548000</v>
      </c>
      <c s="17" r="G5"/>
      <c s="7" r="H5">
        <f>('Inputs'!E6*'Prod &amp; Costs'!F7)</f>
        <v>907200</v>
      </c>
      <c s="17" r="I5"/>
      <c s="7" r="J5">
        <f>('Inputs'!E7*'Prod &amp; Costs'!F8)</f>
        <v>1367440</v>
      </c>
      <c s="17" r="K5"/>
      <c s="7" r="L5">
        <f>('Inputs'!E8*'Prod &amp; Costs'!F9)</f>
        <v>1375600</v>
      </c>
      <c s="17" r="M5"/>
      <c s="7" r="N5">
        <f>('Inputs'!E9*'Prod &amp; Costs'!F10)</f>
        <v>1345050</v>
      </c>
      <c s="17" r="O5"/>
      <c s="35" r="P5">
        <f>('Inputs'!E9*'Prod &amp; Costs'!F11)</f>
        <v>1396150</v>
      </c>
      <c s="52" r="Q5"/>
      <c s="55" r="R5"/>
      <c s="65" r="S5"/>
    </row>
    <row customHeight="1" s="5" customFormat="1" r="6" ht="16.5">
      <c s="46" r="A6"/>
      <c t="s" s="55" r="B6">
        <v>39</v>
      </c>
      <c s="58" r="C6"/>
      <c s="48" r="D6">
        <f>('Prod &amp; Costs'!$F$5*'Prod &amp; Costs'!$K$5)</f>
        <v>68730</v>
      </c>
      <c s="58" r="E6"/>
      <c s="48" r="F6">
        <f>('Prod &amp; Costs'!$F$6*'Prod &amp; Costs'!$K$6)</f>
        <v>109052</v>
      </c>
      <c s="58" r="G6"/>
      <c s="48" r="H6">
        <f>('Prod &amp; Costs'!$F$7*'Prod &amp; Costs'!$K$7)</f>
        <v>129924</v>
      </c>
      <c s="58" r="I6"/>
      <c s="48" r="J6">
        <f>('Prod &amp; Costs'!$F$8*'Prod &amp; Costs'!$K$8)</f>
        <v>139137.02</v>
      </c>
      <c s="58" r="K6"/>
      <c s="48" r="L6">
        <f>('Prod &amp; Costs'!$F$9*'Prod &amp; Costs'!$K$9)</f>
        <v>149868</v>
      </c>
      <c s="58" r="M6"/>
      <c s="48" r="N6">
        <f>('Prod &amp; Costs'!$F$10*'Prod &amp; Costs'!$K$10)</f>
        <v>161406</v>
      </c>
      <c s="58" r="O6"/>
      <c s="25" r="P6">
        <f>('Prod &amp; Costs'!$F$11*'Prod &amp; Costs'!$K$11)</f>
        <v>171527</v>
      </c>
      <c s="9" r="Q6"/>
      <c s="55" r="R6"/>
      <c s="65" r="S6"/>
    </row>
    <row customHeight="1" s="5" customFormat="1" r="7" ht="16.5">
      <c s="46" r="A7"/>
      <c t="s" s="11" r="B7">
        <v>40</v>
      </c>
      <c s="58" r="C7"/>
      <c s="57" r="D7">
        <f>D5-D6</f>
        <v>140070</v>
      </c>
      <c s="58" r="E7"/>
      <c s="57" r="F7">
        <f>F5-F6</f>
        <v>438948</v>
      </c>
      <c s="58" r="G7"/>
      <c s="57" r="H7">
        <f>H5-H6</f>
        <v>777276</v>
      </c>
      <c s="58" r="I7"/>
      <c s="57" r="J7">
        <f>J5-J6</f>
        <v>1228302.98</v>
      </c>
      <c s="58" r="K7"/>
      <c s="57" r="L7">
        <f>L5-L6</f>
        <v>1225732</v>
      </c>
      <c s="58" r="M7"/>
      <c s="57" r="N7">
        <f>N5-N6</f>
        <v>1183644</v>
      </c>
      <c s="58" r="O7"/>
      <c s="2" r="P7">
        <f>P5-P6</f>
        <v>1224623</v>
      </c>
      <c s="9" r="Q7"/>
      <c s="55" r="R7"/>
      <c s="65" r="S7"/>
    </row>
    <row customHeight="1" s="5" customFormat="1" r="8" ht="16.5">
      <c s="46" r="A8"/>
      <c t="s" s="55" r="B8">
        <v>41</v>
      </c>
      <c s="58" r="C8"/>
      <c s="48" r="D8">
        <f>0.07*'Inputs'!E18</f>
        <v>-16730</v>
      </c>
      <c s="58" r="E8"/>
      <c s="48" r="F8">
        <f>IF((D16&lt;0.0),(0.07*D16),0.0)</f>
        <v>-9193.8</v>
      </c>
      <c s="58" r="G8"/>
      <c s="48" r="H8">
        <f>IF((F16&lt;0.0),(0.07*F16),0.0)</f>
        <v>0</v>
      </c>
      <c s="58" r="I8"/>
      <c s="48" r="J8">
        <f>IF((H16&lt;0.0),(0.07*H16),0.0)</f>
        <v>0</v>
      </c>
      <c s="58" r="K8"/>
      <c s="48" r="L8">
        <f>IF((J16&lt;0.0),(0.07*J16),0.0)</f>
        <v>0</v>
      </c>
      <c s="58" r="M8"/>
      <c s="48" r="N8">
        <f>IF((L16&lt;0.0),(0.07*L16),0.0)</f>
        <v>0</v>
      </c>
      <c s="58" r="O8"/>
      <c s="25" r="P8">
        <f>IF((N16&lt;0.0),(0.07*N16),0.0)</f>
        <v>0</v>
      </c>
      <c s="9" r="Q8"/>
      <c s="55" r="R8"/>
      <c s="65" r="S8"/>
    </row>
    <row customHeight="1" s="5" customFormat="1" r="9" ht="16.5">
      <c s="46" r="A9"/>
      <c t="s" s="55" r="B9">
        <v>42</v>
      </c>
      <c s="58" r="C9"/>
      <c s="48" r="D9">
        <f>(D7-D8)*'Inputs'!$E$19</f>
        <v>15680</v>
      </c>
      <c s="58" r="E9"/>
      <c s="48" r="F9">
        <f>IF((D8&lt;0.0),('Inputs'!$E$19*(F7+F8)),('Inputs'!$E$19*F7))</f>
        <v>42975.42</v>
      </c>
      <c s="58" r="G9"/>
      <c s="48" r="H9">
        <f>IF((F8&lt;0.0),('Inputs'!$E$19*(H7+H8)),('Inputs'!$E$19*H7))</f>
        <v>77727.6</v>
      </c>
      <c s="58" r="I9"/>
      <c s="48" r="J9">
        <f>IF((H8&lt;0.0),('Inputs'!$E$19*(J7+J8)),('Inputs'!$E$19*J7))</f>
        <v>122830.298</v>
      </c>
      <c s="58" r="K9"/>
      <c s="48" r="L9">
        <f>IF((J8&lt;0.0),('Inputs'!$E$19*(L7+L8)),('Inputs'!$E$19*L7))</f>
        <v>122573.2</v>
      </c>
      <c s="58" r="M9"/>
      <c s="48" r="N9">
        <f>IF((L8&lt;0.0),('Inputs'!$E$19*(N7+N8)),('Inputs'!$E$19*N7))</f>
        <v>118364.4</v>
      </c>
      <c s="58" r="O9"/>
      <c s="25" r="P9">
        <f>IF((N8&lt;0.0),('Inputs'!$E$19*(P7+P8)),('Inputs'!$E$19*P7))</f>
        <v>122462.3</v>
      </c>
      <c s="9" r="Q9"/>
      <c s="55" r="R9"/>
      <c s="65" r="S9"/>
    </row>
    <row customHeight="1" s="5" customFormat="1" r="10" ht="16.5">
      <c s="46" r="A10"/>
      <c t="s" s="55" r="B10">
        <v>43</v>
      </c>
      <c s="58" r="C10"/>
      <c s="48" r="D10">
        <f>(D7+D8)-D9</f>
        <v>107660</v>
      </c>
      <c s="58" r="E10"/>
      <c s="48" r="F10">
        <f>(F7+F8)-F9</f>
        <v>386778.78</v>
      </c>
      <c s="58" r="G10"/>
      <c s="48" r="H10">
        <f>(H7+H8)-H9</f>
        <v>699548.4</v>
      </c>
      <c s="58" r="I10"/>
      <c s="48" r="J10">
        <f>(J7+J8)-J9</f>
        <v>1105472.682</v>
      </c>
      <c s="58" r="K10"/>
      <c s="48" r="L10">
        <f>(L7+L8)-L9</f>
        <v>1103158.8</v>
      </c>
      <c s="58" r="M10"/>
      <c s="48" r="N10">
        <f>(N7+N8)-N9</f>
        <v>1065279.6</v>
      </c>
      <c s="58" r="O10"/>
      <c s="25" r="P10">
        <f>(P7+P8)-P9</f>
        <v>1102160.7</v>
      </c>
      <c s="9" r="Q10"/>
      <c s="55" r="R10"/>
      <c s="65" r="S10"/>
    </row>
    <row customHeight="1" s="5" customFormat="1" r="11" ht="16.5">
      <c s="46" r="A11"/>
      <c t="s" s="55" r="B11">
        <v>44</v>
      </c>
      <c s="58" r="C11"/>
      <c s="48" r="D11">
        <f>D10</f>
        <v>107660</v>
      </c>
      <c s="58" r="E11"/>
      <c s="48" r="F11">
        <f>IF((F10&lt;D16),F10,(F10-(F10+D16)))</f>
        <v>131340</v>
      </c>
      <c s="58" r="G11"/>
      <c s="48" r="H11">
        <f>IF((H10&lt;F16),H10,(H10-(H10+F16)))</f>
        <v>0</v>
      </c>
      <c s="58" r="I11"/>
      <c s="48" r="J11">
        <f>IF((J10&lt;H16),J10,(J10-(J10+H16)))</f>
        <v>0</v>
      </c>
      <c s="58" r="K11"/>
      <c s="48" r="L11">
        <f>IF((L10&lt;J16),L10,(L10-(L10+J16)))</f>
        <v>0</v>
      </c>
      <c s="58" r="M11"/>
      <c s="48" r="N11">
        <f>IF((N10&lt;L16),N10,(N10-(N10+L16)))</f>
        <v>0</v>
      </c>
      <c s="58" r="O11"/>
      <c s="25" r="P11">
        <f>IF((P10&lt;N16),P10,(P10-(P10+N16)))</f>
        <v>0</v>
      </c>
      <c s="9" r="Q11"/>
      <c s="55" r="R11"/>
      <c s="65" r="S11"/>
    </row>
    <row customHeight="1" s="5" customFormat="1" r="12" ht="16.5">
      <c s="46" r="A12"/>
      <c t="s" s="55" r="B12">
        <v>45</v>
      </c>
      <c s="58" r="C12"/>
      <c s="48" r="D12">
        <v>0</v>
      </c>
      <c s="58" r="E12"/>
      <c s="48" r="F12">
        <v>0</v>
      </c>
      <c s="58" r="G12"/>
      <c s="48" r="H12">
        <v>0</v>
      </c>
      <c s="58" r="I12"/>
      <c s="48" r="J12">
        <v>0</v>
      </c>
      <c s="58" r="K12"/>
      <c s="48" r="L12">
        <v>0</v>
      </c>
      <c s="58" r="M12"/>
      <c s="48" r="N12">
        <v>0</v>
      </c>
      <c s="58" r="O12"/>
      <c s="25" r="P12">
        <v>0</v>
      </c>
      <c s="9" r="Q12"/>
      <c s="55" r="R12"/>
      <c s="65" r="S12"/>
    </row>
    <row customHeight="1" s="5" customFormat="1" r="13" ht="16.5">
      <c s="46" r="A13"/>
      <c t="s" s="55" r="B13">
        <v>46</v>
      </c>
      <c s="58" r="C13"/>
      <c s="48" r="D13">
        <v>0</v>
      </c>
      <c s="58" r="E13"/>
      <c s="48" r="F13">
        <f>F10-F11</f>
        <v>255438.78</v>
      </c>
      <c s="58" r="G13"/>
      <c s="48" r="H13">
        <f>H10-H11</f>
        <v>699548.4</v>
      </c>
      <c s="58" r="I13"/>
      <c s="48" r="J13">
        <f>J10-J11</f>
        <v>1105472.682</v>
      </c>
      <c s="58" r="K13"/>
      <c s="48" r="L13">
        <f>L10-L11</f>
        <v>1103158.8</v>
      </c>
      <c s="58" r="M13"/>
      <c s="48" r="N13">
        <f>N10-N11</f>
        <v>1065279.6</v>
      </c>
      <c s="58" r="O13"/>
      <c s="25" r="P13">
        <f>P10-P11</f>
        <v>1102160.7</v>
      </c>
      <c s="9" r="Q13"/>
      <c s="55" r="R13"/>
      <c s="65" r="S13"/>
    </row>
    <row customHeight="1" s="5" customFormat="1" r="14" ht="16.5">
      <c s="46" r="A14"/>
      <c t="s" s="55" r="B14">
        <v>47</v>
      </c>
      <c s="58" r="C14"/>
      <c s="26" r="D14">
        <f>(1.0+'Inputs'!$E$11)</f>
        <v>1.06</v>
      </c>
      <c s="58" r="E14"/>
      <c s="26" r="F14">
        <f>(1.0+'Inputs'!$E$11)^2.0</f>
        <v>1.1236</v>
      </c>
      <c s="58" r="G14"/>
      <c s="26" r="H14">
        <f>(1.0+'Inputs'!$E$11)^3.0</f>
        <v>1.191016</v>
      </c>
      <c s="58" r="I14"/>
      <c s="26" r="J14">
        <f>(1.0+'Inputs'!$E$11)^4.0</f>
        <v>1.26247696</v>
      </c>
      <c s="58" r="K14"/>
      <c s="26" r="L14">
        <f>(1.0+'Inputs'!$E$11)^5.0</f>
        <v>1.3382255776</v>
      </c>
      <c s="58" r="M14"/>
      <c s="26" r="N14">
        <f>(1.0+'Inputs'!$E$11)^6.0</f>
        <v>1.418519112256</v>
      </c>
      <c s="58" r="O14"/>
      <c s="32" r="P14">
        <f>(1.0+'Inputs'!$E$11)^8.0</f>
        <v>1.59384807453084</v>
      </c>
      <c s="9" r="Q14"/>
      <c s="55" r="R14"/>
      <c s="65" r="S14"/>
    </row>
    <row customHeight="1" s="5" customFormat="1" r="15" ht="16.5">
      <c s="46" r="A15"/>
      <c t="s" s="11" r="B15">
        <v>48</v>
      </c>
      <c s="58" r="C15"/>
      <c s="33" r="D15">
        <f>SUM(D13)/SUM(D14)</f>
        <v>0</v>
      </c>
      <c s="58" r="E15"/>
      <c s="57" r="F15">
        <f>SUM(F13)/SUM(F14)</f>
        <v>227339.604841581</v>
      </c>
      <c s="58" r="G15"/>
      <c s="57" r="H15">
        <f>SUM(H13)/SUM(H14)</f>
        <v>587354.326054394</v>
      </c>
      <c s="58" r="I15"/>
      <c s="57" r="J15">
        <f>SUM(J13)/SUM(J14)</f>
        <v>875637.906294939</v>
      </c>
      <c s="58" r="K15"/>
      <c s="57" r="L15">
        <f>SUM(L13)/SUM(L14)</f>
        <v>824344.429269112</v>
      </c>
      <c s="58" r="M15"/>
      <c s="57" r="N15">
        <f>SUM(N13)/SUM(N14)</f>
        <v>750980.082535362</v>
      </c>
      <c s="58" r="O15"/>
      <c s="2" r="P15">
        <f>SUM(P13)/SUM(P14)</f>
        <v>691509.258386767</v>
      </c>
      <c s="9" r="Q15"/>
      <c s="55" r="R15"/>
      <c s="65" r="S15"/>
    </row>
    <row customHeight="1" s="5" customFormat="1" r="16" ht="18.0">
      <c s="46" r="A16"/>
      <c t="s" s="29" r="B16">
        <v>49</v>
      </c>
      <c s="14" r="C16"/>
      <c s="68" r="D16">
        <f>'Inputs'!E18+'DCF'!D11</f>
        <v>-131340</v>
      </c>
      <c s="14" r="E16"/>
      <c s="70" r="F16">
        <f>D16+F11</f>
        <v>0</v>
      </c>
      <c s="14" r="G16"/>
      <c s="70" r="H16">
        <f>F16+H11</f>
        <v>0</v>
      </c>
      <c s="14" r="I16"/>
      <c s="70" r="J16">
        <f>H16+J11</f>
        <v>0</v>
      </c>
      <c s="14" r="K16"/>
      <c s="70" r="L16">
        <f>J16+L11</f>
        <v>0</v>
      </c>
      <c s="14" r="M16"/>
      <c s="70" r="N16">
        <f>L16+N11</f>
        <v>0</v>
      </c>
      <c s="14" r="O16"/>
      <c s="22" r="P16">
        <f>N16+P11</f>
        <v>0</v>
      </c>
      <c s="49" r="Q16"/>
      <c s="55" r="R16"/>
      <c s="65" r="S16"/>
    </row>
    <row customHeight="1" r="17" ht="16.5">
      <c s="65" r="A17"/>
      <c s="39" r="B17"/>
      <c s="39" r="C17"/>
      <c s="39" r="D17"/>
      <c s="39" r="E17"/>
      <c s="39" r="F17"/>
      <c s="39" r="G17"/>
      <c s="39" r="H17"/>
      <c s="39" r="I17"/>
      <c s="39" r="J17"/>
      <c s="39" r="K17"/>
      <c s="39" r="L17"/>
      <c s="39" r="M17"/>
      <c s="39" r="N17"/>
      <c s="39" r="O17"/>
      <c s="39" r="P17"/>
      <c s="39" r="Q17"/>
      <c s="65" r="R17"/>
      <c s="65" r="S17"/>
    </row>
    <row customHeight="1" r="18" ht="16.5">
      <c s="65" r="A18"/>
      <c s="65" r="B18"/>
      <c s="65" r="C18"/>
      <c s="65" r="D18"/>
      <c s="65" r="E18"/>
      <c s="65" r="F18"/>
      <c s="65" r="G18"/>
      <c s="65" r="H18"/>
      <c s="65" r="I18"/>
      <c s="65" r="J18"/>
      <c s="65" r="K18"/>
      <c s="65" r="L18"/>
      <c s="65" r="M18"/>
      <c s="65" r="N18"/>
      <c s="65" r="O18"/>
      <c s="65" r="P18"/>
      <c s="65" r="Q18"/>
      <c s="65" r="R18"/>
      <c s="65" r="S18"/>
    </row>
    <row customHeight="1" r="19" ht="16.5">
      <c s="65" r="A19"/>
      <c s="65" r="B19"/>
      <c s="65" r="C19"/>
      <c s="65" r="D19"/>
      <c s="65" r="E19"/>
      <c s="65" r="F19"/>
      <c s="65" r="G19"/>
      <c s="65" r="H19"/>
      <c s="65" r="I19"/>
      <c s="65" r="J19"/>
      <c s="65" r="K19"/>
      <c s="65" r="L19"/>
      <c s="65" r="M19"/>
      <c s="65" r="N19"/>
      <c s="65" r="O19"/>
      <c s="65" r="P19"/>
      <c s="65" r="Q19"/>
      <c s="65" r="R19"/>
      <c s="65" r="S19"/>
    </row>
    <row customHeight="1" s="5" customFormat="1" r="20" ht="16.5">
      <c s="65" r="A20"/>
      <c s="65" r="B20"/>
      <c s="65" r="C20"/>
      <c s="65" r="D20"/>
      <c s="65" r="E20"/>
      <c s="65" r="F20"/>
      <c s="65" r="G20"/>
      <c s="65" r="H20"/>
      <c s="65" r="I20"/>
      <c s="65" r="J20"/>
      <c s="65" r="K20"/>
      <c s="65" r="L20"/>
      <c s="65" r="M20"/>
      <c s="65" r="N20"/>
      <c s="65" r="O20"/>
      <c s="65" r="P20"/>
      <c s="65" r="Q20"/>
      <c s="65" r="R20"/>
      <c s="65" r="S20"/>
    </row>
    <row customHeight="1" s="5" customFormat="1" r="21" ht="16.5">
      <c s="65" r="A21"/>
      <c s="33" r="B21"/>
      <c s="58" r="C21"/>
      <c s="33" r="D21"/>
      <c s="58" r="E21"/>
      <c s="33" r="F21"/>
      <c s="58" r="G21"/>
      <c s="33" r="H21"/>
      <c s="58" r="I21"/>
      <c s="33" r="J21"/>
      <c s="58" r="K21"/>
      <c s="33" r="L21"/>
      <c s="58" r="M21"/>
      <c s="33" r="N21"/>
      <c s="58" r="O21"/>
      <c s="33" r="P21"/>
      <c s="58" r="Q21"/>
      <c s="65" r="R21"/>
      <c s="65" r="S21"/>
    </row>
    <row customHeight="1" s="5" customFormat="1" r="22" ht="16.5">
      <c s="65" r="A22"/>
      <c s="65" r="B22"/>
      <c s="58" r="C22"/>
      <c s="65" r="D22"/>
      <c s="58" r="E22"/>
      <c s="65" r="F22"/>
      <c s="58" r="G22"/>
      <c s="65" r="H22"/>
      <c s="58" r="I22"/>
      <c s="65" r="J22"/>
      <c s="58" r="K22"/>
      <c s="65" r="L22"/>
      <c s="58" r="M22"/>
      <c s="65" r="N22"/>
      <c s="58" r="O22"/>
      <c s="65" r="P22"/>
      <c s="58" r="Q22"/>
      <c s="65" r="R22"/>
      <c s="65" r="S22"/>
    </row>
    <row customHeight="1" s="5" customFormat="1" r="23" ht="16.5">
      <c s="65" r="A23"/>
      <c s="65" r="B23"/>
      <c s="58" r="C23"/>
      <c s="65" r="D23"/>
      <c s="58" r="E23"/>
      <c s="65" r="F23"/>
      <c s="58" r="G23"/>
      <c s="65" r="H23"/>
      <c s="58" r="I23"/>
      <c s="65" r="J23"/>
      <c s="58" r="K23"/>
      <c s="65" r="L23"/>
      <c s="58" r="M23"/>
      <c s="65" r="N23"/>
      <c s="58" r="O23"/>
      <c s="65" r="P23"/>
      <c s="58" r="Q23"/>
      <c s="65" r="R23"/>
      <c s="65" r="S23"/>
    </row>
    <row customHeight="1" s="5" customFormat="1" r="24" ht="16.5">
      <c s="65" r="A24"/>
      <c s="65" r="B24"/>
      <c s="58" r="C24"/>
      <c s="65" r="D24"/>
      <c s="58" r="E24"/>
      <c s="65" r="F24"/>
      <c s="58" r="G24"/>
      <c s="65" r="H24"/>
      <c s="58" r="I24"/>
      <c s="65" r="J24"/>
      <c s="58" r="K24"/>
      <c s="65" r="L24"/>
      <c s="58" r="M24"/>
      <c s="65" r="N24"/>
      <c s="58" r="O24"/>
      <c s="65" r="P24"/>
      <c s="58" r="Q24"/>
      <c s="65" r="R24"/>
      <c s="65" r="S24"/>
    </row>
    <row customHeight="1" s="5" customFormat="1" r="25" ht="16.5">
      <c s="65" r="A25"/>
      <c s="65" r="B25"/>
      <c s="58" r="C25"/>
      <c s="65" r="D25"/>
      <c s="58" r="E25"/>
      <c s="65" r="F25"/>
      <c s="58" r="G25"/>
      <c s="65" r="H25"/>
      <c s="58" r="I25"/>
      <c s="65" r="J25"/>
      <c s="58" r="K25"/>
      <c s="65" r="L25"/>
      <c s="58" r="M25"/>
      <c s="65" r="N25"/>
      <c s="58" r="O25"/>
      <c s="65" r="P25"/>
      <c s="58" r="Q25"/>
      <c s="65" r="R25"/>
      <c s="65" r="S25"/>
    </row>
    <row customHeight="1" s="5" customFormat="1" r="26" ht="16.5">
      <c s="65" r="A26"/>
      <c s="65" r="B26"/>
      <c s="58" r="C26"/>
      <c s="65" r="D26"/>
      <c s="58" r="E26"/>
      <c s="65" r="F26"/>
      <c s="58" r="G26"/>
      <c s="65" r="H26"/>
      <c s="58" r="I26"/>
      <c s="65" r="J26"/>
      <c s="58" r="K26"/>
      <c s="65" r="L26"/>
      <c s="58" r="M26"/>
      <c s="65" r="N26"/>
      <c s="58" r="O26"/>
      <c s="65" r="P26"/>
      <c s="58" r="Q26"/>
      <c s="65" r="R26"/>
      <c s="65" r="S26"/>
    </row>
    <row customHeight="1" s="5" customFormat="1" r="27" ht="16.5">
      <c s="65" r="A27"/>
      <c s="65" r="B27"/>
      <c s="58" r="C27"/>
      <c s="65" r="D27"/>
      <c s="58" r="E27"/>
      <c s="65" r="F27"/>
      <c s="58" r="G27"/>
      <c s="65" r="H27"/>
      <c s="58" r="I27"/>
      <c s="65" r="J27"/>
      <c s="58" r="K27"/>
      <c s="65" r="L27"/>
      <c s="58" r="M27"/>
      <c s="65" r="N27"/>
      <c s="58" r="O27"/>
      <c s="65" r="P27"/>
      <c s="58" r="Q27"/>
      <c s="65" r="R27"/>
      <c s="65" r="S27"/>
    </row>
    <row customHeight="1" s="5" customFormat="1" r="28" ht="16.5">
      <c s="65" r="A28"/>
      <c s="65" r="B28"/>
      <c s="58" r="C28"/>
      <c s="65" r="D28"/>
      <c s="58" r="E28"/>
      <c s="65" r="F28"/>
      <c s="58" r="G28"/>
      <c s="65" r="H28"/>
      <c s="58" r="I28"/>
      <c s="65" r="J28"/>
      <c s="58" r="K28"/>
      <c s="65" r="L28"/>
      <c s="58" r="M28"/>
      <c s="65" r="N28"/>
      <c s="58" r="O28"/>
      <c s="65" r="P28"/>
      <c s="58" r="Q28"/>
      <c s="65" r="R28"/>
      <c s="65" r="S28"/>
    </row>
    <row customHeight="1" s="5" customFormat="1" r="29" ht="16.5">
      <c s="65" r="A29"/>
      <c s="65" r="B29"/>
      <c s="58" r="C29"/>
      <c s="65" r="D29"/>
      <c s="58" r="E29"/>
      <c s="65" r="F29"/>
      <c s="58" r="G29"/>
      <c s="65" r="H29"/>
      <c s="58" r="I29"/>
      <c s="65" r="J29"/>
      <c s="58" r="K29"/>
      <c s="65" r="L29"/>
      <c s="58" r="M29"/>
      <c s="65" r="N29"/>
      <c s="58" r="O29"/>
      <c s="65" r="P29"/>
      <c s="58" r="Q29"/>
      <c s="65" r="R29"/>
      <c s="65" r="S29"/>
    </row>
    <row customHeight="1" s="5" customFormat="1" r="30" ht="16.5">
      <c s="65" r="A30"/>
      <c s="65" r="B30"/>
      <c s="58" r="C30"/>
      <c s="65" r="D30"/>
      <c s="58" r="E30"/>
      <c s="65" r="F30"/>
      <c s="58" r="G30"/>
      <c s="65" r="H30"/>
      <c s="58" r="I30"/>
      <c s="65" r="J30"/>
      <c s="58" r="K30"/>
      <c s="65" r="L30"/>
      <c s="58" r="M30"/>
      <c s="65" r="N30"/>
      <c s="58" r="O30"/>
      <c s="65" r="P30"/>
      <c s="58" r="Q30"/>
      <c s="65" r="R30"/>
      <c s="65" r="S30"/>
    </row>
    <row customHeight="1" s="5" customFormat="1" r="31" ht="16.5">
      <c s="65" r="A31"/>
      <c s="65" r="B31"/>
      <c s="58" r="C31"/>
      <c s="65" r="D31"/>
      <c s="58" r="E31"/>
      <c s="65" r="F31"/>
      <c s="58" r="G31"/>
      <c s="65" r="H31"/>
      <c s="58" r="I31"/>
      <c s="65" r="J31"/>
      <c s="58" r="K31"/>
      <c s="65" r="L31"/>
      <c s="58" r="M31"/>
      <c s="65" r="N31"/>
      <c s="58" r="O31"/>
      <c s="65" r="P31"/>
      <c s="58" r="Q31"/>
      <c s="65" r="R31"/>
      <c s="65" r="S31"/>
    </row>
    <row customHeight="1" s="5" customFormat="1" r="32" ht="16.5">
      <c s="65" r="A32"/>
      <c s="65" r="B32"/>
      <c s="65" r="C32"/>
      <c s="65" r="D32"/>
      <c s="65" r="E32"/>
      <c s="65" r="F32"/>
      <c s="65" r="G32"/>
      <c s="65" r="H32"/>
      <c s="65" r="I32"/>
      <c s="65" r="J32"/>
      <c s="65" r="K32"/>
      <c s="65" r="L32"/>
      <c s="65" r="M32"/>
      <c s="65" r="N32"/>
      <c s="65" r="O32"/>
      <c s="65" r="P32"/>
      <c s="65" r="Q32"/>
      <c s="65" r="R32"/>
      <c s="65" r="S32"/>
    </row>
    <row customHeight="1" s="5" customFormat="1" r="33" ht="16.5">
      <c s="65" r="A33"/>
      <c s="65" r="B33"/>
      <c s="65" r="C33"/>
      <c s="65" r="D33"/>
      <c s="65" r="E33"/>
      <c s="65" r="F33"/>
      <c s="65" r="G33"/>
      <c s="65" r="H33"/>
      <c s="65" r="I33"/>
      <c s="65" r="J33"/>
      <c s="65" r="K33"/>
      <c s="65" r="L33"/>
      <c s="65" r="M33"/>
      <c s="65" r="N33"/>
      <c s="65" r="O33"/>
      <c s="65" r="P33"/>
      <c s="65" r="Q33"/>
      <c s="65" r="R33"/>
      <c s="65" r="S33"/>
    </row>
    <row customHeight="1" s="5" customFormat="1" r="34" ht="16.5">
      <c s="65" r="A34"/>
      <c s="65" r="B34"/>
      <c s="65" r="C34"/>
      <c s="65" r="D34"/>
      <c s="65" r="E34"/>
      <c s="65" r="F34"/>
      <c s="65" r="G34"/>
      <c s="65" r="H34"/>
      <c s="65" r="I34"/>
      <c s="65" r="J34"/>
      <c s="65" r="K34"/>
      <c s="65" r="L34"/>
      <c s="65" r="M34"/>
      <c s="65" r="N34"/>
      <c s="65" r="O34"/>
      <c s="65" r="P34"/>
      <c s="65" r="Q34"/>
      <c s="65" r="R34"/>
      <c s="65" r="S34"/>
    </row>
    <row r="35">
      <c s="65" r="A35"/>
      <c s="65" r="B35"/>
      <c s="65" r="C35"/>
      <c s="65" r="D35"/>
      <c s="65" r="E35"/>
      <c s="65" r="F35"/>
      <c s="65" r="G35"/>
      <c s="65" r="H35"/>
      <c s="65" r="I35"/>
      <c s="65" r="J35"/>
      <c s="65" r="K35"/>
      <c s="65" r="L35"/>
      <c s="65" r="M35"/>
      <c s="65" r="N35"/>
      <c s="65" r="O35"/>
      <c s="65" r="P35"/>
      <c s="65" r="Q35"/>
      <c s="65" r="R35"/>
      <c s="65" r="S35"/>
    </row>
  </sheetData>
  <mergeCells count="192">
    <mergeCell ref="B4:C4"/>
    <mergeCell ref="D4:E4"/>
    <mergeCell ref="F4:G4"/>
    <mergeCell ref="H4:I4"/>
    <mergeCell ref="J4:K4"/>
    <mergeCell ref="L4:M4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9:C9"/>
    <mergeCell ref="D9:E9"/>
    <mergeCell ref="F9:G9"/>
    <mergeCell ref="H9:I9"/>
    <mergeCell ref="J9:K9"/>
    <mergeCell ref="L9:M9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4:C14"/>
    <mergeCell ref="D14:E14"/>
    <mergeCell ref="F14:G14"/>
    <mergeCell ref="H14:I14"/>
    <mergeCell ref="J14:K14"/>
    <mergeCell ref="L14:M14"/>
    <mergeCell ref="N14:O14"/>
    <mergeCell ref="P14:Q14"/>
    <mergeCell ref="B15:C15"/>
    <mergeCell ref="D15:E15"/>
    <mergeCell ref="F15:G15"/>
    <mergeCell ref="H15:I15"/>
    <mergeCell ref="J15:K15"/>
    <mergeCell ref="L15:M15"/>
    <mergeCell ref="N15:O15"/>
    <mergeCell ref="P15:Q15"/>
    <mergeCell ref="B16:C16"/>
    <mergeCell ref="D16:E16"/>
    <mergeCell ref="F16:G16"/>
    <mergeCell ref="H16:I16"/>
    <mergeCell ref="J16:K16"/>
    <mergeCell ref="L16:M16"/>
    <mergeCell ref="N16:O16"/>
    <mergeCell ref="P16:Q16"/>
    <mergeCell ref="B21:C21"/>
    <mergeCell ref="D21:E21"/>
    <mergeCell ref="F21:G21"/>
    <mergeCell ref="H21:I21"/>
    <mergeCell ref="J21:K21"/>
    <mergeCell ref="L21:M21"/>
    <mergeCell ref="N21:O21"/>
    <mergeCell ref="P21:Q21"/>
    <mergeCell ref="B22:C22"/>
    <mergeCell ref="D22:E22"/>
    <mergeCell ref="F22:G22"/>
    <mergeCell ref="H22:I22"/>
    <mergeCell ref="J22:K22"/>
    <mergeCell ref="L22:M22"/>
    <mergeCell ref="N22:O22"/>
    <mergeCell ref="P22:Q22"/>
    <mergeCell ref="B23:C23"/>
    <mergeCell ref="D23:E23"/>
    <mergeCell ref="F23:G23"/>
    <mergeCell ref="H23:I23"/>
    <mergeCell ref="J23:K23"/>
    <mergeCell ref="L23:M23"/>
    <mergeCell ref="N23:O23"/>
    <mergeCell ref="P23:Q23"/>
    <mergeCell ref="B24:C24"/>
    <mergeCell ref="D24:E24"/>
    <mergeCell ref="F24:G24"/>
    <mergeCell ref="H24:I24"/>
    <mergeCell ref="J24:K24"/>
    <mergeCell ref="L24:M24"/>
    <mergeCell ref="N24:O24"/>
    <mergeCell ref="P24:Q24"/>
    <mergeCell ref="B25:C25"/>
    <mergeCell ref="D25:E25"/>
    <mergeCell ref="F25:G25"/>
    <mergeCell ref="H25:I25"/>
    <mergeCell ref="J25:K25"/>
    <mergeCell ref="L25:M25"/>
    <mergeCell ref="N25:O25"/>
    <mergeCell ref="P25:Q25"/>
    <mergeCell ref="B26:C26"/>
    <mergeCell ref="D26:E26"/>
    <mergeCell ref="F26:G26"/>
    <mergeCell ref="H26:I26"/>
    <mergeCell ref="J26:K26"/>
    <mergeCell ref="L26:M26"/>
    <mergeCell ref="N26:O26"/>
    <mergeCell ref="P26:Q26"/>
    <mergeCell ref="B27:C27"/>
    <mergeCell ref="D27:E27"/>
    <mergeCell ref="F27:G27"/>
    <mergeCell ref="H27:I27"/>
    <mergeCell ref="J27:K27"/>
    <mergeCell ref="L27:M27"/>
    <mergeCell ref="N27:O27"/>
    <mergeCell ref="P27:Q27"/>
    <mergeCell ref="B28:C28"/>
    <mergeCell ref="D28:E28"/>
    <mergeCell ref="F28:G28"/>
    <mergeCell ref="H28:I28"/>
    <mergeCell ref="J28:K28"/>
    <mergeCell ref="L28:M28"/>
    <mergeCell ref="N28:O28"/>
    <mergeCell ref="P28:Q28"/>
    <mergeCell ref="B29:C29"/>
    <mergeCell ref="D29:E29"/>
    <mergeCell ref="F29:G29"/>
    <mergeCell ref="H29:I29"/>
    <mergeCell ref="J29:K29"/>
    <mergeCell ref="L29:M29"/>
    <mergeCell ref="N29:O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B31:C31"/>
    <mergeCell ref="D31:E31"/>
    <mergeCell ref="F31:G31"/>
    <mergeCell ref="H31:I31"/>
    <mergeCell ref="J31:K31"/>
    <mergeCell ref="L31:M31"/>
    <mergeCell ref="N31:O31"/>
    <mergeCell ref="P31:Q31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width="7.86"/>
    <col min="3" customWidth="1" max="3" style="5" width="12.29"/>
    <col min="4" customWidth="1" max="13" width="7.86"/>
    <col min="14" customWidth="1" max="14" style="5" width="10.14"/>
    <col min="15" customWidth="1" max="17" width="7.86"/>
  </cols>
  <sheetData>
    <row customHeight="1" r="1" ht="15.0">
      <c s="5" r="C1"/>
      <c s="5" r="N1"/>
    </row>
    <row customHeight="1" r="2" ht="15.0">
      <c s="5" r="C2"/>
      <c s="5" r="N2"/>
    </row>
    <row customHeight="1" r="3" ht="15.0">
      <c s="5" r="C3"/>
      <c s="5" r="N3"/>
    </row>
    <row customHeight="1" s="5" customFormat="1" r="4" ht="15.0">
      <c s="5" r="A4"/>
      <c s="66" r="B4"/>
      <c s="66" r="C4"/>
      <c s="66" r="D4"/>
      <c s="66" r="E4"/>
      <c s="5" r="F4"/>
      <c s="66" r="G4"/>
      <c s="66" r="H4"/>
      <c s="66" r="I4"/>
      <c s="66" r="J4"/>
      <c s="5" r="K4"/>
      <c s="5" r="L4"/>
      <c s="5" r="M4"/>
      <c s="5" r="N4"/>
      <c s="5" r="O4"/>
      <c s="5" r="P4"/>
      <c s="5" r="Q4"/>
      <c s="5" r="R4"/>
    </row>
    <row customHeight="1" s="5" customFormat="1" r="5" ht="15.0">
      <c s="62" r="A5"/>
      <c t="s" s="45" r="B5">
        <v>50</v>
      </c>
      <c s="8" r="C5"/>
      <c s="8" r="D5"/>
      <c s="50" r="E5"/>
      <c s="37" r="F5"/>
      <c t="s" s="45" r="G5">
        <v>51</v>
      </c>
      <c s="8" r="H5"/>
      <c s="8" r="I5"/>
      <c s="50" r="J5"/>
      <c s="63" r="K5"/>
      <c s="34" r="L5"/>
      <c s="5" r="Q5"/>
      <c s="5" r="R5"/>
    </row>
    <row customHeight="1" s="5" customFormat="1" r="6" ht="15.0">
      <c s="62" r="A6"/>
      <c t="s" s="63" r="B6">
        <v>52</v>
      </c>
      <c s="61" r="D6">
        <f>SUM('DCF'!D15:Q15)/'Inputs'!E17</f>
        <v>12.0278589890035</v>
      </c>
      <c s="28" r="E6"/>
      <c s="37" r="F6"/>
      <c t="s" s="63" r="G6">
        <v>53</v>
      </c>
      <c s="61" r="I6">
        <f>D6+D7</f>
        <v>32.0831240443723</v>
      </c>
      <c s="28" r="J6"/>
      <c s="63" r="K6"/>
      <c s="5" r="L6"/>
      <c s="15" r="O6"/>
      <c s="5" r="Q6"/>
      <c s="5" r="R6"/>
    </row>
    <row customHeight="1" s="5" customFormat="1" r="7" ht="15.0">
      <c s="62" r="A7"/>
      <c t="s" s="63" r="B7">
        <v>54</v>
      </c>
      <c s="61" r="D7">
        <f>((((('Inputs'!E10*'Prod &amp; Costs'!F12)-('Prod &amp; Costs'!F12*'Prod &amp; Costs'!K12))*(1.0-'Inputs'!E19))/'DCF'!P14)/0.06)/'Inputs'!E17</f>
        <v>20.0552650553687</v>
      </c>
      <c s="28" r="E7"/>
      <c s="37" r="F7"/>
      <c t="s" s="63" r="G7">
        <v>55</v>
      </c>
      <c s="61" r="I7">
        <f>(('Prod &amp; Costs'!F14*'Inputs'!E15)*'Inputs'!E10)/'Inputs'!E17</f>
        <v>11.4377933130699</v>
      </c>
      <c s="28" r="J7"/>
      <c s="63" r="K7"/>
      <c s="5" r="L7"/>
      <c s="15" r="O7"/>
      <c s="5" r="Q7"/>
      <c s="5" r="R7"/>
    </row>
    <row customHeight="1" s="5" customFormat="1" r="8" ht="15.0">
      <c s="62" r="A8"/>
      <c t="s" s="63" r="B8">
        <v>56</v>
      </c>
      <c s="56" r="D8">
        <f>D7+D6</f>
        <v>32.0831240443723</v>
      </c>
      <c s="28" r="E8"/>
      <c s="37" r="F8"/>
      <c t="s" s="63" r="G8">
        <v>57</v>
      </c>
      <c s="61" r="I8">
        <f>(('Inputs'!E10*'Inputs'!E14)*'Inputs'!E16)/'Inputs'!E17</f>
        <v>3.68449848024316</v>
      </c>
      <c s="28" r="J8"/>
      <c s="63" r="K8"/>
      <c s="5" r="L8"/>
      <c s="15" r="O8"/>
      <c s="5" r="Q8"/>
      <c s="5" r="R8"/>
    </row>
    <row customHeight="1" s="5" customFormat="1" r="9" ht="15.0">
      <c s="62" r="A9"/>
      <c s="18" r="B9"/>
      <c s="66" r="C9"/>
      <c s="66" r="D9"/>
      <c s="42" r="E9"/>
      <c s="37" r="F9"/>
      <c t="s" s="18" r="G9">
        <v>56</v>
      </c>
      <c s="30" r="H9"/>
      <c s="31" r="I9">
        <f>SUM(I6:J8)</f>
        <v>47.2054158376853</v>
      </c>
      <c s="72" r="J9"/>
      <c s="63" r="K9"/>
      <c s="5" r="L9"/>
      <c s="44" r="O9"/>
      <c s="5" r="Q9"/>
      <c s="5" r="R9"/>
    </row>
    <row customHeight="1" s="5" customFormat="1" r="10" ht="15.0">
      <c s="5" r="A10"/>
      <c s="12" r="B10"/>
      <c s="12" r="C10"/>
      <c s="12" r="D10"/>
      <c s="12" r="E10"/>
      <c s="5" r="F10"/>
      <c s="12" r="G10"/>
      <c s="12" r="H10"/>
      <c s="12" r="I10"/>
      <c s="12" r="J10"/>
      <c s="5" r="K10"/>
      <c s="5" r="L10"/>
      <c s="5" r="O10"/>
      <c s="5" r="P10"/>
      <c s="5" r="Q10"/>
      <c s="5" r="R10"/>
    </row>
    <row customHeight="1" s="5" customFormat="1" r="11" ht="15.0">
      <c s="5" r="A11"/>
      <c s="5" r="B11"/>
      <c s="5" r="C11"/>
      <c s="5" r="D11"/>
      <c s="5" r="E11"/>
      <c s="5" r="F11"/>
      <c s="5" r="G11"/>
      <c s="5" r="H11"/>
      <c s="5" r="I11"/>
      <c s="5" r="J11"/>
      <c s="5" r="K11"/>
      <c s="5" r="L11"/>
      <c s="5" r="O11"/>
      <c s="5" r="P11"/>
      <c s="5" r="Q11"/>
      <c s="5" r="R11"/>
    </row>
    <row customHeight="1" s="5" customFormat="1" r="12" ht="15.0">
      <c s="5" r="A12"/>
      <c s="5" r="B12"/>
      <c s="5" r="C12"/>
      <c s="5" r="D12"/>
      <c s="5" r="E12"/>
      <c s="5" r="F12"/>
      <c s="34" r="G12"/>
      <c s="5" r="K12"/>
      <c s="34" r="L12"/>
      <c s="5" r="Q12"/>
      <c s="5" r="R12"/>
    </row>
    <row customHeight="1" s="5" customFormat="1" r="13" ht="15.0">
      <c s="5" r="A13"/>
      <c s="5" r="B13"/>
      <c s="5" r="C13"/>
      <c s="5" r="D13"/>
      <c s="5" r="E13"/>
      <c s="5" r="F13"/>
      <c s="5" r="G13"/>
      <c s="71" r="I13"/>
      <c s="5" r="K13"/>
      <c s="5" r="L13"/>
      <c s="71" r="O13"/>
      <c s="5" r="Q13"/>
      <c s="5" r="R13"/>
    </row>
    <row customHeight="1" s="5" customFormat="1" r="14" ht="15.0">
      <c s="5" r="A14"/>
      <c s="5" r="B14"/>
      <c s="5" r="C14"/>
      <c s="5" r="D14"/>
      <c s="5" r="E14"/>
      <c s="5" r="F14"/>
      <c s="5" r="G14"/>
      <c s="71" r="I14"/>
      <c s="5" r="K14"/>
      <c s="5" r="L14"/>
      <c s="71" r="O14"/>
      <c s="5" r="Q14"/>
      <c s="5" r="R14"/>
    </row>
    <row customHeight="1" s="5" customFormat="1" r="15" ht="15.0">
      <c s="5" r="A15"/>
      <c s="5" r="B15"/>
      <c s="5" r="C15"/>
      <c s="5" r="D15"/>
      <c s="5" r="E15"/>
      <c s="5" r="F15"/>
      <c s="5" r="G15"/>
      <c s="71" r="I15"/>
      <c s="5" r="K15"/>
      <c s="5" r="L15"/>
      <c s="71" r="O15"/>
      <c s="5" r="Q15"/>
      <c s="5" r="R15"/>
    </row>
    <row customHeight="1" s="5" customFormat="1" r="16" ht="15.0">
      <c s="5" r="A16"/>
      <c s="5" r="B16"/>
      <c s="5" r="C16"/>
      <c s="5" r="D16"/>
      <c s="5" r="E16"/>
      <c s="5" r="F16"/>
      <c t="s" s="5" r="G16">
        <v>58</v>
      </c>
      <c s="5" r="I16"/>
      <c s="5" r="K16"/>
      <c s="5" r="L16"/>
      <c s="5" r="O16"/>
      <c s="5" r="Q16"/>
      <c s="5" r="R16"/>
    </row>
    <row customHeight="1" s="5" customFormat="1" r="17" ht="15.0">
      <c s="5" r="A17"/>
      <c s="5" r="B17"/>
      <c s="5" r="C17"/>
      <c s="5" r="D17"/>
      <c s="5" r="E17"/>
      <c s="5" r="F17"/>
      <c s="5" r="G17"/>
      <c s="5" r="I17"/>
      <c s="5" r="K17"/>
      <c s="5" r="L17"/>
      <c s="5" r="M17"/>
      <c s="5" r="N17"/>
      <c s="5" r="O17"/>
      <c s="5" r="P17"/>
      <c s="5" r="Q17"/>
      <c s="5" r="R17"/>
    </row>
    <row customHeight="1" s="5" customFormat="1" r="18" ht="15.0">
      <c s="5" r="A18"/>
      <c s="5" r="B18"/>
      <c s="5" r="C18"/>
      <c s="5" r="D18"/>
      <c s="5" r="E18"/>
      <c s="5" r="F18"/>
      <c s="5" r="G18"/>
      <c s="5" r="H18"/>
      <c s="5" r="I18"/>
      <c s="5" r="J18"/>
      <c s="5" r="K18"/>
      <c s="5" r="L18"/>
      <c s="5" r="M18"/>
      <c s="5" r="N18"/>
      <c s="5" r="O18"/>
      <c s="5" r="P18"/>
      <c s="5" r="Q18"/>
      <c s="5" r="R18"/>
    </row>
    <row customHeight="1" s="5" customFormat="1" r="19" ht="15.0">
      <c s="5" r="A19"/>
      <c s="5" r="B19"/>
      <c s="5" r="C19"/>
      <c s="5" r="D19"/>
      <c s="5" r="E19"/>
      <c s="5" r="F19"/>
      <c s="5" r="G19"/>
      <c s="5" r="H19"/>
      <c s="5" r="I19"/>
      <c s="5" r="J19"/>
      <c s="5" r="K19"/>
      <c s="5" r="L19"/>
      <c s="5" r="M19"/>
      <c s="5" r="N19"/>
      <c s="5" r="O19"/>
      <c s="5" r="P19"/>
      <c s="5" r="Q19"/>
      <c s="5" r="R19"/>
    </row>
    <row customHeight="1" s="5" customFormat="1" r="20" ht="15.0">
      <c s="5" r="A20"/>
      <c s="5" r="B20"/>
      <c s="5" r="C20"/>
      <c s="5" r="D20"/>
      <c s="5" r="E20"/>
      <c s="5" r="F20"/>
      <c s="5" r="G20"/>
      <c s="5" r="H20"/>
      <c s="5" r="I20"/>
      <c s="5" r="J20"/>
      <c s="5" r="K20"/>
      <c s="5" r="L20"/>
      <c s="5" r="M20"/>
      <c s="5" r="N20"/>
      <c s="5" r="O20"/>
      <c s="5" r="P20"/>
      <c s="5" r="Q20"/>
      <c s="5" r="R20"/>
    </row>
    <row customHeight="1" s="5" customFormat="1" r="21" ht="15.0">
      <c s="5" r="A21"/>
      <c s="5" r="B21"/>
      <c s="5" r="C21"/>
      <c s="5" r="D21"/>
      <c s="5" r="E21"/>
      <c s="5" r="F21"/>
      <c s="5" r="G21"/>
      <c s="5" r="H21"/>
      <c s="34" r="I21"/>
      <c s="5" r="O21"/>
      <c s="5" r="P21"/>
      <c s="5" r="Q21"/>
      <c s="5" r="R21"/>
    </row>
    <row customHeight="1" s="5" customFormat="1" r="22" ht="15.0">
      <c s="5" r="A22"/>
      <c s="5" r="B22"/>
      <c s="5" r="C22"/>
      <c s="5" r="D22"/>
      <c s="5" r="E22"/>
      <c s="5" r="F22"/>
      <c s="5" r="G22"/>
      <c s="5" r="H22"/>
      <c s="5" r="I22"/>
      <c s="5" r="J22"/>
      <c s="5" r="K22"/>
      <c s="5" r="L22"/>
      <c s="5" r="M22"/>
      <c s="5" r="N22"/>
      <c s="5" r="O22"/>
      <c s="5" r="P22"/>
      <c s="5" r="Q22"/>
      <c s="5" r="R22"/>
    </row>
    <row customHeight="1" s="5" customFormat="1" r="23" ht="15.0">
      <c s="5" r="A23"/>
      <c s="5" r="B23"/>
      <c s="5" r="C23"/>
      <c s="5" r="D23"/>
      <c s="5" r="E23"/>
      <c s="5" r="F23"/>
      <c s="5" r="G23"/>
      <c s="5" r="H23"/>
      <c s="34" r="I23"/>
      <c s="5" r="K23"/>
      <c s="5" r="M23"/>
      <c s="34" r="O23"/>
      <c s="5" r="Q23"/>
      <c s="5" r="R23"/>
    </row>
    <row customHeight="1" s="5" customFormat="1" r="24" ht="15.0">
      <c s="5" r="A24"/>
      <c s="5" r="B24"/>
      <c s="5" r="C24"/>
      <c s="5" r="D24"/>
      <c s="5" r="E24"/>
      <c s="5" r="F24"/>
      <c s="5" r="G24"/>
      <c s="44" r="I24"/>
      <c s="44" r="K24"/>
      <c s="44" r="M24"/>
      <c s="44" r="O24"/>
      <c s="5" r="Q24"/>
      <c s="5" r="R24"/>
    </row>
    <row customHeight="1" s="5" customFormat="1" r="25" ht="15.0">
      <c s="5" r="A25"/>
      <c s="5" r="B25"/>
      <c s="5" r="C25"/>
      <c s="5" r="D25"/>
      <c s="5" r="E25"/>
      <c s="5" r="F25"/>
      <c s="5" r="G25"/>
      <c s="44" r="I25"/>
      <c s="44" r="K25"/>
      <c s="44" r="M25"/>
      <c s="44" r="O25"/>
      <c s="5" r="Q25"/>
      <c s="5" r="R25"/>
    </row>
    <row customHeight="1" s="5" customFormat="1" r="26" ht="15.0">
      <c s="5" r="A26"/>
      <c s="5" r="B26"/>
      <c s="5" r="C26"/>
      <c s="5" r="D26"/>
      <c s="5" r="E26"/>
      <c s="5" r="F26"/>
      <c s="5" r="G26"/>
      <c s="5" r="H26"/>
      <c s="5" r="I26"/>
      <c s="5" r="K26"/>
      <c s="5" r="L26"/>
      <c s="5" r="M26"/>
      <c s="5" r="N26"/>
      <c s="5" r="O26"/>
      <c s="5" r="P26"/>
      <c s="5" r="Q26"/>
      <c s="5" r="R26"/>
    </row>
    <row customHeight="1" s="5" customFormat="1" r="27" ht="15.0">
      <c s="5" r="A27"/>
      <c s="5" r="B27"/>
      <c s="5" r="C27"/>
      <c s="5" r="D27"/>
      <c s="5" r="E27"/>
      <c s="5" r="F27"/>
      <c s="5" r="G27"/>
      <c s="5" r="H27"/>
      <c s="5" r="I27"/>
      <c s="5" r="K27"/>
      <c s="5" r="L27"/>
      <c s="5" r="M27"/>
      <c s="5" r="N27"/>
      <c s="5" r="O27"/>
      <c s="5" r="P27"/>
      <c s="5" r="Q27"/>
      <c s="5" r="R27"/>
    </row>
    <row customHeight="1" s="5" customFormat="1" r="28" ht="15.0">
      <c s="5" r="A28"/>
      <c s="5" r="B28"/>
      <c s="5" r="C28"/>
      <c s="5" r="D28"/>
      <c s="5" r="E28"/>
      <c s="5" r="F28"/>
      <c s="5" r="G28"/>
      <c s="5" r="H28"/>
      <c s="5" r="I28"/>
      <c s="5" r="J28"/>
      <c s="5" r="K28"/>
      <c s="5" r="L28"/>
      <c s="5" r="M28"/>
      <c s="5" r="N28"/>
      <c s="5" r="O28"/>
      <c s="5" r="P28"/>
      <c s="5" r="Q28"/>
      <c s="5" r="R28"/>
    </row>
    <row customHeight="1" s="5" customFormat="1" r="29" ht="15.0">
      <c s="5" r="A29"/>
      <c s="5" r="B29"/>
      <c s="5" r="C29"/>
      <c s="5" r="D29"/>
      <c s="5" r="E29"/>
      <c s="5" r="F29"/>
      <c s="5" r="G29"/>
      <c s="5" r="H29"/>
      <c s="5" r="I29"/>
      <c s="5" r="J29"/>
      <c s="5" r="K29"/>
      <c s="5" r="L29"/>
      <c s="5" r="M29"/>
      <c s="5" r="N29"/>
      <c s="5" r="O29"/>
      <c s="5" r="P29"/>
      <c s="5" r="Q29"/>
      <c s="5" r="R29"/>
    </row>
    <row r="30">
      <c s="5" r="C30"/>
      <c s="5" r="N30"/>
    </row>
  </sheetData>
  <mergeCells count="64">
    <mergeCell ref="B5:E5"/>
    <mergeCell ref="G5:J5"/>
    <mergeCell ref="L5:P5"/>
    <mergeCell ref="B6:C6"/>
    <mergeCell ref="D6:E6"/>
    <mergeCell ref="G6:H6"/>
    <mergeCell ref="I6:J6"/>
    <mergeCell ref="L6:N6"/>
    <mergeCell ref="O6:P6"/>
    <mergeCell ref="B7:C7"/>
    <mergeCell ref="D7:E7"/>
    <mergeCell ref="G7:H7"/>
    <mergeCell ref="I7:J7"/>
    <mergeCell ref="L7:N7"/>
    <mergeCell ref="O7:P7"/>
    <mergeCell ref="B8:C8"/>
    <mergeCell ref="D8:E8"/>
    <mergeCell ref="G8:H8"/>
    <mergeCell ref="I8:J8"/>
    <mergeCell ref="L8:N8"/>
    <mergeCell ref="O8:P8"/>
    <mergeCell ref="G9:H9"/>
    <mergeCell ref="I9:J9"/>
    <mergeCell ref="L9:N9"/>
    <mergeCell ref="O9:P9"/>
    <mergeCell ref="L10:N10"/>
    <mergeCell ref="L11:N11"/>
    <mergeCell ref="G12:J12"/>
    <mergeCell ref="L12:P12"/>
    <mergeCell ref="G13:H13"/>
    <mergeCell ref="I13:J13"/>
    <mergeCell ref="L13:N13"/>
    <mergeCell ref="O13:P13"/>
    <mergeCell ref="G14:H14"/>
    <mergeCell ref="I14:J14"/>
    <mergeCell ref="L14:N14"/>
    <mergeCell ref="O14:P14"/>
    <mergeCell ref="G15:H15"/>
    <mergeCell ref="I15:J15"/>
    <mergeCell ref="L15:N15"/>
    <mergeCell ref="O15:P15"/>
    <mergeCell ref="G16:H16"/>
    <mergeCell ref="I16:J16"/>
    <mergeCell ref="L16:N16"/>
    <mergeCell ref="O16:P16"/>
    <mergeCell ref="G17:H17"/>
    <mergeCell ref="I17:J17"/>
    <mergeCell ref="I21:N21"/>
    <mergeCell ref="I23:J23"/>
    <mergeCell ref="K23:L23"/>
    <mergeCell ref="M23:N23"/>
    <mergeCell ref="O23:P23"/>
    <mergeCell ref="G24:H24"/>
    <mergeCell ref="I24:J24"/>
    <mergeCell ref="K24:L24"/>
    <mergeCell ref="M24:N24"/>
    <mergeCell ref="O24:P24"/>
    <mergeCell ref="G25:H25"/>
    <mergeCell ref="I25:J25"/>
    <mergeCell ref="K25:L25"/>
    <mergeCell ref="M25:N25"/>
    <mergeCell ref="O25:P25"/>
    <mergeCell ref="I26:J26"/>
    <mergeCell ref="I27:J27"/>
  </mergeCells>
</worksheet>
</file>