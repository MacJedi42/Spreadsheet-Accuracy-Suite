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filterPrivacy="1" showInkAnnotation="0" codeName="ThisWorkbook" autoCompressPictures="0"/>
  <bookViews>
    <workbookView xWindow="1100" yWindow="20" windowWidth="32500" windowHeight="19220" tabRatio="500"/>
  </bookViews>
  <sheets>
    <sheet name="Color Targets" sheetId="1" r:id="rId1"/>
    <sheet name="Gamma Target" sheetId="2" r:id="rId2"/>
    <sheet name="Calculation" sheetId="3" r:id="rId3"/>
    <sheet name="Worksheet" sheetId="4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4" i="2" l="1"/>
  <c r="D15" i="2"/>
  <c r="D16" i="2"/>
  <c r="D17" i="2"/>
  <c r="F15" i="2"/>
  <c r="I15" i="2"/>
  <c r="F16" i="2"/>
  <c r="I16" i="2"/>
  <c r="F17" i="2"/>
  <c r="I17" i="2"/>
  <c r="F18" i="2"/>
  <c r="I18" i="2"/>
  <c r="F19" i="2"/>
  <c r="I19" i="2"/>
  <c r="F20" i="2"/>
  <c r="I20" i="2"/>
  <c r="F21" i="2"/>
  <c r="I21" i="2"/>
  <c r="F22" i="2"/>
  <c r="I22" i="2"/>
  <c r="F23" i="2"/>
  <c r="I23" i="2"/>
  <c r="F24" i="2"/>
  <c r="I24" i="2"/>
  <c r="F25" i="2"/>
  <c r="I25" i="2"/>
  <c r="F26" i="2"/>
  <c r="I26" i="2"/>
  <c r="F27" i="2"/>
  <c r="I27" i="2"/>
  <c r="F28" i="2"/>
  <c r="I28" i="2"/>
  <c r="F29" i="2"/>
  <c r="I29" i="2"/>
  <c r="F30" i="2"/>
  <c r="I30" i="2"/>
  <c r="F31" i="2"/>
  <c r="I31" i="2"/>
  <c r="F32" i="2"/>
  <c r="I32" i="2"/>
  <c r="F33" i="2"/>
  <c r="I33" i="2"/>
  <c r="F34" i="2"/>
  <c r="I34" i="2"/>
  <c r="F35" i="2"/>
  <c r="I35" i="2"/>
  <c r="F36" i="2"/>
  <c r="I36" i="2"/>
  <c r="F14" i="2"/>
  <c r="I14" i="2"/>
  <c r="F37" i="2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70" i="1"/>
  <c r="D2" i="2"/>
  <c r="E2" i="2"/>
  <c r="D37" i="2"/>
  <c r="D35" i="2"/>
  <c r="D33" i="2"/>
  <c r="D31" i="2"/>
  <c r="D29" i="2"/>
  <c r="D27" i="2"/>
  <c r="D25" i="2"/>
  <c r="D23" i="2"/>
  <c r="D21" i="2"/>
  <c r="D19" i="2"/>
  <c r="D18" i="2"/>
  <c r="D20" i="2"/>
  <c r="D22" i="2"/>
  <c r="D24" i="2"/>
  <c r="D26" i="2"/>
  <c r="D28" i="2"/>
  <c r="D30" i="2"/>
  <c r="D32" i="2"/>
  <c r="D34" i="2"/>
  <c r="D36" i="2"/>
  <c r="B210" i="3"/>
  <c r="E210" i="3"/>
  <c r="H210" i="3"/>
  <c r="C210" i="3"/>
  <c r="F210" i="3"/>
  <c r="I210" i="3"/>
  <c r="L210" i="3"/>
  <c r="D210" i="3"/>
  <c r="G210" i="3"/>
  <c r="J210" i="3"/>
  <c r="M210" i="3"/>
  <c r="D236" i="3"/>
  <c r="B211" i="3"/>
  <c r="E211" i="3"/>
  <c r="H211" i="3"/>
  <c r="C211" i="3"/>
  <c r="F211" i="3"/>
  <c r="I211" i="3"/>
  <c r="L211" i="3"/>
  <c r="D211" i="3"/>
  <c r="G211" i="3"/>
  <c r="J211" i="3"/>
  <c r="M211" i="3"/>
  <c r="D237" i="3"/>
  <c r="B190" i="3"/>
  <c r="E190" i="3"/>
  <c r="H190" i="3"/>
  <c r="C190" i="3"/>
  <c r="F190" i="3"/>
  <c r="I190" i="3"/>
  <c r="L190" i="3"/>
  <c r="D190" i="3"/>
  <c r="G190" i="3"/>
  <c r="J190" i="3"/>
  <c r="M190" i="3"/>
  <c r="D216" i="3"/>
  <c r="B191" i="3"/>
  <c r="E191" i="3"/>
  <c r="H191" i="3"/>
  <c r="C191" i="3"/>
  <c r="F191" i="3"/>
  <c r="I191" i="3"/>
  <c r="L191" i="3"/>
  <c r="D191" i="3"/>
  <c r="G191" i="3"/>
  <c r="J191" i="3"/>
  <c r="M191" i="3"/>
  <c r="D217" i="3"/>
  <c r="B192" i="3"/>
  <c r="E192" i="3"/>
  <c r="H192" i="3"/>
  <c r="C192" i="3"/>
  <c r="F192" i="3"/>
  <c r="I192" i="3"/>
  <c r="L192" i="3"/>
  <c r="D192" i="3"/>
  <c r="G192" i="3"/>
  <c r="J192" i="3"/>
  <c r="M192" i="3"/>
  <c r="D218" i="3"/>
  <c r="B193" i="3"/>
  <c r="E193" i="3"/>
  <c r="H193" i="3"/>
  <c r="C193" i="3"/>
  <c r="F193" i="3"/>
  <c r="I193" i="3"/>
  <c r="L193" i="3"/>
  <c r="D193" i="3"/>
  <c r="G193" i="3"/>
  <c r="J193" i="3"/>
  <c r="M193" i="3"/>
  <c r="D219" i="3"/>
  <c r="B194" i="3"/>
  <c r="E194" i="3"/>
  <c r="H194" i="3"/>
  <c r="C194" i="3"/>
  <c r="F194" i="3"/>
  <c r="I194" i="3"/>
  <c r="L194" i="3"/>
  <c r="D194" i="3"/>
  <c r="G194" i="3"/>
  <c r="J194" i="3"/>
  <c r="M194" i="3"/>
  <c r="D220" i="3"/>
  <c r="B195" i="3"/>
  <c r="E195" i="3"/>
  <c r="H195" i="3"/>
  <c r="C195" i="3"/>
  <c r="F195" i="3"/>
  <c r="I195" i="3"/>
  <c r="L195" i="3"/>
  <c r="D195" i="3"/>
  <c r="G195" i="3"/>
  <c r="J195" i="3"/>
  <c r="M195" i="3"/>
  <c r="D221" i="3"/>
  <c r="B196" i="3"/>
  <c r="E196" i="3"/>
  <c r="H196" i="3"/>
  <c r="C196" i="3"/>
  <c r="F196" i="3"/>
  <c r="I196" i="3"/>
  <c r="L196" i="3"/>
  <c r="D196" i="3"/>
  <c r="G196" i="3"/>
  <c r="J196" i="3"/>
  <c r="M196" i="3"/>
  <c r="D222" i="3"/>
  <c r="B197" i="3"/>
  <c r="E197" i="3"/>
  <c r="H197" i="3"/>
  <c r="C197" i="3"/>
  <c r="F197" i="3"/>
  <c r="I197" i="3"/>
  <c r="L197" i="3"/>
  <c r="D197" i="3"/>
  <c r="G197" i="3"/>
  <c r="J197" i="3"/>
  <c r="M197" i="3"/>
  <c r="D223" i="3"/>
  <c r="B198" i="3"/>
  <c r="E198" i="3"/>
  <c r="H198" i="3"/>
  <c r="C198" i="3"/>
  <c r="F198" i="3"/>
  <c r="I198" i="3"/>
  <c r="L198" i="3"/>
  <c r="D198" i="3"/>
  <c r="G198" i="3"/>
  <c r="J198" i="3"/>
  <c r="M198" i="3"/>
  <c r="D224" i="3"/>
  <c r="B199" i="3"/>
  <c r="E199" i="3"/>
  <c r="H199" i="3"/>
  <c r="C199" i="3"/>
  <c r="F199" i="3"/>
  <c r="I199" i="3"/>
  <c r="L199" i="3"/>
  <c r="D199" i="3"/>
  <c r="G199" i="3"/>
  <c r="J199" i="3"/>
  <c r="M199" i="3"/>
  <c r="D225" i="3"/>
  <c r="B200" i="3"/>
  <c r="E200" i="3"/>
  <c r="H200" i="3"/>
  <c r="C200" i="3"/>
  <c r="F200" i="3"/>
  <c r="I200" i="3"/>
  <c r="L200" i="3"/>
  <c r="D200" i="3"/>
  <c r="G200" i="3"/>
  <c r="J200" i="3"/>
  <c r="M200" i="3"/>
  <c r="D226" i="3"/>
  <c r="B201" i="3"/>
  <c r="E201" i="3"/>
  <c r="H201" i="3"/>
  <c r="C201" i="3"/>
  <c r="F201" i="3"/>
  <c r="I201" i="3"/>
  <c r="L201" i="3"/>
  <c r="D201" i="3"/>
  <c r="G201" i="3"/>
  <c r="J201" i="3"/>
  <c r="M201" i="3"/>
  <c r="D227" i="3"/>
  <c r="B202" i="3"/>
  <c r="E202" i="3"/>
  <c r="H202" i="3"/>
  <c r="C202" i="3"/>
  <c r="F202" i="3"/>
  <c r="I202" i="3"/>
  <c r="L202" i="3"/>
  <c r="D202" i="3"/>
  <c r="G202" i="3"/>
  <c r="J202" i="3"/>
  <c r="M202" i="3"/>
  <c r="D228" i="3"/>
  <c r="B203" i="3"/>
  <c r="E203" i="3"/>
  <c r="H203" i="3"/>
  <c r="C203" i="3"/>
  <c r="F203" i="3"/>
  <c r="I203" i="3"/>
  <c r="L203" i="3"/>
  <c r="D203" i="3"/>
  <c r="G203" i="3"/>
  <c r="J203" i="3"/>
  <c r="M203" i="3"/>
  <c r="D229" i="3"/>
  <c r="B204" i="3"/>
  <c r="E204" i="3"/>
  <c r="H204" i="3"/>
  <c r="C204" i="3"/>
  <c r="F204" i="3"/>
  <c r="I204" i="3"/>
  <c r="L204" i="3"/>
  <c r="D204" i="3"/>
  <c r="G204" i="3"/>
  <c r="J204" i="3"/>
  <c r="M204" i="3"/>
  <c r="D230" i="3"/>
  <c r="B205" i="3"/>
  <c r="E205" i="3"/>
  <c r="H205" i="3"/>
  <c r="C205" i="3"/>
  <c r="F205" i="3"/>
  <c r="I205" i="3"/>
  <c r="L205" i="3"/>
  <c r="D205" i="3"/>
  <c r="G205" i="3"/>
  <c r="J205" i="3"/>
  <c r="M205" i="3"/>
  <c r="D231" i="3"/>
  <c r="B206" i="3"/>
  <c r="E206" i="3"/>
  <c r="H206" i="3"/>
  <c r="C206" i="3"/>
  <c r="F206" i="3"/>
  <c r="I206" i="3"/>
  <c r="L206" i="3"/>
  <c r="D206" i="3"/>
  <c r="G206" i="3"/>
  <c r="J206" i="3"/>
  <c r="M206" i="3"/>
  <c r="D232" i="3"/>
  <c r="B207" i="3"/>
  <c r="E207" i="3"/>
  <c r="H207" i="3"/>
  <c r="C207" i="3"/>
  <c r="F207" i="3"/>
  <c r="I207" i="3"/>
  <c r="L207" i="3"/>
  <c r="D207" i="3"/>
  <c r="G207" i="3"/>
  <c r="J207" i="3"/>
  <c r="M207" i="3"/>
  <c r="D233" i="3"/>
  <c r="B208" i="3"/>
  <c r="E208" i="3"/>
  <c r="H208" i="3"/>
  <c r="C208" i="3"/>
  <c r="F208" i="3"/>
  <c r="I208" i="3"/>
  <c r="L208" i="3"/>
  <c r="D208" i="3"/>
  <c r="G208" i="3"/>
  <c r="J208" i="3"/>
  <c r="M208" i="3"/>
  <c r="D234" i="3"/>
  <c r="B209" i="3"/>
  <c r="E209" i="3"/>
  <c r="H209" i="3"/>
  <c r="C209" i="3"/>
  <c r="F209" i="3"/>
  <c r="I209" i="3"/>
  <c r="L209" i="3"/>
  <c r="D209" i="3"/>
  <c r="G209" i="3"/>
  <c r="J209" i="3"/>
  <c r="M209" i="3"/>
  <c r="D235" i="3"/>
  <c r="B189" i="3"/>
  <c r="E189" i="3"/>
  <c r="H189" i="3"/>
  <c r="C189" i="3"/>
  <c r="F189" i="3"/>
  <c r="I189" i="3"/>
  <c r="L189" i="3"/>
  <c r="D189" i="3"/>
  <c r="G189" i="3"/>
  <c r="J189" i="3"/>
  <c r="M189" i="3"/>
  <c r="K189" i="3"/>
  <c r="K190" i="3"/>
  <c r="O190" i="3"/>
  <c r="P190" i="3"/>
  <c r="K191" i="3"/>
  <c r="O191" i="3"/>
  <c r="P191" i="3"/>
  <c r="K192" i="3"/>
  <c r="O192" i="3"/>
  <c r="P192" i="3"/>
  <c r="K193" i="3"/>
  <c r="O193" i="3"/>
  <c r="P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O206" i="3"/>
  <c r="P206" i="3"/>
  <c r="K207" i="3"/>
  <c r="O207" i="3"/>
  <c r="P207" i="3"/>
  <c r="K208" i="3"/>
  <c r="O208" i="3"/>
  <c r="P208" i="3"/>
  <c r="K209" i="3"/>
  <c r="O209" i="3"/>
  <c r="P209" i="3"/>
  <c r="K210" i="3"/>
  <c r="O210" i="3"/>
  <c r="P210" i="3"/>
  <c r="K211" i="3"/>
  <c r="O211" i="3"/>
  <c r="P211" i="3"/>
  <c r="O189" i="3"/>
  <c r="P189" i="3"/>
  <c r="O195" i="3"/>
  <c r="P195" i="3"/>
  <c r="O196" i="3"/>
  <c r="P196" i="3"/>
  <c r="O197" i="3"/>
  <c r="P197" i="3"/>
  <c r="O198" i="3"/>
  <c r="P198" i="3"/>
  <c r="O199" i="3"/>
  <c r="P199" i="3"/>
  <c r="O200" i="3"/>
  <c r="P200" i="3"/>
  <c r="O201" i="3"/>
  <c r="P201" i="3"/>
  <c r="O202" i="3"/>
  <c r="P202" i="3"/>
  <c r="O203" i="3"/>
  <c r="P203" i="3"/>
  <c r="O204" i="3"/>
  <c r="P204" i="3"/>
  <c r="O205" i="3"/>
  <c r="P205" i="3"/>
  <c r="O194" i="3"/>
  <c r="P194" i="3"/>
  <c r="D215" i="3"/>
  <c r="J35" i="1"/>
  <c r="C131" i="3"/>
  <c r="F131" i="3"/>
  <c r="I131" i="3"/>
  <c r="K131" i="3"/>
  <c r="B131" i="3"/>
  <c r="E131" i="3"/>
  <c r="H131" i="3"/>
  <c r="L131" i="3"/>
  <c r="J36" i="1"/>
  <c r="C132" i="3"/>
  <c r="F132" i="3"/>
  <c r="I132" i="3"/>
  <c r="K132" i="3"/>
  <c r="B132" i="3"/>
  <c r="E132" i="3"/>
  <c r="H132" i="3"/>
  <c r="L132" i="3"/>
  <c r="J37" i="1"/>
  <c r="C133" i="3"/>
  <c r="F133" i="3"/>
  <c r="I133" i="3"/>
  <c r="K133" i="3"/>
  <c r="B133" i="3"/>
  <c r="E133" i="3"/>
  <c r="H133" i="3"/>
  <c r="L133" i="3"/>
  <c r="J38" i="1"/>
  <c r="C134" i="3"/>
  <c r="F134" i="3"/>
  <c r="I134" i="3"/>
  <c r="K134" i="3"/>
  <c r="B134" i="3"/>
  <c r="E134" i="3"/>
  <c r="H134" i="3"/>
  <c r="L134" i="3"/>
  <c r="J39" i="1"/>
  <c r="C135" i="3"/>
  <c r="F135" i="3"/>
  <c r="I135" i="3"/>
  <c r="K135" i="3"/>
  <c r="B135" i="3"/>
  <c r="E135" i="3"/>
  <c r="H135" i="3"/>
  <c r="L135" i="3"/>
  <c r="J40" i="1"/>
  <c r="C136" i="3"/>
  <c r="F136" i="3"/>
  <c r="I136" i="3"/>
  <c r="K136" i="3"/>
  <c r="B136" i="3"/>
  <c r="E136" i="3"/>
  <c r="H136" i="3"/>
  <c r="L136" i="3"/>
  <c r="J41" i="1"/>
  <c r="C137" i="3"/>
  <c r="F137" i="3"/>
  <c r="I137" i="3"/>
  <c r="K137" i="3"/>
  <c r="B137" i="3"/>
  <c r="E137" i="3"/>
  <c r="H137" i="3"/>
  <c r="L137" i="3"/>
  <c r="J42" i="1"/>
  <c r="C138" i="3"/>
  <c r="F138" i="3"/>
  <c r="I138" i="3"/>
  <c r="K138" i="3"/>
  <c r="B138" i="3"/>
  <c r="E138" i="3"/>
  <c r="H138" i="3"/>
  <c r="L138" i="3"/>
  <c r="J43" i="1"/>
  <c r="C139" i="3"/>
  <c r="F139" i="3"/>
  <c r="I139" i="3"/>
  <c r="K139" i="3"/>
  <c r="B139" i="3"/>
  <c r="E139" i="3"/>
  <c r="H139" i="3"/>
  <c r="L139" i="3"/>
  <c r="K18" i="2"/>
  <c r="K19" i="2"/>
  <c r="K21" i="2"/>
  <c r="K23" i="2"/>
  <c r="K25" i="2"/>
  <c r="K27" i="2"/>
  <c r="K29" i="2"/>
  <c r="K31" i="2"/>
  <c r="K33" i="2"/>
  <c r="K35" i="2"/>
  <c r="K14" i="2"/>
  <c r="K15" i="2"/>
  <c r="K16" i="2"/>
  <c r="K17" i="2"/>
  <c r="K20" i="2"/>
  <c r="K22" i="2"/>
  <c r="K24" i="2"/>
  <c r="K26" i="2"/>
  <c r="K28" i="2"/>
  <c r="K30" i="2"/>
  <c r="K32" i="2"/>
  <c r="K34" i="2"/>
  <c r="K36" i="2"/>
  <c r="B263" i="3"/>
  <c r="C263" i="3"/>
  <c r="L18" i="2"/>
  <c r="L17" i="2"/>
  <c r="L19" i="2"/>
  <c r="D263" i="3"/>
  <c r="L14" i="2"/>
  <c r="L15" i="2"/>
  <c r="L16" i="2"/>
  <c r="E263" i="3"/>
  <c r="F263" i="3"/>
  <c r="G263" i="3"/>
  <c r="H263" i="3"/>
  <c r="B264" i="3"/>
  <c r="C264" i="3"/>
  <c r="D264" i="3"/>
  <c r="E264" i="3"/>
  <c r="F264" i="3"/>
  <c r="G264" i="3"/>
  <c r="H264" i="3"/>
  <c r="B265" i="3"/>
  <c r="C265" i="3"/>
  <c r="D265" i="3"/>
  <c r="E265" i="3"/>
  <c r="F265" i="3"/>
  <c r="G265" i="3"/>
  <c r="H265" i="3"/>
  <c r="B266" i="3"/>
  <c r="C266" i="3"/>
  <c r="D266" i="3"/>
  <c r="E266" i="3"/>
  <c r="F266" i="3"/>
  <c r="G266" i="3"/>
  <c r="H266" i="3"/>
  <c r="B267" i="3"/>
  <c r="C267" i="3"/>
  <c r="D267" i="3"/>
  <c r="E267" i="3"/>
  <c r="F267" i="3"/>
  <c r="G267" i="3"/>
  <c r="H267" i="3"/>
  <c r="B268" i="3"/>
  <c r="C268" i="3"/>
  <c r="L21" i="2"/>
  <c r="D268" i="3"/>
  <c r="E268" i="3"/>
  <c r="F268" i="3"/>
  <c r="G268" i="3"/>
  <c r="H268" i="3"/>
  <c r="B269" i="3"/>
  <c r="C269" i="3"/>
  <c r="D269" i="3"/>
  <c r="E269" i="3"/>
  <c r="F269" i="3"/>
  <c r="G269" i="3"/>
  <c r="H269" i="3"/>
  <c r="B270" i="3"/>
  <c r="C270" i="3"/>
  <c r="D270" i="3"/>
  <c r="E270" i="3"/>
  <c r="F270" i="3"/>
  <c r="G270" i="3"/>
  <c r="H270" i="3"/>
  <c r="B271" i="3"/>
  <c r="C271" i="3"/>
  <c r="D271" i="3"/>
  <c r="E271" i="3"/>
  <c r="F271" i="3"/>
  <c r="G271" i="3"/>
  <c r="H271" i="3"/>
  <c r="B272" i="3"/>
  <c r="C272" i="3"/>
  <c r="L23" i="2"/>
  <c r="D272" i="3"/>
  <c r="E272" i="3"/>
  <c r="F272" i="3"/>
  <c r="G272" i="3"/>
  <c r="H272" i="3"/>
  <c r="B273" i="3"/>
  <c r="C273" i="3"/>
  <c r="D273" i="3"/>
  <c r="E273" i="3"/>
  <c r="F273" i="3"/>
  <c r="G273" i="3"/>
  <c r="H273" i="3"/>
  <c r="B274" i="3"/>
  <c r="C274" i="3"/>
  <c r="D274" i="3"/>
  <c r="E274" i="3"/>
  <c r="F274" i="3"/>
  <c r="G274" i="3"/>
  <c r="H274" i="3"/>
  <c r="B275" i="3"/>
  <c r="C275" i="3"/>
  <c r="D275" i="3"/>
  <c r="E275" i="3"/>
  <c r="F275" i="3"/>
  <c r="G275" i="3"/>
  <c r="H275" i="3"/>
  <c r="B276" i="3"/>
  <c r="C276" i="3"/>
  <c r="D276" i="3"/>
  <c r="E276" i="3"/>
  <c r="F276" i="3"/>
  <c r="G276" i="3"/>
  <c r="H276" i="3"/>
  <c r="B277" i="3"/>
  <c r="C277" i="3"/>
  <c r="D277" i="3"/>
  <c r="E277" i="3"/>
  <c r="F277" i="3"/>
  <c r="G277" i="3"/>
  <c r="H277" i="3"/>
  <c r="B278" i="3"/>
  <c r="C278" i="3"/>
  <c r="D278" i="3"/>
  <c r="E278" i="3"/>
  <c r="F278" i="3"/>
  <c r="G278" i="3"/>
  <c r="H278" i="3"/>
  <c r="A279" i="3"/>
  <c r="B279" i="3"/>
  <c r="C279" i="3"/>
  <c r="L25" i="2"/>
  <c r="D279" i="3"/>
  <c r="E279" i="3"/>
  <c r="F279" i="3"/>
  <c r="G279" i="3"/>
  <c r="H279" i="3"/>
  <c r="A280" i="3"/>
  <c r="B280" i="3"/>
  <c r="C280" i="3"/>
  <c r="D280" i="3"/>
  <c r="E280" i="3"/>
  <c r="F280" i="3"/>
  <c r="G280" i="3"/>
  <c r="H280" i="3"/>
  <c r="A281" i="3"/>
  <c r="B281" i="3"/>
  <c r="C281" i="3"/>
  <c r="D281" i="3"/>
  <c r="E281" i="3"/>
  <c r="F281" i="3"/>
  <c r="G281" i="3"/>
  <c r="H281" i="3"/>
  <c r="A282" i="3"/>
  <c r="B282" i="3"/>
  <c r="C282" i="3"/>
  <c r="D282" i="3"/>
  <c r="E282" i="3"/>
  <c r="F282" i="3"/>
  <c r="G282" i="3"/>
  <c r="H282" i="3"/>
  <c r="A283" i="3"/>
  <c r="B283" i="3"/>
  <c r="C283" i="3"/>
  <c r="D283" i="3"/>
  <c r="E283" i="3"/>
  <c r="F283" i="3"/>
  <c r="G283" i="3"/>
  <c r="H283" i="3"/>
  <c r="H89" i="3"/>
  <c r="G89" i="3"/>
  <c r="F89" i="3"/>
  <c r="H88" i="3"/>
  <c r="G88" i="3"/>
  <c r="F88" i="3"/>
  <c r="H87" i="3"/>
  <c r="G87" i="3"/>
  <c r="F87" i="3"/>
  <c r="H86" i="3"/>
  <c r="G86" i="3"/>
  <c r="F86" i="3"/>
  <c r="H85" i="3"/>
  <c r="G85" i="3"/>
  <c r="F85" i="3"/>
  <c r="H84" i="3"/>
  <c r="G84" i="3"/>
  <c r="F84" i="3"/>
  <c r="F103" i="3"/>
  <c r="G103" i="3"/>
  <c r="H103" i="3"/>
  <c r="F104" i="3"/>
  <c r="G104" i="3"/>
  <c r="H104" i="3"/>
  <c r="F105" i="3"/>
  <c r="G105" i="3"/>
  <c r="H105" i="3"/>
  <c r="F106" i="3"/>
  <c r="G106" i="3"/>
  <c r="H106" i="3"/>
  <c r="F107" i="3"/>
  <c r="G107" i="3"/>
  <c r="H107" i="3"/>
  <c r="G102" i="3"/>
  <c r="H102" i="3"/>
  <c r="F102" i="3"/>
  <c r="N1" i="3"/>
  <c r="N57" i="3"/>
  <c r="C317" i="3"/>
  <c r="B317" i="3"/>
  <c r="F317" i="3"/>
  <c r="L31" i="2"/>
  <c r="L33" i="2"/>
  <c r="D317" i="3"/>
  <c r="E317" i="3"/>
  <c r="C316" i="3"/>
  <c r="B316" i="3"/>
  <c r="F316" i="3"/>
  <c r="D316" i="3"/>
  <c r="L29" i="2"/>
  <c r="E316" i="3"/>
  <c r="C315" i="3"/>
  <c r="B315" i="3"/>
  <c r="F315" i="3"/>
  <c r="D315" i="3"/>
  <c r="E315" i="3"/>
  <c r="C314" i="3"/>
  <c r="B314" i="3"/>
  <c r="F314" i="3"/>
  <c r="D314" i="3"/>
  <c r="E314" i="3"/>
  <c r="C313" i="3"/>
  <c r="B313" i="3"/>
  <c r="F313" i="3"/>
  <c r="D313" i="3"/>
  <c r="E313" i="3"/>
  <c r="C312" i="3"/>
  <c r="B312" i="3"/>
  <c r="F312" i="3"/>
  <c r="D312" i="3"/>
  <c r="E312" i="3"/>
  <c r="C311" i="3"/>
  <c r="B311" i="3"/>
  <c r="F311" i="3"/>
  <c r="D311" i="3"/>
  <c r="E311" i="3"/>
  <c r="C310" i="3"/>
  <c r="B310" i="3"/>
  <c r="F310" i="3"/>
  <c r="D310" i="3"/>
  <c r="E310" i="3"/>
  <c r="C309" i="3"/>
  <c r="B309" i="3"/>
  <c r="F309" i="3"/>
  <c r="D309" i="3"/>
  <c r="E309" i="3"/>
  <c r="C308" i="3"/>
  <c r="B308" i="3"/>
  <c r="F308" i="3"/>
  <c r="D308" i="3"/>
  <c r="E308" i="3"/>
  <c r="C307" i="3"/>
  <c r="B307" i="3"/>
  <c r="F307" i="3"/>
  <c r="D307" i="3"/>
  <c r="E307" i="3"/>
  <c r="C306" i="3"/>
  <c r="B306" i="3"/>
  <c r="F306" i="3"/>
  <c r="D306" i="3"/>
  <c r="E306" i="3"/>
  <c r="C305" i="3"/>
  <c r="B305" i="3"/>
  <c r="F305" i="3"/>
  <c r="D305" i="3"/>
  <c r="E305" i="3"/>
  <c r="C304" i="3"/>
  <c r="B304" i="3"/>
  <c r="F304" i="3"/>
  <c r="D304" i="3"/>
  <c r="E304" i="3"/>
  <c r="C303" i="3"/>
  <c r="B303" i="3"/>
  <c r="F303" i="3"/>
  <c r="D303" i="3"/>
  <c r="E303" i="3"/>
  <c r="C302" i="3"/>
  <c r="B302" i="3"/>
  <c r="F302" i="3"/>
  <c r="D302" i="3"/>
  <c r="L27" i="2"/>
  <c r="E302" i="3"/>
  <c r="C301" i="3"/>
  <c r="B301" i="3"/>
  <c r="F301" i="3"/>
  <c r="D301" i="3"/>
  <c r="E301" i="3"/>
  <c r="C300" i="3"/>
  <c r="B300" i="3"/>
  <c r="F300" i="3"/>
  <c r="D300" i="3"/>
  <c r="E300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H317" i="3"/>
  <c r="C289" i="3"/>
  <c r="B289" i="3"/>
  <c r="F289" i="3"/>
  <c r="D289" i="3"/>
  <c r="E289" i="3"/>
  <c r="G289" i="3"/>
  <c r="H289" i="3"/>
  <c r="Z57" i="3"/>
  <c r="AL57" i="3"/>
  <c r="N56" i="3"/>
  <c r="C285" i="3"/>
  <c r="B285" i="3"/>
  <c r="F285" i="3"/>
  <c r="D285" i="3"/>
  <c r="E285" i="3"/>
  <c r="G285" i="3"/>
  <c r="H285" i="3"/>
  <c r="Z56" i="3"/>
  <c r="AL56" i="3"/>
  <c r="N55" i="3"/>
  <c r="C287" i="3"/>
  <c r="B287" i="3"/>
  <c r="F287" i="3"/>
  <c r="D287" i="3"/>
  <c r="E287" i="3"/>
  <c r="G287" i="3"/>
  <c r="H287" i="3"/>
  <c r="C288" i="3"/>
  <c r="B288" i="3"/>
  <c r="F288" i="3"/>
  <c r="D288" i="3"/>
  <c r="E288" i="3"/>
  <c r="G288" i="3"/>
  <c r="H288" i="3"/>
  <c r="H303" i="3"/>
  <c r="C296" i="3"/>
  <c r="B296" i="3"/>
  <c r="F296" i="3"/>
  <c r="D296" i="3"/>
  <c r="E296" i="3"/>
  <c r="G296" i="3"/>
  <c r="H296" i="3"/>
  <c r="C292" i="3"/>
  <c r="B292" i="3"/>
  <c r="F292" i="3"/>
  <c r="D292" i="3"/>
  <c r="E292" i="3"/>
  <c r="G292" i="3"/>
  <c r="H292" i="3"/>
  <c r="C290" i="3"/>
  <c r="B290" i="3"/>
  <c r="F290" i="3"/>
  <c r="D290" i="3"/>
  <c r="E290" i="3"/>
  <c r="G290" i="3"/>
  <c r="H290" i="3"/>
  <c r="C294" i="3"/>
  <c r="B294" i="3"/>
  <c r="F294" i="3"/>
  <c r="D294" i="3"/>
  <c r="E294" i="3"/>
  <c r="G294" i="3"/>
  <c r="H294" i="3"/>
  <c r="C293" i="3"/>
  <c r="B293" i="3"/>
  <c r="F293" i="3"/>
  <c r="D293" i="3"/>
  <c r="E293" i="3"/>
  <c r="G293" i="3"/>
  <c r="H293" i="3"/>
  <c r="C291" i="3"/>
  <c r="B291" i="3"/>
  <c r="F291" i="3"/>
  <c r="D291" i="3"/>
  <c r="E291" i="3"/>
  <c r="G291" i="3"/>
  <c r="H291" i="3"/>
  <c r="Z55" i="3"/>
  <c r="AL55" i="3"/>
  <c r="AR60" i="3"/>
  <c r="H310" i="3"/>
  <c r="H313" i="3"/>
  <c r="H315" i="3"/>
  <c r="C284" i="3"/>
  <c r="B284" i="3"/>
  <c r="F284" i="3"/>
  <c r="D284" i="3"/>
  <c r="E284" i="3"/>
  <c r="G284" i="3"/>
  <c r="H284" i="3"/>
  <c r="C286" i="3"/>
  <c r="B286" i="3"/>
  <c r="F286" i="3"/>
  <c r="D286" i="3"/>
  <c r="E286" i="3"/>
  <c r="G286" i="3"/>
  <c r="H286" i="3"/>
  <c r="C295" i="3"/>
  <c r="B295" i="3"/>
  <c r="F295" i="3"/>
  <c r="D295" i="3"/>
  <c r="E295" i="3"/>
  <c r="G295" i="3"/>
  <c r="H295" i="3"/>
  <c r="C297" i="3"/>
  <c r="B297" i="3"/>
  <c r="F297" i="3"/>
  <c r="D297" i="3"/>
  <c r="E297" i="3"/>
  <c r="G297" i="3"/>
  <c r="H297" i="3"/>
  <c r="C298" i="3"/>
  <c r="B298" i="3"/>
  <c r="F298" i="3"/>
  <c r="D298" i="3"/>
  <c r="E298" i="3"/>
  <c r="G298" i="3"/>
  <c r="H298" i="3"/>
  <c r="C299" i="3"/>
  <c r="B299" i="3"/>
  <c r="F299" i="3"/>
  <c r="D299" i="3"/>
  <c r="E299" i="3"/>
  <c r="G299" i="3"/>
  <c r="H299" i="3"/>
  <c r="H300" i="3"/>
  <c r="H301" i="3"/>
  <c r="H302" i="3"/>
  <c r="H304" i="3"/>
  <c r="H305" i="3"/>
  <c r="H306" i="3"/>
  <c r="H307" i="3"/>
  <c r="H308" i="3"/>
  <c r="H309" i="3"/>
  <c r="H311" i="3"/>
  <c r="H312" i="3"/>
  <c r="H314" i="3"/>
  <c r="H316" i="3"/>
  <c r="C318" i="3"/>
  <c r="B318" i="3"/>
  <c r="F318" i="3"/>
  <c r="D318" i="3"/>
  <c r="E318" i="3"/>
  <c r="G318" i="3"/>
  <c r="H318" i="3"/>
  <c r="C319" i="3"/>
  <c r="B319" i="3"/>
  <c r="F319" i="3"/>
  <c r="D319" i="3"/>
  <c r="E319" i="3"/>
  <c r="G319" i="3"/>
  <c r="H319" i="3"/>
  <c r="C320" i="3"/>
  <c r="B320" i="3"/>
  <c r="F320" i="3"/>
  <c r="D320" i="3"/>
  <c r="E320" i="3"/>
  <c r="G320" i="3"/>
  <c r="H320" i="3"/>
  <c r="C321" i="3"/>
  <c r="B321" i="3"/>
  <c r="F321" i="3"/>
  <c r="D321" i="3"/>
  <c r="E321" i="3"/>
  <c r="G321" i="3"/>
  <c r="H321" i="3"/>
  <c r="C322" i="3"/>
  <c r="B322" i="3"/>
  <c r="F322" i="3"/>
  <c r="D322" i="3"/>
  <c r="E322" i="3"/>
  <c r="G322" i="3"/>
  <c r="H322" i="3"/>
  <c r="C323" i="3"/>
  <c r="B323" i="3"/>
  <c r="F323" i="3"/>
  <c r="D323" i="3"/>
  <c r="E323" i="3"/>
  <c r="G323" i="3"/>
  <c r="H323" i="3"/>
  <c r="C324" i="3"/>
  <c r="B324" i="3"/>
  <c r="F324" i="3"/>
  <c r="D324" i="3"/>
  <c r="E324" i="3"/>
  <c r="G324" i="3"/>
  <c r="H324" i="3"/>
  <c r="C325" i="3"/>
  <c r="B325" i="3"/>
  <c r="F325" i="3"/>
  <c r="D325" i="3"/>
  <c r="E325" i="3"/>
  <c r="G325" i="3"/>
  <c r="H325" i="3"/>
  <c r="C326" i="3"/>
  <c r="B326" i="3"/>
  <c r="F326" i="3"/>
  <c r="D326" i="3"/>
  <c r="E326" i="3"/>
  <c r="G326" i="3"/>
  <c r="H326" i="3"/>
  <c r="C327" i="3"/>
  <c r="B327" i="3"/>
  <c r="F327" i="3"/>
  <c r="D327" i="3"/>
  <c r="E327" i="3"/>
  <c r="G327" i="3"/>
  <c r="H327" i="3"/>
  <c r="C328" i="3"/>
  <c r="B328" i="3"/>
  <c r="F328" i="3"/>
  <c r="D328" i="3"/>
  <c r="E328" i="3"/>
  <c r="G328" i="3"/>
  <c r="H328" i="3"/>
  <c r="C329" i="3"/>
  <c r="B329" i="3"/>
  <c r="F329" i="3"/>
  <c r="D329" i="3"/>
  <c r="E329" i="3"/>
  <c r="G329" i="3"/>
  <c r="H329" i="3"/>
  <c r="C330" i="3"/>
  <c r="B330" i="3"/>
  <c r="F330" i="3"/>
  <c r="D330" i="3"/>
  <c r="E330" i="3"/>
  <c r="G330" i="3"/>
  <c r="H330" i="3"/>
  <c r="C331" i="3"/>
  <c r="B331" i="3"/>
  <c r="F331" i="3"/>
  <c r="D331" i="3"/>
  <c r="E331" i="3"/>
  <c r="G331" i="3"/>
  <c r="H331" i="3"/>
  <c r="C332" i="3"/>
  <c r="B332" i="3"/>
  <c r="F332" i="3"/>
  <c r="L35" i="2"/>
  <c r="D332" i="3"/>
  <c r="E332" i="3"/>
  <c r="G332" i="3"/>
  <c r="H332" i="3"/>
  <c r="C333" i="3"/>
  <c r="B333" i="3"/>
  <c r="F333" i="3"/>
  <c r="D333" i="3"/>
  <c r="E333" i="3"/>
  <c r="G333" i="3"/>
  <c r="H333" i="3"/>
  <c r="C334" i="3"/>
  <c r="B334" i="3"/>
  <c r="F334" i="3"/>
  <c r="D334" i="3"/>
  <c r="E334" i="3"/>
  <c r="G334" i="3"/>
  <c r="H334" i="3"/>
  <c r="C335" i="3"/>
  <c r="B335" i="3"/>
  <c r="F335" i="3"/>
  <c r="D335" i="3"/>
  <c r="E335" i="3"/>
  <c r="G335" i="3"/>
  <c r="H335" i="3"/>
  <c r="C336" i="3"/>
  <c r="B336" i="3"/>
  <c r="F336" i="3"/>
  <c r="D336" i="3"/>
  <c r="E336" i="3"/>
  <c r="G336" i="3"/>
  <c r="H336" i="3"/>
  <c r="C337" i="3"/>
  <c r="B337" i="3"/>
  <c r="F337" i="3"/>
  <c r="D337" i="3"/>
  <c r="E337" i="3"/>
  <c r="G337" i="3"/>
  <c r="H337" i="3"/>
  <c r="C338" i="3"/>
  <c r="B338" i="3"/>
  <c r="F338" i="3"/>
  <c r="D338" i="3"/>
  <c r="E338" i="3"/>
  <c r="G338" i="3"/>
  <c r="H338" i="3"/>
  <c r="C339" i="3"/>
  <c r="B339" i="3"/>
  <c r="F339" i="3"/>
  <c r="D339" i="3"/>
  <c r="E339" i="3"/>
  <c r="G339" i="3"/>
  <c r="H339" i="3"/>
  <c r="C340" i="3"/>
  <c r="B340" i="3"/>
  <c r="F340" i="3"/>
  <c r="D340" i="3"/>
  <c r="E340" i="3"/>
  <c r="G340" i="3"/>
  <c r="H340" i="3"/>
  <c r="C341" i="3"/>
  <c r="B341" i="3"/>
  <c r="F341" i="3"/>
  <c r="D341" i="3"/>
  <c r="E341" i="3"/>
  <c r="G341" i="3"/>
  <c r="H341" i="3"/>
  <c r="C342" i="3"/>
  <c r="B342" i="3"/>
  <c r="F342" i="3"/>
  <c r="D342" i="3"/>
  <c r="E342" i="3"/>
  <c r="G342" i="3"/>
  <c r="H342" i="3"/>
  <c r="C343" i="3"/>
  <c r="B343" i="3"/>
  <c r="F343" i="3"/>
  <c r="D343" i="3"/>
  <c r="E343" i="3"/>
  <c r="G343" i="3"/>
  <c r="H343" i="3"/>
  <c r="C344" i="3"/>
  <c r="B344" i="3"/>
  <c r="F344" i="3"/>
  <c r="D344" i="3"/>
  <c r="E344" i="3"/>
  <c r="G344" i="3"/>
  <c r="H344" i="3"/>
  <c r="C345" i="3"/>
  <c r="B345" i="3"/>
  <c r="F345" i="3"/>
  <c r="D345" i="3"/>
  <c r="E345" i="3"/>
  <c r="G345" i="3"/>
  <c r="H345" i="3"/>
  <c r="C346" i="3"/>
  <c r="B346" i="3"/>
  <c r="F346" i="3"/>
  <c r="D346" i="3"/>
  <c r="E346" i="3"/>
  <c r="G346" i="3"/>
  <c r="H346" i="3"/>
  <c r="C347" i="3"/>
  <c r="B347" i="3"/>
  <c r="F347" i="3"/>
  <c r="D347" i="3"/>
  <c r="E347" i="3"/>
  <c r="G347" i="3"/>
  <c r="H347" i="3"/>
  <c r="C348" i="3"/>
  <c r="B348" i="3"/>
  <c r="F348" i="3"/>
  <c r="D348" i="3"/>
  <c r="E348" i="3"/>
  <c r="G348" i="3"/>
  <c r="H348" i="3"/>
  <c r="C349" i="3"/>
  <c r="B349" i="3"/>
  <c r="F349" i="3"/>
  <c r="D349" i="3"/>
  <c r="E349" i="3"/>
  <c r="G349" i="3"/>
  <c r="H349" i="3"/>
  <c r="C350" i="3"/>
  <c r="B350" i="3"/>
  <c r="F350" i="3"/>
  <c r="D350" i="3"/>
  <c r="E350" i="3"/>
  <c r="G350" i="3"/>
  <c r="H350" i="3"/>
  <c r="C351" i="3"/>
  <c r="B351" i="3"/>
  <c r="F351" i="3"/>
  <c r="D351" i="3"/>
  <c r="E351" i="3"/>
  <c r="G351" i="3"/>
  <c r="H351" i="3"/>
  <c r="C352" i="3"/>
  <c r="B352" i="3"/>
  <c r="F352" i="3"/>
  <c r="D352" i="3"/>
  <c r="E352" i="3"/>
  <c r="G352" i="3"/>
  <c r="H352" i="3"/>
  <c r="C353" i="3"/>
  <c r="B353" i="3"/>
  <c r="F353" i="3"/>
  <c r="D353" i="3"/>
  <c r="E353" i="3"/>
  <c r="G353" i="3"/>
  <c r="H353" i="3"/>
  <c r="C354" i="3"/>
  <c r="B354" i="3"/>
  <c r="F354" i="3"/>
  <c r="D354" i="3"/>
  <c r="E354" i="3"/>
  <c r="G354" i="3"/>
  <c r="H354" i="3"/>
  <c r="C355" i="3"/>
  <c r="B355" i="3"/>
  <c r="F355" i="3"/>
  <c r="D355" i="3"/>
  <c r="E355" i="3"/>
  <c r="G355" i="3"/>
  <c r="H355" i="3"/>
  <c r="C356" i="3"/>
  <c r="B356" i="3"/>
  <c r="F356" i="3"/>
  <c r="D356" i="3"/>
  <c r="E356" i="3"/>
  <c r="G356" i="3"/>
  <c r="H356" i="3"/>
  <c r="C357" i="3"/>
  <c r="B357" i="3"/>
  <c r="F357" i="3"/>
  <c r="D357" i="3"/>
  <c r="E357" i="3"/>
  <c r="G357" i="3"/>
  <c r="H357" i="3"/>
  <c r="C358" i="3"/>
  <c r="B358" i="3"/>
  <c r="F358" i="3"/>
  <c r="D358" i="3"/>
  <c r="E358" i="3"/>
  <c r="G358" i="3"/>
  <c r="H358" i="3"/>
  <c r="C359" i="3"/>
  <c r="B359" i="3"/>
  <c r="F359" i="3"/>
  <c r="D359" i="3"/>
  <c r="E359" i="3"/>
  <c r="G359" i="3"/>
  <c r="H359" i="3"/>
  <c r="C360" i="3"/>
  <c r="B360" i="3"/>
  <c r="F360" i="3"/>
  <c r="D360" i="3"/>
  <c r="E360" i="3"/>
  <c r="G360" i="3"/>
  <c r="H360" i="3"/>
  <c r="C361" i="3"/>
  <c r="B361" i="3"/>
  <c r="F361" i="3"/>
  <c r="D361" i="3"/>
  <c r="E361" i="3"/>
  <c r="G361" i="3"/>
  <c r="H361" i="3"/>
  <c r="C362" i="3"/>
  <c r="B362" i="3"/>
  <c r="F362" i="3"/>
  <c r="D362" i="3"/>
  <c r="E362" i="3"/>
  <c r="G362" i="3"/>
  <c r="H362" i="3"/>
  <c r="C363" i="3"/>
  <c r="B363" i="3"/>
  <c r="F363" i="3"/>
  <c r="D363" i="3"/>
  <c r="E363" i="3"/>
  <c r="G363" i="3"/>
  <c r="H363" i="3"/>
  <c r="C364" i="3"/>
  <c r="B364" i="3"/>
  <c r="F364" i="3"/>
  <c r="D364" i="3"/>
  <c r="E364" i="3"/>
  <c r="G364" i="3"/>
  <c r="H364" i="3"/>
  <c r="C365" i="3"/>
  <c r="B365" i="3"/>
  <c r="F365" i="3"/>
  <c r="D365" i="3"/>
  <c r="E365" i="3"/>
  <c r="G365" i="3"/>
  <c r="H365" i="3"/>
  <c r="C366" i="3"/>
  <c r="B366" i="3"/>
  <c r="F366" i="3"/>
  <c r="D366" i="3"/>
  <c r="E366" i="3"/>
  <c r="G366" i="3"/>
  <c r="H366" i="3"/>
  <c r="C367" i="3"/>
  <c r="B367" i="3"/>
  <c r="F367" i="3"/>
  <c r="D367" i="3"/>
  <c r="E367" i="3"/>
  <c r="G367" i="3"/>
  <c r="H367" i="3"/>
  <c r="C368" i="3"/>
  <c r="B368" i="3"/>
  <c r="F368" i="3"/>
  <c r="D368" i="3"/>
  <c r="E368" i="3"/>
  <c r="G368" i="3"/>
  <c r="H368" i="3"/>
  <c r="C369" i="3"/>
  <c r="B369" i="3"/>
  <c r="F369" i="3"/>
  <c r="D369" i="3"/>
  <c r="E369" i="3"/>
  <c r="G369" i="3"/>
  <c r="H369" i="3"/>
  <c r="C370" i="3"/>
  <c r="B370" i="3"/>
  <c r="F370" i="3"/>
  <c r="D370" i="3"/>
  <c r="E370" i="3"/>
  <c r="G370" i="3"/>
  <c r="H370" i="3"/>
  <c r="C371" i="3"/>
  <c r="B371" i="3"/>
  <c r="F371" i="3"/>
  <c r="D371" i="3"/>
  <c r="E371" i="3"/>
  <c r="G371" i="3"/>
  <c r="H371" i="3"/>
  <c r="C372" i="3"/>
  <c r="B372" i="3"/>
  <c r="F372" i="3"/>
  <c r="D372" i="3"/>
  <c r="E372" i="3"/>
  <c r="G372" i="3"/>
  <c r="H372" i="3"/>
  <c r="BO60" i="3"/>
  <c r="AR61" i="3"/>
  <c r="BO61" i="3"/>
  <c r="AR62" i="3"/>
  <c r="BO62" i="3"/>
  <c r="AS60" i="3"/>
  <c r="BP60" i="3"/>
  <c r="AS61" i="3"/>
  <c r="BP61" i="3"/>
  <c r="AS62" i="3"/>
  <c r="BP62" i="3"/>
  <c r="AT60" i="3"/>
  <c r="BQ60" i="3"/>
  <c r="AT61" i="3"/>
  <c r="BQ61" i="3"/>
  <c r="AT62" i="3"/>
  <c r="BQ62" i="3"/>
  <c r="AU60" i="3"/>
  <c r="AU61" i="3"/>
  <c r="BR61" i="3"/>
  <c r="AU62" i="3"/>
  <c r="BR62" i="3"/>
  <c r="Z60" i="3"/>
  <c r="AW60" i="3"/>
  <c r="Z61" i="3"/>
  <c r="AW61" i="3"/>
  <c r="Z62" i="3"/>
  <c r="AW62" i="3"/>
  <c r="AA60" i="3"/>
  <c r="AX60" i="3"/>
  <c r="AA61" i="3"/>
  <c r="AX61" i="3"/>
  <c r="AA62" i="3"/>
  <c r="AX62" i="3"/>
  <c r="AB60" i="3"/>
  <c r="AY60" i="3"/>
  <c r="AB61" i="3"/>
  <c r="AY61" i="3"/>
  <c r="AB62" i="3"/>
  <c r="AY62" i="3"/>
  <c r="AC60" i="3"/>
  <c r="AZ60" i="3"/>
  <c r="AC61" i="3"/>
  <c r="AZ61" i="3"/>
  <c r="AC62" i="3"/>
  <c r="AZ62" i="3"/>
  <c r="AD60" i="3"/>
  <c r="BA60" i="3"/>
  <c r="AD61" i="3"/>
  <c r="BA61" i="3"/>
  <c r="AD62" i="3"/>
  <c r="BA62" i="3"/>
  <c r="AE60" i="3"/>
  <c r="BB60" i="3"/>
  <c r="AE61" i="3"/>
  <c r="BB61" i="3"/>
  <c r="AE62" i="3"/>
  <c r="BB62" i="3"/>
  <c r="AF60" i="3"/>
  <c r="BC60" i="3"/>
  <c r="AF61" i="3"/>
  <c r="BC61" i="3"/>
  <c r="AF62" i="3"/>
  <c r="BC62" i="3"/>
  <c r="AG60" i="3"/>
  <c r="BD60" i="3"/>
  <c r="AG61" i="3"/>
  <c r="BD61" i="3"/>
  <c r="AG62" i="3"/>
  <c r="BD62" i="3"/>
  <c r="AH60" i="3"/>
  <c r="BE60" i="3"/>
  <c r="AH61" i="3"/>
  <c r="BE61" i="3"/>
  <c r="AH62" i="3"/>
  <c r="BE62" i="3"/>
  <c r="AI60" i="3"/>
  <c r="BF60" i="3"/>
  <c r="AI61" i="3"/>
  <c r="BF61" i="3"/>
  <c r="AI62" i="3"/>
  <c r="BF62" i="3"/>
  <c r="AJ60" i="3"/>
  <c r="BG60" i="3"/>
  <c r="AJ61" i="3"/>
  <c r="BG61" i="3"/>
  <c r="AJ62" i="3"/>
  <c r="BG62" i="3"/>
  <c r="AK60" i="3"/>
  <c r="BH60" i="3"/>
  <c r="AK61" i="3"/>
  <c r="BH61" i="3"/>
  <c r="AK62" i="3"/>
  <c r="BH62" i="3"/>
  <c r="AL60" i="3"/>
  <c r="BI60" i="3"/>
  <c r="AL61" i="3"/>
  <c r="BI61" i="3"/>
  <c r="AL62" i="3"/>
  <c r="BI62" i="3"/>
  <c r="AM60" i="3"/>
  <c r="BJ60" i="3"/>
  <c r="AM61" i="3"/>
  <c r="BJ61" i="3"/>
  <c r="AM62" i="3"/>
  <c r="BJ62" i="3"/>
  <c r="AN60" i="3"/>
  <c r="BK60" i="3"/>
  <c r="AN61" i="3"/>
  <c r="BK61" i="3"/>
  <c r="AN62" i="3"/>
  <c r="BK62" i="3"/>
  <c r="AO60" i="3"/>
  <c r="BL60" i="3"/>
  <c r="AO61" i="3"/>
  <c r="BL61" i="3"/>
  <c r="AO62" i="3"/>
  <c r="BL62" i="3"/>
  <c r="AP60" i="3"/>
  <c r="BM60" i="3"/>
  <c r="AP61" i="3"/>
  <c r="BM61" i="3"/>
  <c r="AP62" i="3"/>
  <c r="BM62" i="3"/>
  <c r="AQ60" i="3"/>
  <c r="BN60" i="3"/>
  <c r="AQ61" i="3"/>
  <c r="BN61" i="3"/>
  <c r="AQ62" i="3"/>
  <c r="BN62" i="3"/>
  <c r="Y62" i="3"/>
  <c r="AV62" i="3"/>
  <c r="Y61" i="3"/>
  <c r="AV61" i="3"/>
  <c r="Y60" i="3"/>
  <c r="AV60" i="3"/>
  <c r="J34" i="1"/>
  <c r="D131" i="3"/>
  <c r="R131" i="3"/>
  <c r="D132" i="3"/>
  <c r="R132" i="3"/>
  <c r="D133" i="3"/>
  <c r="R133" i="3"/>
  <c r="D134" i="3"/>
  <c r="R134" i="3"/>
  <c r="D135" i="3"/>
  <c r="R135" i="3"/>
  <c r="D136" i="3"/>
  <c r="R136" i="3"/>
  <c r="D137" i="3"/>
  <c r="R137" i="3"/>
  <c r="D138" i="3"/>
  <c r="R138" i="3"/>
  <c r="D139" i="3"/>
  <c r="R139" i="3"/>
  <c r="J44" i="1"/>
  <c r="C140" i="3"/>
  <c r="B140" i="3"/>
  <c r="D140" i="3"/>
  <c r="R140" i="3"/>
  <c r="J45" i="1"/>
  <c r="C141" i="3"/>
  <c r="B141" i="3"/>
  <c r="D141" i="3"/>
  <c r="R141" i="3"/>
  <c r="B130" i="3"/>
  <c r="D130" i="3"/>
  <c r="C130" i="3"/>
  <c r="R130" i="3"/>
  <c r="Q131" i="3"/>
  <c r="Q132" i="3"/>
  <c r="Q133" i="3"/>
  <c r="Q134" i="3"/>
  <c r="Q135" i="3"/>
  <c r="Q136" i="3"/>
  <c r="Q137" i="3"/>
  <c r="Q138" i="3"/>
  <c r="Q139" i="3"/>
  <c r="Q140" i="3"/>
  <c r="Q141" i="3"/>
  <c r="Q130" i="3"/>
  <c r="L20" i="2"/>
  <c r="L22" i="2"/>
  <c r="L24" i="2"/>
  <c r="L26" i="2"/>
  <c r="L28" i="2"/>
  <c r="L30" i="2"/>
  <c r="L32" i="2"/>
  <c r="L34" i="2"/>
  <c r="L36" i="2"/>
  <c r="L37" i="2"/>
  <c r="B4" i="3"/>
  <c r="C4" i="3"/>
  <c r="D4" i="3"/>
  <c r="B5" i="3"/>
  <c r="C5" i="3"/>
  <c r="D5" i="3"/>
  <c r="C3" i="3"/>
  <c r="D3" i="3"/>
  <c r="B3" i="3"/>
  <c r="B2" i="3"/>
  <c r="F130" i="3"/>
  <c r="I130" i="3"/>
  <c r="K130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F141" i="3"/>
  <c r="I141" i="3"/>
  <c r="K141" i="3"/>
  <c r="E141" i="3"/>
  <c r="H141" i="3"/>
  <c r="L141" i="3"/>
  <c r="G141" i="3"/>
  <c r="J141" i="3"/>
  <c r="M141" i="3"/>
  <c r="D154" i="3"/>
  <c r="F140" i="3"/>
  <c r="I140" i="3"/>
  <c r="K140" i="3"/>
  <c r="E140" i="3"/>
  <c r="H140" i="3"/>
  <c r="L140" i="3"/>
  <c r="G140" i="3"/>
  <c r="J140" i="3"/>
  <c r="M140" i="3"/>
  <c r="D153" i="3"/>
  <c r="G139" i="3"/>
  <c r="J139" i="3"/>
  <c r="M139" i="3"/>
  <c r="D152" i="3"/>
  <c r="G138" i="3"/>
  <c r="J138" i="3"/>
  <c r="M138" i="3"/>
  <c r="D151" i="3"/>
  <c r="G137" i="3"/>
  <c r="J137" i="3"/>
  <c r="M137" i="3"/>
  <c r="D150" i="3"/>
  <c r="G136" i="3"/>
  <c r="J136" i="3"/>
  <c r="M136" i="3"/>
  <c r="D149" i="3"/>
  <c r="G135" i="3"/>
  <c r="J135" i="3"/>
  <c r="M135" i="3"/>
  <c r="D148" i="3"/>
  <c r="G134" i="3"/>
  <c r="J134" i="3"/>
  <c r="M134" i="3"/>
  <c r="D147" i="3"/>
  <c r="G133" i="3"/>
  <c r="J133" i="3"/>
  <c r="M133" i="3"/>
  <c r="D146" i="3"/>
  <c r="G132" i="3"/>
  <c r="J132" i="3"/>
  <c r="M132" i="3"/>
  <c r="D145" i="3"/>
  <c r="G131" i="3"/>
  <c r="J131" i="3"/>
  <c r="M131" i="3"/>
  <c r="D144" i="3"/>
  <c r="E130" i="3"/>
  <c r="H130" i="3"/>
  <c r="L130" i="3"/>
  <c r="G130" i="3"/>
  <c r="J130" i="3"/>
  <c r="M130" i="3"/>
  <c r="D143" i="3"/>
  <c r="K37" i="2"/>
  <c r="I39" i="3"/>
  <c r="P39" i="3"/>
  <c r="J40" i="3"/>
  <c r="Q40" i="3"/>
  <c r="K41" i="3"/>
  <c r="R41" i="3"/>
  <c r="L39" i="3"/>
  <c r="S39" i="3"/>
  <c r="L40" i="3"/>
  <c r="S40" i="3"/>
  <c r="M40" i="3"/>
  <c r="T40" i="3"/>
  <c r="M41" i="3"/>
  <c r="T41" i="3"/>
  <c r="N41" i="3"/>
  <c r="U41" i="3"/>
  <c r="N39" i="3"/>
  <c r="U39" i="3"/>
  <c r="O26" i="3"/>
  <c r="V26" i="3"/>
  <c r="O25" i="3"/>
  <c r="V25" i="3"/>
  <c r="O24" i="3"/>
  <c r="V24" i="3"/>
  <c r="N24" i="3"/>
  <c r="U24" i="3"/>
  <c r="N26" i="3"/>
  <c r="U26" i="3"/>
  <c r="M26" i="3"/>
  <c r="T26" i="3"/>
  <c r="M25" i="3"/>
  <c r="T25" i="3"/>
  <c r="L25" i="3"/>
  <c r="S25" i="3"/>
  <c r="L24" i="3"/>
  <c r="S24" i="3"/>
  <c r="K26" i="3"/>
  <c r="R26" i="3"/>
  <c r="J25" i="3"/>
  <c r="Q25" i="3"/>
  <c r="I24" i="3"/>
  <c r="P24" i="3"/>
  <c r="N51" i="3"/>
  <c r="U51" i="3"/>
  <c r="M51" i="3"/>
  <c r="T51" i="3"/>
  <c r="L51" i="3"/>
  <c r="S51" i="3"/>
  <c r="K51" i="3"/>
  <c r="R51" i="3"/>
  <c r="J51" i="3"/>
  <c r="Q51" i="3"/>
  <c r="I51" i="3"/>
  <c r="P51" i="3"/>
  <c r="N50" i="3"/>
  <c r="U50" i="3"/>
  <c r="M50" i="3"/>
  <c r="T50" i="3"/>
  <c r="L50" i="3"/>
  <c r="S50" i="3"/>
  <c r="K50" i="3"/>
  <c r="R50" i="3"/>
  <c r="J50" i="3"/>
  <c r="Q50" i="3"/>
  <c r="I50" i="3"/>
  <c r="P50" i="3"/>
  <c r="N49" i="3"/>
  <c r="U49" i="3"/>
  <c r="M49" i="3"/>
  <c r="T49" i="3"/>
  <c r="L49" i="3"/>
  <c r="S49" i="3"/>
  <c r="K49" i="3"/>
  <c r="R49" i="3"/>
  <c r="J49" i="3"/>
  <c r="Q49" i="3"/>
  <c r="I49" i="3"/>
  <c r="P49" i="3"/>
  <c r="N46" i="3"/>
  <c r="U46" i="3"/>
  <c r="M46" i="3"/>
  <c r="T46" i="3"/>
  <c r="L46" i="3"/>
  <c r="S46" i="3"/>
  <c r="K46" i="3"/>
  <c r="R46" i="3"/>
  <c r="J46" i="3"/>
  <c r="Q46" i="3"/>
  <c r="I46" i="3"/>
  <c r="P46" i="3"/>
  <c r="N45" i="3"/>
  <c r="U45" i="3"/>
  <c r="M45" i="3"/>
  <c r="T45" i="3"/>
  <c r="L45" i="3"/>
  <c r="S45" i="3"/>
  <c r="K45" i="3"/>
  <c r="R45" i="3"/>
  <c r="J45" i="3"/>
  <c r="Q45" i="3"/>
  <c r="I45" i="3"/>
  <c r="P45" i="3"/>
  <c r="N44" i="3"/>
  <c r="U44" i="3"/>
  <c r="M44" i="3"/>
  <c r="T44" i="3"/>
  <c r="L44" i="3"/>
  <c r="S44" i="3"/>
  <c r="K44" i="3"/>
  <c r="R44" i="3"/>
  <c r="J44" i="3"/>
  <c r="Q44" i="3"/>
  <c r="I44" i="3"/>
  <c r="P44" i="3"/>
  <c r="N36" i="3"/>
  <c r="U36" i="3"/>
  <c r="M36" i="3"/>
  <c r="T36" i="3"/>
  <c r="L36" i="3"/>
  <c r="S36" i="3"/>
  <c r="K36" i="3"/>
  <c r="R36" i="3"/>
  <c r="J36" i="3"/>
  <c r="Q36" i="3"/>
  <c r="I36" i="3"/>
  <c r="P36" i="3"/>
  <c r="N35" i="3"/>
  <c r="U35" i="3"/>
  <c r="M35" i="3"/>
  <c r="T35" i="3"/>
  <c r="L35" i="3"/>
  <c r="S35" i="3"/>
  <c r="K35" i="3"/>
  <c r="R35" i="3"/>
  <c r="J35" i="3"/>
  <c r="Q35" i="3"/>
  <c r="I35" i="3"/>
  <c r="P35" i="3"/>
  <c r="N34" i="3"/>
  <c r="U34" i="3"/>
  <c r="M34" i="3"/>
  <c r="T34" i="3"/>
  <c r="L34" i="3"/>
  <c r="S34" i="3"/>
  <c r="K34" i="3"/>
  <c r="R34" i="3"/>
  <c r="J34" i="3"/>
  <c r="Q34" i="3"/>
  <c r="I34" i="3"/>
  <c r="P34" i="3"/>
  <c r="N31" i="3"/>
  <c r="U31" i="3"/>
  <c r="M31" i="3"/>
  <c r="T31" i="3"/>
  <c r="L31" i="3"/>
  <c r="S31" i="3"/>
  <c r="K31" i="3"/>
  <c r="R31" i="3"/>
  <c r="J31" i="3"/>
  <c r="Q31" i="3"/>
  <c r="I31" i="3"/>
  <c r="P31" i="3"/>
  <c r="N30" i="3"/>
  <c r="U30" i="3"/>
  <c r="M30" i="3"/>
  <c r="T30" i="3"/>
  <c r="L30" i="3"/>
  <c r="S30" i="3"/>
  <c r="K30" i="3"/>
  <c r="R30" i="3"/>
  <c r="J30" i="3"/>
  <c r="Q30" i="3"/>
  <c r="I30" i="3"/>
  <c r="P30" i="3"/>
  <c r="N29" i="3"/>
  <c r="U29" i="3"/>
  <c r="M29" i="3"/>
  <c r="T29" i="3"/>
  <c r="L29" i="3"/>
  <c r="S29" i="3"/>
  <c r="K29" i="3"/>
  <c r="R29" i="3"/>
  <c r="J29" i="3"/>
  <c r="Q29" i="3"/>
  <c r="I29" i="3"/>
  <c r="P29" i="3"/>
  <c r="N21" i="3"/>
  <c r="U21" i="3"/>
  <c r="M21" i="3"/>
  <c r="T21" i="3"/>
  <c r="L21" i="3"/>
  <c r="S21" i="3"/>
  <c r="K21" i="3"/>
  <c r="R21" i="3"/>
  <c r="J21" i="3"/>
  <c r="Q21" i="3"/>
  <c r="I21" i="3"/>
  <c r="P21" i="3"/>
  <c r="N20" i="3"/>
  <c r="U20" i="3"/>
  <c r="M20" i="3"/>
  <c r="T20" i="3"/>
  <c r="L20" i="3"/>
  <c r="S20" i="3"/>
  <c r="K20" i="3"/>
  <c r="R20" i="3"/>
  <c r="J20" i="3"/>
  <c r="Q20" i="3"/>
  <c r="I20" i="3"/>
  <c r="P20" i="3"/>
  <c r="N19" i="3"/>
  <c r="U19" i="3"/>
  <c r="M19" i="3"/>
  <c r="T19" i="3"/>
  <c r="L19" i="3"/>
  <c r="S19" i="3"/>
  <c r="K19" i="3"/>
  <c r="R19" i="3"/>
  <c r="J19" i="3"/>
  <c r="Q19" i="3"/>
  <c r="I19" i="3"/>
  <c r="P19" i="3"/>
  <c r="O56" i="3"/>
  <c r="AA56" i="3"/>
  <c r="P56" i="3"/>
  <c r="AB56" i="3"/>
  <c r="Q56" i="3"/>
  <c r="AC56" i="3"/>
  <c r="R56" i="3"/>
  <c r="AD56" i="3"/>
  <c r="S56" i="3"/>
  <c r="AE56" i="3"/>
  <c r="T56" i="3"/>
  <c r="AF56" i="3"/>
  <c r="U56" i="3"/>
  <c r="AG56" i="3"/>
  <c r="V56" i="3"/>
  <c r="AH56" i="3"/>
  <c r="W56" i="3"/>
  <c r="AI56" i="3"/>
  <c r="X56" i="3"/>
  <c r="AJ56" i="3"/>
  <c r="Y56" i="3"/>
  <c r="AK56" i="3"/>
  <c r="O57" i="3"/>
  <c r="AA57" i="3"/>
  <c r="P57" i="3"/>
  <c r="AB57" i="3"/>
  <c r="Q57" i="3"/>
  <c r="AC57" i="3"/>
  <c r="R57" i="3"/>
  <c r="AD57" i="3"/>
  <c r="S57" i="3"/>
  <c r="AE57" i="3"/>
  <c r="T57" i="3"/>
  <c r="AF57" i="3"/>
  <c r="U57" i="3"/>
  <c r="AG57" i="3"/>
  <c r="V57" i="3"/>
  <c r="AH57" i="3"/>
  <c r="W57" i="3"/>
  <c r="AI57" i="3"/>
  <c r="X57" i="3"/>
  <c r="AJ57" i="3"/>
  <c r="Y57" i="3"/>
  <c r="AK57" i="3"/>
  <c r="O55" i="3"/>
  <c r="AA55" i="3"/>
  <c r="P55" i="3"/>
  <c r="AB55" i="3"/>
  <c r="Q55" i="3"/>
  <c r="AC55" i="3"/>
  <c r="R55" i="3"/>
  <c r="AD55" i="3"/>
  <c r="S55" i="3"/>
  <c r="AE55" i="3"/>
  <c r="T55" i="3"/>
  <c r="AF55" i="3"/>
  <c r="U55" i="3"/>
  <c r="AG55" i="3"/>
  <c r="V55" i="3"/>
  <c r="AH55" i="3"/>
  <c r="W55" i="3"/>
  <c r="AI55" i="3"/>
  <c r="X55" i="3"/>
  <c r="AJ55" i="3"/>
  <c r="Y55" i="3"/>
  <c r="AK55" i="3"/>
  <c r="I15" i="3"/>
  <c r="P15" i="3"/>
  <c r="J15" i="3"/>
  <c r="Q15" i="3"/>
  <c r="K15" i="3"/>
  <c r="R15" i="3"/>
  <c r="L15" i="3"/>
  <c r="S15" i="3"/>
  <c r="M15" i="3"/>
  <c r="T15" i="3"/>
  <c r="N15" i="3"/>
  <c r="U15" i="3"/>
  <c r="I16" i="3"/>
  <c r="P16" i="3"/>
  <c r="J16" i="3"/>
  <c r="Q16" i="3"/>
  <c r="K16" i="3"/>
  <c r="R16" i="3"/>
  <c r="L16" i="3"/>
  <c r="S16" i="3"/>
  <c r="M16" i="3"/>
  <c r="T16" i="3"/>
  <c r="N16" i="3"/>
  <c r="U16" i="3"/>
  <c r="J14" i="3"/>
  <c r="Q14" i="3"/>
  <c r="K14" i="3"/>
  <c r="R14" i="3"/>
  <c r="L14" i="3"/>
  <c r="S14" i="3"/>
  <c r="M14" i="3"/>
  <c r="T14" i="3"/>
  <c r="N14" i="3"/>
  <c r="U14" i="3"/>
  <c r="I14" i="3"/>
  <c r="P14" i="3"/>
  <c r="C3" i="1"/>
  <c r="O41" i="3"/>
  <c r="V41" i="3"/>
  <c r="O40" i="3"/>
  <c r="V40" i="3"/>
  <c r="O39" i="3"/>
  <c r="V39" i="3"/>
  <c r="O51" i="3"/>
  <c r="V51" i="3"/>
  <c r="O50" i="3"/>
  <c r="V50" i="3"/>
  <c r="O49" i="3"/>
  <c r="V49" i="3"/>
  <c r="O45" i="3"/>
  <c r="V45" i="3"/>
  <c r="O46" i="3"/>
  <c r="V46" i="3"/>
  <c r="O44" i="3"/>
  <c r="V44" i="3"/>
  <c r="O36" i="3"/>
  <c r="V36" i="3"/>
  <c r="O35" i="3"/>
  <c r="V35" i="3"/>
  <c r="O34" i="3"/>
  <c r="V34" i="3"/>
  <c r="O30" i="3"/>
  <c r="V30" i="3"/>
  <c r="O31" i="3"/>
  <c r="V31" i="3"/>
  <c r="O29" i="3"/>
  <c r="V29" i="3"/>
  <c r="J24" i="3"/>
  <c r="Q24" i="3"/>
  <c r="K24" i="3"/>
  <c r="R24" i="3"/>
  <c r="M24" i="3"/>
  <c r="T24" i="3"/>
  <c r="I25" i="3"/>
  <c r="P25" i="3"/>
  <c r="K25" i="3"/>
  <c r="R25" i="3"/>
  <c r="N25" i="3"/>
  <c r="U25" i="3"/>
  <c r="I26" i="3"/>
  <c r="P26" i="3"/>
  <c r="J26" i="3"/>
  <c r="Q26" i="3"/>
  <c r="L26" i="3"/>
  <c r="S26" i="3"/>
  <c r="G23" i="1" a="1"/>
  <c r="I10" i="3"/>
  <c r="P10" i="3"/>
  <c r="I11" i="3"/>
  <c r="P11" i="3"/>
  <c r="I9" i="3"/>
  <c r="P9" i="3"/>
  <c r="W9" i="3" a="1"/>
  <c r="W9" i="3"/>
  <c r="W10" i="3"/>
  <c r="W11" i="3"/>
  <c r="AD9" i="3"/>
  <c r="AD10" i="3"/>
  <c r="AD11" i="3"/>
  <c r="L41" i="3"/>
  <c r="S41" i="3"/>
  <c r="J41" i="3"/>
  <c r="Q41" i="3"/>
  <c r="I41" i="3"/>
  <c r="P41" i="3"/>
  <c r="N40" i="3"/>
  <c r="U40" i="3"/>
  <c r="K40" i="3"/>
  <c r="R40" i="3"/>
  <c r="I40" i="3"/>
  <c r="P40" i="3"/>
  <c r="M39" i="3"/>
  <c r="T39" i="3"/>
  <c r="K39" i="3"/>
  <c r="R39" i="3"/>
  <c r="J39" i="3"/>
  <c r="Q39" i="3"/>
  <c r="O21" i="3"/>
  <c r="V21" i="3"/>
  <c r="O20" i="3"/>
  <c r="V20" i="3"/>
  <c r="O19" i="3"/>
  <c r="V19" i="3"/>
  <c r="O16" i="3"/>
  <c r="V16" i="3"/>
  <c r="O15" i="3"/>
  <c r="V15" i="3"/>
  <c r="O14" i="3"/>
  <c r="V14" i="3"/>
  <c r="J10" i="3"/>
  <c r="Q10" i="3"/>
  <c r="K10" i="3"/>
  <c r="R10" i="3"/>
  <c r="L10" i="3"/>
  <c r="S10" i="3"/>
  <c r="M10" i="3"/>
  <c r="T10" i="3"/>
  <c r="N10" i="3"/>
  <c r="U10" i="3"/>
  <c r="O10" i="3"/>
  <c r="V10" i="3"/>
  <c r="J11" i="3"/>
  <c r="Q11" i="3"/>
  <c r="K11" i="3"/>
  <c r="R11" i="3"/>
  <c r="L11" i="3"/>
  <c r="S11" i="3"/>
  <c r="M11" i="3"/>
  <c r="T11" i="3"/>
  <c r="N11" i="3"/>
  <c r="U11" i="3"/>
  <c r="O11" i="3"/>
  <c r="V11" i="3"/>
  <c r="O9" i="3"/>
  <c r="V9" i="3"/>
  <c r="J9" i="3"/>
  <c r="Q9" i="3"/>
  <c r="K9" i="3"/>
  <c r="R9" i="3"/>
  <c r="L9" i="3"/>
  <c r="S9" i="3"/>
  <c r="M9" i="3"/>
  <c r="T9" i="3"/>
  <c r="N9" i="3"/>
  <c r="U9" i="3"/>
  <c r="J2" i="2"/>
  <c r="E37" i="2"/>
  <c r="E36" i="2"/>
  <c r="H36" i="2"/>
  <c r="G36" i="2"/>
  <c r="E35" i="2"/>
  <c r="H35" i="2"/>
  <c r="G35" i="2"/>
  <c r="E34" i="2"/>
  <c r="H34" i="2"/>
  <c r="G34" i="2"/>
  <c r="E33" i="2"/>
  <c r="H33" i="2"/>
  <c r="G33" i="2"/>
  <c r="E32" i="2"/>
  <c r="H32" i="2"/>
  <c r="G32" i="2"/>
  <c r="E31" i="2"/>
  <c r="H31" i="2"/>
  <c r="G31" i="2"/>
  <c r="E30" i="2"/>
  <c r="H30" i="2"/>
  <c r="G30" i="2"/>
  <c r="E29" i="2"/>
  <c r="H29" i="2"/>
  <c r="G29" i="2"/>
  <c r="E28" i="2"/>
  <c r="H28" i="2"/>
  <c r="G28" i="2"/>
  <c r="E27" i="2"/>
  <c r="H27" i="2"/>
  <c r="G27" i="2"/>
  <c r="E26" i="2"/>
  <c r="H26" i="2"/>
  <c r="G26" i="2"/>
  <c r="E25" i="2"/>
  <c r="H25" i="2"/>
  <c r="G25" i="2"/>
  <c r="E24" i="2"/>
  <c r="H24" i="2"/>
  <c r="G24" i="2"/>
  <c r="E23" i="2"/>
  <c r="H23" i="2"/>
  <c r="G23" i="2"/>
  <c r="E22" i="2"/>
  <c r="H22" i="2"/>
  <c r="G22" i="2"/>
  <c r="E21" i="2"/>
  <c r="H21" i="2"/>
  <c r="G21" i="2"/>
  <c r="E20" i="2"/>
  <c r="H20" i="2"/>
  <c r="G20" i="2"/>
  <c r="E19" i="2"/>
  <c r="H19" i="2"/>
  <c r="G19" i="2"/>
  <c r="E18" i="2"/>
  <c r="H18" i="2"/>
  <c r="G18" i="2"/>
  <c r="E17" i="2"/>
  <c r="H17" i="2"/>
  <c r="G17" i="2"/>
  <c r="E16" i="2"/>
  <c r="H16" i="2"/>
  <c r="G16" i="2"/>
  <c r="E15" i="2"/>
  <c r="H15" i="2"/>
  <c r="G15" i="2"/>
  <c r="E14" i="2"/>
  <c r="H14" i="2"/>
  <c r="G14" i="2"/>
  <c r="E10" i="2"/>
  <c r="AC9" i="3" a="1"/>
  <c r="AC10" i="3"/>
  <c r="AJ11" i="3"/>
  <c r="AB9" i="3" a="1"/>
  <c r="AB10" i="3"/>
  <c r="AI11" i="3"/>
  <c r="AA9" i="3" a="1"/>
  <c r="AA10" i="3"/>
  <c r="AH11" i="3"/>
  <c r="Z9" i="3" a="1"/>
  <c r="Z10" i="3"/>
  <c r="AG11" i="3"/>
  <c r="Y9" i="3" a="1"/>
  <c r="Y10" i="3"/>
  <c r="AF11" i="3"/>
  <c r="X9" i="3" a="1"/>
  <c r="X10" i="3"/>
  <c r="AE11" i="3"/>
  <c r="AC9" i="3"/>
  <c r="AC11" i="3"/>
  <c r="AJ10" i="3"/>
  <c r="AB9" i="3"/>
  <c r="AB11" i="3"/>
  <c r="AI10" i="3"/>
  <c r="AA9" i="3"/>
  <c r="AA11" i="3"/>
  <c r="AH10" i="3"/>
  <c r="Z9" i="3"/>
  <c r="Z11" i="3"/>
  <c r="AG10" i="3"/>
  <c r="Y9" i="3"/>
  <c r="Y11" i="3"/>
  <c r="AF10" i="3"/>
  <c r="X9" i="3"/>
  <c r="X11" i="3"/>
  <c r="AE10" i="3"/>
  <c r="AJ9" i="3"/>
  <c r="AI9" i="3"/>
  <c r="AH9" i="3"/>
  <c r="AG9" i="3"/>
  <c r="AF9" i="3"/>
  <c r="AE9" i="3"/>
  <c r="W14" i="3" a="1"/>
  <c r="W14" i="3"/>
  <c r="W15" i="3"/>
  <c r="W16" i="3"/>
  <c r="AD14" i="3"/>
  <c r="X14" i="3" a="1"/>
  <c r="X14" i="3"/>
  <c r="X15" i="3"/>
  <c r="X16" i="3"/>
  <c r="AE14" i="3"/>
  <c r="Y14" i="3" a="1"/>
  <c r="Y14" i="3"/>
  <c r="Y15" i="3"/>
  <c r="Y16" i="3"/>
  <c r="AF14" i="3"/>
  <c r="Z14" i="3" a="1"/>
  <c r="Z14" i="3"/>
  <c r="Z15" i="3"/>
  <c r="Z16" i="3"/>
  <c r="AG14" i="3"/>
  <c r="AA14" i="3" a="1"/>
  <c r="AA14" i="3"/>
  <c r="AA15" i="3"/>
  <c r="AA16" i="3"/>
  <c r="AH14" i="3"/>
  <c r="AB14" i="3" a="1"/>
  <c r="AB14" i="3"/>
  <c r="AB15" i="3"/>
  <c r="AB16" i="3"/>
  <c r="AI14" i="3"/>
  <c r="AC14" i="3" a="1"/>
  <c r="AC14" i="3"/>
  <c r="AC15" i="3"/>
  <c r="AC16" i="3"/>
  <c r="AJ14" i="3"/>
  <c r="AD15" i="3"/>
  <c r="AE15" i="3"/>
  <c r="AF15" i="3"/>
  <c r="AG15" i="3"/>
  <c r="AH15" i="3"/>
  <c r="AI15" i="3"/>
  <c r="AJ15" i="3"/>
  <c r="AD16" i="3"/>
  <c r="AE16" i="3"/>
  <c r="AF16" i="3"/>
  <c r="AG16" i="3"/>
  <c r="AH16" i="3"/>
  <c r="AI16" i="3"/>
  <c r="AJ16" i="3"/>
  <c r="W19" i="3" a="1"/>
  <c r="W19" i="3"/>
  <c r="W20" i="3"/>
  <c r="W21" i="3"/>
  <c r="AD19" i="3"/>
  <c r="X19" i="3" a="1"/>
  <c r="X19" i="3"/>
  <c r="X20" i="3"/>
  <c r="X21" i="3"/>
  <c r="AE19" i="3"/>
  <c r="Y19" i="3" a="1"/>
  <c r="Y19" i="3"/>
  <c r="Y20" i="3"/>
  <c r="Y21" i="3"/>
  <c r="AF19" i="3"/>
  <c r="Z19" i="3" a="1"/>
  <c r="Z19" i="3"/>
  <c r="Z20" i="3"/>
  <c r="Z21" i="3"/>
  <c r="AG19" i="3"/>
  <c r="AA19" i="3" a="1"/>
  <c r="AA19" i="3"/>
  <c r="AA20" i="3"/>
  <c r="AA21" i="3"/>
  <c r="AH19" i="3"/>
  <c r="AB19" i="3" a="1"/>
  <c r="AB19" i="3"/>
  <c r="AB20" i="3"/>
  <c r="AB21" i="3"/>
  <c r="AI19" i="3"/>
  <c r="AC19" i="3" a="1"/>
  <c r="AC19" i="3"/>
  <c r="AC20" i="3"/>
  <c r="AC21" i="3"/>
  <c r="AJ19" i="3"/>
  <c r="AD20" i="3"/>
  <c r="AE20" i="3"/>
  <c r="AF20" i="3"/>
  <c r="AG20" i="3"/>
  <c r="AH20" i="3"/>
  <c r="AI20" i="3"/>
  <c r="AJ20" i="3"/>
  <c r="AD21" i="3"/>
  <c r="AE21" i="3"/>
  <c r="AF21" i="3"/>
  <c r="AG21" i="3"/>
  <c r="AH21" i="3"/>
  <c r="AI21" i="3"/>
  <c r="AJ21" i="3"/>
  <c r="W24" i="3" a="1"/>
  <c r="W24" i="3"/>
  <c r="W25" i="3"/>
  <c r="W26" i="3"/>
  <c r="AD24" i="3"/>
  <c r="X24" i="3" a="1"/>
  <c r="X24" i="3"/>
  <c r="X25" i="3"/>
  <c r="X26" i="3"/>
  <c r="AE24" i="3"/>
  <c r="Y24" i="3" a="1"/>
  <c r="Y24" i="3"/>
  <c r="Y25" i="3"/>
  <c r="Y26" i="3"/>
  <c r="AF24" i="3"/>
  <c r="Z24" i="3" a="1"/>
  <c r="Z24" i="3"/>
  <c r="Z25" i="3"/>
  <c r="Z26" i="3"/>
  <c r="AG24" i="3"/>
  <c r="AA24" i="3" a="1"/>
  <c r="AA24" i="3"/>
  <c r="AA25" i="3"/>
  <c r="AA26" i="3"/>
  <c r="AH24" i="3"/>
  <c r="AB24" i="3" a="1"/>
  <c r="AB24" i="3"/>
  <c r="AB25" i="3"/>
  <c r="AB26" i="3"/>
  <c r="AI24" i="3"/>
  <c r="AC24" i="3" a="1"/>
  <c r="AC24" i="3"/>
  <c r="AC25" i="3"/>
  <c r="AC26" i="3"/>
  <c r="AJ24" i="3"/>
  <c r="AD25" i="3"/>
  <c r="AE25" i="3"/>
  <c r="AF25" i="3"/>
  <c r="AG25" i="3"/>
  <c r="AH25" i="3"/>
  <c r="AI25" i="3"/>
  <c r="AJ25" i="3"/>
  <c r="AD26" i="3"/>
  <c r="AE26" i="3"/>
  <c r="AF26" i="3"/>
  <c r="AG26" i="3"/>
  <c r="AH26" i="3"/>
  <c r="AI26" i="3"/>
  <c r="AJ26" i="3"/>
  <c r="W29" i="3" a="1"/>
  <c r="W29" i="3"/>
  <c r="W30" i="3"/>
  <c r="W31" i="3"/>
  <c r="AD29" i="3"/>
  <c r="X29" i="3" a="1"/>
  <c r="X29" i="3"/>
  <c r="X30" i="3"/>
  <c r="X31" i="3"/>
  <c r="AE29" i="3"/>
  <c r="Y29" i="3" a="1"/>
  <c r="Y29" i="3"/>
  <c r="Y30" i="3"/>
  <c r="Y31" i="3"/>
  <c r="AF29" i="3"/>
  <c r="Z29" i="3" a="1"/>
  <c r="Z29" i="3"/>
  <c r="Z30" i="3"/>
  <c r="Z31" i="3"/>
  <c r="AG29" i="3"/>
  <c r="AA29" i="3" a="1"/>
  <c r="AA29" i="3"/>
  <c r="AA30" i="3"/>
  <c r="AA31" i="3"/>
  <c r="AH29" i="3"/>
  <c r="AB29" i="3" a="1"/>
  <c r="AB29" i="3"/>
  <c r="AB30" i="3"/>
  <c r="AB31" i="3"/>
  <c r="AI29" i="3"/>
  <c r="AC29" i="3" a="1"/>
  <c r="AC29" i="3"/>
  <c r="AC30" i="3"/>
  <c r="AC31" i="3"/>
  <c r="AJ29" i="3"/>
  <c r="AD30" i="3"/>
  <c r="AE30" i="3"/>
  <c r="AF30" i="3"/>
  <c r="AG30" i="3"/>
  <c r="AH30" i="3"/>
  <c r="AI30" i="3"/>
  <c r="AJ30" i="3"/>
  <c r="AD31" i="3"/>
  <c r="AE31" i="3"/>
  <c r="AF31" i="3"/>
  <c r="AG31" i="3"/>
  <c r="AH31" i="3"/>
  <c r="AI31" i="3"/>
  <c r="AJ31" i="3"/>
  <c r="W34" i="3" a="1"/>
  <c r="W34" i="3"/>
  <c r="W35" i="3"/>
  <c r="W36" i="3"/>
  <c r="AD34" i="3"/>
  <c r="X34" i="3" a="1"/>
  <c r="X34" i="3"/>
  <c r="X35" i="3"/>
  <c r="X36" i="3"/>
  <c r="AE34" i="3"/>
  <c r="Y34" i="3" a="1"/>
  <c r="Y34" i="3"/>
  <c r="Y35" i="3"/>
  <c r="Y36" i="3"/>
  <c r="AF34" i="3"/>
  <c r="Z34" i="3" a="1"/>
  <c r="Z34" i="3"/>
  <c r="Z35" i="3"/>
  <c r="Z36" i="3"/>
  <c r="AG34" i="3"/>
  <c r="AA34" i="3" a="1"/>
  <c r="AA34" i="3"/>
  <c r="AA35" i="3"/>
  <c r="AA36" i="3"/>
  <c r="AH34" i="3"/>
  <c r="AB34" i="3" a="1"/>
  <c r="AB34" i="3"/>
  <c r="AB35" i="3"/>
  <c r="AB36" i="3"/>
  <c r="AI34" i="3"/>
  <c r="AC34" i="3" a="1"/>
  <c r="AC34" i="3"/>
  <c r="AC35" i="3"/>
  <c r="AC36" i="3"/>
  <c r="AJ34" i="3"/>
  <c r="AD35" i="3"/>
  <c r="AE35" i="3"/>
  <c r="AF35" i="3"/>
  <c r="AG35" i="3"/>
  <c r="AH35" i="3"/>
  <c r="AI35" i="3"/>
  <c r="AJ35" i="3"/>
  <c r="AD36" i="3"/>
  <c r="AE36" i="3"/>
  <c r="AF36" i="3"/>
  <c r="AG36" i="3"/>
  <c r="AH36" i="3"/>
  <c r="AI36" i="3"/>
  <c r="AJ36" i="3"/>
  <c r="W39" i="3" a="1"/>
  <c r="W39" i="3"/>
  <c r="W40" i="3"/>
  <c r="W41" i="3"/>
  <c r="AD39" i="3"/>
  <c r="X39" i="3" a="1"/>
  <c r="X39" i="3"/>
  <c r="X40" i="3"/>
  <c r="X41" i="3"/>
  <c r="AE39" i="3"/>
  <c r="Y39" i="3" a="1"/>
  <c r="Y39" i="3"/>
  <c r="Y40" i="3"/>
  <c r="Y41" i="3"/>
  <c r="AF39" i="3"/>
  <c r="Z39" i="3" a="1"/>
  <c r="Z39" i="3"/>
  <c r="Z40" i="3"/>
  <c r="Z41" i="3"/>
  <c r="AG39" i="3"/>
  <c r="AA39" i="3" a="1"/>
  <c r="AA39" i="3"/>
  <c r="AA40" i="3"/>
  <c r="AA41" i="3"/>
  <c r="AH39" i="3"/>
  <c r="AB39" i="3" a="1"/>
  <c r="AB39" i="3"/>
  <c r="AB40" i="3"/>
  <c r="AB41" i="3"/>
  <c r="AI39" i="3"/>
  <c r="AC39" i="3" a="1"/>
  <c r="AC39" i="3"/>
  <c r="AC40" i="3"/>
  <c r="AC41" i="3"/>
  <c r="AJ39" i="3"/>
  <c r="AD40" i="3"/>
  <c r="AE40" i="3"/>
  <c r="AF40" i="3"/>
  <c r="AG40" i="3"/>
  <c r="AH40" i="3"/>
  <c r="AI40" i="3"/>
  <c r="AJ40" i="3"/>
  <c r="AD41" i="3"/>
  <c r="AE41" i="3"/>
  <c r="AF41" i="3"/>
  <c r="AG41" i="3"/>
  <c r="AH41" i="3"/>
  <c r="AI41" i="3"/>
  <c r="AJ41" i="3"/>
  <c r="W49" i="3" a="1"/>
  <c r="W49" i="3"/>
  <c r="W50" i="3"/>
  <c r="W51" i="3"/>
  <c r="AD49" i="3"/>
  <c r="X49" i="3" a="1"/>
  <c r="X49" i="3"/>
  <c r="X50" i="3"/>
  <c r="X51" i="3"/>
  <c r="AE49" i="3"/>
  <c r="Y49" i="3" a="1"/>
  <c r="Y49" i="3"/>
  <c r="Y50" i="3"/>
  <c r="Y51" i="3"/>
  <c r="AF49" i="3"/>
  <c r="Z49" i="3" a="1"/>
  <c r="Z49" i="3"/>
  <c r="Z50" i="3"/>
  <c r="Z51" i="3"/>
  <c r="AG49" i="3"/>
  <c r="AA49" i="3" a="1"/>
  <c r="AA49" i="3"/>
  <c r="AA50" i="3"/>
  <c r="AA51" i="3"/>
  <c r="AH49" i="3"/>
  <c r="AB49" i="3" a="1"/>
  <c r="AB49" i="3"/>
  <c r="AB50" i="3"/>
  <c r="AB51" i="3"/>
  <c r="AI49" i="3"/>
  <c r="AC49" i="3" a="1"/>
  <c r="AC49" i="3"/>
  <c r="AC50" i="3"/>
  <c r="AC51" i="3"/>
  <c r="AJ49" i="3"/>
  <c r="AD50" i="3"/>
  <c r="AE50" i="3"/>
  <c r="AF50" i="3"/>
  <c r="AG50" i="3"/>
  <c r="AH50" i="3"/>
  <c r="AI50" i="3"/>
  <c r="AJ50" i="3"/>
  <c r="AD51" i="3"/>
  <c r="AE51" i="3"/>
  <c r="AF51" i="3"/>
  <c r="AG51" i="3"/>
  <c r="AH51" i="3"/>
  <c r="AI51" i="3"/>
  <c r="AJ51" i="3"/>
  <c r="B5" i="1" a="1"/>
  <c r="D5" i="1"/>
  <c r="E5" i="1"/>
  <c r="D11" i="1"/>
  <c r="E11" i="1"/>
  <c r="D10" i="1"/>
  <c r="E10" i="1"/>
  <c r="D9" i="1"/>
  <c r="E9" i="1"/>
  <c r="D8" i="1"/>
  <c r="E8" i="1"/>
  <c r="D7" i="1"/>
  <c r="E7" i="1"/>
  <c r="D6" i="1"/>
  <c r="E6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G5" i="1" a="1"/>
  <c r="I11" i="1"/>
  <c r="J11" i="1"/>
  <c r="I10" i="1"/>
  <c r="J10" i="1"/>
  <c r="I9" i="1"/>
  <c r="J9" i="1"/>
  <c r="I8" i="1"/>
  <c r="J8" i="1"/>
  <c r="I7" i="1"/>
  <c r="J7" i="1"/>
  <c r="I6" i="1"/>
  <c r="J6" i="1"/>
  <c r="I5" i="1"/>
  <c r="J5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L5" i="1" a="1"/>
  <c r="N5" i="1"/>
  <c r="O5" i="1"/>
  <c r="N11" i="1"/>
  <c r="O11" i="1"/>
  <c r="N10" i="1"/>
  <c r="O10" i="1"/>
  <c r="N9" i="1"/>
  <c r="O9" i="1"/>
  <c r="N8" i="1"/>
  <c r="O8" i="1"/>
  <c r="N7" i="1"/>
  <c r="O7" i="1"/>
  <c r="N6" i="1"/>
  <c r="O6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B14" i="1" a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L14" i="1" a="1"/>
  <c r="N14" i="1"/>
  <c r="O14" i="1"/>
  <c r="N20" i="1"/>
  <c r="O20" i="1"/>
  <c r="N19" i="1"/>
  <c r="O19" i="1"/>
  <c r="N18" i="1"/>
  <c r="O18" i="1"/>
  <c r="N17" i="1"/>
  <c r="O17" i="1"/>
  <c r="N16" i="1"/>
  <c r="O16" i="1"/>
  <c r="N15" i="1"/>
  <c r="O15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B23" i="1" a="1"/>
  <c r="D23" i="1"/>
  <c r="E23" i="1"/>
  <c r="D29" i="1"/>
  <c r="E29" i="1"/>
  <c r="D28" i="1"/>
  <c r="E28" i="1"/>
  <c r="D27" i="1"/>
  <c r="E27" i="1"/>
  <c r="D26" i="1"/>
  <c r="E26" i="1"/>
  <c r="D25" i="1"/>
  <c r="E25" i="1"/>
  <c r="D24" i="1"/>
  <c r="E24" i="1"/>
  <c r="W44" i="3" a="1"/>
  <c r="W45" i="3"/>
  <c r="AD46" i="3"/>
  <c r="I23" i="1"/>
  <c r="J23" i="1"/>
  <c r="AC44" i="3" a="1"/>
  <c r="AC45" i="3"/>
  <c r="AJ46" i="3"/>
  <c r="I29" i="1"/>
  <c r="J29" i="1"/>
  <c r="AB44" i="3" a="1"/>
  <c r="AB45" i="3"/>
  <c r="AI46" i="3"/>
  <c r="I28" i="1"/>
  <c r="J28" i="1"/>
  <c r="AA44" i="3" a="1"/>
  <c r="AA45" i="3"/>
  <c r="AH46" i="3"/>
  <c r="I27" i="1"/>
  <c r="J27" i="1"/>
  <c r="Z44" i="3" a="1"/>
  <c r="Z45" i="3"/>
  <c r="AG46" i="3"/>
  <c r="I26" i="1"/>
  <c r="J26" i="1"/>
  <c r="Y44" i="3" a="1"/>
  <c r="Y45" i="3"/>
  <c r="AF46" i="3"/>
  <c r="I25" i="1"/>
  <c r="J25" i="1"/>
  <c r="X44" i="3" a="1"/>
  <c r="X45" i="3"/>
  <c r="AE46" i="3"/>
  <c r="I24" i="1"/>
  <c r="J24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AC44" i="3"/>
  <c r="AC46" i="3"/>
  <c r="AJ45" i="3"/>
  <c r="H29" i="1"/>
  <c r="AJ44" i="3"/>
  <c r="G29" i="1"/>
  <c r="AB44" i="3"/>
  <c r="AB46" i="3"/>
  <c r="AI45" i="3"/>
  <c r="H28" i="1"/>
  <c r="AI44" i="3"/>
  <c r="G28" i="1"/>
  <c r="AA44" i="3"/>
  <c r="AA46" i="3"/>
  <c r="AH45" i="3"/>
  <c r="H27" i="1"/>
  <c r="AH44" i="3"/>
  <c r="G27" i="1"/>
  <c r="Z44" i="3"/>
  <c r="Z46" i="3"/>
  <c r="AG45" i="3"/>
  <c r="H26" i="1"/>
  <c r="AG44" i="3"/>
  <c r="G26" i="1"/>
  <c r="Y44" i="3"/>
  <c r="Y46" i="3"/>
  <c r="AF45" i="3"/>
  <c r="H25" i="1"/>
  <c r="AF44" i="3"/>
  <c r="G25" i="1"/>
  <c r="X44" i="3"/>
  <c r="X46" i="3"/>
  <c r="AE45" i="3"/>
  <c r="H24" i="1"/>
  <c r="AE44" i="3"/>
  <c r="G24" i="1"/>
  <c r="W44" i="3"/>
  <c r="W46" i="3"/>
  <c r="AD45" i="3"/>
  <c r="H23" i="1"/>
  <c r="AD44" i="3"/>
  <c r="G23" i="1"/>
  <c r="L23" i="1" a="1"/>
  <c r="N23" i="1"/>
  <c r="O23" i="1"/>
  <c r="N29" i="1"/>
  <c r="O29" i="1"/>
  <c r="N28" i="1"/>
  <c r="O28" i="1"/>
  <c r="N27" i="1"/>
  <c r="O27" i="1"/>
  <c r="N26" i="1"/>
  <c r="O26" i="1"/>
  <c r="N25" i="1"/>
  <c r="O25" i="1"/>
  <c r="N24" i="1"/>
  <c r="O24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AM55" i="3" a="1"/>
  <c r="AM55" i="3"/>
  <c r="AM56" i="3"/>
  <c r="AM57" i="3"/>
  <c r="AY55" i="3"/>
  <c r="AY56" i="3"/>
  <c r="AY57" i="3"/>
  <c r="AX55" i="3" a="1"/>
  <c r="AX56" i="3"/>
  <c r="BJ57" i="3"/>
  <c r="AW55" i="3" a="1"/>
  <c r="AW56" i="3"/>
  <c r="BI57" i="3"/>
  <c r="AV55" i="3" a="1"/>
  <c r="AV56" i="3"/>
  <c r="BH57" i="3"/>
  <c r="AU55" i="3" a="1"/>
  <c r="AU56" i="3"/>
  <c r="BG57" i="3"/>
  <c r="AT55" i="3" a="1"/>
  <c r="AT56" i="3"/>
  <c r="BF57" i="3"/>
  <c r="AS55" i="3" a="1"/>
  <c r="AS56" i="3"/>
  <c r="BE57" i="3"/>
  <c r="AR55" i="3" a="1"/>
  <c r="AR56" i="3"/>
  <c r="BD57" i="3"/>
  <c r="AQ55" i="3" a="1"/>
  <c r="AQ56" i="3"/>
  <c r="BC57" i="3"/>
  <c r="AP55" i="3" a="1"/>
  <c r="AP56" i="3"/>
  <c r="BB57" i="3"/>
  <c r="AO55" i="3" a="1"/>
  <c r="AO56" i="3"/>
  <c r="BA57" i="3"/>
  <c r="AN55" i="3" a="1"/>
  <c r="AN56" i="3"/>
  <c r="AZ57" i="3"/>
  <c r="AX55" i="3"/>
  <c r="AX57" i="3"/>
  <c r="BJ56" i="3"/>
  <c r="AW55" i="3"/>
  <c r="AW57" i="3"/>
  <c r="BI56" i="3"/>
  <c r="AV55" i="3"/>
  <c r="AV57" i="3"/>
  <c r="BH56" i="3"/>
  <c r="AU55" i="3"/>
  <c r="AU57" i="3"/>
  <c r="BG56" i="3"/>
  <c r="AT55" i="3"/>
  <c r="AT57" i="3"/>
  <c r="BF56" i="3"/>
  <c r="AS55" i="3"/>
  <c r="AS57" i="3"/>
  <c r="BE56" i="3"/>
  <c r="AR55" i="3"/>
  <c r="AR57" i="3"/>
  <c r="BD56" i="3"/>
  <c r="AQ55" i="3"/>
  <c r="AQ57" i="3"/>
  <c r="BC56" i="3"/>
  <c r="AP55" i="3"/>
  <c r="AP57" i="3"/>
  <c r="BB56" i="3"/>
  <c r="AO55" i="3"/>
  <c r="AO57" i="3"/>
  <c r="BA56" i="3"/>
  <c r="AN55" i="3"/>
  <c r="AN57" i="3"/>
  <c r="AZ56" i="3"/>
  <c r="BJ55" i="3"/>
  <c r="BI55" i="3"/>
  <c r="BH55" i="3"/>
  <c r="BG55" i="3"/>
  <c r="BF55" i="3"/>
  <c r="BE55" i="3"/>
  <c r="BD55" i="3"/>
  <c r="BC55" i="3"/>
  <c r="BB55" i="3"/>
  <c r="BA55" i="3"/>
  <c r="AZ55" i="3"/>
  <c r="BT60" i="3" a="1"/>
  <c r="BT60" i="3"/>
  <c r="BT61" i="3"/>
  <c r="BT62" i="3"/>
  <c r="CQ60" i="3"/>
  <c r="BU60" i="3" a="1"/>
  <c r="BU60" i="3"/>
  <c r="BU61" i="3"/>
  <c r="BU62" i="3"/>
  <c r="CR60" i="3"/>
  <c r="BV60" i="3" a="1"/>
  <c r="BV60" i="3"/>
  <c r="BV61" i="3"/>
  <c r="BV62" i="3"/>
  <c r="CS60" i="3"/>
  <c r="BW60" i="3" a="1"/>
  <c r="BW60" i="3"/>
  <c r="BW61" i="3"/>
  <c r="BW62" i="3"/>
  <c r="CT60" i="3"/>
  <c r="BX60" i="3" a="1"/>
  <c r="BX60" i="3"/>
  <c r="BX61" i="3"/>
  <c r="BX62" i="3"/>
  <c r="CU60" i="3"/>
  <c r="BY60" i="3" a="1"/>
  <c r="BY60" i="3"/>
  <c r="BY61" i="3"/>
  <c r="BY62" i="3"/>
  <c r="CV60" i="3"/>
  <c r="BZ60" i="3" a="1"/>
  <c r="BZ60" i="3"/>
  <c r="BZ61" i="3"/>
  <c r="BZ62" i="3"/>
  <c r="CW60" i="3"/>
  <c r="CA60" i="3" a="1"/>
  <c r="CA60" i="3"/>
  <c r="CA61" i="3"/>
  <c r="CA62" i="3"/>
  <c r="CX60" i="3"/>
  <c r="CB60" i="3" a="1"/>
  <c r="CB60" i="3"/>
  <c r="CB61" i="3"/>
  <c r="CB62" i="3"/>
  <c r="CY60" i="3"/>
  <c r="CC60" i="3" a="1"/>
  <c r="CC60" i="3"/>
  <c r="CC61" i="3"/>
  <c r="CC62" i="3"/>
  <c r="CZ60" i="3"/>
  <c r="CD60" i="3" a="1"/>
  <c r="CD60" i="3"/>
  <c r="CD61" i="3"/>
  <c r="CD62" i="3"/>
  <c r="DA60" i="3"/>
  <c r="CE60" i="3" a="1"/>
  <c r="CE60" i="3"/>
  <c r="CE61" i="3"/>
  <c r="CE62" i="3"/>
  <c r="DB60" i="3"/>
  <c r="CF60" i="3" a="1"/>
  <c r="CF60" i="3"/>
  <c r="CF61" i="3"/>
  <c r="CF62" i="3"/>
  <c r="DC60" i="3"/>
  <c r="CG60" i="3" a="1"/>
  <c r="CG60" i="3"/>
  <c r="CG61" i="3"/>
  <c r="CG62" i="3"/>
  <c r="DD60" i="3"/>
  <c r="CH60" i="3" a="1"/>
  <c r="CH60" i="3"/>
  <c r="CH61" i="3"/>
  <c r="CH62" i="3"/>
  <c r="DE60" i="3"/>
  <c r="CI60" i="3" a="1"/>
  <c r="CI60" i="3"/>
  <c r="CI61" i="3"/>
  <c r="CI62" i="3"/>
  <c r="DF60" i="3"/>
  <c r="CJ60" i="3" a="1"/>
  <c r="CJ60" i="3"/>
  <c r="CJ61" i="3"/>
  <c r="CJ62" i="3"/>
  <c r="DG60" i="3"/>
  <c r="CK60" i="3" a="1"/>
  <c r="CK60" i="3"/>
  <c r="CK61" i="3"/>
  <c r="CK62" i="3"/>
  <c r="DH60" i="3"/>
  <c r="CL60" i="3" a="1"/>
  <c r="CL60" i="3"/>
  <c r="CL61" i="3"/>
  <c r="CL62" i="3"/>
  <c r="DI60" i="3"/>
  <c r="CM60" i="3" a="1"/>
  <c r="CM60" i="3"/>
  <c r="CM61" i="3"/>
  <c r="CM62" i="3"/>
  <c r="DJ60" i="3"/>
  <c r="CN60" i="3" a="1"/>
  <c r="CN60" i="3"/>
  <c r="CN61" i="3"/>
  <c r="CN62" i="3"/>
  <c r="DK60" i="3"/>
  <c r="CO60" i="3" a="1"/>
  <c r="CO60" i="3"/>
  <c r="CO61" i="3"/>
  <c r="CO62" i="3"/>
  <c r="DL60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BS60" i="3" a="1"/>
  <c r="BS61" i="3"/>
  <c r="BS60" i="3"/>
  <c r="BS62" i="3"/>
  <c r="CP61" i="3"/>
  <c r="CP60" i="3"/>
  <c r="CP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B34" i="1" a="1"/>
  <c r="D35" i="1"/>
  <c r="C116" i="3"/>
  <c r="F116" i="3"/>
  <c r="I116" i="3"/>
  <c r="B35" i="1"/>
  <c r="C35" i="1"/>
  <c r="D116" i="3"/>
  <c r="G116" i="3"/>
  <c r="J116" i="3"/>
  <c r="M116" i="3"/>
  <c r="B116" i="3"/>
  <c r="E116" i="3"/>
  <c r="H116" i="3"/>
  <c r="L116" i="3"/>
  <c r="C144" i="3"/>
  <c r="E144" i="3"/>
  <c r="F144" i="3"/>
  <c r="G144" i="3"/>
  <c r="L144" i="3"/>
  <c r="H144" i="3"/>
  <c r="M144" i="3"/>
  <c r="N144" i="3"/>
  <c r="P144" i="3"/>
  <c r="K116" i="3"/>
  <c r="Q144" i="3"/>
  <c r="D36" i="1"/>
  <c r="C117" i="3"/>
  <c r="F117" i="3"/>
  <c r="I117" i="3"/>
  <c r="B36" i="1"/>
  <c r="C36" i="1"/>
  <c r="D117" i="3"/>
  <c r="G117" i="3"/>
  <c r="J117" i="3"/>
  <c r="M117" i="3"/>
  <c r="B117" i="3"/>
  <c r="E117" i="3"/>
  <c r="H117" i="3"/>
  <c r="L117" i="3"/>
  <c r="C145" i="3"/>
  <c r="E145" i="3"/>
  <c r="F145" i="3"/>
  <c r="G145" i="3"/>
  <c r="L145" i="3"/>
  <c r="H145" i="3"/>
  <c r="M145" i="3"/>
  <c r="N145" i="3"/>
  <c r="P145" i="3"/>
  <c r="K117" i="3"/>
  <c r="Q145" i="3"/>
  <c r="D37" i="1"/>
  <c r="C118" i="3"/>
  <c r="F118" i="3"/>
  <c r="I118" i="3"/>
  <c r="B37" i="1"/>
  <c r="C37" i="1"/>
  <c r="D118" i="3"/>
  <c r="G118" i="3"/>
  <c r="J118" i="3"/>
  <c r="M118" i="3"/>
  <c r="B118" i="3"/>
  <c r="E118" i="3"/>
  <c r="H118" i="3"/>
  <c r="L118" i="3"/>
  <c r="C146" i="3"/>
  <c r="E146" i="3"/>
  <c r="F146" i="3"/>
  <c r="G146" i="3"/>
  <c r="L146" i="3"/>
  <c r="H146" i="3"/>
  <c r="M146" i="3"/>
  <c r="N146" i="3"/>
  <c r="P146" i="3"/>
  <c r="K118" i="3"/>
  <c r="Q146" i="3"/>
  <c r="D38" i="1"/>
  <c r="C119" i="3"/>
  <c r="F119" i="3"/>
  <c r="I119" i="3"/>
  <c r="B38" i="1"/>
  <c r="C38" i="1"/>
  <c r="D119" i="3"/>
  <c r="G119" i="3"/>
  <c r="J119" i="3"/>
  <c r="M119" i="3"/>
  <c r="B119" i="3"/>
  <c r="E119" i="3"/>
  <c r="H119" i="3"/>
  <c r="L119" i="3"/>
  <c r="C147" i="3"/>
  <c r="E147" i="3"/>
  <c r="F147" i="3"/>
  <c r="G147" i="3"/>
  <c r="L147" i="3"/>
  <c r="H147" i="3"/>
  <c r="M147" i="3"/>
  <c r="N147" i="3"/>
  <c r="P147" i="3"/>
  <c r="K119" i="3"/>
  <c r="Q147" i="3"/>
  <c r="D39" i="1"/>
  <c r="C120" i="3"/>
  <c r="F120" i="3"/>
  <c r="I120" i="3"/>
  <c r="B39" i="1"/>
  <c r="C39" i="1"/>
  <c r="D120" i="3"/>
  <c r="G120" i="3"/>
  <c r="J120" i="3"/>
  <c r="M120" i="3"/>
  <c r="B120" i="3"/>
  <c r="E120" i="3"/>
  <c r="H120" i="3"/>
  <c r="L120" i="3"/>
  <c r="C148" i="3"/>
  <c r="E148" i="3"/>
  <c r="F148" i="3"/>
  <c r="G148" i="3"/>
  <c r="L148" i="3"/>
  <c r="H148" i="3"/>
  <c r="M148" i="3"/>
  <c r="N148" i="3"/>
  <c r="P148" i="3"/>
  <c r="K120" i="3"/>
  <c r="Q148" i="3"/>
  <c r="D40" i="1"/>
  <c r="C121" i="3"/>
  <c r="F121" i="3"/>
  <c r="I121" i="3"/>
  <c r="B40" i="1"/>
  <c r="C40" i="1"/>
  <c r="D121" i="3"/>
  <c r="G121" i="3"/>
  <c r="J121" i="3"/>
  <c r="M121" i="3"/>
  <c r="B121" i="3"/>
  <c r="E121" i="3"/>
  <c r="H121" i="3"/>
  <c r="L121" i="3"/>
  <c r="C149" i="3"/>
  <c r="E149" i="3"/>
  <c r="F149" i="3"/>
  <c r="G149" i="3"/>
  <c r="L149" i="3"/>
  <c r="H149" i="3"/>
  <c r="M149" i="3"/>
  <c r="N149" i="3"/>
  <c r="P149" i="3"/>
  <c r="K121" i="3"/>
  <c r="Q149" i="3"/>
  <c r="D45" i="1"/>
  <c r="C126" i="3"/>
  <c r="F126" i="3"/>
  <c r="I126" i="3"/>
  <c r="B45" i="1"/>
  <c r="C45" i="1"/>
  <c r="D126" i="3"/>
  <c r="G126" i="3"/>
  <c r="J126" i="3"/>
  <c r="M126" i="3"/>
  <c r="B126" i="3"/>
  <c r="E126" i="3"/>
  <c r="H126" i="3"/>
  <c r="L126" i="3"/>
  <c r="C154" i="3"/>
  <c r="E154" i="3"/>
  <c r="F154" i="3"/>
  <c r="G154" i="3"/>
  <c r="L154" i="3"/>
  <c r="H154" i="3"/>
  <c r="M154" i="3"/>
  <c r="N154" i="3"/>
  <c r="P154" i="3"/>
  <c r="K126" i="3"/>
  <c r="Q154" i="3"/>
  <c r="D44" i="1"/>
  <c r="C125" i="3"/>
  <c r="F125" i="3"/>
  <c r="I125" i="3"/>
  <c r="B44" i="1"/>
  <c r="C44" i="1"/>
  <c r="D125" i="3"/>
  <c r="G125" i="3"/>
  <c r="J125" i="3"/>
  <c r="M125" i="3"/>
  <c r="B125" i="3"/>
  <c r="E125" i="3"/>
  <c r="H125" i="3"/>
  <c r="L125" i="3"/>
  <c r="C153" i="3"/>
  <c r="E153" i="3"/>
  <c r="F153" i="3"/>
  <c r="G153" i="3"/>
  <c r="L153" i="3"/>
  <c r="H153" i="3"/>
  <c r="M153" i="3"/>
  <c r="N153" i="3"/>
  <c r="P153" i="3"/>
  <c r="K125" i="3"/>
  <c r="Q153" i="3"/>
  <c r="D43" i="1"/>
  <c r="C124" i="3"/>
  <c r="F124" i="3"/>
  <c r="I124" i="3"/>
  <c r="B43" i="1"/>
  <c r="C43" i="1"/>
  <c r="D124" i="3"/>
  <c r="G124" i="3"/>
  <c r="J124" i="3"/>
  <c r="M124" i="3"/>
  <c r="B124" i="3"/>
  <c r="E124" i="3"/>
  <c r="H124" i="3"/>
  <c r="L124" i="3"/>
  <c r="C152" i="3"/>
  <c r="E152" i="3"/>
  <c r="F152" i="3"/>
  <c r="G152" i="3"/>
  <c r="L152" i="3"/>
  <c r="H152" i="3"/>
  <c r="M152" i="3"/>
  <c r="N152" i="3"/>
  <c r="P152" i="3"/>
  <c r="K124" i="3"/>
  <c r="Q152" i="3"/>
  <c r="D42" i="1"/>
  <c r="C123" i="3"/>
  <c r="F123" i="3"/>
  <c r="I123" i="3"/>
  <c r="B42" i="1"/>
  <c r="C42" i="1"/>
  <c r="D123" i="3"/>
  <c r="G123" i="3"/>
  <c r="J123" i="3"/>
  <c r="M123" i="3"/>
  <c r="B123" i="3"/>
  <c r="E123" i="3"/>
  <c r="H123" i="3"/>
  <c r="L123" i="3"/>
  <c r="C151" i="3"/>
  <c r="E151" i="3"/>
  <c r="F151" i="3"/>
  <c r="G151" i="3"/>
  <c r="L151" i="3"/>
  <c r="H151" i="3"/>
  <c r="M151" i="3"/>
  <c r="N151" i="3"/>
  <c r="P151" i="3"/>
  <c r="K123" i="3"/>
  <c r="Q151" i="3"/>
  <c r="D41" i="1"/>
  <c r="C122" i="3"/>
  <c r="F122" i="3"/>
  <c r="I122" i="3"/>
  <c r="B41" i="1"/>
  <c r="C41" i="1"/>
  <c r="D122" i="3"/>
  <c r="G122" i="3"/>
  <c r="J122" i="3"/>
  <c r="M122" i="3"/>
  <c r="B122" i="3"/>
  <c r="E122" i="3"/>
  <c r="H122" i="3"/>
  <c r="L122" i="3"/>
  <c r="C150" i="3"/>
  <c r="E150" i="3"/>
  <c r="F150" i="3"/>
  <c r="G150" i="3"/>
  <c r="L150" i="3"/>
  <c r="H150" i="3"/>
  <c r="M150" i="3"/>
  <c r="N150" i="3"/>
  <c r="P150" i="3"/>
  <c r="K122" i="3"/>
  <c r="Q150" i="3"/>
  <c r="E45" i="1"/>
  <c r="E44" i="1"/>
  <c r="E43" i="1"/>
  <c r="E42" i="1"/>
  <c r="E41" i="1"/>
  <c r="E40" i="1"/>
  <c r="E39" i="1"/>
  <c r="E38" i="1"/>
  <c r="E37" i="1"/>
  <c r="E36" i="1"/>
  <c r="E35" i="1"/>
  <c r="D34" i="1"/>
  <c r="E34" i="1"/>
  <c r="C115" i="3"/>
  <c r="F115" i="3"/>
  <c r="I115" i="3"/>
  <c r="K115" i="3"/>
  <c r="L34" i="1"/>
  <c r="B34" i="1"/>
  <c r="C34" i="1"/>
  <c r="B115" i="3"/>
  <c r="E115" i="3"/>
  <c r="H115" i="3"/>
  <c r="L115" i="3"/>
  <c r="D115" i="3"/>
  <c r="G115" i="3"/>
  <c r="J115" i="3"/>
  <c r="M115" i="3"/>
  <c r="M34" i="1"/>
  <c r="O115" i="3"/>
  <c r="N34" i="1"/>
  <c r="P115" i="3"/>
  <c r="O34" i="1"/>
  <c r="L35" i="1"/>
  <c r="M35" i="1"/>
  <c r="O116" i="3"/>
  <c r="N35" i="1"/>
  <c r="P116" i="3"/>
  <c r="O35" i="1"/>
  <c r="L36" i="1"/>
  <c r="M36" i="1"/>
  <c r="O117" i="3"/>
  <c r="N36" i="1"/>
  <c r="P117" i="3"/>
  <c r="O36" i="1"/>
  <c r="L37" i="1"/>
  <c r="M37" i="1"/>
  <c r="O118" i="3"/>
  <c r="N37" i="1"/>
  <c r="P118" i="3"/>
  <c r="O37" i="1"/>
  <c r="L38" i="1"/>
  <c r="M38" i="1"/>
  <c r="O119" i="3"/>
  <c r="N38" i="1"/>
  <c r="P119" i="3"/>
  <c r="O38" i="1"/>
  <c r="L39" i="1"/>
  <c r="M39" i="1"/>
  <c r="O120" i="3"/>
  <c r="N39" i="1"/>
  <c r="P120" i="3"/>
  <c r="O39" i="1"/>
  <c r="L40" i="1"/>
  <c r="M40" i="1"/>
  <c r="O121" i="3"/>
  <c r="N40" i="1"/>
  <c r="P121" i="3"/>
  <c r="O40" i="1"/>
  <c r="L41" i="1"/>
  <c r="M41" i="1"/>
  <c r="O122" i="3"/>
  <c r="N41" i="1"/>
  <c r="P122" i="3"/>
  <c r="O41" i="1"/>
  <c r="L42" i="1"/>
  <c r="M42" i="1"/>
  <c r="O123" i="3"/>
  <c r="N42" i="1"/>
  <c r="P123" i="3"/>
  <c r="O42" i="1"/>
  <c r="L43" i="1"/>
  <c r="M43" i="1"/>
  <c r="O124" i="3"/>
  <c r="N43" i="1"/>
  <c r="P124" i="3"/>
  <c r="O43" i="1"/>
  <c r="L44" i="1"/>
  <c r="M44" i="1"/>
  <c r="O125" i="3"/>
  <c r="N44" i="1"/>
  <c r="P125" i="3"/>
  <c r="O44" i="1"/>
  <c r="L45" i="1"/>
  <c r="M45" i="1"/>
  <c r="O126" i="3"/>
  <c r="N45" i="1"/>
  <c r="P126" i="3"/>
  <c r="O45" i="1"/>
  <c r="O46" i="1"/>
  <c r="Q143" i="3"/>
  <c r="B143" i="3"/>
  <c r="T143" i="3"/>
  <c r="C143" i="3"/>
  <c r="E143" i="3"/>
  <c r="F143" i="3"/>
  <c r="H143" i="3"/>
  <c r="J143" i="3"/>
  <c r="G143" i="3"/>
  <c r="I143" i="3"/>
  <c r="R143" i="3"/>
  <c r="K143" i="3"/>
  <c r="U143" i="3"/>
  <c r="M143" i="3"/>
  <c r="L143" i="3"/>
  <c r="P143" i="3"/>
  <c r="S143" i="3"/>
  <c r="N143" i="3"/>
  <c r="O143" i="3"/>
  <c r="V143" i="3"/>
  <c r="X143" i="3"/>
  <c r="W143" i="3"/>
  <c r="Y143" i="3"/>
  <c r="Z143" i="3"/>
  <c r="P34" i="1"/>
  <c r="B144" i="3"/>
  <c r="T144" i="3"/>
  <c r="J144" i="3"/>
  <c r="I144" i="3"/>
  <c r="R144" i="3"/>
  <c r="K144" i="3"/>
  <c r="U144" i="3"/>
  <c r="S144" i="3"/>
  <c r="O144" i="3"/>
  <c r="V144" i="3"/>
  <c r="X144" i="3"/>
  <c r="W144" i="3"/>
  <c r="Y144" i="3"/>
  <c r="Z144" i="3"/>
  <c r="P35" i="1"/>
  <c r="B145" i="3"/>
  <c r="T145" i="3"/>
  <c r="J145" i="3"/>
  <c r="I145" i="3"/>
  <c r="R145" i="3"/>
  <c r="K145" i="3"/>
  <c r="U145" i="3"/>
  <c r="S145" i="3"/>
  <c r="O145" i="3"/>
  <c r="V145" i="3"/>
  <c r="X145" i="3"/>
  <c r="W145" i="3"/>
  <c r="Y145" i="3"/>
  <c r="Z145" i="3"/>
  <c r="P36" i="1"/>
  <c r="B146" i="3"/>
  <c r="T146" i="3"/>
  <c r="J146" i="3"/>
  <c r="I146" i="3"/>
  <c r="R146" i="3"/>
  <c r="K146" i="3"/>
  <c r="U146" i="3"/>
  <c r="S146" i="3"/>
  <c r="O146" i="3"/>
  <c r="V146" i="3"/>
  <c r="X146" i="3"/>
  <c r="W146" i="3"/>
  <c r="Y146" i="3"/>
  <c r="Z146" i="3"/>
  <c r="P37" i="1"/>
  <c r="B147" i="3"/>
  <c r="T147" i="3"/>
  <c r="J147" i="3"/>
  <c r="I147" i="3"/>
  <c r="R147" i="3"/>
  <c r="K147" i="3"/>
  <c r="U147" i="3"/>
  <c r="S147" i="3"/>
  <c r="O147" i="3"/>
  <c r="V147" i="3"/>
  <c r="X147" i="3"/>
  <c r="W147" i="3"/>
  <c r="Y147" i="3"/>
  <c r="Z147" i="3"/>
  <c r="P38" i="1"/>
  <c r="B148" i="3"/>
  <c r="T148" i="3"/>
  <c r="J148" i="3"/>
  <c r="I148" i="3"/>
  <c r="R148" i="3"/>
  <c r="K148" i="3"/>
  <c r="U148" i="3"/>
  <c r="S148" i="3"/>
  <c r="O148" i="3"/>
  <c r="V148" i="3"/>
  <c r="X148" i="3"/>
  <c r="W148" i="3"/>
  <c r="Y148" i="3"/>
  <c r="Z148" i="3"/>
  <c r="P39" i="1"/>
  <c r="B149" i="3"/>
  <c r="T149" i="3"/>
  <c r="J149" i="3"/>
  <c r="I149" i="3"/>
  <c r="R149" i="3"/>
  <c r="K149" i="3"/>
  <c r="U149" i="3"/>
  <c r="S149" i="3"/>
  <c r="O149" i="3"/>
  <c r="V149" i="3"/>
  <c r="X149" i="3"/>
  <c r="W149" i="3"/>
  <c r="Y149" i="3"/>
  <c r="Z149" i="3"/>
  <c r="P40" i="1"/>
  <c r="B150" i="3"/>
  <c r="T150" i="3"/>
  <c r="J150" i="3"/>
  <c r="I150" i="3"/>
  <c r="R150" i="3"/>
  <c r="K150" i="3"/>
  <c r="U150" i="3"/>
  <c r="S150" i="3"/>
  <c r="O150" i="3"/>
  <c r="V150" i="3"/>
  <c r="X150" i="3"/>
  <c r="W150" i="3"/>
  <c r="Y150" i="3"/>
  <c r="Z150" i="3"/>
  <c r="P41" i="1"/>
  <c r="B151" i="3"/>
  <c r="T151" i="3"/>
  <c r="J151" i="3"/>
  <c r="I151" i="3"/>
  <c r="R151" i="3"/>
  <c r="K151" i="3"/>
  <c r="U151" i="3"/>
  <c r="S151" i="3"/>
  <c r="O151" i="3"/>
  <c r="V151" i="3"/>
  <c r="X151" i="3"/>
  <c r="W151" i="3"/>
  <c r="Y151" i="3"/>
  <c r="Z151" i="3"/>
  <c r="P42" i="1"/>
  <c r="B152" i="3"/>
  <c r="T152" i="3"/>
  <c r="J152" i="3"/>
  <c r="I152" i="3"/>
  <c r="R152" i="3"/>
  <c r="K152" i="3"/>
  <c r="U152" i="3"/>
  <c r="S152" i="3"/>
  <c r="O152" i="3"/>
  <c r="V152" i="3"/>
  <c r="X152" i="3"/>
  <c r="W152" i="3"/>
  <c r="Y152" i="3"/>
  <c r="Z152" i="3"/>
  <c r="P43" i="1"/>
  <c r="B153" i="3"/>
  <c r="T153" i="3"/>
  <c r="J153" i="3"/>
  <c r="I153" i="3"/>
  <c r="R153" i="3"/>
  <c r="K153" i="3"/>
  <c r="U153" i="3"/>
  <c r="S153" i="3"/>
  <c r="O153" i="3"/>
  <c r="V153" i="3"/>
  <c r="X153" i="3"/>
  <c r="W153" i="3"/>
  <c r="Y153" i="3"/>
  <c r="Z153" i="3"/>
  <c r="P44" i="1"/>
  <c r="B154" i="3"/>
  <c r="T154" i="3"/>
  <c r="J154" i="3"/>
  <c r="I154" i="3"/>
  <c r="R154" i="3"/>
  <c r="K154" i="3"/>
  <c r="U154" i="3"/>
  <c r="S154" i="3"/>
  <c r="O154" i="3"/>
  <c r="V154" i="3"/>
  <c r="X154" i="3"/>
  <c r="W154" i="3"/>
  <c r="Y154" i="3"/>
  <c r="Z154" i="3"/>
  <c r="P45" i="1"/>
  <c r="P46" i="1"/>
  <c r="O47" i="1"/>
  <c r="P47" i="1"/>
  <c r="O48" i="1"/>
  <c r="P48" i="1"/>
  <c r="L46" i="1"/>
  <c r="L47" i="1"/>
  <c r="L48" i="1"/>
  <c r="M46" i="1"/>
  <c r="M47" i="1"/>
  <c r="M48" i="1"/>
  <c r="N46" i="1"/>
  <c r="N47" i="1"/>
  <c r="N48" i="1"/>
  <c r="Q115" i="3"/>
  <c r="S115" i="3"/>
  <c r="R115" i="3"/>
  <c r="T115" i="3"/>
  <c r="R126" i="3"/>
  <c r="T126" i="3"/>
  <c r="Q126" i="3"/>
  <c r="S126" i="3"/>
  <c r="R125" i="3"/>
  <c r="T125" i="3"/>
  <c r="Q125" i="3"/>
  <c r="S125" i="3"/>
  <c r="R124" i="3"/>
  <c r="T124" i="3"/>
  <c r="Q124" i="3"/>
  <c r="S124" i="3"/>
  <c r="R123" i="3"/>
  <c r="T123" i="3"/>
  <c r="Q123" i="3"/>
  <c r="S123" i="3"/>
  <c r="R122" i="3"/>
  <c r="T122" i="3"/>
  <c r="Q122" i="3"/>
  <c r="S122" i="3"/>
  <c r="R121" i="3"/>
  <c r="T121" i="3"/>
  <c r="Q121" i="3"/>
  <c r="S121" i="3"/>
  <c r="R120" i="3"/>
  <c r="T120" i="3"/>
  <c r="Q120" i="3"/>
  <c r="S120" i="3"/>
  <c r="R119" i="3"/>
  <c r="T119" i="3"/>
  <c r="Q119" i="3"/>
  <c r="S119" i="3"/>
  <c r="R118" i="3"/>
  <c r="T118" i="3"/>
  <c r="Q118" i="3"/>
  <c r="S118" i="3"/>
  <c r="R117" i="3"/>
  <c r="T117" i="3"/>
  <c r="Q117" i="3"/>
  <c r="S117" i="3"/>
  <c r="R116" i="3"/>
  <c r="T116" i="3"/>
  <c r="Q116" i="3"/>
  <c r="S116" i="3"/>
  <c r="B71" i="1" a="1"/>
  <c r="B71" i="1"/>
  <c r="D71" i="1"/>
  <c r="C71" i="1"/>
  <c r="B161" i="3"/>
  <c r="E161" i="3"/>
  <c r="H161" i="3"/>
  <c r="C161" i="3"/>
  <c r="F161" i="3"/>
  <c r="I161" i="3"/>
  <c r="L161" i="3"/>
  <c r="D161" i="3"/>
  <c r="G161" i="3"/>
  <c r="J161" i="3"/>
  <c r="M161" i="3"/>
  <c r="M71" i="1"/>
  <c r="B72" i="1"/>
  <c r="D72" i="1"/>
  <c r="C72" i="1"/>
  <c r="B162" i="3"/>
  <c r="E162" i="3"/>
  <c r="H162" i="3"/>
  <c r="C162" i="3"/>
  <c r="F162" i="3"/>
  <c r="I162" i="3"/>
  <c r="L162" i="3"/>
  <c r="D162" i="3"/>
  <c r="G162" i="3"/>
  <c r="J162" i="3"/>
  <c r="M162" i="3"/>
  <c r="M72" i="1"/>
  <c r="B73" i="1"/>
  <c r="D73" i="1"/>
  <c r="C73" i="1"/>
  <c r="B163" i="3"/>
  <c r="E163" i="3"/>
  <c r="H163" i="3"/>
  <c r="C163" i="3"/>
  <c r="F163" i="3"/>
  <c r="I163" i="3"/>
  <c r="L163" i="3"/>
  <c r="D163" i="3"/>
  <c r="G163" i="3"/>
  <c r="J163" i="3"/>
  <c r="M163" i="3"/>
  <c r="M73" i="1"/>
  <c r="B74" i="1"/>
  <c r="D74" i="1"/>
  <c r="C74" i="1"/>
  <c r="B164" i="3"/>
  <c r="E164" i="3"/>
  <c r="H164" i="3"/>
  <c r="C164" i="3"/>
  <c r="F164" i="3"/>
  <c r="I164" i="3"/>
  <c r="L164" i="3"/>
  <c r="D164" i="3"/>
  <c r="G164" i="3"/>
  <c r="J164" i="3"/>
  <c r="M164" i="3"/>
  <c r="M74" i="1"/>
  <c r="B75" i="1"/>
  <c r="D75" i="1"/>
  <c r="C75" i="1"/>
  <c r="B165" i="3"/>
  <c r="E165" i="3"/>
  <c r="H165" i="3"/>
  <c r="C165" i="3"/>
  <c r="F165" i="3"/>
  <c r="I165" i="3"/>
  <c r="L165" i="3"/>
  <c r="D165" i="3"/>
  <c r="G165" i="3"/>
  <c r="J165" i="3"/>
  <c r="M165" i="3"/>
  <c r="M75" i="1"/>
  <c r="B76" i="1"/>
  <c r="D76" i="1"/>
  <c r="C76" i="1"/>
  <c r="B166" i="3"/>
  <c r="E166" i="3"/>
  <c r="H166" i="3"/>
  <c r="C166" i="3"/>
  <c r="F166" i="3"/>
  <c r="I166" i="3"/>
  <c r="L166" i="3"/>
  <c r="D166" i="3"/>
  <c r="G166" i="3"/>
  <c r="J166" i="3"/>
  <c r="M166" i="3"/>
  <c r="M76" i="1"/>
  <c r="B77" i="1"/>
  <c r="D77" i="1"/>
  <c r="C77" i="1"/>
  <c r="B167" i="3"/>
  <c r="E167" i="3"/>
  <c r="H167" i="3"/>
  <c r="C167" i="3"/>
  <c r="F167" i="3"/>
  <c r="I167" i="3"/>
  <c r="L167" i="3"/>
  <c r="D167" i="3"/>
  <c r="G167" i="3"/>
  <c r="J167" i="3"/>
  <c r="M167" i="3"/>
  <c r="M77" i="1"/>
  <c r="B78" i="1"/>
  <c r="D78" i="1"/>
  <c r="C78" i="1"/>
  <c r="B168" i="3"/>
  <c r="E168" i="3"/>
  <c r="H168" i="3"/>
  <c r="C168" i="3"/>
  <c r="F168" i="3"/>
  <c r="I168" i="3"/>
  <c r="L168" i="3"/>
  <c r="D168" i="3"/>
  <c r="G168" i="3"/>
  <c r="J168" i="3"/>
  <c r="M168" i="3"/>
  <c r="M78" i="1"/>
  <c r="B79" i="1"/>
  <c r="D79" i="1"/>
  <c r="C79" i="1"/>
  <c r="B169" i="3"/>
  <c r="E169" i="3"/>
  <c r="H169" i="3"/>
  <c r="C169" i="3"/>
  <c r="F169" i="3"/>
  <c r="I169" i="3"/>
  <c r="L169" i="3"/>
  <c r="D169" i="3"/>
  <c r="G169" i="3"/>
  <c r="J169" i="3"/>
  <c r="M169" i="3"/>
  <c r="M79" i="1"/>
  <c r="B80" i="1"/>
  <c r="D80" i="1"/>
  <c r="C80" i="1"/>
  <c r="B170" i="3"/>
  <c r="E170" i="3"/>
  <c r="H170" i="3"/>
  <c r="C170" i="3"/>
  <c r="F170" i="3"/>
  <c r="I170" i="3"/>
  <c r="L170" i="3"/>
  <c r="D170" i="3"/>
  <c r="G170" i="3"/>
  <c r="J170" i="3"/>
  <c r="M170" i="3"/>
  <c r="M80" i="1"/>
  <c r="B81" i="1"/>
  <c r="D81" i="1"/>
  <c r="C81" i="1"/>
  <c r="B171" i="3"/>
  <c r="E171" i="3"/>
  <c r="H171" i="3"/>
  <c r="C171" i="3"/>
  <c r="F171" i="3"/>
  <c r="I171" i="3"/>
  <c r="L171" i="3"/>
  <c r="D171" i="3"/>
  <c r="G171" i="3"/>
  <c r="J171" i="3"/>
  <c r="M171" i="3"/>
  <c r="M81" i="1"/>
  <c r="B82" i="1"/>
  <c r="D82" i="1"/>
  <c r="C82" i="1"/>
  <c r="B172" i="3"/>
  <c r="E172" i="3"/>
  <c r="H172" i="3"/>
  <c r="C172" i="3"/>
  <c r="F172" i="3"/>
  <c r="I172" i="3"/>
  <c r="L172" i="3"/>
  <c r="D172" i="3"/>
  <c r="G172" i="3"/>
  <c r="J172" i="3"/>
  <c r="M172" i="3"/>
  <c r="M82" i="1"/>
  <c r="B83" i="1"/>
  <c r="D83" i="1"/>
  <c r="C83" i="1"/>
  <c r="B173" i="3"/>
  <c r="E173" i="3"/>
  <c r="H173" i="3"/>
  <c r="C173" i="3"/>
  <c r="F173" i="3"/>
  <c r="I173" i="3"/>
  <c r="L173" i="3"/>
  <c r="D173" i="3"/>
  <c r="G173" i="3"/>
  <c r="J173" i="3"/>
  <c r="M173" i="3"/>
  <c r="M83" i="1"/>
  <c r="B84" i="1"/>
  <c r="D84" i="1"/>
  <c r="C84" i="1"/>
  <c r="B174" i="3"/>
  <c r="E174" i="3"/>
  <c r="H174" i="3"/>
  <c r="C174" i="3"/>
  <c r="F174" i="3"/>
  <c r="I174" i="3"/>
  <c r="L174" i="3"/>
  <c r="D174" i="3"/>
  <c r="G174" i="3"/>
  <c r="J174" i="3"/>
  <c r="M174" i="3"/>
  <c r="M84" i="1"/>
  <c r="B85" i="1"/>
  <c r="D85" i="1"/>
  <c r="C85" i="1"/>
  <c r="B175" i="3"/>
  <c r="E175" i="3"/>
  <c r="H175" i="3"/>
  <c r="C175" i="3"/>
  <c r="F175" i="3"/>
  <c r="I175" i="3"/>
  <c r="L175" i="3"/>
  <c r="D175" i="3"/>
  <c r="G175" i="3"/>
  <c r="J175" i="3"/>
  <c r="M175" i="3"/>
  <c r="M85" i="1"/>
  <c r="B86" i="1"/>
  <c r="D86" i="1"/>
  <c r="C86" i="1"/>
  <c r="B176" i="3"/>
  <c r="E176" i="3"/>
  <c r="H176" i="3"/>
  <c r="C176" i="3"/>
  <c r="F176" i="3"/>
  <c r="I176" i="3"/>
  <c r="L176" i="3"/>
  <c r="D176" i="3"/>
  <c r="G176" i="3"/>
  <c r="J176" i="3"/>
  <c r="M176" i="3"/>
  <c r="M86" i="1"/>
  <c r="B87" i="1"/>
  <c r="D87" i="1"/>
  <c r="C87" i="1"/>
  <c r="B177" i="3"/>
  <c r="E177" i="3"/>
  <c r="H177" i="3"/>
  <c r="C177" i="3"/>
  <c r="F177" i="3"/>
  <c r="I177" i="3"/>
  <c r="L177" i="3"/>
  <c r="D177" i="3"/>
  <c r="G177" i="3"/>
  <c r="J177" i="3"/>
  <c r="M177" i="3"/>
  <c r="M87" i="1"/>
  <c r="B88" i="1"/>
  <c r="D88" i="1"/>
  <c r="C88" i="1"/>
  <c r="B178" i="3"/>
  <c r="E178" i="3"/>
  <c r="H178" i="3"/>
  <c r="C178" i="3"/>
  <c r="F178" i="3"/>
  <c r="I178" i="3"/>
  <c r="L178" i="3"/>
  <c r="D178" i="3"/>
  <c r="G178" i="3"/>
  <c r="J178" i="3"/>
  <c r="M178" i="3"/>
  <c r="M88" i="1"/>
  <c r="B89" i="1"/>
  <c r="D89" i="1"/>
  <c r="C89" i="1"/>
  <c r="B179" i="3"/>
  <c r="E179" i="3"/>
  <c r="H179" i="3"/>
  <c r="C179" i="3"/>
  <c r="F179" i="3"/>
  <c r="I179" i="3"/>
  <c r="L179" i="3"/>
  <c r="D179" i="3"/>
  <c r="G179" i="3"/>
  <c r="J179" i="3"/>
  <c r="M179" i="3"/>
  <c r="M89" i="1"/>
  <c r="B90" i="1"/>
  <c r="D90" i="1"/>
  <c r="C90" i="1"/>
  <c r="B180" i="3"/>
  <c r="E180" i="3"/>
  <c r="H180" i="3"/>
  <c r="C180" i="3"/>
  <c r="F180" i="3"/>
  <c r="I180" i="3"/>
  <c r="L180" i="3"/>
  <c r="D180" i="3"/>
  <c r="G180" i="3"/>
  <c r="J180" i="3"/>
  <c r="M180" i="3"/>
  <c r="M90" i="1"/>
  <c r="B91" i="1"/>
  <c r="D91" i="1"/>
  <c r="C91" i="1"/>
  <c r="B181" i="3"/>
  <c r="E181" i="3"/>
  <c r="H181" i="3"/>
  <c r="C181" i="3"/>
  <c r="F181" i="3"/>
  <c r="I181" i="3"/>
  <c r="L181" i="3"/>
  <c r="D181" i="3"/>
  <c r="G181" i="3"/>
  <c r="J181" i="3"/>
  <c r="M181" i="3"/>
  <c r="M91" i="1"/>
  <c r="B92" i="1"/>
  <c r="D92" i="1"/>
  <c r="C92" i="1"/>
  <c r="B182" i="3"/>
  <c r="E182" i="3"/>
  <c r="H182" i="3"/>
  <c r="C182" i="3"/>
  <c r="F182" i="3"/>
  <c r="I182" i="3"/>
  <c r="L182" i="3"/>
  <c r="D182" i="3"/>
  <c r="G182" i="3"/>
  <c r="J182" i="3"/>
  <c r="M182" i="3"/>
  <c r="M92" i="1"/>
  <c r="B93" i="1"/>
  <c r="D93" i="1"/>
  <c r="C93" i="1"/>
  <c r="B183" i="3"/>
  <c r="E183" i="3"/>
  <c r="H183" i="3"/>
  <c r="C183" i="3"/>
  <c r="F183" i="3"/>
  <c r="I183" i="3"/>
  <c r="L183" i="3"/>
  <c r="D183" i="3"/>
  <c r="G183" i="3"/>
  <c r="J183" i="3"/>
  <c r="M183" i="3"/>
  <c r="M93" i="1"/>
  <c r="M96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6" i="1"/>
  <c r="K161" i="3"/>
  <c r="L71" i="1"/>
  <c r="O71" i="1"/>
  <c r="K162" i="3"/>
  <c r="L72" i="1"/>
  <c r="O72" i="1"/>
  <c r="K163" i="3"/>
  <c r="L73" i="1"/>
  <c r="O73" i="1"/>
  <c r="K164" i="3"/>
  <c r="L74" i="1"/>
  <c r="O74" i="1"/>
  <c r="K165" i="3"/>
  <c r="L75" i="1"/>
  <c r="O75" i="1"/>
  <c r="K166" i="3"/>
  <c r="L76" i="1"/>
  <c r="O76" i="1"/>
  <c r="K167" i="3"/>
  <c r="L77" i="1"/>
  <c r="O77" i="1"/>
  <c r="K168" i="3"/>
  <c r="L78" i="1"/>
  <c r="O78" i="1"/>
  <c r="K169" i="3"/>
  <c r="L79" i="1"/>
  <c r="O79" i="1"/>
  <c r="K170" i="3"/>
  <c r="L80" i="1"/>
  <c r="O80" i="1"/>
  <c r="K171" i="3"/>
  <c r="L81" i="1"/>
  <c r="O81" i="1"/>
  <c r="K172" i="3"/>
  <c r="L82" i="1"/>
  <c r="O82" i="1"/>
  <c r="K173" i="3"/>
  <c r="L83" i="1"/>
  <c r="O83" i="1"/>
  <c r="K174" i="3"/>
  <c r="L84" i="1"/>
  <c r="O84" i="1"/>
  <c r="K175" i="3"/>
  <c r="L85" i="1"/>
  <c r="O85" i="1"/>
  <c r="K176" i="3"/>
  <c r="L86" i="1"/>
  <c r="O86" i="1"/>
  <c r="K177" i="3"/>
  <c r="L87" i="1"/>
  <c r="O87" i="1"/>
  <c r="K178" i="3"/>
  <c r="L88" i="1"/>
  <c r="O88" i="1"/>
  <c r="K179" i="3"/>
  <c r="L89" i="1"/>
  <c r="O89" i="1"/>
  <c r="K180" i="3"/>
  <c r="L90" i="1"/>
  <c r="O90" i="1"/>
  <c r="K181" i="3"/>
  <c r="L91" i="1"/>
  <c r="O91" i="1"/>
  <c r="K182" i="3"/>
  <c r="L92" i="1"/>
  <c r="O92" i="1"/>
  <c r="K183" i="3"/>
  <c r="L93" i="1"/>
  <c r="O93" i="1"/>
  <c r="O96" i="1"/>
  <c r="M95" i="1"/>
  <c r="N95" i="1"/>
  <c r="O95" i="1"/>
  <c r="M94" i="1"/>
  <c r="N94" i="1"/>
  <c r="O94" i="1"/>
  <c r="L96" i="1"/>
  <c r="L95" i="1"/>
  <c r="L94" i="1"/>
  <c r="O162" i="3"/>
  <c r="P162" i="3"/>
  <c r="O163" i="3"/>
  <c r="P163" i="3"/>
  <c r="O164" i="3"/>
  <c r="P164" i="3"/>
  <c r="O165" i="3"/>
  <c r="P165" i="3"/>
  <c r="O166" i="3"/>
  <c r="P166" i="3"/>
  <c r="O167" i="3"/>
  <c r="P167" i="3"/>
  <c r="O168" i="3"/>
  <c r="P168" i="3"/>
  <c r="O169" i="3"/>
  <c r="P169" i="3"/>
  <c r="O170" i="3"/>
  <c r="P170" i="3"/>
  <c r="O171" i="3"/>
  <c r="P171" i="3"/>
  <c r="O172" i="3"/>
  <c r="P172" i="3"/>
  <c r="O173" i="3"/>
  <c r="P173" i="3"/>
  <c r="O174" i="3"/>
  <c r="P174" i="3"/>
  <c r="O175" i="3"/>
  <c r="P175" i="3"/>
  <c r="O176" i="3"/>
  <c r="P176" i="3"/>
  <c r="O177" i="3"/>
  <c r="P177" i="3"/>
  <c r="O178" i="3"/>
  <c r="P178" i="3"/>
  <c r="O179" i="3"/>
  <c r="P179" i="3"/>
  <c r="O180" i="3"/>
  <c r="P180" i="3"/>
  <c r="O181" i="3"/>
  <c r="P181" i="3"/>
  <c r="O182" i="3"/>
  <c r="P182" i="3"/>
  <c r="O183" i="3"/>
  <c r="P183" i="3"/>
  <c r="C215" i="3"/>
  <c r="E215" i="3"/>
  <c r="F215" i="3"/>
  <c r="G215" i="3"/>
  <c r="I215" i="3"/>
  <c r="H215" i="3"/>
  <c r="J215" i="3"/>
  <c r="K215" i="3"/>
  <c r="X215" i="3"/>
  <c r="L215" i="3"/>
  <c r="M215" i="3"/>
  <c r="N215" i="3"/>
  <c r="W215" i="3"/>
  <c r="Y215" i="3"/>
  <c r="O215" i="3"/>
  <c r="V215" i="3"/>
  <c r="P215" i="3"/>
  <c r="S215" i="3"/>
  <c r="U215" i="3"/>
  <c r="R215" i="3"/>
  <c r="B215" i="3"/>
  <c r="T215" i="3"/>
  <c r="P161" i="3"/>
  <c r="O161" i="3"/>
  <c r="E72" i="1"/>
  <c r="E73" i="1"/>
  <c r="E74" i="1"/>
  <c r="E75" i="1"/>
  <c r="E76" i="1"/>
  <c r="E77" i="1"/>
  <c r="E78" i="1"/>
  <c r="E79" i="1"/>
  <c r="E80" i="1"/>
  <c r="E81" i="1"/>
  <c r="E82" i="1"/>
  <c r="E84" i="1"/>
  <c r="E85" i="1"/>
  <c r="E86" i="1"/>
  <c r="E87" i="1"/>
  <c r="E88" i="1"/>
  <c r="E89" i="1"/>
  <c r="E90" i="1"/>
  <c r="E91" i="1"/>
  <c r="E92" i="1"/>
  <c r="E93" i="1"/>
  <c r="E71" i="1"/>
  <c r="Q215" i="3"/>
  <c r="Z215" i="3"/>
  <c r="P71" i="1"/>
  <c r="Q216" i="3"/>
  <c r="B216" i="3"/>
  <c r="T216" i="3"/>
  <c r="C216" i="3"/>
  <c r="E216" i="3"/>
  <c r="F216" i="3"/>
  <c r="H216" i="3"/>
  <c r="J216" i="3"/>
  <c r="G216" i="3"/>
  <c r="I216" i="3"/>
  <c r="R216" i="3"/>
  <c r="K216" i="3"/>
  <c r="U216" i="3"/>
  <c r="M216" i="3"/>
  <c r="L216" i="3"/>
  <c r="P216" i="3"/>
  <c r="S216" i="3"/>
  <c r="N216" i="3"/>
  <c r="O216" i="3"/>
  <c r="V216" i="3"/>
  <c r="X216" i="3"/>
  <c r="W216" i="3"/>
  <c r="Y216" i="3"/>
  <c r="Z216" i="3"/>
  <c r="P72" i="1"/>
  <c r="Q217" i="3"/>
  <c r="B217" i="3"/>
  <c r="T217" i="3"/>
  <c r="C217" i="3"/>
  <c r="E217" i="3"/>
  <c r="F217" i="3"/>
  <c r="H217" i="3"/>
  <c r="J217" i="3"/>
  <c r="G217" i="3"/>
  <c r="I217" i="3"/>
  <c r="R217" i="3"/>
  <c r="K217" i="3"/>
  <c r="U217" i="3"/>
  <c r="M217" i="3"/>
  <c r="L217" i="3"/>
  <c r="P217" i="3"/>
  <c r="S217" i="3"/>
  <c r="N217" i="3"/>
  <c r="O217" i="3"/>
  <c r="V217" i="3"/>
  <c r="X217" i="3"/>
  <c r="W217" i="3"/>
  <c r="Y217" i="3"/>
  <c r="Z217" i="3"/>
  <c r="P73" i="1"/>
  <c r="Q218" i="3"/>
  <c r="B218" i="3"/>
  <c r="T218" i="3"/>
  <c r="C218" i="3"/>
  <c r="E218" i="3"/>
  <c r="F218" i="3"/>
  <c r="H218" i="3"/>
  <c r="J218" i="3"/>
  <c r="G218" i="3"/>
  <c r="I218" i="3"/>
  <c r="R218" i="3"/>
  <c r="K218" i="3"/>
  <c r="U218" i="3"/>
  <c r="M218" i="3"/>
  <c r="L218" i="3"/>
  <c r="P218" i="3"/>
  <c r="S218" i="3"/>
  <c r="N218" i="3"/>
  <c r="O218" i="3"/>
  <c r="V218" i="3"/>
  <c r="X218" i="3"/>
  <c r="W218" i="3"/>
  <c r="Y218" i="3"/>
  <c r="Z218" i="3"/>
  <c r="P74" i="1"/>
  <c r="Q219" i="3"/>
  <c r="B219" i="3"/>
  <c r="T219" i="3"/>
  <c r="C219" i="3"/>
  <c r="E219" i="3"/>
  <c r="F219" i="3"/>
  <c r="H219" i="3"/>
  <c r="J219" i="3"/>
  <c r="G219" i="3"/>
  <c r="I219" i="3"/>
  <c r="R219" i="3"/>
  <c r="K219" i="3"/>
  <c r="U219" i="3"/>
  <c r="M219" i="3"/>
  <c r="L219" i="3"/>
  <c r="P219" i="3"/>
  <c r="S219" i="3"/>
  <c r="N219" i="3"/>
  <c r="O219" i="3"/>
  <c r="V219" i="3"/>
  <c r="X219" i="3"/>
  <c r="W219" i="3"/>
  <c r="Y219" i="3"/>
  <c r="Z219" i="3"/>
  <c r="P75" i="1"/>
  <c r="Q220" i="3"/>
  <c r="B220" i="3"/>
  <c r="T220" i="3"/>
  <c r="C220" i="3"/>
  <c r="E220" i="3"/>
  <c r="F220" i="3"/>
  <c r="H220" i="3"/>
  <c r="J220" i="3"/>
  <c r="G220" i="3"/>
  <c r="I220" i="3"/>
  <c r="R220" i="3"/>
  <c r="K220" i="3"/>
  <c r="U220" i="3"/>
  <c r="M220" i="3"/>
  <c r="L220" i="3"/>
  <c r="P220" i="3"/>
  <c r="S220" i="3"/>
  <c r="N220" i="3"/>
  <c r="O220" i="3"/>
  <c r="V220" i="3"/>
  <c r="X220" i="3"/>
  <c r="W220" i="3"/>
  <c r="Y220" i="3"/>
  <c r="Z220" i="3"/>
  <c r="P76" i="1"/>
  <c r="Q221" i="3"/>
  <c r="B221" i="3"/>
  <c r="T221" i="3"/>
  <c r="C221" i="3"/>
  <c r="E221" i="3"/>
  <c r="F221" i="3"/>
  <c r="H221" i="3"/>
  <c r="J221" i="3"/>
  <c r="G221" i="3"/>
  <c r="I221" i="3"/>
  <c r="R221" i="3"/>
  <c r="K221" i="3"/>
  <c r="U221" i="3"/>
  <c r="M221" i="3"/>
  <c r="L221" i="3"/>
  <c r="P221" i="3"/>
  <c r="S221" i="3"/>
  <c r="N221" i="3"/>
  <c r="O221" i="3"/>
  <c r="V221" i="3"/>
  <c r="X221" i="3"/>
  <c r="W221" i="3"/>
  <c r="Y221" i="3"/>
  <c r="Z221" i="3"/>
  <c r="P77" i="1"/>
  <c r="Q222" i="3"/>
  <c r="B222" i="3"/>
  <c r="T222" i="3"/>
  <c r="C222" i="3"/>
  <c r="E222" i="3"/>
  <c r="F222" i="3"/>
  <c r="H222" i="3"/>
  <c r="J222" i="3"/>
  <c r="G222" i="3"/>
  <c r="I222" i="3"/>
  <c r="R222" i="3"/>
  <c r="K222" i="3"/>
  <c r="U222" i="3"/>
  <c r="M222" i="3"/>
  <c r="L222" i="3"/>
  <c r="P222" i="3"/>
  <c r="S222" i="3"/>
  <c r="N222" i="3"/>
  <c r="O222" i="3"/>
  <c r="V222" i="3"/>
  <c r="X222" i="3"/>
  <c r="W222" i="3"/>
  <c r="Y222" i="3"/>
  <c r="Z222" i="3"/>
  <c r="P78" i="1"/>
  <c r="Q223" i="3"/>
  <c r="B223" i="3"/>
  <c r="T223" i="3"/>
  <c r="C223" i="3"/>
  <c r="E223" i="3"/>
  <c r="F223" i="3"/>
  <c r="H223" i="3"/>
  <c r="J223" i="3"/>
  <c r="G223" i="3"/>
  <c r="I223" i="3"/>
  <c r="R223" i="3"/>
  <c r="K223" i="3"/>
  <c r="U223" i="3"/>
  <c r="M223" i="3"/>
  <c r="L223" i="3"/>
  <c r="P223" i="3"/>
  <c r="S223" i="3"/>
  <c r="N223" i="3"/>
  <c r="O223" i="3"/>
  <c r="V223" i="3"/>
  <c r="X223" i="3"/>
  <c r="W223" i="3"/>
  <c r="Y223" i="3"/>
  <c r="Z223" i="3"/>
  <c r="P79" i="1"/>
  <c r="Q224" i="3"/>
  <c r="B224" i="3"/>
  <c r="T224" i="3"/>
  <c r="C224" i="3"/>
  <c r="E224" i="3"/>
  <c r="F224" i="3"/>
  <c r="H224" i="3"/>
  <c r="J224" i="3"/>
  <c r="G224" i="3"/>
  <c r="I224" i="3"/>
  <c r="R224" i="3"/>
  <c r="K224" i="3"/>
  <c r="U224" i="3"/>
  <c r="M224" i="3"/>
  <c r="L224" i="3"/>
  <c r="P224" i="3"/>
  <c r="S224" i="3"/>
  <c r="N224" i="3"/>
  <c r="O224" i="3"/>
  <c r="V224" i="3"/>
  <c r="X224" i="3"/>
  <c r="W224" i="3"/>
  <c r="Y224" i="3"/>
  <c r="Z224" i="3"/>
  <c r="P80" i="1"/>
  <c r="Q225" i="3"/>
  <c r="B225" i="3"/>
  <c r="T225" i="3"/>
  <c r="C225" i="3"/>
  <c r="E225" i="3"/>
  <c r="F225" i="3"/>
  <c r="H225" i="3"/>
  <c r="J225" i="3"/>
  <c r="G225" i="3"/>
  <c r="I225" i="3"/>
  <c r="R225" i="3"/>
  <c r="K225" i="3"/>
  <c r="U225" i="3"/>
  <c r="M225" i="3"/>
  <c r="L225" i="3"/>
  <c r="P225" i="3"/>
  <c r="S225" i="3"/>
  <c r="N225" i="3"/>
  <c r="O225" i="3"/>
  <c r="V225" i="3"/>
  <c r="X225" i="3"/>
  <c r="W225" i="3"/>
  <c r="Y225" i="3"/>
  <c r="Z225" i="3"/>
  <c r="P81" i="1"/>
  <c r="Q226" i="3"/>
  <c r="B226" i="3"/>
  <c r="T226" i="3"/>
  <c r="C226" i="3"/>
  <c r="E226" i="3"/>
  <c r="F226" i="3"/>
  <c r="H226" i="3"/>
  <c r="J226" i="3"/>
  <c r="G226" i="3"/>
  <c r="I226" i="3"/>
  <c r="R226" i="3"/>
  <c r="K226" i="3"/>
  <c r="U226" i="3"/>
  <c r="M226" i="3"/>
  <c r="L226" i="3"/>
  <c r="P226" i="3"/>
  <c r="S226" i="3"/>
  <c r="N226" i="3"/>
  <c r="O226" i="3"/>
  <c r="V226" i="3"/>
  <c r="X226" i="3"/>
  <c r="W226" i="3"/>
  <c r="Y226" i="3"/>
  <c r="Z226" i="3"/>
  <c r="P82" i="1"/>
  <c r="Q227" i="3"/>
  <c r="B227" i="3"/>
  <c r="T227" i="3"/>
  <c r="C227" i="3"/>
  <c r="E227" i="3"/>
  <c r="F227" i="3"/>
  <c r="H227" i="3"/>
  <c r="J227" i="3"/>
  <c r="G227" i="3"/>
  <c r="I227" i="3"/>
  <c r="R227" i="3"/>
  <c r="K227" i="3"/>
  <c r="U227" i="3"/>
  <c r="M227" i="3"/>
  <c r="L227" i="3"/>
  <c r="P227" i="3"/>
  <c r="S227" i="3"/>
  <c r="N227" i="3"/>
  <c r="O227" i="3"/>
  <c r="V227" i="3"/>
  <c r="X227" i="3"/>
  <c r="W227" i="3"/>
  <c r="Y227" i="3"/>
  <c r="Z227" i="3"/>
  <c r="P83" i="1"/>
  <c r="Q228" i="3"/>
  <c r="B228" i="3"/>
  <c r="T228" i="3"/>
  <c r="C228" i="3"/>
  <c r="E228" i="3"/>
  <c r="F228" i="3"/>
  <c r="H228" i="3"/>
  <c r="J228" i="3"/>
  <c r="G228" i="3"/>
  <c r="I228" i="3"/>
  <c r="R228" i="3"/>
  <c r="K228" i="3"/>
  <c r="U228" i="3"/>
  <c r="M228" i="3"/>
  <c r="L228" i="3"/>
  <c r="P228" i="3"/>
  <c r="S228" i="3"/>
  <c r="N228" i="3"/>
  <c r="O228" i="3"/>
  <c r="V228" i="3"/>
  <c r="X228" i="3"/>
  <c r="W228" i="3"/>
  <c r="Y228" i="3"/>
  <c r="Z228" i="3"/>
  <c r="P84" i="1"/>
  <c r="Q229" i="3"/>
  <c r="B229" i="3"/>
  <c r="T229" i="3"/>
  <c r="C229" i="3"/>
  <c r="E229" i="3"/>
  <c r="F229" i="3"/>
  <c r="H229" i="3"/>
  <c r="J229" i="3"/>
  <c r="G229" i="3"/>
  <c r="I229" i="3"/>
  <c r="R229" i="3"/>
  <c r="K229" i="3"/>
  <c r="U229" i="3"/>
  <c r="M229" i="3"/>
  <c r="L229" i="3"/>
  <c r="P229" i="3"/>
  <c r="S229" i="3"/>
  <c r="N229" i="3"/>
  <c r="O229" i="3"/>
  <c r="V229" i="3"/>
  <c r="X229" i="3"/>
  <c r="W229" i="3"/>
  <c r="Y229" i="3"/>
  <c r="Z229" i="3"/>
  <c r="P85" i="1"/>
  <c r="Q230" i="3"/>
  <c r="B230" i="3"/>
  <c r="T230" i="3"/>
  <c r="C230" i="3"/>
  <c r="E230" i="3"/>
  <c r="F230" i="3"/>
  <c r="H230" i="3"/>
  <c r="J230" i="3"/>
  <c r="G230" i="3"/>
  <c r="I230" i="3"/>
  <c r="R230" i="3"/>
  <c r="K230" i="3"/>
  <c r="U230" i="3"/>
  <c r="M230" i="3"/>
  <c r="L230" i="3"/>
  <c r="P230" i="3"/>
  <c r="S230" i="3"/>
  <c r="N230" i="3"/>
  <c r="O230" i="3"/>
  <c r="V230" i="3"/>
  <c r="X230" i="3"/>
  <c r="W230" i="3"/>
  <c r="Y230" i="3"/>
  <c r="Z230" i="3"/>
  <c r="P86" i="1"/>
  <c r="Q231" i="3"/>
  <c r="B231" i="3"/>
  <c r="T231" i="3"/>
  <c r="C231" i="3"/>
  <c r="E231" i="3"/>
  <c r="F231" i="3"/>
  <c r="H231" i="3"/>
  <c r="J231" i="3"/>
  <c r="G231" i="3"/>
  <c r="I231" i="3"/>
  <c r="R231" i="3"/>
  <c r="K231" i="3"/>
  <c r="U231" i="3"/>
  <c r="M231" i="3"/>
  <c r="L231" i="3"/>
  <c r="P231" i="3"/>
  <c r="S231" i="3"/>
  <c r="N231" i="3"/>
  <c r="O231" i="3"/>
  <c r="V231" i="3"/>
  <c r="X231" i="3"/>
  <c r="W231" i="3"/>
  <c r="Y231" i="3"/>
  <c r="Z231" i="3"/>
  <c r="P87" i="1"/>
  <c r="Q232" i="3"/>
  <c r="B232" i="3"/>
  <c r="T232" i="3"/>
  <c r="C232" i="3"/>
  <c r="E232" i="3"/>
  <c r="F232" i="3"/>
  <c r="H232" i="3"/>
  <c r="J232" i="3"/>
  <c r="G232" i="3"/>
  <c r="I232" i="3"/>
  <c r="R232" i="3"/>
  <c r="K232" i="3"/>
  <c r="U232" i="3"/>
  <c r="M232" i="3"/>
  <c r="L232" i="3"/>
  <c r="P232" i="3"/>
  <c r="S232" i="3"/>
  <c r="N232" i="3"/>
  <c r="O232" i="3"/>
  <c r="V232" i="3"/>
  <c r="X232" i="3"/>
  <c r="W232" i="3"/>
  <c r="Y232" i="3"/>
  <c r="Z232" i="3"/>
  <c r="P88" i="1"/>
  <c r="Q233" i="3"/>
  <c r="B233" i="3"/>
  <c r="T233" i="3"/>
  <c r="C233" i="3"/>
  <c r="E233" i="3"/>
  <c r="F233" i="3"/>
  <c r="H233" i="3"/>
  <c r="J233" i="3"/>
  <c r="G233" i="3"/>
  <c r="I233" i="3"/>
  <c r="R233" i="3"/>
  <c r="K233" i="3"/>
  <c r="U233" i="3"/>
  <c r="M233" i="3"/>
  <c r="L233" i="3"/>
  <c r="P233" i="3"/>
  <c r="S233" i="3"/>
  <c r="N233" i="3"/>
  <c r="O233" i="3"/>
  <c r="V233" i="3"/>
  <c r="X233" i="3"/>
  <c r="W233" i="3"/>
  <c r="Y233" i="3"/>
  <c r="Z233" i="3"/>
  <c r="P89" i="1"/>
  <c r="Q234" i="3"/>
  <c r="B234" i="3"/>
  <c r="T234" i="3"/>
  <c r="C234" i="3"/>
  <c r="E234" i="3"/>
  <c r="F234" i="3"/>
  <c r="H234" i="3"/>
  <c r="J234" i="3"/>
  <c r="G234" i="3"/>
  <c r="I234" i="3"/>
  <c r="R234" i="3"/>
  <c r="K234" i="3"/>
  <c r="U234" i="3"/>
  <c r="M234" i="3"/>
  <c r="L234" i="3"/>
  <c r="P234" i="3"/>
  <c r="S234" i="3"/>
  <c r="N234" i="3"/>
  <c r="O234" i="3"/>
  <c r="V234" i="3"/>
  <c r="X234" i="3"/>
  <c r="W234" i="3"/>
  <c r="Y234" i="3"/>
  <c r="Z234" i="3"/>
  <c r="P90" i="1"/>
  <c r="Q235" i="3"/>
  <c r="B235" i="3"/>
  <c r="T235" i="3"/>
  <c r="C235" i="3"/>
  <c r="E235" i="3"/>
  <c r="F235" i="3"/>
  <c r="H235" i="3"/>
  <c r="J235" i="3"/>
  <c r="G235" i="3"/>
  <c r="I235" i="3"/>
  <c r="R235" i="3"/>
  <c r="K235" i="3"/>
  <c r="U235" i="3"/>
  <c r="M235" i="3"/>
  <c r="L235" i="3"/>
  <c r="P235" i="3"/>
  <c r="S235" i="3"/>
  <c r="N235" i="3"/>
  <c r="O235" i="3"/>
  <c r="V235" i="3"/>
  <c r="X235" i="3"/>
  <c r="W235" i="3"/>
  <c r="Y235" i="3"/>
  <c r="Z235" i="3"/>
  <c r="P91" i="1"/>
  <c r="Q236" i="3"/>
  <c r="B236" i="3"/>
  <c r="T236" i="3"/>
  <c r="C236" i="3"/>
  <c r="E236" i="3"/>
  <c r="F236" i="3"/>
  <c r="H236" i="3"/>
  <c r="J236" i="3"/>
  <c r="G236" i="3"/>
  <c r="I236" i="3"/>
  <c r="R236" i="3"/>
  <c r="K236" i="3"/>
  <c r="U236" i="3"/>
  <c r="M236" i="3"/>
  <c r="L236" i="3"/>
  <c r="P236" i="3"/>
  <c r="S236" i="3"/>
  <c r="N236" i="3"/>
  <c r="O236" i="3"/>
  <c r="V236" i="3"/>
  <c r="X236" i="3"/>
  <c r="W236" i="3"/>
  <c r="Y236" i="3"/>
  <c r="Z236" i="3"/>
  <c r="P92" i="1"/>
  <c r="Q237" i="3"/>
  <c r="B237" i="3"/>
  <c r="T237" i="3"/>
  <c r="C237" i="3"/>
  <c r="E237" i="3"/>
  <c r="F237" i="3"/>
  <c r="H237" i="3"/>
  <c r="J237" i="3"/>
  <c r="G237" i="3"/>
  <c r="I237" i="3"/>
  <c r="R237" i="3"/>
  <c r="K237" i="3"/>
  <c r="U237" i="3"/>
  <c r="M237" i="3"/>
  <c r="L237" i="3"/>
  <c r="P237" i="3"/>
  <c r="S237" i="3"/>
  <c r="N237" i="3"/>
  <c r="O237" i="3"/>
  <c r="V237" i="3"/>
  <c r="X237" i="3"/>
  <c r="W237" i="3"/>
  <c r="Y237" i="3"/>
  <c r="Z237" i="3"/>
  <c r="P93" i="1"/>
  <c r="P94" i="1"/>
  <c r="P95" i="1"/>
  <c r="P96" i="1"/>
  <c r="G14" i="1" a="1"/>
  <c r="G14" i="1"/>
  <c r="I14" i="1"/>
  <c r="J14" i="1"/>
  <c r="H14" i="1"/>
  <c r="I20" i="1"/>
  <c r="J20" i="1"/>
  <c r="H20" i="1"/>
  <c r="G20" i="1"/>
  <c r="I19" i="1"/>
  <c r="J19" i="1"/>
  <c r="H19" i="1"/>
  <c r="G19" i="1"/>
  <c r="I18" i="1"/>
  <c r="J18" i="1"/>
  <c r="H18" i="1"/>
  <c r="G18" i="1"/>
  <c r="I17" i="1"/>
  <c r="J17" i="1"/>
  <c r="H17" i="1"/>
  <c r="G17" i="1"/>
  <c r="I16" i="1"/>
  <c r="J16" i="1"/>
  <c r="H16" i="1"/>
  <c r="G16" i="1"/>
  <c r="I15" i="1"/>
  <c r="J15" i="1"/>
  <c r="H15" i="1"/>
  <c r="G15" i="1"/>
</calcChain>
</file>

<file path=xl/sharedStrings.xml><?xml version="1.0" encoding="utf-8"?>
<sst xmlns="http://schemas.openxmlformats.org/spreadsheetml/2006/main" count="565" uniqueCount="180">
  <si>
    <t>R</t>
  </si>
  <si>
    <t>G</t>
  </si>
  <si>
    <t>B</t>
  </si>
  <si>
    <t>Y</t>
  </si>
  <si>
    <t>C</t>
  </si>
  <si>
    <t>M</t>
  </si>
  <si>
    <t>W</t>
  </si>
  <si>
    <t>x</t>
  </si>
  <si>
    <t>y</t>
  </si>
  <si>
    <t>GCD xyY Target locations</t>
  </si>
  <si>
    <t>Y [%]</t>
  </si>
  <si>
    <t>100L,100S</t>
  </si>
  <si>
    <t>100L,75S</t>
  </si>
  <si>
    <t>100L,50S</t>
  </si>
  <si>
    <t>75L,100S</t>
  </si>
  <si>
    <t>75L,75S</t>
  </si>
  <si>
    <t>75L,50S</t>
  </si>
  <si>
    <t>50L,100S</t>
  </si>
  <si>
    <t>50L,75S</t>
  </si>
  <si>
    <t>50L,50S</t>
  </si>
  <si>
    <t>display gamma</t>
  </si>
  <si>
    <t>dark skin</t>
  </si>
  <si>
    <t>light skin</t>
  </si>
  <si>
    <t>blue sky</t>
  </si>
  <si>
    <t>foliage</t>
  </si>
  <si>
    <t>blue flower</t>
  </si>
  <si>
    <t>bluish green</t>
  </si>
  <si>
    <t>orange</t>
  </si>
  <si>
    <t>purplish blue</t>
  </si>
  <si>
    <t>moderate red</t>
  </si>
  <si>
    <t>purple</t>
  </si>
  <si>
    <t>yellow green</t>
  </si>
  <si>
    <t>orange yellow</t>
  </si>
  <si>
    <t>R'</t>
  </si>
  <si>
    <t>G'</t>
  </si>
  <si>
    <t>B'</t>
  </si>
  <si>
    <t>(16-235)</t>
  </si>
  <si>
    <t>Primaries/Secondaries</t>
  </si>
  <si>
    <t>Vectors</t>
  </si>
  <si>
    <t>Companded</t>
  </si>
  <si>
    <t>gamma</t>
  </si>
  <si>
    <t>BT.1886 Caculator</t>
  </si>
  <si>
    <t>a</t>
  </si>
  <si>
    <t>b</t>
  </si>
  <si>
    <t>vc</t>
  </si>
  <si>
    <t>a1</t>
  </si>
  <si>
    <t>a2</t>
  </si>
  <si>
    <t>k</t>
  </si>
  <si>
    <t>White</t>
  </si>
  <si>
    <t>L(1.83%)</t>
  </si>
  <si>
    <t>Black</t>
  </si>
  <si>
    <t>Alt_b</t>
  </si>
  <si>
    <t>L Primary</t>
  </si>
  <si>
    <t>L Alternate</t>
  </si>
  <si>
    <t>gamma [primary]</t>
  </si>
  <si>
    <t>gamma [alternate]</t>
  </si>
  <si>
    <t>Note: If black levels are &lt; 0.01 cd/m^2 BT.1886 recommends setting Black=0.0 cd/m^2</t>
  </si>
  <si>
    <t>Peak white of alternate is fixed at 100 cd/m^2 reference</t>
  </si>
  <si>
    <t>http://www.itu.int/dms_pubrec/itu-r/rec/bt/R-REC-BT.1886-0-201103-I!!PDF-E.pdf</t>
  </si>
  <si>
    <t>Normalized</t>
  </si>
  <si>
    <t>gammafied</t>
  </si>
  <si>
    <t>XYZ</t>
  </si>
  <si>
    <t>xyY</t>
  </si>
  <si>
    <t>100/100</t>
  </si>
  <si>
    <t>100/75</t>
  </si>
  <si>
    <t>100/50</t>
  </si>
  <si>
    <t>75/100</t>
  </si>
  <si>
    <t>75/75</t>
  </si>
  <si>
    <t>75/50</t>
  </si>
  <si>
    <t>50/100</t>
  </si>
  <si>
    <t>50/75</t>
  </si>
  <si>
    <t>50/50</t>
  </si>
  <si>
    <t>BT.709 color matrix</t>
  </si>
  <si>
    <t>Measured luminance</t>
  </si>
  <si>
    <t>Measured gamma</t>
  </si>
  <si>
    <t>average</t>
  </si>
  <si>
    <t>interpolated gamma</t>
  </si>
  <si>
    <t>zoyd@avsforum</t>
  </si>
  <si>
    <t>Flat gamma</t>
  </si>
  <si>
    <t>Measured gamma LUT</t>
  </si>
  <si>
    <t>normalized luminance</t>
  </si>
  <si>
    <t>&lt;-Enter 100%  white Y</t>
  </si>
  <si>
    <t>Measured</t>
  </si>
  <si>
    <t>L</t>
  </si>
  <si>
    <t>X</t>
  </si>
  <si>
    <t>Z</t>
  </si>
  <si>
    <t>xr</t>
  </si>
  <si>
    <t>yr</t>
  </si>
  <si>
    <t>zr</t>
  </si>
  <si>
    <t>fx</t>
  </si>
  <si>
    <t>fy</t>
  </si>
  <si>
    <t>fz</t>
  </si>
  <si>
    <t>SL</t>
  </si>
  <si>
    <t>Sc</t>
  </si>
  <si>
    <t>sl</t>
  </si>
  <si>
    <t>sc</t>
  </si>
  <si>
    <t>sh</t>
  </si>
  <si>
    <t>D65</t>
  </si>
  <si>
    <t>e</t>
  </si>
  <si>
    <t>gamma low</t>
  </si>
  <si>
    <t>gamma high</t>
  </si>
  <si>
    <t>gap ratio</t>
  </si>
  <si>
    <t>bracket low</t>
  </si>
  <si>
    <t>bracket high</t>
  </si>
  <si>
    <t>interpolated stimulus</t>
  </si>
  <si>
    <t>Enter 10 or 20 step grey scale Y's here</t>
  </si>
  <si>
    <t>ΔL</t>
  </si>
  <si>
    <t>ΔC</t>
  </si>
  <si>
    <t>ΔH</t>
  </si>
  <si>
    <t>ΔE94</t>
  </si>
  <si>
    <r>
      <t>100% Y [cd/m</t>
    </r>
    <r>
      <rPr>
        <b/>
        <vertAlign val="superscript"/>
        <sz val="12"/>
        <color theme="1"/>
        <rFont val="Calibri"/>
        <scheme val="minor"/>
      </rPr>
      <t>2</t>
    </r>
    <r>
      <rPr>
        <b/>
        <sz val="12"/>
        <color theme="1"/>
        <rFont val="Calibri"/>
        <family val="2"/>
        <scheme val="minor"/>
      </rPr>
      <t>]</t>
    </r>
  </si>
  <si>
    <r>
      <t>Y [cd/m</t>
    </r>
    <r>
      <rPr>
        <b/>
        <vertAlign val="superscript"/>
        <sz val="12"/>
        <color theme="1"/>
        <rFont val="Calibri"/>
        <scheme val="minor"/>
      </rPr>
      <t>2</t>
    </r>
    <r>
      <rPr>
        <b/>
        <sz val="12"/>
        <color theme="1"/>
        <rFont val="Calibri"/>
        <family val="2"/>
        <scheme val="minor"/>
      </rPr>
      <t>]</t>
    </r>
  </si>
  <si>
    <r>
      <t>Y [cd/m</t>
    </r>
    <r>
      <rPr>
        <vertAlign val="superscript"/>
        <sz val="12"/>
        <color theme="1"/>
        <rFont val="Calibri"/>
        <scheme val="minor"/>
      </rPr>
      <t>2</t>
    </r>
    <r>
      <rPr>
        <sz val="12"/>
        <color theme="1"/>
        <rFont val="Calibri"/>
        <family val="2"/>
        <scheme val="minor"/>
      </rPr>
      <t>]</t>
    </r>
  </si>
  <si>
    <r>
      <t>Y [cd/m</t>
    </r>
    <r>
      <rPr>
        <b/>
        <vertAlign val="superscript"/>
        <sz val="12"/>
        <color rgb="FF000000"/>
        <rFont val="Calibri"/>
        <scheme val="minor"/>
      </rPr>
      <t>2</t>
    </r>
    <r>
      <rPr>
        <b/>
        <sz val="12"/>
        <color rgb="FF000000"/>
        <rFont val="Calibri"/>
        <family val="2"/>
        <scheme val="minor"/>
      </rPr>
      <t>]</t>
    </r>
  </si>
  <si>
    <t>dE94</t>
  </si>
  <si>
    <t>dE2000</t>
  </si>
  <si>
    <t>reference</t>
  </si>
  <si>
    <t>measured</t>
  </si>
  <si>
    <t>C1</t>
  </si>
  <si>
    <t>C2</t>
  </si>
  <si>
    <t>cbar</t>
  </si>
  <si>
    <t>a1'</t>
  </si>
  <si>
    <t>a2'</t>
  </si>
  <si>
    <t>c1'</t>
  </si>
  <si>
    <t>c2'</t>
  </si>
  <si>
    <t>cbar'</t>
  </si>
  <si>
    <t>h1'</t>
  </si>
  <si>
    <t>h2'</t>
  </si>
  <si>
    <t>hbar'</t>
  </si>
  <si>
    <t>T</t>
  </si>
  <si>
    <t>delh'</t>
  </si>
  <si>
    <t>delL'</t>
  </si>
  <si>
    <t>delC'</t>
  </si>
  <si>
    <t>delH'</t>
  </si>
  <si>
    <t>Sh</t>
  </si>
  <si>
    <t>deltheta</t>
  </si>
  <si>
    <t>Rc</t>
  </si>
  <si>
    <t>Rt</t>
  </si>
  <si>
    <t>Lbar'</t>
  </si>
  <si>
    <t>dE</t>
  </si>
  <si>
    <t>ΔE2000</t>
  </si>
  <si>
    <t xml:space="preserve">Enter xyY values - uses peak white </t>
  </si>
  <si>
    <t>from above for normalization and assumes D65</t>
  </si>
  <si>
    <t>Average</t>
  </si>
  <si>
    <t>Min</t>
  </si>
  <si>
    <t>Max</t>
  </si>
  <si>
    <t>&lt;-Adjust this to get luminance of measured</t>
  </si>
  <si>
    <t xml:space="preserve"> 1.83% pattern for alternate CRT emulation</t>
  </si>
  <si>
    <t>adjust 10 pt controls to hit L primary targets</t>
  </si>
  <si>
    <t>Enter Peak white and mll values and then</t>
  </si>
  <si>
    <t>BT.601 color matrix</t>
  </si>
  <si>
    <t>BT.709</t>
  </si>
  <si>
    <t>BT.601</t>
  </si>
  <si>
    <t>10-100%</t>
  </si>
  <si>
    <t>u'</t>
  </si>
  <si>
    <t>v'</t>
  </si>
  <si>
    <t>delu'</t>
  </si>
  <si>
    <t>delv'</t>
  </si>
  <si>
    <t>Target Coordinates for EBU color grading</t>
  </si>
  <si>
    <t>12pt Color checker patterns</t>
  </si>
  <si>
    <t>Gray 35</t>
  </si>
  <si>
    <t>Gray 50</t>
  </si>
  <si>
    <t>Gray 65</t>
  </si>
  <si>
    <t>Gray 80</t>
  </si>
  <si>
    <t>Blue</t>
  </si>
  <si>
    <t>Green</t>
  </si>
  <si>
    <t>Red</t>
  </si>
  <si>
    <t>Yellow</t>
  </si>
  <si>
    <t>Magenta</t>
  </si>
  <si>
    <t>Cyan</t>
  </si>
  <si>
    <t>12 pt Color Checker Palette</t>
  </si>
  <si>
    <t>12 pt. Color checker</t>
  </si>
  <si>
    <t>24pt. Color checker</t>
  </si>
  <si>
    <t>Y [cd/m2]</t>
  </si>
  <si>
    <t>24 pt (no black) Color Checker Palette</t>
  </si>
  <si>
    <t>Targets</t>
  </si>
  <si>
    <t>L Power</t>
  </si>
  <si>
    <t>gamma [power]</t>
  </si>
  <si>
    <t>Stimulus[%*]</t>
  </si>
  <si>
    <t>*Stimulus levels 5%-100% use exact GCD encodings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</si>
</sst>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0.0%"/>
    <numFmt numFmtId="167" formatCode="0.0000"/>
    <numFmt numFmtId="168" formatCode="0.000E+00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b/>
      <sz val="12"/>
      <color rgb="FFFFFF00"/>
      <name val="Calibri"/>
      <scheme val="minor"/>
    </font>
    <font>
      <b/>
      <sz val="14"/>
      <color rgb="FF000000"/>
      <name val="Calibri"/>
      <scheme val="minor"/>
    </font>
    <font>
      <sz val="12"/>
      <color rgb="FFFFFF00"/>
      <name val="Calibri"/>
      <scheme val="minor"/>
    </font>
    <font>
      <sz val="14"/>
      <color theme="1"/>
      <name val="Calibri"/>
      <family val="2"/>
      <scheme val="minor"/>
    </font>
    <font>
      <b/>
      <sz val="12"/>
      <color indexed="9"/>
      <name val="Times New Roman"/>
    </font>
    <font>
      <b/>
      <sz val="12"/>
      <name val="Times New Roman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FFFF00"/>
      <name val="Calibri"/>
      <scheme val="minor"/>
    </font>
    <font>
      <sz val="12"/>
      <name val="Calibri"/>
      <scheme val="minor"/>
    </font>
    <font>
      <b/>
      <sz val="12"/>
      <color rgb="FFFFFF00"/>
      <name val="Cambria"/>
      <scheme val="major"/>
    </font>
    <font>
      <b/>
      <vertAlign val="superscript"/>
      <sz val="12"/>
      <color theme="1"/>
      <name val="Calibri"/>
      <scheme val="minor"/>
    </font>
    <font>
      <vertAlign val="superscript"/>
      <sz val="12"/>
      <color theme="1"/>
      <name val="Calibri"/>
      <scheme val="minor"/>
    </font>
    <font>
      <b/>
      <vertAlign val="superscript"/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0"/>
      <color indexed="10"/>
      <name val="Arial"/>
      <family val="2"/>
    </font>
    <font>
      <sz val="10"/>
      <color indexed="8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85A3"/>
        <bgColor indexed="64"/>
      </patternFill>
    </fill>
    <fill>
      <patternFill patternType="solid">
        <fgColor rgb="FFBA5492"/>
        <bgColor indexed="64"/>
      </patternFill>
    </fill>
    <fill>
      <patternFill patternType="solid">
        <fgColor rgb="FFEEC721"/>
        <bgColor indexed="64"/>
      </patternFill>
    </fill>
    <fill>
      <patternFill patternType="solid">
        <fgColor rgb="FFB0313A"/>
        <bgColor indexed="64"/>
      </patternFill>
    </fill>
    <fill>
      <patternFill patternType="solid">
        <fgColor rgb="FF479447"/>
        <bgColor indexed="64"/>
      </patternFill>
    </fill>
    <fill>
      <patternFill patternType="solid">
        <fgColor rgb="FF333E96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9E9E9E"/>
        <bgColor indexed="64"/>
      </patternFill>
    </fill>
    <fill>
      <patternFill patternType="solid">
        <fgColor rgb="FFBABABA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2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0" applyFont="1" applyFill="1" applyBorder="1"/>
    <xf numFmtId="0" fontId="1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1" xfId="0" applyNumberFormat="1" applyFont="1" applyBorder="1"/>
    <xf numFmtId="164" fontId="1" fillId="0" borderId="6" xfId="0" applyNumberFormat="1" applyFont="1" applyBorder="1"/>
    <xf numFmtId="165" fontId="1" fillId="0" borderId="4" xfId="0" applyNumberFormat="1" applyFont="1" applyBorder="1"/>
    <xf numFmtId="165" fontId="1" fillId="0" borderId="7" xfId="0" applyNumberFormat="1" applyFont="1" applyBorder="1"/>
    <xf numFmtId="166" fontId="1" fillId="0" borderId="1" xfId="0" applyNumberFormat="1" applyFont="1" applyBorder="1"/>
    <xf numFmtId="166" fontId="1" fillId="0" borderId="6" xfId="0" applyNumberFormat="1" applyFont="1" applyBorder="1"/>
    <xf numFmtId="166" fontId="1" fillId="0" borderId="0" xfId="0" applyNumberFormat="1" applyFont="1" applyFill="1" applyBorder="1" applyAlignment="1">
      <alignment wrapText="1"/>
    </xf>
    <xf numFmtId="166" fontId="0" fillId="0" borderId="0" xfId="0" applyNumberFormat="1"/>
    <xf numFmtId="166" fontId="1" fillId="0" borderId="2" xfId="0" applyNumberFormat="1" applyFont="1" applyBorder="1"/>
    <xf numFmtId="3" fontId="7" fillId="15" borderId="11" xfId="0" applyNumberFormat="1" applyFont="1" applyFill="1" applyBorder="1" applyAlignment="1">
      <alignment horizontal="center"/>
    </xf>
    <xf numFmtId="0" fontId="0" fillId="17" borderId="0" xfId="0" applyFill="1"/>
    <xf numFmtId="166" fontId="0" fillId="17" borderId="0" xfId="0" applyNumberFormat="1" applyFill="1"/>
    <xf numFmtId="3" fontId="7" fillId="15" borderId="2" xfId="0" applyNumberFormat="1" applyFont="1" applyFill="1" applyBorder="1" applyAlignment="1">
      <alignment horizontal="center"/>
    </xf>
    <xf numFmtId="0" fontId="4" fillId="0" borderId="2" xfId="0" applyFont="1" applyBorder="1"/>
    <xf numFmtId="165" fontId="1" fillId="0" borderId="1" xfId="0" applyNumberFormat="1" applyFont="1" applyBorder="1"/>
    <xf numFmtId="165" fontId="1" fillId="0" borderId="6" xfId="0" applyNumberFormat="1" applyFont="1" applyBorder="1"/>
    <xf numFmtId="0" fontId="1" fillId="0" borderId="6" xfId="0" applyFont="1" applyBorder="1" applyAlignment="1">
      <alignment horizontal="center"/>
    </xf>
    <xf numFmtId="165" fontId="1" fillId="0" borderId="12" xfId="0" applyNumberFormat="1" applyFont="1" applyBorder="1"/>
    <xf numFmtId="165" fontId="1" fillId="0" borderId="13" xfId="0" applyNumberFormat="1" applyFont="1" applyBorder="1"/>
    <xf numFmtId="3" fontId="7" fillId="15" borderId="8" xfId="0" applyNumberFormat="1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/>
    <xf numFmtId="0" fontId="8" fillId="0" borderId="0" xfId="0" applyFont="1" applyFill="1" applyBorder="1"/>
    <xf numFmtId="2" fontId="0" fillId="0" borderId="0" xfId="0" applyNumberFormat="1"/>
    <xf numFmtId="1" fontId="0" fillId="0" borderId="0" xfId="0" applyNumberFormat="1"/>
    <xf numFmtId="167" fontId="0" fillId="0" borderId="0" xfId="0" applyNumberFormat="1"/>
    <xf numFmtId="0" fontId="0" fillId="16" borderId="1" xfId="0" applyFill="1" applyBorder="1"/>
    <xf numFmtId="164" fontId="0" fillId="16" borderId="1" xfId="0" applyNumberFormat="1" applyFill="1" applyBorder="1"/>
    <xf numFmtId="164" fontId="0" fillId="16" borderId="0" xfId="0" applyNumberFormat="1" applyFill="1"/>
    <xf numFmtId="0" fontId="0" fillId="0" borderId="0" xfId="0" applyBorder="1"/>
    <xf numFmtId="0" fontId="10" fillId="0" borderId="1" xfId="0" applyFont="1" applyBorder="1"/>
    <xf numFmtId="0" fontId="0" fillId="0" borderId="0" xfId="0" applyAlignment="1">
      <alignment wrapText="1"/>
    </xf>
    <xf numFmtId="0" fontId="0" fillId="14" borderId="0" xfId="0" applyFill="1"/>
    <xf numFmtId="0" fontId="0" fillId="33" borderId="0" xfId="0" applyFill="1"/>
    <xf numFmtId="0" fontId="0" fillId="0" borderId="0" xfId="0" applyProtection="1">
      <protection hidden="1"/>
    </xf>
    <xf numFmtId="0" fontId="14" fillId="0" borderId="0" xfId="0" quotePrefix="1" applyFont="1" applyProtection="1">
      <protection hidden="1"/>
    </xf>
    <xf numFmtId="0" fontId="0" fillId="30" borderId="0" xfId="0" applyFill="1" applyProtection="1">
      <protection locked="0"/>
    </xf>
    <xf numFmtId="0" fontId="0" fillId="33" borderId="0" xfId="0" applyFill="1" applyProtection="1"/>
    <xf numFmtId="0" fontId="4" fillId="33" borderId="0" xfId="0" applyFont="1" applyFill="1" applyProtection="1"/>
    <xf numFmtId="0" fontId="5" fillId="33" borderId="0" xfId="0" applyFont="1" applyFill="1" applyProtection="1"/>
    <xf numFmtId="166" fontId="0" fillId="0" borderId="0" xfId="0" applyNumberFormat="1" applyProtection="1">
      <protection hidden="1"/>
    </xf>
    <xf numFmtId="166" fontId="16" fillId="0" borderId="0" xfId="0" applyNumberFormat="1" applyFont="1" applyProtection="1">
      <protection hidden="1"/>
    </xf>
    <xf numFmtId="1" fontId="13" fillId="0" borderId="0" xfId="0" applyNumberFormat="1" applyFont="1" applyProtection="1">
      <protection locked="0" hidden="1"/>
    </xf>
    <xf numFmtId="10" fontId="0" fillId="0" borderId="0" xfId="0" applyNumberFormat="1"/>
    <xf numFmtId="0" fontId="10" fillId="0" borderId="1" xfId="0" applyFont="1" applyFill="1" applyBorder="1"/>
    <xf numFmtId="0" fontId="11" fillId="18" borderId="18" xfId="0" applyFont="1" applyFill="1" applyBorder="1" applyAlignment="1">
      <alignment vertical="center"/>
    </xf>
    <xf numFmtId="0" fontId="12" fillId="19" borderId="19" xfId="0" applyFont="1" applyFill="1" applyBorder="1" applyAlignment="1">
      <alignment vertical="center"/>
    </xf>
    <xf numFmtId="0" fontId="12" fillId="20" borderId="19" xfId="0" applyFont="1" applyFill="1" applyBorder="1" applyAlignment="1">
      <alignment vertical="center"/>
    </xf>
    <xf numFmtId="0" fontId="11" fillId="21" borderId="19" xfId="0" applyFont="1" applyFill="1" applyBorder="1" applyAlignment="1">
      <alignment vertical="center"/>
    </xf>
    <xf numFmtId="0" fontId="12" fillId="22" borderId="19" xfId="0" applyFont="1" applyFill="1" applyBorder="1" applyAlignment="1">
      <alignment vertical="center"/>
    </xf>
    <xf numFmtId="0" fontId="12" fillId="23" borderId="19" xfId="0" applyFont="1" applyFill="1" applyBorder="1" applyAlignment="1">
      <alignment vertical="center"/>
    </xf>
    <xf numFmtId="0" fontId="12" fillId="24" borderId="19" xfId="0" applyFont="1" applyFill="1" applyBorder="1" applyAlignment="1">
      <alignment vertical="center"/>
    </xf>
    <xf numFmtId="0" fontId="11" fillId="25" borderId="19" xfId="0" applyFont="1" applyFill="1" applyBorder="1" applyAlignment="1">
      <alignment vertical="center"/>
    </xf>
    <xf numFmtId="0" fontId="11" fillId="26" borderId="19" xfId="0" applyFont="1" applyFill="1" applyBorder="1" applyAlignment="1">
      <alignment vertical="center"/>
    </xf>
    <xf numFmtId="0" fontId="11" fillId="27" borderId="19" xfId="0" applyFont="1" applyFill="1" applyBorder="1" applyAlignment="1">
      <alignment vertical="center"/>
    </xf>
    <xf numFmtId="0" fontId="12" fillId="28" borderId="19" xfId="0" applyFont="1" applyFill="1" applyBorder="1" applyAlignment="1">
      <alignment vertical="center"/>
    </xf>
    <xf numFmtId="0" fontId="12" fillId="29" borderId="20" xfId="0" applyFont="1" applyFill="1" applyBorder="1" applyAlignment="1">
      <alignment vertical="center"/>
    </xf>
    <xf numFmtId="164" fontId="1" fillId="0" borderId="17" xfId="0" applyNumberFormat="1" applyFont="1" applyBorder="1"/>
    <xf numFmtId="10" fontId="1" fillId="0" borderId="17" xfId="0" applyNumberFormat="1" applyFont="1" applyBorder="1"/>
    <xf numFmtId="164" fontId="1" fillId="0" borderId="16" xfId="0" applyNumberFormat="1" applyFont="1" applyBorder="1"/>
    <xf numFmtId="10" fontId="1" fillId="0" borderId="16" xfId="0" applyNumberFormat="1" applyFont="1" applyBorder="1"/>
    <xf numFmtId="164" fontId="1" fillId="0" borderId="21" xfId="0" applyNumberFormat="1" applyFont="1" applyBorder="1"/>
    <xf numFmtId="10" fontId="1" fillId="0" borderId="21" xfId="0" applyNumberFormat="1" applyFont="1" applyBorder="1"/>
    <xf numFmtId="0" fontId="5" fillId="35" borderId="0" xfId="0" applyFont="1" applyFill="1"/>
    <xf numFmtId="0" fontId="0" fillId="0" borderId="0" xfId="0" quotePrefix="1"/>
    <xf numFmtId="10" fontId="1" fillId="35" borderId="1" xfId="0" applyNumberFormat="1" applyFont="1" applyFill="1" applyBorder="1"/>
    <xf numFmtId="164" fontId="0" fillId="35" borderId="1" xfId="0" applyNumberFormat="1" applyFill="1" applyBorder="1"/>
    <xf numFmtId="0" fontId="1" fillId="36" borderId="23" xfId="0" applyFont="1" applyFill="1" applyBorder="1" applyAlignment="1">
      <alignment wrapText="1"/>
    </xf>
    <xf numFmtId="0" fontId="1" fillId="36" borderId="24" xfId="0" applyFont="1" applyFill="1" applyBorder="1" applyAlignment="1">
      <alignment wrapText="1"/>
    </xf>
    <xf numFmtId="164" fontId="1" fillId="0" borderId="0" xfId="0" applyNumberFormat="1" applyFont="1" applyBorder="1"/>
    <xf numFmtId="0" fontId="0" fillId="36" borderId="14" xfId="0" applyFont="1" applyFill="1" applyBorder="1" applyAlignment="1">
      <alignment wrapText="1"/>
    </xf>
    <xf numFmtId="0" fontId="4" fillId="37" borderId="0" xfId="0" applyFont="1" applyFill="1" applyBorder="1" applyAlignment="1">
      <alignment wrapText="1"/>
    </xf>
    <xf numFmtId="9" fontId="0" fillId="35" borderId="1" xfId="0" applyNumberFormat="1" applyFill="1" applyBorder="1"/>
    <xf numFmtId="2" fontId="0" fillId="35" borderId="1" xfId="0" applyNumberFormat="1" applyFill="1" applyBorder="1"/>
    <xf numFmtId="0" fontId="0" fillId="35" borderId="1" xfId="0" applyFill="1" applyBorder="1"/>
    <xf numFmtId="2" fontId="0" fillId="35" borderId="1" xfId="0" applyNumberFormat="1" applyFont="1" applyFill="1" applyBorder="1"/>
    <xf numFmtId="2" fontId="17" fillId="34" borderId="17" xfId="0" applyNumberFormat="1" applyFont="1" applyFill="1" applyBorder="1" applyAlignment="1">
      <alignment horizontal="center"/>
    </xf>
    <xf numFmtId="2" fontId="17" fillId="34" borderId="16" xfId="0" applyNumberFormat="1" applyFont="1" applyFill="1" applyBorder="1" applyAlignment="1">
      <alignment horizontal="center"/>
    </xf>
    <xf numFmtId="2" fontId="17" fillId="34" borderId="21" xfId="0" applyNumberFormat="1" applyFont="1" applyFill="1" applyBorder="1" applyAlignment="1">
      <alignment horizontal="center"/>
    </xf>
    <xf numFmtId="165" fontId="1" fillId="0" borderId="17" xfId="0" applyNumberFormat="1" applyFont="1" applyBorder="1"/>
    <xf numFmtId="165" fontId="1" fillId="0" borderId="16" xfId="0" applyNumberFormat="1" applyFont="1" applyBorder="1"/>
    <xf numFmtId="165" fontId="1" fillId="0" borderId="21" xfId="0" applyNumberFormat="1" applyFont="1" applyBorder="1"/>
    <xf numFmtId="2" fontId="1" fillId="35" borderId="1" xfId="0" applyNumberFormat="1" applyFont="1" applyFill="1" applyBorder="1"/>
    <xf numFmtId="164" fontId="0" fillId="0" borderId="0" xfId="0" applyNumberFormat="1"/>
    <xf numFmtId="168" fontId="0" fillId="0" borderId="0" xfId="0" applyNumberFormat="1"/>
    <xf numFmtId="167" fontId="5" fillId="0" borderId="0" xfId="0" applyNumberFormat="1" applyFont="1"/>
    <xf numFmtId="0" fontId="7" fillId="38" borderId="0" xfId="0" applyFont="1" applyFill="1"/>
    <xf numFmtId="2" fontId="7" fillId="39" borderId="0" xfId="0" applyNumberFormat="1" applyFont="1" applyFill="1"/>
    <xf numFmtId="2" fontId="7" fillId="39" borderId="0" xfId="0" applyNumberFormat="1" applyFont="1" applyFill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0" borderId="21" xfId="0" applyBorder="1"/>
    <xf numFmtId="2" fontId="0" fillId="0" borderId="16" xfId="0" applyNumberFormat="1" applyBorder="1"/>
    <xf numFmtId="0" fontId="21" fillId="40" borderId="0" xfId="0" applyFont="1" applyFill="1"/>
    <xf numFmtId="0" fontId="13" fillId="0" borderId="0" xfId="0" quotePrefix="1" applyFont="1" applyProtection="1">
      <protection hidden="1"/>
    </xf>
    <xf numFmtId="0" fontId="13" fillId="0" borderId="0" xfId="0" applyFont="1"/>
    <xf numFmtId="0" fontId="16" fillId="0" borderId="0" xfId="0" applyFont="1"/>
    <xf numFmtId="0" fontId="1" fillId="41" borderId="0" xfId="0" applyFont="1" applyFill="1" applyAlignment="1">
      <alignment wrapText="1"/>
    </xf>
    <xf numFmtId="0" fontId="5" fillId="41" borderId="0" xfId="0" applyFont="1" applyFill="1" applyProtection="1">
      <protection locked="0"/>
    </xf>
    <xf numFmtId="0" fontId="5" fillId="41" borderId="10" xfId="0" applyFont="1" applyFill="1" applyBorder="1" applyProtection="1">
      <protection locked="0"/>
    </xf>
    <xf numFmtId="0" fontId="1" fillId="41" borderId="9" xfId="0" applyFont="1" applyFill="1" applyBorder="1" applyAlignment="1">
      <alignment wrapText="1"/>
    </xf>
    <xf numFmtId="9" fontId="0" fillId="0" borderId="0" xfId="0" applyNumberFormat="1"/>
    <xf numFmtId="0" fontId="0" fillId="0" borderId="0" xfId="0" applyFill="1" applyBorder="1"/>
    <xf numFmtId="164" fontId="22" fillId="0" borderId="0" xfId="0" applyNumberFormat="1" applyFont="1" applyFill="1" applyBorder="1" applyAlignment="1" applyProtection="1">
      <alignment horizontal="center"/>
      <protection locked="0"/>
    </xf>
    <xf numFmtId="164" fontId="22" fillId="0" borderId="0" xfId="0" applyNumberFormat="1" applyFont="1" applyFill="1" applyBorder="1" applyProtection="1">
      <protection locked="0"/>
    </xf>
    <xf numFmtId="0" fontId="0" fillId="0" borderId="0" xfId="0" applyFill="1" applyBorder="1" applyAlignment="1">
      <alignment horizontal="center"/>
    </xf>
    <xf numFmtId="164" fontId="23" fillId="0" borderId="0" xfId="0" applyNumberFormat="1" applyFont="1" applyFill="1" applyBorder="1" applyAlignment="1" applyProtection="1">
      <alignment horizontal="center"/>
    </xf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13" fillId="47" borderId="0" xfId="0" applyFont="1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166" fontId="1" fillId="36" borderId="25" xfId="0" applyNumberFormat="1" applyFont="1" applyFill="1" applyBorder="1" applyAlignment="1">
      <alignment wrapText="1"/>
    </xf>
    <xf numFmtId="2" fontId="0" fillId="0" borderId="1" xfId="0" applyNumberFormat="1" applyBorder="1"/>
    <xf numFmtId="0" fontId="0" fillId="52" borderId="0" xfId="0" applyFill="1"/>
    <xf numFmtId="2" fontId="0" fillId="52" borderId="0" xfId="0" applyNumberFormat="1" applyFill="1"/>
    <xf numFmtId="0" fontId="21" fillId="0" borderId="0" xfId="0" applyFont="1"/>
    <xf numFmtId="0" fontId="15" fillId="32" borderId="22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10" fillId="33" borderId="0" xfId="0" applyFont="1" applyFill="1" applyAlignment="1"/>
    <xf numFmtId="166" fontId="13" fillId="0" borderId="0" xfId="0" applyNumberFormat="1" applyFont="1" applyFill="1" applyAlignment="1" applyProtection="1">
      <protection hidden="1"/>
    </xf>
    <xf numFmtId="0" fontId="13" fillId="0" borderId="0" xfId="0" applyFont="1" applyFill="1" applyAlignment="1" applyProtection="1">
      <protection hidden="1"/>
    </xf>
    <xf numFmtId="0" fontId="13" fillId="0" borderId="0" xfId="0" applyFont="1" applyFill="1" applyBorder="1" applyAlignment="1" applyProtection="1">
      <protection hidden="1"/>
    </xf>
    <xf numFmtId="0" fontId="0" fillId="30" borderId="1" xfId="0" applyFill="1" applyBorder="1" applyAlignment="1">
      <alignment wrapText="1"/>
    </xf>
    <xf numFmtId="49" fontId="9" fillId="31" borderId="1" xfId="0" applyNumberFormat="1" applyFont="1" applyFill="1" applyBorder="1" applyAlignment="1">
      <alignment wrapText="1"/>
    </xf>
    <xf numFmtId="0" fontId="0" fillId="53" borderId="1" xfId="0" applyFill="1" applyBorder="1"/>
    <xf numFmtId="0" fontId="5" fillId="35" borderId="1" xfId="0" applyFont="1" applyFill="1" applyBorder="1"/>
    <xf numFmtId="0" fontId="0" fillId="36" borderId="1" xfId="0" applyFont="1" applyFill="1" applyBorder="1" applyAlignment="1">
      <alignment wrapText="1"/>
    </xf>
    <xf numFmtId="0" fontId="0" fillId="49" borderId="1" xfId="0" applyFill="1" applyBorder="1"/>
    <xf numFmtId="0" fontId="0" fillId="50" borderId="1" xfId="0" applyFill="1" applyBorder="1"/>
    <xf numFmtId="0" fontId="0" fillId="48" borderId="1" xfId="0" applyFill="1" applyBorder="1"/>
    <xf numFmtId="0" fontId="0" fillId="51" borderId="1" xfId="0" applyFill="1" applyBorder="1"/>
    <xf numFmtId="0" fontId="11" fillId="18" borderId="1" xfId="0" applyFont="1" applyFill="1" applyBorder="1" applyAlignment="1">
      <alignment vertical="center"/>
    </xf>
    <xf numFmtId="0" fontId="12" fillId="19" borderId="1" xfId="0" applyFont="1" applyFill="1" applyBorder="1" applyAlignment="1">
      <alignment vertical="center"/>
    </xf>
    <xf numFmtId="0" fontId="12" fillId="20" borderId="1" xfId="0" applyFont="1" applyFill="1" applyBorder="1" applyAlignment="1">
      <alignment vertical="center"/>
    </xf>
    <xf numFmtId="0" fontId="11" fillId="21" borderId="1" xfId="0" applyFont="1" applyFill="1" applyBorder="1" applyAlignment="1">
      <alignment vertical="center"/>
    </xf>
    <xf numFmtId="0" fontId="12" fillId="22" borderId="1" xfId="0" applyFont="1" applyFill="1" applyBorder="1" applyAlignment="1">
      <alignment vertical="center"/>
    </xf>
    <xf numFmtId="0" fontId="12" fillId="23" borderId="1" xfId="0" applyFont="1" applyFill="1" applyBorder="1" applyAlignment="1">
      <alignment vertical="center"/>
    </xf>
    <xf numFmtId="0" fontId="12" fillId="24" borderId="1" xfId="0" applyFont="1" applyFill="1" applyBorder="1" applyAlignment="1">
      <alignment vertical="center"/>
    </xf>
    <xf numFmtId="0" fontId="11" fillId="25" borderId="1" xfId="0" applyFont="1" applyFill="1" applyBorder="1" applyAlignment="1">
      <alignment vertical="center"/>
    </xf>
    <xf numFmtId="0" fontId="11" fillId="26" borderId="1" xfId="0" applyFont="1" applyFill="1" applyBorder="1" applyAlignment="1">
      <alignment vertical="center"/>
    </xf>
    <xf numFmtId="0" fontId="11" fillId="27" borderId="1" xfId="0" applyFont="1" applyFill="1" applyBorder="1" applyAlignment="1">
      <alignment vertical="center"/>
    </xf>
    <xf numFmtId="0" fontId="12" fillId="28" borderId="1" xfId="0" applyFont="1" applyFill="1" applyBorder="1" applyAlignment="1">
      <alignment vertical="center"/>
    </xf>
    <xf numFmtId="0" fontId="12" fillId="29" borderId="1" xfId="0" applyFont="1" applyFill="1" applyBorder="1" applyAlignment="1">
      <alignment vertical="center"/>
    </xf>
    <xf numFmtId="0" fontId="13" fillId="47" borderId="1" xfId="0" applyFont="1" applyFill="1" applyBorder="1"/>
    <xf numFmtId="0" fontId="0" fillId="46" borderId="1" xfId="0" applyFill="1" applyBorder="1"/>
    <xf numFmtId="0" fontId="0" fillId="45" borderId="1" xfId="0" applyFill="1" applyBorder="1"/>
    <xf numFmtId="0" fontId="0" fillId="44" borderId="1" xfId="0" applyFill="1" applyBorder="1"/>
    <xf numFmtId="0" fontId="0" fillId="43" borderId="1" xfId="0" applyFill="1" applyBorder="1"/>
    <xf numFmtId="0" fontId="0" fillId="42" borderId="1" xfId="0" applyFill="1" applyBorder="1"/>
  </cellXfs>
  <cellStyles count="12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Normal" xfId="0" builtinId="0"/>
  </cellStyles>
  <dxfs count="0"/>
  <tableStyles count="0" defaultTableStyle="TableStyleMedium9" defaultPivotStyle="PivotStyleMedium4"/>
  <colors>
    <mruColors>
      <color rgb="FFFF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Δ</a:t>
            </a:r>
            <a:r>
              <a:rPr lang="en-US"/>
              <a:t>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565391768513598"/>
          <c:y val="0.235051546391753"/>
          <c:w val="0.916157915076566"/>
          <c:h val="0.404212192548096"/>
        </c:manualLayout>
      </c:layout>
      <c:barChart>
        <c:barDir val="col"/>
        <c:grouping val="clustered"/>
        <c:varyColors val="0"/>
        <c:ser>
          <c:idx val="0"/>
          <c:order val="0"/>
          <c:tx>
            <c:v>dE94</c:v>
          </c:tx>
          <c:spPr>
            <a:effectLst>
              <a:glow rad="101600">
                <a:schemeClr val="accent2">
                  <a:alpha val="75000"/>
                </a:schemeClr>
              </a:glow>
            </a:effectLst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Targets'!$O$34:$O$45</c:f>
              <c:numCache>
                <c:formatCode>0.00</c:formatCode>
                <c:ptCount val="12"/>
                <c:pt idx="0">
                  <c:v>0.82929871954845</c:v>
                </c:pt>
                <c:pt idx="1">
                  <c:v>1.719720623958934</c:v>
                </c:pt>
                <c:pt idx="2">
                  <c:v>1.490708756105182</c:v>
                </c:pt>
                <c:pt idx="3">
                  <c:v>1.174472601161893</c:v>
                </c:pt>
                <c:pt idx="4">
                  <c:v>1.774816651731821</c:v>
                </c:pt>
                <c:pt idx="5">
                  <c:v>1.509916169384929</c:v>
                </c:pt>
                <c:pt idx="6">
                  <c:v>0.29384259178655</c:v>
                </c:pt>
                <c:pt idx="7">
                  <c:v>0.737159195058338</c:v>
                </c:pt>
                <c:pt idx="8">
                  <c:v>0.614298041475893</c:v>
                </c:pt>
                <c:pt idx="9">
                  <c:v>1.24545649373035</c:v>
                </c:pt>
                <c:pt idx="10">
                  <c:v>1.019666880915633</c:v>
                </c:pt>
                <c:pt idx="11">
                  <c:v>1.173677280420371</c:v>
                </c:pt>
              </c:numCache>
            </c:numRef>
          </c:val>
        </c:ser>
        <c:ser>
          <c:idx val="1"/>
          <c:order val="1"/>
          <c:tx>
            <c:v>dE2000</c:v>
          </c:tx>
          <c:spPr>
            <a:effectLst>
              <a:glow rad="101600">
                <a:schemeClr val="tx2">
                  <a:lumMod val="60000"/>
                  <a:lumOff val="40000"/>
                  <a:alpha val="75000"/>
                </a:schemeClr>
              </a:glow>
            </a:effectLst>
          </c:spPr>
          <c:invertIfNegative val="0"/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Targets'!$P$34:$P$45</c:f>
              <c:numCache>
                <c:formatCode>0.00</c:formatCode>
                <c:ptCount val="12"/>
                <c:pt idx="0">
                  <c:v>0.845816043120208</c:v>
                </c:pt>
                <c:pt idx="1">
                  <c:v>1.587179245513452</c:v>
                </c:pt>
                <c:pt idx="2">
                  <c:v>1.582879520361927</c:v>
                </c:pt>
                <c:pt idx="3">
                  <c:v>1.163693508856426</c:v>
                </c:pt>
                <c:pt idx="4">
                  <c:v>1.722565117918543</c:v>
                </c:pt>
                <c:pt idx="5">
                  <c:v>1.219624458437696</c:v>
                </c:pt>
                <c:pt idx="6">
                  <c:v>0.29829961742972</c:v>
                </c:pt>
                <c:pt idx="7">
                  <c:v>0.654721558811824</c:v>
                </c:pt>
                <c:pt idx="8">
                  <c:v>0.738163133770917</c:v>
                </c:pt>
                <c:pt idx="9">
                  <c:v>1.085246925835853</c:v>
                </c:pt>
                <c:pt idx="10">
                  <c:v>0.885869881940939</c:v>
                </c:pt>
                <c:pt idx="11">
                  <c:v>1.042395317607318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2349144"/>
        <c:axId val="2082352344"/>
      </c:barChart>
      <c:catAx>
        <c:axId val="208234914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 i="0">
                <a:solidFill>
                  <a:schemeClr val="tx2"/>
                </a:solidFill>
              </a:defRPr>
            </a:pPr>
            <a:endParaRPr lang="en-US"/>
          </a:p>
        </c:txPr>
        <c:crossAx val="2082352344"/>
        <c:crosses val="autoZero"/>
        <c:auto val="1"/>
        <c:lblAlgn val="ctr"/>
        <c:lblOffset val="100"/>
        <c:noMultiLvlLbl val="0"/>
      </c:catAx>
      <c:valAx>
        <c:axId val="2082352344"/>
        <c:scaling>
          <c:orientation val="minMax"/>
        </c:scaling>
        <c:delete val="0"/>
        <c:axPos val="l"/>
        <c:majorGridlines/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1100" b="1" i="0"/>
            </a:pPr>
            <a:endParaRPr lang="en-US"/>
          </a:p>
        </c:txPr>
        <c:crossAx val="2082349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60437660016424"/>
          <c:y val="0.0681293124441919"/>
          <c:w val="0.176985652867011"/>
          <c:h val="0.207040344183781"/>
        </c:manualLayout>
      </c:layout>
      <c:overlay val="0"/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302282323405226"/>
          <c:y val="0.021978021978022"/>
          <c:w val="0.919941496798881"/>
          <c:h val="0.801541345793314"/>
        </c:manualLayout>
      </c:layout>
      <c:barChart>
        <c:barDir val="col"/>
        <c:grouping val="clustered"/>
        <c:varyColors val="0"/>
        <c:ser>
          <c:idx val="0"/>
          <c:order val="0"/>
          <c:tx>
            <c:v>Lightness</c:v>
          </c:tx>
          <c:invertIfNegative val="0"/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Targets'!$L$34:$L$45</c:f>
              <c:numCache>
                <c:formatCode>0.00</c:formatCode>
                <c:ptCount val="12"/>
                <c:pt idx="0">
                  <c:v>-0.365887172862592</c:v>
                </c:pt>
                <c:pt idx="1">
                  <c:v>-1.365818131384472</c:v>
                </c:pt>
                <c:pt idx="2">
                  <c:v>-1.293452026724921</c:v>
                </c:pt>
                <c:pt idx="3">
                  <c:v>-0.436137177253087</c:v>
                </c:pt>
                <c:pt idx="4">
                  <c:v>-1.628665805571273</c:v>
                </c:pt>
                <c:pt idx="5">
                  <c:v>-1.436845018469455</c:v>
                </c:pt>
                <c:pt idx="6">
                  <c:v>0.00970057245760358</c:v>
                </c:pt>
                <c:pt idx="7">
                  <c:v>-0.636862387432941</c:v>
                </c:pt>
                <c:pt idx="8">
                  <c:v>0.122240170950249</c:v>
                </c:pt>
                <c:pt idx="9">
                  <c:v>-0.93705486603136</c:v>
                </c:pt>
                <c:pt idx="10">
                  <c:v>-0.793020659016562</c:v>
                </c:pt>
                <c:pt idx="11">
                  <c:v>-0.816902714901573</c:v>
                </c:pt>
              </c:numCache>
            </c:numRef>
          </c:val>
        </c:ser>
        <c:ser>
          <c:idx val="1"/>
          <c:order val="1"/>
          <c:tx>
            <c:v>Chromaticity</c:v>
          </c:tx>
          <c:invertIfNegative val="0"/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Targets'!$M$34:$M$45</c:f>
              <c:numCache>
                <c:formatCode>0.00</c:formatCode>
                <c:ptCount val="12"/>
                <c:pt idx="0">
                  <c:v>0.884409202575952</c:v>
                </c:pt>
                <c:pt idx="1">
                  <c:v>1.998698886182996</c:v>
                </c:pt>
                <c:pt idx="2">
                  <c:v>0.250358088710062</c:v>
                </c:pt>
                <c:pt idx="3">
                  <c:v>2.321234616844759</c:v>
                </c:pt>
                <c:pt idx="4">
                  <c:v>1.234775428252838</c:v>
                </c:pt>
                <c:pt idx="5">
                  <c:v>-1.135774247694755</c:v>
                </c:pt>
                <c:pt idx="6">
                  <c:v>-1.115337671277771</c:v>
                </c:pt>
                <c:pt idx="7">
                  <c:v>-0.750283278757777</c:v>
                </c:pt>
                <c:pt idx="8">
                  <c:v>-0.527616402762519</c:v>
                </c:pt>
                <c:pt idx="9">
                  <c:v>1.920564591921995</c:v>
                </c:pt>
                <c:pt idx="10">
                  <c:v>-2.499592053672274</c:v>
                </c:pt>
                <c:pt idx="11">
                  <c:v>-1.371241709223796</c:v>
                </c:pt>
              </c:numCache>
            </c:numRef>
          </c:val>
        </c:ser>
        <c:ser>
          <c:idx val="2"/>
          <c:order val="2"/>
          <c:tx>
            <c:v>Hue</c:v>
          </c:tx>
          <c:invertIfNegative val="0"/>
          <c:cat>
            <c:strRef>
              <c:f>'Color Targets'!$G$34:$G$45</c:f>
              <c:strCache>
                <c:ptCount val="12"/>
                <c:pt idx="0">
                  <c:v>dark skin</c:v>
                </c:pt>
                <c:pt idx="1">
                  <c:v>light skin</c:v>
                </c:pt>
                <c:pt idx="2">
                  <c:v>blue sky</c:v>
                </c:pt>
                <c:pt idx="3">
                  <c:v>foliage</c:v>
                </c:pt>
                <c:pt idx="4">
                  <c:v>blue flower</c:v>
                </c:pt>
                <c:pt idx="5">
                  <c:v>bluish green</c:v>
                </c:pt>
                <c:pt idx="6">
                  <c:v>orange</c:v>
                </c:pt>
                <c:pt idx="7">
                  <c:v>purplish blue</c:v>
                </c:pt>
                <c:pt idx="8">
                  <c:v>moderate red</c:v>
                </c:pt>
                <c:pt idx="9">
                  <c:v>purple</c:v>
                </c:pt>
                <c:pt idx="10">
                  <c:v>yellow green</c:v>
                </c:pt>
                <c:pt idx="11">
                  <c:v>orange yellow</c:v>
                </c:pt>
              </c:strCache>
            </c:strRef>
          </c:cat>
          <c:val>
            <c:numRef>
              <c:f>'Color Targets'!$N$34:$N$45</c:f>
              <c:numCache>
                <c:formatCode>0.00</c:formatCode>
                <c:ptCount val="12"/>
                <c:pt idx="0">
                  <c:v>0.735450389763262</c:v>
                </c:pt>
                <c:pt idx="1">
                  <c:v>0.641671651697859</c:v>
                </c:pt>
                <c:pt idx="2">
                  <c:v>0.967330663150476</c:v>
                </c:pt>
                <c:pt idx="3">
                  <c:v>0.304921259851605</c:v>
                </c:pt>
                <c:pt idx="4">
                  <c:v>0.614865442980709</c:v>
                </c:pt>
                <c:pt idx="5">
                  <c:v>0.158641042141703</c:v>
                </c:pt>
                <c:pt idx="6">
                  <c:v>0.155597246533799</c:v>
                </c:pt>
                <c:pt idx="7">
                  <c:v>0.496875227714116</c:v>
                </c:pt>
                <c:pt idx="8">
                  <c:v>1.028045072203362</c:v>
                </c:pt>
                <c:pt idx="9">
                  <c:v>0.285239912654252</c:v>
                </c:pt>
                <c:pt idx="10">
                  <c:v>0.135771718171599</c:v>
                </c:pt>
                <c:pt idx="11">
                  <c:v>1.56993490393077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7850552"/>
        <c:axId val="2077853560"/>
      </c:barChart>
      <c:catAx>
        <c:axId val="20778505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vert="horz" anchor="b" anchorCtr="1"/>
          <a:lstStyle/>
          <a:p>
            <a:pPr>
              <a:defRPr sz="1100" b="1"/>
            </a:pPr>
            <a:endParaRPr lang="en-US"/>
          </a:p>
        </c:txPr>
        <c:crossAx val="2077853560"/>
        <c:crosses val="autoZero"/>
        <c:auto val="1"/>
        <c:lblAlgn val="ctr"/>
        <c:lblOffset val="100"/>
        <c:tickMarkSkip val="1"/>
        <c:noMultiLvlLbl val="0"/>
      </c:catAx>
      <c:valAx>
        <c:axId val="2077853560"/>
        <c:scaling>
          <c:orientation val="minMax"/>
        </c:scaling>
        <c:delete val="0"/>
        <c:axPos val="r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077850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221207962322467"/>
          <c:y val="0.818225606414583"/>
          <c:w val="0.454804498736723"/>
          <c:h val="0.180398315595166"/>
        </c:manualLayout>
      </c:layout>
      <c:overlay val="0"/>
      <c:txPr>
        <a:bodyPr/>
        <a:lstStyle/>
        <a:p>
          <a:pPr rtl="0">
            <a:defRPr sz="14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GCD Coverage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570595660275"/>
          <c:y val="0.162200768564217"/>
          <c:w val="0.824239105607982"/>
          <c:h val="0.712009757751573"/>
        </c:manualLayout>
      </c:layout>
      <c:scatterChart>
        <c:scatterStyle val="lineMarker"/>
        <c:varyColors val="0"/>
        <c:ser>
          <c:idx val="0"/>
          <c:order val="0"/>
          <c:tx>
            <c:v>100% Saturation</c:v>
          </c:tx>
          <c:spPr>
            <a:ln w="47625">
              <a:noFill/>
            </a:ln>
          </c:spPr>
          <c:xVal>
            <c:numRef>
              <c:f>'Color Targets'!$B$5:$B$11</c:f>
              <c:numCache>
                <c:formatCode>0.000</c:formatCode>
                <c:ptCount val="7"/>
                <c:pt idx="0">
                  <c:v>0.639999925519409</c:v>
                </c:pt>
                <c:pt idx="1">
                  <c:v>0.300000008389823</c:v>
                </c:pt>
                <c:pt idx="2">
                  <c:v>0.150000008313128</c:v>
                </c:pt>
                <c:pt idx="3">
                  <c:v>0.419320092998004</c:v>
                </c:pt>
                <c:pt idx="4">
                  <c:v>0.224655633124744</c:v>
                </c:pt>
                <c:pt idx="5">
                  <c:v>0.320937741118529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Targets'!$C$5:$C$11</c:f>
              <c:numCache>
                <c:formatCode>0.000</c:formatCode>
                <c:ptCount val="7"/>
                <c:pt idx="0">
                  <c:v>0.330000068273875</c:v>
                </c:pt>
                <c:pt idx="1">
                  <c:v>0.600000016779645</c:v>
                </c:pt>
                <c:pt idx="2">
                  <c:v>0.0600000033252513</c:v>
                </c:pt>
                <c:pt idx="3">
                  <c:v>0.50524582692014</c:v>
                </c:pt>
                <c:pt idx="4">
                  <c:v>0.328760259205961</c:v>
                </c:pt>
                <c:pt idx="5">
                  <c:v>0.154190221198694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1"/>
          <c:order val="1"/>
          <c:tx>
            <c:v>75% Saturation</c:v>
          </c:tx>
          <c:spPr>
            <a:ln w="47625">
              <a:noFill/>
            </a:ln>
          </c:spPr>
          <c:xVal>
            <c:numRef>
              <c:f>'Color Targets'!$G$5:$G$11</c:f>
              <c:numCache>
                <c:formatCode>0.000</c:formatCode>
                <c:ptCount val="7"/>
                <c:pt idx="0">
                  <c:v>0.560444623837099</c:v>
                </c:pt>
                <c:pt idx="1">
                  <c:v>0.302977078244618</c:v>
                </c:pt>
                <c:pt idx="2">
                  <c:v>0.190407707996586</c:v>
                </c:pt>
                <c:pt idx="3">
                  <c:v>0.39443192090119</c:v>
                </c:pt>
                <c:pt idx="4">
                  <c:v>0.245431577398588</c:v>
                </c:pt>
                <c:pt idx="5">
                  <c:v>0.319015964348385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Targets'!$H$5:$H$11</c:f>
              <c:numCache>
                <c:formatCode>0.000</c:formatCode>
                <c:ptCount val="7"/>
                <c:pt idx="0">
                  <c:v>0.32976259448109</c:v>
                </c:pt>
                <c:pt idx="1">
                  <c:v>0.536611734934941</c:v>
                </c:pt>
                <c:pt idx="2">
                  <c:v>0.126802891591781</c:v>
                </c:pt>
                <c:pt idx="3">
                  <c:v>0.464100159318025</c:v>
                </c:pt>
                <c:pt idx="4">
                  <c:v>0.328822275717508</c:v>
                </c:pt>
                <c:pt idx="5">
                  <c:v>0.195109021727447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2"/>
          <c:order val="2"/>
          <c:tx>
            <c:v>50% Saturation</c:v>
          </c:tx>
          <c:spPr>
            <a:ln w="47625">
              <a:noFill/>
            </a:ln>
          </c:spPr>
          <c:xVal>
            <c:numRef>
              <c:f>'Color Targets'!$L$5:$L$11</c:f>
              <c:numCache>
                <c:formatCode>0.000</c:formatCode>
                <c:ptCount val="7"/>
                <c:pt idx="0">
                  <c:v>0.485247706658584</c:v>
                </c:pt>
                <c:pt idx="1">
                  <c:v>0.306257557360228</c:v>
                </c:pt>
                <c:pt idx="2">
                  <c:v>0.227460399228201</c:v>
                </c:pt>
                <c:pt idx="3">
                  <c:v>0.367188216597706</c:v>
                </c:pt>
                <c:pt idx="4">
                  <c:v>0.268388009650155</c:v>
                </c:pt>
                <c:pt idx="5">
                  <c:v>0.31688662844641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Targets'!$M$5:$M$11</c:f>
              <c:numCache>
                <c:formatCode>0.000</c:formatCode>
                <c:ptCount val="7"/>
                <c:pt idx="0">
                  <c:v>0.329538130532737</c:v>
                </c:pt>
                <c:pt idx="1">
                  <c:v>0.4667632110815</c:v>
                </c:pt>
                <c:pt idx="2">
                  <c:v>0.188059206890845</c:v>
                </c:pt>
                <c:pt idx="3">
                  <c:v>0.419060274622557</c:v>
                </c:pt>
                <c:pt idx="4">
                  <c:v>0.328890801019031</c:v>
                </c:pt>
                <c:pt idx="5">
                  <c:v>0.240447206882574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3"/>
          <c:order val="3"/>
          <c:spPr>
            <a:ln w="6350" cmpd="sng">
              <a:solidFill>
                <a:srgbClr val="0000FF"/>
              </a:solidFill>
            </a:ln>
          </c:spPr>
          <c:xVal>
            <c:numRef>
              <c:f>('Color Targets'!$B$6,'Color Targets'!$B$10)</c:f>
              <c:numCache>
                <c:formatCode>0.000</c:formatCode>
                <c:ptCount val="2"/>
                <c:pt idx="0">
                  <c:v>0.300000008389823</c:v>
                </c:pt>
                <c:pt idx="1">
                  <c:v>0.320937741118529</c:v>
                </c:pt>
              </c:numCache>
            </c:numRef>
          </c:xVal>
          <c:yVal>
            <c:numRef>
              <c:f>('Color Targets'!$C$6,'Color Targets'!$C$10)</c:f>
              <c:numCache>
                <c:formatCode>0.000</c:formatCode>
                <c:ptCount val="2"/>
                <c:pt idx="0">
                  <c:v>0.600000016779645</c:v>
                </c:pt>
                <c:pt idx="1">
                  <c:v>0.154190221198694</c:v>
                </c:pt>
              </c:numCache>
            </c:numRef>
          </c:yVal>
          <c:smooth val="0"/>
        </c:ser>
        <c:ser>
          <c:idx val="4"/>
          <c:order val="4"/>
          <c:spPr>
            <a:ln w="9525" cmpd="sng">
              <a:solidFill>
                <a:srgbClr val="0000FF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('Color Targets'!$B$5,'Color Targets'!$B$9)</c:f>
              <c:numCache>
                <c:formatCode>0.000</c:formatCode>
                <c:ptCount val="2"/>
                <c:pt idx="0">
                  <c:v>0.639999925519409</c:v>
                </c:pt>
                <c:pt idx="1">
                  <c:v>0.224655633124744</c:v>
                </c:pt>
              </c:numCache>
            </c:numRef>
          </c:xVal>
          <c:yVal>
            <c:numRef>
              <c:f>('Color Targets'!$C$5,'Color Targets'!$C$9)</c:f>
              <c:numCache>
                <c:formatCode>0.000</c:formatCode>
                <c:ptCount val="2"/>
                <c:pt idx="0">
                  <c:v>0.330000068273875</c:v>
                </c:pt>
                <c:pt idx="1">
                  <c:v>0.328760259205961</c:v>
                </c:pt>
              </c:numCache>
            </c:numRef>
          </c:yVal>
          <c:smooth val="0"/>
        </c:ser>
        <c:ser>
          <c:idx val="5"/>
          <c:order val="5"/>
          <c:spPr>
            <a:ln w="9525" cmpd="sng">
              <a:solidFill>
                <a:srgbClr val="0000FF"/>
              </a:solidFill>
            </a:ln>
          </c:spPr>
          <c:xVal>
            <c:numRef>
              <c:f>'Color Targets'!$B$7:$B$8</c:f>
              <c:numCache>
                <c:formatCode>0.000</c:formatCode>
                <c:ptCount val="2"/>
                <c:pt idx="0">
                  <c:v>0.150000008313128</c:v>
                </c:pt>
                <c:pt idx="1">
                  <c:v>0.419320092998004</c:v>
                </c:pt>
              </c:numCache>
            </c:numRef>
          </c:xVal>
          <c:yVal>
            <c:numRef>
              <c:f>'Color Targets'!$C$7:$C$8</c:f>
              <c:numCache>
                <c:formatCode>0.000</c:formatCode>
                <c:ptCount val="2"/>
                <c:pt idx="0">
                  <c:v>0.0600000033252513</c:v>
                </c:pt>
                <c:pt idx="1">
                  <c:v>0.50524582692014</c:v>
                </c:pt>
              </c:numCache>
            </c:numRef>
          </c:yVal>
          <c:smooth val="0"/>
        </c:ser>
        <c:ser>
          <c:idx val="6"/>
          <c:order val="6"/>
          <c:tx>
            <c:v>Color Checker</c:v>
          </c:tx>
          <c:spPr>
            <a:ln w="47625">
              <a:noFill/>
            </a:ln>
            <a:effectLst>
              <a:glow rad="88900">
                <a:srgbClr val="FFFF00">
                  <a:alpha val="75000"/>
                </a:srgbClr>
              </a:glow>
            </a:effectLst>
          </c:spPr>
          <c:marker>
            <c:symbol val="circle"/>
            <c:size val="12"/>
            <c:spPr>
              <a:noFill/>
              <a:ln>
                <a:solidFill>
                  <a:schemeClr val="tx1"/>
                </a:solidFill>
              </a:ln>
              <a:effectLst>
                <a:glow rad="88900">
                  <a:srgbClr val="FFFF00">
                    <a:alpha val="75000"/>
                  </a:srgbClr>
                </a:glow>
              </a:effectLst>
            </c:spPr>
          </c:marker>
          <c:dLbls>
            <c:dLbl>
              <c:idx val="0"/>
              <c:layout/>
              <c:tx>
                <c:strRef>
                  <c:f>'Color Targets'!$A$34</c:f>
                  <c:strCache>
                    <c:ptCount val="1"/>
                    <c:pt idx="0">
                      <c:v>dark skin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0.0262751159196291"/>
                  <c:y val="0.0137297969332781"/>
                </c:manualLayout>
              </c:layout>
              <c:tx>
                <c:strRef>
                  <c:f>'Color Targets'!$A$35</c:f>
                  <c:strCache>
                    <c:ptCount val="1"/>
                    <c:pt idx="0">
                      <c:v>light skin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'Color Targets'!$A$36</c:f>
                  <c:strCache>
                    <c:ptCount val="1"/>
                    <c:pt idx="0">
                      <c:v>blue sky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'Color Targets'!$A$37</c:f>
                  <c:strCache>
                    <c:ptCount val="1"/>
                    <c:pt idx="0">
                      <c:v>foliage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'Color Targets'!$A$38</c:f>
                  <c:strCache>
                    <c:ptCount val="1"/>
                    <c:pt idx="0">
                      <c:v>blue flower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'Color Targets'!$A$39</c:f>
                  <c:strCache>
                    <c:ptCount val="1"/>
                    <c:pt idx="0">
                      <c:v>bluish green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'Color Targets'!$A$40</c:f>
                  <c:strCache>
                    <c:ptCount val="1"/>
                    <c:pt idx="0">
                      <c:v>orange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'Color Targets'!$A$41</c:f>
                  <c:strCache>
                    <c:ptCount val="1"/>
                    <c:pt idx="0">
                      <c:v>purplish blue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'Color Targets'!$A$42</c:f>
                  <c:strCache>
                    <c:ptCount val="1"/>
                    <c:pt idx="0">
                      <c:v>moderate red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tx>
                <c:strRef>
                  <c:f>'Color Targets'!$A$43</c:f>
                  <c:strCache>
                    <c:ptCount val="1"/>
                    <c:pt idx="0">
                      <c:v>purple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/>
              <c:tx>
                <c:strRef>
                  <c:f>'Color Targets'!$A$44</c:f>
                  <c:strCache>
                    <c:ptCount val="1"/>
                    <c:pt idx="0">
                      <c:v>yellow green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 val="-0.0794871794871795"/>
                  <c:y val="-0.00592885375494067"/>
                </c:manualLayout>
              </c:layout>
              <c:tx>
                <c:strRef>
                  <c:f>'Color Targets'!$A$45</c:f>
                  <c:strCache>
                    <c:ptCount val="1"/>
                    <c:pt idx="0">
                      <c:v>orange yellow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strRef>
                  <c:f>Sheet1!#REF!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strRef>
                  <c:f>Sheet1!#REF!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strRef>
                  <c:f>Sheet1!#REF!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'Color Targets'!$B$34:$B$45</c:f>
              <c:numCache>
                <c:formatCode>0.000</c:formatCode>
                <c:ptCount val="12"/>
                <c:pt idx="0">
                  <c:v>0.403213841178602</c:v>
                </c:pt>
                <c:pt idx="1">
                  <c:v>0.390390745722849</c:v>
                </c:pt>
                <c:pt idx="2">
                  <c:v>0.24573824630959</c:v>
                </c:pt>
                <c:pt idx="3">
                  <c:v>0.340013146220696</c:v>
                </c:pt>
                <c:pt idx="4">
                  <c:v>0.267479537368374</c:v>
                </c:pt>
                <c:pt idx="5">
                  <c:v>0.255928023402931</c:v>
                </c:pt>
                <c:pt idx="6">
                  <c:v>0.512152264088965</c:v>
                </c:pt>
                <c:pt idx="7">
                  <c:v>0.206178896791666</c:v>
                </c:pt>
                <c:pt idx="8">
                  <c:v>0.47543057602893</c:v>
                </c:pt>
                <c:pt idx="9">
                  <c:v>0.2936818418366</c:v>
                </c:pt>
                <c:pt idx="10">
                  <c:v>0.374674176198035</c:v>
                </c:pt>
                <c:pt idx="11">
                  <c:v>0.47781697540671</c:v>
                </c:pt>
              </c:numCache>
            </c:numRef>
          </c:xVal>
          <c:yVal>
            <c:numRef>
              <c:f>'Color Targets'!$C$34:$C$45</c:f>
              <c:numCache>
                <c:formatCode>0.000</c:formatCode>
                <c:ptCount val="12"/>
                <c:pt idx="0">
                  <c:v>0.356848041721155</c:v>
                </c:pt>
                <c:pt idx="1">
                  <c:v>0.352335295764682</c:v>
                </c:pt>
                <c:pt idx="2">
                  <c:v>0.265505530425382</c:v>
                </c:pt>
                <c:pt idx="3">
                  <c:v>0.431108729722495</c:v>
                </c:pt>
                <c:pt idx="4">
                  <c:v>0.25241969427484</c:v>
                </c:pt>
                <c:pt idx="5">
                  <c:v>0.357851576717499</c:v>
                </c:pt>
                <c:pt idx="6">
                  <c:v>0.400553411925817</c:v>
                </c:pt>
                <c:pt idx="7">
                  <c:v>0.176184457986047</c:v>
                </c:pt>
                <c:pt idx="8">
                  <c:v>0.311267182496431</c:v>
                </c:pt>
                <c:pt idx="9">
                  <c:v>0.220661049553933</c:v>
                </c:pt>
                <c:pt idx="10">
                  <c:v>0.498753927683348</c:v>
                </c:pt>
                <c:pt idx="11">
                  <c:v>0.440494440485668</c:v>
                </c:pt>
              </c:numCache>
            </c:numRef>
          </c:yVal>
          <c:smooth val="0"/>
        </c:ser>
        <c:ser>
          <c:idx val="7"/>
          <c:order val="7"/>
          <c:tx>
            <c:v>Measured Color Checker</c:v>
          </c:tx>
          <c:spPr>
            <a:ln w="47625">
              <a:noFill/>
            </a:ln>
          </c:spPr>
          <c:marker>
            <c:symbol val="plus"/>
            <c:size val="5"/>
            <c:spPr>
              <a:solidFill>
                <a:schemeClr val="tx1"/>
              </a:solidFill>
            </c:spPr>
          </c:marker>
          <c:xVal>
            <c:numRef>
              <c:f>'Color Targets'!$H$34:$H$45</c:f>
              <c:numCache>
                <c:formatCode>General</c:formatCode>
                <c:ptCount val="12"/>
                <c:pt idx="0">
                  <c:v>0.408419</c:v>
                </c:pt>
                <c:pt idx="1">
                  <c:v>0.39773</c:v>
                </c:pt>
                <c:pt idx="2">
                  <c:v>0.242143</c:v>
                </c:pt>
                <c:pt idx="3">
                  <c:v>0.34057</c:v>
                </c:pt>
                <c:pt idx="4">
                  <c:v>0.266168</c:v>
                </c:pt>
                <c:pt idx="5">
                  <c:v>0.257224</c:v>
                </c:pt>
                <c:pt idx="6">
                  <c:v>0.509411</c:v>
                </c:pt>
                <c:pt idx="7">
                  <c:v>0.207919</c:v>
                </c:pt>
                <c:pt idx="8">
                  <c:v>0.471151</c:v>
                </c:pt>
                <c:pt idx="9">
                  <c:v>0.293227</c:v>
                </c:pt>
                <c:pt idx="10">
                  <c:v>0.374033</c:v>
                </c:pt>
                <c:pt idx="11">
                  <c:v>0.478792</c:v>
                </c:pt>
              </c:numCache>
            </c:numRef>
          </c:xVal>
          <c:yVal>
            <c:numRef>
              <c:f>'Color Targets'!$I$34:$I$45</c:f>
              <c:numCache>
                <c:formatCode>General</c:formatCode>
                <c:ptCount val="12"/>
                <c:pt idx="0">
                  <c:v>0.360653</c:v>
                </c:pt>
                <c:pt idx="1">
                  <c:v>0.352444</c:v>
                </c:pt>
                <c:pt idx="2" formatCode="0.00">
                  <c:v>0.264637</c:v>
                </c:pt>
                <c:pt idx="3">
                  <c:v>0.441484</c:v>
                </c:pt>
                <c:pt idx="4">
                  <c:v>0.247941</c:v>
                </c:pt>
                <c:pt idx="5">
                  <c:v>0.357795</c:v>
                </c:pt>
                <c:pt idx="6">
                  <c:v>0.399923</c:v>
                </c:pt>
                <c:pt idx="7">
                  <c:v>0.176846</c:v>
                </c:pt>
                <c:pt idx="8">
                  <c:v>0.309233</c:v>
                </c:pt>
                <c:pt idx="9">
                  <c:v>0.213986</c:v>
                </c:pt>
                <c:pt idx="10">
                  <c:v>0.493785</c:v>
                </c:pt>
                <c:pt idx="11">
                  <c:v>0.436887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041880"/>
        <c:axId val="2080049448"/>
      </c:scatterChart>
      <c:valAx>
        <c:axId val="2080041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x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80049448"/>
        <c:crosses val="autoZero"/>
        <c:crossBetween val="midCat"/>
      </c:valAx>
      <c:valAx>
        <c:axId val="2080049448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 sz="1200" b="1"/>
                </a:pPr>
                <a:r>
                  <a:rPr lang="en-US" sz="1200" b="1"/>
                  <a:t>y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80041880"/>
        <c:crosses val="autoZero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08983038751576"/>
          <c:y val="0.0806597000200961"/>
          <c:w val="0.832958821990152"/>
          <c:h val="0.0614675630743373"/>
        </c:manualLayout>
      </c:layout>
      <c:overlay val="0"/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baseline="0">
          <a:solidFill>
            <a:schemeClr val="tx2"/>
          </a:solidFill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Δ</a:t>
            </a:r>
            <a:r>
              <a:rPr lang="en-US"/>
              <a:t>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565391768513598"/>
          <c:y val="0.235051546391753"/>
          <c:w val="0.916157915076566"/>
          <c:h val="0.404212192548096"/>
        </c:manualLayout>
      </c:layout>
      <c:barChart>
        <c:barDir val="col"/>
        <c:grouping val="clustered"/>
        <c:varyColors val="0"/>
        <c:ser>
          <c:idx val="0"/>
          <c:order val="0"/>
          <c:tx>
            <c:v>dE94</c:v>
          </c:tx>
          <c:spPr>
            <a:effectLst>
              <a:glow rad="101600">
                <a:schemeClr val="accent2">
                  <a:alpha val="75000"/>
                </a:schemeClr>
              </a:glow>
            </a:effectLst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'Color Targets'!$G$71:$G$93</c:f>
              <c:strCache>
                <c:ptCount val="23"/>
                <c:pt idx="0">
                  <c:v>Gray 35</c:v>
                </c:pt>
                <c:pt idx="1">
                  <c:v>Gray 50</c:v>
                </c:pt>
                <c:pt idx="2">
                  <c:v>Gray 65</c:v>
                </c:pt>
                <c:pt idx="3">
                  <c:v>Gray 80</c:v>
                </c:pt>
                <c:pt idx="4">
                  <c:v>White</c:v>
                </c:pt>
                <c:pt idx="5">
                  <c:v>dark skin</c:v>
                </c:pt>
                <c:pt idx="6">
                  <c:v>light skin</c:v>
                </c:pt>
                <c:pt idx="7">
                  <c:v>blue sky</c:v>
                </c:pt>
                <c:pt idx="8">
                  <c:v>foliage</c:v>
                </c:pt>
                <c:pt idx="9">
                  <c:v>blue flower</c:v>
                </c:pt>
                <c:pt idx="10">
                  <c:v>bluish green</c:v>
                </c:pt>
                <c:pt idx="11">
                  <c:v>orange</c:v>
                </c:pt>
                <c:pt idx="12">
                  <c:v>purplish blue</c:v>
                </c:pt>
                <c:pt idx="13">
                  <c:v>moderate red</c:v>
                </c:pt>
                <c:pt idx="14">
                  <c:v>purple</c:v>
                </c:pt>
                <c:pt idx="15">
                  <c:v>yellow green</c:v>
                </c:pt>
                <c:pt idx="16">
                  <c:v>orange yellow</c:v>
                </c:pt>
                <c:pt idx="17">
                  <c:v>Blue</c:v>
                </c:pt>
                <c:pt idx="18">
                  <c:v>Green</c:v>
                </c:pt>
                <c:pt idx="19">
                  <c:v>Red</c:v>
                </c:pt>
                <c:pt idx="20">
                  <c:v>Yellow</c:v>
                </c:pt>
                <c:pt idx="21">
                  <c:v>Magenta</c:v>
                </c:pt>
                <c:pt idx="22">
                  <c:v>Cyan</c:v>
                </c:pt>
              </c:strCache>
            </c:strRef>
          </c:cat>
          <c:val>
            <c:numRef>
              <c:f>'Color Targets'!$O$71:$O$93</c:f>
              <c:numCache>
                <c:formatCode>0.00</c:formatCode>
                <c:ptCount val="23"/>
                <c:pt idx="0">
                  <c:v>0.896345042225779</c:v>
                </c:pt>
                <c:pt idx="1">
                  <c:v>0.702660581596378</c:v>
                </c:pt>
                <c:pt idx="2">
                  <c:v>1.872456982405986</c:v>
                </c:pt>
                <c:pt idx="3">
                  <c:v>2.964404310156708</c:v>
                </c:pt>
                <c:pt idx="4">
                  <c:v>1.663919552470625</c:v>
                </c:pt>
                <c:pt idx="5">
                  <c:v>3.795885097596459</c:v>
                </c:pt>
                <c:pt idx="6">
                  <c:v>2.672398822941728</c:v>
                </c:pt>
                <c:pt idx="7">
                  <c:v>4.492243178360461</c:v>
                </c:pt>
                <c:pt idx="8">
                  <c:v>3.192079051426248</c:v>
                </c:pt>
                <c:pt idx="9">
                  <c:v>4.92051015690184</c:v>
                </c:pt>
                <c:pt idx="10">
                  <c:v>1.52608770483468</c:v>
                </c:pt>
                <c:pt idx="11">
                  <c:v>2.469608683312837</c:v>
                </c:pt>
                <c:pt idx="12">
                  <c:v>3.983003232619504</c:v>
                </c:pt>
                <c:pt idx="13">
                  <c:v>2.36325994208475</c:v>
                </c:pt>
                <c:pt idx="14">
                  <c:v>5.520950028707755</c:v>
                </c:pt>
                <c:pt idx="15">
                  <c:v>0.838670750287584</c:v>
                </c:pt>
                <c:pt idx="16">
                  <c:v>2.198506444755584</c:v>
                </c:pt>
                <c:pt idx="17">
                  <c:v>4.582706375405714</c:v>
                </c:pt>
                <c:pt idx="18">
                  <c:v>2.073061520752554</c:v>
                </c:pt>
                <c:pt idx="19">
                  <c:v>2.836958011185888</c:v>
                </c:pt>
                <c:pt idx="20">
                  <c:v>2.683008393155969</c:v>
                </c:pt>
                <c:pt idx="21">
                  <c:v>2.362355397796356</c:v>
                </c:pt>
                <c:pt idx="22">
                  <c:v>3.95271850561114</c:v>
                </c:pt>
              </c:numCache>
            </c:numRef>
          </c:val>
        </c:ser>
        <c:ser>
          <c:idx val="1"/>
          <c:order val="1"/>
          <c:tx>
            <c:v>dE2000</c:v>
          </c:tx>
          <c:spPr>
            <a:effectLst>
              <a:glow rad="101600">
                <a:schemeClr val="tx2">
                  <a:lumMod val="60000"/>
                  <a:lumOff val="40000"/>
                  <a:alpha val="75000"/>
                </a:schemeClr>
              </a:glow>
            </a:effectLst>
          </c:spPr>
          <c:invertIfNegative val="0"/>
          <c:cat>
            <c:strRef>
              <c:f>'Color Targets'!$G$71:$G$93</c:f>
              <c:strCache>
                <c:ptCount val="23"/>
                <c:pt idx="0">
                  <c:v>Gray 35</c:v>
                </c:pt>
                <c:pt idx="1">
                  <c:v>Gray 50</c:v>
                </c:pt>
                <c:pt idx="2">
                  <c:v>Gray 65</c:v>
                </c:pt>
                <c:pt idx="3">
                  <c:v>Gray 80</c:v>
                </c:pt>
                <c:pt idx="4">
                  <c:v>White</c:v>
                </c:pt>
                <c:pt idx="5">
                  <c:v>dark skin</c:v>
                </c:pt>
                <c:pt idx="6">
                  <c:v>light skin</c:v>
                </c:pt>
                <c:pt idx="7">
                  <c:v>blue sky</c:v>
                </c:pt>
                <c:pt idx="8">
                  <c:v>foliage</c:v>
                </c:pt>
                <c:pt idx="9">
                  <c:v>blue flower</c:v>
                </c:pt>
                <c:pt idx="10">
                  <c:v>bluish green</c:v>
                </c:pt>
                <c:pt idx="11">
                  <c:v>orange</c:v>
                </c:pt>
                <c:pt idx="12">
                  <c:v>purplish blue</c:v>
                </c:pt>
                <c:pt idx="13">
                  <c:v>moderate red</c:v>
                </c:pt>
                <c:pt idx="14">
                  <c:v>purple</c:v>
                </c:pt>
                <c:pt idx="15">
                  <c:v>yellow green</c:v>
                </c:pt>
                <c:pt idx="16">
                  <c:v>orange yellow</c:v>
                </c:pt>
                <c:pt idx="17">
                  <c:v>Blue</c:v>
                </c:pt>
                <c:pt idx="18">
                  <c:v>Green</c:v>
                </c:pt>
                <c:pt idx="19">
                  <c:v>Red</c:v>
                </c:pt>
                <c:pt idx="20">
                  <c:v>Yellow</c:v>
                </c:pt>
                <c:pt idx="21">
                  <c:v>Magenta</c:v>
                </c:pt>
                <c:pt idx="22">
                  <c:v>Cyan</c:v>
                </c:pt>
              </c:strCache>
            </c:strRef>
          </c:cat>
          <c:val>
            <c:numRef>
              <c:f>'Color Targets'!$P$71:$P$93</c:f>
              <c:numCache>
                <c:formatCode>0.00</c:formatCode>
                <c:ptCount val="23"/>
                <c:pt idx="0">
                  <c:v>0.800700115701927</c:v>
                </c:pt>
                <c:pt idx="1">
                  <c:v>0.81142319624016</c:v>
                </c:pt>
                <c:pt idx="2">
                  <c:v>1.596610261248701</c:v>
                </c:pt>
                <c:pt idx="3">
                  <c:v>2.276058956847988</c:v>
                </c:pt>
                <c:pt idx="4">
                  <c:v>0.972823713968717</c:v>
                </c:pt>
                <c:pt idx="5">
                  <c:v>3.164064898387218</c:v>
                </c:pt>
                <c:pt idx="6">
                  <c:v>2.821137116995239</c:v>
                </c:pt>
                <c:pt idx="7">
                  <c:v>4.773630363219377</c:v>
                </c:pt>
                <c:pt idx="8">
                  <c:v>3.000619345622717</c:v>
                </c:pt>
                <c:pt idx="9">
                  <c:v>5.099809899965334</c:v>
                </c:pt>
                <c:pt idx="10">
                  <c:v>2.415560756477787</c:v>
                </c:pt>
                <c:pt idx="11">
                  <c:v>2.525150083333944</c:v>
                </c:pt>
                <c:pt idx="12">
                  <c:v>3.714971823204513</c:v>
                </c:pt>
                <c:pt idx="13">
                  <c:v>2.382913763243065</c:v>
                </c:pt>
                <c:pt idx="14">
                  <c:v>4.406564380870713</c:v>
                </c:pt>
                <c:pt idx="15">
                  <c:v>0.769052918844828</c:v>
                </c:pt>
                <c:pt idx="16">
                  <c:v>2.205288573977878</c:v>
                </c:pt>
                <c:pt idx="17">
                  <c:v>3.871016956011059</c:v>
                </c:pt>
                <c:pt idx="18">
                  <c:v>2.153930807817758</c:v>
                </c:pt>
                <c:pt idx="19">
                  <c:v>2.759912907307067</c:v>
                </c:pt>
                <c:pt idx="20">
                  <c:v>2.003074694958487</c:v>
                </c:pt>
                <c:pt idx="21">
                  <c:v>2.39596301491003</c:v>
                </c:pt>
                <c:pt idx="22">
                  <c:v>3.788927170425146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0119352"/>
        <c:axId val="2080122504"/>
      </c:barChart>
      <c:catAx>
        <c:axId val="208011935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 i="0">
                <a:solidFill>
                  <a:schemeClr val="tx2"/>
                </a:solidFill>
              </a:defRPr>
            </a:pPr>
            <a:endParaRPr lang="en-US"/>
          </a:p>
        </c:txPr>
        <c:crossAx val="2080122504"/>
        <c:crosses val="autoZero"/>
        <c:auto val="1"/>
        <c:lblAlgn val="ctr"/>
        <c:lblOffset val="100"/>
        <c:noMultiLvlLbl val="0"/>
      </c:catAx>
      <c:valAx>
        <c:axId val="2080122504"/>
        <c:scaling>
          <c:orientation val="minMax"/>
        </c:scaling>
        <c:delete val="0"/>
        <c:axPos val="l"/>
        <c:majorGridlines/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1100" b="1" i="0"/>
            </a:pPr>
            <a:endParaRPr lang="en-US"/>
          </a:p>
        </c:txPr>
        <c:crossAx val="2080119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60437660016424"/>
          <c:y val="0.0681293124441919"/>
          <c:w val="0.176985652867011"/>
          <c:h val="0.207040344183781"/>
        </c:manualLayout>
      </c:layout>
      <c:overlay val="0"/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GCD Coverage - 24pt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570595660275"/>
          <c:y val="0.162200768564217"/>
          <c:w val="0.824239105607982"/>
          <c:h val="0.712009757751573"/>
        </c:manualLayout>
      </c:layout>
      <c:scatterChart>
        <c:scatterStyle val="lineMarker"/>
        <c:varyColors val="0"/>
        <c:ser>
          <c:idx val="0"/>
          <c:order val="0"/>
          <c:tx>
            <c:v>100% Saturation</c:v>
          </c:tx>
          <c:spPr>
            <a:ln w="47625">
              <a:noFill/>
            </a:ln>
          </c:spPr>
          <c:xVal>
            <c:numRef>
              <c:f>'Color Targets'!$B$5:$B$11</c:f>
              <c:numCache>
                <c:formatCode>0.000</c:formatCode>
                <c:ptCount val="7"/>
                <c:pt idx="0">
                  <c:v>0.639999925519409</c:v>
                </c:pt>
                <c:pt idx="1">
                  <c:v>0.300000008389823</c:v>
                </c:pt>
                <c:pt idx="2">
                  <c:v>0.150000008313128</c:v>
                </c:pt>
                <c:pt idx="3">
                  <c:v>0.419320092998004</c:v>
                </c:pt>
                <c:pt idx="4">
                  <c:v>0.224655633124744</c:v>
                </c:pt>
                <c:pt idx="5">
                  <c:v>0.320937741118529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Targets'!$C$5:$C$11</c:f>
              <c:numCache>
                <c:formatCode>0.000</c:formatCode>
                <c:ptCount val="7"/>
                <c:pt idx="0">
                  <c:v>0.330000068273875</c:v>
                </c:pt>
                <c:pt idx="1">
                  <c:v>0.600000016779645</c:v>
                </c:pt>
                <c:pt idx="2">
                  <c:v>0.0600000033252513</c:v>
                </c:pt>
                <c:pt idx="3">
                  <c:v>0.50524582692014</c:v>
                </c:pt>
                <c:pt idx="4">
                  <c:v>0.328760259205961</c:v>
                </c:pt>
                <c:pt idx="5">
                  <c:v>0.154190221198694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1"/>
          <c:order val="1"/>
          <c:tx>
            <c:v>75% Saturation</c:v>
          </c:tx>
          <c:spPr>
            <a:ln w="47625">
              <a:noFill/>
            </a:ln>
          </c:spPr>
          <c:xVal>
            <c:numRef>
              <c:f>'Color Targets'!$G$5:$G$11</c:f>
              <c:numCache>
                <c:formatCode>0.000</c:formatCode>
                <c:ptCount val="7"/>
                <c:pt idx="0">
                  <c:v>0.560444623837099</c:v>
                </c:pt>
                <c:pt idx="1">
                  <c:v>0.302977078244618</c:v>
                </c:pt>
                <c:pt idx="2">
                  <c:v>0.190407707996586</c:v>
                </c:pt>
                <c:pt idx="3">
                  <c:v>0.39443192090119</c:v>
                </c:pt>
                <c:pt idx="4">
                  <c:v>0.245431577398588</c:v>
                </c:pt>
                <c:pt idx="5">
                  <c:v>0.319015964348385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Targets'!$H$5:$H$11</c:f>
              <c:numCache>
                <c:formatCode>0.000</c:formatCode>
                <c:ptCount val="7"/>
                <c:pt idx="0">
                  <c:v>0.32976259448109</c:v>
                </c:pt>
                <c:pt idx="1">
                  <c:v>0.536611734934941</c:v>
                </c:pt>
                <c:pt idx="2">
                  <c:v>0.126802891591781</c:v>
                </c:pt>
                <c:pt idx="3">
                  <c:v>0.464100159318025</c:v>
                </c:pt>
                <c:pt idx="4">
                  <c:v>0.328822275717508</c:v>
                </c:pt>
                <c:pt idx="5">
                  <c:v>0.195109021727447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2"/>
          <c:order val="2"/>
          <c:tx>
            <c:v>50% Saturation</c:v>
          </c:tx>
          <c:spPr>
            <a:ln w="47625">
              <a:noFill/>
            </a:ln>
          </c:spPr>
          <c:xVal>
            <c:numRef>
              <c:f>'Color Targets'!$L$5:$L$11</c:f>
              <c:numCache>
                <c:formatCode>0.000</c:formatCode>
                <c:ptCount val="7"/>
                <c:pt idx="0">
                  <c:v>0.485247706658584</c:v>
                </c:pt>
                <c:pt idx="1">
                  <c:v>0.306257557360228</c:v>
                </c:pt>
                <c:pt idx="2">
                  <c:v>0.227460399228201</c:v>
                </c:pt>
                <c:pt idx="3">
                  <c:v>0.367188216597706</c:v>
                </c:pt>
                <c:pt idx="4">
                  <c:v>0.268388009650155</c:v>
                </c:pt>
                <c:pt idx="5">
                  <c:v>0.31688662844641</c:v>
                </c:pt>
                <c:pt idx="6">
                  <c:v>0.312726604391583</c:v>
                </c:pt>
              </c:numCache>
            </c:numRef>
          </c:xVal>
          <c:yVal>
            <c:numRef>
              <c:f>'Color Targets'!$M$5:$M$11</c:f>
              <c:numCache>
                <c:formatCode>0.000</c:formatCode>
                <c:ptCount val="7"/>
                <c:pt idx="0">
                  <c:v>0.329538130532737</c:v>
                </c:pt>
                <c:pt idx="1">
                  <c:v>0.4667632110815</c:v>
                </c:pt>
                <c:pt idx="2">
                  <c:v>0.188059206890845</c:v>
                </c:pt>
                <c:pt idx="3">
                  <c:v>0.419060274622557</c:v>
                </c:pt>
                <c:pt idx="4">
                  <c:v>0.328890801019031</c:v>
                </c:pt>
                <c:pt idx="5">
                  <c:v>0.240447206882574</c:v>
                </c:pt>
                <c:pt idx="6">
                  <c:v>0.329023152402752</c:v>
                </c:pt>
              </c:numCache>
            </c:numRef>
          </c:yVal>
          <c:smooth val="0"/>
        </c:ser>
        <c:ser>
          <c:idx val="3"/>
          <c:order val="3"/>
          <c:spPr>
            <a:ln w="6350" cmpd="sng">
              <a:solidFill>
                <a:srgbClr val="0000FF"/>
              </a:solidFill>
            </a:ln>
          </c:spPr>
          <c:xVal>
            <c:numRef>
              <c:f>('Color Targets'!$B$6,'Color Targets'!$B$10)</c:f>
              <c:numCache>
                <c:formatCode>0.000</c:formatCode>
                <c:ptCount val="2"/>
                <c:pt idx="0">
                  <c:v>0.300000008389823</c:v>
                </c:pt>
                <c:pt idx="1">
                  <c:v>0.320937741118529</c:v>
                </c:pt>
              </c:numCache>
            </c:numRef>
          </c:xVal>
          <c:yVal>
            <c:numRef>
              <c:f>('Color Targets'!$C$6,'Color Targets'!$C$10)</c:f>
              <c:numCache>
                <c:formatCode>0.000</c:formatCode>
                <c:ptCount val="2"/>
                <c:pt idx="0">
                  <c:v>0.600000016779645</c:v>
                </c:pt>
                <c:pt idx="1">
                  <c:v>0.154190221198694</c:v>
                </c:pt>
              </c:numCache>
            </c:numRef>
          </c:yVal>
          <c:smooth val="0"/>
        </c:ser>
        <c:ser>
          <c:idx val="4"/>
          <c:order val="4"/>
          <c:spPr>
            <a:ln w="9525" cmpd="sng">
              <a:solidFill>
                <a:srgbClr val="0000FF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('Color Targets'!$B$5,'Color Targets'!$B$9)</c:f>
              <c:numCache>
                <c:formatCode>0.000</c:formatCode>
                <c:ptCount val="2"/>
                <c:pt idx="0">
                  <c:v>0.639999925519409</c:v>
                </c:pt>
                <c:pt idx="1">
                  <c:v>0.224655633124744</c:v>
                </c:pt>
              </c:numCache>
            </c:numRef>
          </c:xVal>
          <c:yVal>
            <c:numRef>
              <c:f>('Color Targets'!$C$5,'Color Targets'!$C$9)</c:f>
              <c:numCache>
                <c:formatCode>0.000</c:formatCode>
                <c:ptCount val="2"/>
                <c:pt idx="0">
                  <c:v>0.330000068273875</c:v>
                </c:pt>
                <c:pt idx="1">
                  <c:v>0.328760259205961</c:v>
                </c:pt>
              </c:numCache>
            </c:numRef>
          </c:yVal>
          <c:smooth val="0"/>
        </c:ser>
        <c:ser>
          <c:idx val="5"/>
          <c:order val="5"/>
          <c:spPr>
            <a:ln w="9525" cmpd="sng">
              <a:solidFill>
                <a:srgbClr val="0000FF"/>
              </a:solidFill>
            </a:ln>
          </c:spPr>
          <c:xVal>
            <c:numRef>
              <c:f>'Color Targets'!$B$7:$B$8</c:f>
              <c:numCache>
                <c:formatCode>0.000</c:formatCode>
                <c:ptCount val="2"/>
                <c:pt idx="0">
                  <c:v>0.150000008313128</c:v>
                </c:pt>
                <c:pt idx="1">
                  <c:v>0.419320092998004</c:v>
                </c:pt>
              </c:numCache>
            </c:numRef>
          </c:xVal>
          <c:yVal>
            <c:numRef>
              <c:f>'Color Targets'!$C$7:$C$8</c:f>
              <c:numCache>
                <c:formatCode>0.000</c:formatCode>
                <c:ptCount val="2"/>
                <c:pt idx="0">
                  <c:v>0.0600000033252513</c:v>
                </c:pt>
                <c:pt idx="1">
                  <c:v>0.50524582692014</c:v>
                </c:pt>
              </c:numCache>
            </c:numRef>
          </c:yVal>
          <c:smooth val="0"/>
        </c:ser>
        <c:ser>
          <c:idx val="6"/>
          <c:order val="6"/>
          <c:tx>
            <c:v>Color Checker</c:v>
          </c:tx>
          <c:spPr>
            <a:ln w="47625">
              <a:noFill/>
            </a:ln>
            <a:effectLst>
              <a:glow rad="88900">
                <a:srgbClr val="FFFF00">
                  <a:alpha val="75000"/>
                </a:srgbClr>
              </a:glow>
            </a:effectLst>
          </c:spPr>
          <c:marker>
            <c:symbol val="circle"/>
            <c:size val="13"/>
            <c:spPr>
              <a:noFill/>
              <a:ln>
                <a:solidFill>
                  <a:schemeClr val="tx1"/>
                </a:solidFill>
              </a:ln>
              <a:effectLst>
                <a:glow rad="88900">
                  <a:srgbClr val="FFFF00">
                    <a:alpha val="75000"/>
                  </a:srgbClr>
                </a:glow>
              </a:effectLst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>
                <c:manualLayout>
                  <c:x val="-0.00597477946835593"/>
                  <c:y val="-0.0109529025191676"/>
                </c:manualLayout>
              </c:layout>
              <c:tx>
                <c:strRef>
                  <c:f>'Color Targets'!$G$76</c:f>
                  <c:strCache>
                    <c:ptCount val="1"/>
                    <c:pt idx="0">
                      <c:v>dark skin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0.0802741642940565"/>
                  <c:y val="-0.0021905805038336"/>
                </c:manualLayout>
              </c:layout>
              <c:tx>
                <c:strRef>
                  <c:f>'Color Targets'!$G$77</c:f>
                  <c:strCache>
                    <c:ptCount val="1"/>
                    <c:pt idx="0">
                      <c:v>light skin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0.0710868079289132"/>
                  <c:y val="0.0197152245345016"/>
                </c:manualLayout>
              </c:layout>
              <c:tx>
                <c:strRef>
                  <c:f>'Color Targets'!$G$78</c:f>
                  <c:strCache>
                    <c:ptCount val="1"/>
                    <c:pt idx="0">
                      <c:v>blue sky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-0.0355434039644567"/>
                  <c:y val="-0.0328587075575028"/>
                </c:manualLayout>
              </c:layout>
              <c:tx>
                <c:strRef>
                  <c:f>'Color Targets'!$G$79</c:f>
                  <c:strCache>
                    <c:ptCount val="1"/>
                    <c:pt idx="0">
                      <c:v>foliage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tx>
                <c:strRef>
                  <c:f>'Color Targets'!$G$80</c:f>
                  <c:strCache>
                    <c:ptCount val="1"/>
                    <c:pt idx="0">
                      <c:v>blue flower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/>
              <c:tx>
                <c:strRef>
                  <c:f>'Color Targets'!$G$81</c:f>
                  <c:strCache>
                    <c:ptCount val="1"/>
                    <c:pt idx="0">
                      <c:v>bluish green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/>
              <c:tx>
                <c:strRef>
                  <c:f>'Color Targets'!$G$82</c:f>
                  <c:strCache>
                    <c:ptCount val="1"/>
                    <c:pt idx="0">
                      <c:v>orange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/>
              <c:tx>
                <c:strRef>
                  <c:f>'Color Targets'!$G$83</c:f>
                  <c:strCache>
                    <c:ptCount val="1"/>
                    <c:pt idx="0">
                      <c:v>purplish blue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layout/>
              <c:tx>
                <c:strRef>
                  <c:f>'Color Targets'!$G$84</c:f>
                  <c:strCache>
                    <c:ptCount val="1"/>
                    <c:pt idx="0">
                      <c:v>moderate red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layout>
                <c:manualLayout>
                  <c:x val="-0.0687806847110618"/>
                  <c:y val="0.00876232201533398"/>
                </c:manualLayout>
              </c:layout>
              <c:tx>
                <c:strRef>
                  <c:f>'Color Targets'!$G$85</c:f>
                  <c:strCache>
                    <c:ptCount val="1"/>
                    <c:pt idx="0">
                      <c:v>purple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layout>
                <c:manualLayout>
                  <c:x val="-0.0672713279261145"/>
                  <c:y val="-0.0306681270536692"/>
                </c:manualLayout>
              </c:layout>
              <c:tx>
                <c:strRef>
                  <c:f>'Color Targets'!$G$86</c:f>
                  <c:strCache>
                    <c:ptCount val="1"/>
                    <c:pt idx="0">
                      <c:v>yellow green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layout/>
              <c:tx>
                <c:strRef>
                  <c:f>'Color Targets'!$G$87</c:f>
                  <c:strCache>
                    <c:ptCount val="1"/>
                    <c:pt idx="0">
                      <c:v>orange yellow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layout/>
              <c:tx>
                <c:strRef>
                  <c:f>'Color Targets'!$G$88</c:f>
                  <c:strCache>
                    <c:ptCount val="1"/>
                    <c:pt idx="0">
                      <c:v>Blue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layout/>
              <c:tx>
                <c:strRef>
                  <c:f>'Color Targets'!$G$89</c:f>
                  <c:strCache>
                    <c:ptCount val="1"/>
                    <c:pt idx="0">
                      <c:v>Green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layout/>
              <c:tx>
                <c:strRef>
                  <c:f>'Color Targets'!$G$90</c:f>
                  <c:strCache>
                    <c:ptCount val="1"/>
                    <c:pt idx="0">
                      <c:v>Red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layout/>
              <c:tx>
                <c:strRef>
                  <c:f>'Color Targets'!$G$91</c:f>
                  <c:strCache>
                    <c:ptCount val="1"/>
                    <c:pt idx="0">
                      <c:v>Yellow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layout/>
              <c:tx>
                <c:strRef>
                  <c:f>'Color Targets'!$G$92</c:f>
                  <c:strCache>
                    <c:ptCount val="1"/>
                    <c:pt idx="0">
                      <c:v>Magenta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layout/>
              <c:tx>
                <c:strRef>
                  <c:f>'Color Targets'!$G$93</c:f>
                  <c:strCache>
                    <c:ptCount val="1"/>
                    <c:pt idx="0">
                      <c:v>Cyan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900" b="1" i="0" baseline="0">
                    <a:solidFill>
                      <a:schemeClr val="tx1"/>
                    </a:solidFill>
                    <a:latin typeface="+mj-lt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'Color Targets'!$B$71:$B$93</c:f>
              <c:numCache>
                <c:formatCode>0.000</c:formatCode>
                <c:ptCount val="23"/>
                <c:pt idx="0">
                  <c:v>0.312726604391583</c:v>
                </c:pt>
                <c:pt idx="1">
                  <c:v>0.312726604391583</c:v>
                </c:pt>
                <c:pt idx="2">
                  <c:v>0.312726604391583</c:v>
                </c:pt>
                <c:pt idx="3">
                  <c:v>0.312726604391583</c:v>
                </c:pt>
                <c:pt idx="4">
                  <c:v>0.312726604391583</c:v>
                </c:pt>
                <c:pt idx="5">
                  <c:v>0.408418619508911</c:v>
                </c:pt>
                <c:pt idx="6">
                  <c:v>0.380855606760727</c:v>
                </c:pt>
                <c:pt idx="7">
                  <c:v>0.246954829294561</c:v>
                </c:pt>
                <c:pt idx="8">
                  <c:v>0.340322154999998</c:v>
                </c:pt>
                <c:pt idx="9">
                  <c:v>0.267640116624868</c:v>
                </c:pt>
                <c:pt idx="10">
                  <c:v>0.260567288250947</c:v>
                </c:pt>
                <c:pt idx="11">
                  <c:v>0.517132116653744</c:v>
                </c:pt>
                <c:pt idx="12">
                  <c:v>0.211979720819678</c:v>
                </c:pt>
                <c:pt idx="13">
                  <c:v>0.471788733066383</c:v>
                </c:pt>
                <c:pt idx="14">
                  <c:v>0.286911789360758</c:v>
                </c:pt>
                <c:pt idx="15">
                  <c:v>0.376573510065192</c:v>
                </c:pt>
                <c:pt idx="16">
                  <c:v>0.47728690101445</c:v>
                </c:pt>
                <c:pt idx="17">
                  <c:v>0.188830040502187</c:v>
                </c:pt>
                <c:pt idx="18">
                  <c:v>0.304805868624177</c:v>
                </c:pt>
                <c:pt idx="19">
                  <c:v>0.547823950102813</c:v>
                </c:pt>
                <c:pt idx="20">
                  <c:v>0.447766580135362</c:v>
                </c:pt>
                <c:pt idx="21">
                  <c:v>0.377015446761506</c:v>
                </c:pt>
                <c:pt idx="22">
                  <c:v>0.207767494261595</c:v>
                </c:pt>
              </c:numCache>
            </c:numRef>
          </c:xVal>
          <c:yVal>
            <c:numRef>
              <c:f>'Color Targets'!$C$71:$C$93</c:f>
              <c:numCache>
                <c:formatCode>0.000</c:formatCode>
                <c:ptCount val="23"/>
                <c:pt idx="0">
                  <c:v>0.329023152402752</c:v>
                </c:pt>
                <c:pt idx="1">
                  <c:v>0.329023152402752</c:v>
                </c:pt>
                <c:pt idx="2">
                  <c:v>0.329023152402752</c:v>
                </c:pt>
                <c:pt idx="3">
                  <c:v>0.329023152402752</c:v>
                </c:pt>
                <c:pt idx="4">
                  <c:v>0.329023152402752</c:v>
                </c:pt>
                <c:pt idx="5">
                  <c:v>0.361727032420333</c:v>
                </c:pt>
                <c:pt idx="6">
                  <c:v>0.355994776691394</c:v>
                </c:pt>
                <c:pt idx="7">
                  <c:v>0.263834560830776</c:v>
                </c:pt>
                <c:pt idx="8">
                  <c:v>0.432150337782055</c:v>
                </c:pt>
                <c:pt idx="9">
                  <c:v>0.251012486981746</c:v>
                </c:pt>
                <c:pt idx="10">
                  <c:v>0.361530103823116</c:v>
                </c:pt>
                <c:pt idx="11">
                  <c:v>0.405449357482054</c:v>
                </c:pt>
                <c:pt idx="12">
                  <c:v>0.184206089656216</c:v>
                </c:pt>
                <c:pt idx="13">
                  <c:v>0.312256371475633</c:v>
                </c:pt>
                <c:pt idx="14">
                  <c:v>0.216824488550466</c:v>
                </c:pt>
                <c:pt idx="15">
                  <c:v>0.497460109246845</c:v>
                </c:pt>
                <c:pt idx="16">
                  <c:v>0.439879187531178</c:v>
                </c:pt>
                <c:pt idx="17">
                  <c:v>0.13431074214965</c:v>
                </c:pt>
                <c:pt idx="18">
                  <c:v>0.497672816579464</c:v>
                </c:pt>
                <c:pt idx="19">
                  <c:v>0.319883577218592</c:v>
                </c:pt>
                <c:pt idx="20">
                  <c:v>0.474812218715739</c:v>
                </c:pt>
                <c:pt idx="21">
                  <c:v>0.242380889693814</c:v>
                </c:pt>
                <c:pt idx="22">
                  <c:v>0.267962957814909</c:v>
                </c:pt>
              </c:numCache>
            </c:numRef>
          </c:yVal>
          <c:smooth val="0"/>
        </c:ser>
        <c:ser>
          <c:idx val="7"/>
          <c:order val="7"/>
          <c:tx>
            <c:v>Measured Color Checker</c:v>
          </c:tx>
          <c:spPr>
            <a:ln w="47625">
              <a:noFill/>
            </a:ln>
          </c:spPr>
          <c:marker>
            <c:symbol val="plus"/>
            <c:size val="5"/>
            <c:spPr>
              <a:solidFill>
                <a:schemeClr val="tx1"/>
              </a:solidFill>
            </c:spPr>
          </c:marker>
          <c:xVal>
            <c:numRef>
              <c:f>'Color Targets'!$H$71:$H$93</c:f>
              <c:numCache>
                <c:formatCode>General</c:formatCode>
                <c:ptCount val="23"/>
                <c:pt idx="0">
                  <c:v>0.313801</c:v>
                </c:pt>
                <c:pt idx="1">
                  <c:v>0.312326</c:v>
                </c:pt>
                <c:pt idx="2">
                  <c:v>0.311497</c:v>
                </c:pt>
                <c:pt idx="3">
                  <c:v>0.310594</c:v>
                </c:pt>
                <c:pt idx="4">
                  <c:v>0.312527</c:v>
                </c:pt>
                <c:pt idx="5">
                  <c:v>0.425338</c:v>
                </c:pt>
                <c:pt idx="6">
                  <c:v>0.399073</c:v>
                </c:pt>
                <c:pt idx="7">
                  <c:v>0.231436</c:v>
                </c:pt>
                <c:pt idx="8">
                  <c:v>0.346088</c:v>
                </c:pt>
                <c:pt idx="9">
                  <c:v>0.252198</c:v>
                </c:pt>
                <c:pt idx="10">
                  <c:v>0.253195</c:v>
                </c:pt>
                <c:pt idx="11">
                  <c:v>0.541465</c:v>
                </c:pt>
                <c:pt idx="12">
                  <c:v>0.195485</c:v>
                </c:pt>
                <c:pt idx="13">
                  <c:v>0.492776</c:v>
                </c:pt>
                <c:pt idx="14">
                  <c:v>0.270688</c:v>
                </c:pt>
                <c:pt idx="15">
                  <c:v>0.37986</c:v>
                </c:pt>
                <c:pt idx="16">
                  <c:v>0.484994</c:v>
                </c:pt>
                <c:pt idx="17">
                  <c:v>0.174797</c:v>
                </c:pt>
                <c:pt idx="18">
                  <c:v>0.30011</c:v>
                </c:pt>
                <c:pt idx="19">
                  <c:v>0.578558</c:v>
                </c:pt>
                <c:pt idx="20">
                  <c:v>0.449427</c:v>
                </c:pt>
                <c:pt idx="21">
                  <c:v>0.380837</c:v>
                </c:pt>
                <c:pt idx="22">
                  <c:v>0.200163</c:v>
                </c:pt>
              </c:numCache>
            </c:numRef>
          </c:xVal>
          <c:yVal>
            <c:numRef>
              <c:f>'Color Targets'!$I$71:$I$93</c:f>
              <c:numCache>
                <c:formatCode>General</c:formatCode>
                <c:ptCount val="23"/>
                <c:pt idx="0">
                  <c:v>0.330388</c:v>
                </c:pt>
                <c:pt idx="1">
                  <c:v>0.327584</c:v>
                </c:pt>
                <c:pt idx="2">
                  <c:v>0.326596</c:v>
                </c:pt>
                <c:pt idx="3">
                  <c:v>0.325786</c:v>
                </c:pt>
                <c:pt idx="4">
                  <c:v>0.328597</c:v>
                </c:pt>
                <c:pt idx="5">
                  <c:v>0.367676</c:v>
                </c:pt>
                <c:pt idx="6">
                  <c:v>0.363934</c:v>
                </c:pt>
                <c:pt idx="7">
                  <c:v>0.239977</c:v>
                </c:pt>
                <c:pt idx="8">
                  <c:v>0.456993</c:v>
                </c:pt>
                <c:pt idx="9">
                  <c:v>0.224418</c:v>
                </c:pt>
                <c:pt idx="10">
                  <c:v>0.364067</c:v>
                </c:pt>
                <c:pt idx="11">
                  <c:v>0.407712</c:v>
                </c:pt>
                <c:pt idx="12">
                  <c:v>0.159529</c:v>
                </c:pt>
                <c:pt idx="13">
                  <c:v>0.307825</c:v>
                </c:pt>
                <c:pt idx="14">
                  <c:v>0.187778</c:v>
                </c:pt>
                <c:pt idx="15">
                  <c:v>0.503125</c:v>
                </c:pt>
                <c:pt idx="16">
                  <c:v>0.450655</c:v>
                </c:pt>
                <c:pt idx="17">
                  <c:v>0.108867</c:v>
                </c:pt>
                <c:pt idx="18">
                  <c:v>0.526182</c:v>
                </c:pt>
                <c:pt idx="19">
                  <c:v>0.318861</c:v>
                </c:pt>
                <c:pt idx="20">
                  <c:v>0.480144</c:v>
                </c:pt>
                <c:pt idx="21">
                  <c:v>0.23132</c:v>
                </c:pt>
                <c:pt idx="22">
                  <c:v>0.250985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997784"/>
        <c:axId val="2078005384"/>
      </c:scatterChart>
      <c:valAx>
        <c:axId val="2077997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en-US" sz="1400" b="1"/>
                  <a:t>x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8005384"/>
        <c:crosses val="autoZero"/>
        <c:crossBetween val="midCat"/>
      </c:valAx>
      <c:valAx>
        <c:axId val="2078005384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 sz="1400" b="1"/>
                </a:pPr>
                <a:r>
                  <a:rPr lang="en-US" sz="1400" b="1"/>
                  <a:t>y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7997784"/>
        <c:crosses val="autoZero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0394966640620304"/>
          <c:y val="0.0829798817013902"/>
          <c:w val="0.91317509166316"/>
          <c:h val="0.0488725841088046"/>
        </c:manualLayout>
      </c:layout>
      <c:overlay val="0"/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baseline="0">
          <a:solidFill>
            <a:schemeClr val="tx2"/>
          </a:solidFill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548908618565536"/>
          <c:y val="0.021505376344086"/>
          <c:w val="0.818763725962826"/>
          <c:h val="0.90681003584229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'Color Targets'!$G$71:$G$93</c:f>
              <c:strCache>
                <c:ptCount val="23"/>
                <c:pt idx="0">
                  <c:v>Gray 35</c:v>
                </c:pt>
                <c:pt idx="1">
                  <c:v>Gray 50</c:v>
                </c:pt>
                <c:pt idx="2">
                  <c:v>Gray 65</c:v>
                </c:pt>
                <c:pt idx="3">
                  <c:v>Gray 80</c:v>
                </c:pt>
                <c:pt idx="4">
                  <c:v>White</c:v>
                </c:pt>
                <c:pt idx="5">
                  <c:v>dark skin</c:v>
                </c:pt>
                <c:pt idx="6">
                  <c:v>light skin</c:v>
                </c:pt>
                <c:pt idx="7">
                  <c:v>blue sky</c:v>
                </c:pt>
                <c:pt idx="8">
                  <c:v>foliage</c:v>
                </c:pt>
                <c:pt idx="9">
                  <c:v>blue flower</c:v>
                </c:pt>
                <c:pt idx="10">
                  <c:v>bluish green</c:v>
                </c:pt>
                <c:pt idx="11">
                  <c:v>orange</c:v>
                </c:pt>
                <c:pt idx="12">
                  <c:v>purplish blue</c:v>
                </c:pt>
                <c:pt idx="13">
                  <c:v>moderate red</c:v>
                </c:pt>
                <c:pt idx="14">
                  <c:v>purple</c:v>
                </c:pt>
                <c:pt idx="15">
                  <c:v>yellow green</c:v>
                </c:pt>
                <c:pt idx="16">
                  <c:v>orange yellow</c:v>
                </c:pt>
                <c:pt idx="17">
                  <c:v>Blue</c:v>
                </c:pt>
                <c:pt idx="18">
                  <c:v>Green</c:v>
                </c:pt>
                <c:pt idx="19">
                  <c:v>Red</c:v>
                </c:pt>
                <c:pt idx="20">
                  <c:v>Yellow</c:v>
                </c:pt>
                <c:pt idx="21">
                  <c:v>Magenta</c:v>
                </c:pt>
                <c:pt idx="22">
                  <c:v>Cyan</c:v>
                </c:pt>
              </c:strCache>
            </c:strRef>
          </c:cat>
          <c:val>
            <c:numRef>
              <c:f>'Color Targets'!$L$71:$L$93</c:f>
              <c:numCache>
                <c:formatCode>0.00</c:formatCode>
                <c:ptCount val="23"/>
                <c:pt idx="0">
                  <c:v>0.739219810189525</c:v>
                </c:pt>
                <c:pt idx="1">
                  <c:v>0.31231749923738</c:v>
                </c:pt>
                <c:pt idx="2">
                  <c:v>1.521730630778563</c:v>
                </c:pt>
                <c:pt idx="3">
                  <c:v>2.541502604011313</c:v>
                </c:pt>
                <c:pt idx="4">
                  <c:v>1.647749308565139</c:v>
                </c:pt>
                <c:pt idx="5">
                  <c:v>-3.658032348417478</c:v>
                </c:pt>
                <c:pt idx="6">
                  <c:v>-0.771243260076133</c:v>
                </c:pt>
                <c:pt idx="7">
                  <c:v>-2.809774652193631</c:v>
                </c:pt>
                <c:pt idx="8">
                  <c:v>-2.58225754388522</c:v>
                </c:pt>
                <c:pt idx="9">
                  <c:v>-3.396912889911107</c:v>
                </c:pt>
                <c:pt idx="10">
                  <c:v>-0.354062366918953</c:v>
                </c:pt>
                <c:pt idx="11">
                  <c:v>-1.115733946684699</c:v>
                </c:pt>
                <c:pt idx="12">
                  <c:v>-3.104056718418803</c:v>
                </c:pt>
                <c:pt idx="13">
                  <c:v>-1.84110459915702</c:v>
                </c:pt>
                <c:pt idx="14">
                  <c:v>-5.073176730493237</c:v>
                </c:pt>
                <c:pt idx="15">
                  <c:v>0.290696190913195</c:v>
                </c:pt>
                <c:pt idx="16">
                  <c:v>0.61038637156939</c:v>
                </c:pt>
                <c:pt idx="17">
                  <c:v>-3.725526590303765</c:v>
                </c:pt>
                <c:pt idx="18">
                  <c:v>-0.513227329631221</c:v>
                </c:pt>
                <c:pt idx="19">
                  <c:v>-2.254102232349496</c:v>
                </c:pt>
                <c:pt idx="20">
                  <c:v>2.417905203309189</c:v>
                </c:pt>
                <c:pt idx="21">
                  <c:v>-1.79401115778613</c:v>
                </c:pt>
                <c:pt idx="22">
                  <c:v>-2.066193354599108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9186408"/>
        <c:axId val="2079189432"/>
      </c:barChart>
      <c:catAx>
        <c:axId val="20791864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9189432"/>
        <c:crosses val="autoZero"/>
        <c:auto val="1"/>
        <c:lblAlgn val="ctr"/>
        <c:lblOffset val="100"/>
        <c:noMultiLvlLbl val="0"/>
      </c:catAx>
      <c:valAx>
        <c:axId val="20791894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79186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Gamma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Primary BT.1886</c:v>
          </c:tx>
          <c:xVal>
            <c:numRef>
              <c:f>'Gamma Target'!$C$14:$C$37</c:f>
              <c:numCache>
                <c:formatCode>0%</c:formatCode>
                <c:ptCount val="2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0.0502283105022831</c:v>
                </c:pt>
                <c:pt idx="5">
                  <c:v>0.100456621004566</c:v>
                </c:pt>
                <c:pt idx="6">
                  <c:v>0.150684931506849</c:v>
                </c:pt>
                <c:pt idx="7">
                  <c:v>0.200913242009132</c:v>
                </c:pt>
                <c:pt idx="8">
                  <c:v>0.251141552511415</c:v>
                </c:pt>
                <c:pt idx="9">
                  <c:v>0.301369863013699</c:v>
                </c:pt>
                <c:pt idx="10">
                  <c:v>0.351598173515982</c:v>
                </c:pt>
                <c:pt idx="11">
                  <c:v>0.401826484018265</c:v>
                </c:pt>
                <c:pt idx="12">
                  <c:v>0.452054794520548</c:v>
                </c:pt>
                <c:pt idx="13">
                  <c:v>0.502283105022831</c:v>
                </c:pt>
                <c:pt idx="14">
                  <c:v>0.547945205479452</c:v>
                </c:pt>
                <c:pt idx="15">
                  <c:v>0.598173515981735</c:v>
                </c:pt>
                <c:pt idx="16">
                  <c:v>0.648401826484018</c:v>
                </c:pt>
                <c:pt idx="17">
                  <c:v>0.698630136986301</c:v>
                </c:pt>
                <c:pt idx="18">
                  <c:v>0.748858447488584</c:v>
                </c:pt>
                <c:pt idx="19">
                  <c:v>0.799086757990867</c:v>
                </c:pt>
                <c:pt idx="20">
                  <c:v>0.849315068493151</c:v>
                </c:pt>
                <c:pt idx="21">
                  <c:v>0.899543378995434</c:v>
                </c:pt>
                <c:pt idx="22">
                  <c:v>0.949771689497717</c:v>
                </c:pt>
                <c:pt idx="23">
                  <c:v>1.0</c:v>
                </c:pt>
              </c:numCache>
            </c:numRef>
          </c:xVal>
          <c:yVal>
            <c:numRef>
              <c:f>'Gamma Target'!$G$14:$G$37</c:f>
              <c:numCache>
                <c:formatCode>0.00</c:formatCode>
                <c:ptCount val="24"/>
                <c:pt idx="0">
                  <c:v>1.619830910241542</c:v>
                </c:pt>
                <c:pt idx="1">
                  <c:v>1.786880467616105</c:v>
                </c:pt>
                <c:pt idx="2">
                  <c:v>1.881606238152425</c:v>
                </c:pt>
                <c:pt idx="3">
                  <c:v>1.945034944044589</c:v>
                </c:pt>
                <c:pt idx="4">
                  <c:v>1.99216862764358</c:v>
                </c:pt>
                <c:pt idx="5">
                  <c:v>2.115040343294813</c:v>
                </c:pt>
                <c:pt idx="6">
                  <c:v>2.171481510481569</c:v>
                </c:pt>
                <c:pt idx="7">
                  <c:v>2.204926070403888</c:v>
                </c:pt>
                <c:pt idx="8">
                  <c:v>2.227419377501541</c:v>
                </c:pt>
                <c:pt idx="9">
                  <c:v>2.243756425775167</c:v>
                </c:pt>
                <c:pt idx="10">
                  <c:v>2.256253911522567</c:v>
                </c:pt>
                <c:pt idx="11">
                  <c:v>2.266178783097427</c:v>
                </c:pt>
                <c:pt idx="12">
                  <c:v>2.274286817075808</c:v>
                </c:pt>
                <c:pt idx="13">
                  <c:v>2.281058958554992</c:v>
                </c:pt>
                <c:pt idx="14">
                  <c:v>2.286329002335074</c:v>
                </c:pt>
                <c:pt idx="15">
                  <c:v>2.29136134158167</c:v>
                </c:pt>
                <c:pt idx="16">
                  <c:v>2.29575212857338</c:v>
                </c:pt>
                <c:pt idx="17">
                  <c:v>2.299623735846202</c:v>
                </c:pt>
                <c:pt idx="18">
                  <c:v>2.30306856920301</c:v>
                </c:pt>
                <c:pt idx="19">
                  <c:v>2.306157819702685</c:v>
                </c:pt>
                <c:pt idx="20">
                  <c:v>2.308947295827007</c:v>
                </c:pt>
                <c:pt idx="21">
                  <c:v>2.311481417743438</c:v>
                </c:pt>
                <c:pt idx="22">
                  <c:v>2.313796018942912</c:v>
                </c:pt>
              </c:numCache>
            </c:numRef>
          </c:yVal>
          <c:smooth val="1"/>
        </c:ser>
        <c:ser>
          <c:idx val="1"/>
          <c:order val="1"/>
          <c:tx>
            <c:v>Alternate BT.1886</c:v>
          </c:tx>
          <c:xVal>
            <c:numRef>
              <c:f>'Gamma Target'!$C$14:$C$37</c:f>
              <c:numCache>
                <c:formatCode>0%</c:formatCode>
                <c:ptCount val="2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0.0502283105022831</c:v>
                </c:pt>
                <c:pt idx="5">
                  <c:v>0.100456621004566</c:v>
                </c:pt>
                <c:pt idx="6">
                  <c:v>0.150684931506849</c:v>
                </c:pt>
                <c:pt idx="7">
                  <c:v>0.200913242009132</c:v>
                </c:pt>
                <c:pt idx="8">
                  <c:v>0.251141552511415</c:v>
                </c:pt>
                <c:pt idx="9">
                  <c:v>0.301369863013699</c:v>
                </c:pt>
                <c:pt idx="10">
                  <c:v>0.351598173515982</c:v>
                </c:pt>
                <c:pt idx="11">
                  <c:v>0.401826484018265</c:v>
                </c:pt>
                <c:pt idx="12">
                  <c:v>0.452054794520548</c:v>
                </c:pt>
                <c:pt idx="13">
                  <c:v>0.502283105022831</c:v>
                </c:pt>
                <c:pt idx="14">
                  <c:v>0.547945205479452</c:v>
                </c:pt>
                <c:pt idx="15">
                  <c:v>0.598173515981735</c:v>
                </c:pt>
                <c:pt idx="16">
                  <c:v>0.648401826484018</c:v>
                </c:pt>
                <c:pt idx="17">
                  <c:v>0.698630136986301</c:v>
                </c:pt>
                <c:pt idx="18">
                  <c:v>0.748858447488584</c:v>
                </c:pt>
                <c:pt idx="19">
                  <c:v>0.799086757990867</c:v>
                </c:pt>
                <c:pt idx="20">
                  <c:v>0.849315068493151</c:v>
                </c:pt>
                <c:pt idx="21">
                  <c:v>0.899543378995434</c:v>
                </c:pt>
                <c:pt idx="22">
                  <c:v>0.949771689497717</c:v>
                </c:pt>
                <c:pt idx="23">
                  <c:v>1.0</c:v>
                </c:pt>
              </c:numCache>
            </c:numRef>
          </c:xVal>
          <c:yVal>
            <c:numRef>
              <c:f>'Gamma Target'!$H$14:$H$37</c:f>
              <c:numCache>
                <c:formatCode>0.00</c:formatCode>
                <c:ptCount val="24"/>
                <c:pt idx="0">
                  <c:v>1.732349167202475</c:v>
                </c:pt>
                <c:pt idx="1">
                  <c:v>1.929554145036012</c:v>
                </c:pt>
                <c:pt idx="2">
                  <c:v>2.045587435536231</c:v>
                </c:pt>
                <c:pt idx="3">
                  <c:v>2.124746105012444</c:v>
                </c:pt>
                <c:pt idx="4">
                  <c:v>2.183932480769432</c:v>
                </c:pt>
                <c:pt idx="5">
                  <c:v>2.333227177232141</c:v>
                </c:pt>
                <c:pt idx="6">
                  <c:v>2.389291736588362</c:v>
                </c:pt>
                <c:pt idx="7">
                  <c:v>2.40915459782045</c:v>
                </c:pt>
                <c:pt idx="8">
                  <c:v>2.409125666042304</c:v>
                </c:pt>
                <c:pt idx="9">
                  <c:v>2.39534471974967</c:v>
                </c:pt>
                <c:pt idx="10">
                  <c:v>2.371667044884073</c:v>
                </c:pt>
                <c:pt idx="11">
                  <c:v>2.386856348843823</c:v>
                </c:pt>
                <c:pt idx="12">
                  <c:v>2.399339527270516</c:v>
                </c:pt>
                <c:pt idx="13">
                  <c:v>2.409816652307199</c:v>
                </c:pt>
                <c:pt idx="14">
                  <c:v>2.418001448811364</c:v>
                </c:pt>
                <c:pt idx="15">
                  <c:v>2.42584254771583</c:v>
                </c:pt>
                <c:pt idx="16">
                  <c:v>2.432704112876848</c:v>
                </c:pt>
                <c:pt idx="17">
                  <c:v>2.438769699391026</c:v>
                </c:pt>
                <c:pt idx="18">
                  <c:v>2.444178622627025</c:v>
                </c:pt>
                <c:pt idx="19">
                  <c:v>2.449038693280299</c:v>
                </c:pt>
                <c:pt idx="20">
                  <c:v>2.453434759723751</c:v>
                </c:pt>
                <c:pt idx="21">
                  <c:v>2.457434592344101</c:v>
                </c:pt>
                <c:pt idx="22">
                  <c:v>2.461093032172687</c:v>
                </c:pt>
              </c:numCache>
            </c:numRef>
          </c:yVal>
          <c:smooth val="1"/>
        </c:ser>
        <c:ser>
          <c:idx val="2"/>
          <c:order val="2"/>
          <c:tx>
            <c:v>Measured</c:v>
          </c:tx>
          <c:spPr>
            <a:ln>
              <a:noFill/>
            </a:ln>
          </c:spPr>
          <c:xVal>
            <c:numRef>
              <c:f>'Gamma Target'!$C$14:$C$36</c:f>
              <c:numCache>
                <c:formatCode>0%</c:formatCode>
                <c:ptCount val="2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0.0502283105022831</c:v>
                </c:pt>
                <c:pt idx="5">
                  <c:v>0.100456621004566</c:v>
                </c:pt>
                <c:pt idx="6">
                  <c:v>0.150684931506849</c:v>
                </c:pt>
                <c:pt idx="7">
                  <c:v>0.200913242009132</c:v>
                </c:pt>
                <c:pt idx="8">
                  <c:v>0.251141552511415</c:v>
                </c:pt>
                <c:pt idx="9">
                  <c:v>0.301369863013699</c:v>
                </c:pt>
                <c:pt idx="10">
                  <c:v>0.351598173515982</c:v>
                </c:pt>
                <c:pt idx="11">
                  <c:v>0.401826484018265</c:v>
                </c:pt>
                <c:pt idx="12">
                  <c:v>0.452054794520548</c:v>
                </c:pt>
                <c:pt idx="13">
                  <c:v>0.502283105022831</c:v>
                </c:pt>
                <c:pt idx="14">
                  <c:v>0.547945205479452</c:v>
                </c:pt>
                <c:pt idx="15">
                  <c:v>0.598173515981735</c:v>
                </c:pt>
                <c:pt idx="16">
                  <c:v>0.648401826484018</c:v>
                </c:pt>
                <c:pt idx="17">
                  <c:v>0.698630136986301</c:v>
                </c:pt>
                <c:pt idx="18">
                  <c:v>0.748858447488584</c:v>
                </c:pt>
                <c:pt idx="19">
                  <c:v>0.799086757990867</c:v>
                </c:pt>
                <c:pt idx="20">
                  <c:v>0.849315068493151</c:v>
                </c:pt>
                <c:pt idx="21">
                  <c:v>0.899543378995434</c:v>
                </c:pt>
                <c:pt idx="22">
                  <c:v>0.949771689497717</c:v>
                </c:pt>
              </c:numCache>
            </c:numRef>
          </c:xVal>
          <c:yVal>
            <c:numRef>
              <c:f>'Gamma Target'!$L$14:$L$36</c:f>
              <c:numCache>
                <c:formatCode>0.00</c:formatCode>
                <c:ptCount val="23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2.125453544433878</c:v>
                </c:pt>
                <c:pt idx="6">
                  <c:v>0.0</c:v>
                </c:pt>
                <c:pt idx="7">
                  <c:v>2.22124573569484</c:v>
                </c:pt>
                <c:pt idx="8">
                  <c:v>0.0</c:v>
                </c:pt>
                <c:pt idx="9">
                  <c:v>2.292288217034907</c:v>
                </c:pt>
                <c:pt idx="10">
                  <c:v>0.0</c:v>
                </c:pt>
                <c:pt idx="11">
                  <c:v>2.287753372916612</c:v>
                </c:pt>
                <c:pt idx="12">
                  <c:v>0.0</c:v>
                </c:pt>
                <c:pt idx="13">
                  <c:v>2.269882816352871</c:v>
                </c:pt>
                <c:pt idx="14">
                  <c:v>0.0</c:v>
                </c:pt>
                <c:pt idx="15">
                  <c:v>2.291559104928567</c:v>
                </c:pt>
                <c:pt idx="16">
                  <c:v>0.0</c:v>
                </c:pt>
                <c:pt idx="17">
                  <c:v>2.287615395134763</c:v>
                </c:pt>
                <c:pt idx="18">
                  <c:v>0.0</c:v>
                </c:pt>
                <c:pt idx="19">
                  <c:v>2.234037160455342</c:v>
                </c:pt>
                <c:pt idx="20">
                  <c:v>0.0</c:v>
                </c:pt>
                <c:pt idx="21">
                  <c:v>2.269744617146716</c:v>
                </c:pt>
                <c:pt idx="22">
                  <c:v>0.0</c:v>
                </c:pt>
              </c:numCache>
            </c:numRef>
          </c:yVal>
          <c:smooth val="1"/>
        </c:ser>
        <c:ser>
          <c:idx val="3"/>
          <c:order val="3"/>
          <c:tx>
            <c:v>Interpolated</c:v>
          </c:tx>
          <c:xVal>
            <c:numRef>
              <c:f>Calculation!$H$263:$H$372</c:f>
              <c:numCache>
                <c:formatCode>General</c:formatCode>
                <c:ptCount val="110"/>
                <c:pt idx="0">
                  <c:v>0.0316227766016838</c:v>
                </c:pt>
                <c:pt idx="1">
                  <c:v>0.0447213595499958</c:v>
                </c:pt>
                <c:pt idx="2">
                  <c:v>0.0547722557505166</c:v>
                </c:pt>
                <c:pt idx="3">
                  <c:v>0.0632455532033676</c:v>
                </c:pt>
                <c:pt idx="4">
                  <c:v>0.0707106781186547</c:v>
                </c:pt>
                <c:pt idx="5">
                  <c:v>0.115872346676186</c:v>
                </c:pt>
                <c:pt idx="6">
                  <c:v>0.143060756144117</c:v>
                </c:pt>
                <c:pt idx="7">
                  <c:v>0.166606071592059</c:v>
                </c:pt>
                <c:pt idx="8">
                  <c:v>0.187832114959691</c:v>
                </c:pt>
                <c:pt idx="9">
                  <c:v>0.206750210637872</c:v>
                </c:pt>
                <c:pt idx="10">
                  <c:v>0.223077860499681</c:v>
                </c:pt>
                <c:pt idx="11">
                  <c:v>0.238333133622842</c:v>
                </c:pt>
                <c:pt idx="12">
                  <c:v>0.252711428280156</c:v>
                </c:pt>
                <c:pt idx="13">
                  <c:v>0.266353910530772</c:v>
                </c:pt>
                <c:pt idx="14">
                  <c:v>0.279366423641076</c:v>
                </c:pt>
                <c:pt idx="15">
                  <c:v>0.291830704255842</c:v>
                </c:pt>
                <c:pt idx="16">
                  <c:v>0.313385980545488</c:v>
                </c:pt>
                <c:pt idx="17">
                  <c:v>0.332067237445661</c:v>
                </c:pt>
                <c:pt idx="18">
                  <c:v>0.34946429065656</c:v>
                </c:pt>
                <c:pt idx="19">
                  <c:v>0.36579504465175</c:v>
                </c:pt>
                <c:pt idx="20">
                  <c:v>0.38122280255902</c:v>
                </c:pt>
                <c:pt idx="21">
                  <c:v>0.395873605304215</c:v>
                </c:pt>
                <c:pt idx="22">
                  <c:v>0.409722740115825</c:v>
                </c:pt>
                <c:pt idx="23">
                  <c:v>0.422885999401924</c:v>
                </c:pt>
                <c:pt idx="24">
                  <c:v>0.435520334232841</c:v>
                </c:pt>
                <c:pt idx="25">
                  <c:v>0.447681027995387</c:v>
                </c:pt>
                <c:pt idx="26">
                  <c:v>0.459414628171877</c:v>
                </c:pt>
                <c:pt idx="27">
                  <c:v>0.470760753074763</c:v>
                </c:pt>
                <c:pt idx="28">
                  <c:v>0.48175344629202</c:v>
                </c:pt>
                <c:pt idx="29">
                  <c:v>0.49242220972604</c:v>
                </c:pt>
                <c:pt idx="30">
                  <c:v>0.502825376873354</c:v>
                </c:pt>
                <c:pt idx="31">
                  <c:v>0.513567913189711</c:v>
                </c:pt>
                <c:pt idx="32">
                  <c:v>0.524041742613706</c:v>
                </c:pt>
                <c:pt idx="33">
                  <c:v>0.534264083836782</c:v>
                </c:pt>
                <c:pt idx="34">
                  <c:v>0.54425035219265</c:v>
                </c:pt>
                <c:pt idx="35">
                  <c:v>0.554014413229467</c:v>
                </c:pt>
                <c:pt idx="36">
                  <c:v>0.563568792303054</c:v>
                </c:pt>
                <c:pt idx="37">
                  <c:v>0.572924849154909</c:v>
                </c:pt>
                <c:pt idx="38">
                  <c:v>0.582092924358745</c:v>
                </c:pt>
                <c:pt idx="39">
                  <c:v>0.591082462976648</c:v>
                </c:pt>
                <c:pt idx="40">
                  <c:v>0.599836122813888</c:v>
                </c:pt>
                <c:pt idx="41">
                  <c:v>0.60816531423629</c:v>
                </c:pt>
                <c:pt idx="42">
                  <c:v>0.616349456274513</c:v>
                </c:pt>
                <c:pt idx="43">
                  <c:v>0.62439543046493</c:v>
                </c:pt>
                <c:pt idx="44">
                  <c:v>0.63230960287731</c:v>
                </c:pt>
                <c:pt idx="45">
                  <c:v>0.640097876234864</c:v>
                </c:pt>
                <c:pt idx="46">
                  <c:v>0.647765735472484</c:v>
                </c:pt>
                <c:pt idx="47">
                  <c:v>0.655318287713256</c:v>
                </c:pt>
                <c:pt idx="48">
                  <c:v>0.662760297475153</c:v>
                </c:pt>
                <c:pt idx="49">
                  <c:v>0.670096217784056</c:v>
                </c:pt>
                <c:pt idx="50">
                  <c:v>0.677330217758937</c:v>
                </c:pt>
                <c:pt idx="51">
                  <c:v>0.684466207145055</c:v>
                </c:pt>
                <c:pt idx="52">
                  <c:v>0.691507858197051</c:v>
                </c:pt>
                <c:pt idx="53">
                  <c:v>0.698458625252855</c:v>
                </c:pt>
                <c:pt idx="54">
                  <c:v>0.705013193961302</c:v>
                </c:pt>
                <c:pt idx="55">
                  <c:v>0.711485885029431</c:v>
                </c:pt>
                <c:pt idx="56">
                  <c:v>0.717887654496945</c:v>
                </c:pt>
                <c:pt idx="57">
                  <c:v>0.724221305888333</c:v>
                </c:pt>
                <c:pt idx="58">
                  <c:v>0.730489493560521</c:v>
                </c:pt>
                <c:pt idx="59">
                  <c:v>0.736694733637586</c:v>
                </c:pt>
                <c:pt idx="60">
                  <c:v>0.742839413946312</c:v>
                </c:pt>
                <c:pt idx="61">
                  <c:v>0.748925803061564</c:v>
                </c:pt>
                <c:pt idx="62">
                  <c:v>0.754956058556723</c:v>
                </c:pt>
                <c:pt idx="63">
                  <c:v>0.760932234542616</c:v>
                </c:pt>
                <c:pt idx="64">
                  <c:v>0.766856288568292</c:v>
                </c:pt>
                <c:pt idx="65">
                  <c:v>0.772730087948187</c:v>
                </c:pt>
                <c:pt idx="66">
                  <c:v>0.778555415572729</c:v>
                </c:pt>
                <c:pt idx="67">
                  <c:v>0.7843339752528</c:v>
                </c:pt>
                <c:pt idx="68">
                  <c:v>0.790067396642836</c:v>
                </c:pt>
                <c:pt idx="69">
                  <c:v>0.795757239782312</c:v>
                </c:pt>
                <c:pt idx="70">
                  <c:v>0.801575252083104</c:v>
                </c:pt>
                <c:pt idx="71">
                  <c:v>0.807581440785475</c:v>
                </c:pt>
                <c:pt idx="72">
                  <c:v>0.813527352273478</c:v>
                </c:pt>
                <c:pt idx="73">
                  <c:v>0.819414275952206</c:v>
                </c:pt>
                <c:pt idx="74">
                  <c:v>0.825243452254311</c:v>
                </c:pt>
                <c:pt idx="75">
                  <c:v>0.831016075271606</c:v>
                </c:pt>
                <c:pt idx="76">
                  <c:v>0.836733295206983</c:v>
                </c:pt>
                <c:pt idx="77">
                  <c:v>0.842396220661409</c:v>
                </c:pt>
                <c:pt idx="78">
                  <c:v>0.84800592076937</c:v>
                </c:pt>
                <c:pt idx="79">
                  <c:v>0.853563427194837</c:v>
                </c:pt>
                <c:pt idx="80">
                  <c:v>0.859069735998755</c:v>
                </c:pt>
                <c:pt idx="81">
                  <c:v>0.864525809388001</c:v>
                </c:pt>
                <c:pt idx="82">
                  <c:v>0.869932577354887</c:v>
                </c:pt>
                <c:pt idx="83">
                  <c:v>0.875290939215463</c:v>
                </c:pt>
                <c:pt idx="84">
                  <c:v>0.880601765054162</c:v>
                </c:pt>
                <c:pt idx="85">
                  <c:v>0.885865897081647</c:v>
                </c:pt>
                <c:pt idx="86">
                  <c:v>0.891084150912172</c:v>
                </c:pt>
                <c:pt idx="87">
                  <c:v>0.896257316766197</c:v>
                </c:pt>
                <c:pt idx="88">
                  <c:v>0.901304558804286</c:v>
                </c:pt>
                <c:pt idx="89">
                  <c:v>0.906316200491873</c:v>
                </c:pt>
                <c:pt idx="90">
                  <c:v>0.911292933285995</c:v>
                </c:pt>
                <c:pt idx="91">
                  <c:v>0.916235426870979</c:v>
                </c:pt>
                <c:pt idx="92">
                  <c:v>0.921144330100351</c:v>
                </c:pt>
                <c:pt idx="93">
                  <c:v>0.926020271887161</c:v>
                </c:pt>
                <c:pt idx="94">
                  <c:v>0.930863862046156</c:v>
                </c:pt>
                <c:pt idx="95">
                  <c:v>0.935675692090905</c:v>
                </c:pt>
                <c:pt idx="96">
                  <c:v>0.94045633598882</c:v>
                </c:pt>
                <c:pt idx="97">
                  <c:v>0.945206350876718</c:v>
                </c:pt>
                <c:pt idx="98">
                  <c:v>0.949926277739431</c:v>
                </c:pt>
                <c:pt idx="99">
                  <c:v>0.954616642053759</c:v>
                </c:pt>
                <c:pt idx="100">
                  <c:v>0.9592779543999</c:v>
                </c:pt>
                <c:pt idx="101">
                  <c:v>0.963910711042334</c:v>
                </c:pt>
                <c:pt idx="102">
                  <c:v>0.968515394482016</c:v>
                </c:pt>
                <c:pt idx="103">
                  <c:v>0.973092473981564</c:v>
                </c:pt>
                <c:pt idx="104">
                  <c:v>0.977642406065056</c:v>
                </c:pt>
                <c:pt idx="105">
                  <c:v>0.982165634993913</c:v>
                </c:pt>
                <c:pt idx="106">
                  <c:v>0.986662593220236</c:v>
                </c:pt>
                <c:pt idx="107">
                  <c:v>0.9911337018189</c:v>
                </c:pt>
                <c:pt idx="108">
                  <c:v>0.995579370899606</c:v>
                </c:pt>
                <c:pt idx="109">
                  <c:v>1.0</c:v>
                </c:pt>
              </c:numCache>
            </c:numRef>
          </c:xVal>
          <c:yVal>
            <c:numRef>
              <c:f>Calculation!$G$263:$G$372</c:f>
              <c:numCache>
                <c:formatCode>General</c:formatCode>
                <c:ptCount val="110"/>
                <c:pt idx="0">
                  <c:v>2.0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2.136706029777029</c:v>
                </c:pt>
                <c:pt idx="6">
                  <c:v>2.159802311201765</c:v>
                </c:pt>
                <c:pt idx="7">
                  <c:v>2.182898592626501</c:v>
                </c:pt>
                <c:pt idx="8">
                  <c:v>2.205994874051237</c:v>
                </c:pt>
                <c:pt idx="9">
                  <c:v>2.22462896691923</c:v>
                </c:pt>
                <c:pt idx="10">
                  <c:v>2.234588926062699</c:v>
                </c:pt>
                <c:pt idx="11">
                  <c:v>2.244548885206169</c:v>
                </c:pt>
                <c:pt idx="12">
                  <c:v>2.25450884434964</c:v>
                </c:pt>
                <c:pt idx="13">
                  <c:v>2.264468803493108</c:v>
                </c:pt>
                <c:pt idx="14">
                  <c:v>2.274428762636578</c:v>
                </c:pt>
                <c:pt idx="15">
                  <c:v>2.284388721780048</c:v>
                </c:pt>
                <c:pt idx="16">
                  <c:v>2.291833944375046</c:v>
                </c:pt>
                <c:pt idx="17">
                  <c:v>2.291081136072022</c:v>
                </c:pt>
                <c:pt idx="18">
                  <c:v>2.290328327768997</c:v>
                </c:pt>
                <c:pt idx="19">
                  <c:v>2.289575519465973</c:v>
                </c:pt>
                <c:pt idx="20">
                  <c:v>2.288822711162948</c:v>
                </c:pt>
                <c:pt idx="21">
                  <c:v>2.288069902859924</c:v>
                </c:pt>
                <c:pt idx="22">
                  <c:v>2.286539197235092</c:v>
                </c:pt>
                <c:pt idx="23">
                  <c:v>2.284444109284863</c:v>
                </c:pt>
                <c:pt idx="24">
                  <c:v>2.282349021334634</c:v>
                </c:pt>
                <c:pt idx="25">
                  <c:v>2.280253933384404</c:v>
                </c:pt>
                <c:pt idx="26">
                  <c:v>2.278158845434175</c:v>
                </c:pt>
                <c:pt idx="27">
                  <c:v>2.276063757483946</c:v>
                </c:pt>
                <c:pt idx="28">
                  <c:v>2.273968669533717</c:v>
                </c:pt>
                <c:pt idx="29">
                  <c:v>2.271873581583488</c:v>
                </c:pt>
                <c:pt idx="30">
                  <c:v>2.2699923690764</c:v>
                </c:pt>
                <c:pt idx="31">
                  <c:v>2.272192489930537</c:v>
                </c:pt>
                <c:pt idx="32">
                  <c:v>2.274392610784675</c:v>
                </c:pt>
                <c:pt idx="33">
                  <c:v>2.276592731638812</c:v>
                </c:pt>
                <c:pt idx="34">
                  <c:v>2.278792852492948</c:v>
                </c:pt>
                <c:pt idx="35">
                  <c:v>2.280992973347085</c:v>
                </c:pt>
                <c:pt idx="36">
                  <c:v>2.283193094201222</c:v>
                </c:pt>
                <c:pt idx="37">
                  <c:v>2.28539321505536</c:v>
                </c:pt>
                <c:pt idx="38">
                  <c:v>2.287593335909496</c:v>
                </c:pt>
                <c:pt idx="39">
                  <c:v>2.289793456763634</c:v>
                </c:pt>
                <c:pt idx="40">
                  <c:v>2.291500205183201</c:v>
                </c:pt>
                <c:pt idx="41">
                  <c:v>2.291201943494257</c:v>
                </c:pt>
                <c:pt idx="42">
                  <c:v>2.290903681805313</c:v>
                </c:pt>
                <c:pt idx="43">
                  <c:v>2.29060542011637</c:v>
                </c:pt>
                <c:pt idx="44">
                  <c:v>2.290307158427426</c:v>
                </c:pt>
                <c:pt idx="45">
                  <c:v>2.290008896738483</c:v>
                </c:pt>
                <c:pt idx="46">
                  <c:v>2.28971063504954</c:v>
                </c:pt>
                <c:pt idx="47">
                  <c:v>2.289412373360595</c:v>
                </c:pt>
                <c:pt idx="48">
                  <c:v>2.289114111671651</c:v>
                </c:pt>
                <c:pt idx="49">
                  <c:v>2.288815849982708</c:v>
                </c:pt>
                <c:pt idx="50">
                  <c:v>2.288517588293764</c:v>
                </c:pt>
                <c:pt idx="51">
                  <c:v>2.288219326604821</c:v>
                </c:pt>
                <c:pt idx="52">
                  <c:v>2.287921064915876</c:v>
                </c:pt>
                <c:pt idx="53">
                  <c:v>2.287622803226933</c:v>
                </c:pt>
                <c:pt idx="54">
                  <c:v>2.284461078870828</c:v>
                </c:pt>
                <c:pt idx="55">
                  <c:v>2.281226421617897</c:v>
                </c:pt>
                <c:pt idx="56">
                  <c:v>2.277991764364966</c:v>
                </c:pt>
                <c:pt idx="57">
                  <c:v>2.274757107112036</c:v>
                </c:pt>
                <c:pt idx="58">
                  <c:v>2.271522449859105</c:v>
                </c:pt>
                <c:pt idx="59">
                  <c:v>2.268287792606174</c:v>
                </c:pt>
                <c:pt idx="60">
                  <c:v>2.265053135353244</c:v>
                </c:pt>
                <c:pt idx="61">
                  <c:v>2.261818478100313</c:v>
                </c:pt>
                <c:pt idx="62">
                  <c:v>2.258583820847382</c:v>
                </c:pt>
                <c:pt idx="63">
                  <c:v>2.255349163594452</c:v>
                </c:pt>
                <c:pt idx="64">
                  <c:v>2.252114506341521</c:v>
                </c:pt>
                <c:pt idx="65">
                  <c:v>2.24887984908859</c:v>
                </c:pt>
                <c:pt idx="66">
                  <c:v>2.245645191835659</c:v>
                </c:pt>
                <c:pt idx="67">
                  <c:v>2.242410534582729</c:v>
                </c:pt>
                <c:pt idx="68">
                  <c:v>2.239175877329798</c:v>
                </c:pt>
                <c:pt idx="69">
                  <c:v>2.235941220076867</c:v>
                </c:pt>
                <c:pt idx="70">
                  <c:v>2.234850879329349</c:v>
                </c:pt>
                <c:pt idx="71">
                  <c:v>2.236829014263253</c:v>
                </c:pt>
                <c:pt idx="72">
                  <c:v>2.238807149197158</c:v>
                </c:pt>
                <c:pt idx="73">
                  <c:v>2.240785284131062</c:v>
                </c:pt>
                <c:pt idx="74">
                  <c:v>2.242763419064966</c:v>
                </c:pt>
                <c:pt idx="75">
                  <c:v>2.244741553998871</c:v>
                </c:pt>
                <c:pt idx="76">
                  <c:v>2.246719688932775</c:v>
                </c:pt>
                <c:pt idx="77">
                  <c:v>2.24869782386668</c:v>
                </c:pt>
                <c:pt idx="78">
                  <c:v>2.250675958800584</c:v>
                </c:pt>
                <c:pt idx="79">
                  <c:v>2.252654093734488</c:v>
                </c:pt>
                <c:pt idx="80">
                  <c:v>2.254632228668392</c:v>
                </c:pt>
                <c:pt idx="81">
                  <c:v>2.256610363602297</c:v>
                </c:pt>
                <c:pt idx="82">
                  <c:v>2.258588498536201</c:v>
                </c:pt>
                <c:pt idx="83">
                  <c:v>2.260566633470106</c:v>
                </c:pt>
                <c:pt idx="84">
                  <c:v>2.26254476840401</c:v>
                </c:pt>
                <c:pt idx="85">
                  <c:v>2.264522903337914</c:v>
                </c:pt>
                <c:pt idx="86">
                  <c:v>2.266501038271818</c:v>
                </c:pt>
                <c:pt idx="87">
                  <c:v>2.268479173205723</c:v>
                </c:pt>
                <c:pt idx="88">
                  <c:v>2.268479173205723</c:v>
                </c:pt>
                <c:pt idx="89">
                  <c:v>2.268479173205723</c:v>
                </c:pt>
                <c:pt idx="90">
                  <c:v>2.268479173205723</c:v>
                </c:pt>
                <c:pt idx="91">
                  <c:v>2.268479173205723</c:v>
                </c:pt>
                <c:pt idx="92">
                  <c:v>2.268479173205723</c:v>
                </c:pt>
                <c:pt idx="93">
                  <c:v>2.268479173205723</c:v>
                </c:pt>
                <c:pt idx="94">
                  <c:v>2.268479173205723</c:v>
                </c:pt>
                <c:pt idx="95">
                  <c:v>2.268479173205723</c:v>
                </c:pt>
                <c:pt idx="96">
                  <c:v>2.268479173205723</c:v>
                </c:pt>
                <c:pt idx="97">
                  <c:v>2.268479173205723</c:v>
                </c:pt>
                <c:pt idx="98">
                  <c:v>2.268479173205723</c:v>
                </c:pt>
                <c:pt idx="99">
                  <c:v>2.268479173205723</c:v>
                </c:pt>
                <c:pt idx="100">
                  <c:v>2.268479173205723</c:v>
                </c:pt>
                <c:pt idx="101">
                  <c:v>2.268479173205723</c:v>
                </c:pt>
                <c:pt idx="102">
                  <c:v>2.268479173205723</c:v>
                </c:pt>
                <c:pt idx="103">
                  <c:v>2.268479173205723</c:v>
                </c:pt>
                <c:pt idx="104">
                  <c:v>2.268479173205723</c:v>
                </c:pt>
                <c:pt idx="105">
                  <c:v>2.268479173205723</c:v>
                </c:pt>
                <c:pt idx="106">
                  <c:v>2.268479173205723</c:v>
                </c:pt>
                <c:pt idx="107">
                  <c:v>2.268479173205723</c:v>
                </c:pt>
                <c:pt idx="108">
                  <c:v>2.268479173205723</c:v>
                </c:pt>
                <c:pt idx="109">
                  <c:v>2.268479173205723</c:v>
                </c:pt>
              </c:numCache>
            </c:numRef>
          </c:yVal>
          <c:smooth val="1"/>
        </c:ser>
        <c:ser>
          <c:idx val="4"/>
          <c:order val="4"/>
          <c:tx>
            <c:v>Power Law</c:v>
          </c:tx>
          <c:xVal>
            <c:numRef>
              <c:f>'Gamma Target'!$C$14:$C$37</c:f>
              <c:numCache>
                <c:formatCode>0%</c:formatCode>
                <c:ptCount val="2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0.0502283105022831</c:v>
                </c:pt>
                <c:pt idx="5">
                  <c:v>0.100456621004566</c:v>
                </c:pt>
                <c:pt idx="6">
                  <c:v>0.150684931506849</c:v>
                </c:pt>
                <c:pt idx="7">
                  <c:v>0.200913242009132</c:v>
                </c:pt>
                <c:pt idx="8">
                  <c:v>0.251141552511415</c:v>
                </c:pt>
                <c:pt idx="9">
                  <c:v>0.301369863013699</c:v>
                </c:pt>
                <c:pt idx="10">
                  <c:v>0.351598173515982</c:v>
                </c:pt>
                <c:pt idx="11">
                  <c:v>0.401826484018265</c:v>
                </c:pt>
                <c:pt idx="12">
                  <c:v>0.452054794520548</c:v>
                </c:pt>
                <c:pt idx="13">
                  <c:v>0.502283105022831</c:v>
                </c:pt>
                <c:pt idx="14">
                  <c:v>0.547945205479452</c:v>
                </c:pt>
                <c:pt idx="15">
                  <c:v>0.598173515981735</c:v>
                </c:pt>
                <c:pt idx="16">
                  <c:v>0.648401826484018</c:v>
                </c:pt>
                <c:pt idx="17">
                  <c:v>0.698630136986301</c:v>
                </c:pt>
                <c:pt idx="18">
                  <c:v>0.748858447488584</c:v>
                </c:pt>
                <c:pt idx="19">
                  <c:v>0.799086757990867</c:v>
                </c:pt>
                <c:pt idx="20">
                  <c:v>0.849315068493151</c:v>
                </c:pt>
                <c:pt idx="21">
                  <c:v>0.899543378995434</c:v>
                </c:pt>
                <c:pt idx="22">
                  <c:v>0.949771689497717</c:v>
                </c:pt>
                <c:pt idx="23">
                  <c:v>1.0</c:v>
                </c:pt>
              </c:numCache>
            </c:numRef>
          </c:xVal>
          <c:yVal>
            <c:numRef>
              <c:f>'Gamma Target'!$I$14:$I$36</c:f>
              <c:numCache>
                <c:formatCode>0.00</c:formatCode>
                <c:ptCount val="23"/>
                <c:pt idx="0">
                  <c:v>2.3</c:v>
                </c:pt>
                <c:pt idx="1">
                  <c:v>2.3</c:v>
                </c:pt>
                <c:pt idx="2">
                  <c:v>2.3</c:v>
                </c:pt>
                <c:pt idx="3">
                  <c:v>2.3</c:v>
                </c:pt>
                <c:pt idx="4">
                  <c:v>2.3</c:v>
                </c:pt>
                <c:pt idx="5">
                  <c:v>2.3</c:v>
                </c:pt>
                <c:pt idx="6">
                  <c:v>2.3</c:v>
                </c:pt>
                <c:pt idx="7">
                  <c:v>2.3</c:v>
                </c:pt>
                <c:pt idx="8">
                  <c:v>2.3</c:v>
                </c:pt>
                <c:pt idx="9">
                  <c:v>2.299999999999999</c:v>
                </c:pt>
                <c:pt idx="10">
                  <c:v>2.3</c:v>
                </c:pt>
                <c:pt idx="11">
                  <c:v>2.3</c:v>
                </c:pt>
                <c:pt idx="12">
                  <c:v>2.3</c:v>
                </c:pt>
                <c:pt idx="13">
                  <c:v>2.3</c:v>
                </c:pt>
                <c:pt idx="14">
                  <c:v>2.3</c:v>
                </c:pt>
                <c:pt idx="15">
                  <c:v>2.299999999999999</c:v>
                </c:pt>
                <c:pt idx="16">
                  <c:v>2.3</c:v>
                </c:pt>
                <c:pt idx="17">
                  <c:v>2.3</c:v>
                </c:pt>
                <c:pt idx="18">
                  <c:v>2.3</c:v>
                </c:pt>
                <c:pt idx="19">
                  <c:v>2.3</c:v>
                </c:pt>
                <c:pt idx="20">
                  <c:v>2.3</c:v>
                </c:pt>
                <c:pt idx="21">
                  <c:v>2.3</c:v>
                </c:pt>
                <c:pt idx="22">
                  <c:v>2.3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020296"/>
        <c:axId val="2078025800"/>
      </c:scatterChart>
      <c:valAx>
        <c:axId val="2078020296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Stimulus</a:t>
                </a:r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crossAx val="2078025800"/>
        <c:crosses val="autoZero"/>
        <c:crossBetween val="midCat"/>
      </c:valAx>
      <c:valAx>
        <c:axId val="2078025800"/>
        <c:scaling>
          <c:orientation val="minMax"/>
          <c:max val="2.5"/>
          <c:min val="2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Gamma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crossAx val="2078020296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trlProps/ctrlProp1.xml><?xml version="1.0" encoding="utf-8"?>
<formControlPr xmlns="http://schemas.microsoft.com/office/spreadsheetml/2009/9/main" objectType="Drop" dropLines="83" dropStyle="combo" dx="16" fmlaLink="$AA$1" fmlaRange="'Color Targets'!$AF$2:$AF$3" sel="2" val="0"/>
</file>

<file path=xl/ctrlProps/ctrlProp2.xml><?xml version="1.0" encoding="utf-8"?>
<formControlPr xmlns="http://schemas.microsoft.com/office/spreadsheetml/2009/9/main" objectType="Drop" dropLines="83" dropStyle="combo" dx="16" fmlaLink="$AA$2" fmlaRange="$AG$2:$AG$3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63500</xdr:colOff>
      <xdr:row>31</xdr:row>
      <xdr:rowOff>190500</xdr:rowOff>
    </xdr:from>
    <xdr:to>
      <xdr:col>25</xdr:col>
      <xdr:colOff>558800</xdr:colOff>
      <xdr:row>44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45</xdr:row>
      <xdr:rowOff>12700</xdr:rowOff>
    </xdr:from>
    <xdr:to>
      <xdr:col>7</xdr:col>
      <xdr:colOff>736600</xdr:colOff>
      <xdr:row>46</xdr:row>
      <xdr:rowOff>165100</xdr:rowOff>
    </xdr:to>
    <xdr:sp macro="" textlink="">
      <xdr:nvSpPr>
        <xdr:cNvPr id="5" name="Up Arrow 4"/>
        <xdr:cNvSpPr/>
      </xdr:nvSpPr>
      <xdr:spPr>
        <a:xfrm>
          <a:off x="5689600" y="9321800"/>
          <a:ext cx="4318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45</xdr:row>
      <xdr:rowOff>0</xdr:rowOff>
    </xdr:from>
    <xdr:to>
      <xdr:col>8</xdr:col>
      <xdr:colOff>546100</xdr:colOff>
      <xdr:row>46</xdr:row>
      <xdr:rowOff>152400</xdr:rowOff>
    </xdr:to>
    <xdr:sp macro="" textlink="">
      <xdr:nvSpPr>
        <xdr:cNvPr id="6" name="Up Arrow 5"/>
        <xdr:cNvSpPr/>
      </xdr:nvSpPr>
      <xdr:spPr>
        <a:xfrm>
          <a:off x="6400800" y="9309100"/>
          <a:ext cx="4445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279400</xdr:colOff>
      <xdr:row>45</xdr:row>
      <xdr:rowOff>25400</xdr:rowOff>
    </xdr:from>
    <xdr:to>
      <xdr:col>10</xdr:col>
      <xdr:colOff>711200</xdr:colOff>
      <xdr:row>46</xdr:row>
      <xdr:rowOff>177800</xdr:rowOff>
    </xdr:to>
    <xdr:sp macro="" textlink="">
      <xdr:nvSpPr>
        <xdr:cNvPr id="7" name="Up Arrow 6"/>
        <xdr:cNvSpPr/>
      </xdr:nvSpPr>
      <xdr:spPr>
        <a:xfrm>
          <a:off x="7988300" y="9334500"/>
          <a:ext cx="4318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698500</xdr:colOff>
      <xdr:row>49</xdr:row>
      <xdr:rowOff>76200</xdr:rowOff>
    </xdr:from>
    <xdr:to>
      <xdr:col>16</xdr:col>
      <xdr:colOff>800100</xdr:colOff>
      <xdr:row>67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</xdr:row>
          <xdr:rowOff>355600</xdr:rowOff>
        </xdr:from>
        <xdr:to>
          <xdr:col>7</xdr:col>
          <xdr:colOff>152400</xdr:colOff>
          <xdr:row>2</xdr:row>
          <xdr:rowOff>177800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139700</xdr:colOff>
          <xdr:row>1</xdr:row>
          <xdr:rowOff>63500</xdr:rowOff>
        </xdr:from>
        <xdr:to>
          <xdr:col>7</xdr:col>
          <xdr:colOff>152400</xdr:colOff>
          <xdr:row>1</xdr:row>
          <xdr:rowOff>304800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15</xdr:col>
      <xdr:colOff>482600</xdr:colOff>
      <xdr:row>3</xdr:row>
      <xdr:rowOff>0</xdr:rowOff>
    </xdr:from>
    <xdr:to>
      <xdr:col>25</xdr:col>
      <xdr:colOff>165100</xdr:colOff>
      <xdr:row>30</xdr:row>
      <xdr:rowOff>165100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266700</xdr:colOff>
      <xdr:row>93</xdr:row>
      <xdr:rowOff>12700</xdr:rowOff>
    </xdr:from>
    <xdr:to>
      <xdr:col>7</xdr:col>
      <xdr:colOff>698500</xdr:colOff>
      <xdr:row>94</xdr:row>
      <xdr:rowOff>165100</xdr:rowOff>
    </xdr:to>
    <xdr:sp macro="" textlink="">
      <xdr:nvSpPr>
        <xdr:cNvPr id="10" name="Up Arrow 9"/>
        <xdr:cNvSpPr/>
      </xdr:nvSpPr>
      <xdr:spPr>
        <a:xfrm>
          <a:off x="5753100" y="18796000"/>
          <a:ext cx="4318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63500</xdr:colOff>
      <xdr:row>93</xdr:row>
      <xdr:rowOff>0</xdr:rowOff>
    </xdr:from>
    <xdr:to>
      <xdr:col>8</xdr:col>
      <xdr:colOff>508000</xdr:colOff>
      <xdr:row>94</xdr:row>
      <xdr:rowOff>152400</xdr:rowOff>
    </xdr:to>
    <xdr:sp macro="" textlink="">
      <xdr:nvSpPr>
        <xdr:cNvPr id="12" name="Up Arrow 11"/>
        <xdr:cNvSpPr/>
      </xdr:nvSpPr>
      <xdr:spPr>
        <a:xfrm>
          <a:off x="6464300" y="18783300"/>
          <a:ext cx="4445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241300</xdr:colOff>
      <xdr:row>93</xdr:row>
      <xdr:rowOff>25400</xdr:rowOff>
    </xdr:from>
    <xdr:to>
      <xdr:col>10</xdr:col>
      <xdr:colOff>673100</xdr:colOff>
      <xdr:row>94</xdr:row>
      <xdr:rowOff>177800</xdr:rowOff>
    </xdr:to>
    <xdr:sp macro="" textlink="">
      <xdr:nvSpPr>
        <xdr:cNvPr id="13" name="Up Arrow 12"/>
        <xdr:cNvSpPr/>
      </xdr:nvSpPr>
      <xdr:spPr>
        <a:xfrm>
          <a:off x="8051800" y="18808700"/>
          <a:ext cx="431800" cy="342900"/>
        </a:xfrm>
        <a:prstGeom prst="up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57150</xdr:colOff>
      <xdr:row>68</xdr:row>
      <xdr:rowOff>222250</xdr:rowOff>
    </xdr:from>
    <xdr:to>
      <xdr:col>25</xdr:col>
      <xdr:colOff>76200</xdr:colOff>
      <xdr:row>92</xdr:row>
      <xdr:rowOff>165100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412750</xdr:colOff>
      <xdr:row>98</xdr:row>
      <xdr:rowOff>82550</xdr:rowOff>
    </xdr:from>
    <xdr:to>
      <xdr:col>13</xdr:col>
      <xdr:colOff>609600</xdr:colOff>
      <xdr:row>128</xdr:row>
      <xdr:rowOff>165100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368300</xdr:colOff>
      <xdr:row>100</xdr:row>
      <xdr:rowOff>177800</xdr:rowOff>
    </xdr:from>
    <xdr:to>
      <xdr:col>22</xdr:col>
      <xdr:colOff>1130300</xdr:colOff>
      <xdr:row>119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8</xdr:row>
      <xdr:rowOff>76200</xdr:rowOff>
    </xdr:from>
    <xdr:to>
      <xdr:col>9</xdr:col>
      <xdr:colOff>673100</xdr:colOff>
      <xdr:row>11</xdr:row>
      <xdr:rowOff>241300</xdr:rowOff>
    </xdr:to>
    <xdr:sp macro="" textlink="">
      <xdr:nvSpPr>
        <xdr:cNvPr id="2" name="Down Arrow 1"/>
        <xdr:cNvSpPr/>
      </xdr:nvSpPr>
      <xdr:spPr>
        <a:xfrm>
          <a:off x="7620000" y="1689100"/>
          <a:ext cx="469900" cy="736600"/>
        </a:xfrm>
        <a:prstGeom prst="downArrow">
          <a:avLst/>
        </a:prstGeom>
        <a:solidFill>
          <a:srgbClr val="C0504D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95250</xdr:colOff>
      <xdr:row>10</xdr:row>
      <xdr:rowOff>76200</xdr:rowOff>
    </xdr:from>
    <xdr:to>
      <xdr:col>23</xdr:col>
      <xdr:colOff>177800</xdr:colOff>
      <xdr:row>37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41</xdr:row>
      <xdr:rowOff>0</xdr:rowOff>
    </xdr:from>
    <xdr:to>
      <xdr:col>35</xdr:col>
      <xdr:colOff>381000</xdr:colOff>
      <xdr:row>65</xdr:row>
      <xdr:rowOff>127000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50500" y="7810500"/>
          <a:ext cx="7924800" cy="469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enableFormatConditionsCalculation="0"/>
  <dimension ref="A1:AV186"/>
  <sheetViews>
    <sheetView tabSelected="1" topLeftCell="A55" workbookViewId="0">
      <selection activeCell="S96" sqref="S96"/>
    </sheetView>
  </sheetViews>
  <sheetFormatPr baseColWidth="10" defaultColWidth="11" defaultRowHeight="15" x14ac:dyDescent="0"/>
  <cols>
    <col min="1" max="1" width="13" customWidth="1"/>
    <col min="2" max="2" width="8.83203125" customWidth="1"/>
    <col min="3" max="3" width="7.1640625" customWidth="1"/>
    <col min="4" max="4" width="8.5" style="19" customWidth="1"/>
    <col min="5" max="5" width="11.33203125" customWidth="1"/>
    <col min="6" max="6" width="10.5" customWidth="1"/>
    <col min="7" max="7" width="12.6640625" customWidth="1"/>
    <col min="8" max="8" width="12" customWidth="1"/>
    <col min="9" max="9" width="8.5" style="19" customWidth="1"/>
    <col min="10" max="10" width="10" customWidth="1"/>
    <col min="11" max="11" width="11" customWidth="1"/>
    <col min="12" max="12" width="10.6640625" customWidth="1"/>
    <col min="13" max="13" width="8.1640625" customWidth="1"/>
    <col min="14" max="14" width="8.1640625" style="19" customWidth="1"/>
    <col min="23" max="23" width="15.5" bestFit="1" customWidth="1"/>
    <col min="38" max="38" width="15.1640625" customWidth="1"/>
  </cols>
  <sheetData>
    <row r="1" spans="1:38" ht="18">
      <c r="B1" s="1"/>
      <c r="C1" s="1"/>
      <c r="D1" s="18"/>
      <c r="E1" s="3"/>
      <c r="F1" s="2" t="s">
        <v>9</v>
      </c>
      <c r="G1" s="1"/>
      <c r="H1" s="1"/>
      <c r="I1" s="18"/>
      <c r="J1" s="1" t="s">
        <v>77</v>
      </c>
      <c r="K1" s="1"/>
      <c r="L1" s="1"/>
      <c r="M1" s="1"/>
      <c r="N1" s="1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66">
        <v>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3" thickBot="1">
      <c r="A2" s="121" t="s">
        <v>110</v>
      </c>
      <c r="B2" s="122">
        <v>124.54</v>
      </c>
      <c r="C2" s="148" t="s">
        <v>81</v>
      </c>
      <c r="D2" s="148"/>
      <c r="E2" s="148"/>
      <c r="F2" s="61"/>
      <c r="G2" s="62"/>
      <c r="H2" s="61"/>
      <c r="I2" s="149"/>
      <c r="J2" s="150"/>
      <c r="K2" s="58"/>
      <c r="M2" s="120"/>
      <c r="N2" s="64"/>
      <c r="AA2" s="119">
        <v>1</v>
      </c>
      <c r="AF2" s="59" t="s">
        <v>78</v>
      </c>
      <c r="AG2" s="118" t="s">
        <v>151</v>
      </c>
    </row>
    <row r="3" spans="1:38" ht="38" customHeight="1" thickTop="1" thickBot="1">
      <c r="A3" s="124" t="s">
        <v>20</v>
      </c>
      <c r="B3" s="123">
        <v>2.2999999999999998</v>
      </c>
      <c r="C3" s="146" t="str">
        <f>IF(AA1=1,"&lt;-Enter average gamma","Using measured gamma")</f>
        <v>Using measured gamma</v>
      </c>
      <c r="D3" s="147"/>
      <c r="E3" s="147"/>
      <c r="F3" s="63" t="s">
        <v>37</v>
      </c>
      <c r="G3" s="62"/>
      <c r="H3" s="61"/>
      <c r="I3" s="151"/>
      <c r="J3" s="151"/>
      <c r="K3" s="58"/>
      <c r="N3" s="65"/>
      <c r="AF3" s="59" t="s">
        <v>74</v>
      </c>
      <c r="AG3" s="118" t="s">
        <v>152</v>
      </c>
    </row>
    <row r="4" spans="1:38" ht="17" thickTop="1">
      <c r="A4" s="21" t="s">
        <v>11</v>
      </c>
      <c r="B4" s="4" t="s">
        <v>7</v>
      </c>
      <c r="C4" s="4" t="s">
        <v>8</v>
      </c>
      <c r="D4" s="20" t="s">
        <v>10</v>
      </c>
      <c r="E4" s="91" t="s">
        <v>111</v>
      </c>
      <c r="F4" s="24" t="s">
        <v>12</v>
      </c>
      <c r="G4" s="4" t="s">
        <v>7</v>
      </c>
      <c r="H4" s="4" t="s">
        <v>8</v>
      </c>
      <c r="I4" s="20" t="s">
        <v>10</v>
      </c>
      <c r="J4" s="91" t="s">
        <v>111</v>
      </c>
      <c r="K4" s="31" t="s">
        <v>13</v>
      </c>
      <c r="L4" s="25" t="s">
        <v>7</v>
      </c>
      <c r="M4" s="25" t="s">
        <v>8</v>
      </c>
      <c r="N4" s="20" t="s">
        <v>10</v>
      </c>
      <c r="O4" s="92" t="s">
        <v>111</v>
      </c>
    </row>
    <row r="5" spans="1:38">
      <c r="A5" s="5" t="s">
        <v>0</v>
      </c>
      <c r="B5" s="12">
        <f t="array" ref="B5:D11">TRANSPOSE(Calculation!AD9:AJ11)</f>
        <v>0.63999992551940899</v>
      </c>
      <c r="C5" s="12">
        <v>0.33000006827387507</v>
      </c>
      <c r="D5" s="16">
        <v>0.2126729</v>
      </c>
      <c r="E5" s="29">
        <f t="shared" ref="E5:E11" si="0">D5*$B$2</f>
        <v>26.486282966000001</v>
      </c>
      <c r="F5" s="39" t="s">
        <v>0</v>
      </c>
      <c r="G5" s="12">
        <f t="array" ref="G5:I11">TRANSPOSE(Calculation!AD14:AJ16)</f>
        <v>0.56044462383709881</v>
      </c>
      <c r="H5" s="12">
        <v>0.32976259448109052</v>
      </c>
      <c r="I5" s="16">
        <v>0.21154019677773242</v>
      </c>
      <c r="J5" s="26">
        <f t="shared" ref="J5:J11" si="1">I5*$B$2</f>
        <v>26.345216106698796</v>
      </c>
      <c r="K5" s="32" t="s">
        <v>0</v>
      </c>
      <c r="L5" s="12">
        <f t="array" ref="L5:N11">TRANSPOSE(Calculation!AD19:AJ21)</f>
        <v>0.48524770665858363</v>
      </c>
      <c r="M5" s="12">
        <v>0.32953813053273678</v>
      </c>
      <c r="N5" s="16">
        <v>0.20500129469828662</v>
      </c>
      <c r="O5" s="14">
        <f>N5*$B$2</f>
        <v>25.530861241724619</v>
      </c>
    </row>
    <row r="6" spans="1:38">
      <c r="A6" s="6" t="s">
        <v>1</v>
      </c>
      <c r="B6" s="12">
        <v>0.30000000838982271</v>
      </c>
      <c r="C6" s="12">
        <v>0.60000001677964543</v>
      </c>
      <c r="D6" s="16">
        <v>0.71515220000000002</v>
      </c>
      <c r="E6" s="29">
        <f t="shared" si="0"/>
        <v>89.065054988</v>
      </c>
      <c r="F6" s="40" t="s">
        <v>1</v>
      </c>
      <c r="G6" s="12">
        <v>0.30297707824461761</v>
      </c>
      <c r="H6" s="12">
        <v>0.5366117349349413</v>
      </c>
      <c r="I6" s="16">
        <v>0.71507897905991613</v>
      </c>
      <c r="J6" s="26">
        <f t="shared" si="1"/>
        <v>89.055936052121965</v>
      </c>
      <c r="K6" s="33" t="s">
        <v>1</v>
      </c>
      <c r="L6" s="12">
        <v>0.30625755736022842</v>
      </c>
      <c r="M6" s="12">
        <v>0.46676321108149976</v>
      </c>
      <c r="N6" s="16">
        <v>0.7059462931925079</v>
      </c>
      <c r="O6" s="14">
        <f t="shared" ref="O6:O11" si="2">N6*$B$2</f>
        <v>87.918551354194932</v>
      </c>
    </row>
    <row r="7" spans="1:38">
      <c r="A7" s="7" t="s">
        <v>2</v>
      </c>
      <c r="B7" s="12">
        <v>0.15000000831312826</v>
      </c>
      <c r="C7" s="12">
        <v>6.0000003325251315E-2</v>
      </c>
      <c r="D7" s="16">
        <v>7.2175000000000003E-2</v>
      </c>
      <c r="E7" s="29">
        <f t="shared" si="0"/>
        <v>8.9886745000000001</v>
      </c>
      <c r="F7" s="41" t="s">
        <v>2</v>
      </c>
      <c r="G7" s="12">
        <v>0.19040770799658602</v>
      </c>
      <c r="H7" s="12">
        <v>0.12680289159178096</v>
      </c>
      <c r="I7" s="16">
        <v>6.9820838403026664E-2</v>
      </c>
      <c r="J7" s="26">
        <f t="shared" si="1"/>
        <v>8.6954872147129407</v>
      </c>
      <c r="K7" s="34" t="s">
        <v>2</v>
      </c>
      <c r="L7" s="12">
        <v>0.22746039922820088</v>
      </c>
      <c r="M7" s="12">
        <v>0.18805920689084521</v>
      </c>
      <c r="N7" s="16">
        <v>6.6436702869863973E-2</v>
      </c>
      <c r="O7" s="14">
        <f t="shared" si="2"/>
        <v>8.274026975412859</v>
      </c>
    </row>
    <row r="8" spans="1:38">
      <c r="A8" s="8" t="s">
        <v>3</v>
      </c>
      <c r="B8" s="12">
        <v>0.41932009299800399</v>
      </c>
      <c r="C8" s="12">
        <v>0.50524582692013953</v>
      </c>
      <c r="D8" s="16">
        <v>0.92782509999999996</v>
      </c>
      <c r="E8" s="29">
        <f t="shared" si="0"/>
        <v>115.551337954</v>
      </c>
      <c r="F8" s="42" t="s">
        <v>3</v>
      </c>
      <c r="G8" s="12">
        <v>0.39443192090118995</v>
      </c>
      <c r="H8" s="12">
        <v>0.4641001593180249</v>
      </c>
      <c r="I8" s="16">
        <v>0.91970267688336127</v>
      </c>
      <c r="J8" s="26">
        <f t="shared" si="1"/>
        <v>114.53977137905382</v>
      </c>
      <c r="K8" s="35" t="s">
        <v>3</v>
      </c>
      <c r="L8" s="12">
        <v>0.36718821659770584</v>
      </c>
      <c r="M8" s="12">
        <v>0.41906027462255724</v>
      </c>
      <c r="N8" s="16">
        <v>0.93461745932605644</v>
      </c>
      <c r="O8" s="14">
        <f t="shared" si="2"/>
        <v>116.39725838446708</v>
      </c>
    </row>
    <row r="9" spans="1:38">
      <c r="A9" s="9" t="s">
        <v>4</v>
      </c>
      <c r="B9" s="12">
        <v>0.22465563312474432</v>
      </c>
      <c r="C9" s="12">
        <v>0.32876025920596097</v>
      </c>
      <c r="D9" s="16">
        <v>0.7873272</v>
      </c>
      <c r="E9" s="29">
        <f t="shared" si="0"/>
        <v>98.053729488000002</v>
      </c>
      <c r="F9" s="43" t="s">
        <v>4</v>
      </c>
      <c r="G9" s="93">
        <v>0.24543157739858834</v>
      </c>
      <c r="H9" s="12">
        <v>0.32882227571750772</v>
      </c>
      <c r="I9" s="16">
        <v>0.79499155193354831</v>
      </c>
      <c r="J9" s="26">
        <f t="shared" si="1"/>
        <v>99.008247877804109</v>
      </c>
      <c r="K9" s="36" t="s">
        <v>4</v>
      </c>
      <c r="L9" s="93">
        <v>0.26838800965015552</v>
      </c>
      <c r="M9" s="12">
        <v>0.32889080101903134</v>
      </c>
      <c r="N9" s="16">
        <v>0.78320589962466491</v>
      </c>
      <c r="O9" s="14">
        <f t="shared" si="2"/>
        <v>97.540462739255773</v>
      </c>
    </row>
    <row r="10" spans="1:38">
      <c r="A10" s="10" t="s">
        <v>5</v>
      </c>
      <c r="B10" s="12">
        <v>0.32093774111852907</v>
      </c>
      <c r="C10" s="12">
        <v>0.15419022119869449</v>
      </c>
      <c r="D10" s="16">
        <v>0.28484789999999999</v>
      </c>
      <c r="E10" s="29">
        <f t="shared" si="0"/>
        <v>35.474957465999999</v>
      </c>
      <c r="F10" s="44" t="s">
        <v>5</v>
      </c>
      <c r="G10" s="12">
        <v>0.31901596434838475</v>
      </c>
      <c r="H10" s="12">
        <v>0.19510902172744682</v>
      </c>
      <c r="I10" s="16">
        <v>0.27479064933215708</v>
      </c>
      <c r="J10" s="26">
        <f t="shared" si="1"/>
        <v>34.222427467826847</v>
      </c>
      <c r="K10" s="37" t="s">
        <v>5</v>
      </c>
      <c r="L10" s="12">
        <v>0.3168866284464098</v>
      </c>
      <c r="M10" s="12">
        <v>0.24044720688257376</v>
      </c>
      <c r="N10" s="16">
        <v>0.27795722478305374</v>
      </c>
      <c r="O10" s="14">
        <f t="shared" si="2"/>
        <v>34.616792774481517</v>
      </c>
    </row>
    <row r="11" spans="1:38" ht="16" thickBot="1">
      <c r="A11" s="11" t="s">
        <v>6</v>
      </c>
      <c r="B11" s="13">
        <v>0.31272660439158345</v>
      </c>
      <c r="C11" s="13">
        <v>0.32902315240275221</v>
      </c>
      <c r="D11" s="17">
        <v>1.0000001000000001</v>
      </c>
      <c r="E11" s="30">
        <f t="shared" si="0"/>
        <v>124.54001245400002</v>
      </c>
      <c r="F11" s="28" t="s">
        <v>6</v>
      </c>
      <c r="G11" s="13">
        <v>0.31272660439158345</v>
      </c>
      <c r="H11" s="13">
        <v>0.32902315240275221</v>
      </c>
      <c r="I11" s="17">
        <v>1.0000001000000001</v>
      </c>
      <c r="J11" s="27">
        <f t="shared" si="1"/>
        <v>124.54001245400002</v>
      </c>
      <c r="K11" s="38" t="s">
        <v>6</v>
      </c>
      <c r="L11" s="13">
        <v>0.31272660439158345</v>
      </c>
      <c r="M11" s="13">
        <v>0.32902315240275221</v>
      </c>
      <c r="N11" s="17">
        <v>1.0000001000000001</v>
      </c>
      <c r="O11" s="15">
        <f t="shared" si="2"/>
        <v>124.54001245400002</v>
      </c>
    </row>
    <row r="12" spans="1:38" ht="17" thickTop="1" thickBot="1">
      <c r="A12" s="22"/>
      <c r="B12" s="22"/>
      <c r="C12" s="22"/>
      <c r="D12" s="23"/>
      <c r="E12" s="22"/>
      <c r="F12" s="22"/>
      <c r="G12" s="22"/>
      <c r="H12" s="22"/>
      <c r="I12" s="23"/>
      <c r="J12" s="22"/>
      <c r="K12" s="22"/>
      <c r="L12" s="22"/>
      <c r="M12" s="22"/>
      <c r="N12" s="23"/>
      <c r="O12" s="22"/>
    </row>
    <row r="13" spans="1:38" ht="17" thickTop="1">
      <c r="A13" s="21" t="s">
        <v>14</v>
      </c>
      <c r="B13" s="4" t="s">
        <v>7</v>
      </c>
      <c r="C13" s="4" t="s">
        <v>8</v>
      </c>
      <c r="D13" s="20" t="s">
        <v>10</v>
      </c>
      <c r="E13" s="91" t="s">
        <v>111</v>
      </c>
      <c r="F13" s="24" t="s">
        <v>15</v>
      </c>
      <c r="G13" s="4" t="s">
        <v>7</v>
      </c>
      <c r="H13" s="4" t="s">
        <v>8</v>
      </c>
      <c r="I13" s="20" t="s">
        <v>10</v>
      </c>
      <c r="J13" s="91" t="s">
        <v>111</v>
      </c>
      <c r="K13" s="31" t="s">
        <v>16</v>
      </c>
      <c r="L13" s="25" t="s">
        <v>7</v>
      </c>
      <c r="M13" s="25" t="s">
        <v>8</v>
      </c>
      <c r="N13" s="20" t="s">
        <v>10</v>
      </c>
      <c r="O13" s="92" t="s">
        <v>111</v>
      </c>
    </row>
    <row r="14" spans="1:38">
      <c r="A14" s="5" t="s">
        <v>0</v>
      </c>
      <c r="B14" s="12">
        <f t="array" ref="B14:D20">TRANSPOSE(Calculation!AD24:AJ26)</f>
        <v>0.6399999255194091</v>
      </c>
      <c r="C14" s="12">
        <v>0.33000006827387512</v>
      </c>
      <c r="D14" s="16">
        <v>0.11046402789576615</v>
      </c>
      <c r="E14" s="29">
        <f t="shared" ref="E14:E20" si="3">D14*$B$2</f>
        <v>13.757190034138716</v>
      </c>
      <c r="F14" s="39" t="s">
        <v>0</v>
      </c>
      <c r="G14" s="12">
        <f t="array" ref="G14:I20">TRANSPOSE(Calculation!AD29:AJ31)</f>
        <v>0.55424422925144357</v>
      </c>
      <c r="H14" s="12">
        <v>0.32974408620838108</v>
      </c>
      <c r="I14" s="16">
        <v>0.11092736219798574</v>
      </c>
      <c r="J14" s="26">
        <f t="shared" ref="J14:J20" si="4">I14*$B$2</f>
        <v>13.814893688137145</v>
      </c>
      <c r="K14" s="32" t="s">
        <v>0</v>
      </c>
      <c r="L14" s="12">
        <f t="array" ref="L14:N20">TRANSPOSE(Calculation!AD34:AJ36)</f>
        <v>0.48129346454709304</v>
      </c>
      <c r="M14" s="12">
        <v>0.32952632705953072</v>
      </c>
      <c r="N14" s="16">
        <v>0.10596346468417198</v>
      </c>
      <c r="O14" s="14">
        <f>N14*$B$2</f>
        <v>13.196689891766779</v>
      </c>
    </row>
    <row r="15" spans="1:38">
      <c r="A15" s="6" t="s">
        <v>1</v>
      </c>
      <c r="B15" s="12">
        <v>0.30000000838982271</v>
      </c>
      <c r="C15" s="12">
        <v>0.60000001677964543</v>
      </c>
      <c r="D15" s="16">
        <v>0.37145584872599441</v>
      </c>
      <c r="E15" s="29">
        <f t="shared" si="3"/>
        <v>46.261111400335345</v>
      </c>
      <c r="F15" s="40" t="s">
        <v>1</v>
      </c>
      <c r="G15" s="12">
        <v>0.30311775425130072</v>
      </c>
      <c r="H15" s="12">
        <v>0.53361643727806762</v>
      </c>
      <c r="I15" s="16">
        <v>0.36629868598887633</v>
      </c>
      <c r="J15" s="26">
        <f t="shared" si="4"/>
        <v>45.618838353054663</v>
      </c>
      <c r="K15" s="33" t="s">
        <v>1</v>
      </c>
      <c r="L15" s="12">
        <v>0.30623308394699861</v>
      </c>
      <c r="M15" s="12">
        <v>0.4672843031925939</v>
      </c>
      <c r="N15" s="16">
        <v>0.36006191235330248</v>
      </c>
      <c r="O15" s="14">
        <f t="shared" ref="O15:O20" si="5">N15*$B$2</f>
        <v>44.842110564480294</v>
      </c>
    </row>
    <row r="16" spans="1:38">
      <c r="A16" s="7" t="s">
        <v>2</v>
      </c>
      <c r="B16" s="12">
        <v>0.15000000831312826</v>
      </c>
      <c r="C16" s="12">
        <v>6.0000003325251315E-2</v>
      </c>
      <c r="D16" s="16">
        <v>3.7488279951874086E-2</v>
      </c>
      <c r="E16" s="29">
        <f t="shared" si="3"/>
        <v>4.6687903852063988</v>
      </c>
      <c r="F16" s="41" t="s">
        <v>2</v>
      </c>
      <c r="G16" s="12">
        <v>0.19318850043398639</v>
      </c>
      <c r="H16" s="12">
        <v>0.1314001581509589</v>
      </c>
      <c r="I16" s="16">
        <v>3.938509201394591E-2</v>
      </c>
      <c r="J16" s="26">
        <f t="shared" si="4"/>
        <v>4.9050193594168237</v>
      </c>
      <c r="K16" s="34" t="s">
        <v>2</v>
      </c>
      <c r="L16" s="12">
        <v>0.23195367798160152</v>
      </c>
      <c r="M16" s="12">
        <v>0.19548759308617916</v>
      </c>
      <c r="N16" s="16">
        <v>3.6659149318161582E-2</v>
      </c>
      <c r="O16" s="14">
        <f t="shared" si="5"/>
        <v>4.5655304560838434</v>
      </c>
    </row>
    <row r="17" spans="1:15">
      <c r="A17" s="8" t="s">
        <v>3</v>
      </c>
      <c r="B17" s="12">
        <v>0.41932009299800388</v>
      </c>
      <c r="C17" s="12">
        <v>0.50524582692013942</v>
      </c>
      <c r="D17" s="16">
        <v>0.48191987662176056</v>
      </c>
      <c r="E17" s="29">
        <f t="shared" si="3"/>
        <v>60.018301434474061</v>
      </c>
      <c r="F17" s="42" t="s">
        <v>3</v>
      </c>
      <c r="G17" s="12">
        <v>0.39516492154195826</v>
      </c>
      <c r="H17" s="12">
        <v>0.46531197192522916</v>
      </c>
      <c r="I17" s="16">
        <v>0.48755852725129911</v>
      </c>
      <c r="J17" s="26">
        <f t="shared" si="4"/>
        <v>60.720538983876793</v>
      </c>
      <c r="K17" s="35" t="s">
        <v>3</v>
      </c>
      <c r="L17" s="12">
        <v>0.36657119639829955</v>
      </c>
      <c r="M17" s="12">
        <v>0.41804020340439763</v>
      </c>
      <c r="N17" s="16">
        <v>0.48179758165088948</v>
      </c>
      <c r="O17" s="14">
        <f t="shared" si="5"/>
        <v>60.003070818801781</v>
      </c>
    </row>
    <row r="18" spans="1:15">
      <c r="A18" s="9" t="s">
        <v>4</v>
      </c>
      <c r="B18" s="12">
        <v>0.22465563312474429</v>
      </c>
      <c r="C18" s="12">
        <v>0.32876025920596097</v>
      </c>
      <c r="D18" s="16">
        <v>0.4089441286778685</v>
      </c>
      <c r="E18" s="29">
        <f t="shared" si="3"/>
        <v>50.929901785541745</v>
      </c>
      <c r="F18" s="43" t="s">
        <v>4</v>
      </c>
      <c r="G18" s="93">
        <v>0.24561185123569787</v>
      </c>
      <c r="H18" s="12">
        <v>0.32882281383766987</v>
      </c>
      <c r="I18" s="16">
        <v>0.40649857611229495</v>
      </c>
      <c r="J18" s="26">
        <f t="shared" si="4"/>
        <v>50.625332669025212</v>
      </c>
      <c r="K18" s="36" t="s">
        <v>4</v>
      </c>
      <c r="L18" s="93">
        <v>0.26792112281420483</v>
      </c>
      <c r="M18" s="12">
        <v>0.32888940735468231</v>
      </c>
      <c r="N18" s="16">
        <v>0.39918404251186562</v>
      </c>
      <c r="O18" s="14">
        <f t="shared" si="5"/>
        <v>49.71438065442775</v>
      </c>
    </row>
    <row r="19" spans="1:15">
      <c r="A19" s="10" t="s">
        <v>5</v>
      </c>
      <c r="B19" s="12">
        <v>0.32093774111852907</v>
      </c>
      <c r="C19" s="12">
        <v>0.15419022119869449</v>
      </c>
      <c r="D19" s="16">
        <v>0.14795230784764024</v>
      </c>
      <c r="E19" s="29">
        <f t="shared" si="3"/>
        <v>18.425980419345116</v>
      </c>
      <c r="F19" s="44" t="s">
        <v>5</v>
      </c>
      <c r="G19" s="12">
        <v>0.31889329755368728</v>
      </c>
      <c r="H19" s="12">
        <v>0.19772086415457166</v>
      </c>
      <c r="I19" s="16">
        <v>0.14527378889324344</v>
      </c>
      <c r="J19" s="26">
        <f t="shared" si="4"/>
        <v>18.092397668764537</v>
      </c>
      <c r="K19" s="37" t="s">
        <v>5</v>
      </c>
      <c r="L19" s="12">
        <v>0.31698397122594363</v>
      </c>
      <c r="M19" s="12">
        <v>0.23837456772877663</v>
      </c>
      <c r="N19" s="16">
        <v>0.14562268140595419</v>
      </c>
      <c r="O19" s="14">
        <f t="shared" si="5"/>
        <v>18.135848742297537</v>
      </c>
    </row>
    <row r="20" spans="1:15" ht="16" thickBot="1">
      <c r="A20" s="11" t="s">
        <v>6</v>
      </c>
      <c r="B20" s="13">
        <v>0.31272660439158345</v>
      </c>
      <c r="C20" s="13">
        <v>0.32902315240275215</v>
      </c>
      <c r="D20" s="17">
        <v>0.51940815657363459</v>
      </c>
      <c r="E20" s="30">
        <f t="shared" si="3"/>
        <v>64.687091819680461</v>
      </c>
      <c r="F20" s="28" t="s">
        <v>6</v>
      </c>
      <c r="G20" s="13">
        <v>0.31272660439158345</v>
      </c>
      <c r="H20" s="13">
        <v>0.32902315240275221</v>
      </c>
      <c r="I20" s="17">
        <v>0.52008253652968661</v>
      </c>
      <c r="J20" s="27">
        <f t="shared" si="4"/>
        <v>64.771079099407174</v>
      </c>
      <c r="K20" s="38" t="s">
        <v>6</v>
      </c>
      <c r="L20" s="13">
        <v>0.31272660439158345</v>
      </c>
      <c r="M20" s="13">
        <v>0.32902315240275221</v>
      </c>
      <c r="N20" s="17">
        <v>0.52008253652968661</v>
      </c>
      <c r="O20" s="15">
        <f t="shared" si="5"/>
        <v>64.771079099407174</v>
      </c>
    </row>
    <row r="21" spans="1:15" ht="17" thickTop="1" thickBot="1">
      <c r="A21" s="22"/>
      <c r="B21" s="22"/>
      <c r="C21" s="22"/>
      <c r="D21" s="23"/>
      <c r="E21" s="22"/>
      <c r="F21" s="22"/>
      <c r="G21" s="22"/>
      <c r="H21" s="22"/>
      <c r="I21" s="23"/>
      <c r="J21" s="22"/>
      <c r="K21" s="22"/>
      <c r="L21" s="22"/>
      <c r="M21" s="22"/>
      <c r="N21" s="23"/>
      <c r="O21" s="22"/>
    </row>
    <row r="22" spans="1:15" ht="17" thickTop="1">
      <c r="A22" s="21" t="s">
        <v>17</v>
      </c>
      <c r="B22" s="4" t="s">
        <v>7</v>
      </c>
      <c r="C22" s="4" t="s">
        <v>8</v>
      </c>
      <c r="D22" s="20" t="s">
        <v>10</v>
      </c>
      <c r="E22" s="91" t="s">
        <v>111</v>
      </c>
      <c r="F22" s="24" t="s">
        <v>18</v>
      </c>
      <c r="G22" s="4" t="s">
        <v>7</v>
      </c>
      <c r="H22" s="4" t="s">
        <v>8</v>
      </c>
      <c r="I22" s="20" t="s">
        <v>10</v>
      </c>
      <c r="J22" s="91" t="s">
        <v>111</v>
      </c>
      <c r="K22" s="31" t="s">
        <v>19</v>
      </c>
      <c r="L22" s="25" t="s">
        <v>7</v>
      </c>
      <c r="M22" s="25" t="s">
        <v>8</v>
      </c>
      <c r="N22" s="20" t="s">
        <v>10</v>
      </c>
      <c r="O22" s="92" t="s">
        <v>111</v>
      </c>
    </row>
    <row r="23" spans="1:15">
      <c r="A23" s="5" t="s">
        <v>0</v>
      </c>
      <c r="B23" s="12">
        <f t="array" ref="B23:D29">TRANSPOSE(Calculation!AD39:AJ41)</f>
        <v>0.63999992551940899</v>
      </c>
      <c r="C23" s="12">
        <v>0.33000006827387507</v>
      </c>
      <c r="D23" s="16">
        <v>4.4494374976463386E-2</v>
      </c>
      <c r="E23" s="29">
        <f>D23*$B$2</f>
        <v>5.5413294595687503</v>
      </c>
      <c r="F23" s="39" t="s">
        <v>0</v>
      </c>
      <c r="G23" s="12">
        <f t="array" ref="G23:I29">TRANSPOSE(Calculation!AD44:AJ47)</f>
        <v>0.54906457094982508</v>
      </c>
      <c r="H23" s="12">
        <v>0.32972862484909765</v>
      </c>
      <c r="I23" s="16">
        <v>4.4505974414648465E-2</v>
      </c>
      <c r="J23" s="26">
        <f>I23*$B$2</f>
        <v>5.5427740536003203</v>
      </c>
      <c r="K23" s="32" t="s">
        <v>0</v>
      </c>
      <c r="L23" s="12">
        <f t="array" ref="L23:N29">TRANSPOSE(Calculation!AD49:AJ51)</f>
        <v>0.47009868567182894</v>
      </c>
      <c r="M23" s="12">
        <v>0.32949291047329859</v>
      </c>
      <c r="N23" s="16">
        <v>4.4618425572433909E-2</v>
      </c>
      <c r="O23" s="14">
        <f>N23*$B$2</f>
        <v>5.5567787207909189</v>
      </c>
    </row>
    <row r="24" spans="1:15">
      <c r="A24" s="6" t="s">
        <v>1</v>
      </c>
      <c r="B24" s="12">
        <v>0.30000000838982271</v>
      </c>
      <c r="C24" s="12">
        <v>0.60000001677964543</v>
      </c>
      <c r="D24" s="16">
        <v>0.14962061528310724</v>
      </c>
      <c r="E24" s="29">
        <f t="shared" ref="E24:E29" si="6">D24*$B$2</f>
        <v>18.633751427358177</v>
      </c>
      <c r="F24" s="40" t="s">
        <v>1</v>
      </c>
      <c r="G24" s="12">
        <v>0.30358775292986945</v>
      </c>
      <c r="H24" s="12">
        <v>0.52360914482042686</v>
      </c>
      <c r="I24" s="16">
        <v>0.14775542878291226</v>
      </c>
      <c r="J24" s="26">
        <f t="shared" ref="J24:J29" si="7">I24*$B$2</f>
        <v>18.401461100623894</v>
      </c>
      <c r="K24" s="33" t="s">
        <v>1</v>
      </c>
      <c r="L24" s="12">
        <v>0.30623189717482047</v>
      </c>
      <c r="M24" s="12">
        <v>0.46730957214931473</v>
      </c>
      <c r="N24" s="16">
        <v>0.14881519459969064</v>
      </c>
      <c r="O24" s="14">
        <f t="shared" ref="O24:O29" si="8">N24*$B$2</f>
        <v>18.533444335445473</v>
      </c>
    </row>
    <row r="25" spans="1:15">
      <c r="A25" s="7" t="s">
        <v>2</v>
      </c>
      <c r="B25" s="12">
        <v>0.15000000831312829</v>
      </c>
      <c r="C25" s="12">
        <v>6.0000003325251315E-2</v>
      </c>
      <c r="D25" s="16">
        <v>1.5100097445072904E-2</v>
      </c>
      <c r="E25" s="29">
        <f t="shared" si="6"/>
        <v>1.8805661358093795</v>
      </c>
      <c r="F25" s="41" t="s">
        <v>2</v>
      </c>
      <c r="G25" s="12">
        <v>0.20232407332934327</v>
      </c>
      <c r="H25" s="12">
        <v>0.14650328602411286</v>
      </c>
      <c r="I25" s="16">
        <v>1.7087882641248917E-2</v>
      </c>
      <c r="J25" s="26">
        <f t="shared" si="7"/>
        <v>2.1281249041411403</v>
      </c>
      <c r="K25" s="34" t="s">
        <v>2</v>
      </c>
      <c r="L25" s="12">
        <v>0.24219125710469483</v>
      </c>
      <c r="M25" s="12">
        <v>0.21241258163136306</v>
      </c>
      <c r="N25" s="16">
        <v>1.7477653902234862E-2</v>
      </c>
      <c r="O25" s="14">
        <f t="shared" si="8"/>
        <v>2.1766670169843301</v>
      </c>
    </row>
    <row r="26" spans="1:15">
      <c r="A26" s="8" t="s">
        <v>3</v>
      </c>
      <c r="B26" s="12">
        <v>0.41932009299800399</v>
      </c>
      <c r="C26" s="12">
        <v>0.50524582692013953</v>
      </c>
      <c r="D26" s="16">
        <v>0.19411499025957063</v>
      </c>
      <c r="E26" s="29">
        <f t="shared" si="6"/>
        <v>24.175080886926928</v>
      </c>
      <c r="F26" s="42" t="s">
        <v>3</v>
      </c>
      <c r="G26" s="12">
        <v>0.39329834307035483</v>
      </c>
      <c r="H26" s="12">
        <v>0.46222610378484896</v>
      </c>
      <c r="I26" s="16">
        <v>0.19658049008586223</v>
      </c>
      <c r="J26" s="26">
        <f t="shared" si="7"/>
        <v>24.482134235293284</v>
      </c>
      <c r="K26" s="35" t="s">
        <v>3</v>
      </c>
      <c r="L26" s="12">
        <v>0.3664000695441581</v>
      </c>
      <c r="M26" s="12">
        <v>0.41775729276592605</v>
      </c>
      <c r="N26" s="16">
        <v>0.1873084301662554</v>
      </c>
      <c r="O26" s="14">
        <f t="shared" si="8"/>
        <v>23.32739189290545</v>
      </c>
    </row>
    <row r="27" spans="1:15">
      <c r="A27" s="9" t="s">
        <v>4</v>
      </c>
      <c r="B27" s="12">
        <v>0.22465563312474435</v>
      </c>
      <c r="C27" s="12">
        <v>0.32876025920596097</v>
      </c>
      <c r="D27" s="16">
        <v>0.16472071272818015</v>
      </c>
      <c r="E27" s="29">
        <f t="shared" si="6"/>
        <v>20.514317563167555</v>
      </c>
      <c r="F27" s="43" t="s">
        <v>4</v>
      </c>
      <c r="G27" s="93">
        <v>0.24697413042220207</v>
      </c>
      <c r="H27" s="12">
        <v>0.32882688026188567</v>
      </c>
      <c r="I27" s="16">
        <v>0.16326345549658702</v>
      </c>
      <c r="J27" s="26">
        <f t="shared" si="7"/>
        <v>20.33283074754495</v>
      </c>
      <c r="K27" s="36" t="s">
        <v>4</v>
      </c>
      <c r="L27" s="93">
        <v>0.2665007286908605</v>
      </c>
      <c r="M27" s="12">
        <v>0.32888516745649088</v>
      </c>
      <c r="N27" s="16">
        <v>0.16435937747973337</v>
      </c>
      <c r="O27" s="14">
        <f t="shared" si="8"/>
        <v>20.469316871325994</v>
      </c>
    </row>
    <row r="28" spans="1:15">
      <c r="A28" s="10" t="s">
        <v>5</v>
      </c>
      <c r="B28" s="12">
        <v>0.32093774111852907</v>
      </c>
      <c r="C28" s="12">
        <v>0.15419022119869449</v>
      </c>
      <c r="D28" s="16">
        <v>5.9594472421536288E-2</v>
      </c>
      <c r="E28" s="29">
        <f t="shared" si="6"/>
        <v>7.42189559537813</v>
      </c>
      <c r="F28" s="44" t="s">
        <v>5</v>
      </c>
      <c r="G28" s="12">
        <v>0.31875143620371299</v>
      </c>
      <c r="H28" s="12">
        <v>0.20074140034405968</v>
      </c>
      <c r="I28" s="16">
        <v>5.9975652298673424E-2</v>
      </c>
      <c r="J28" s="26">
        <f t="shared" si="7"/>
        <v>7.4693677372767882</v>
      </c>
      <c r="K28" s="37" t="s">
        <v>5</v>
      </c>
      <c r="L28" s="12">
        <v>0.31661172002275773</v>
      </c>
      <c r="M28" s="12">
        <v>0.24630060417920518</v>
      </c>
      <c r="N28" s="16">
        <v>5.8821211407995663E-2</v>
      </c>
      <c r="O28" s="14">
        <f t="shared" si="8"/>
        <v>7.3255936687517806</v>
      </c>
    </row>
    <row r="29" spans="1:15" ht="16" thickBot="1">
      <c r="A29" s="11" t="s">
        <v>6</v>
      </c>
      <c r="B29" s="13">
        <v>0.31272660439158345</v>
      </c>
      <c r="C29" s="13">
        <v>0.32902315240275215</v>
      </c>
      <c r="D29" s="17">
        <v>0.20973230802429108</v>
      </c>
      <c r="E29" s="30">
        <f t="shared" si="6"/>
        <v>26.120061641345213</v>
      </c>
      <c r="F29" s="28" t="s">
        <v>6</v>
      </c>
      <c r="G29" s="13">
        <v>0.31272660439158345</v>
      </c>
      <c r="H29" s="13">
        <v>0.32902315240275215</v>
      </c>
      <c r="I29" s="17">
        <v>0.20973230802429108</v>
      </c>
      <c r="J29" s="27">
        <f t="shared" si="7"/>
        <v>26.120061641345213</v>
      </c>
      <c r="K29" s="38" t="s">
        <v>6</v>
      </c>
      <c r="L29" s="13">
        <v>0.31272660439158345</v>
      </c>
      <c r="M29" s="13">
        <v>0.32902315240275215</v>
      </c>
      <c r="N29" s="17">
        <v>0.20973230802429108</v>
      </c>
      <c r="O29" s="15">
        <f t="shared" si="8"/>
        <v>26.120061641345213</v>
      </c>
    </row>
    <row r="30" spans="1:15" ht="15" customHeight="1" thickTop="1">
      <c r="A30" s="22"/>
      <c r="B30" s="22"/>
      <c r="C30" s="22"/>
      <c r="D30" s="23"/>
      <c r="E30" s="22"/>
      <c r="F30" s="22"/>
      <c r="G30" s="22"/>
      <c r="H30" s="22"/>
      <c r="I30" s="23"/>
      <c r="J30" s="22"/>
      <c r="K30" s="22"/>
      <c r="L30" s="22"/>
      <c r="M30" s="22"/>
      <c r="N30" s="23"/>
      <c r="O30" s="22"/>
    </row>
    <row r="31" spans="1:15" ht="14" customHeight="1">
      <c r="D31"/>
      <c r="I31"/>
      <c r="N31"/>
    </row>
    <row r="32" spans="1:15" ht="18">
      <c r="A32" s="46" t="s">
        <v>170</v>
      </c>
      <c r="D32"/>
      <c r="I32"/>
      <c r="N32"/>
    </row>
    <row r="33" spans="1:17" ht="18">
      <c r="A33" s="2"/>
      <c r="B33" s="54" t="s">
        <v>7</v>
      </c>
      <c r="C33" s="54" t="s">
        <v>8</v>
      </c>
      <c r="D33" s="54" t="s">
        <v>10</v>
      </c>
      <c r="E33" s="94" t="s">
        <v>112</v>
      </c>
      <c r="G33" s="87" t="s">
        <v>82</v>
      </c>
      <c r="H33" s="54" t="s">
        <v>7</v>
      </c>
      <c r="I33" s="54" t="s">
        <v>8</v>
      </c>
      <c r="J33" s="54" t="s">
        <v>10</v>
      </c>
      <c r="K33" s="94" t="s">
        <v>112</v>
      </c>
      <c r="L33" s="68" t="s">
        <v>106</v>
      </c>
      <c r="M33" s="68" t="s">
        <v>107</v>
      </c>
      <c r="N33" s="68" t="s">
        <v>108</v>
      </c>
      <c r="O33" s="68" t="s">
        <v>109</v>
      </c>
      <c r="P33" s="68" t="s">
        <v>140</v>
      </c>
    </row>
    <row r="34" spans="1:17">
      <c r="A34" s="69" t="s">
        <v>21</v>
      </c>
      <c r="B34" s="81">
        <f t="array" ref="B34:D45">TRANSPOSE(Calculation!AY55:BJ57)</f>
        <v>0.40321384117860237</v>
      </c>
      <c r="C34" s="81">
        <v>0.3568480417211552</v>
      </c>
      <c r="D34" s="82">
        <v>9.3552266027916331E-2</v>
      </c>
      <c r="E34" s="103">
        <f>D34*$B$2</f>
        <v>11.6509992111167</v>
      </c>
      <c r="G34" s="69" t="s">
        <v>21</v>
      </c>
      <c r="H34" s="113">
        <v>0.40841899999999998</v>
      </c>
      <c r="I34" s="113">
        <v>0.360653</v>
      </c>
      <c r="J34" s="89">
        <f t="shared" ref="J34:J45" si="9">K34/$B$2</f>
        <v>9.1615729885980393E-2</v>
      </c>
      <c r="K34" s="113">
        <v>11.409822999999999</v>
      </c>
      <c r="L34" s="106">
        <f>Calculation!K130-Calculation!K115</f>
        <v>-0.36588717286259254</v>
      </c>
      <c r="M34" s="106">
        <f>SQRT(Calculation!L130^2+Calculation!M130^2)-SQRT(Calculation!L115^2+Calculation!M115^2)</f>
        <v>0.88440920257595224</v>
      </c>
      <c r="N34" s="106">
        <f>SQRT((Calculation!L115-Calculation!L130)^2+(Calculation!M115-Calculation!M130)^2-M34^2)</f>
        <v>0.73545038976326182</v>
      </c>
      <c r="O34" s="100">
        <f>SQRT(L34^2+(M34/Calculation!O115)^2+(N34/Calculation!P115)^2)</f>
        <v>0.82929871954845036</v>
      </c>
      <c r="P34" s="100">
        <f>Calculation!Z143</f>
        <v>0.84581604312020797</v>
      </c>
    </row>
    <row r="35" spans="1:17">
      <c r="A35" s="70" t="s">
        <v>22</v>
      </c>
      <c r="B35" s="83">
        <v>0.39039074572284888</v>
      </c>
      <c r="C35" s="83">
        <v>0.35233529576468203</v>
      </c>
      <c r="D35" s="84">
        <v>0.33962993545525066</v>
      </c>
      <c r="E35" s="104">
        <f t="shared" ref="E35:E45" si="10">D35*$B$2</f>
        <v>42.29751216159692</v>
      </c>
      <c r="G35" s="70" t="s">
        <v>22</v>
      </c>
      <c r="H35" s="114">
        <v>0.39772999999999997</v>
      </c>
      <c r="I35" s="114">
        <v>0.35244399999999998</v>
      </c>
      <c r="J35" s="89">
        <f t="shared" si="9"/>
        <v>0.32272382367110969</v>
      </c>
      <c r="K35" s="114">
        <v>40.192025000000001</v>
      </c>
      <c r="L35" s="106">
        <f>Calculation!K131-Calculation!K116</f>
        <v>-1.3658181313844722</v>
      </c>
      <c r="M35" s="106">
        <f>SQRT(Calculation!L131^2+Calculation!M131^2)-SQRT(Calculation!L116^2+Calculation!M116^2)</f>
        <v>1.9986988861829964</v>
      </c>
      <c r="N35" s="106">
        <f>SQRT((Calculation!L116-Calculation!L131)^2+(Calculation!M116-Calculation!M131)^2-M35^2)</f>
        <v>0.64167165169785934</v>
      </c>
      <c r="O35" s="101">
        <f>SQRT(L35^2+(M35/Calculation!O116)^2+(N35/Calculation!P116)^2)</f>
        <v>1.7197206239589344</v>
      </c>
      <c r="P35" s="101">
        <f>Calculation!Z144</f>
        <v>1.5871792455134521</v>
      </c>
    </row>
    <row r="36" spans="1:17">
      <c r="A36" s="71" t="s">
        <v>23</v>
      </c>
      <c r="B36" s="83">
        <v>0.24573824630958993</v>
      </c>
      <c r="C36" s="83">
        <v>0.26550553042538205</v>
      </c>
      <c r="D36" s="84">
        <v>0.17780171384872101</v>
      </c>
      <c r="E36" s="104">
        <f t="shared" si="10"/>
        <v>22.143425442719717</v>
      </c>
      <c r="G36" s="71" t="s">
        <v>23</v>
      </c>
      <c r="H36" s="114">
        <v>0.242143</v>
      </c>
      <c r="I36" s="116">
        <v>0.26463700000000001</v>
      </c>
      <c r="J36" s="89">
        <f t="shared" si="9"/>
        <v>0.1674328649429902</v>
      </c>
      <c r="K36" s="114">
        <v>20.852088999999999</v>
      </c>
      <c r="L36" s="106">
        <f>Calculation!K132-Calculation!K117</f>
        <v>-1.2934520267249212</v>
      </c>
      <c r="M36" s="106">
        <f>SQRT(Calculation!L132^2+Calculation!M132^2)-SQRT(Calculation!L117^2+Calculation!M117^2)</f>
        <v>0.25035808871006182</v>
      </c>
      <c r="N36" s="106">
        <f>SQRT((Calculation!L117-Calculation!L132)^2+(Calculation!M117-Calculation!M132)^2-M36^2)</f>
        <v>0.96733066315047633</v>
      </c>
      <c r="O36" s="101">
        <f>SQRT(L36^2+(M36/Calculation!O117)^2+(N36/Calculation!P117)^2)</f>
        <v>1.4907087561051817</v>
      </c>
      <c r="P36" s="101">
        <f>Calculation!Z145</f>
        <v>1.5828795203619273</v>
      </c>
    </row>
    <row r="37" spans="1:17">
      <c r="A37" s="72" t="s">
        <v>24</v>
      </c>
      <c r="B37" s="83">
        <v>0.34001314622069628</v>
      </c>
      <c r="C37" s="83">
        <v>0.43110872972249525</v>
      </c>
      <c r="D37" s="84">
        <v>0.12468342960299562</v>
      </c>
      <c r="E37" s="104">
        <f t="shared" si="10"/>
        <v>15.528074322757076</v>
      </c>
      <c r="G37" s="72" t="s">
        <v>24</v>
      </c>
      <c r="H37" s="114">
        <v>0.34056999999999998</v>
      </c>
      <c r="I37" s="114">
        <v>0.44148399999999999</v>
      </c>
      <c r="J37" s="89">
        <f t="shared" si="9"/>
        <v>0.1218894732616027</v>
      </c>
      <c r="K37" s="114">
        <v>15.180115000000001</v>
      </c>
      <c r="L37" s="106">
        <f>Calculation!K133-Calculation!K118</f>
        <v>-0.43613717725308732</v>
      </c>
      <c r="M37" s="106">
        <f>SQRT(Calculation!L133^2+Calculation!M133^2)-SQRT(Calculation!L118^2+Calculation!M118^2)</f>
        <v>2.3212346168447588</v>
      </c>
      <c r="N37" s="106">
        <f>SQRT((Calculation!L118-Calculation!L133)^2+(Calculation!M118-Calculation!M133)^2-M37^2)</f>
        <v>0.30492125985160529</v>
      </c>
      <c r="O37" s="101">
        <f>SQRT(L37^2+(M37/Calculation!O118)^2+(N37/Calculation!P118)^2)</f>
        <v>1.1744726011618933</v>
      </c>
      <c r="P37" s="101">
        <f>Calculation!Z146</f>
        <v>1.163693508856426</v>
      </c>
    </row>
    <row r="38" spans="1:17">
      <c r="A38" s="73" t="s">
        <v>25</v>
      </c>
      <c r="B38" s="83">
        <v>0.26747953736837393</v>
      </c>
      <c r="C38" s="83">
        <v>0.25241969427484034</v>
      </c>
      <c r="D38" s="84">
        <v>0.22545804013241325</v>
      </c>
      <c r="E38" s="104">
        <f t="shared" si="10"/>
        <v>28.078544318090746</v>
      </c>
      <c r="G38" s="73" t="s">
        <v>25</v>
      </c>
      <c r="H38" s="114">
        <v>0.26616800000000002</v>
      </c>
      <c r="I38" s="114">
        <v>0.24794099999999999</v>
      </c>
      <c r="J38" s="89">
        <f t="shared" si="9"/>
        <v>0.21021229323911997</v>
      </c>
      <c r="K38" s="114">
        <v>26.179839000000001</v>
      </c>
      <c r="L38" s="106">
        <f>Calculation!K134-Calculation!K119</f>
        <v>-1.6286658055712735</v>
      </c>
      <c r="M38" s="106">
        <f>SQRT(Calculation!L134^2+Calculation!M134^2)-SQRT(Calculation!L119^2+Calculation!M119^2)</f>
        <v>1.2347754282528385</v>
      </c>
      <c r="N38" s="106">
        <f>SQRT((Calculation!L119-Calculation!L134)^2+(Calculation!M119-Calculation!M134)^2-M38^2)</f>
        <v>0.61486544298070889</v>
      </c>
      <c r="O38" s="101">
        <f>SQRT(L38^2+(M38/Calculation!O119)^2+(N38/Calculation!P119)^2)</f>
        <v>1.7748166517318209</v>
      </c>
      <c r="P38" s="101">
        <f>Calculation!Z147</f>
        <v>1.7225651179185435</v>
      </c>
    </row>
    <row r="39" spans="1:17">
      <c r="A39" s="74" t="s">
        <v>26</v>
      </c>
      <c r="B39" s="83">
        <v>0.25592802340293064</v>
      </c>
      <c r="C39" s="83">
        <v>0.35785157671749884</v>
      </c>
      <c r="D39" s="84">
        <v>0.41108936883738545</v>
      </c>
      <c r="E39" s="104">
        <f t="shared" si="10"/>
        <v>51.197069995007986</v>
      </c>
      <c r="G39" s="74" t="s">
        <v>26</v>
      </c>
      <c r="H39" s="114">
        <v>0.25722400000000001</v>
      </c>
      <c r="I39" s="114">
        <v>0.35779499999999997</v>
      </c>
      <c r="J39" s="89">
        <f t="shared" si="9"/>
        <v>0.39088512927573466</v>
      </c>
      <c r="K39" s="114">
        <v>48.680833999999997</v>
      </c>
      <c r="L39" s="106">
        <f>Calculation!K135-Calculation!K120</f>
        <v>-1.4368450184694552</v>
      </c>
      <c r="M39" s="106">
        <f>SQRT(Calculation!L135^2+Calculation!M135^2)-SQRT(Calculation!L120^2+Calculation!M120^2)</f>
        <v>-1.135774247694755</v>
      </c>
      <c r="N39" s="106">
        <f>SQRT((Calculation!L120-Calculation!L135)^2+(Calculation!M120-Calculation!M135)^2-M39^2)</f>
        <v>0.1586410421417028</v>
      </c>
      <c r="O39" s="101">
        <f>SQRT(L39^2+(M39/Calculation!O120)^2+(N39/Calculation!P120)^2)</f>
        <v>1.5099161693849286</v>
      </c>
      <c r="P39" s="101">
        <f>Calculation!Z148</f>
        <v>1.2196244584376958</v>
      </c>
    </row>
    <row r="40" spans="1:17">
      <c r="A40" s="75" t="s">
        <v>27</v>
      </c>
      <c r="B40" s="83">
        <v>0.51215226408896475</v>
      </c>
      <c r="C40" s="83">
        <v>0.400553411925817</v>
      </c>
      <c r="D40" s="84">
        <v>0.29738540978418271</v>
      </c>
      <c r="E40" s="104">
        <f t="shared" si="10"/>
        <v>37.036378934522119</v>
      </c>
      <c r="G40" s="75" t="s">
        <v>27</v>
      </c>
      <c r="H40" s="114">
        <v>0.50941099999999995</v>
      </c>
      <c r="I40" s="114">
        <v>0.39992299999999997</v>
      </c>
      <c r="J40" s="89">
        <f t="shared" si="9"/>
        <v>0.29749719768748994</v>
      </c>
      <c r="K40" s="114">
        <v>37.050300999999997</v>
      </c>
      <c r="L40" s="106">
        <f>Calculation!K136-Calculation!K121</f>
        <v>9.7005724576035846E-3</v>
      </c>
      <c r="M40" s="106">
        <f>SQRT(Calculation!L136^2+Calculation!M136^2)-SQRT(Calculation!L121^2+Calculation!M121^2)</f>
        <v>-1.1153376712777714</v>
      </c>
      <c r="N40" s="106">
        <f>SQRT((Calculation!L121-Calculation!L136)^2+(Calculation!M121-Calculation!M136)^2-M40^2)</f>
        <v>0.15559724653379867</v>
      </c>
      <c r="O40" s="101">
        <f>SQRT(L40^2+(M40/Calculation!O121)^2+(N40/Calculation!P121)^2)</f>
        <v>0.29384259178654965</v>
      </c>
      <c r="P40" s="101">
        <f>Calculation!Z149</f>
        <v>0.2982996174297205</v>
      </c>
    </row>
    <row r="41" spans="1:17">
      <c r="A41" s="76" t="s">
        <v>28</v>
      </c>
      <c r="B41" s="83">
        <v>0.20617889679166562</v>
      </c>
      <c r="C41" s="83">
        <v>0.17618445798604693</v>
      </c>
      <c r="D41" s="84">
        <v>0.10906318811781189</v>
      </c>
      <c r="E41" s="104">
        <f t="shared" si="10"/>
        <v>13.582729448192293</v>
      </c>
      <c r="G41" s="76" t="s">
        <v>28</v>
      </c>
      <c r="H41" s="114">
        <v>0.20791899999999999</v>
      </c>
      <c r="I41" s="114">
        <v>0.176846</v>
      </c>
      <c r="J41" s="89">
        <f t="shared" si="9"/>
        <v>0.10534645896900593</v>
      </c>
      <c r="K41" s="114">
        <v>13.119847999999999</v>
      </c>
      <c r="L41" s="106">
        <f>Calculation!K137-Calculation!K122</f>
        <v>-0.63686238743294155</v>
      </c>
      <c r="M41" s="106">
        <f>SQRT(Calculation!L137^2+Calculation!M137^2)-SQRT(Calculation!L122^2+Calculation!M122^2)</f>
        <v>-0.75028327875777734</v>
      </c>
      <c r="N41" s="106">
        <f>SQRT((Calculation!L122-Calculation!L137)^2+(Calculation!M122-Calculation!M137)^2-M41^2)</f>
        <v>0.49687522771411596</v>
      </c>
      <c r="O41" s="101">
        <f>SQRT(L41^2+(M41/Calculation!O122)^2+(N41/Calculation!P122)^2)</f>
        <v>0.7371591950583376</v>
      </c>
      <c r="P41" s="101">
        <f>Calculation!Z150</f>
        <v>0.65472155881182381</v>
      </c>
    </row>
    <row r="42" spans="1:17">
      <c r="A42" s="77" t="s">
        <v>29</v>
      </c>
      <c r="B42" s="83">
        <v>0.4754305760289298</v>
      </c>
      <c r="C42" s="83">
        <v>0.31126718249643082</v>
      </c>
      <c r="D42" s="84">
        <v>0.18424454535393442</v>
      </c>
      <c r="E42" s="104">
        <f t="shared" si="10"/>
        <v>22.945815678378995</v>
      </c>
      <c r="G42" s="77" t="s">
        <v>29</v>
      </c>
      <c r="H42" s="114">
        <v>0.47115099999999999</v>
      </c>
      <c r="I42" s="114">
        <v>0.30923299999999998</v>
      </c>
      <c r="J42" s="89">
        <f t="shared" si="9"/>
        <v>0.18527006584229963</v>
      </c>
      <c r="K42" s="114">
        <v>23.073533999999999</v>
      </c>
      <c r="L42" s="106">
        <f>Calculation!K138-Calculation!K123</f>
        <v>0.12224017095024919</v>
      </c>
      <c r="M42" s="106">
        <f>SQRT(Calculation!L138^2+Calculation!M138^2)-SQRT(Calculation!L123^2+Calculation!M123^2)</f>
        <v>-0.52761640276251853</v>
      </c>
      <c r="N42" s="106">
        <f>SQRT((Calculation!L123-Calculation!L138)^2+(Calculation!M123-Calculation!M138)^2-M42^2)</f>
        <v>1.0280450722033625</v>
      </c>
      <c r="O42" s="101">
        <f>SQRT(L42^2+(M42/Calculation!O123)^2+(N42/Calculation!P123)^2)</f>
        <v>0.61429804147589262</v>
      </c>
      <c r="P42" s="101">
        <f>Calculation!Z151</f>
        <v>0.73816313377091747</v>
      </c>
    </row>
    <row r="43" spans="1:17">
      <c r="A43" s="78" t="s">
        <v>30</v>
      </c>
      <c r="B43" s="83">
        <v>0.2936818418365999</v>
      </c>
      <c r="C43" s="83">
        <v>0.22066104955393287</v>
      </c>
      <c r="D43" s="84">
        <v>6.1107966463616679E-2</v>
      </c>
      <c r="E43" s="104">
        <f t="shared" si="10"/>
        <v>7.6103861433788218</v>
      </c>
      <c r="G43" s="78" t="s">
        <v>30</v>
      </c>
      <c r="H43" s="114">
        <v>0.29322700000000002</v>
      </c>
      <c r="I43" s="114">
        <v>0.21398600000000001</v>
      </c>
      <c r="J43" s="89">
        <f t="shared" si="9"/>
        <v>5.7424787216958408E-2</v>
      </c>
      <c r="K43" s="114">
        <v>7.1516830000000002</v>
      </c>
      <c r="L43" s="106">
        <f>Calculation!K139-Calculation!K124</f>
        <v>-0.93705486603136023</v>
      </c>
      <c r="M43" s="106">
        <f>SQRT(Calculation!L139^2+Calculation!M139^2)-SQRT(Calculation!L124^2+Calculation!M124^2)</f>
        <v>1.9205645919219947</v>
      </c>
      <c r="N43" s="106">
        <f>SQRT((Calculation!L124-Calculation!L139)^2+(Calculation!M124-Calculation!M139)^2-M43^2)</f>
        <v>0.28523991265425219</v>
      </c>
      <c r="O43" s="101">
        <f>SQRT(L43^2+(M43/Calculation!O124)^2+(N43/Calculation!P124)^2)</f>
        <v>1.2454564937303501</v>
      </c>
      <c r="P43" s="101">
        <f>Calculation!Z152</f>
        <v>1.0852469258358528</v>
      </c>
    </row>
    <row r="44" spans="1:17">
      <c r="A44" s="79" t="s">
        <v>31</v>
      </c>
      <c r="B44" s="83">
        <v>0.37467417619803506</v>
      </c>
      <c r="C44" s="83">
        <v>0.49875392768334781</v>
      </c>
      <c r="D44" s="84">
        <v>0.43565985193703738</v>
      </c>
      <c r="E44" s="104">
        <f t="shared" si="10"/>
        <v>54.257077960238639</v>
      </c>
      <c r="G44" s="79" t="s">
        <v>31</v>
      </c>
      <c r="H44" s="114">
        <v>0.374033</v>
      </c>
      <c r="I44" s="114">
        <v>0.49378499999999997</v>
      </c>
      <c r="J44" s="89">
        <f t="shared" si="9"/>
        <v>0.42397946844387341</v>
      </c>
      <c r="K44" s="114">
        <v>52.802402999999998</v>
      </c>
      <c r="L44" s="106">
        <f>Calculation!K140-Calculation!K125</f>
        <v>-0.79302065901656249</v>
      </c>
      <c r="M44" s="106">
        <f>SQRT(Calculation!L140^2+Calculation!M140^2)-SQRT(Calculation!L125^2+Calculation!M125^2)</f>
        <v>-2.4995920536722736</v>
      </c>
      <c r="N44" s="106">
        <f>SQRT((Calculation!L125-Calculation!L140)^2+(Calculation!M125-Calculation!M140)^2-M44^2)</f>
        <v>0.13577171817159878</v>
      </c>
      <c r="O44" s="101">
        <f>SQRT(L44^2+(M44/Calculation!O125)^2+(N44/Calculation!P125)^2)</f>
        <v>1.0196668809156331</v>
      </c>
      <c r="P44" s="101">
        <f>Calculation!Z153</f>
        <v>0.88586988194093941</v>
      </c>
    </row>
    <row r="45" spans="1:17">
      <c r="A45" s="80" t="s">
        <v>32</v>
      </c>
      <c r="B45" s="85">
        <v>0.47781697540671042</v>
      </c>
      <c r="C45" s="85">
        <v>0.4404944404856681</v>
      </c>
      <c r="D45" s="86">
        <v>0.41714884143767178</v>
      </c>
      <c r="E45" s="105">
        <f t="shared" si="10"/>
        <v>51.951716712647645</v>
      </c>
      <c r="G45" s="80" t="s">
        <v>32</v>
      </c>
      <c r="H45" s="115">
        <v>0.478792</v>
      </c>
      <c r="I45" s="115">
        <v>0.43688700000000003</v>
      </c>
      <c r="J45" s="89">
        <f t="shared" si="9"/>
        <v>0.40546475831058293</v>
      </c>
      <c r="K45" s="115">
        <v>50.496580999999999</v>
      </c>
      <c r="L45" s="106">
        <f>Calculation!K141-Calculation!K126</f>
        <v>-0.81690271490157329</v>
      </c>
      <c r="M45" s="106">
        <f>SQRT(Calculation!L141^2+Calculation!M141^2)-SQRT(Calculation!L126^2+Calculation!M126^2)</f>
        <v>-1.3712417092237956</v>
      </c>
      <c r="N45" s="106">
        <f>SQRT((Calculation!L126-Calculation!L141)^2+(Calculation!M126-Calculation!M141)^2-M45^2)</f>
        <v>1.5699349039307691</v>
      </c>
      <c r="O45" s="102">
        <f>SQRT(L45^2+(M45/Calculation!O126)^2+(N45/Calculation!P126)^2)</f>
        <v>1.1736772804203714</v>
      </c>
      <c r="P45" s="102">
        <f>Calculation!Z154</f>
        <v>1.0423953176073182</v>
      </c>
    </row>
    <row r="46" spans="1:17">
      <c r="L46" s="111">
        <f>AVERAGE(L34:L45)</f>
        <v>-0.79822543468669893</v>
      </c>
      <c r="M46" s="111">
        <f>AVERAGE(M34:M45)</f>
        <v>0.10084962092497592</v>
      </c>
      <c r="N46" s="111">
        <f>AVERAGE(N34:N45)</f>
        <v>0.59119537756612595</v>
      </c>
      <c r="O46" s="112">
        <f>AVERAGE(O34:O45)</f>
        <v>1.1319195004398619</v>
      </c>
      <c r="P46" s="112">
        <f>AVERAGE(P34:P45)</f>
        <v>1.0688711941337354</v>
      </c>
      <c r="Q46" s="110" t="s">
        <v>143</v>
      </c>
    </row>
    <row r="47" spans="1:17">
      <c r="D47"/>
      <c r="L47" s="111">
        <f>MIN(L34:L45)</f>
        <v>-1.6286658055712735</v>
      </c>
      <c r="M47" s="111">
        <f>MIN(M34:M45)</f>
        <v>-2.4995920536722736</v>
      </c>
      <c r="N47" s="111">
        <f>MIN(N34:N45)</f>
        <v>0.13577171817159878</v>
      </c>
      <c r="O47" s="112">
        <f>MIN(O34:O45)</f>
        <v>0.29384259178654965</v>
      </c>
      <c r="P47" s="112">
        <f>MIN(P34:P45)</f>
        <v>0.2982996174297205</v>
      </c>
      <c r="Q47" s="110" t="s">
        <v>144</v>
      </c>
    </row>
    <row r="48" spans="1:17" ht="18">
      <c r="H48" s="2" t="s">
        <v>141</v>
      </c>
      <c r="L48" s="111">
        <f>MAX(L34:L45)</f>
        <v>0.12224017095024919</v>
      </c>
      <c r="M48" s="111">
        <f>MAX(M34:M45)</f>
        <v>2.3212346168447588</v>
      </c>
      <c r="N48" s="111">
        <f>MAX(N34:N45)</f>
        <v>1.5699349039307691</v>
      </c>
      <c r="O48" s="112">
        <f>MAX(O34:O45)</f>
        <v>1.7748166517318209</v>
      </c>
      <c r="P48" s="112">
        <f>MAX(P34:P45)</f>
        <v>1.7225651179185435</v>
      </c>
      <c r="Q48" s="110" t="s">
        <v>145</v>
      </c>
    </row>
    <row r="49" spans="6:17" ht="18">
      <c r="F49" s="49"/>
      <c r="G49" s="49"/>
      <c r="H49" s="109" t="s">
        <v>142</v>
      </c>
      <c r="I49" s="49"/>
      <c r="J49" s="49"/>
      <c r="K49" s="49"/>
      <c r="L49" s="49"/>
      <c r="M49" s="49"/>
      <c r="N49" s="49"/>
      <c r="O49" s="49"/>
    </row>
    <row r="50" spans="6:17">
      <c r="I50"/>
      <c r="N50"/>
    </row>
    <row r="51" spans="6:17">
      <c r="I51"/>
      <c r="N51"/>
    </row>
    <row r="52" spans="6:17"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</row>
    <row r="53" spans="6:17"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6:17">
      <c r="F54" s="49"/>
      <c r="G54" s="49"/>
      <c r="H54" s="49"/>
      <c r="I54" s="49"/>
      <c r="J54" s="49"/>
      <c r="K54" s="49"/>
      <c r="L54" s="49"/>
      <c r="M54" s="49"/>
      <c r="N54" s="49"/>
      <c r="O54" s="49"/>
    </row>
    <row r="55" spans="6:17"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6:17">
      <c r="F56" s="49"/>
      <c r="G56" s="49"/>
      <c r="H56" s="49"/>
      <c r="I56" s="49"/>
      <c r="J56" s="49"/>
      <c r="K56" s="49"/>
      <c r="L56" s="49"/>
      <c r="M56" s="49"/>
      <c r="N56" s="49"/>
      <c r="O56" s="49"/>
    </row>
    <row r="57" spans="6:17"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6:17">
      <c r="F58" s="49"/>
      <c r="G58" s="49"/>
      <c r="H58" s="49"/>
      <c r="I58" s="49"/>
      <c r="J58" s="49"/>
      <c r="K58" s="49"/>
      <c r="L58" s="49"/>
      <c r="M58" s="49"/>
      <c r="N58" s="49"/>
      <c r="O58" s="49"/>
    </row>
    <row r="59" spans="6:17" ht="18" customHeight="1">
      <c r="F59" s="49"/>
      <c r="G59" s="49"/>
      <c r="H59" s="49"/>
      <c r="I59" s="49"/>
      <c r="J59" s="49"/>
      <c r="K59" s="49"/>
      <c r="L59" s="49"/>
      <c r="M59" s="49"/>
      <c r="N59" s="49"/>
      <c r="O59" s="49"/>
    </row>
    <row r="60" spans="6:17">
      <c r="F60" s="49"/>
      <c r="G60" s="49"/>
      <c r="H60" s="49"/>
      <c r="I60" s="49"/>
      <c r="J60" s="49"/>
      <c r="K60" s="49"/>
      <c r="L60" s="49"/>
      <c r="M60" s="49"/>
      <c r="N60" s="49"/>
      <c r="O60" s="49"/>
    </row>
    <row r="61" spans="6:17">
      <c r="F61" s="49"/>
      <c r="G61" s="49"/>
      <c r="H61" s="49"/>
      <c r="I61" s="49"/>
      <c r="J61" s="49"/>
      <c r="K61" s="49"/>
      <c r="L61" s="49"/>
      <c r="M61" s="49"/>
      <c r="N61" s="49"/>
      <c r="O61" s="49"/>
    </row>
    <row r="62" spans="6:17">
      <c r="F62" s="49"/>
      <c r="G62" s="49"/>
      <c r="H62" s="49"/>
      <c r="I62" s="49"/>
      <c r="J62" s="49"/>
      <c r="K62" s="49"/>
      <c r="L62" s="49"/>
      <c r="M62" s="49"/>
      <c r="N62" s="49"/>
      <c r="O62" s="49"/>
    </row>
    <row r="63" spans="6:17">
      <c r="F63" s="49"/>
      <c r="G63" s="49"/>
      <c r="H63" s="49"/>
      <c r="I63" s="49"/>
      <c r="J63" s="49"/>
      <c r="K63" s="49"/>
      <c r="L63" s="49"/>
      <c r="M63" s="49"/>
      <c r="N63" s="49"/>
      <c r="O63" s="49"/>
    </row>
    <row r="64" spans="6:17">
      <c r="F64" s="49"/>
      <c r="G64" s="49"/>
      <c r="H64" s="49"/>
      <c r="I64" s="49"/>
      <c r="J64" s="49"/>
      <c r="K64" s="49"/>
      <c r="L64" s="49"/>
      <c r="M64" s="49"/>
      <c r="N64" s="49"/>
      <c r="O64" s="49"/>
    </row>
    <row r="65" spans="1:42">
      <c r="F65" s="49"/>
      <c r="G65" s="49"/>
      <c r="H65" s="49"/>
      <c r="I65" s="49"/>
      <c r="J65" s="49"/>
      <c r="K65" s="49"/>
      <c r="L65" s="49"/>
      <c r="M65" s="49"/>
      <c r="N65" s="49"/>
      <c r="O65" s="49"/>
      <c r="AG65" s="48"/>
      <c r="AH65" s="48"/>
      <c r="AI65" s="48"/>
    </row>
    <row r="66" spans="1:42">
      <c r="F66" s="49"/>
      <c r="G66" s="49"/>
      <c r="H66" s="49"/>
      <c r="I66" s="49"/>
      <c r="J66" s="49"/>
      <c r="K66" s="49"/>
      <c r="L66" s="49"/>
      <c r="M66" s="49"/>
      <c r="N66" s="49"/>
      <c r="O66" s="49"/>
      <c r="AG66" s="47"/>
      <c r="AH66" s="47"/>
      <c r="AI66" s="47"/>
    </row>
    <row r="67" spans="1:42">
      <c r="F67" s="49"/>
      <c r="G67" s="49"/>
      <c r="H67" s="49"/>
      <c r="I67" s="49"/>
      <c r="J67" s="49"/>
      <c r="K67" s="49"/>
      <c r="L67" s="49"/>
      <c r="M67" s="49"/>
      <c r="N67" s="49"/>
      <c r="O67" s="49"/>
    </row>
    <row r="69" spans="1:42" ht="18">
      <c r="A69" s="46" t="s">
        <v>174</v>
      </c>
    </row>
    <row r="70" spans="1:42" ht="18">
      <c r="A70" s="1" t="s">
        <v>175</v>
      </c>
      <c r="B70" s="54" t="s">
        <v>7</v>
      </c>
      <c r="C70" s="54" t="s">
        <v>8</v>
      </c>
      <c r="D70" s="54" t="s">
        <v>10</v>
      </c>
      <c r="E70" s="94" t="s">
        <v>173</v>
      </c>
      <c r="F70" s="107"/>
      <c r="G70" s="155" t="s">
        <v>82</v>
      </c>
      <c r="H70" s="54" t="s">
        <v>7</v>
      </c>
      <c r="I70" s="54" t="s">
        <v>8</v>
      </c>
      <c r="J70" s="54" t="s">
        <v>10</v>
      </c>
      <c r="K70" s="156" t="s">
        <v>112</v>
      </c>
      <c r="L70" s="68" t="s">
        <v>106</v>
      </c>
      <c r="M70" s="68" t="s">
        <v>107</v>
      </c>
      <c r="N70" s="68" t="s">
        <v>108</v>
      </c>
      <c r="O70" s="68" t="s">
        <v>109</v>
      </c>
      <c r="P70" s="68" t="s">
        <v>140</v>
      </c>
      <c r="AA70">
        <v>1.5200816584998011</v>
      </c>
      <c r="AB70">
        <v>1.6076518029794724</v>
      </c>
      <c r="AC70">
        <v>1.546300217506297</v>
      </c>
      <c r="AD70">
        <v>1.5876301427791906</v>
      </c>
      <c r="AE70">
        <f>STDEV(AA70:AD70)</f>
        <v>3.9572494034494664E-2</v>
      </c>
    </row>
    <row r="71" spans="1:42">
      <c r="A71" s="138" t="s">
        <v>160</v>
      </c>
      <c r="B71" s="81">
        <f t="array" ref="B71:D93">TRANSPOSE(Calculation!CP60:DL62)</f>
        <v>0.3127266043915834</v>
      </c>
      <c r="C71" s="81">
        <v>0.32902315240275221</v>
      </c>
      <c r="D71" s="82">
        <v>0.33573772567469162</v>
      </c>
      <c r="E71" s="103">
        <f>D71*$B$2</f>
        <v>41.812776355526097</v>
      </c>
      <c r="F71" s="107"/>
      <c r="G71" s="157" t="s">
        <v>160</v>
      </c>
      <c r="H71" s="45">
        <v>0.313801</v>
      </c>
      <c r="I71" s="45">
        <v>0.33038800000000001</v>
      </c>
      <c r="J71" s="89">
        <f t="shared" ref="J71:J93" si="11">K71/$B$2</f>
        <v>0.34505766018949735</v>
      </c>
      <c r="K71" s="45">
        <v>42.973481</v>
      </c>
      <c r="L71" s="106">
        <f>Calculation!K189-Calculation!K161</f>
        <v>0.73921981018952465</v>
      </c>
      <c r="M71" s="106">
        <f>SQRT(Calculation!L189^2+Calculation!M189^2)-SQRT(Calculation!L161^2+Calculation!M161^2)</f>
        <v>0.51876870082952609</v>
      </c>
      <c r="N71" s="106">
        <f>SQRT((Calculation!L161-Calculation!L189)^2+(Calculation!M161-Calculation!M189)^2-M71^2)</f>
        <v>2.5052727599339884E-3</v>
      </c>
      <c r="O71" s="100">
        <f>SQRT(L71^2+(M71/Calculation!O189)^2+(N71/Calculation!P189)^2)</f>
        <v>0.89634504222577893</v>
      </c>
      <c r="P71" s="100">
        <f>Calculation!Z215</f>
        <v>0.80070011570192745</v>
      </c>
      <c r="AA71">
        <v>0.93196219281007264</v>
      </c>
      <c r="AB71">
        <v>0.94422434579912295</v>
      </c>
      <c r="AC71">
        <v>0.91893620680740584</v>
      </c>
      <c r="AD71">
        <v>0.38974282571916863</v>
      </c>
      <c r="AE71">
        <f t="shared" ref="AE71:AE92" si="12">STDEV(AA71:AD71)</f>
        <v>0.27117902442039576</v>
      </c>
    </row>
    <row r="72" spans="1:42">
      <c r="A72" s="139" t="s">
        <v>161</v>
      </c>
      <c r="B72" s="83">
        <v>0.31272660439158345</v>
      </c>
      <c r="C72" s="83">
        <v>0.32902315240275221</v>
      </c>
      <c r="D72" s="84">
        <v>0.49015870138467477</v>
      </c>
      <c r="E72" s="104">
        <f t="shared" ref="E72:E93" si="13">D72*$B$2</f>
        <v>61.044364670447401</v>
      </c>
      <c r="F72" s="107"/>
      <c r="G72" s="158" t="s">
        <v>161</v>
      </c>
      <c r="H72" s="45">
        <v>0.31232599999999999</v>
      </c>
      <c r="I72" s="45">
        <v>0.32758399999999999</v>
      </c>
      <c r="J72" s="89">
        <f t="shared" si="11"/>
        <v>0.49519718162839249</v>
      </c>
      <c r="K72" s="45">
        <v>61.671857000000003</v>
      </c>
      <c r="L72" s="106">
        <f>Calculation!K190-Calculation!K162</f>
        <v>0.3123174992373805</v>
      </c>
      <c r="M72" s="106">
        <f>SQRT(Calculation!L190^2+Calculation!M190^2)-SQRT(Calculation!L162^2+Calculation!M162^2)</f>
        <v>0.64775628684219599</v>
      </c>
      <c r="N72" s="106">
        <f>SQRT((Calculation!L162-Calculation!L190)^2+(Calculation!M162-Calculation!M190)^2-M72^2)</f>
        <v>5.8625663872609087E-3</v>
      </c>
      <c r="O72" s="100">
        <f>SQRT(L72^2+(M72/Calculation!O190)^2+(N72/Calculation!P190)^2)</f>
        <v>0.70266058159637834</v>
      </c>
      <c r="P72" s="100">
        <f>Calculation!Z216</f>
        <v>0.81142319624016035</v>
      </c>
      <c r="AA72">
        <v>1.7348912254294617</v>
      </c>
      <c r="AB72">
        <v>1.8064395639729716</v>
      </c>
      <c r="AC72">
        <v>1.8108095253480385</v>
      </c>
      <c r="AD72">
        <v>1.210963821084629</v>
      </c>
      <c r="AE72">
        <f t="shared" si="12"/>
        <v>0.28864742101285595</v>
      </c>
    </row>
    <row r="73" spans="1:42">
      <c r="A73" s="137" t="s">
        <v>162</v>
      </c>
      <c r="B73" s="83">
        <v>0.3127266043915834</v>
      </c>
      <c r="C73" s="83">
        <v>0.32902315240275221</v>
      </c>
      <c r="D73" s="84">
        <v>0.64438994291616913</v>
      </c>
      <c r="E73" s="104">
        <f t="shared" si="13"/>
        <v>80.252323490779702</v>
      </c>
      <c r="G73" s="159" t="s">
        <v>162</v>
      </c>
      <c r="H73" s="45">
        <v>0.31149700000000002</v>
      </c>
      <c r="I73" s="45">
        <v>0.326596</v>
      </c>
      <c r="J73" s="89">
        <f t="shared" si="11"/>
        <v>0.67419885980407901</v>
      </c>
      <c r="K73" s="45">
        <v>83.964725999999999</v>
      </c>
      <c r="L73" s="106">
        <f>Calculation!K191-Calculation!K163</f>
        <v>1.5217306307785634</v>
      </c>
      <c r="M73" s="106">
        <f>SQRT(Calculation!L191^2+Calculation!M191^2)-SQRT(Calculation!L163^2+Calculation!M163^2)</f>
        <v>1.1473745366211749</v>
      </c>
      <c r="N73" s="106">
        <f>SQRT((Calculation!L163-Calculation!L191)^2+(Calculation!M163-Calculation!M191)^2-M73^2)</f>
        <v>7.8753735860904537E-3</v>
      </c>
      <c r="O73" s="100">
        <f>SQRT(L73^2+(M73/Calculation!O191)^2+(N73/Calculation!P191)^2)</f>
        <v>1.8724569824059865</v>
      </c>
      <c r="P73" s="100">
        <f>Calculation!Z217</f>
        <v>1.596610261248701</v>
      </c>
      <c r="AA73">
        <v>0.21270387904177976</v>
      </c>
      <c r="AB73">
        <v>0.73807244097638824</v>
      </c>
      <c r="AC73">
        <v>0.3508964964917764</v>
      </c>
      <c r="AD73">
        <v>0.26920995781499701</v>
      </c>
      <c r="AE73">
        <f t="shared" si="12"/>
        <v>0.23712025659111843</v>
      </c>
    </row>
    <row r="74" spans="1:42">
      <c r="A74" s="140" t="s">
        <v>163</v>
      </c>
      <c r="B74" s="83">
        <v>0.31272660439158345</v>
      </c>
      <c r="C74" s="83">
        <v>0.32902315240275221</v>
      </c>
      <c r="D74" s="84">
        <v>0.7865025961843719</v>
      </c>
      <c r="E74" s="104">
        <f t="shared" si="13"/>
        <v>97.951033328801685</v>
      </c>
      <c r="F74" s="107"/>
      <c r="G74" s="160" t="s">
        <v>163</v>
      </c>
      <c r="H74" s="45">
        <v>0.31059399999999998</v>
      </c>
      <c r="I74" s="45">
        <v>0.32578600000000002</v>
      </c>
      <c r="J74" s="89">
        <f t="shared" si="11"/>
        <v>0.84384660350088325</v>
      </c>
      <c r="K74" s="45">
        <v>105.09265600000001</v>
      </c>
      <c r="L74" s="106">
        <f>Calculation!K192-Calculation!K164</f>
        <v>2.5415026040113133</v>
      </c>
      <c r="M74" s="106">
        <f>SQRT(Calculation!L192^2+Calculation!M192^2)-SQRT(Calculation!L164^2+Calculation!M164^2)</f>
        <v>1.6384038233488978</v>
      </c>
      <c r="N74" s="106">
        <f>SQRT((Calculation!L164-Calculation!L192)^2+(Calculation!M164-Calculation!M192)^2-M74^2)</f>
        <v>9.3988451008057208E-3</v>
      </c>
      <c r="O74" s="100">
        <f>SQRT(L74^2+(M74/Calculation!O192)^2+(N74/Calculation!P192)^2)</f>
        <v>2.9644043101567084</v>
      </c>
      <c r="P74" s="100">
        <f>Calculation!Z218</f>
        <v>2.2760589568479883</v>
      </c>
      <c r="AA74">
        <v>1.0755404511985203</v>
      </c>
      <c r="AB74">
        <v>0.39159895157772995</v>
      </c>
      <c r="AC74">
        <v>0.31039061520127542</v>
      </c>
      <c r="AD74">
        <v>0.94574228555194917</v>
      </c>
      <c r="AE74">
        <f t="shared" si="12"/>
        <v>0.38594248100568129</v>
      </c>
    </row>
    <row r="75" spans="1:42">
      <c r="A75" t="s">
        <v>48</v>
      </c>
      <c r="B75" s="83">
        <v>0.31272660439158345</v>
      </c>
      <c r="C75" s="83">
        <v>0.32902315240275221</v>
      </c>
      <c r="D75" s="84">
        <v>1.0000001000000001</v>
      </c>
      <c r="E75" s="104">
        <f t="shared" si="13"/>
        <v>124.54001245400002</v>
      </c>
      <c r="F75" s="107"/>
      <c r="G75" s="45" t="s">
        <v>48</v>
      </c>
      <c r="H75" s="45">
        <v>0.312527</v>
      </c>
      <c r="I75" s="45">
        <v>0.32859699999999997</v>
      </c>
      <c r="J75" s="89">
        <f t="shared" si="11"/>
        <v>1.0432224987955676</v>
      </c>
      <c r="K75" s="45">
        <v>129.92293000000001</v>
      </c>
      <c r="L75" s="106">
        <f>Calculation!K193-Calculation!K165</f>
        <v>1.6477493085651389</v>
      </c>
      <c r="M75" s="106">
        <f>SQRT(Calculation!L193^2+Calculation!M193^2)-SQRT(Calculation!L165^2+Calculation!M165^2)</f>
        <v>0.23381259184895628</v>
      </c>
      <c r="N75" s="106">
        <f>SQRT((Calculation!L165-Calculation!L193)^2+(Calculation!M165-Calculation!M193)^2-M75^2)</f>
        <v>3.8526200193941553E-3</v>
      </c>
      <c r="O75" s="100">
        <f>SQRT(L75^2+(M75/Calculation!O193)^2+(N75/Calculation!P193)^2)</f>
        <v>1.6639195524706247</v>
      </c>
      <c r="P75" s="100">
        <f>Calculation!Z219</f>
        <v>0.97282371396871692</v>
      </c>
      <c r="AA75">
        <v>0.78660929061465801</v>
      </c>
      <c r="AB75">
        <v>0.66204059279640237</v>
      </c>
      <c r="AC75">
        <v>0.7332635342641991</v>
      </c>
      <c r="AD75">
        <v>0.72008521601151432</v>
      </c>
      <c r="AE75">
        <f t="shared" si="12"/>
        <v>5.1156733383805886E-2</v>
      </c>
    </row>
    <row r="76" spans="1:42">
      <c r="A76" s="69" t="s">
        <v>21</v>
      </c>
      <c r="B76" s="83">
        <v>0.40841861950891123</v>
      </c>
      <c r="C76" s="83">
        <v>0.36172703242033338</v>
      </c>
      <c r="D76" s="84">
        <v>9.0639425103872809E-2</v>
      </c>
      <c r="E76" s="104">
        <f t="shared" si="13"/>
        <v>11.288234002436321</v>
      </c>
      <c r="F76" s="107"/>
      <c r="G76" s="161" t="s">
        <v>21</v>
      </c>
      <c r="H76" s="45">
        <v>0.42533799999999999</v>
      </c>
      <c r="I76" s="45">
        <v>0.367676</v>
      </c>
      <c r="J76" s="89">
        <f t="shared" si="11"/>
        <v>7.2858920828649434E-2</v>
      </c>
      <c r="K76" s="45">
        <v>9.0738500000000002</v>
      </c>
      <c r="L76" s="106">
        <f>Calculation!K194-Calculation!K166</f>
        <v>-3.6580323484174784</v>
      </c>
      <c r="M76" s="106">
        <f>SQRT(Calculation!L194^2+Calculation!M194^2)-SQRT(Calculation!L166^2+Calculation!M166^2)</f>
        <v>1.8679676699389596</v>
      </c>
      <c r="N76" s="106">
        <f>SQRT((Calculation!L166-Calculation!L194)^2+(Calculation!M166-Calculation!M194)^2-M76^2)</f>
        <v>0.4872596872893743</v>
      </c>
      <c r="O76" s="100">
        <f>SQRT(L76^2+(M76/Calculation!O194)^2+(N76/Calculation!P194)^2)</f>
        <v>3.7958850975964595</v>
      </c>
      <c r="P76" s="100">
        <f>Calculation!Z220</f>
        <v>3.1640648983872186</v>
      </c>
      <c r="AA76">
        <v>1.4430052080056337</v>
      </c>
      <c r="AB76">
        <v>0.91509578289371851</v>
      </c>
      <c r="AC76">
        <v>1.1396472001174918</v>
      </c>
      <c r="AD76">
        <v>1.1519657397985315</v>
      </c>
      <c r="AE76">
        <f t="shared" si="12"/>
        <v>0.21642952586760122</v>
      </c>
    </row>
    <row r="77" spans="1:42">
      <c r="A77" s="70" t="s">
        <v>22</v>
      </c>
      <c r="B77" s="83">
        <v>0.38085560676072677</v>
      </c>
      <c r="C77" s="83">
        <v>0.35599477669139418</v>
      </c>
      <c r="D77" s="84">
        <v>0.34259431199920665</v>
      </c>
      <c r="E77" s="104">
        <f t="shared" si="13"/>
        <v>42.666695616381197</v>
      </c>
      <c r="G77" s="162" t="s">
        <v>22</v>
      </c>
      <c r="H77" s="45">
        <v>0.39907300000000001</v>
      </c>
      <c r="I77" s="45">
        <v>0.36393399999999998</v>
      </c>
      <c r="J77" s="89">
        <f t="shared" si="11"/>
        <v>0.33292100529950214</v>
      </c>
      <c r="K77" s="45">
        <v>41.461981999999999</v>
      </c>
      <c r="L77" s="106">
        <f>Calculation!K195-Calculation!K167</f>
        <v>-0.7712432600761332</v>
      </c>
      <c r="M77" s="106">
        <f>SQRT(Calculation!L195^2+Calculation!M195^2)-SQRT(Calculation!L167^2+Calculation!M167^2)</f>
        <v>5.5851420113515218</v>
      </c>
      <c r="N77" s="106">
        <f>SQRT((Calculation!L167-Calculation!L195)^2+(Calculation!M167-Calculation!M195)^2-M77^2)</f>
        <v>0.83037910682943705</v>
      </c>
      <c r="O77" s="100">
        <f>SQRT(L77^2+(M77/Calculation!O195)^2+(N77/Calculation!P195)^2)</f>
        <v>2.6723988229417284</v>
      </c>
      <c r="P77" s="100">
        <f>Calculation!Z221</f>
        <v>2.8211371169952386</v>
      </c>
      <c r="AA77">
        <v>2.48278387985631</v>
      </c>
      <c r="AB77">
        <v>2.3802722605704578</v>
      </c>
      <c r="AC77">
        <v>2.3839957578113964</v>
      </c>
      <c r="AD77">
        <v>2.434755898008174</v>
      </c>
      <c r="AE77">
        <f t="shared" si="12"/>
        <v>4.8419465093353244E-2</v>
      </c>
      <c r="AG77" s="47"/>
      <c r="AH77" s="47"/>
      <c r="AI77" s="47"/>
      <c r="AJ77" s="47"/>
      <c r="AK77" s="47"/>
      <c r="AL77" s="47"/>
      <c r="AM77" s="47"/>
      <c r="AN77" s="47"/>
      <c r="AO77" s="47"/>
      <c r="AP77" s="47"/>
    </row>
    <row r="78" spans="1:42">
      <c r="A78" s="71" t="s">
        <v>23</v>
      </c>
      <c r="B78" s="83">
        <v>0.24695482929456081</v>
      </c>
      <c r="C78" s="83">
        <v>0.26383456083077567</v>
      </c>
      <c r="D78" s="84">
        <v>0.17943300512779958</v>
      </c>
      <c r="E78" s="104">
        <f t="shared" si="13"/>
        <v>22.346586458616162</v>
      </c>
      <c r="G78" s="163" t="s">
        <v>23</v>
      </c>
      <c r="H78" s="45">
        <v>0.231436</v>
      </c>
      <c r="I78" s="45">
        <v>0.239977</v>
      </c>
      <c r="J78" s="89">
        <f t="shared" si="11"/>
        <v>0.15729430704994379</v>
      </c>
      <c r="K78" s="45">
        <v>19.589433</v>
      </c>
      <c r="L78" s="106">
        <f>Calculation!K196-Calculation!K168</f>
        <v>-2.8097746521936315</v>
      </c>
      <c r="M78" s="106">
        <f>SQRT(Calculation!L196^2+Calculation!M196^2)-SQRT(Calculation!L168^2+Calculation!M168^2)</f>
        <v>6.6589190970304166</v>
      </c>
      <c r="N78" s="106">
        <f>SQRT((Calculation!L168-Calculation!L196)^2+(Calculation!M168-Calculation!M196)^2-M78^2)</f>
        <v>2.7899964220989752</v>
      </c>
      <c r="O78" s="100">
        <f>SQRT(L78^2+(M78/Calculation!O196)^2+(N78/Calculation!P196)^2)</f>
        <v>4.4922431783604617</v>
      </c>
      <c r="P78" s="100">
        <f>Calculation!Z222</f>
        <v>4.7736303632193779</v>
      </c>
      <c r="AA78">
        <v>1.3644528666962161</v>
      </c>
      <c r="AB78">
        <v>1.5120359927867462</v>
      </c>
      <c r="AC78">
        <v>1.4608210650169109</v>
      </c>
      <c r="AD78">
        <v>1.4390500468525562</v>
      </c>
      <c r="AE78">
        <f t="shared" si="12"/>
        <v>6.1275499728547102E-2</v>
      </c>
    </row>
    <row r="79" spans="1:42">
      <c r="A79" s="72" t="s">
        <v>24</v>
      </c>
      <c r="B79" s="83">
        <v>0.34032215499999768</v>
      </c>
      <c r="C79" s="83">
        <v>0.43215033778205497</v>
      </c>
      <c r="D79" s="84">
        <v>0.12131759225019126</v>
      </c>
      <c r="E79" s="104">
        <f t="shared" si="13"/>
        <v>15.108892938838821</v>
      </c>
      <c r="G79" s="164" t="s">
        <v>24</v>
      </c>
      <c r="H79" s="45">
        <v>0.34608800000000001</v>
      </c>
      <c r="I79" s="45">
        <v>0.45699299999999998</v>
      </c>
      <c r="J79" s="89">
        <f t="shared" si="11"/>
        <v>0.10567640115625503</v>
      </c>
      <c r="K79" s="45">
        <v>13.160939000000001</v>
      </c>
      <c r="L79" s="106">
        <f>Calculation!K197-Calculation!K169</f>
        <v>-2.5822575438852198</v>
      </c>
      <c r="M79" s="106">
        <f>SQRT(Calculation!L197^2+Calculation!M197^2)-SQRT(Calculation!L169^2+Calculation!M169^2)</f>
        <v>4.4054445363617845</v>
      </c>
      <c r="N79" s="106">
        <f>SQRT((Calculation!L169-Calculation!L197)^2+(Calculation!M169-Calculation!M197)^2-M79^2)</f>
        <v>0.38694709294365265</v>
      </c>
      <c r="O79" s="100">
        <f>SQRT(L79^2+(M79/Calculation!O197)^2+(N79/Calculation!P197)^2)</f>
        <v>3.1920790514262483</v>
      </c>
      <c r="P79" s="100">
        <f>Calculation!Z223</f>
        <v>3.000619345622717</v>
      </c>
      <c r="AA79">
        <v>2.7345837895923615</v>
      </c>
      <c r="AB79">
        <v>2.4929542716811044</v>
      </c>
      <c r="AC79">
        <v>2.6145832757195908</v>
      </c>
      <c r="AD79">
        <v>2.5718455795099389</v>
      </c>
      <c r="AE79">
        <f t="shared" si="12"/>
        <v>0.10087642441300511</v>
      </c>
    </row>
    <row r="80" spans="1:42">
      <c r="A80" s="73" t="s">
        <v>25</v>
      </c>
      <c r="B80" s="83">
        <v>0.26764011662486759</v>
      </c>
      <c r="C80" s="83">
        <v>0.25101248698174555</v>
      </c>
      <c r="D80" s="84">
        <v>0.2268585176103993</v>
      </c>
      <c r="E80" s="104">
        <f t="shared" si="13"/>
        <v>28.252959783199131</v>
      </c>
      <c r="G80" s="165" t="s">
        <v>25</v>
      </c>
      <c r="H80" s="45">
        <v>0.25219799999999998</v>
      </c>
      <c r="I80" s="45">
        <v>0.22441800000000001</v>
      </c>
      <c r="J80" s="89">
        <f t="shared" si="11"/>
        <v>0.19572474706921469</v>
      </c>
      <c r="K80" s="45">
        <v>24.37556</v>
      </c>
      <c r="L80" s="106">
        <f>Calculation!K198-Calculation!K170</f>
        <v>-3.396912889911107</v>
      </c>
      <c r="M80" s="106">
        <f>SQRT(Calculation!L198^2+Calculation!M198^2)-SQRT(Calculation!L170^2+Calculation!M170^2)</f>
        <v>9.4886434604434235</v>
      </c>
      <c r="N80" s="106">
        <f>SQRT((Calculation!L170-Calculation!L198)^2+(Calculation!M170-Calculation!M198)^2-M80^2)</f>
        <v>0.69290181284220254</v>
      </c>
      <c r="O80" s="100">
        <f>SQRT(L80^2+(M80/Calculation!O198)^2+(N80/Calculation!P198)^2)</f>
        <v>4.9205101569018401</v>
      </c>
      <c r="P80" s="100">
        <f>Calculation!Z224</f>
        <v>5.0998098999653347</v>
      </c>
      <c r="AA80">
        <v>0.87742312695943359</v>
      </c>
      <c r="AB80">
        <v>1.0840559696466734</v>
      </c>
      <c r="AC80">
        <v>0.95124486224843652</v>
      </c>
      <c r="AD80">
        <v>0.8730801938794247</v>
      </c>
      <c r="AE80">
        <f t="shared" si="12"/>
        <v>9.8499122219440224E-2</v>
      </c>
    </row>
    <row r="81" spans="1:48">
      <c r="A81" s="74" t="s">
        <v>26</v>
      </c>
      <c r="B81" s="83">
        <v>0.26056728825094683</v>
      </c>
      <c r="C81" s="83">
        <v>0.36153010382311634</v>
      </c>
      <c r="D81" s="84">
        <v>0.41337809931048763</v>
      </c>
      <c r="E81" s="104">
        <f t="shared" si="13"/>
        <v>51.482108488128134</v>
      </c>
      <c r="G81" s="166" t="s">
        <v>26</v>
      </c>
      <c r="H81" s="45">
        <v>0.253195</v>
      </c>
      <c r="I81" s="45">
        <v>0.36406699999999997</v>
      </c>
      <c r="J81" s="89">
        <f t="shared" si="11"/>
        <v>0.40831759274128793</v>
      </c>
      <c r="K81" s="45">
        <v>50.851872999999998</v>
      </c>
      <c r="L81" s="106">
        <f>Calculation!K199-Calculation!K171</f>
        <v>-0.35406236691895288</v>
      </c>
      <c r="M81" s="106">
        <f>SQRT(Calculation!L199^2+Calculation!M199^2)-SQRT(Calculation!L171^2+Calculation!M171^2)</f>
        <v>3.8451363110152315</v>
      </c>
      <c r="N81" s="106">
        <f>SQRT((Calculation!L171-Calculation!L199)^2+(Calculation!M171-Calculation!M199)^2-M81^2)</f>
        <v>0.49569632553156256</v>
      </c>
      <c r="O81" s="100">
        <f>SQRT(L81^2+(M81/Calculation!O199)^2+(N81/Calculation!P199)^2)</f>
        <v>1.5260877048346793</v>
      </c>
      <c r="P81" s="100">
        <f>Calculation!Z225</f>
        <v>2.4155607564777872</v>
      </c>
      <c r="AA81">
        <v>1.050477157093693</v>
      </c>
      <c r="AB81">
        <v>0.97856095854552327</v>
      </c>
      <c r="AC81">
        <v>1.0522846554281136</v>
      </c>
      <c r="AD81">
        <v>1.1838165794637767</v>
      </c>
      <c r="AE81">
        <f t="shared" si="12"/>
        <v>8.5547408232187039E-2</v>
      </c>
    </row>
    <row r="82" spans="1:48">
      <c r="A82" s="75" t="s">
        <v>27</v>
      </c>
      <c r="B82" s="83">
        <v>0.51713211665374426</v>
      </c>
      <c r="C82" s="83">
        <v>0.40544935748205435</v>
      </c>
      <c r="D82" s="84">
        <v>0.27688005627629153</v>
      </c>
      <c r="E82" s="104">
        <f t="shared" si="13"/>
        <v>34.482642208649352</v>
      </c>
      <c r="G82" s="167" t="s">
        <v>27</v>
      </c>
      <c r="H82" s="45">
        <v>0.54146499999999997</v>
      </c>
      <c r="I82" s="45">
        <v>0.40771200000000002</v>
      </c>
      <c r="J82" s="89">
        <f t="shared" si="11"/>
        <v>0.26480209571222096</v>
      </c>
      <c r="K82" s="45">
        <v>32.978453000000002</v>
      </c>
      <c r="L82" s="106">
        <f>Calculation!K200-Calculation!K172</f>
        <v>-1.1157339466846992</v>
      </c>
      <c r="M82" s="106">
        <f>SQRT(Calculation!L200^2+Calculation!M200^2)-SQRT(Calculation!L172^2+Calculation!M172^2)</f>
        <v>9.6691834948444466</v>
      </c>
      <c r="N82" s="106">
        <f>SQRT((Calculation!L172-Calculation!L200)^2+(Calculation!M172-Calculation!M200)^2-M82^2)</f>
        <v>0.61943855700845862</v>
      </c>
      <c r="O82" s="100">
        <f>SQRT(L82^2+(M82/Calculation!O200)^2+(N82/Calculation!P200)^2)</f>
        <v>2.469608683312837</v>
      </c>
      <c r="P82" s="100">
        <f>Calculation!Z226</f>
        <v>2.5251500833339442</v>
      </c>
      <c r="AA82">
        <v>1.1203212169241064</v>
      </c>
      <c r="AB82">
        <v>1.1811625008038515</v>
      </c>
      <c r="AC82">
        <v>1.1749252747818995</v>
      </c>
      <c r="AD82">
        <v>1.0988952521049009</v>
      </c>
      <c r="AE82">
        <f t="shared" si="12"/>
        <v>4.0548021398825788E-2</v>
      </c>
      <c r="AH82" s="49"/>
      <c r="AI82" s="49"/>
      <c r="AJ82" s="49"/>
      <c r="AK82" s="49"/>
      <c r="AL82" s="49"/>
      <c r="AM82" s="49"/>
    </row>
    <row r="83" spans="1:48">
      <c r="A83" s="76" t="s">
        <v>28</v>
      </c>
      <c r="B83" s="83">
        <v>0.21197972081967825</v>
      </c>
      <c r="C83" s="83">
        <v>0.1842060896562164</v>
      </c>
      <c r="D83" s="83">
        <v>0.10791893332630176</v>
      </c>
      <c r="E83" s="141">
        <v>0.12801999999999999</v>
      </c>
      <c r="G83" s="168" t="s">
        <v>28</v>
      </c>
      <c r="H83" s="45">
        <v>0.19548499999999999</v>
      </c>
      <c r="I83" s="45">
        <v>0.159529</v>
      </c>
      <c r="J83" s="89">
        <f t="shared" si="11"/>
        <v>9.072586317648948E-2</v>
      </c>
      <c r="K83" s="45">
        <v>11.298999</v>
      </c>
      <c r="L83" s="106">
        <f>Calculation!K201-Calculation!K173</f>
        <v>-3.1040567184188035</v>
      </c>
      <c r="M83" s="106">
        <f>SQRT(Calculation!L201^2+Calculation!M201^2)-SQRT(Calculation!L173^2+Calculation!M173^2)</f>
        <v>8.0614378448656012</v>
      </c>
      <c r="N83" s="106">
        <f>SQRT((Calculation!L173-Calculation!L201)^2+(Calculation!M173-Calculation!M201)^2-M83^2)</f>
        <v>1.3675332177591999</v>
      </c>
      <c r="O83" s="100">
        <f>SQRT(L83^2+(M83/Calculation!O201)^2+(N83/Calculation!P201)^2)</f>
        <v>3.9830032326195042</v>
      </c>
      <c r="P83" s="100">
        <f>Calculation!Z227</f>
        <v>3.7149718232045132</v>
      </c>
      <c r="AA83">
        <v>0.8823192627663301</v>
      </c>
      <c r="AB83">
        <v>0.68073264926495736</v>
      </c>
      <c r="AC83">
        <v>0.74041091886865962</v>
      </c>
      <c r="AD83">
        <v>0.78714931578091807</v>
      </c>
      <c r="AE83">
        <f t="shared" si="12"/>
        <v>8.5099422315472989E-2</v>
      </c>
      <c r="AH83" s="49"/>
      <c r="AI83" s="49"/>
      <c r="AJ83" s="49"/>
      <c r="AK83" s="49"/>
      <c r="AL83" s="49"/>
      <c r="AM83" s="49"/>
    </row>
    <row r="84" spans="1:48">
      <c r="A84" s="77" t="s">
        <v>29</v>
      </c>
      <c r="B84" s="83">
        <v>0.47178873306638264</v>
      </c>
      <c r="C84" s="83">
        <v>0.31225637147563268</v>
      </c>
      <c r="D84" s="84">
        <v>0.17744141402760219</v>
      </c>
      <c r="E84" s="104">
        <f t="shared" si="13"/>
        <v>22.098553702997577</v>
      </c>
      <c r="G84" s="169" t="s">
        <v>29</v>
      </c>
      <c r="H84" s="45">
        <v>0.49277599999999999</v>
      </c>
      <c r="I84" s="45">
        <v>0.30782500000000002</v>
      </c>
      <c r="J84" s="89">
        <f t="shared" si="11"/>
        <v>0.16282679460414323</v>
      </c>
      <c r="K84" s="45">
        <v>20.278448999999998</v>
      </c>
      <c r="L84" s="106">
        <f>Calculation!K202-Calculation!K174</f>
        <v>-1.8411045991570205</v>
      </c>
      <c r="M84" s="106">
        <f>SQRT(Calculation!L202^2+Calculation!M202^2)-SQRT(Calculation!L174^2+Calculation!M174^2)</f>
        <v>5.1243762777879454</v>
      </c>
      <c r="N84" s="106">
        <f>SQRT((Calculation!L174-Calculation!L202)^2+(Calculation!M174-Calculation!M202)^2-M84^2)</f>
        <v>5.205334045354678E-2</v>
      </c>
      <c r="O84" s="100">
        <f>SQRT(L84^2+(M84/Calculation!O202)^2+(N84/Calculation!P202)^2)</f>
        <v>2.3632599420847504</v>
      </c>
      <c r="P84" s="100">
        <f>Calculation!Z228</f>
        <v>2.3829137632430646</v>
      </c>
      <c r="AA84">
        <v>1.8618932378812294</v>
      </c>
      <c r="AB84">
        <v>1.7735577049468716</v>
      </c>
      <c r="AC84">
        <v>1.8750444118953904</v>
      </c>
      <c r="AD84">
        <v>1.787631378955792</v>
      </c>
      <c r="AE84">
        <f t="shared" si="12"/>
        <v>5.1340044282275836E-2</v>
      </c>
    </row>
    <row r="85" spans="1:48">
      <c r="A85" s="78" t="s">
        <v>30</v>
      </c>
      <c r="B85" s="83">
        <v>0.2869117893607584</v>
      </c>
      <c r="C85" s="83">
        <v>0.21682448855046615</v>
      </c>
      <c r="D85" s="84">
        <v>6.0123800686954589E-2</v>
      </c>
      <c r="E85" s="104">
        <f t="shared" si="13"/>
        <v>7.487818137553325</v>
      </c>
      <c r="G85" s="170" t="s">
        <v>30</v>
      </c>
      <c r="H85" s="45">
        <v>0.27068799999999998</v>
      </c>
      <c r="I85" s="45">
        <v>0.187778</v>
      </c>
      <c r="J85" s="89">
        <f t="shared" si="11"/>
        <v>4.215202344628232E-2</v>
      </c>
      <c r="K85" s="45">
        <v>5.2496130000000001</v>
      </c>
      <c r="L85" s="106">
        <f>Calculation!K203-Calculation!K175</f>
        <v>-5.0731767304932376</v>
      </c>
      <c r="M85" s="106">
        <f>SQRT(Calculation!L203^2+Calculation!M203^2)-SQRT(Calculation!L175^2+Calculation!M175^2)</f>
        <v>5.48476462453878</v>
      </c>
      <c r="N85" s="106">
        <f>SQRT((Calculation!L175-Calculation!L203)^2+(Calculation!M175-Calculation!M203)^2-M85^2)</f>
        <v>1.1426990554296554</v>
      </c>
      <c r="O85" s="100">
        <f>SQRT(L85^2+(M85/Calculation!O203)^2+(N85/Calculation!P203)^2)</f>
        <v>5.5209500287077553</v>
      </c>
      <c r="P85" s="100">
        <f>Calculation!Z229</f>
        <v>4.4065643808707131</v>
      </c>
      <c r="AA85">
        <v>1.2880072783449936</v>
      </c>
      <c r="AB85">
        <v>1.4582045503503887</v>
      </c>
      <c r="AC85">
        <v>1.2496194119641784</v>
      </c>
      <c r="AD85">
        <v>1.3176685958292904</v>
      </c>
      <c r="AE85">
        <f t="shared" si="12"/>
        <v>9.0925491168920153E-2</v>
      </c>
    </row>
    <row r="86" spans="1:48">
      <c r="A86" s="79" t="s">
        <v>31</v>
      </c>
      <c r="B86" s="83">
        <v>0.37657351006519185</v>
      </c>
      <c r="C86" s="83">
        <v>0.49746010924684531</v>
      </c>
      <c r="D86" s="84">
        <v>0.42518729046016934</v>
      </c>
      <c r="E86" s="104">
        <f t="shared" si="13"/>
        <v>52.952825153909494</v>
      </c>
      <c r="G86" s="171" t="s">
        <v>31</v>
      </c>
      <c r="H86" s="45">
        <v>0.37985999999999998</v>
      </c>
      <c r="I86" s="45">
        <v>0.50312500000000004</v>
      </c>
      <c r="J86" s="89">
        <f t="shared" si="11"/>
        <v>0.4294524570419142</v>
      </c>
      <c r="K86" s="45">
        <v>53.484009</v>
      </c>
      <c r="L86" s="106">
        <f>Calculation!K204-Calculation!K176</f>
        <v>0.2906961909131951</v>
      </c>
      <c r="M86" s="106">
        <f>SQRT(Calculation!L204^2+Calculation!M204^2)-SQRT(Calculation!L176^2+Calculation!M176^2)</f>
        <v>2.6933768248262879</v>
      </c>
      <c r="N86" s="106">
        <f>SQRT((Calculation!L176-Calculation!L204)^2+(Calculation!M176-Calculation!M204)^2-M86^2)</f>
        <v>0.81726151152579685</v>
      </c>
      <c r="O86" s="100">
        <f>SQRT(L86^2+(M86/Calculation!O204)^2+(N86/Calculation!P204)^2)</f>
        <v>0.8386707502875842</v>
      </c>
      <c r="P86" s="100">
        <f>Calculation!Z230</f>
        <v>0.76905291884482785</v>
      </c>
      <c r="AA86">
        <v>1.7856969218797885</v>
      </c>
      <c r="AB86">
        <v>2.3355026019559757</v>
      </c>
      <c r="AC86">
        <v>2.1581186041941431</v>
      </c>
      <c r="AD86">
        <v>1.944988510133419</v>
      </c>
      <c r="AE86">
        <f t="shared" si="12"/>
        <v>0.24078842389093746</v>
      </c>
      <c r="AH86" s="49"/>
      <c r="AI86" s="49"/>
      <c r="AJ86" s="49"/>
      <c r="AK86" s="49"/>
    </row>
    <row r="87" spans="1:48" ht="20" customHeight="1">
      <c r="A87" s="80" t="s">
        <v>32</v>
      </c>
      <c r="B87" s="83">
        <v>0.4772869010144497</v>
      </c>
      <c r="C87" s="83">
        <v>0.43987918753117777</v>
      </c>
      <c r="D87" s="84">
        <v>0.41724086734242044</v>
      </c>
      <c r="E87" s="104">
        <f t="shared" si="13"/>
        <v>51.963177618825043</v>
      </c>
      <c r="G87" s="172" t="s">
        <v>32</v>
      </c>
      <c r="H87" s="45">
        <v>0.48499399999999998</v>
      </c>
      <c r="I87" s="45">
        <v>0.45065500000000003</v>
      </c>
      <c r="J87" s="89">
        <f t="shared" si="11"/>
        <v>0.4261174803276056</v>
      </c>
      <c r="K87" s="45">
        <v>53.068671000000002</v>
      </c>
      <c r="L87" s="106">
        <f>Calculation!K205-Calculation!K177</f>
        <v>0.61038637156939046</v>
      </c>
      <c r="M87" s="106">
        <f>SQRT(Calculation!L205^2+Calculation!M205^2)-SQRT(Calculation!L177^2+Calculation!M177^2)</f>
        <v>7.4295702381318165</v>
      </c>
      <c r="N87" s="106">
        <f>SQRT((Calculation!L177-Calculation!L205)^2+(Calculation!M177-Calculation!M205)^2-M87^2)</f>
        <v>2.7182821633874181</v>
      </c>
      <c r="O87" s="100">
        <f>SQRT(L87^2+(M87/Calculation!O205)^2+(N87/Calculation!P205)^2)</f>
        <v>2.1985064447555835</v>
      </c>
      <c r="P87" s="100">
        <f>Calculation!Z231</f>
        <v>2.205288573977878</v>
      </c>
      <c r="AA87">
        <v>1.7816235262266034</v>
      </c>
      <c r="AB87">
        <v>1.7417402809052973</v>
      </c>
      <c r="AC87">
        <v>1.7473278987315923</v>
      </c>
      <c r="AD87">
        <v>1.6911641769762749</v>
      </c>
      <c r="AE87">
        <f t="shared" si="12"/>
        <v>3.7297547498070245E-2</v>
      </c>
      <c r="AH87" s="49"/>
      <c r="AI87" s="49"/>
      <c r="AJ87" s="49"/>
      <c r="AK87" s="49"/>
      <c r="AP87" s="49"/>
      <c r="AQ87" s="49"/>
      <c r="AR87" s="49"/>
      <c r="AS87" s="49"/>
    </row>
    <row r="88" spans="1:48" ht="17" customHeight="1">
      <c r="A88" s="136" t="s">
        <v>164</v>
      </c>
      <c r="B88" s="83">
        <v>0.18883004050218732</v>
      </c>
      <c r="C88" s="83">
        <v>0.13431074214965044</v>
      </c>
      <c r="D88" s="84">
        <v>5.7280729467604832E-2</v>
      </c>
      <c r="E88" s="104">
        <f t="shared" si="13"/>
        <v>7.133742047895506</v>
      </c>
      <c r="G88" s="173" t="s">
        <v>164</v>
      </c>
      <c r="H88" s="45">
        <v>0.17479700000000001</v>
      </c>
      <c r="I88" s="45">
        <v>0.10886700000000001</v>
      </c>
      <c r="J88" s="89">
        <f t="shared" si="11"/>
        <v>4.4123293720892888E-2</v>
      </c>
      <c r="K88" s="45">
        <v>5.4951150000000002</v>
      </c>
      <c r="L88" s="106">
        <f>Calculation!K206-Calculation!K178</f>
        <v>-3.7255265903037653</v>
      </c>
      <c r="M88" s="106">
        <f>SQRT(Calculation!L206^2+Calculation!M206^2)-SQRT(Calculation!L178^2+Calculation!M178^2)</f>
        <v>9.1621342195149538</v>
      </c>
      <c r="N88" s="106">
        <f>SQRT((Calculation!L178-Calculation!L206)^2+(Calculation!M178-Calculation!M206)^2-M88^2)</f>
        <v>2.7895458406206357</v>
      </c>
      <c r="O88" s="100">
        <f>SQRT(L88^2+(M88/Calculation!O206)^2+(N88/Calculation!P206)^2)</f>
        <v>4.5827063754057136</v>
      </c>
      <c r="P88" s="100">
        <f>Calculation!Z232</f>
        <v>3.8710169560110588</v>
      </c>
      <c r="AA88">
        <v>1.2394057956582851</v>
      </c>
      <c r="AB88">
        <v>1.3990762205757572</v>
      </c>
      <c r="AC88">
        <v>1.3092737321170691</v>
      </c>
      <c r="AD88">
        <v>1.1862736974052772</v>
      </c>
      <c r="AE88">
        <f t="shared" si="12"/>
        <v>9.2049625358326656E-2</v>
      </c>
      <c r="AH88" s="49"/>
      <c r="AI88" s="49"/>
      <c r="AJ88" s="49"/>
      <c r="AK88" s="49"/>
      <c r="AL88" s="49"/>
      <c r="AM88" s="49"/>
      <c r="AN88" s="49"/>
    </row>
    <row r="89" spans="1:48">
      <c r="A89" s="135" t="s">
        <v>165</v>
      </c>
      <c r="B89" s="83">
        <v>0.3048058686241773</v>
      </c>
      <c r="C89" s="83">
        <v>0.49767281657946355</v>
      </c>
      <c r="D89" s="84">
        <v>0.22162546337587058</v>
      </c>
      <c r="E89" s="104">
        <f t="shared" si="13"/>
        <v>27.601235208830925</v>
      </c>
      <c r="G89" s="174" t="s">
        <v>165</v>
      </c>
      <c r="H89" s="45">
        <v>0.30010999999999999</v>
      </c>
      <c r="I89" s="45">
        <v>0.52618200000000004</v>
      </c>
      <c r="J89" s="89">
        <f t="shared" si="11"/>
        <v>0.21679998394090252</v>
      </c>
      <c r="K89" s="45">
        <v>27.00027</v>
      </c>
      <c r="L89" s="106">
        <f>Calculation!K207-Calculation!K179</f>
        <v>-0.51322732963122064</v>
      </c>
      <c r="M89" s="106">
        <f>SQRT(Calculation!L207^2+Calculation!M207^2)-SQRT(Calculation!L179^2+Calculation!M179^2)</f>
        <v>7.5548365389141807</v>
      </c>
      <c r="N89" s="106">
        <f>SQRT((Calculation!L179-Calculation!L207)^2+(Calculation!M179-Calculation!M207)^2-M89^2)</f>
        <v>4.2515337069391436E-3</v>
      </c>
      <c r="O89" s="100">
        <f>SQRT(L89^2+(M89/Calculation!O207)^2+(N89/Calculation!P207)^2)</f>
        <v>2.073061520752554</v>
      </c>
      <c r="P89" s="100">
        <f>Calculation!Z233</f>
        <v>2.1539308078177584</v>
      </c>
      <c r="AA89">
        <v>0.71028962487878144</v>
      </c>
      <c r="AB89">
        <v>0.6270507901948319</v>
      </c>
      <c r="AC89">
        <v>0.664100503251288</v>
      </c>
      <c r="AD89">
        <v>0.6255442198164145</v>
      </c>
      <c r="AE89">
        <f t="shared" si="12"/>
        <v>3.9901399536468929E-2</v>
      </c>
      <c r="AH89" s="49"/>
      <c r="AI89" s="49"/>
      <c r="AJ89" s="49"/>
      <c r="AK89" s="49"/>
      <c r="AL89" s="49"/>
      <c r="AM89" s="49"/>
      <c r="AN89" s="49"/>
    </row>
    <row r="90" spans="1:48">
      <c r="A90" s="134" t="s">
        <v>166</v>
      </c>
      <c r="B90" s="83">
        <v>0.54782395010281282</v>
      </c>
      <c r="C90" s="83">
        <v>0.31988357721859173</v>
      </c>
      <c r="D90" s="84">
        <v>0.11221113121434734</v>
      </c>
      <c r="E90" s="104">
        <f t="shared" si="13"/>
        <v>13.974774281434819</v>
      </c>
      <c r="G90" s="175" t="s">
        <v>166</v>
      </c>
      <c r="H90" s="45">
        <v>0.57855800000000002</v>
      </c>
      <c r="I90" s="45">
        <v>0.31886100000000001</v>
      </c>
      <c r="J90" s="89">
        <f t="shared" si="11"/>
        <v>9.9188060061024569E-2</v>
      </c>
      <c r="K90" s="45">
        <v>12.352881</v>
      </c>
      <c r="L90" s="106">
        <f>Calculation!K208-Calculation!K180</f>
        <v>-2.2541022323494957</v>
      </c>
      <c r="M90" s="106">
        <f>SQRT(Calculation!L208^2+Calculation!M208^2)-SQRT(Calculation!L180^2+Calculation!M180^2)</f>
        <v>5.0019168873773481</v>
      </c>
      <c r="N90" s="106">
        <f>SQRT((Calculation!L180-Calculation!L208)^2+(Calculation!M180-Calculation!M208)^2-M90^2)</f>
        <v>2.223135797168422</v>
      </c>
      <c r="O90" s="100">
        <f>SQRT(L90^2+(M90/Calculation!O208)^2+(N90/Calculation!P208)^2)</f>
        <v>2.8369580111858879</v>
      </c>
      <c r="P90" s="100">
        <f>Calculation!Z234</f>
        <v>2.7599129073070667</v>
      </c>
      <c r="AA90">
        <v>1.237825871167106</v>
      </c>
      <c r="AB90">
        <v>1.4157710700125383</v>
      </c>
      <c r="AC90">
        <v>1.2084256914729072</v>
      </c>
      <c r="AD90">
        <v>1.2767093132704657</v>
      </c>
      <c r="AE90">
        <f t="shared" si="12"/>
        <v>9.1757705227646161E-2</v>
      </c>
    </row>
    <row r="91" spans="1:48">
      <c r="A91" s="133" t="s">
        <v>167</v>
      </c>
      <c r="B91" s="83">
        <v>0.44776658013536197</v>
      </c>
      <c r="C91" s="83">
        <v>0.47481221871573948</v>
      </c>
      <c r="D91" s="84">
        <v>0.59225246452726243</v>
      </c>
      <c r="E91" s="104">
        <f t="shared" si="13"/>
        <v>73.75912193222527</v>
      </c>
      <c r="G91" s="176" t="s">
        <v>167</v>
      </c>
      <c r="H91" s="45">
        <v>0.44942700000000002</v>
      </c>
      <c r="I91" s="45">
        <v>0.48014400000000002</v>
      </c>
      <c r="J91" s="89">
        <f t="shared" si="11"/>
        <v>0.6374563031957603</v>
      </c>
      <c r="K91" s="45">
        <v>79.388807999999997</v>
      </c>
      <c r="L91" s="106">
        <f>Calculation!K209-Calculation!K181</f>
        <v>2.4179052033091892</v>
      </c>
      <c r="M91" s="106">
        <f>SQRT(Calculation!L209^2+Calculation!M209^2)-SQRT(Calculation!L181^2+Calculation!M181^2)</f>
        <v>5.1440193575927537</v>
      </c>
      <c r="N91" s="106">
        <f>SQRT((Calculation!L181-Calculation!L209)^2+(Calculation!M181-Calculation!M209)^2-M91^2)</f>
        <v>0.99064402882849889</v>
      </c>
      <c r="O91" s="100">
        <f>SQRT(L91^2+(M91/Calculation!O209)^2+(N91/Calculation!P209)^2)</f>
        <v>2.6830083931559687</v>
      </c>
      <c r="P91" s="100">
        <f>Calculation!Z235</f>
        <v>2.003074694958487</v>
      </c>
      <c r="AA91">
        <v>1.2303966373604787</v>
      </c>
      <c r="AB91">
        <v>0.953392126536452</v>
      </c>
      <c r="AC91">
        <v>0.91300182966770604</v>
      </c>
      <c r="AD91">
        <v>0.89300732628881196</v>
      </c>
      <c r="AE91">
        <f t="shared" si="12"/>
        <v>0.15731602761640556</v>
      </c>
      <c r="AT91" s="49"/>
      <c r="AU91" s="49"/>
      <c r="AV91" s="49"/>
    </row>
    <row r="92" spans="1:48">
      <c r="A92" s="132" t="s">
        <v>168</v>
      </c>
      <c r="B92" s="83">
        <v>0.377015446761506</v>
      </c>
      <c r="C92" s="83">
        <v>0.24238088969381427</v>
      </c>
      <c r="D92" s="84">
        <v>0.1801754633639896</v>
      </c>
      <c r="E92" s="104">
        <f t="shared" si="13"/>
        <v>22.439052207351267</v>
      </c>
      <c r="G92" s="177" t="s">
        <v>168</v>
      </c>
      <c r="H92" s="45">
        <v>0.38083699999999998</v>
      </c>
      <c r="I92" s="45">
        <v>0.23132</v>
      </c>
      <c r="J92" s="89">
        <f t="shared" si="11"/>
        <v>0.16577623253573148</v>
      </c>
      <c r="K92" s="45">
        <v>20.645772000000001</v>
      </c>
      <c r="L92" s="106">
        <f>Calculation!K210-Calculation!K182</f>
        <v>-1.7940111577861302</v>
      </c>
      <c r="M92" s="106">
        <f>SQRT(Calculation!L210^2+Calculation!M210^2)-SQRT(Calculation!L182^2+Calculation!M182^2)</f>
        <v>5.2758526466997893</v>
      </c>
      <c r="N92" s="106">
        <f>SQRT((Calculation!L182-Calculation!L210)^2+(Calculation!M182-Calculation!M210)^2-M92^2)</f>
        <v>0.8622547426881082</v>
      </c>
      <c r="O92" s="100">
        <f>SQRT(L92^2+(M92/Calculation!O210)^2+(N92/Calculation!P210)^2)</f>
        <v>2.3623553977963558</v>
      </c>
      <c r="P92" s="100">
        <f>Calculation!Z236</f>
        <v>2.3959630149100302</v>
      </c>
      <c r="AA92">
        <v>1.1599373748074733</v>
      </c>
      <c r="AB92">
        <v>1.0530513663948724</v>
      </c>
      <c r="AC92">
        <v>1.2099385143757173</v>
      </c>
      <c r="AD92">
        <v>1.2041761530770851</v>
      </c>
      <c r="AE92">
        <f t="shared" si="12"/>
        <v>7.266778597054617E-2</v>
      </c>
      <c r="AT92" s="49"/>
      <c r="AU92" s="49"/>
      <c r="AV92" s="49"/>
    </row>
    <row r="93" spans="1:48">
      <c r="A93" s="131" t="s">
        <v>169</v>
      </c>
      <c r="B93" s="85">
        <v>0.20776749426159455</v>
      </c>
      <c r="C93" s="85">
        <v>0.26796295781490936</v>
      </c>
      <c r="D93" s="86">
        <v>0.18813690106318742</v>
      </c>
      <c r="E93" s="105">
        <f t="shared" si="13"/>
        <v>23.430569658409365</v>
      </c>
      <c r="G93" s="178" t="s">
        <v>169</v>
      </c>
      <c r="H93" s="45">
        <v>0.20016300000000001</v>
      </c>
      <c r="I93" s="45">
        <v>0.25098500000000001</v>
      </c>
      <c r="J93" s="89">
        <f t="shared" si="11"/>
        <v>0.17113176489481291</v>
      </c>
      <c r="K93" s="45">
        <v>21.312750000000001</v>
      </c>
      <c r="L93" s="106">
        <f>Calculation!K211-Calculation!K183</f>
        <v>-2.0661933545991076</v>
      </c>
      <c r="M93" s="106">
        <f>SQRT(Calculation!L211^2+Calculation!M211^2)-SQRT(Calculation!L183^2+Calculation!M183^2)</f>
        <v>1.9996601172738622</v>
      </c>
      <c r="N93" s="106">
        <f>SQRT((Calculation!L183-Calculation!L211)^2+(Calculation!M183-Calculation!M211)^2-M93^2)</f>
        <v>4.8952214516057282</v>
      </c>
      <c r="O93" s="100">
        <f>SQRT(L93^2+(M93/Calculation!O211)^2+(N93/Calculation!P211)^2)</f>
        <v>3.9527185056111396</v>
      </c>
      <c r="P93" s="100">
        <f>Calculation!Z237</f>
        <v>3.7889271704251466</v>
      </c>
    </row>
    <row r="94" spans="1:48">
      <c r="L94" s="111">
        <f>AVERAGE(L71:L93)</f>
        <v>-1.0859960044457524</v>
      </c>
      <c r="M94" s="111">
        <f t="shared" ref="M94:P94" si="14">AVERAGE(M71:M93)</f>
        <v>4.7234129607826025</v>
      </c>
      <c r="N94" s="111">
        <f t="shared" si="14"/>
        <v>1.0519563637204825</v>
      </c>
      <c r="O94" s="111">
        <f t="shared" si="14"/>
        <v>2.8071216420257623</v>
      </c>
      <c r="P94" s="111">
        <f t="shared" si="14"/>
        <v>2.6395306834599852</v>
      </c>
      <c r="Q94" s="110" t="s">
        <v>143</v>
      </c>
    </row>
    <row r="95" spans="1:48">
      <c r="E95">
        <v>0.28073500000000001</v>
      </c>
      <c r="F95">
        <v>0.31474000000000002</v>
      </c>
      <c r="L95" s="111">
        <f>MIN(L71:L93)</f>
        <v>-5.0731767304932376</v>
      </c>
      <c r="M95" s="111">
        <f t="shared" ref="M95:P95" si="15">MIN(M71:M93)</f>
        <v>0.23381259184895628</v>
      </c>
      <c r="N95" s="111">
        <f t="shared" si="15"/>
        <v>2.5052727599339884E-3</v>
      </c>
      <c r="O95" s="111">
        <f t="shared" si="15"/>
        <v>0.70266058159637834</v>
      </c>
      <c r="P95" s="111">
        <f t="shared" si="15"/>
        <v>0.76905291884482785</v>
      </c>
      <c r="Q95" s="110" t="s">
        <v>144</v>
      </c>
    </row>
    <row r="96" spans="1:48">
      <c r="E96">
        <v>0.20647099999999999</v>
      </c>
      <c r="F96">
        <v>0.33188600000000001</v>
      </c>
      <c r="L96" s="111">
        <f>MAX(L71:L93)</f>
        <v>2.5415026040113133</v>
      </c>
      <c r="M96" s="111">
        <f t="shared" ref="M96:P96" si="16">MAX(M71:M93)</f>
        <v>9.6691834948444466</v>
      </c>
      <c r="N96" s="111">
        <f t="shared" si="16"/>
        <v>4.8952214516057282</v>
      </c>
      <c r="O96" s="111">
        <f t="shared" si="16"/>
        <v>5.5209500287077553</v>
      </c>
      <c r="P96" s="111">
        <f t="shared" si="16"/>
        <v>5.0998098999653347</v>
      </c>
      <c r="Q96" s="110" t="s">
        <v>145</v>
      </c>
    </row>
    <row r="97" spans="5:39" ht="18">
      <c r="E97">
        <v>6.3171499999999998</v>
      </c>
      <c r="H97" s="2" t="s">
        <v>141</v>
      </c>
      <c r="AJ97" s="49"/>
      <c r="AK97" s="49"/>
      <c r="AL97" s="49"/>
      <c r="AM97" s="49"/>
    </row>
    <row r="98" spans="5:39" ht="18">
      <c r="H98" s="109" t="s">
        <v>142</v>
      </c>
      <c r="AJ98" s="49"/>
      <c r="AK98" s="49"/>
      <c r="AL98" s="49"/>
      <c r="AM98" s="49"/>
    </row>
    <row r="100" spans="5:39">
      <c r="AJ100" s="49"/>
      <c r="AK100" s="49"/>
      <c r="AL100" s="49"/>
      <c r="AM100" s="49"/>
    </row>
    <row r="101" spans="5:39">
      <c r="AJ101" s="49"/>
      <c r="AK101" s="49"/>
      <c r="AL101" s="49"/>
      <c r="AM101" s="49"/>
    </row>
    <row r="119" spans="18:30" s="47" customFormat="1"/>
    <row r="120" spans="18:30" s="47" customFormat="1"/>
    <row r="121" spans="18:30" s="47" customFormat="1"/>
    <row r="122" spans="18:30" s="47" customFormat="1"/>
    <row r="123" spans="18:30" s="47" customFormat="1"/>
    <row r="124" spans="18:30" s="47" customFormat="1"/>
    <row r="125" spans="18:30" s="47" customFormat="1"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8:30" s="47" customFormat="1"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8:30" s="47" customFormat="1"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8:30" s="47" customFormat="1"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8:33" s="47" customFormat="1"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8:33">
      <c r="AE130" s="47"/>
      <c r="AF130" s="47"/>
      <c r="AG130" s="47"/>
    </row>
    <row r="131" spans="18:33">
      <c r="AE131" s="47"/>
      <c r="AF131" s="47"/>
      <c r="AG131" s="47"/>
    </row>
    <row r="132" spans="18:33">
      <c r="AE132" s="47"/>
      <c r="AF132" s="47"/>
      <c r="AG132" s="47"/>
    </row>
    <row r="133" spans="18:33">
      <c r="AE133" s="47"/>
      <c r="AF133" s="47"/>
      <c r="AG133" s="47"/>
    </row>
    <row r="134" spans="18:33">
      <c r="AE134" s="47"/>
      <c r="AF134" s="47"/>
      <c r="AG134" s="47"/>
    </row>
    <row r="135" spans="18:33">
      <c r="AE135" s="47"/>
      <c r="AF135" s="47"/>
      <c r="AG135" s="47"/>
    </row>
    <row r="136" spans="18:33">
      <c r="AE136" s="47"/>
      <c r="AF136" s="47"/>
      <c r="AG136" s="47"/>
    </row>
    <row r="137" spans="18:33">
      <c r="AE137" s="47"/>
      <c r="AF137" s="47"/>
      <c r="AG137" s="47"/>
    </row>
    <row r="138" spans="18:33">
      <c r="AE138" s="47"/>
      <c r="AF138" s="47"/>
      <c r="AG138" s="47"/>
    </row>
    <row r="139" spans="18:33">
      <c r="AE139" s="47"/>
      <c r="AF139" s="47"/>
      <c r="AG139" s="47"/>
    </row>
    <row r="140" spans="18:33">
      <c r="AE140" s="47"/>
      <c r="AF140" s="47"/>
      <c r="AG140" s="47"/>
    </row>
    <row r="141" spans="18:33">
      <c r="AE141" s="47"/>
      <c r="AF141" s="47"/>
      <c r="AG141" s="47"/>
    </row>
    <row r="142" spans="18:33">
      <c r="AE142" s="47"/>
      <c r="AF142" s="47"/>
      <c r="AG142" s="47"/>
    </row>
    <row r="143" spans="18:33">
      <c r="AE143" s="47"/>
      <c r="AF143" s="47"/>
      <c r="AG143" s="47"/>
    </row>
    <row r="144" spans="18:33">
      <c r="AE144" s="47"/>
      <c r="AF144" s="47"/>
      <c r="AG144" s="47"/>
    </row>
    <row r="145" spans="31:33">
      <c r="AE145" s="47"/>
      <c r="AF145" s="47"/>
      <c r="AG145" s="47"/>
    </row>
    <row r="146" spans="31:33">
      <c r="AE146" s="47"/>
      <c r="AF146" s="47"/>
      <c r="AG146" s="47"/>
    </row>
    <row r="147" spans="31:33">
      <c r="AE147" s="47"/>
      <c r="AF147" s="47"/>
      <c r="AG147" s="47"/>
    </row>
    <row r="184" spans="32:32">
      <c r="AF184" s="145"/>
    </row>
    <row r="185" spans="32:32">
      <c r="AF185" s="145"/>
    </row>
    <row r="186" spans="32:32">
      <c r="AF186" s="145"/>
    </row>
  </sheetData>
  <mergeCells count="3">
    <mergeCell ref="C3:E3"/>
    <mergeCell ref="C2:E2"/>
    <mergeCell ref="I2:J3"/>
  </mergeCells>
  <phoneticPr fontId="6" type="noConversion"/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Drop Down 4">
              <controlPr locked="0" defaultSize="0" autoLine="0" autoPict="0">
                <anchor>
                  <from>
                    <xdr:col>5</xdr:col>
                    <xdr:colOff>139700</xdr:colOff>
                    <xdr:row>1</xdr:row>
                    <xdr:rowOff>63500</xdr:rowOff>
                  </from>
                  <to>
                    <xdr:col>7</xdr:col>
                    <xdr:colOff>152400</xdr:colOff>
                    <xdr:row>1</xdr:row>
                    <xdr:rowOff>304800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0" r:id="rId4" name="Drop Down 6">
              <controlPr defaultSize="0" autoLine="0" autoPict="0">
                <anchor moveWithCells="1">
                  <from>
                    <xdr:col>5</xdr:col>
                    <xdr:colOff>152400</xdr:colOff>
                    <xdr:row>1</xdr:row>
                    <xdr:rowOff>355600</xdr:rowOff>
                  </from>
                  <to>
                    <xdr:col>7</xdr:col>
                    <xdr:colOff>152400</xdr:colOff>
                    <xdr:row>2</xdr:row>
                    <xdr:rowOff>177800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M90"/>
  <sheetViews>
    <sheetView topLeftCell="A2" workbookViewId="0">
      <selection activeCell="M42" sqref="M42:V42"/>
    </sheetView>
  </sheetViews>
  <sheetFormatPr baseColWidth="10" defaultColWidth="11" defaultRowHeight="15" x14ac:dyDescent="0"/>
  <cols>
    <col min="3" max="3" width="12.5" customWidth="1"/>
    <col min="7" max="7" width="8.5" customWidth="1"/>
    <col min="8" max="8" width="11" customWidth="1"/>
    <col min="9" max="9" width="10.33203125" customWidth="1"/>
  </cols>
  <sheetData>
    <row r="1" spans="1:12">
      <c r="A1" s="1" t="s">
        <v>41</v>
      </c>
      <c r="D1" s="50" t="s">
        <v>42</v>
      </c>
      <c r="E1" s="50" t="s">
        <v>43</v>
      </c>
      <c r="F1" s="50"/>
      <c r="G1" s="50" t="s">
        <v>44</v>
      </c>
      <c r="H1" s="50" t="s">
        <v>45</v>
      </c>
      <c r="I1" s="50" t="s">
        <v>46</v>
      </c>
      <c r="J1" s="50" t="s">
        <v>47</v>
      </c>
      <c r="K1" s="50" t="s">
        <v>40</v>
      </c>
    </row>
    <row r="2" spans="1:12">
      <c r="D2" s="51">
        <f>(C9^(1/K2)-C10^(1/K2))^K2</f>
        <v>114.32430450429457</v>
      </c>
      <c r="E2" s="51">
        <f>C10^(1/K2)/(C9^(1/K2)-C10^(1/K2))</f>
        <v>3.6305068432905437E-2</v>
      </c>
      <c r="F2" s="51"/>
      <c r="G2" s="50">
        <v>0.35</v>
      </c>
      <c r="H2" s="50">
        <v>2.6</v>
      </c>
      <c r="I2" s="50">
        <v>3</v>
      </c>
      <c r="J2" s="51">
        <f>100/(1+C11)^H2</f>
        <v>87.004878515670839</v>
      </c>
      <c r="K2" s="50">
        <v>2.4</v>
      </c>
    </row>
    <row r="4" spans="1:12" ht="18">
      <c r="A4" s="2" t="s">
        <v>149</v>
      </c>
    </row>
    <row r="5" spans="1:12" ht="18">
      <c r="A5" s="2" t="s">
        <v>148</v>
      </c>
    </row>
    <row r="8" spans="1:12" ht="16">
      <c r="C8" s="95" t="s">
        <v>113</v>
      </c>
      <c r="J8" s="1" t="s">
        <v>105</v>
      </c>
    </row>
    <row r="9" spans="1:12">
      <c r="B9" t="s">
        <v>48</v>
      </c>
      <c r="C9" s="60">
        <v>124.54</v>
      </c>
      <c r="E9" t="s">
        <v>49</v>
      </c>
    </row>
    <row r="10" spans="1:12">
      <c r="B10" t="s">
        <v>50</v>
      </c>
      <c r="C10" s="60">
        <v>0.04</v>
      </c>
      <c r="E10" s="52">
        <f>$J$2*($G$2+$C$11)^($H$2-$I$2)*(0.0183+$C$11)^$I$2</f>
        <v>4.9189625893358312E-2</v>
      </c>
      <c r="F10" s="52"/>
    </row>
    <row r="11" spans="1:12">
      <c r="B11" t="s">
        <v>51</v>
      </c>
      <c r="C11" s="60">
        <v>5.5E-2</v>
      </c>
      <c r="D11" t="s">
        <v>146</v>
      </c>
    </row>
    <row r="12" spans="1:12" ht="24" customHeight="1">
      <c r="D12" t="s">
        <v>147</v>
      </c>
    </row>
    <row r="13" spans="1:12" ht="29" customHeight="1">
      <c r="C13" s="152" t="s">
        <v>178</v>
      </c>
      <c r="D13" s="154" t="s">
        <v>52</v>
      </c>
      <c r="E13" s="154" t="s">
        <v>53</v>
      </c>
      <c r="F13" s="154" t="s">
        <v>176</v>
      </c>
      <c r="G13" s="152" t="s">
        <v>54</v>
      </c>
      <c r="H13" s="152" t="s">
        <v>55</v>
      </c>
      <c r="I13" s="152" t="s">
        <v>177</v>
      </c>
      <c r="J13" s="153" t="s">
        <v>73</v>
      </c>
      <c r="K13" s="153" t="s">
        <v>59</v>
      </c>
      <c r="L13" s="153" t="s">
        <v>74</v>
      </c>
    </row>
    <row r="14" spans="1:12">
      <c r="C14" s="96">
        <v>0.01</v>
      </c>
      <c r="D14" s="97">
        <f>$D$2*(C14+$E$2)^$K$2</f>
        <v>7.1721116366578477E-2</v>
      </c>
      <c r="E14" s="97">
        <f t="shared" ref="E14:E37" si="0">IF(C14&lt;$G$2,$J$2*($G$2+$C$11)^($H$2-$I$2)*(C14+$C$11)^$I$2,$J$2*(C14+$C$11)^$H$2)</f>
        <v>3.4300595942850558E-2</v>
      </c>
      <c r="F14" s="90">
        <f>$C$9*(C14)^'Color Targets'!$B$3</f>
        <v>3.1283033618020356E-3</v>
      </c>
      <c r="G14" s="97">
        <f t="shared" ref="G14:I36" si="1">LOG(D14/$C$9)/LOG(C14)</f>
        <v>1.6198309102415422</v>
      </c>
      <c r="H14" s="97">
        <f>LOG(E14/100)/LOG(C14)</f>
        <v>1.7323491672024751</v>
      </c>
      <c r="I14" s="97">
        <f>LOG(F14/$C$9)/LOG(C14)</f>
        <v>2.2999999999999998</v>
      </c>
      <c r="J14" s="142"/>
      <c r="K14" s="90" t="str">
        <f>IF(J14=0,"",J14/$J$37)</f>
        <v/>
      </c>
      <c r="L14" s="99" t="str">
        <f>IFERROR(LOG(K14)/LOG(C14),"")</f>
        <v/>
      </c>
    </row>
    <row r="15" spans="1:12">
      <c r="C15" s="96">
        <v>0.02</v>
      </c>
      <c r="D15" s="97">
        <f t="shared" ref="D15:D37" si="2">$D$2*(C15+$E$2)^$K$2</f>
        <v>0.1146707216334035</v>
      </c>
      <c r="E15" s="97">
        <f t="shared" si="0"/>
        <v>5.2692085255858272E-2</v>
      </c>
      <c r="F15" s="97">
        <f>$C$9*(C15)^'Color Targets'!$B$3</f>
        <v>1.5405572828522774E-2</v>
      </c>
      <c r="G15" s="97">
        <f t="shared" si="1"/>
        <v>1.7868804676161052</v>
      </c>
      <c r="H15" s="97">
        <f t="shared" ref="H15:H36" si="3">LOG(E15/100)/LOG(C15)</f>
        <v>1.9295541450360125</v>
      </c>
      <c r="I15" s="97">
        <f t="shared" ref="I15:I36" si="4">LOG(F15/$C$9)/LOG(C15)</f>
        <v>2.2999999999999998</v>
      </c>
      <c r="J15" s="142"/>
      <c r="K15" s="90" t="str">
        <f>IF(J15=0,"",J15/$J$37)</f>
        <v/>
      </c>
      <c r="L15" s="99" t="str">
        <f>IFERROR(LOG(K15)/LOG(C15),"")</f>
        <v/>
      </c>
    </row>
    <row r="16" spans="1:12">
      <c r="C16" s="96">
        <v>0.03</v>
      </c>
      <c r="D16" s="97">
        <f t="shared" si="2"/>
        <v>0.16976599934306461</v>
      </c>
      <c r="E16" s="97">
        <f t="shared" si="0"/>
        <v>7.6704063662824187E-2</v>
      </c>
      <c r="F16" s="97">
        <f>$C$9*(C16)^'Color Targets'!$B$3</f>
        <v>3.9146032041411573E-2</v>
      </c>
      <c r="G16" s="97">
        <f t="shared" si="1"/>
        <v>1.8816062381524248</v>
      </c>
      <c r="H16" s="97">
        <f t="shared" si="3"/>
        <v>2.0455874355362313</v>
      </c>
      <c r="I16" s="97">
        <f t="shared" si="4"/>
        <v>2.2999999999999998</v>
      </c>
      <c r="J16" s="142"/>
      <c r="K16" s="90" t="str">
        <f>IF(J16=0,"",J16/$J$37)</f>
        <v/>
      </c>
      <c r="L16" s="99" t="str">
        <f>IFERROR(LOG(K16)/LOG(C16),"")</f>
        <v/>
      </c>
    </row>
    <row r="17" spans="3:12">
      <c r="C17" s="96">
        <v>0.04</v>
      </c>
      <c r="D17" s="97">
        <f t="shared" si="2"/>
        <v>0.23783003229347194</v>
      </c>
      <c r="E17" s="97">
        <f t="shared" si="0"/>
        <v>0.10708592970960945</v>
      </c>
      <c r="F17" s="97">
        <f>$C$9*(C17)^'Color Targets'!$B$3</f>
        <v>7.5865939688856229E-2</v>
      </c>
      <c r="G17" s="97">
        <f t="shared" si="1"/>
        <v>1.9450349440445891</v>
      </c>
      <c r="H17" s="97">
        <f t="shared" si="3"/>
        <v>2.1247461050124441</v>
      </c>
      <c r="I17" s="97">
        <f t="shared" si="4"/>
        <v>2.2999999999999998</v>
      </c>
      <c r="J17" s="142"/>
      <c r="K17" s="90" t="str">
        <f>IF(J17=0,"",J17/$J$37)</f>
        <v/>
      </c>
      <c r="L17" s="99" t="str">
        <f>IFERROR(LOG(K17)/LOG(C17),"")</f>
        <v/>
      </c>
    </row>
    <row r="18" spans="3:12">
      <c r="C18" s="96">
        <v>5.0228310502283102E-2</v>
      </c>
      <c r="D18" s="97">
        <f t="shared" si="2"/>
        <v>0.32164689067331798</v>
      </c>
      <c r="E18" s="97">
        <f t="shared" si="0"/>
        <v>0.14553229849718041</v>
      </c>
      <c r="F18" s="97">
        <f>$C$9*(C18)^'Color Targets'!$B$3</f>
        <v>0.12808272923409014</v>
      </c>
      <c r="G18" s="97">
        <f t="shared" si="1"/>
        <v>1.9921686276435799</v>
      </c>
      <c r="H18" s="97">
        <f t="shared" si="3"/>
        <v>2.1839324807694322</v>
      </c>
      <c r="I18" s="97">
        <f t="shared" si="4"/>
        <v>2.2999999999999998</v>
      </c>
      <c r="J18" s="142"/>
      <c r="K18" s="90" t="str">
        <f>IF(J18=0,"",J18/$J$37)</f>
        <v/>
      </c>
      <c r="L18" s="99" t="str">
        <f>IFERROR(LOG(K18)/LOG(C18),"")</f>
        <v/>
      </c>
    </row>
    <row r="19" spans="3:12">
      <c r="C19" s="96">
        <v>0.1004566210045662</v>
      </c>
      <c r="D19" s="97">
        <f t="shared" si="2"/>
        <v>0.96483547892614452</v>
      </c>
      <c r="E19" s="97">
        <f t="shared" si="0"/>
        <v>0.46923377717997722</v>
      </c>
      <c r="F19" s="97">
        <f>$C$9*(C19)^'Color Targets'!$B$3</f>
        <v>0.63075334617007883</v>
      </c>
      <c r="G19" s="97">
        <f t="shared" si="1"/>
        <v>2.1150403432948135</v>
      </c>
      <c r="H19" s="97">
        <f t="shared" si="3"/>
        <v>2.3332271772321409</v>
      </c>
      <c r="I19" s="97">
        <f t="shared" si="4"/>
        <v>2.2999999999999998</v>
      </c>
      <c r="J19" s="142">
        <v>0.94199999999999995</v>
      </c>
      <c r="K19" s="90">
        <f>IF(J19=0,"",J19/$J$37)</f>
        <v>7.5640049720083636E-3</v>
      </c>
      <c r="L19" s="99">
        <f>IFERROR(LOG(K19)/LOG(C19),"")</f>
        <v>2.1254535444338782</v>
      </c>
    </row>
    <row r="20" spans="3:12">
      <c r="C20" s="96">
        <v>0.15068493150684931</v>
      </c>
      <c r="D20" s="97">
        <f t="shared" si="2"/>
        <v>2.0441025666727377</v>
      </c>
      <c r="E20" s="97">
        <f t="shared" si="0"/>
        <v>1.0868485365024909</v>
      </c>
      <c r="F20" s="97">
        <f>$C$9*(C20)^'Color Targets'!$B$3</f>
        <v>1.6027635566842531</v>
      </c>
      <c r="G20" s="97">
        <f t="shared" si="1"/>
        <v>2.1714815104815695</v>
      </c>
      <c r="H20" s="97">
        <f t="shared" si="3"/>
        <v>2.3892917365883624</v>
      </c>
      <c r="I20" s="97">
        <f t="shared" si="4"/>
        <v>2.2999999999999998</v>
      </c>
      <c r="J20" s="142"/>
      <c r="K20" s="90" t="str">
        <f>IF(J20=0,"",J20/$J$37)</f>
        <v/>
      </c>
      <c r="L20" s="99" t="str">
        <f>IFERROR(LOG(K20)/LOG(C20),"")</f>
        <v/>
      </c>
    </row>
    <row r="21" spans="3:12">
      <c r="C21" s="96">
        <v>0.20091324200913241</v>
      </c>
      <c r="D21" s="97">
        <f t="shared" si="2"/>
        <v>3.6182141532278043</v>
      </c>
      <c r="E21" s="97">
        <f t="shared" si="0"/>
        <v>2.0933404797408821</v>
      </c>
      <c r="F21" s="97">
        <f>$C$9*(C21)^'Color Targets'!$B$3</f>
        <v>3.1061938333436161</v>
      </c>
      <c r="G21" s="97">
        <f t="shared" si="1"/>
        <v>2.2049260704038884</v>
      </c>
      <c r="H21" s="97">
        <f t="shared" si="3"/>
        <v>2.4091545978204496</v>
      </c>
      <c r="I21" s="97">
        <f t="shared" si="4"/>
        <v>2.2999999999999998</v>
      </c>
      <c r="J21" s="142">
        <v>3.5246</v>
      </c>
      <c r="K21" s="90">
        <f>IF(J21=0,"",J21/$J$37)</f>
        <v>2.8301583783801144E-2</v>
      </c>
      <c r="L21" s="99">
        <f>IFERROR(LOG(K21)/LOG(C21),"")</f>
        <v>2.2212457356948403</v>
      </c>
    </row>
    <row r="22" spans="3:12">
      <c r="C22" s="96">
        <v>0.25114155251141551</v>
      </c>
      <c r="D22" s="97">
        <f t="shared" si="2"/>
        <v>5.7368813312522571</v>
      </c>
      <c r="E22" s="97">
        <f t="shared" si="0"/>
        <v>3.5836735101713106</v>
      </c>
      <c r="F22" s="97">
        <f>$C$9*(C22)^'Color Targets'!$B$3</f>
        <v>5.1894530013910236</v>
      </c>
      <c r="G22" s="97">
        <f t="shared" si="1"/>
        <v>2.2274193775015414</v>
      </c>
      <c r="H22" s="97">
        <f t="shared" si="3"/>
        <v>2.4091256660423039</v>
      </c>
      <c r="I22" s="97">
        <f t="shared" si="4"/>
        <v>2.2999999999999998</v>
      </c>
      <c r="J22" s="142"/>
      <c r="K22" s="90" t="str">
        <f>IF(J22=0,"",J22/$J$37)</f>
        <v/>
      </c>
      <c r="L22" s="99" t="str">
        <f>IFERROR(LOG(K22)/LOG(C22),"")</f>
        <v/>
      </c>
    </row>
    <row r="23" spans="3:12">
      <c r="C23" s="96">
        <v>0.30136986301369861</v>
      </c>
      <c r="D23" s="97">
        <f t="shared" si="2"/>
        <v>8.4437572040421749</v>
      </c>
      <c r="E23" s="97">
        <f t="shared" si="0"/>
        <v>5.6528115310699381</v>
      </c>
      <c r="F23" s="97">
        <f>$C$9*(C23)^'Color Targets'!$B$3</f>
        <v>7.8929335948985893</v>
      </c>
      <c r="G23" s="97">
        <f t="shared" si="1"/>
        <v>2.2437564257751674</v>
      </c>
      <c r="H23" s="97">
        <f t="shared" si="3"/>
        <v>2.3953447197496698</v>
      </c>
      <c r="I23" s="97">
        <f t="shared" si="4"/>
        <v>2.2999999999999994</v>
      </c>
      <c r="J23" s="142">
        <v>7.9661</v>
      </c>
      <c r="K23" s="90">
        <f>IF(J23=0,"",J23/$J$37)</f>
        <v>6.3965626334942488E-2</v>
      </c>
      <c r="L23" s="99">
        <f>IFERROR(LOG(K23)/LOG(C23),"")</f>
        <v>2.292288217034907</v>
      </c>
    </row>
    <row r="24" spans="3:12">
      <c r="C24" s="96">
        <v>0.35159817351598172</v>
      </c>
      <c r="D24" s="97">
        <f t="shared" si="2"/>
        <v>11.778086792379041</v>
      </c>
      <c r="E24" s="97">
        <f t="shared" si="0"/>
        <v>8.382502773826582</v>
      </c>
      <c r="F24" s="97">
        <f>$C$9*(C24)^'Color Targets'!$B$3</f>
        <v>11.251646135815395</v>
      </c>
      <c r="G24" s="97">
        <f t="shared" si="1"/>
        <v>2.2562539115225673</v>
      </c>
      <c r="H24" s="97">
        <f t="shared" si="3"/>
        <v>2.3716670448840733</v>
      </c>
      <c r="I24" s="97">
        <f t="shared" si="4"/>
        <v>2.3000000000000003</v>
      </c>
      <c r="J24" s="142"/>
      <c r="K24" s="90" t="str">
        <f>IF(J24=0,"",J24/$J$37)</f>
        <v/>
      </c>
      <c r="L24" s="99" t="str">
        <f>IFERROR(LOG(K24)/LOG(C24),"")</f>
        <v/>
      </c>
    </row>
    <row r="25" spans="3:12">
      <c r="C25" s="96">
        <v>0.40182648401826482</v>
      </c>
      <c r="D25" s="97">
        <f t="shared" si="2"/>
        <v>15.775729138427042</v>
      </c>
      <c r="E25" s="97">
        <f t="shared" si="0"/>
        <v>11.347414434519434</v>
      </c>
      <c r="F25" s="97">
        <f>$C$9*(C25)^'Color Targets'!$B$3</f>
        <v>15.296692738749687</v>
      </c>
      <c r="G25" s="97">
        <f t="shared" si="1"/>
        <v>2.2661787830974269</v>
      </c>
      <c r="H25" s="97">
        <f t="shared" si="3"/>
        <v>2.3868563488438235</v>
      </c>
      <c r="I25" s="97">
        <f t="shared" si="4"/>
        <v>2.2999999999999998</v>
      </c>
      <c r="J25" s="142">
        <v>15.4681</v>
      </c>
      <c r="K25" s="90">
        <f>IF(J25=0,"",J25/$J$37)</f>
        <v>0.12420465531584136</v>
      </c>
      <c r="L25" s="99">
        <f>IFERROR(LOG(K25)/LOG(C25),"")</f>
        <v>2.2877533729166122</v>
      </c>
    </row>
    <row r="26" spans="3:12">
      <c r="C26" s="96">
        <v>0.45205479452054792</v>
      </c>
      <c r="D26" s="97">
        <f t="shared" si="2"/>
        <v>20.469841489489767</v>
      </c>
      <c r="E26" s="97">
        <f t="shared" si="0"/>
        <v>14.882857664573104</v>
      </c>
      <c r="F26" s="97">
        <f>$C$9*(C26)^'Color Targets'!$B$3</f>
        <v>20.056185826117158</v>
      </c>
      <c r="G26" s="97">
        <f t="shared" si="1"/>
        <v>2.2742868170758079</v>
      </c>
      <c r="H26" s="97">
        <f t="shared" si="3"/>
        <v>2.3993395272705165</v>
      </c>
      <c r="I26" s="97">
        <f t="shared" si="4"/>
        <v>2.2999999999999998</v>
      </c>
      <c r="J26" s="142"/>
      <c r="K26" s="90" t="str">
        <f>IF(J26=0,"",J26/$J$37)</f>
        <v/>
      </c>
      <c r="L26" s="99" t="str">
        <f>IFERROR(LOG(K26)/LOG(C26),"")</f>
        <v/>
      </c>
    </row>
    <row r="27" spans="3:12">
      <c r="C27" s="96">
        <v>0.50228310502283102</v>
      </c>
      <c r="D27" s="97">
        <f t="shared" si="2"/>
        <v>25.891363299476833</v>
      </c>
      <c r="E27" s="97">
        <f t="shared" si="0"/>
        <v>19.02571053195571</v>
      </c>
      <c r="F27" s="97">
        <f>$C$9*(C27)^'Color Targets'!$B$3</f>
        <v>25.555864283914271</v>
      </c>
      <c r="G27" s="97">
        <f t="shared" si="1"/>
        <v>2.2810589585549921</v>
      </c>
      <c r="H27" s="97">
        <f t="shared" si="3"/>
        <v>2.4098166523071987</v>
      </c>
      <c r="I27" s="97">
        <f t="shared" si="4"/>
        <v>2.2999999999999998</v>
      </c>
      <c r="J27" s="142">
        <v>26.090800000000002</v>
      </c>
      <c r="K27" s="90">
        <f>IF(J27=0,"",J27/$J$37)</f>
        <v>0.20950206042853062</v>
      </c>
      <c r="L27" s="99">
        <f>IFERROR(LOG(K27)/LOG(C27),"")</f>
        <v>2.2698828163528715</v>
      </c>
    </row>
    <row r="28" spans="3:12">
      <c r="C28" s="96">
        <v>0.54794520547945202</v>
      </c>
      <c r="D28" s="97">
        <f t="shared" si="2"/>
        <v>31.475742753694245</v>
      </c>
      <c r="E28" s="97">
        <f t="shared" si="0"/>
        <v>23.348877397466318</v>
      </c>
      <c r="F28" s="97">
        <f>$C$9*(C28)^'Color Targets'!$B$3</f>
        <v>31.217941551493592</v>
      </c>
      <c r="G28" s="97">
        <f t="shared" si="1"/>
        <v>2.2863290023350746</v>
      </c>
      <c r="H28" s="97">
        <f t="shared" si="3"/>
        <v>2.4180014488113644</v>
      </c>
      <c r="I28" s="97">
        <f t="shared" si="4"/>
        <v>2.2999999999999998</v>
      </c>
      <c r="J28" s="142"/>
      <c r="K28" s="90" t="str">
        <f>IF(J28=0,"",J28/$J$37)</f>
        <v/>
      </c>
      <c r="L28" s="99" t="str">
        <f>IFERROR(LOG(K28)/LOG(C28),"")</f>
        <v/>
      </c>
    </row>
    <row r="29" spans="3:12">
      <c r="C29" s="96">
        <v>0.59817351598173518</v>
      </c>
      <c r="D29" s="97">
        <f t="shared" si="2"/>
        <v>38.365361172420648</v>
      </c>
      <c r="E29" s="97">
        <f t="shared" si="0"/>
        <v>28.74867807649796</v>
      </c>
      <c r="F29" s="97">
        <f>$C$9*(C29)^'Color Targets'!$B$3</f>
        <v>38.195427680811214</v>
      </c>
      <c r="G29" s="97">
        <f t="shared" si="1"/>
        <v>2.2913613415816694</v>
      </c>
      <c r="H29" s="97">
        <f t="shared" si="3"/>
        <v>2.4258425477158303</v>
      </c>
      <c r="I29" s="97">
        <f t="shared" si="4"/>
        <v>2.2999999999999994</v>
      </c>
      <c r="J29" s="142">
        <v>38.360599999999998</v>
      </c>
      <c r="K29" s="90">
        <f>IF(J29=0,"",J29/$J$37)</f>
        <v>0.30802523262125692</v>
      </c>
      <c r="L29" s="99">
        <f>IFERROR(LOG(K29)/LOG(C29),"")</f>
        <v>2.2915591049285666</v>
      </c>
    </row>
    <row r="30" spans="3:12">
      <c r="C30" s="96">
        <v>0.64840182648401823</v>
      </c>
      <c r="D30" s="97">
        <f t="shared" si="2"/>
        <v>46.062748787161006</v>
      </c>
      <c r="E30" s="97">
        <f t="shared" si="0"/>
        <v>34.855609656567289</v>
      </c>
      <c r="F30" s="97">
        <f>$C$9*(C30)^'Color Targets'!$B$3</f>
        <v>45.978054352140049</v>
      </c>
      <c r="G30" s="97">
        <f t="shared" si="1"/>
        <v>2.2957521285733802</v>
      </c>
      <c r="H30" s="97">
        <f t="shared" si="3"/>
        <v>2.4327041128768481</v>
      </c>
      <c r="I30" s="97">
        <f t="shared" si="4"/>
        <v>2.2999999999999998</v>
      </c>
      <c r="J30" s="142"/>
      <c r="K30" s="90" t="str">
        <f>IF(J30=0,"",J30/$J$37)</f>
        <v/>
      </c>
      <c r="L30" s="99" t="str">
        <f>IFERROR(LOG(K30)/LOG(C30),"")</f>
        <v/>
      </c>
    </row>
    <row r="31" spans="3:12">
      <c r="C31" s="96">
        <v>0.69863013698630139</v>
      </c>
      <c r="D31" s="97">
        <f t="shared" si="2"/>
        <v>54.592916020293146</v>
      </c>
      <c r="E31" s="97">
        <f t="shared" si="0"/>
        <v>41.701826167282832</v>
      </c>
      <c r="F31" s="97">
        <f>$C$9*(C31)^'Color Targets'!$B$3</f>
        <v>54.585549692097807</v>
      </c>
      <c r="G31" s="97">
        <f t="shared" si="1"/>
        <v>2.2996237358462022</v>
      </c>
      <c r="H31" s="97">
        <f t="shared" si="3"/>
        <v>2.4387696993910257</v>
      </c>
      <c r="I31" s="97">
        <f t="shared" si="4"/>
        <v>2.2999999999999998</v>
      </c>
      <c r="J31" s="142">
        <v>54.827300000000001</v>
      </c>
      <c r="K31" s="90">
        <f>IF(J31=0,"",J31/$J$37)</f>
        <v>0.44024837558576874</v>
      </c>
      <c r="L31" s="99">
        <f>IFERROR(LOG(K31)/LOG(C31),"")</f>
        <v>2.2876153951347629</v>
      </c>
    </row>
    <row r="32" spans="3:12">
      <c r="C32" s="96">
        <v>0.74885844748858443</v>
      </c>
      <c r="D32" s="97">
        <f t="shared" si="2"/>
        <v>63.979793591742045</v>
      </c>
      <c r="E32" s="97">
        <f t="shared" si="0"/>
        <v>49.318574229319211</v>
      </c>
      <c r="F32" s="97">
        <f>$C$9*(C32)^'Color Targets'!$B$3</f>
        <v>64.036597436008591</v>
      </c>
      <c r="G32" s="97">
        <f t="shared" si="1"/>
        <v>2.3030685692030102</v>
      </c>
      <c r="H32" s="97">
        <f t="shared" si="3"/>
        <v>2.444178622627025</v>
      </c>
      <c r="I32" s="97">
        <f t="shared" si="4"/>
        <v>2.2999999999999998</v>
      </c>
      <c r="J32" s="142"/>
      <c r="K32" s="90" t="str">
        <f>IF(J32=0,"",J32/$J$37)</f>
        <v/>
      </c>
      <c r="L32" s="99" t="str">
        <f>IFERROR(LOG(K32)/LOG(C32),"")</f>
        <v/>
      </c>
    </row>
    <row r="33" spans="1:13">
      <c r="C33" s="96">
        <v>0.79908675799086759</v>
      </c>
      <c r="D33" s="97">
        <f t="shared" si="2"/>
        <v>74.246348620385717</v>
      </c>
      <c r="E33" s="97">
        <f t="shared" si="0"/>
        <v>57.736276884308531</v>
      </c>
      <c r="F33" s="97">
        <f>$C$9*(C33)^'Color Targets'!$B$3</f>
        <v>74.348961931377431</v>
      </c>
      <c r="G33" s="97">
        <f t="shared" si="1"/>
        <v>2.3061578197026846</v>
      </c>
      <c r="H33" s="97">
        <f t="shared" si="3"/>
        <v>2.4490386932802992</v>
      </c>
      <c r="I33" s="97">
        <f t="shared" si="4"/>
        <v>2.2999999999999998</v>
      </c>
      <c r="J33" s="142">
        <v>75.455399999999997</v>
      </c>
      <c r="K33" s="90">
        <f>IF(J33=0,"",J33/$J$37)</f>
        <v>0.60588643393299346</v>
      </c>
      <c r="L33" s="99">
        <f>IFERROR(LOG(K33)/LOG(C33),"")</f>
        <v>2.2340371604553422</v>
      </c>
    </row>
    <row r="34" spans="1:13">
      <c r="C34" s="96">
        <v>0.84931506849315064</v>
      </c>
      <c r="D34" s="97">
        <f t="shared" si="2"/>
        <v>85.414681694316286</v>
      </c>
      <c r="E34" s="97">
        <f t="shared" si="0"/>
        <v>66.98460495588651</v>
      </c>
      <c r="F34" s="97">
        <f>$C$9*(C34)^'Color Targets'!$B$3</f>
        <v>85.539590915162606</v>
      </c>
      <c r="G34" s="97">
        <f t="shared" si="1"/>
        <v>2.3089472958270072</v>
      </c>
      <c r="H34" s="97">
        <f t="shared" si="3"/>
        <v>2.4534347597237507</v>
      </c>
      <c r="I34" s="97">
        <f t="shared" si="4"/>
        <v>2.2999999999999998</v>
      </c>
      <c r="J34" s="142"/>
      <c r="K34" s="90" t="str">
        <f>IF(J34=0,"",J34/$J$37)</f>
        <v/>
      </c>
      <c r="L34" s="99" t="str">
        <f>IFERROR(LOG(K34)/LOG(C34),"")</f>
        <v/>
      </c>
    </row>
    <row r="35" spans="1:13">
      <c r="C35" s="96">
        <v>0.8995433789954338</v>
      </c>
      <c r="D35" s="97">
        <f t="shared" si="2"/>
        <v>97.506108977227981</v>
      </c>
      <c r="E35" s="97">
        <f t="shared" si="0"/>
        <v>77.092538418469729</v>
      </c>
      <c r="F35" s="97">
        <f>$C$9*(C35)^'Color Targets'!$B$3</f>
        <v>97.62470115118596</v>
      </c>
      <c r="G35" s="97">
        <f t="shared" si="1"/>
        <v>2.3114814177434377</v>
      </c>
      <c r="H35" s="97">
        <f t="shared" si="3"/>
        <v>2.4574345923441014</v>
      </c>
      <c r="I35" s="97">
        <f t="shared" si="4"/>
        <v>2.3000000000000003</v>
      </c>
      <c r="J35" s="142">
        <v>97.935699999999997</v>
      </c>
      <c r="K35" s="90">
        <f>IF(J35=0,"",J35/$J$37)</f>
        <v>0.78639715683346023</v>
      </c>
      <c r="L35" s="99">
        <f>IFERROR(LOG(K35)/LOG(C35),"")</f>
        <v>2.2697446171467162</v>
      </c>
    </row>
    <row r="36" spans="1:13">
      <c r="C36" s="96">
        <v>0.94977168949771684</v>
      </c>
      <c r="D36" s="97">
        <f t="shared" si="2"/>
        <v>110.54123236881155</v>
      </c>
      <c r="E36" s="97">
        <f t="shared" si="0"/>
        <v>88.088419648346871</v>
      </c>
      <c r="F36" s="97">
        <f>$C$9*(C36)^'Color Targets'!$B$3</f>
        <v>110.6198506202747</v>
      </c>
      <c r="G36" s="97">
        <f t="shared" si="1"/>
        <v>2.3137960189429125</v>
      </c>
      <c r="H36" s="97">
        <f t="shared" si="3"/>
        <v>2.4610930321726867</v>
      </c>
      <c r="I36" s="97">
        <f t="shared" si="4"/>
        <v>2.2999999999999998</v>
      </c>
      <c r="J36" s="142"/>
      <c r="K36" s="90" t="str">
        <f>IF(J36=0,"",J36/$J$37)</f>
        <v/>
      </c>
      <c r="L36" s="99" t="str">
        <f>IFERROR(LOG(K36)/LOG(C36),"")</f>
        <v/>
      </c>
    </row>
    <row r="37" spans="1:13">
      <c r="C37" s="96">
        <v>1</v>
      </c>
      <c r="D37" s="97">
        <f t="shared" si="2"/>
        <v>124.53999999999996</v>
      </c>
      <c r="E37" s="97">
        <f t="shared" si="0"/>
        <v>99.999999999999986</v>
      </c>
      <c r="F37" s="97">
        <f>$C$9*(C37)^'Color Targets'!$B$3</f>
        <v>124.54</v>
      </c>
      <c r="G37" s="98"/>
      <c r="H37" s="98"/>
      <c r="I37" s="98"/>
      <c r="J37" s="142">
        <v>124.5372</v>
      </c>
      <c r="K37" s="90">
        <f>IF(J37=0,"",J37/$J$37)</f>
        <v>1</v>
      </c>
      <c r="L37" s="97">
        <f>AVERAGE(L19:L36)</f>
        <v>2.2532866626776111</v>
      </c>
      <c r="M37" t="s">
        <v>75</v>
      </c>
    </row>
    <row r="38" spans="1:13">
      <c r="L38" s="47"/>
      <c r="M38" t="s">
        <v>153</v>
      </c>
    </row>
    <row r="40" spans="1:13">
      <c r="A40" s="88"/>
    </row>
    <row r="41" spans="1:13">
      <c r="A41" t="s">
        <v>56</v>
      </c>
    </row>
    <row r="42" spans="1:13">
      <c r="A42" t="s">
        <v>57</v>
      </c>
    </row>
    <row r="43" spans="1:13">
      <c r="A43" t="s">
        <v>58</v>
      </c>
      <c r="K43" s="47"/>
    </row>
    <row r="45" spans="1:13">
      <c r="A45" t="s">
        <v>179</v>
      </c>
    </row>
    <row r="90" ht="49" customHeight="1"/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:DL372"/>
  <sheetViews>
    <sheetView topLeftCell="A29" workbookViewId="0">
      <selection activeCell="AD14" sqref="AD14"/>
    </sheetView>
  </sheetViews>
  <sheetFormatPr baseColWidth="10" defaultColWidth="11" defaultRowHeight="15" x14ac:dyDescent="0"/>
  <cols>
    <col min="18" max="18" width="14.33203125" customWidth="1"/>
    <col min="28" max="28" width="14" customWidth="1"/>
  </cols>
  <sheetData>
    <row r="1" spans="1:36">
      <c r="M1" t="s">
        <v>40</v>
      </c>
      <c r="N1" s="56">
        <f>'Color Targets'!B3</f>
        <v>2.2999999999999998</v>
      </c>
    </row>
    <row r="2" spans="1:36">
      <c r="B2" s="57" t="str">
        <f>IF('Color Targets'!$AA$2=1,E68,I68)</f>
        <v>BT.709 color matrix</v>
      </c>
      <c r="C2" s="57"/>
      <c r="D2" s="57"/>
    </row>
    <row r="3" spans="1:36">
      <c r="B3" s="57">
        <f>IF('Color Targets'!$AA$2=1,E69,I69)</f>
        <v>0.4124564</v>
      </c>
      <c r="C3" s="57">
        <f>IF('Color Targets'!$AA$2=1,F69,J69)</f>
        <v>0.35757610000000001</v>
      </c>
      <c r="D3" s="57">
        <f>IF('Color Targets'!$AA$2=1,G69,K69)</f>
        <v>0.1804375</v>
      </c>
      <c r="N3" s="47"/>
      <c r="O3" s="47"/>
    </row>
    <row r="4" spans="1:36">
      <c r="B4" s="57">
        <f>IF('Color Targets'!$AA$2=1,E70,I70)</f>
        <v>0.2126729</v>
      </c>
      <c r="C4" s="57">
        <f>IF('Color Targets'!$AA$2=1,F70,J70)</f>
        <v>0.71515220000000002</v>
      </c>
      <c r="D4" s="57">
        <f>IF('Color Targets'!$AA$2=1,G70,K70)</f>
        <v>7.2175000000000003E-2</v>
      </c>
    </row>
    <row r="5" spans="1:36">
      <c r="B5" s="57">
        <f>IF('Color Targets'!$AA$2=1,E71,I71)</f>
        <v>1.9333900000000001E-2</v>
      </c>
      <c r="C5" s="57">
        <f>IF('Color Targets'!$AA$2=1,F71,J71)</f>
        <v>0.11919200000000001</v>
      </c>
      <c r="D5" s="57">
        <f>IF('Color Targets'!$AA$2=1,G71,K71)</f>
        <v>0.95030409999999998</v>
      </c>
    </row>
    <row r="6" spans="1:36">
      <c r="A6" t="s">
        <v>39</v>
      </c>
    </row>
    <row r="7" spans="1:36">
      <c r="A7" t="s">
        <v>38</v>
      </c>
      <c r="I7" t="s">
        <v>59</v>
      </c>
      <c r="P7" t="s">
        <v>60</v>
      </c>
      <c r="W7" t="s">
        <v>61</v>
      </c>
      <c r="AD7" t="s">
        <v>62</v>
      </c>
    </row>
    <row r="8" spans="1:36">
      <c r="A8" t="s">
        <v>63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0</v>
      </c>
      <c r="J8" t="s">
        <v>1</v>
      </c>
      <c r="K8" t="s">
        <v>2</v>
      </c>
      <c r="L8" t="s">
        <v>3</v>
      </c>
      <c r="M8" t="s">
        <v>4</v>
      </c>
      <c r="N8" t="s">
        <v>5</v>
      </c>
      <c r="O8" t="s">
        <v>6</v>
      </c>
      <c r="P8" t="s">
        <v>0</v>
      </c>
      <c r="Q8" t="s">
        <v>1</v>
      </c>
      <c r="R8" t="s">
        <v>2</v>
      </c>
      <c r="S8" t="s">
        <v>3</v>
      </c>
      <c r="T8" t="s">
        <v>4</v>
      </c>
      <c r="U8" t="s">
        <v>5</v>
      </c>
      <c r="V8" t="s">
        <v>6</v>
      </c>
      <c r="W8" t="s">
        <v>0</v>
      </c>
      <c r="X8" t="s">
        <v>1</v>
      </c>
      <c r="Y8" t="s">
        <v>2</v>
      </c>
      <c r="Z8" t="s">
        <v>3</v>
      </c>
      <c r="AA8" t="s">
        <v>4</v>
      </c>
      <c r="AB8" t="s">
        <v>5</v>
      </c>
      <c r="AC8" t="s">
        <v>6</v>
      </c>
      <c r="AD8" t="s">
        <v>0</v>
      </c>
      <c r="AE8" t="s">
        <v>1</v>
      </c>
      <c r="AF8" t="s">
        <v>2</v>
      </c>
      <c r="AG8" t="s">
        <v>3</v>
      </c>
      <c r="AH8" t="s">
        <v>4</v>
      </c>
      <c r="AI8" t="s">
        <v>5</v>
      </c>
      <c r="AJ8" t="s">
        <v>6</v>
      </c>
    </row>
    <row r="9" spans="1:36">
      <c r="A9" t="s">
        <v>33</v>
      </c>
      <c r="B9">
        <v>235</v>
      </c>
      <c r="C9">
        <v>16</v>
      </c>
      <c r="D9">
        <v>16</v>
      </c>
      <c r="E9">
        <v>235</v>
      </c>
      <c r="F9">
        <v>16</v>
      </c>
      <c r="G9">
        <v>235</v>
      </c>
      <c r="H9">
        <v>235</v>
      </c>
      <c r="I9">
        <f>(B9-16)/219</f>
        <v>1</v>
      </c>
      <c r="J9">
        <f t="shared" ref="J9:O9" si="0">(C9-16)/219</f>
        <v>0</v>
      </c>
      <c r="K9">
        <f t="shared" si="0"/>
        <v>0</v>
      </c>
      <c r="L9">
        <f t="shared" si="0"/>
        <v>1</v>
      </c>
      <c r="M9">
        <f t="shared" si="0"/>
        <v>0</v>
      </c>
      <c r="N9">
        <f t="shared" si="0"/>
        <v>1</v>
      </c>
      <c r="O9">
        <f t="shared" si="0"/>
        <v>1</v>
      </c>
      <c r="P9">
        <f>I9^$N$1</f>
        <v>1</v>
      </c>
      <c r="Q9">
        <f t="shared" ref="Q9:U9" si="1">J9^$N$1</f>
        <v>0</v>
      </c>
      <c r="R9">
        <f t="shared" si="1"/>
        <v>0</v>
      </c>
      <c r="S9">
        <f t="shared" si="1"/>
        <v>1</v>
      </c>
      <c r="T9">
        <f t="shared" si="1"/>
        <v>0</v>
      </c>
      <c r="U9">
        <f t="shared" si="1"/>
        <v>1</v>
      </c>
      <c r="V9">
        <f>O9^$N$1</f>
        <v>1</v>
      </c>
      <c r="W9">
        <f t="array" ref="W9:W11">MMULT($B$3:$D$5,P9:P11)</f>
        <v>0.4124564</v>
      </c>
      <c r="X9">
        <f t="array" ref="X9:X11">MMULT($B$3:$D$5,Q9:Q11)</f>
        <v>0.35757610000000001</v>
      </c>
      <c r="Y9">
        <f t="array" ref="Y9:Y11">MMULT($B$3:$D$5,R9:R11)</f>
        <v>0.1804375</v>
      </c>
      <c r="Z9">
        <f t="array" ref="Z9:Z11">MMULT($B$3:$D$5,S9:S11)</f>
        <v>0.77003250000000001</v>
      </c>
      <c r="AA9">
        <f t="array" ref="AA9:AA11">MMULT($B$3:$D$5,T9:T11)</f>
        <v>0.53801359999999998</v>
      </c>
      <c r="AB9">
        <f t="array" ref="AB9:AB11">MMULT($B$3:$D$5,U9:U11)</f>
        <v>0.59289389999999997</v>
      </c>
      <c r="AC9">
        <f t="array" ref="AC9:AC11">MMULT($B$3:$D$5,V9:V11)</f>
        <v>0.95047000000000004</v>
      </c>
      <c r="AD9">
        <f>W9/(W9+W10+W11)</f>
        <v>0.63999992551940899</v>
      </c>
      <c r="AE9">
        <f t="shared" ref="AE9:AJ9" si="2">X9/(X9+X10+X11)</f>
        <v>0.30000000838982271</v>
      </c>
      <c r="AF9">
        <f t="shared" si="2"/>
        <v>0.15000000831312826</v>
      </c>
      <c r="AG9">
        <f t="shared" si="2"/>
        <v>0.41932009299800399</v>
      </c>
      <c r="AH9">
        <f t="shared" si="2"/>
        <v>0.22465563312474432</v>
      </c>
      <c r="AI9">
        <f t="shared" si="2"/>
        <v>0.32093774111852907</v>
      </c>
      <c r="AJ9">
        <f t="shared" si="2"/>
        <v>0.31272660439158345</v>
      </c>
    </row>
    <row r="10" spans="1:36">
      <c r="A10" t="s">
        <v>34</v>
      </c>
      <c r="B10">
        <v>16</v>
      </c>
      <c r="C10">
        <v>235</v>
      </c>
      <c r="D10">
        <v>16</v>
      </c>
      <c r="E10">
        <v>235</v>
      </c>
      <c r="F10">
        <v>235</v>
      </c>
      <c r="G10">
        <v>16</v>
      </c>
      <c r="H10">
        <v>235</v>
      </c>
      <c r="I10">
        <f>(B10-16)/219</f>
        <v>0</v>
      </c>
      <c r="J10">
        <f t="shared" ref="J10:J11" si="3">(C10-16)/219</f>
        <v>1</v>
      </c>
      <c r="K10">
        <f t="shared" ref="K10:K11" si="4">(D10-16)/219</f>
        <v>0</v>
      </c>
      <c r="L10">
        <f t="shared" ref="L10:L11" si="5">(E10-16)/219</f>
        <v>1</v>
      </c>
      <c r="M10">
        <f t="shared" ref="M10:M11" si="6">(F10-16)/219</f>
        <v>1</v>
      </c>
      <c r="N10">
        <f t="shared" ref="N10:N11" si="7">(G10-16)/219</f>
        <v>0</v>
      </c>
      <c r="O10">
        <f t="shared" ref="O10:O11" si="8">(H10-16)/219</f>
        <v>1</v>
      </c>
      <c r="P10">
        <f>I10^$N$1</f>
        <v>0</v>
      </c>
      <c r="Q10">
        <f t="shared" ref="Q10:Q11" si="9">J10^$N$1</f>
        <v>1</v>
      </c>
      <c r="R10">
        <f t="shared" ref="R10:R11" si="10">K10^$N$1</f>
        <v>0</v>
      </c>
      <c r="S10">
        <f t="shared" ref="S10:S11" si="11">L10^$N$1</f>
        <v>1</v>
      </c>
      <c r="T10">
        <f t="shared" ref="T10:T11" si="12">M10^$N$1</f>
        <v>1</v>
      </c>
      <c r="U10">
        <f t="shared" ref="U10:U11" si="13">N10^$N$1</f>
        <v>0</v>
      </c>
      <c r="V10">
        <f t="shared" ref="V10:V11" si="14">O10^$N$1</f>
        <v>1</v>
      </c>
      <c r="W10">
        <v>0.2126729</v>
      </c>
      <c r="X10">
        <v>0.71515220000000002</v>
      </c>
      <c r="Y10">
        <v>7.2175000000000003E-2</v>
      </c>
      <c r="Z10">
        <v>0.92782509999999996</v>
      </c>
      <c r="AA10">
        <v>0.7873272</v>
      </c>
      <c r="AB10">
        <v>0.28484789999999999</v>
      </c>
      <c r="AC10">
        <v>1.0000001000000001</v>
      </c>
      <c r="AD10">
        <f>W10/(W9+W10+W11)</f>
        <v>0.33000006827387507</v>
      </c>
      <c r="AE10">
        <f t="shared" ref="AE10:AJ10" si="15">X10/(X9+X10+X11)</f>
        <v>0.60000001677964543</v>
      </c>
      <c r="AF10">
        <f t="shared" si="15"/>
        <v>6.0000003325251315E-2</v>
      </c>
      <c r="AG10">
        <f t="shared" si="15"/>
        <v>0.50524582692013953</v>
      </c>
      <c r="AH10">
        <f t="shared" si="15"/>
        <v>0.32876025920596097</v>
      </c>
      <c r="AI10">
        <f t="shared" si="15"/>
        <v>0.15419022119869449</v>
      </c>
      <c r="AJ10">
        <f t="shared" si="15"/>
        <v>0.32902315240275221</v>
      </c>
    </row>
    <row r="11" spans="1:36">
      <c r="A11" t="s">
        <v>35</v>
      </c>
      <c r="B11">
        <v>16</v>
      </c>
      <c r="C11">
        <v>16</v>
      </c>
      <c r="D11">
        <v>235</v>
      </c>
      <c r="E11">
        <v>16</v>
      </c>
      <c r="F11">
        <v>235</v>
      </c>
      <c r="G11">
        <v>235</v>
      </c>
      <c r="H11">
        <v>235</v>
      </c>
      <c r="I11">
        <f>(B11-16)/219</f>
        <v>0</v>
      </c>
      <c r="J11">
        <f t="shared" si="3"/>
        <v>0</v>
      </c>
      <c r="K11">
        <f t="shared" si="4"/>
        <v>1</v>
      </c>
      <c r="L11">
        <f t="shared" si="5"/>
        <v>0</v>
      </c>
      <c r="M11">
        <f t="shared" si="6"/>
        <v>1</v>
      </c>
      <c r="N11">
        <f t="shared" si="7"/>
        <v>1</v>
      </c>
      <c r="O11">
        <f t="shared" si="8"/>
        <v>1</v>
      </c>
      <c r="P11">
        <f>I11^$N$1</f>
        <v>0</v>
      </c>
      <c r="Q11">
        <f t="shared" si="9"/>
        <v>0</v>
      </c>
      <c r="R11">
        <f t="shared" si="10"/>
        <v>1</v>
      </c>
      <c r="S11">
        <f t="shared" si="11"/>
        <v>0</v>
      </c>
      <c r="T11">
        <f t="shared" si="12"/>
        <v>1</v>
      </c>
      <c r="U11">
        <f t="shared" si="13"/>
        <v>1</v>
      </c>
      <c r="V11">
        <f t="shared" si="14"/>
        <v>1</v>
      </c>
      <c r="W11">
        <v>1.9333900000000001E-2</v>
      </c>
      <c r="X11">
        <v>0.11919200000000001</v>
      </c>
      <c r="Y11">
        <v>0.95030409999999998</v>
      </c>
      <c r="Z11">
        <v>0.13852590000000001</v>
      </c>
      <c r="AA11">
        <v>1.0694961000000001</v>
      </c>
      <c r="AB11">
        <v>0.969638</v>
      </c>
      <c r="AC11">
        <v>1.08883</v>
      </c>
      <c r="AD11">
        <f>W10</f>
        <v>0.2126729</v>
      </c>
      <c r="AE11">
        <f t="shared" ref="AE11:AJ11" si="16">X10</f>
        <v>0.71515220000000002</v>
      </c>
      <c r="AF11">
        <f t="shared" si="16"/>
        <v>7.2175000000000003E-2</v>
      </c>
      <c r="AG11">
        <f t="shared" si="16"/>
        <v>0.92782509999999996</v>
      </c>
      <c r="AH11">
        <f t="shared" si="16"/>
        <v>0.7873272</v>
      </c>
      <c r="AI11">
        <f t="shared" si="16"/>
        <v>0.28484789999999999</v>
      </c>
      <c r="AJ11">
        <f t="shared" si="16"/>
        <v>1.0000001000000001</v>
      </c>
    </row>
    <row r="13" spans="1:36">
      <c r="A13" t="s">
        <v>64</v>
      </c>
    </row>
    <row r="14" spans="1:36">
      <c r="A14" t="s">
        <v>33</v>
      </c>
      <c r="B14">
        <v>215</v>
      </c>
      <c r="C14">
        <v>97</v>
      </c>
      <c r="D14">
        <v>71</v>
      </c>
      <c r="E14">
        <v>233</v>
      </c>
      <c r="F14">
        <v>121</v>
      </c>
      <c r="G14">
        <v>202</v>
      </c>
      <c r="H14">
        <v>235</v>
      </c>
      <c r="I14">
        <f>(B14-16)/219</f>
        <v>0.908675799086758</v>
      </c>
      <c r="J14">
        <f t="shared" ref="J14:J16" si="17">(C14-16)/219</f>
        <v>0.36986301369863012</v>
      </c>
      <c r="K14">
        <f t="shared" ref="K14:K16" si="18">(D14-16)/219</f>
        <v>0.25114155251141551</v>
      </c>
      <c r="L14">
        <f t="shared" ref="L14:L16" si="19">(E14-16)/219</f>
        <v>0.9908675799086758</v>
      </c>
      <c r="M14">
        <f t="shared" ref="M14:M16" si="20">(F14-16)/219</f>
        <v>0.47945205479452052</v>
      </c>
      <c r="N14">
        <f t="shared" ref="N14:N16" si="21">(G14-16)/219</f>
        <v>0.84931506849315064</v>
      </c>
      <c r="O14">
        <f t="shared" ref="O14:O16" si="22">(H14-16)/219</f>
        <v>1</v>
      </c>
      <c r="P14">
        <f>I14^IF('Color Targets'!$AA$1=1,$N$1,INDEX(Calculation!$G$263:$G$372,MATCH(I14,Calculation!$H$263:$H$372)))</f>
        <v>0.80473260078461561</v>
      </c>
      <c r="Q14">
        <f>J14^IF('Color Targets'!$AA$1=1,$N$1,INDEX(Calculation!$G$263:$G$372,MATCH(J14,Calculation!$H$263:$H$372)))</f>
        <v>0.10256449085732022</v>
      </c>
      <c r="R14">
        <f>K14^IF('Color Targets'!$AA$1=1,$N$1,INDEX(Calculation!$G$263:$G$372,MATCH(K14,Calculation!$H$263:$H$372)))</f>
        <v>4.498709042147131E-2</v>
      </c>
      <c r="S14">
        <f>L14^IF('Color Targets'!$AA$1=1,$N$1,INDEX(Calculation!$G$263:$G$372,MATCH(L14,Calculation!$H$263:$H$372)))</f>
        <v>0.97940319109075225</v>
      </c>
      <c r="T14">
        <f>M14^IF('Color Targets'!$AA$1=1,$N$1,INDEX(Calculation!$G$263:$G$372,MATCH(M14,Calculation!$H$263:$H$372)))</f>
        <v>0.18765307456634558</v>
      </c>
      <c r="U14">
        <f>N14^IF('Color Targets'!$AA$1=1,$N$1,INDEX(Calculation!$G$263:$G$372,MATCH(N14,Calculation!$H$263:$H$372)))</f>
        <v>0.69239977735094305</v>
      </c>
      <c r="V14">
        <f>O14^$N$1</f>
        <v>1</v>
      </c>
      <c r="W14">
        <f t="array" ref="W14:W16">MMULT($B$3:$D$5,P14:P16)</f>
        <v>0.35952096445650833</v>
      </c>
      <c r="X14">
        <f t="array" ref="X14:X16">MMULT($B$3:$D$5,Q14:Q16)</f>
        <v>0.40374171059823055</v>
      </c>
      <c r="Y14">
        <f t="array" ref="Y14:Y16">MMULT($B$3:$D$5,R14:R16)</f>
        <v>0.10484323854001158</v>
      </c>
      <c r="Z14">
        <f t="array" ref="Z14:Z16">MMULT($B$3:$D$5,S14:S16)</f>
        <v>0.78164182066675192</v>
      </c>
      <c r="AA14">
        <f t="array" ref="AA14:AA16">MMULT($B$3:$D$5,T14:T16)</f>
        <v>0.59337838406430632</v>
      </c>
      <c r="AB14">
        <f t="array" ref="AB14:AB16">MMULT($B$3:$D$5,U14:U16)</f>
        <v>0.44930061774936902</v>
      </c>
      <c r="AC14">
        <f t="array" ref="AC14:AC16">MMULT($B$3:$D$5,V14:V16)</f>
        <v>0.95047000000000004</v>
      </c>
      <c r="AD14">
        <f>W14/(W14+W15+W16)</f>
        <v>0.56044462383709881</v>
      </c>
      <c r="AE14">
        <f t="shared" ref="AE14" si="23">X14/(X14+X15+X16)</f>
        <v>0.30297707824461761</v>
      </c>
      <c r="AF14">
        <f t="shared" ref="AF14" si="24">Y14/(Y14+Y15+Y16)</f>
        <v>0.19040770799658602</v>
      </c>
      <c r="AG14">
        <f t="shared" ref="AG14" si="25">Z14/(Z14+Z15+Z16)</f>
        <v>0.39443192090118995</v>
      </c>
      <c r="AH14">
        <f t="shared" ref="AH14" si="26">AA14/(AA14+AA15+AA16)</f>
        <v>0.24543157739858834</v>
      </c>
      <c r="AI14">
        <f t="shared" ref="AI14" si="27">AB14/(AB14+AB15+AB16)</f>
        <v>0.31901596434838475</v>
      </c>
      <c r="AJ14">
        <f t="shared" ref="AJ14" si="28">AC14/(AC14+AC15+AC16)</f>
        <v>0.31272660439158345</v>
      </c>
    </row>
    <row r="15" spans="1:36">
      <c r="A15" t="s">
        <v>34</v>
      </c>
      <c r="B15">
        <v>75</v>
      </c>
      <c r="C15">
        <v>231</v>
      </c>
      <c r="D15">
        <v>71</v>
      </c>
      <c r="E15">
        <v>233</v>
      </c>
      <c r="F15">
        <v>231</v>
      </c>
      <c r="G15">
        <v>99</v>
      </c>
      <c r="H15">
        <v>235</v>
      </c>
      <c r="I15">
        <f>(B15-16)/219</f>
        <v>0.26940639269406391</v>
      </c>
      <c r="J15">
        <f t="shared" si="17"/>
        <v>0.9817351598173516</v>
      </c>
      <c r="K15">
        <f t="shared" si="18"/>
        <v>0.25114155251141551</v>
      </c>
      <c r="L15">
        <f t="shared" si="19"/>
        <v>0.9908675799086758</v>
      </c>
      <c r="M15">
        <f t="shared" si="20"/>
        <v>0.9817351598173516</v>
      </c>
      <c r="N15">
        <f t="shared" si="21"/>
        <v>0.37899543378995432</v>
      </c>
      <c r="O15">
        <f t="shared" si="22"/>
        <v>1</v>
      </c>
      <c r="P15">
        <f>I15^IF('Color Targets'!$AA$1=1,$N$1,INDEX(Calculation!$G$263:$G$372,MATCH(I15,Calculation!$H$263:$H$372)))</f>
        <v>5.1306979924389706E-2</v>
      </c>
      <c r="Q15">
        <f>J15^IF('Color Targets'!$AA$1=1,$N$1,INDEX(Calculation!$G$263:$G$372,MATCH(J15,Calculation!$H$263:$H$372)))</f>
        <v>0.95904577966010496</v>
      </c>
      <c r="R15">
        <f>K15^IF('Color Targets'!$AA$1=1,$N$1,INDEX(Calculation!$G$263:$G$372,MATCH(K15,Calculation!$H$263:$H$372)))</f>
        <v>4.498709042147131E-2</v>
      </c>
      <c r="S15">
        <f>L15^IF('Color Targets'!$AA$1=1,$N$1,INDEX(Calculation!$G$263:$G$372,MATCH(L15,Calculation!$H$263:$H$372)))</f>
        <v>0.97940319109075225</v>
      </c>
      <c r="T15">
        <f>M15^IF('Color Targets'!$AA$1=1,$N$1,INDEX(Calculation!$G$263:$G$372,MATCH(M15,Calculation!$H$263:$H$372)))</f>
        <v>0.95904577966010496</v>
      </c>
      <c r="U15">
        <f>N15^IF('Color Targets'!$AA$1=1,$N$1,INDEX(Calculation!$G$263:$G$372,MATCH(N15,Calculation!$H$263:$H$372)))</f>
        <v>0.10845527258851111</v>
      </c>
      <c r="V15">
        <f t="shared" ref="V15:V16" si="29">O15^$N$1</f>
        <v>1</v>
      </c>
      <c r="W15">
        <v>0.21154019677773242</v>
      </c>
      <c r="X15">
        <v>0.71507897905991613</v>
      </c>
      <c r="Y15">
        <v>6.9820838403026664E-2</v>
      </c>
      <c r="Z15">
        <v>0.91970267688336127</v>
      </c>
      <c r="AA15">
        <v>0.79499155193354831</v>
      </c>
      <c r="AB15">
        <v>0.27479064933215708</v>
      </c>
      <c r="AC15">
        <v>1.0000001000000001</v>
      </c>
      <c r="AD15">
        <f>W15/(W14+W15+W16)</f>
        <v>0.32976259448109052</v>
      </c>
      <c r="AE15">
        <f t="shared" ref="AE15" si="30">X15/(X14+X15+X16)</f>
        <v>0.5366117349349413</v>
      </c>
      <c r="AF15">
        <f t="shared" ref="AF15" si="31">Y15/(Y14+Y15+Y16)</f>
        <v>0.12680289159178096</v>
      </c>
      <c r="AG15">
        <f t="shared" ref="AG15" si="32">Z15/(Z14+Z15+Z16)</f>
        <v>0.4641001593180249</v>
      </c>
      <c r="AH15">
        <f t="shared" ref="AH15" si="33">AA15/(AA14+AA15+AA16)</f>
        <v>0.32882227571750772</v>
      </c>
      <c r="AI15">
        <f t="shared" ref="AI15" si="34">AB15/(AB14+AB15+AB16)</f>
        <v>0.19510902172744682</v>
      </c>
      <c r="AJ15">
        <f t="shared" ref="AJ15" si="35">AC15/(AC14+AC15+AC16)</f>
        <v>0.32902315240275221</v>
      </c>
    </row>
    <row r="16" spans="1:36">
      <c r="A16" t="s">
        <v>35</v>
      </c>
      <c r="B16">
        <v>75</v>
      </c>
      <c r="C16">
        <v>97</v>
      </c>
      <c r="D16">
        <v>161</v>
      </c>
      <c r="E16">
        <v>112</v>
      </c>
      <c r="F16">
        <v>231</v>
      </c>
      <c r="G16">
        <v>202</v>
      </c>
      <c r="H16">
        <v>235</v>
      </c>
      <c r="I16">
        <f>(B16-16)/219</f>
        <v>0.26940639269406391</v>
      </c>
      <c r="J16">
        <f t="shared" si="17"/>
        <v>0.36986301369863012</v>
      </c>
      <c r="K16">
        <f t="shared" si="18"/>
        <v>0.66210045662100458</v>
      </c>
      <c r="L16">
        <f t="shared" si="19"/>
        <v>0.43835616438356162</v>
      </c>
      <c r="M16">
        <f t="shared" si="20"/>
        <v>0.9817351598173516</v>
      </c>
      <c r="N16">
        <f t="shared" si="21"/>
        <v>0.84931506849315064</v>
      </c>
      <c r="O16">
        <f t="shared" si="22"/>
        <v>1</v>
      </c>
      <c r="P16">
        <f>I16^IF('Color Targets'!$AA$1=1,$N$1,INDEX(Calculation!$G$263:$G$372,MATCH(I16,Calculation!$H$263:$H$372)))</f>
        <v>5.1306979924389706E-2</v>
      </c>
      <c r="Q16">
        <f>J16^IF('Color Targets'!$AA$1=1,$N$1,INDEX(Calculation!$G$263:$G$372,MATCH(J16,Calculation!$H$263:$H$372)))</f>
        <v>0.10256449085732022</v>
      </c>
      <c r="R16">
        <f>K16^IF('Color Targets'!$AA$1=1,$N$1,INDEX(Calculation!$G$263:$G$372,MATCH(K16,Calculation!$H$263:$H$372)))</f>
        <v>0.38906389655720114</v>
      </c>
      <c r="S16">
        <f>L16^IF('Color Targets'!$AA$1=1,$N$1,INDEX(Calculation!$G$263:$G$372,MATCH(L16,Calculation!$H$263:$H$372)))</f>
        <v>0.15223849212698176</v>
      </c>
      <c r="T16">
        <f>M16^IF('Color Targets'!$AA$1=1,$N$1,INDEX(Calculation!$G$263:$G$372,MATCH(M16,Calculation!$H$263:$H$372)))</f>
        <v>0.95904577966010496</v>
      </c>
      <c r="U16">
        <f>N16^IF('Color Targets'!$AA$1=1,$N$1,INDEX(Calculation!$G$263:$G$372,MATCH(N16,Calculation!$H$263:$H$372)))</f>
        <v>0.69239977735094305</v>
      </c>
      <c r="V16">
        <f t="shared" si="29"/>
        <v>1</v>
      </c>
      <c r="W16">
        <v>7.0431234562222764E-2</v>
      </c>
      <c r="X16">
        <v>0.21376101235515749</v>
      </c>
      <c r="Y16">
        <v>0.37596089324929982</v>
      </c>
      <c r="Z16">
        <v>0.2803455717548069</v>
      </c>
      <c r="AA16">
        <v>1.0293237868462999</v>
      </c>
      <c r="AB16">
        <v>0.68430413616138352</v>
      </c>
      <c r="AC16">
        <v>1.08883</v>
      </c>
      <c r="AD16">
        <f>W15</f>
        <v>0.21154019677773242</v>
      </c>
      <c r="AE16">
        <f t="shared" ref="AE16" si="36">X15</f>
        <v>0.71507897905991613</v>
      </c>
      <c r="AF16">
        <f t="shared" ref="AF16" si="37">Y15</f>
        <v>6.9820838403026664E-2</v>
      </c>
      <c r="AG16">
        <f t="shared" ref="AG16" si="38">Z15</f>
        <v>0.91970267688336127</v>
      </c>
      <c r="AH16">
        <f t="shared" ref="AH16" si="39">AA15</f>
        <v>0.79499155193354831</v>
      </c>
      <c r="AI16">
        <f t="shared" ref="AI16" si="40">AB15</f>
        <v>0.27479064933215708</v>
      </c>
      <c r="AJ16">
        <f t="shared" ref="AJ16" si="41">AC15</f>
        <v>1.0000001000000001</v>
      </c>
    </row>
    <row r="18" spans="1:36">
      <c r="A18" t="s">
        <v>65</v>
      </c>
    </row>
    <row r="19" spans="1:36">
      <c r="A19" t="s">
        <v>33</v>
      </c>
      <c r="B19">
        <v>191</v>
      </c>
      <c r="C19">
        <v>134</v>
      </c>
      <c r="D19">
        <v>77</v>
      </c>
      <c r="E19">
        <v>233</v>
      </c>
      <c r="F19">
        <v>161</v>
      </c>
      <c r="G19">
        <v>178</v>
      </c>
      <c r="H19">
        <v>235</v>
      </c>
      <c r="I19">
        <f>(B19-16)/219</f>
        <v>0.79908675799086759</v>
      </c>
      <c r="J19">
        <f t="shared" ref="J19:J21" si="42">(C19-16)/219</f>
        <v>0.53881278538812782</v>
      </c>
      <c r="K19">
        <f t="shared" ref="K19:K21" si="43">(D19-16)/219</f>
        <v>0.27853881278538811</v>
      </c>
      <c r="L19">
        <f t="shared" ref="L19:L21" si="44">(E19-16)/219</f>
        <v>0.9908675799086758</v>
      </c>
      <c r="M19">
        <f t="shared" ref="M19:M21" si="45">(F19-16)/219</f>
        <v>0.66210045662100458</v>
      </c>
      <c r="N19">
        <f t="shared" ref="N19:N21" si="46">(G19-16)/219</f>
        <v>0.73972602739726023</v>
      </c>
      <c r="O19">
        <f t="shared" ref="O19:O21" si="47">(H19-16)/219</f>
        <v>1</v>
      </c>
      <c r="P19">
        <f>I19^IF('Color Targets'!$AA$1=1,$N$1,INDEX(Calculation!$G$263:$G$372,MATCH(I19,Calculation!$H$263:$H$372)))</f>
        <v>0.60562774328147739</v>
      </c>
      <c r="Q19">
        <f>J19^IF('Color Targets'!$AA$1=1,$N$1,INDEX(Calculation!$G$263:$G$372,MATCH(J19,Calculation!$H$263:$H$372)))</f>
        <v>0.2446771752412224</v>
      </c>
      <c r="R19">
        <f>K19^IF('Color Targets'!$AA$1=1,$N$1,INDEX(Calculation!$G$263:$G$372,MATCH(K19,Calculation!$H$263:$H$372)))</f>
        <v>5.5330045958867743E-2</v>
      </c>
      <c r="S19">
        <f>L19^IF('Color Targets'!$AA$1=1,$N$1,INDEX(Calculation!$G$263:$G$372,MATCH(L19,Calculation!$H$263:$H$372)))</f>
        <v>0.97940319109075225</v>
      </c>
      <c r="T19">
        <f>M19^IF('Color Targets'!$AA$1=1,$N$1,INDEX(Calculation!$G$263:$G$372,MATCH(M19,Calculation!$H$263:$H$372)))</f>
        <v>0.38906389655720114</v>
      </c>
      <c r="U19">
        <f>N19^IF('Color Targets'!$AA$1=1,$N$1,INDEX(Calculation!$G$263:$G$372,MATCH(N19,Calculation!$H$263:$H$372)))</f>
        <v>0.50467886781039173</v>
      </c>
      <c r="V19">
        <f>O19^$N$1</f>
        <v>1</v>
      </c>
      <c r="W19">
        <f t="array" ref="W19:W21">MMULT($B$3:$D$5,P19:P21)</f>
        <v>0.30186615416422019</v>
      </c>
      <c r="X19">
        <f t="array" ref="X19:X21">MMULT($B$3:$D$5,Q19:Q21)</f>
        <v>0.46319286149330863</v>
      </c>
      <c r="Y19">
        <f t="array" ref="Y19:Y21">MMULT($B$3:$D$5,R19:R21)</f>
        <v>8.03561772275041E-2</v>
      </c>
      <c r="Z19">
        <f t="array" ref="Z19:Z21">MMULT($B$3:$D$5,S19:S21)</f>
        <v>0.81892877677348996</v>
      </c>
      <c r="AA19">
        <f t="array" ref="AA19:AA21">MMULT($B$3:$D$5,T19:T21)</f>
        <v>0.63912724799609055</v>
      </c>
      <c r="AB19">
        <f t="array" ref="AB19:AB21">MMULT($B$3:$D$5,U19:U21)</f>
        <v>0.36632127674013065</v>
      </c>
      <c r="AC19">
        <f t="array" ref="AC19:AC21">MMULT($B$3:$D$5,V19:V21)</f>
        <v>0.95047000000000004</v>
      </c>
      <c r="AD19">
        <f>W19/(W19+W20+W21)</f>
        <v>0.48524770665858363</v>
      </c>
      <c r="AE19">
        <f t="shared" ref="AE19" si="48">X19/(X19+X20+X21)</f>
        <v>0.30625755736022842</v>
      </c>
      <c r="AF19">
        <f t="shared" ref="AF19" si="49">Y19/(Y19+Y20+Y21)</f>
        <v>0.22746039922820088</v>
      </c>
      <c r="AG19">
        <f t="shared" ref="AG19" si="50">Z19/(Z19+Z20+Z21)</f>
        <v>0.36718821659770584</v>
      </c>
      <c r="AH19">
        <f t="shared" ref="AH19" si="51">AA19/(AA19+AA20+AA21)</f>
        <v>0.26838800965015552</v>
      </c>
      <c r="AI19">
        <f t="shared" ref="AI19" si="52">AB19/(AB19+AB20+AB21)</f>
        <v>0.3168866284464098</v>
      </c>
      <c r="AJ19">
        <f t="shared" ref="AJ19" si="53">AC19/(AC19+AC20+AC21)</f>
        <v>0.31272660439158345</v>
      </c>
    </row>
    <row r="20" spans="1:36">
      <c r="A20" t="s">
        <v>34</v>
      </c>
      <c r="B20">
        <v>95</v>
      </c>
      <c r="C20">
        <v>224</v>
      </c>
      <c r="D20">
        <v>77</v>
      </c>
      <c r="E20">
        <v>233</v>
      </c>
      <c r="F20">
        <v>224</v>
      </c>
      <c r="G20">
        <v>121</v>
      </c>
      <c r="H20">
        <v>235</v>
      </c>
      <c r="I20">
        <f>(B20-16)/219</f>
        <v>0.36073059360730592</v>
      </c>
      <c r="J20">
        <f t="shared" si="42"/>
        <v>0.94977168949771684</v>
      </c>
      <c r="K20">
        <f t="shared" si="43"/>
        <v>0.27853881278538811</v>
      </c>
      <c r="L20">
        <f t="shared" si="44"/>
        <v>0.9908675799086758</v>
      </c>
      <c r="M20">
        <f t="shared" si="45"/>
        <v>0.94977168949771684</v>
      </c>
      <c r="N20">
        <f t="shared" si="46"/>
        <v>0.47945205479452052</v>
      </c>
      <c r="O20">
        <f t="shared" si="47"/>
        <v>1</v>
      </c>
      <c r="P20">
        <f>I20^IF('Color Targets'!$AA$1=1,$N$1,INDEX(Calculation!$G$263:$G$372,MATCH(I20,Calculation!$H$263:$H$372)))</f>
        <v>9.678401332274475E-2</v>
      </c>
      <c r="Q20">
        <f>J20^IF('Color Targets'!$AA$1=1,$N$1,INDEX(Calculation!$G$263:$G$372,MATCH(J20,Calculation!$H$263:$H$372)))</f>
        <v>0.88967147643132993</v>
      </c>
      <c r="R20">
        <f>K20^IF('Color Targets'!$AA$1=1,$N$1,INDEX(Calculation!$G$263:$G$372,MATCH(K20,Calculation!$H$263:$H$372)))</f>
        <v>5.5330045958867743E-2</v>
      </c>
      <c r="S20">
        <f>L20^IF('Color Targets'!$AA$1=1,$N$1,INDEX(Calculation!$G$263:$G$372,MATCH(L20,Calculation!$H$263:$H$372)))</f>
        <v>0.97940319109075225</v>
      </c>
      <c r="T20">
        <f>M20^IF('Color Targets'!$AA$1=1,$N$1,INDEX(Calculation!$G$263:$G$372,MATCH(M20,Calculation!$H$263:$H$372)))</f>
        <v>0.88967147643132993</v>
      </c>
      <c r="U20">
        <f>N20^IF('Color Targets'!$AA$1=1,$N$1,INDEX(Calculation!$G$263:$G$372,MATCH(N20,Calculation!$H$263:$H$372)))</f>
        <v>0.18765307456634558</v>
      </c>
      <c r="V20">
        <f t="shared" ref="V20:V21" si="54">O20^$N$1</f>
        <v>1</v>
      </c>
      <c r="W20">
        <v>0.20500129469828662</v>
      </c>
      <c r="X20">
        <v>0.7059462931925079</v>
      </c>
      <c r="Y20">
        <v>6.6436702869863973E-2</v>
      </c>
      <c r="Z20">
        <v>0.93461745932605644</v>
      </c>
      <c r="AA20">
        <v>0.78320589962466491</v>
      </c>
      <c r="AB20">
        <v>0.27795722478305374</v>
      </c>
      <c r="AC20">
        <v>1.0000001000000001</v>
      </c>
      <c r="AD20">
        <f>W20/(W19+W20+W21)</f>
        <v>0.32953813053273678</v>
      </c>
      <c r="AE20">
        <f t="shared" ref="AE20" si="55">X20/(X19+X20+X21)</f>
        <v>0.46676321108149976</v>
      </c>
      <c r="AF20">
        <f t="shared" ref="AF20" si="56">Y20/(Y19+Y20+Y21)</f>
        <v>0.18805920689084521</v>
      </c>
      <c r="AG20">
        <f t="shared" ref="AG20" si="57">Z20/(Z19+Z20+Z21)</f>
        <v>0.41906027462255724</v>
      </c>
      <c r="AH20">
        <f t="shared" ref="AH20" si="58">AA20/(AA19+AA20+AA21)</f>
        <v>0.32889080101903134</v>
      </c>
      <c r="AI20">
        <f t="shared" ref="AI20" si="59">AB20/(AB19+AB20+AB21)</f>
        <v>0.24044720688257376</v>
      </c>
      <c r="AJ20">
        <f t="shared" ref="AJ20" si="60">AC20/(AC19+AC20+AC21)</f>
        <v>0.32902315240275221</v>
      </c>
    </row>
    <row r="21" spans="1:36">
      <c r="A21" t="s">
        <v>35</v>
      </c>
      <c r="B21">
        <v>95</v>
      </c>
      <c r="C21">
        <v>134</v>
      </c>
      <c r="D21">
        <v>126</v>
      </c>
      <c r="E21">
        <v>156</v>
      </c>
      <c r="F21">
        <v>224</v>
      </c>
      <c r="G21">
        <v>178</v>
      </c>
      <c r="H21">
        <v>235</v>
      </c>
      <c r="I21">
        <f>(B21-16)/219</f>
        <v>0.36073059360730592</v>
      </c>
      <c r="J21">
        <f t="shared" si="42"/>
        <v>0.53881278538812782</v>
      </c>
      <c r="K21">
        <f t="shared" si="43"/>
        <v>0.50228310502283102</v>
      </c>
      <c r="L21">
        <f t="shared" si="44"/>
        <v>0.63926940639269403</v>
      </c>
      <c r="M21">
        <f t="shared" si="45"/>
        <v>0.94977168949771684</v>
      </c>
      <c r="N21">
        <f t="shared" si="46"/>
        <v>0.73972602739726023</v>
      </c>
      <c r="O21">
        <f t="shared" si="47"/>
        <v>1</v>
      </c>
      <c r="P21">
        <f>I21^IF('Color Targets'!$AA$1=1,$N$1,INDEX(Calculation!$G$263:$G$372,MATCH(I21,Calculation!$H$263:$H$372)))</f>
        <v>9.678401332274475E-2</v>
      </c>
      <c r="Q21">
        <f>J21^IF('Color Targets'!$AA$1=1,$N$1,INDEX(Calculation!$G$263:$G$372,MATCH(J21,Calculation!$H$263:$H$372)))</f>
        <v>0.2446771752412224</v>
      </c>
      <c r="R21">
        <f>K21^IF('Color Targets'!$AA$1=1,$N$1,INDEX(Calculation!$G$263:$G$372,MATCH(K21,Calculation!$H$263:$H$372)))</f>
        <v>0.20921506678313687</v>
      </c>
      <c r="S21">
        <f>L21^IF('Color Targets'!$AA$1=1,$N$1,INDEX(Calculation!$G$263:$G$372,MATCH(L21,Calculation!$H$263:$H$372)))</f>
        <v>0.35888598007565076</v>
      </c>
      <c r="T21">
        <f>M21^IF('Color Targets'!$AA$1=1,$N$1,INDEX(Calculation!$G$263:$G$372,MATCH(M21,Calculation!$H$263:$H$372)))</f>
        <v>0.88967147643132993</v>
      </c>
      <c r="U21">
        <f>N21^IF('Color Targets'!$AA$1=1,$N$1,INDEX(Calculation!$G$263:$G$372,MATCH(N21,Calculation!$H$263:$H$372)))</f>
        <v>0.50467886781039173</v>
      </c>
      <c r="V21">
        <f t="shared" si="54"/>
        <v>1</v>
      </c>
      <c r="W21">
        <v>0.11521927101685331</v>
      </c>
      <c r="X21">
        <v>0.34329000946535149</v>
      </c>
      <c r="Y21">
        <v>0.20648258015928228</v>
      </c>
      <c r="Z21">
        <v>0.47672352680712765</v>
      </c>
      <c r="AA21">
        <v>0.95902229679419659</v>
      </c>
      <c r="AB21">
        <v>0.51172255328964444</v>
      </c>
      <c r="AC21">
        <v>1.08883</v>
      </c>
      <c r="AD21">
        <f>W20</f>
        <v>0.20500129469828662</v>
      </c>
      <c r="AE21">
        <f t="shared" ref="AE21" si="61">X20</f>
        <v>0.7059462931925079</v>
      </c>
      <c r="AF21">
        <f t="shared" ref="AF21" si="62">Y20</f>
        <v>6.6436702869863973E-2</v>
      </c>
      <c r="AG21">
        <f t="shared" ref="AG21" si="63">Z20</f>
        <v>0.93461745932605644</v>
      </c>
      <c r="AH21">
        <f t="shared" ref="AH21" si="64">AA20</f>
        <v>0.78320589962466491</v>
      </c>
      <c r="AI21">
        <f t="shared" ref="AI21" si="65">AB20</f>
        <v>0.27795722478305374</v>
      </c>
      <c r="AJ21">
        <f t="shared" ref="AJ21" si="66">AC20</f>
        <v>1.0000001000000001</v>
      </c>
    </row>
    <row r="23" spans="1:36">
      <c r="A23" t="s">
        <v>66</v>
      </c>
    </row>
    <row r="24" spans="1:36">
      <c r="A24" t="s">
        <v>33</v>
      </c>
      <c r="B24">
        <v>180</v>
      </c>
      <c r="C24">
        <v>16</v>
      </c>
      <c r="D24">
        <v>16</v>
      </c>
      <c r="E24">
        <v>180</v>
      </c>
      <c r="F24">
        <v>16</v>
      </c>
      <c r="G24">
        <v>180</v>
      </c>
      <c r="H24">
        <v>180</v>
      </c>
      <c r="I24">
        <f>(B24-16)/219</f>
        <v>0.74885844748858443</v>
      </c>
      <c r="J24">
        <f t="shared" ref="J24:J26" si="67">(C24-16)/219</f>
        <v>0</v>
      </c>
      <c r="K24">
        <f t="shared" ref="K24:K26" si="68">(D24-16)/219</f>
        <v>0</v>
      </c>
      <c r="L24">
        <f t="shared" ref="L24:L26" si="69">(E24-16)/219</f>
        <v>0.74885844748858443</v>
      </c>
      <c r="M24">
        <f t="shared" ref="M24:M26" si="70">(F24-16)/219</f>
        <v>0</v>
      </c>
      <c r="N24">
        <f t="shared" ref="N24:N26" si="71">(G24-16)/219</f>
        <v>0.74885844748858443</v>
      </c>
      <c r="O24">
        <f t="shared" ref="O24:O26" si="72">(H24-16)/219</f>
        <v>0.74885844748858443</v>
      </c>
      <c r="P24">
        <f>I24^IF('Color Targets'!$AA$1=1,$N$1,INDEX(Calculation!$G$263:$G$372,MATCH(I24,Calculation!$H$263:$H$372)))</f>
        <v>0.51940810463282416</v>
      </c>
      <c r="Q24">
        <f t="shared" ref="Q24:Q26" si="73">J24^$N$1</f>
        <v>0</v>
      </c>
      <c r="R24">
        <f t="shared" ref="R24:R25" si="74">K24^$N$1</f>
        <v>0</v>
      </c>
      <c r="S24">
        <f>L24^IF('Color Targets'!$AA$1=1,$N$1,INDEX(Calculation!$G$263:$G$372,MATCH(L24,Calculation!$H$263:$H$372)))</f>
        <v>0.51940810463282416</v>
      </c>
      <c r="T24">
        <f t="shared" ref="T24" si="75">M24^$N$1</f>
        <v>0</v>
      </c>
      <c r="U24">
        <f>N24^IF('Color Targets'!$AA$1=1,$N$1,INDEX(Calculation!$G$263:$G$372,MATCH(N24,Calculation!$H$263:$H$372)))</f>
        <v>0.51940810463282416</v>
      </c>
      <c r="V24">
        <f>O24^IF('Color Targets'!$AA$1=1,$N$1,INDEX(Calculation!$G$263:$G$372,MATCH(O24,Calculation!$H$263:$H$372)))</f>
        <v>0.51940810463282416</v>
      </c>
      <c r="W24">
        <f t="array" ref="W24:W26">MMULT($B$3:$D$5,P24:P26)</f>
        <v>0.21423319696767798</v>
      </c>
      <c r="X24">
        <f t="array" ref="X24:X26">MMULT($B$3:$D$5,Q24:Q26)</f>
        <v>0.1857279243629972</v>
      </c>
      <c r="Y24">
        <f t="array" ref="Y24:Y26">MMULT($B$3:$D$5,R24:R26)</f>
        <v>9.3720699879685204E-2</v>
      </c>
      <c r="Z24">
        <f t="array" ref="Z24:Z26">MMULT($B$3:$D$5,S24:S26)</f>
        <v>0.39996112133067518</v>
      </c>
      <c r="AA24">
        <f t="array" ref="AA24:AA26">MMULT($B$3:$D$5,T24:T26)</f>
        <v>0.27944862424268241</v>
      </c>
      <c r="AB24">
        <f t="array" ref="AB24:AB26">MMULT($B$3:$D$5,U24:U26)</f>
        <v>0.30795389684736318</v>
      </c>
      <c r="AC24">
        <f t="array" ref="AC24:AC26">MMULT($B$3:$D$5,V24:V26)</f>
        <v>0.49368182121036042</v>
      </c>
      <c r="AD24">
        <f>W24/(W24+W25+W26)</f>
        <v>0.6399999255194091</v>
      </c>
      <c r="AE24">
        <f t="shared" ref="AE24" si="76">X24/(X24+X25+X26)</f>
        <v>0.30000000838982271</v>
      </c>
      <c r="AF24">
        <f t="shared" ref="AF24" si="77">Y24/(Y24+Y25+Y26)</f>
        <v>0.15000000831312826</v>
      </c>
      <c r="AG24">
        <f t="shared" ref="AG24" si="78">Z24/(Z24+Z25+Z26)</f>
        <v>0.41932009299800388</v>
      </c>
      <c r="AH24">
        <f t="shared" ref="AH24" si="79">AA24/(AA24+AA25+AA26)</f>
        <v>0.22465563312474429</v>
      </c>
      <c r="AI24">
        <f t="shared" ref="AI24" si="80">AB24/(AB24+AB25+AB26)</f>
        <v>0.32093774111852907</v>
      </c>
      <c r="AJ24">
        <f t="shared" ref="AJ24" si="81">AC24/(AC24+AC25+AC26)</f>
        <v>0.31272660439158345</v>
      </c>
    </row>
    <row r="25" spans="1:36">
      <c r="A25" t="s">
        <v>34</v>
      </c>
      <c r="B25">
        <v>16</v>
      </c>
      <c r="C25">
        <v>180</v>
      </c>
      <c r="D25">
        <v>16</v>
      </c>
      <c r="E25">
        <v>180</v>
      </c>
      <c r="F25">
        <v>180</v>
      </c>
      <c r="G25">
        <v>16</v>
      </c>
      <c r="H25">
        <v>180</v>
      </c>
      <c r="I25">
        <f>(B25-16)/219</f>
        <v>0</v>
      </c>
      <c r="J25">
        <f t="shared" si="67"/>
        <v>0.74885844748858443</v>
      </c>
      <c r="K25">
        <f t="shared" si="68"/>
        <v>0</v>
      </c>
      <c r="L25">
        <f t="shared" si="69"/>
        <v>0.74885844748858443</v>
      </c>
      <c r="M25">
        <f t="shared" si="70"/>
        <v>0.74885844748858443</v>
      </c>
      <c r="N25">
        <f t="shared" si="71"/>
        <v>0</v>
      </c>
      <c r="O25">
        <f t="shared" si="72"/>
        <v>0.74885844748858443</v>
      </c>
      <c r="P25">
        <f>I25^$N$1</f>
        <v>0</v>
      </c>
      <c r="Q25">
        <f>J25^IF('Color Targets'!$AA$1=1,$N$1,INDEX(Calculation!$G$263:$G$372,MATCH(J25,Calculation!$H$263:$H$372)))</f>
        <v>0.51940810463282416</v>
      </c>
      <c r="R25">
        <f t="shared" si="74"/>
        <v>0</v>
      </c>
      <c r="S25">
        <f>L25^IF('Color Targets'!$AA$1=1,$N$1,INDEX(Calculation!$G$263:$G$372,MATCH(L25,Calculation!$H$263:$H$372)))</f>
        <v>0.51940810463282416</v>
      </c>
      <c r="T25">
        <f>M25^IF('Color Targets'!$AA$1=1,$N$1,INDEX(Calculation!$G$263:$G$372,MATCH(M25,Calculation!$H$263:$H$372)))</f>
        <v>0.51940810463282416</v>
      </c>
      <c r="U25">
        <f t="shared" ref="U25" si="82">N25^$N$1</f>
        <v>0</v>
      </c>
      <c r="V25">
        <f>O25^IF('Color Targets'!$AA$1=1,$N$1,INDEX(Calculation!$G$263:$G$372,MATCH(O25,Calculation!$H$263:$H$372)))</f>
        <v>0.51940810463282416</v>
      </c>
      <c r="W25">
        <v>0.11046402789576615</v>
      </c>
      <c r="X25">
        <v>0.37145584872599441</v>
      </c>
      <c r="Y25">
        <v>3.7488279951874086E-2</v>
      </c>
      <c r="Z25">
        <v>0.48191987662176056</v>
      </c>
      <c r="AA25">
        <v>0.4089441286778685</v>
      </c>
      <c r="AB25">
        <v>0.14795230784764024</v>
      </c>
      <c r="AC25">
        <v>0.51940815657363459</v>
      </c>
      <c r="AD25">
        <f>W25/(W24+W25+W26)</f>
        <v>0.33000006827387512</v>
      </c>
      <c r="AE25">
        <f t="shared" ref="AE25" si="83">X25/(X24+X25+X26)</f>
        <v>0.60000001677964543</v>
      </c>
      <c r="AF25">
        <f t="shared" ref="AF25" si="84">Y25/(Y24+Y25+Y26)</f>
        <v>6.0000003325251315E-2</v>
      </c>
      <c r="AG25">
        <f t="shared" ref="AG25" si="85">Z25/(Z24+Z25+Z26)</f>
        <v>0.50524582692013942</v>
      </c>
      <c r="AH25">
        <f t="shared" ref="AH25" si="86">AA25/(AA24+AA25+AA26)</f>
        <v>0.32876025920596097</v>
      </c>
      <c r="AI25">
        <f t="shared" ref="AI25" si="87">AB25/(AB24+AB25+AB26)</f>
        <v>0.15419022119869449</v>
      </c>
      <c r="AJ25">
        <f t="shared" ref="AJ25" si="88">AC25/(AC24+AC25+AC26)</f>
        <v>0.32902315240275215</v>
      </c>
    </row>
    <row r="26" spans="1:36">
      <c r="A26" t="s">
        <v>35</v>
      </c>
      <c r="B26">
        <v>16</v>
      </c>
      <c r="C26">
        <v>16</v>
      </c>
      <c r="D26">
        <v>180</v>
      </c>
      <c r="E26">
        <v>16</v>
      </c>
      <c r="F26">
        <v>180</v>
      </c>
      <c r="G26">
        <v>180</v>
      </c>
      <c r="H26">
        <v>180</v>
      </c>
      <c r="I26">
        <f>(B26-16)/219</f>
        <v>0</v>
      </c>
      <c r="J26">
        <f t="shared" si="67"/>
        <v>0</v>
      </c>
      <c r="K26">
        <f t="shared" si="68"/>
        <v>0.74885844748858443</v>
      </c>
      <c r="L26">
        <f t="shared" si="69"/>
        <v>0</v>
      </c>
      <c r="M26">
        <f t="shared" si="70"/>
        <v>0.74885844748858443</v>
      </c>
      <c r="N26">
        <f t="shared" si="71"/>
        <v>0.74885844748858443</v>
      </c>
      <c r="O26">
        <f t="shared" si="72"/>
        <v>0.74885844748858443</v>
      </c>
      <c r="P26">
        <f>I26^$N$1</f>
        <v>0</v>
      </c>
      <c r="Q26">
        <f t="shared" si="73"/>
        <v>0</v>
      </c>
      <c r="R26">
        <f>K26^IF('Color Targets'!$AA$1=1,$N$1,INDEX(Calculation!$G$263:$G$372,MATCH(K26,Calculation!$H$263:$H$372)))</f>
        <v>0.51940810463282416</v>
      </c>
      <c r="S26">
        <f t="shared" ref="S26" si="89">L26^$N$1</f>
        <v>0</v>
      </c>
      <c r="T26">
        <f>M26^IF('Color Targets'!$AA$1=1,$N$1,INDEX(Calculation!$G$263:$G$372,MATCH(M26,Calculation!$H$263:$H$372)))</f>
        <v>0.51940810463282416</v>
      </c>
      <c r="U26">
        <f>N26^IF('Color Targets'!$AA$1=1,$N$1,INDEX(Calculation!$G$263:$G$372,MATCH(N26,Calculation!$H$263:$H$372)))</f>
        <v>0.51940810463282416</v>
      </c>
      <c r="V26">
        <f>O26^IF('Color Targets'!$AA$1=1,$N$1,INDEX(Calculation!$G$263:$G$372,MATCH(O26,Calculation!$H$263:$H$372)))</f>
        <v>0.51940810463282416</v>
      </c>
      <c r="W26">
        <v>1.0042184354160559E-2</v>
      </c>
      <c r="X26">
        <v>6.190929080739558E-2</v>
      </c>
      <c r="Y26">
        <v>0.49359565140580181</v>
      </c>
      <c r="Z26">
        <v>7.1951475161556144E-2</v>
      </c>
      <c r="AA26">
        <v>0.55550494221319735</v>
      </c>
      <c r="AB26">
        <v>0.50363783575996235</v>
      </c>
      <c r="AC26">
        <v>0.56554712656735795</v>
      </c>
      <c r="AD26">
        <f>W25</f>
        <v>0.11046402789576615</v>
      </c>
      <c r="AE26">
        <f t="shared" ref="AE26" si="90">X25</f>
        <v>0.37145584872599441</v>
      </c>
      <c r="AF26">
        <f t="shared" ref="AF26" si="91">Y25</f>
        <v>3.7488279951874086E-2</v>
      </c>
      <c r="AG26">
        <f t="shared" ref="AG26" si="92">Z25</f>
        <v>0.48191987662176056</v>
      </c>
      <c r="AH26">
        <f t="shared" ref="AH26" si="93">AA25</f>
        <v>0.4089441286778685</v>
      </c>
      <c r="AI26">
        <f t="shared" ref="AI26" si="94">AB25</f>
        <v>0.14795230784764024</v>
      </c>
      <c r="AJ26">
        <f t="shared" ref="AJ26" si="95">AC25</f>
        <v>0.51940815657363459</v>
      </c>
    </row>
    <row r="28" spans="1:36">
      <c r="A28" t="s">
        <v>67</v>
      </c>
    </row>
    <row r="29" spans="1:36">
      <c r="A29" t="s">
        <v>33</v>
      </c>
      <c r="B29">
        <v>165</v>
      </c>
      <c r="C29">
        <v>77</v>
      </c>
      <c r="D29">
        <v>58</v>
      </c>
      <c r="E29">
        <v>180</v>
      </c>
      <c r="F29">
        <v>95</v>
      </c>
      <c r="G29">
        <v>156</v>
      </c>
      <c r="H29">
        <v>180</v>
      </c>
      <c r="I29">
        <f>(B29-16)/219</f>
        <v>0.68036529680365299</v>
      </c>
      <c r="J29">
        <f t="shared" ref="J29:J31" si="96">(C29-16)/219</f>
        <v>0.27853881278538811</v>
      </c>
      <c r="K29">
        <f t="shared" ref="K29:K31" si="97">(D29-16)/219</f>
        <v>0.19178082191780821</v>
      </c>
      <c r="L29">
        <f t="shared" ref="L29:L31" si="98">(E29-16)/219</f>
        <v>0.74885844748858443</v>
      </c>
      <c r="M29">
        <f t="shared" ref="M29:M31" si="99">(F29-16)/219</f>
        <v>0.36073059360730592</v>
      </c>
      <c r="N29">
        <f t="shared" ref="N29:N31" si="100">(G29-16)/219</f>
        <v>0.63926940639269403</v>
      </c>
      <c r="O29">
        <f t="shared" ref="O29:O31" si="101">(H29-16)/219</f>
        <v>0.74885844748858443</v>
      </c>
      <c r="P29">
        <f>I29^IF('Color Targets'!$AA$1=1,$N$1,INDEX(Calculation!$G$263:$G$372,MATCH(I29,Calculation!$H$263:$H$372)))</f>
        <v>0.41421657818668811</v>
      </c>
      <c r="Q29">
        <f>J29^IF('Color Targets'!$AA$1=1,$N$1,INDEX(Calculation!$G$263:$G$372,MATCH(J29,Calculation!$H$263:$H$372)))</f>
        <v>5.5330045958867743E-2</v>
      </c>
      <c r="R29">
        <f>K29^IF('Color Targets'!$AA$1=1,$N$1,INDEX(Calculation!$G$263:$G$372,MATCH(K29,Calculation!$H$263:$H$372)))</f>
        <v>2.6174108211637095E-2</v>
      </c>
      <c r="S29">
        <f>L29^IF('Color Targets'!$AA$1=1,$N$1,INDEX(Calculation!$G$263:$G$372,MATCH(L29,Calculation!$H$263:$H$372)))</f>
        <v>0.51940810463282416</v>
      </c>
      <c r="T29">
        <f>M29^IF('Color Targets'!$AA$1=1,$N$1,INDEX(Calculation!$G$263:$G$372,MATCH(M29,Calculation!$H$263:$H$372)))</f>
        <v>9.678401332274475E-2</v>
      </c>
      <c r="U29">
        <f>N29^IF('Color Targets'!$AA$1=1,$N$1,INDEX(Calculation!$G$263:$G$372,MATCH(N29,Calculation!$H$263:$H$372)))</f>
        <v>0.35888598007565076</v>
      </c>
      <c r="V29">
        <f>O29^IF('Color Targets'!$AA$1=1,$N$1,INDEX(Calculation!$G$274:$G$372,MATCH(O29,Calculation!$A$274:$A$372)))</f>
        <v>0.52008248452143813</v>
      </c>
      <c r="W29">
        <f t="array" ref="W29:W31">MMULT($B$3:$D$5,P29:P31)</f>
        <v>0.18645019861088769</v>
      </c>
      <c r="X29">
        <f t="array" ref="X29:X31">MMULT($B$3:$D$5,Q29:Q31)</f>
        <v>0.20807386603102701</v>
      </c>
      <c r="Y29">
        <f t="array" ref="Y29:Y31">MMULT($B$3:$D$5,R29:R31)</f>
        <v>5.7905157594159706E-2</v>
      </c>
      <c r="Z29">
        <f t="array" ref="Z29:Z31">MMULT($B$3:$D$5,S29:S31)</f>
        <v>0.41405774790452154</v>
      </c>
      <c r="AA29">
        <f t="array" ref="AA29:AA31">MMULT($B$3:$D$5,T29:T31)</f>
        <v>0.3036312068447431</v>
      </c>
      <c r="AB29">
        <f t="array" ref="AB29:AB31">MMULT($B$3:$D$5,U29:U31)</f>
        <v>0.23430424394700111</v>
      </c>
      <c r="AC29">
        <f t="array" ref="AC29:AC31">MMULT($B$3:$D$5,V29:V31)</f>
        <v>0.49432279906309129</v>
      </c>
      <c r="AD29">
        <f>W29/(W29+W30+W31)</f>
        <v>0.55424422925144357</v>
      </c>
      <c r="AE29">
        <f t="shared" ref="AE29" si="102">X29/(X29+X30+X31)</f>
        <v>0.30311775425130072</v>
      </c>
      <c r="AF29">
        <f t="shared" ref="AF29" si="103">Y29/(Y29+Y30+Y31)</f>
        <v>0.19318850043398639</v>
      </c>
      <c r="AG29">
        <f t="shared" ref="AG29" si="104">Z29/(Z29+Z30+Z31)</f>
        <v>0.39516492154195826</v>
      </c>
      <c r="AH29">
        <f t="shared" ref="AH29" si="105">AA29/(AA29+AA30+AA31)</f>
        <v>0.24561185123569787</v>
      </c>
      <c r="AI29">
        <f t="shared" ref="AI29" si="106">AB29/(AB29+AB30+AB31)</f>
        <v>0.31889329755368728</v>
      </c>
      <c r="AJ29">
        <f t="shared" ref="AJ29" si="107">AC29/(AC29+AC30+AC31)</f>
        <v>0.31272660439158345</v>
      </c>
    </row>
    <row r="30" spans="1:36">
      <c r="A30" t="s">
        <v>34</v>
      </c>
      <c r="B30">
        <v>60</v>
      </c>
      <c r="C30">
        <v>176</v>
      </c>
      <c r="D30">
        <v>58</v>
      </c>
      <c r="E30">
        <v>180</v>
      </c>
      <c r="F30">
        <v>176</v>
      </c>
      <c r="G30">
        <v>80</v>
      </c>
      <c r="H30">
        <v>180</v>
      </c>
      <c r="I30">
        <f>(B30-16)/219</f>
        <v>0.20091324200913241</v>
      </c>
      <c r="J30">
        <f t="shared" si="96"/>
        <v>0.73059360730593603</v>
      </c>
      <c r="K30">
        <f t="shared" si="97"/>
        <v>0.19178082191780821</v>
      </c>
      <c r="L30">
        <f t="shared" si="98"/>
        <v>0.74885844748858443</v>
      </c>
      <c r="M30">
        <f t="shared" si="99"/>
        <v>0.73059360730593603</v>
      </c>
      <c r="N30">
        <f t="shared" si="100"/>
        <v>0.29223744292237441</v>
      </c>
      <c r="O30">
        <f t="shared" si="101"/>
        <v>0.74885844748858443</v>
      </c>
      <c r="P30">
        <f>I30^IF('Color Targets'!$AA$1=1,$N$1,INDEX(Calculation!$G$263:$G$372,MATCH(I30,Calculation!$H$263:$H$372)))</f>
        <v>2.9002835526253927E-2</v>
      </c>
      <c r="Q30">
        <f>J30^IF('Color Targets'!$AA$1=1,$N$1,INDEX(Calculation!$G$263:$G$372,MATCH(J30,Calculation!$H$263:$H$372)))</f>
        <v>0.49015865236880951</v>
      </c>
      <c r="R30">
        <f>K30^IF('Color Targets'!$AA$1=1,$N$1,INDEX(Calculation!$G$263:$G$372,MATCH(K30,Calculation!$H$263:$H$372)))</f>
        <v>2.6174108211637095E-2</v>
      </c>
      <c r="S30">
        <f>L30^IF('Color Targets'!$AA$1=1,$N$1,INDEX(Calculation!$G$263:$G$372,MATCH(L30,Calculation!$H$263:$H$372)))</f>
        <v>0.51940810463282416</v>
      </c>
      <c r="T30">
        <f>M30^IF('Color Targets'!$AA$1=1,$N$1,INDEX(Calculation!$G$263:$G$372,MATCH(M30,Calculation!$H$263:$H$372)))</f>
        <v>0.49015865236880951</v>
      </c>
      <c r="U30">
        <f>N30^IF('Color Targets'!$AA$1=1,$N$1,INDEX(Calculation!$G$263:$G$372,MATCH(N30,Calculation!$H$263:$H$372)))</f>
        <v>6.0191202836616428E-2</v>
      </c>
      <c r="V30">
        <f>O30^IF('Color Targets'!$AA$1=1,$N$1,INDEX(Calculation!$G$274:$G$372,MATCH(O30,Calculation!$A$274:$A$372)))</f>
        <v>0.52008248452143813</v>
      </c>
      <c r="W30">
        <v>0.11092736219798574</v>
      </c>
      <c r="X30">
        <v>0.36629868598887633</v>
      </c>
      <c r="Y30">
        <v>3.938509201394591E-2</v>
      </c>
      <c r="Z30">
        <v>0.48755852725129911</v>
      </c>
      <c r="AA30">
        <v>0.40649857611229495</v>
      </c>
      <c r="AB30">
        <v>0.14527378889324344</v>
      </c>
      <c r="AC30">
        <v>0.52008253652968661</v>
      </c>
      <c r="AD30">
        <f>W30/(W29+W30+W31)</f>
        <v>0.32974408620838108</v>
      </c>
      <c r="AE30">
        <f t="shared" ref="AE30" si="108">X30/(X29+X30+X31)</f>
        <v>0.53361643727806762</v>
      </c>
      <c r="AF30">
        <f t="shared" ref="AF30" si="109">Y30/(Y29+Y30+Y31)</f>
        <v>0.1314001581509589</v>
      </c>
      <c r="AG30">
        <f t="shared" ref="AG30" si="110">Z30/(Z29+Z30+Z31)</f>
        <v>0.46531197192522916</v>
      </c>
      <c r="AH30">
        <f t="shared" ref="AH30" si="111">AA30/(AA29+AA30+AA31)</f>
        <v>0.32882281383766987</v>
      </c>
      <c r="AI30">
        <f t="shared" ref="AI30" si="112">AB30/(AB29+AB30+AB31)</f>
        <v>0.19772086415457166</v>
      </c>
      <c r="AJ30">
        <f t="shared" ref="AJ30" si="113">AC30/(AC29+AC30+AC31)</f>
        <v>0.32902315240275221</v>
      </c>
    </row>
    <row r="31" spans="1:36">
      <c r="A31" t="s">
        <v>35</v>
      </c>
      <c r="B31">
        <v>60</v>
      </c>
      <c r="C31">
        <v>77</v>
      </c>
      <c r="D31">
        <v>126</v>
      </c>
      <c r="E31">
        <v>88</v>
      </c>
      <c r="F31">
        <v>176</v>
      </c>
      <c r="G31">
        <v>156</v>
      </c>
      <c r="H31">
        <v>180</v>
      </c>
      <c r="I31">
        <f>(B31-16)/219</f>
        <v>0.20091324200913241</v>
      </c>
      <c r="J31">
        <f t="shared" si="96"/>
        <v>0.27853881278538811</v>
      </c>
      <c r="K31">
        <f t="shared" si="97"/>
        <v>0.50228310502283102</v>
      </c>
      <c r="L31">
        <f t="shared" si="98"/>
        <v>0.32876712328767121</v>
      </c>
      <c r="M31">
        <f t="shared" si="99"/>
        <v>0.73059360730593603</v>
      </c>
      <c r="N31">
        <f t="shared" si="100"/>
        <v>0.63926940639269403</v>
      </c>
      <c r="O31">
        <f t="shared" si="101"/>
        <v>0.74885844748858443</v>
      </c>
      <c r="P31">
        <f>I31^IF('Color Targets'!$AA$1=1,$N$1,INDEX(Calculation!$G$263:$G$372,MATCH(I31,Calculation!$H$263:$H$372)))</f>
        <v>2.9002835526253927E-2</v>
      </c>
      <c r="Q31">
        <f>J31^IF('Color Targets'!$AA$1=1,$N$1,INDEX(Calculation!$G$263:$G$372,MATCH(J31,Calculation!$H$263:$H$372)))</f>
        <v>5.5330045958867743E-2</v>
      </c>
      <c r="R31">
        <f>K31^IF('Color Targets'!$AA$1=1,$N$1,INDEX(Calculation!$G$263:$G$372,MATCH(K31,Calculation!$H$263:$H$372)))</f>
        <v>0.20921506678313687</v>
      </c>
      <c r="S31">
        <f>L31^IF('Color Targets'!$AA$1=1,$N$1,INDEX(Calculation!$G$263:$G$372,MATCH(L31,Calculation!$H$263:$H$372)))</f>
        <v>7.8124705639605607E-2</v>
      </c>
      <c r="T31">
        <f>M31^IF('Color Targets'!$AA$1=1,$N$1,INDEX(Calculation!$G$263:$G$372,MATCH(M31,Calculation!$H$263:$H$372)))</f>
        <v>0.49015865236880951</v>
      </c>
      <c r="U31">
        <f>N31^IF('Color Targets'!$AA$1=1,$N$1,INDEX(Calculation!$G$263:$G$372,MATCH(N31,Calculation!$H$263:$H$372)))</f>
        <v>0.35888598007565076</v>
      </c>
      <c r="V31">
        <f>O31^IF('Color Targets'!$AA$1=1,$N$1,INDEX(Calculation!$G$274:$G$372,MATCH(O31,Calculation!$A$274:$A$372)))</f>
        <v>0.52008248452143813</v>
      </c>
      <c r="W31">
        <v>3.9026841385273632E-2</v>
      </c>
      <c r="X31">
        <v>0.11207310519660775</v>
      </c>
      <c r="Y31">
        <v>0.20244372764250318</v>
      </c>
      <c r="Z31">
        <v>0.14619370324216646</v>
      </c>
      <c r="AA31">
        <v>0.52609397952487813</v>
      </c>
      <c r="AB31">
        <v>0.35516379379709584</v>
      </c>
      <c r="AC31">
        <v>0.56628141162147749</v>
      </c>
      <c r="AD31">
        <f>W30</f>
        <v>0.11092736219798574</v>
      </c>
      <c r="AE31">
        <f t="shared" ref="AE31" si="114">X30</f>
        <v>0.36629868598887633</v>
      </c>
      <c r="AF31">
        <f t="shared" ref="AF31" si="115">Y30</f>
        <v>3.938509201394591E-2</v>
      </c>
      <c r="AG31">
        <f t="shared" ref="AG31" si="116">Z30</f>
        <v>0.48755852725129911</v>
      </c>
      <c r="AH31">
        <f t="shared" ref="AH31" si="117">AA30</f>
        <v>0.40649857611229495</v>
      </c>
      <c r="AI31">
        <f t="shared" ref="AI31" si="118">AB30</f>
        <v>0.14527378889324344</v>
      </c>
      <c r="AJ31">
        <f t="shared" ref="AJ31" si="119">AC30</f>
        <v>0.52008253652968661</v>
      </c>
    </row>
    <row r="33" spans="1:36">
      <c r="A33" t="s">
        <v>68</v>
      </c>
    </row>
    <row r="34" spans="1:36">
      <c r="A34" t="s">
        <v>33</v>
      </c>
      <c r="B34">
        <v>147</v>
      </c>
      <c r="C34">
        <v>104</v>
      </c>
      <c r="D34">
        <v>62</v>
      </c>
      <c r="E34">
        <v>178</v>
      </c>
      <c r="F34">
        <v>123</v>
      </c>
      <c r="G34">
        <v>139</v>
      </c>
      <c r="H34">
        <v>180</v>
      </c>
      <c r="I34">
        <f>(B34-16)/219</f>
        <v>0.59817351598173518</v>
      </c>
      <c r="J34">
        <f t="shared" ref="J34:J36" si="120">(C34-16)/219</f>
        <v>0.40182648401826482</v>
      </c>
      <c r="K34">
        <f t="shared" ref="K34:K36" si="121">(D34-16)/219</f>
        <v>0.21004566210045661</v>
      </c>
      <c r="L34">
        <f t="shared" ref="L34:L36" si="122">(E34-16)/219</f>
        <v>0.73972602739726023</v>
      </c>
      <c r="M34">
        <f t="shared" ref="M34:M36" si="123">(F34-16)/219</f>
        <v>0.48858447488584472</v>
      </c>
      <c r="N34">
        <f t="shared" ref="N34:N36" si="124">(G34-16)/219</f>
        <v>0.56164383561643838</v>
      </c>
      <c r="O34">
        <f t="shared" ref="O34:O36" si="125">(H34-16)/219</f>
        <v>0.74885844748858443</v>
      </c>
      <c r="P34">
        <f>I34^IF('Color Targets'!$AA$1=1,$N$1,INDEX(Calculation!$G$263:$G$372,MATCH(I34,Calculation!$H$263:$H$372)))</f>
        <v>0.30830483733398101</v>
      </c>
      <c r="Q34">
        <f>J34^IF('Color Targets'!$AA$1=1,$N$1,INDEX(Calculation!$G$263:$G$372,MATCH(J34,Calculation!$H$263:$H$372)))</f>
        <v>0.12416881609203931</v>
      </c>
      <c r="R34">
        <f>K34^IF('Color Targets'!$AA$1=1,$N$1,INDEX(Calculation!$G$263:$G$372,MATCH(K34,Calculation!$H$263:$H$372)))</f>
        <v>3.1074164752695081E-2</v>
      </c>
      <c r="S34">
        <f>L34^IF('Color Targets'!$AA$1=1,$N$1,INDEX(Calculation!$G$263:$G$372,MATCH(L34,Calculation!$H$263:$H$372)))</f>
        <v>0.50467886781039173</v>
      </c>
      <c r="T34">
        <f>M34^IF('Color Targets'!$AA$1=1,$N$1,INDEX(Calculation!$G$263:$G$372,MATCH(M34,Calculation!$H$263:$H$372)))</f>
        <v>0.19618172051271698</v>
      </c>
      <c r="U34">
        <f>N34^IF('Color Targets'!$AA$1=1,$N$1,INDEX(Calculation!$G$263:$G$372,MATCH(N34,Calculation!$H$263:$H$372)))</f>
        <v>0.26823922996576066</v>
      </c>
      <c r="V34">
        <f>O34^IF('Color Targets'!$AA$1=1,$N$1,INDEX(Calculation!$G$274:$G$372,MATCH(O34,Calculation!$A$274:$A$372)))</f>
        <v>0.52008248452143813</v>
      </c>
      <c r="W34">
        <f t="array" ref="W34:W36">MMULT($B$3:$D$5,P34:P36)</f>
        <v>0.15476615628360804</v>
      </c>
      <c r="X34">
        <f t="array" ref="X34:X36">MMULT($B$3:$D$5,Q34:Q36)</f>
        <v>0.23596527655319136</v>
      </c>
      <c r="Y34">
        <f t="array" ref="Y34:Y36">MMULT($B$3:$D$5,R34:R36)</f>
        <v>4.3497515017619143E-2</v>
      </c>
      <c r="Z34">
        <f t="array" ref="Z34:Z36">MMULT($B$3:$D$5,S34:S36)</f>
        <v>0.42247878191927046</v>
      </c>
      <c r="AA34">
        <f t="array" ref="AA34:AA36">MMULT($B$3:$D$5,T34:T36)</f>
        <v>0.32518480220907514</v>
      </c>
      <c r="AB34">
        <f t="array" ref="AB34:AB36">MMULT($B$3:$D$5,U34:U36)</f>
        <v>0.19364505321369183</v>
      </c>
      <c r="AC34">
        <f t="array" ref="AC34:AC36">MMULT($B$3:$D$5,V34:V36)</f>
        <v>0.49432279906309129</v>
      </c>
      <c r="AD34">
        <f>W34/(W34+W35+W36)</f>
        <v>0.48129346454709304</v>
      </c>
      <c r="AE34">
        <f t="shared" ref="AE34" si="126">X34/(X34+X35+X36)</f>
        <v>0.30623308394699861</v>
      </c>
      <c r="AF34">
        <f t="shared" ref="AF34" si="127">Y34/(Y34+Y35+Y36)</f>
        <v>0.23195367798160152</v>
      </c>
      <c r="AG34">
        <f t="shared" ref="AG34" si="128">Z34/(Z34+Z35+Z36)</f>
        <v>0.36657119639829955</v>
      </c>
      <c r="AH34">
        <f t="shared" ref="AH34" si="129">AA34/(AA34+AA35+AA36)</f>
        <v>0.26792112281420483</v>
      </c>
      <c r="AI34">
        <f t="shared" ref="AI34" si="130">AB34/(AB34+AB35+AB36)</f>
        <v>0.31698397122594363</v>
      </c>
      <c r="AJ34">
        <f t="shared" ref="AJ34" si="131">AC34/(AC34+AC35+AC36)</f>
        <v>0.31272660439158345</v>
      </c>
    </row>
    <row r="35" spans="1:36">
      <c r="A35" t="s">
        <v>34</v>
      </c>
      <c r="B35">
        <v>75</v>
      </c>
      <c r="C35">
        <v>171</v>
      </c>
      <c r="D35">
        <v>62</v>
      </c>
      <c r="E35">
        <v>178</v>
      </c>
      <c r="F35">
        <v>171</v>
      </c>
      <c r="G35">
        <v>95</v>
      </c>
      <c r="H35">
        <v>180</v>
      </c>
      <c r="I35">
        <f>(B35-16)/219</f>
        <v>0.26940639269406391</v>
      </c>
      <c r="J35">
        <f t="shared" si="120"/>
        <v>0.70776255707762559</v>
      </c>
      <c r="K35">
        <f t="shared" si="121"/>
        <v>0.21004566210045661</v>
      </c>
      <c r="L35">
        <f t="shared" si="122"/>
        <v>0.73972602739726023</v>
      </c>
      <c r="M35">
        <f t="shared" si="123"/>
        <v>0.70776255707762559</v>
      </c>
      <c r="N35">
        <f t="shared" si="124"/>
        <v>0.36073059360730592</v>
      </c>
      <c r="O35">
        <f t="shared" si="125"/>
        <v>0.74885844748858443</v>
      </c>
      <c r="P35">
        <f>I35^IF('Color Targets'!$AA$1=1,$N$1,INDEX(Calculation!$G$263:$G$372,MATCH(I35,Calculation!$H$263:$H$372)))</f>
        <v>5.1306979924389706E-2</v>
      </c>
      <c r="Q35">
        <f>J35^IF('Color Targets'!$AA$1=1,$N$1,INDEX(Calculation!$G$263:$G$372,MATCH(J35,Calculation!$H$263:$H$372)))</f>
        <v>0.45401899881451646</v>
      </c>
      <c r="R35">
        <f>K35^IF('Color Targets'!$AA$1=1,$N$1,INDEX(Calculation!$G$263:$G$372,MATCH(K35,Calculation!$H$263:$H$372)))</f>
        <v>3.1074164752695081E-2</v>
      </c>
      <c r="S35">
        <f>L35^IF('Color Targets'!$AA$1=1,$N$1,INDEX(Calculation!$G$263:$G$372,MATCH(L35,Calculation!$H$263:$H$372)))</f>
        <v>0.50467886781039173</v>
      </c>
      <c r="T35">
        <f>M35^IF('Color Targets'!$AA$1=1,$N$1,INDEX(Calculation!$G$263:$G$372,MATCH(M35,Calculation!$H$263:$H$372)))</f>
        <v>0.45401899881451646</v>
      </c>
      <c r="U35">
        <f>N35^IF('Color Targets'!$AA$1=1,$N$1,INDEX(Calculation!$G$263:$G$372,MATCH(N35,Calculation!$H$263:$H$372)))</f>
        <v>9.678401332274475E-2</v>
      </c>
      <c r="V35">
        <f>O35^IF('Color Targets'!$AA$1=1,$N$1,INDEX(Calculation!$G$274:$G$372,MATCH(O35,Calculation!$A$274:$A$372)))</f>
        <v>0.52008248452143813</v>
      </c>
      <c r="W35">
        <v>0.10596346468417198</v>
      </c>
      <c r="X35">
        <v>0.36006191235330248</v>
      </c>
      <c r="Y35">
        <v>3.6659149318161582E-2</v>
      </c>
      <c r="Z35">
        <v>0.48179758165088948</v>
      </c>
      <c r="AA35">
        <v>0.39918404251186562</v>
      </c>
      <c r="AB35">
        <v>0.14562268140595419</v>
      </c>
      <c r="AC35">
        <v>0.52008253652968661</v>
      </c>
      <c r="AD35">
        <f>W35/(W34+W35+W36)</f>
        <v>0.32952632705953072</v>
      </c>
      <c r="AE35">
        <f t="shared" ref="AE35" si="132">X35/(X34+X35+X36)</f>
        <v>0.4672843031925939</v>
      </c>
      <c r="AF35">
        <f t="shared" ref="AF35" si="133">Y35/(Y34+Y35+Y36)</f>
        <v>0.19548759308617916</v>
      </c>
      <c r="AG35">
        <f t="shared" ref="AG35" si="134">Z35/(Z34+Z35+Z36)</f>
        <v>0.41804020340439763</v>
      </c>
      <c r="AH35">
        <f t="shared" ref="AH35" si="135">AA35/(AA34+AA35+AA36)</f>
        <v>0.32888940735468231</v>
      </c>
      <c r="AI35">
        <f t="shared" ref="AI35" si="136">AB35/(AB34+AB35+AB36)</f>
        <v>0.23837456772877663</v>
      </c>
      <c r="AJ35">
        <f t="shared" ref="AJ35" si="137">AC35/(AC34+AC35+AC36)</f>
        <v>0.32902315240275221</v>
      </c>
    </row>
    <row r="36" spans="1:36">
      <c r="A36" t="s">
        <v>35</v>
      </c>
      <c r="B36">
        <v>75</v>
      </c>
      <c r="C36">
        <v>104</v>
      </c>
      <c r="D36">
        <v>99</v>
      </c>
      <c r="E36">
        <v>121</v>
      </c>
      <c r="F36">
        <v>171</v>
      </c>
      <c r="G36">
        <v>139</v>
      </c>
      <c r="H36">
        <v>180</v>
      </c>
      <c r="I36">
        <f>(B36-16)/219</f>
        <v>0.26940639269406391</v>
      </c>
      <c r="J36">
        <f t="shared" si="120"/>
        <v>0.40182648401826482</v>
      </c>
      <c r="K36">
        <f t="shared" si="121"/>
        <v>0.37899543378995432</v>
      </c>
      <c r="L36">
        <f t="shared" si="122"/>
        <v>0.47945205479452052</v>
      </c>
      <c r="M36">
        <f t="shared" si="123"/>
        <v>0.70776255707762559</v>
      </c>
      <c r="N36">
        <f t="shared" si="124"/>
        <v>0.56164383561643838</v>
      </c>
      <c r="O36">
        <f t="shared" si="125"/>
        <v>0.74885844748858443</v>
      </c>
      <c r="P36">
        <f>I36^IF('Color Targets'!$AA$1=1,$N$1,INDEX(Calculation!$G$263:$G$372,MATCH(I36,Calculation!$H$263:$H$372)))</f>
        <v>5.1306979924389706E-2</v>
      </c>
      <c r="Q36">
        <f>J36^IF('Color Targets'!$AA$1=1,$N$1,INDEX(Calculation!$G$263:$G$372,MATCH(J36,Calculation!$H$263:$H$372)))</f>
        <v>0.12416881609203931</v>
      </c>
      <c r="R36">
        <f>K36^IF('Color Targets'!$AA$1=1,$N$1,INDEX(Calculation!$G$263:$G$372,MATCH(K36,Calculation!$H$263:$H$372)))</f>
        <v>0.10845527258851111</v>
      </c>
      <c r="S36">
        <f>L36^IF('Color Targets'!$AA$1=1,$N$1,INDEX(Calculation!$G$263:$G$372,MATCH(L36,Calculation!$H$263:$H$372)))</f>
        <v>0.18765307456634558</v>
      </c>
      <c r="T36">
        <f>M36^IF('Color Targets'!$AA$1=1,$N$1,INDEX(Calculation!$G$263:$G$372,MATCH(M36,Calculation!$H$263:$H$372)))</f>
        <v>0.45401899881451646</v>
      </c>
      <c r="U36">
        <f>N36^IF('Color Targets'!$AA$1=1,$N$1,INDEX(Calculation!$G$263:$G$372,MATCH(N36,Calculation!$H$263:$H$372)))</f>
        <v>0.26823922996576066</v>
      </c>
      <c r="V36">
        <f>O36^IF('Color Targets'!$AA$1=1,$N$1,INDEX(Calculation!$G$274:$G$372,MATCH(O36,Calculation!$A$274:$A$372)))</f>
        <v>0.52008248452143813</v>
      </c>
      <c r="W36">
        <v>6.0833349826444547E-2</v>
      </c>
      <c r="X36">
        <v>0.17451423500455265</v>
      </c>
      <c r="Y36">
        <v>0.10737006684659507</v>
      </c>
      <c r="Z36">
        <v>0.24823858051241948</v>
      </c>
      <c r="AA36">
        <v>0.48936450632425077</v>
      </c>
      <c r="AB36">
        <v>0.27163083058150483</v>
      </c>
      <c r="AC36">
        <v>0.56628141162147749</v>
      </c>
      <c r="AD36">
        <f>W35</f>
        <v>0.10596346468417198</v>
      </c>
      <c r="AE36">
        <f t="shared" ref="AE36" si="138">X35</f>
        <v>0.36006191235330248</v>
      </c>
      <c r="AF36">
        <f t="shared" ref="AF36" si="139">Y35</f>
        <v>3.6659149318161582E-2</v>
      </c>
      <c r="AG36">
        <f t="shared" ref="AG36" si="140">Z35</f>
        <v>0.48179758165088948</v>
      </c>
      <c r="AH36">
        <f t="shared" ref="AH36" si="141">AA35</f>
        <v>0.39918404251186562</v>
      </c>
      <c r="AI36">
        <f t="shared" ref="AI36" si="142">AB35</f>
        <v>0.14562268140595419</v>
      </c>
      <c r="AJ36">
        <f t="shared" ref="AJ36" si="143">AC35</f>
        <v>0.52008253652968661</v>
      </c>
    </row>
    <row r="38" spans="1:36">
      <c r="A38" t="s">
        <v>69</v>
      </c>
    </row>
    <row r="39" spans="1:36">
      <c r="A39" t="s">
        <v>33</v>
      </c>
      <c r="B39">
        <v>126</v>
      </c>
      <c r="C39">
        <v>16</v>
      </c>
      <c r="D39">
        <v>16</v>
      </c>
      <c r="E39">
        <v>126</v>
      </c>
      <c r="F39">
        <v>16</v>
      </c>
      <c r="G39">
        <v>126</v>
      </c>
      <c r="H39">
        <v>126</v>
      </c>
      <c r="I39">
        <f>(B39-16)/219</f>
        <v>0.50228310502283102</v>
      </c>
      <c r="J39">
        <f t="shared" ref="J39:J41" si="144">(C39-16)/219</f>
        <v>0</v>
      </c>
      <c r="K39">
        <f t="shared" ref="K39:K41" si="145">(D39-16)/219</f>
        <v>0</v>
      </c>
      <c r="L39">
        <f t="shared" ref="L39:L41" si="146">(E39-16)/219</f>
        <v>0.50228310502283102</v>
      </c>
      <c r="M39">
        <f t="shared" ref="M39:M41" si="147">(F39-16)/219</f>
        <v>0</v>
      </c>
      <c r="N39">
        <f t="shared" ref="N39:N41" si="148">(G39-16)/219</f>
        <v>0.50228310502283102</v>
      </c>
      <c r="O39">
        <f t="shared" ref="O39:O41" si="149">(H39-16)/219</f>
        <v>0.50228310502283102</v>
      </c>
      <c r="P39">
        <f>I39^IF('Color Targets'!$AA$1=1,$N$1,INDEX(Calculation!$G$263:$G$372,MATCH(I39,Calculation!$H$263:$H$372)))</f>
        <v>0.20921506678313687</v>
      </c>
      <c r="Q39">
        <f t="shared" ref="Q39:Q41" si="150">J39^$N$1</f>
        <v>0</v>
      </c>
      <c r="R39">
        <f t="shared" ref="R39:R40" si="151">K39^$N$1</f>
        <v>0</v>
      </c>
      <c r="S39">
        <f>L39^IF('Color Targets'!$AA$1=1,$N$1,INDEX(Calculation!$G$263:$G$372,MATCH(L39,Calculation!$H$263:$H$372)))</f>
        <v>0.20921506678313687</v>
      </c>
      <c r="T39">
        <f t="shared" ref="T39" si="152">M39^$N$1</f>
        <v>0</v>
      </c>
      <c r="U39">
        <f>N39^IF('Color Targets'!$AA$1=1,$N$1,INDEX(Calculation!$G$263:$G$372,MATCH(N39,Calculation!$H$263:$H$372)))</f>
        <v>0.20921506678313687</v>
      </c>
      <c r="V39">
        <f>O39^IF('Color Targets'!$AA$1=1,$N$1,INDEX(Calculation!$G$263:$G$372,MATCH(O39,Calculation!$A$263:$A$372)))</f>
        <v>0.20973228705106237</v>
      </c>
      <c r="W39">
        <f t="array" ref="W39:W41">MMULT($B$3:$D$5,P39:P41)</f>
        <v>8.6292093271132214E-2</v>
      </c>
      <c r="X39">
        <f t="array" ref="X39:X41">MMULT($B$3:$D$5,Q39:Q41)</f>
        <v>7.4810307641553622E-2</v>
      </c>
      <c r="Y39">
        <f t="array" ref="Y39:Y41">MMULT($B$3:$D$5,R39:R41)</f>
        <v>3.7750243612682262E-2</v>
      </c>
      <c r="Z39">
        <f t="array" ref="Z39:Z41">MMULT($B$3:$D$5,S39:S41)</f>
        <v>0.16110240091268585</v>
      </c>
      <c r="AA39">
        <f t="array" ref="AA39:AA41">MMULT($B$3:$D$5,T39:T41)</f>
        <v>0.11256055125423589</v>
      </c>
      <c r="AB39">
        <f t="array" ref="AB39:AB41">MMULT($B$3:$D$5,U39:U41)</f>
        <v>0.12404233688381447</v>
      </c>
      <c r="AC39">
        <f t="array" ref="AC39:AC41">MMULT($B$3:$D$5,V39:V41)</f>
        <v>0.19934424687342328</v>
      </c>
      <c r="AD39">
        <f>W39/(W39+W40+W41)</f>
        <v>0.63999992551940899</v>
      </c>
      <c r="AE39">
        <f t="shared" ref="AE39" si="153">X39/(X39+X40+X41)</f>
        <v>0.30000000838982271</v>
      </c>
      <c r="AF39">
        <f t="shared" ref="AF39" si="154">Y39/(Y39+Y40+Y41)</f>
        <v>0.15000000831312829</v>
      </c>
      <c r="AG39">
        <f t="shared" ref="AG39" si="155">Z39/(Z39+Z40+Z41)</f>
        <v>0.41932009299800399</v>
      </c>
      <c r="AH39">
        <f t="shared" ref="AH39" si="156">AA39/(AA39+AA40+AA41)</f>
        <v>0.22465563312474435</v>
      </c>
      <c r="AI39">
        <f t="shared" ref="AI39" si="157">AB39/(AB39+AB40+AB41)</f>
        <v>0.32093774111852907</v>
      </c>
      <c r="AJ39">
        <f t="shared" ref="AJ39" si="158">AC39/(AC39+AC40+AC41)</f>
        <v>0.31272660439158345</v>
      </c>
    </row>
    <row r="40" spans="1:36">
      <c r="A40" t="s">
        <v>34</v>
      </c>
      <c r="B40">
        <v>16</v>
      </c>
      <c r="C40">
        <v>126</v>
      </c>
      <c r="D40">
        <v>16</v>
      </c>
      <c r="E40">
        <v>126</v>
      </c>
      <c r="F40">
        <v>126</v>
      </c>
      <c r="G40">
        <v>16</v>
      </c>
      <c r="H40">
        <v>126</v>
      </c>
      <c r="I40">
        <f>(B40-16)/219</f>
        <v>0</v>
      </c>
      <c r="J40">
        <f t="shared" si="144"/>
        <v>0.50228310502283102</v>
      </c>
      <c r="K40">
        <f t="shared" si="145"/>
        <v>0</v>
      </c>
      <c r="L40">
        <f t="shared" si="146"/>
        <v>0.50228310502283102</v>
      </c>
      <c r="M40">
        <f t="shared" si="147"/>
        <v>0.50228310502283102</v>
      </c>
      <c r="N40">
        <f t="shared" si="148"/>
        <v>0</v>
      </c>
      <c r="O40">
        <f t="shared" si="149"/>
        <v>0.50228310502283102</v>
      </c>
      <c r="P40">
        <f>I40^$N$1</f>
        <v>0</v>
      </c>
      <c r="Q40">
        <f>J40^IF('Color Targets'!$AA$1=1,$N$1,INDEX(Calculation!$G$263:$G$372,MATCH(J40,Calculation!$H$263:$H$372)))</f>
        <v>0.20921506678313687</v>
      </c>
      <c r="R40">
        <f t="shared" si="151"/>
        <v>0</v>
      </c>
      <c r="S40">
        <f>L40^IF('Color Targets'!$AA$1=1,$N$1,INDEX(Calculation!$G$263:$G$372,MATCH(L40,Calculation!$H$263:$H$372)))</f>
        <v>0.20921506678313687</v>
      </c>
      <c r="T40">
        <f>M40^IF('Color Targets'!$AA$1=1,$N$1,INDEX(Calculation!$G$263:$G$372,MATCH(M40,Calculation!$H$263:$H$372)))</f>
        <v>0.20921506678313687</v>
      </c>
      <c r="U40">
        <f t="shared" ref="U40" si="159">N40^$N$1</f>
        <v>0</v>
      </c>
      <c r="V40">
        <f>O40^IF('Color Targets'!$AA$1=1,$N$1,INDEX(Calculation!$G$263:$G$372,MATCH(O40,Calculation!$A$263:$A$372)))</f>
        <v>0.20973228705106237</v>
      </c>
      <c r="W40">
        <v>4.4494374976463386E-2</v>
      </c>
      <c r="X40">
        <v>0.14962061528310724</v>
      </c>
      <c r="Y40">
        <v>1.5100097445072904E-2</v>
      </c>
      <c r="Z40">
        <v>0.19411499025957063</v>
      </c>
      <c r="AA40">
        <v>0.16472071272818015</v>
      </c>
      <c r="AB40">
        <v>5.9594472421536288E-2</v>
      </c>
      <c r="AC40">
        <v>0.20973230802429108</v>
      </c>
      <c r="AD40">
        <f>W40/(W39+W40+W41)</f>
        <v>0.33000006827387507</v>
      </c>
      <c r="AE40">
        <f t="shared" ref="AE40" si="160">X40/(X39+X40+X41)</f>
        <v>0.60000001677964543</v>
      </c>
      <c r="AF40">
        <f t="shared" ref="AF40" si="161">Y40/(Y39+Y40+Y41)</f>
        <v>6.0000003325251315E-2</v>
      </c>
      <c r="AG40">
        <f t="shared" ref="AG40" si="162">Z40/(Z39+Z40+Z41)</f>
        <v>0.50524582692013953</v>
      </c>
      <c r="AH40">
        <f t="shared" ref="AH40" si="163">AA40/(AA39+AA40+AA41)</f>
        <v>0.32876025920596097</v>
      </c>
      <c r="AI40">
        <f t="shared" ref="AI40" si="164">AB40/(AB39+AB40+AB41)</f>
        <v>0.15419022119869449</v>
      </c>
      <c r="AJ40">
        <f t="shared" ref="AJ40" si="165">AC40/(AC39+AC40+AC41)</f>
        <v>0.32902315240275215</v>
      </c>
    </row>
    <row r="41" spans="1:36">
      <c r="A41" t="s">
        <v>35</v>
      </c>
      <c r="B41">
        <v>16</v>
      </c>
      <c r="C41">
        <v>16</v>
      </c>
      <c r="D41">
        <v>126</v>
      </c>
      <c r="E41">
        <v>16</v>
      </c>
      <c r="F41">
        <v>126</v>
      </c>
      <c r="G41">
        <v>126</v>
      </c>
      <c r="H41">
        <v>126</v>
      </c>
      <c r="I41">
        <f>(B41-16)/219</f>
        <v>0</v>
      </c>
      <c r="J41">
        <f t="shared" si="144"/>
        <v>0</v>
      </c>
      <c r="K41">
        <f t="shared" si="145"/>
        <v>0.50228310502283102</v>
      </c>
      <c r="L41">
        <f t="shared" si="146"/>
        <v>0</v>
      </c>
      <c r="M41">
        <f t="shared" si="147"/>
        <v>0.50228310502283102</v>
      </c>
      <c r="N41">
        <f t="shared" si="148"/>
        <v>0.50228310502283102</v>
      </c>
      <c r="O41">
        <f t="shared" si="149"/>
        <v>0.50228310502283102</v>
      </c>
      <c r="P41">
        <f>I41^$N$1</f>
        <v>0</v>
      </c>
      <c r="Q41">
        <f t="shared" si="150"/>
        <v>0</v>
      </c>
      <c r="R41">
        <f>K41^IF('Color Targets'!$AA$1=1,$N$1,INDEX(Calculation!$G$263:$G$372,MATCH(K41,Calculation!$H$263:$H$372)))</f>
        <v>0.20921506678313687</v>
      </c>
      <c r="S41">
        <f t="shared" ref="S41" si="166">L41^$N$1</f>
        <v>0</v>
      </c>
      <c r="T41">
        <f>M41^IF('Color Targets'!$AA$1=1,$N$1,INDEX(Calculation!$G$263:$G$372,MATCH(M41,Calculation!$H$263:$H$372)))</f>
        <v>0.20921506678313687</v>
      </c>
      <c r="U41">
        <f>N41^IF('Color Targets'!$AA$1=1,$N$1,INDEX(Calculation!$G$263:$G$372,MATCH(N41,Calculation!$H$263:$H$372)))</f>
        <v>0.20921506678313687</v>
      </c>
      <c r="V41">
        <f>O41^IF('Color Targets'!$AA$1=1,$N$1,INDEX(Calculation!$G$263:$G$372,MATCH(O41,Calculation!$A$263:$A$372)))</f>
        <v>0.20973228705106237</v>
      </c>
      <c r="W41">
        <v>4.0449431796784905E-3</v>
      </c>
      <c r="X41">
        <v>2.4936762240015651E-2</v>
      </c>
      <c r="Y41">
        <v>0.19881793574578877</v>
      </c>
      <c r="Z41">
        <v>2.8981705419694141E-2</v>
      </c>
      <c r="AA41">
        <v>0.22375469798580441</v>
      </c>
      <c r="AB41">
        <v>0.20286287892546725</v>
      </c>
      <c r="AC41">
        <v>0.22836280610980825</v>
      </c>
      <c r="AD41">
        <f>W40</f>
        <v>4.4494374976463386E-2</v>
      </c>
      <c r="AE41">
        <f t="shared" ref="AE41" si="167">X40</f>
        <v>0.14962061528310724</v>
      </c>
      <c r="AF41">
        <f t="shared" ref="AF41" si="168">Y40</f>
        <v>1.5100097445072904E-2</v>
      </c>
      <c r="AG41">
        <f t="shared" ref="AG41" si="169">Z40</f>
        <v>0.19411499025957063</v>
      </c>
      <c r="AH41">
        <f t="shared" ref="AH41" si="170">AA40</f>
        <v>0.16472071272818015</v>
      </c>
      <c r="AI41">
        <f t="shared" ref="AI41" si="171">AB40</f>
        <v>5.9594472421536288E-2</v>
      </c>
      <c r="AJ41">
        <f t="shared" ref="AJ41" si="172">AC40</f>
        <v>0.20973230802429108</v>
      </c>
    </row>
    <row r="43" spans="1:36">
      <c r="A43" t="s">
        <v>70</v>
      </c>
    </row>
    <row r="44" spans="1:36">
      <c r="A44" t="s">
        <v>33</v>
      </c>
      <c r="B44">
        <v>115</v>
      </c>
      <c r="C44">
        <v>58</v>
      </c>
      <c r="D44">
        <v>44</v>
      </c>
      <c r="E44">
        <v>126</v>
      </c>
      <c r="F44">
        <v>69</v>
      </c>
      <c r="G44">
        <v>110</v>
      </c>
      <c r="H44">
        <v>126</v>
      </c>
      <c r="I44">
        <f>(B44-16)/219</f>
        <v>0.45205479452054792</v>
      </c>
      <c r="J44">
        <f t="shared" ref="J44:J46" si="173">(C44-16)/219</f>
        <v>0.19178082191780821</v>
      </c>
      <c r="K44">
        <f t="shared" ref="K44:K46" si="174">(D44-16)/219</f>
        <v>0.12785388127853881</v>
      </c>
      <c r="L44">
        <f t="shared" ref="L44:L46" si="175">(E44-16)/219</f>
        <v>0.50228310502283102</v>
      </c>
      <c r="M44">
        <f t="shared" ref="M44:M46" si="176">(F44-16)/219</f>
        <v>0.24200913242009131</v>
      </c>
      <c r="N44">
        <f t="shared" ref="N44:N46" si="177">(G44-16)/219</f>
        <v>0.42922374429223742</v>
      </c>
      <c r="O44">
        <f t="shared" ref="O44:O46" si="178">(H44-16)/219</f>
        <v>0.50228310502283102</v>
      </c>
      <c r="P44">
        <f>I44^IF('Color Targets'!$AA$1=1,$N$1,INDEX(Calculation!$G$263:$G$372,MATCH(I44,Calculation!$H$263:$H$372)))</f>
        <v>0.16358674210707125</v>
      </c>
      <c r="Q44">
        <f>J44^IF('Color Targets'!$AA$1=1,$N$1,INDEX(Calculation!$G$263:$G$372,MATCH(J44,Calculation!$H$263:$H$372)))</f>
        <v>2.6174108211637095E-2</v>
      </c>
      <c r="R44">
        <f>K44^IF('Color Targets'!$AA$1=1,$N$1,INDEX(Calculation!$G$263:$G$372,MATCH(K44,Calculation!$H$263:$H$372)))</f>
        <v>1.2339860186699391E-2</v>
      </c>
      <c r="S44">
        <f>L44^IF('Color Targets'!$AA$1=1,$N$1,INDEX(Calculation!$G$263:$G$372,MATCH(L44,Calculation!$H$263:$H$372)))</f>
        <v>0.20921506678313687</v>
      </c>
      <c r="T44">
        <f>M44^IF('Color Targets'!$AA$1=1,$N$1,INDEX(Calculation!$G$263:$G$372,MATCH(M44,Calculation!$H$263:$H$372)))</f>
        <v>4.1398085012838939E-2</v>
      </c>
      <c r="U44">
        <f>N44^IF('Color Targets'!$AA$1=1,$N$1,INDEX(Calculation!$G$263:$G$372,MATCH(N44,Calculation!$H$263:$H$372)))</f>
        <v>0.14483933786446412</v>
      </c>
      <c r="V44">
        <f>O44^IF('Color Targets'!$AA$1=1,$N$1,INDEX(Calculation!$G$274:$G$372,MATCH(O44,Calculation!$A$274:$A$372)))</f>
        <v>0.20973228705106237</v>
      </c>
      <c r="W44">
        <f t="array" ref="W44:W46">MMULT($B$3:$D$5,P44:P46)</f>
        <v>7.4111411339753838E-2</v>
      </c>
      <c r="X44">
        <f t="array" ref="X44:X46">MMULT($B$3:$D$5,Q44:Q46)</f>
        <v>8.5668363608846873E-2</v>
      </c>
      <c r="Y44">
        <f t="array" ref="Y44:Y46">MMULT($B$3:$D$5,R44:R46)</f>
        <v>2.3598719963060934E-2</v>
      </c>
      <c r="Z44">
        <f t="array" ref="Z44:Z46">MMULT($B$3:$D$5,S44:S46)</f>
        <v>0.16726615047841481</v>
      </c>
      <c r="AA44">
        <f t="array" ref="AA44:AA46">MMULT($B$3:$D$5,T44:T46)</f>
        <v>0.12262333881853021</v>
      </c>
      <c r="AB44">
        <f t="array" ref="AB44:AB46">MMULT($B$3:$D$5,U44:U46)</f>
        <v>9.523359543517497E-2</v>
      </c>
      <c r="AC44">
        <f t="array" ref="AC44:AC46">MMULT($B$3:$D$5,V44:V46)</f>
        <v>0.19934424687342328</v>
      </c>
      <c r="AD44">
        <f>W44/(W44+W45+W46)</f>
        <v>0.54906457094982508</v>
      </c>
      <c r="AE44">
        <f t="shared" ref="AE44" si="179">X44/(X44+X45+X46)</f>
        <v>0.30358775292986945</v>
      </c>
      <c r="AF44">
        <f t="shared" ref="AF44" si="180">Y44/(Y44+Y45+Y46)</f>
        <v>0.20232407332934327</v>
      </c>
      <c r="AG44">
        <f t="shared" ref="AG44" si="181">Z44/(Z44+Z45+Z46)</f>
        <v>0.39329834307035483</v>
      </c>
      <c r="AH44">
        <f t="shared" ref="AH44" si="182">AA44/(AA44+AA45+AA46)</f>
        <v>0.24697413042220207</v>
      </c>
      <c r="AI44">
        <f t="shared" ref="AI44" si="183">AB44/(AB44+AB45+AB46)</f>
        <v>0.31875143620371299</v>
      </c>
      <c r="AJ44">
        <f t="shared" ref="AJ44" si="184">AC44/(AC44+AC45+AC46)</f>
        <v>0.31272660439158345</v>
      </c>
    </row>
    <row r="45" spans="1:36">
      <c r="A45" t="s">
        <v>34</v>
      </c>
      <c r="B45">
        <v>44</v>
      </c>
      <c r="C45">
        <v>123</v>
      </c>
      <c r="D45">
        <v>44</v>
      </c>
      <c r="E45">
        <v>126</v>
      </c>
      <c r="F45">
        <v>123</v>
      </c>
      <c r="G45">
        <v>58</v>
      </c>
      <c r="H45">
        <v>126</v>
      </c>
      <c r="I45">
        <f>(B45-16)/219</f>
        <v>0.12785388127853881</v>
      </c>
      <c r="J45">
        <f t="shared" si="173"/>
        <v>0.48858447488584472</v>
      </c>
      <c r="K45">
        <f t="shared" si="174"/>
        <v>0.12785388127853881</v>
      </c>
      <c r="L45">
        <f t="shared" si="175"/>
        <v>0.50228310502283102</v>
      </c>
      <c r="M45">
        <f t="shared" si="176"/>
        <v>0.48858447488584472</v>
      </c>
      <c r="N45">
        <f t="shared" si="177"/>
        <v>0.19178082191780821</v>
      </c>
      <c r="O45">
        <f t="shared" si="178"/>
        <v>0.50228310502283102</v>
      </c>
      <c r="P45">
        <f>I45^IF('Color Targets'!$AA$1=1,$N$1,INDEX(Calculation!$G$263:$G$372,MATCH(I45,Calculation!$H$263:$H$372)))</f>
        <v>1.2339860186699391E-2</v>
      </c>
      <c r="Q45">
        <f>J45^IF('Color Targets'!$AA$1=1,$N$1,INDEX(Calculation!$G$263:$G$372,MATCH(J45,Calculation!$H$263:$H$372)))</f>
        <v>0.19618172051271698</v>
      </c>
      <c r="R45">
        <f>K45^IF('Color Targets'!$AA$1=1,$N$1,INDEX(Calculation!$G$263:$G$372,MATCH(K45,Calculation!$H$263:$H$372)))</f>
        <v>1.2339860186699391E-2</v>
      </c>
      <c r="S45">
        <f>L45^IF('Color Targets'!$AA$1=1,$N$1,INDEX(Calculation!$G$263:$G$372,MATCH(L45,Calculation!$H$263:$H$372)))</f>
        <v>0.20921506678313687</v>
      </c>
      <c r="T45">
        <f>M45^IF('Color Targets'!$AA$1=1,$N$1,INDEX(Calculation!$G$263:$G$372,MATCH(M45,Calculation!$H$263:$H$372)))</f>
        <v>0.19618172051271698</v>
      </c>
      <c r="U45">
        <f>N45^IF('Color Targets'!$AA$1=1,$N$1,INDEX(Calculation!$G$263:$G$372,MATCH(N45,Calculation!$H$263:$H$372)))</f>
        <v>2.6174108211637095E-2</v>
      </c>
      <c r="V45">
        <f>O45^IF('Color Targets'!$AA$1=1,$N$1,INDEX(Calculation!$G$274:$G$372,MATCH(O45,Calculation!$A$274:$A$372)))</f>
        <v>0.20973228705106237</v>
      </c>
      <c r="W45">
        <v>4.4505974414648465E-2</v>
      </c>
      <c r="X45">
        <v>0.14775542878291226</v>
      </c>
      <c r="Y45">
        <v>1.7087882641248917E-2</v>
      </c>
      <c r="Z45">
        <v>0.19658049008586223</v>
      </c>
      <c r="AA45">
        <v>0.16326345549658702</v>
      </c>
      <c r="AB45">
        <v>5.9975652298673424E-2</v>
      </c>
      <c r="AC45">
        <v>0.20973230802429108</v>
      </c>
      <c r="AD45">
        <f>W45/(W44+W45+W46)</f>
        <v>0.32972862484909765</v>
      </c>
      <c r="AE45">
        <f t="shared" ref="AE45" si="185">X45/(X44+X45+X46)</f>
        <v>0.52360914482042686</v>
      </c>
      <c r="AF45">
        <f t="shared" ref="AF45" si="186">Y45/(Y44+Y45+Y46)</f>
        <v>0.14650328602411286</v>
      </c>
      <c r="AG45">
        <f t="shared" ref="AG45" si="187">Z45/(Z44+Z45+Z46)</f>
        <v>0.46222610378484896</v>
      </c>
      <c r="AH45">
        <f t="shared" ref="AH45" si="188">AA45/(AA44+AA45+AA46)</f>
        <v>0.32882688026188567</v>
      </c>
      <c r="AI45">
        <f t="shared" ref="AI45" si="189">AB45/(AB44+AB45+AB46)</f>
        <v>0.20074140034405968</v>
      </c>
      <c r="AJ45">
        <f t="shared" ref="AJ45" si="190">AC45/(AC44+AC45+AC46)</f>
        <v>0.32902315240275215</v>
      </c>
    </row>
    <row r="46" spans="1:36">
      <c r="A46" t="s">
        <v>35</v>
      </c>
      <c r="B46">
        <v>44</v>
      </c>
      <c r="C46">
        <v>58</v>
      </c>
      <c r="D46">
        <v>88</v>
      </c>
      <c r="E46">
        <v>64</v>
      </c>
      <c r="F46">
        <v>123</v>
      </c>
      <c r="G46">
        <v>110</v>
      </c>
      <c r="H46">
        <v>126</v>
      </c>
      <c r="I46">
        <f>(B46-16)/219</f>
        <v>0.12785388127853881</v>
      </c>
      <c r="J46">
        <f t="shared" si="173"/>
        <v>0.19178082191780821</v>
      </c>
      <c r="K46">
        <f t="shared" si="174"/>
        <v>0.32876712328767121</v>
      </c>
      <c r="L46">
        <f t="shared" si="175"/>
        <v>0.21917808219178081</v>
      </c>
      <c r="M46">
        <f t="shared" si="176"/>
        <v>0.48858447488584472</v>
      </c>
      <c r="N46">
        <f t="shared" si="177"/>
        <v>0.42922374429223742</v>
      </c>
      <c r="O46">
        <f t="shared" si="178"/>
        <v>0.50228310502283102</v>
      </c>
      <c r="P46">
        <f>I46^IF('Color Targets'!$AA$1=1,$N$1,INDEX(Calculation!$G$263:$G$372,MATCH(I46,Calculation!$H$263:$H$372)))</f>
        <v>1.2339860186699391E-2</v>
      </c>
      <c r="Q46">
        <f>J46^IF('Color Targets'!$AA$1=1,$N$1,INDEX(Calculation!$G$263:$G$372,MATCH(J46,Calculation!$H$263:$H$372)))</f>
        <v>2.6174108211637095E-2</v>
      </c>
      <c r="R46">
        <f>K46^IF('Color Targets'!$AA$1=1,$N$1,INDEX(Calculation!$G$263:$G$372,MATCH(K46,Calculation!$H$263:$H$372)))</f>
        <v>7.8124705639605607E-2</v>
      </c>
      <c r="S46">
        <f>L46^IF('Color Targets'!$AA$1=1,$N$1,INDEX(Calculation!$G$263:$G$372,MATCH(L46,Calculation!$H$263:$H$372)))</f>
        <v>3.4160025303659018E-2</v>
      </c>
      <c r="T46">
        <f>M46^IF('Color Targets'!$AA$1=1,$N$1,INDEX(Calculation!$G$263:$G$372,MATCH(M46,Calculation!$H$263:$H$372)))</f>
        <v>0.19618172051271698</v>
      </c>
      <c r="U46">
        <f>N46^IF('Color Targets'!$AA$1=1,$N$1,INDEX(Calculation!$G$263:$G$372,MATCH(N46,Calculation!$H$263:$H$372)))</f>
        <v>0.14483933786446412</v>
      </c>
      <c r="V46">
        <f>O46^IF('Color Targets'!$AA$1=1,$N$1,INDEX(Calculation!$G$274:$G$372,MATCH(O46,Calculation!$A$274:$A$372)))</f>
        <v>0.20973228705106237</v>
      </c>
      <c r="W46">
        <v>1.6360202057444175E-2</v>
      </c>
      <c r="X46">
        <v>4.8762701569467132E-2</v>
      </c>
      <c r="Y46">
        <v>7.5951618318847031E-2</v>
      </c>
      <c r="Z46">
        <v>6.1444117521865044E-2</v>
      </c>
      <c r="AA46">
        <v>0.21061597141547053</v>
      </c>
      <c r="AB46">
        <v>0.14356147019418469</v>
      </c>
      <c r="AC46">
        <v>0.22836280610980825</v>
      </c>
      <c r="AD46">
        <f>W45</f>
        <v>4.4505974414648465E-2</v>
      </c>
      <c r="AE46">
        <f t="shared" ref="AE46" si="191">X45</f>
        <v>0.14775542878291226</v>
      </c>
      <c r="AF46">
        <f t="shared" ref="AF46" si="192">Y45</f>
        <v>1.7087882641248917E-2</v>
      </c>
      <c r="AG46">
        <f t="shared" ref="AG46" si="193">Z45</f>
        <v>0.19658049008586223</v>
      </c>
      <c r="AH46">
        <f t="shared" ref="AH46" si="194">AA45</f>
        <v>0.16326345549658702</v>
      </c>
      <c r="AI46">
        <f t="shared" ref="AI46" si="195">AB45</f>
        <v>5.9975652298673424E-2</v>
      </c>
      <c r="AJ46">
        <f t="shared" ref="AJ46" si="196">AC45</f>
        <v>0.20973230802429108</v>
      </c>
    </row>
    <row r="48" spans="1:36">
      <c r="A48" t="s">
        <v>71</v>
      </c>
    </row>
    <row r="49" spans="1:116">
      <c r="A49" t="s">
        <v>33</v>
      </c>
      <c r="B49">
        <v>104</v>
      </c>
      <c r="C49">
        <v>75</v>
      </c>
      <c r="D49">
        <v>47</v>
      </c>
      <c r="E49">
        <v>123</v>
      </c>
      <c r="F49">
        <v>88</v>
      </c>
      <c r="G49">
        <v>97</v>
      </c>
      <c r="H49">
        <v>126</v>
      </c>
      <c r="I49">
        <f>(B49-16)/219</f>
        <v>0.40182648401826482</v>
      </c>
      <c r="J49">
        <f t="shared" ref="J49:J51" si="197">(C49-16)/219</f>
        <v>0.26940639269406391</v>
      </c>
      <c r="K49">
        <f t="shared" ref="K49:K51" si="198">(D49-16)/219</f>
        <v>0.14155251141552511</v>
      </c>
      <c r="L49">
        <f t="shared" ref="L49:L51" si="199">(E49-16)/219</f>
        <v>0.48858447488584472</v>
      </c>
      <c r="M49">
        <f t="shared" ref="M49:M51" si="200">(F49-16)/219</f>
        <v>0.32876712328767121</v>
      </c>
      <c r="N49">
        <f t="shared" ref="N49:N51" si="201">(G49-16)/219</f>
        <v>0.36986301369863012</v>
      </c>
      <c r="O49">
        <f t="shared" ref="O49:O51" si="202">(H49-16)/219</f>
        <v>0.50228310502283102</v>
      </c>
      <c r="P49">
        <f>I49^IF('Color Targets'!$AA$1=1,$N$1,INDEX(Calculation!$G$263:$G$372,MATCH(I49,Calculation!$H$263:$H$372)))</f>
        <v>0.12416881609203931</v>
      </c>
      <c r="Q49">
        <f>J49^IF('Color Targets'!$AA$1=1,$N$1,INDEX(Calculation!$G$263:$G$372,MATCH(J49,Calculation!$H$263:$H$372)))</f>
        <v>5.1306979924389706E-2</v>
      </c>
      <c r="R49">
        <f>K49^IF('Color Targets'!$AA$1=1,$N$1,INDEX(Calculation!$G$263:$G$372,MATCH(K49,Calculation!$H$263:$H$372)))</f>
        <v>1.5337708207145044E-2</v>
      </c>
      <c r="S49">
        <f>L49^IF('Color Targets'!$AA$1=1,$N$1,INDEX(Calculation!$G$263:$G$372,MATCH(L49,Calculation!$H$263:$H$372)))</f>
        <v>0.19618172051271698</v>
      </c>
      <c r="T49">
        <f>M49^IF('Color Targets'!$AA$1=1,$N$1,INDEX(Calculation!$G$263:$G$372,MATCH(M49,Calculation!$H$263:$H$372)))</f>
        <v>7.8124705639605607E-2</v>
      </c>
      <c r="U49">
        <f>N49^IF('Color Targets'!$AA$1=1,$N$1,INDEX(Calculation!$G$263:$G$372,MATCH(N49,Calculation!$H$263:$H$372)))</f>
        <v>0.10256449085732022</v>
      </c>
      <c r="V49">
        <f>O49^IF('Color Targets'!$AA$1=1,$N$1,INDEX(Calculation!$G$274:$G$372,MATCH(O49,Calculation!$A$274:$A$372)))</f>
        <v>0.20973228705106237</v>
      </c>
      <c r="W49">
        <f t="array" ref="W49:W51">MMULT($B$3:$D$5,P49:P51)</f>
        <v>6.3658617686850896E-2</v>
      </c>
      <c r="X49">
        <f t="array" ref="X49:X51">MMULT($B$3:$D$5,Q49:Q51)</f>
        <v>9.7519849981036161E-2</v>
      </c>
      <c r="Y49">
        <f t="array" ref="Y49:Y51">MMULT($B$3:$D$5,R49:R51)</f>
        <v>1.9927891922942649E-2</v>
      </c>
      <c r="Z49">
        <f t="array" ref="Z49:Z51">MMULT($B$3:$D$5,S49:S51)</f>
        <v>0.16428156498413804</v>
      </c>
      <c r="AA49">
        <f t="array" ref="AA49:AA51">MMULT($B$3:$D$5,T49:T51)</f>
        <v>0.13318294103767944</v>
      </c>
      <c r="AB49">
        <f t="array" ref="AB49:AB51">MMULT($B$3:$D$5,U49:U51)</f>
        <v>7.5612826772270339E-2</v>
      </c>
      <c r="AC49">
        <f t="array" ref="AC49:AC51">MMULT($B$3:$D$5,V49:V51)</f>
        <v>0.19934424687342328</v>
      </c>
      <c r="AD49">
        <f>W49/(W49+W50+W51)</f>
        <v>0.47009868567182894</v>
      </c>
      <c r="AE49">
        <f t="shared" ref="AE49" si="203">X49/(X49+X50+X51)</f>
        <v>0.30623189717482047</v>
      </c>
      <c r="AF49">
        <f t="shared" ref="AF49" si="204">Y49/(Y49+Y50+Y51)</f>
        <v>0.24219125710469483</v>
      </c>
      <c r="AG49">
        <f t="shared" ref="AG49" si="205">Z49/(Z49+Z50+Z51)</f>
        <v>0.3664000695441581</v>
      </c>
      <c r="AH49">
        <f t="shared" ref="AH49" si="206">AA49/(AA49+AA50+AA51)</f>
        <v>0.2665007286908605</v>
      </c>
      <c r="AI49">
        <f t="shared" ref="AI49" si="207">AB49/(AB49+AB50+AB51)</f>
        <v>0.31661172002275773</v>
      </c>
      <c r="AJ49">
        <f t="shared" ref="AJ49" si="208">AC49/(AC49+AC50+AC51)</f>
        <v>0.31272660439158345</v>
      </c>
    </row>
    <row r="50" spans="1:116">
      <c r="A50" t="s">
        <v>34</v>
      </c>
      <c r="B50">
        <v>55</v>
      </c>
      <c r="C50">
        <v>121</v>
      </c>
      <c r="D50">
        <v>47</v>
      </c>
      <c r="E50">
        <v>123</v>
      </c>
      <c r="F50">
        <v>121</v>
      </c>
      <c r="G50">
        <v>69</v>
      </c>
      <c r="H50">
        <v>126</v>
      </c>
      <c r="I50">
        <f>(B50-16)/219</f>
        <v>0.17808219178082191</v>
      </c>
      <c r="J50">
        <f t="shared" si="197"/>
        <v>0.47945205479452052</v>
      </c>
      <c r="K50">
        <f t="shared" si="198"/>
        <v>0.14155251141552511</v>
      </c>
      <c r="L50">
        <f t="shared" si="199"/>
        <v>0.48858447488584472</v>
      </c>
      <c r="M50">
        <f t="shared" si="200"/>
        <v>0.47945205479452052</v>
      </c>
      <c r="N50">
        <f t="shared" si="201"/>
        <v>0.24200913242009131</v>
      </c>
      <c r="O50">
        <f t="shared" si="202"/>
        <v>0.50228310502283102</v>
      </c>
      <c r="P50">
        <f>I50^IF('Color Targets'!$AA$1=1,$N$1,INDEX(Calculation!$G$263:$G$372,MATCH(I50,Calculation!$H$263:$H$372)))</f>
        <v>2.3130260664909384E-2</v>
      </c>
      <c r="Q50">
        <f>J50^IF('Color Targets'!$AA$1=1,$N$1,INDEX(Calculation!$G$263:$G$372,MATCH(J50,Calculation!$H$263:$H$372)))</f>
        <v>0.18765307456634558</v>
      </c>
      <c r="R50">
        <f>K50^IF('Color Targets'!$AA$1=1,$N$1,INDEX(Calculation!$G$263:$G$372,MATCH(K50,Calculation!$H$263:$H$372)))</f>
        <v>1.5337708207145044E-2</v>
      </c>
      <c r="S50">
        <f>L50^IF('Color Targets'!$AA$1=1,$N$1,INDEX(Calculation!$G$263:$G$372,MATCH(L50,Calculation!$H$263:$H$372)))</f>
        <v>0.19618172051271698</v>
      </c>
      <c r="T50">
        <f>M50^IF('Color Targets'!$AA$1=1,$N$1,INDEX(Calculation!$G$263:$G$372,MATCH(M50,Calculation!$H$263:$H$372)))</f>
        <v>0.18765307456634558</v>
      </c>
      <c r="U50">
        <f>N50^IF('Color Targets'!$AA$1=1,$N$1,INDEX(Calculation!$G$263:$G$372,MATCH(N50,Calculation!$H$263:$H$372)))</f>
        <v>4.1398085012838939E-2</v>
      </c>
      <c r="V50">
        <f>O50^IF('Color Targets'!$AA$1=1,$N$1,INDEX(Calculation!$G$274:$G$372,MATCH(O50,Calculation!$A$274:$A$372)))</f>
        <v>0.20973228705106237</v>
      </c>
      <c r="W50">
        <v>4.4618425572433909E-2</v>
      </c>
      <c r="X50">
        <v>0.14881519459969064</v>
      </c>
      <c r="Y50">
        <v>1.7477653902234862E-2</v>
      </c>
      <c r="Z50">
        <v>0.1873084301662554</v>
      </c>
      <c r="AA50">
        <v>0.16435937747973337</v>
      </c>
      <c r="AB50">
        <v>5.8821211407995663E-2</v>
      </c>
      <c r="AC50">
        <v>0.20973230802429108</v>
      </c>
      <c r="AD50">
        <f>W50/(W49+W50+W51)</f>
        <v>0.32949291047329859</v>
      </c>
      <c r="AE50">
        <f t="shared" ref="AE50" si="209">X50/(X49+X50+X51)</f>
        <v>0.46730957214931473</v>
      </c>
      <c r="AF50">
        <f t="shared" ref="AF50" si="210">Y50/(Y49+Y50+Y51)</f>
        <v>0.21241258163136306</v>
      </c>
      <c r="AG50">
        <f t="shared" ref="AG50" si="211">Z50/(Z49+Z50+Z51)</f>
        <v>0.41775729276592605</v>
      </c>
      <c r="AH50">
        <f t="shared" ref="AH50" si="212">AA50/(AA49+AA50+AA51)</f>
        <v>0.32888516745649088</v>
      </c>
      <c r="AI50">
        <f t="shared" ref="AI50" si="213">AB50/(AB49+AB50+AB51)</f>
        <v>0.24630060417920518</v>
      </c>
      <c r="AJ50">
        <f t="shared" ref="AJ50" si="214">AC50/(AC49+AC50+AC51)</f>
        <v>0.32902315240275215</v>
      </c>
    </row>
    <row r="51" spans="1:116">
      <c r="A51" t="s">
        <v>35</v>
      </c>
      <c r="B51">
        <v>55</v>
      </c>
      <c r="C51">
        <v>75</v>
      </c>
      <c r="D51">
        <v>71</v>
      </c>
      <c r="E51">
        <v>86</v>
      </c>
      <c r="F51">
        <v>121</v>
      </c>
      <c r="G51">
        <v>97</v>
      </c>
      <c r="H51">
        <v>126</v>
      </c>
      <c r="I51">
        <f>(B51-16)/219</f>
        <v>0.17808219178082191</v>
      </c>
      <c r="J51">
        <f t="shared" si="197"/>
        <v>0.26940639269406391</v>
      </c>
      <c r="K51">
        <f t="shared" si="198"/>
        <v>0.25114155251141551</v>
      </c>
      <c r="L51">
        <f t="shared" si="199"/>
        <v>0.31963470319634701</v>
      </c>
      <c r="M51">
        <f t="shared" si="200"/>
        <v>0.47945205479452052</v>
      </c>
      <c r="N51">
        <f t="shared" si="201"/>
        <v>0.36986301369863012</v>
      </c>
      <c r="O51">
        <f t="shared" si="202"/>
        <v>0.50228310502283102</v>
      </c>
      <c r="P51">
        <f>I51^IF('Color Targets'!$AA$1=1,$N$1,INDEX(Calculation!$G$263:$G$372,MATCH(I51,Calculation!$H$263:$H$372)))</f>
        <v>2.3130260664909384E-2</v>
      </c>
      <c r="Q51">
        <f>J51^IF('Color Targets'!$AA$1=1,$N$1,INDEX(Calculation!$G$263:$G$372,MATCH(J51,Calculation!$H$263:$H$372)))</f>
        <v>5.1306979924389706E-2</v>
      </c>
      <c r="R51">
        <f>K51^IF('Color Targets'!$AA$1=1,$N$1,INDEX(Calculation!$G$263:$G$372,MATCH(K51,Calculation!$H$263:$H$372)))</f>
        <v>4.498709042147131E-2</v>
      </c>
      <c r="S51">
        <f>L51^IF('Color Targets'!$AA$1=1,$N$1,INDEX(Calculation!$G$263:$G$372,MATCH(L51,Calculation!$H$263:$H$372)))</f>
        <v>7.3240120725621305E-2</v>
      </c>
      <c r="T51">
        <f>M51^IF('Color Targets'!$AA$1=1,$N$1,INDEX(Calculation!$G$263:$G$372,MATCH(M51,Calculation!$H$263:$H$372)))</f>
        <v>0.18765307456634558</v>
      </c>
      <c r="U51">
        <f>N51^IF('Color Targets'!$AA$1=1,$N$1,INDEX(Calculation!$G$263:$G$372,MATCH(N51,Calculation!$H$263:$H$372)))</f>
        <v>0.10256449085732022</v>
      </c>
      <c r="V51">
        <f>O51^IF('Color Targets'!$AA$1=1,$N$1,INDEX(Calculation!$G$274:$G$372,MATCH(O51,Calculation!$A$274:$A$372)))</f>
        <v>0.20973228705106237</v>
      </c>
      <c r="W51">
        <v>2.7138391046545869E-2</v>
      </c>
      <c r="X51">
        <v>7.2115942663637245E-2</v>
      </c>
      <c r="Y51">
        <v>4.4876086307927068E-2</v>
      </c>
      <c r="Z51">
        <v>9.6776636407625488E-2</v>
      </c>
      <c r="AA51">
        <v>0.20220468664808136</v>
      </c>
      <c r="AB51">
        <v>0.10438474833476055</v>
      </c>
      <c r="AC51">
        <v>0.22836280610980825</v>
      </c>
      <c r="AD51">
        <f>W50</f>
        <v>4.4618425572433909E-2</v>
      </c>
      <c r="AE51">
        <f t="shared" ref="AE51" si="215">X50</f>
        <v>0.14881519459969064</v>
      </c>
      <c r="AF51">
        <f t="shared" ref="AF51" si="216">Y50</f>
        <v>1.7477653902234862E-2</v>
      </c>
      <c r="AG51">
        <f t="shared" ref="AG51" si="217">Z50</f>
        <v>0.1873084301662554</v>
      </c>
      <c r="AH51">
        <f t="shared" ref="AH51" si="218">AA50</f>
        <v>0.16435937747973337</v>
      </c>
      <c r="AI51">
        <f t="shared" ref="AI51" si="219">AB50</f>
        <v>5.8821211407995663E-2</v>
      </c>
      <c r="AJ51">
        <f t="shared" ref="AJ51" si="220">AC50</f>
        <v>0.20973230802429108</v>
      </c>
    </row>
    <row r="53" spans="1:116">
      <c r="A53" t="s">
        <v>171</v>
      </c>
    </row>
    <row r="55" spans="1:116" s="53" customFormat="1">
      <c r="A55" s="53" t="s">
        <v>33</v>
      </c>
      <c r="B55" s="53">
        <v>116</v>
      </c>
      <c r="C55" s="53">
        <v>187</v>
      </c>
      <c r="D55" s="53">
        <v>95</v>
      </c>
      <c r="E55" s="53">
        <v>94</v>
      </c>
      <c r="F55" s="53">
        <v>127</v>
      </c>
      <c r="G55" s="53">
        <v>96</v>
      </c>
      <c r="H55" s="53">
        <v>208</v>
      </c>
      <c r="I55" s="53">
        <v>77</v>
      </c>
      <c r="J55" s="53">
        <v>186</v>
      </c>
      <c r="K55" s="53">
        <v>97</v>
      </c>
      <c r="L55" s="53">
        <v>152</v>
      </c>
      <c r="M55" s="53">
        <v>213</v>
      </c>
      <c r="N55">
        <f>(B55-16)/219</f>
        <v>0.45662100456621002</v>
      </c>
      <c r="O55">
        <f t="shared" ref="O55:Y55" si="221">(C55-16)/219</f>
        <v>0.78082191780821919</v>
      </c>
      <c r="P55">
        <f t="shared" si="221"/>
        <v>0.36073059360730592</v>
      </c>
      <c r="Q55">
        <f t="shared" si="221"/>
        <v>0.35616438356164382</v>
      </c>
      <c r="R55">
        <f t="shared" si="221"/>
        <v>0.50684931506849318</v>
      </c>
      <c r="S55">
        <f t="shared" si="221"/>
        <v>0.36529680365296802</v>
      </c>
      <c r="T55">
        <f t="shared" si="221"/>
        <v>0.87671232876712324</v>
      </c>
      <c r="U55">
        <f t="shared" si="221"/>
        <v>0.27853881278538811</v>
      </c>
      <c r="V55">
        <f t="shared" si="221"/>
        <v>0.77625570776255703</v>
      </c>
      <c r="W55">
        <f t="shared" si="221"/>
        <v>0.36986301369863012</v>
      </c>
      <c r="X55">
        <f t="shared" si="221"/>
        <v>0.62100456621004563</v>
      </c>
      <c r="Y55">
        <f t="shared" si="221"/>
        <v>0.8995433789954338</v>
      </c>
      <c r="Z55">
        <f>N55^IF('Color Targets'!$AA$1=1,$N$1,INDEX(Calculation!$G$263:$G$372,MATCH(N55,Calculation!$H$263:$H$372)))</f>
        <v>0.16737899968597358</v>
      </c>
      <c r="AA55">
        <f>O55^IF('Color Targets'!$AA$1=1,$N$1,INDEX(Calculation!$G$263:$G$372,MATCH(O55,Calculation!$H$263:$H$372)))</f>
        <v>0.57373309917142568</v>
      </c>
      <c r="AB55">
        <f>P55^IF('Color Targets'!$AA$1=1,$N$1,INDEX(Calculation!$G$263:$G$372,MATCH(P55,Calculation!$H$263:$H$372)))</f>
        <v>9.678401332274475E-2</v>
      </c>
      <c r="AC55">
        <f>Q55^IF('Color Targets'!$AA$1=1,$N$1,INDEX(Calculation!$G$263:$G$372,MATCH(Q55,Calculation!$H$263:$H$372)))</f>
        <v>9.4000986548593776E-2</v>
      </c>
      <c r="AD55">
        <f>R55^IF('Color Targets'!$AA$1=1,$N$1,INDEX(Calculation!$G$263:$G$372,MATCH(R55,Calculation!$H$263:$H$372)))</f>
        <v>0.21383425269453077</v>
      </c>
      <c r="AE55">
        <f>S55^IF('Color Targets'!$AA$1=1,$N$1,INDEX(Calculation!$G$263:$G$372,MATCH(S55,Calculation!$H$263:$H$372)))</f>
        <v>9.9612869713705532E-2</v>
      </c>
      <c r="AF55">
        <f>T55^IF('Color Targets'!$AA$1=1,$N$1,INDEX(Calculation!$G$263:$G$372,MATCH(T55,Calculation!$H$263:$H$372)))</f>
        <v>0.74271928084340866</v>
      </c>
      <c r="AG55">
        <f>U55^IF('Color Targets'!$AA$1=1,$N$1,INDEX(Calculation!$G$263:$G$372,MATCH(U55,Calculation!$H$263:$H$372)))</f>
        <v>5.5330045958867743E-2</v>
      </c>
      <c r="AH55">
        <f>V55^IF('Color Targets'!$AA$1=1,$N$1,INDEX(Calculation!$G$263:$G$372,MATCH(V55,Calculation!$H$263:$H$372)))</f>
        <v>0.56576232785746428</v>
      </c>
      <c r="AI55">
        <f>W55^IF('Color Targets'!$AA$1=1,$N$1,INDEX(Calculation!$G$263:$G$372,MATCH(W55,Calculation!$H$263:$H$372)))</f>
        <v>0.10256449085732022</v>
      </c>
      <c r="AJ55">
        <f>X55^IF('Color Targets'!$AA$1=1,$N$1,INDEX(Calculation!$G$263:$G$372,MATCH(X55,Calculation!$H$263:$H$372)))</f>
        <v>0.33573769210092241</v>
      </c>
      <c r="AK55">
        <f>Y55^IF('Color Targets'!$AA$1=1,$N$1,INDEX(Calculation!$G$263:$G$372,MATCH(Y55,Calculation!$H$263:$H$372)))</f>
        <v>0.78650251753412015</v>
      </c>
      <c r="AL55">
        <f>Z55^IF('Color Targets'!$AA$1=1,$N$1,INDEX(Calculation!$G$263:$G$372,MATCH(Z55,Calculation!$H$263:$H$372)))</f>
        <v>2.020309638020051E-2</v>
      </c>
      <c r="AM55">
        <f t="array" ref="AM55:AM57">MMULT($B$3:$D$5,Z55:Z57)</f>
        <v>0.10570765178965069</v>
      </c>
      <c r="AN55">
        <f t="array" ref="AN55:AN57">MMULT($B$3:$D$5,AA55:AA57)</f>
        <v>0.37631308973578276</v>
      </c>
      <c r="AO55">
        <f t="array" ref="AO55:AO57">MMULT($B$3:$D$5,AB55:AB57)</f>
        <v>0.1645641101412148</v>
      </c>
      <c r="AP55">
        <f t="array" ref="AP55:AP57">MMULT($B$3:$D$5,AC55:AC57)</f>
        <v>9.8337153154356843E-2</v>
      </c>
      <c r="AQ55">
        <f t="array" ref="AQ55:AQ57">MMULT($B$3:$D$5,AD55:AD57)</f>
        <v>0.23890929922819834</v>
      </c>
      <c r="AR55">
        <f t="array" ref="AR55:AR57">MMULT($B$3:$D$5,AE55:AE57)</f>
        <v>0.29400258781468619</v>
      </c>
      <c r="AS55">
        <f t="array" ref="AS55:AS57">MMULT($B$3:$D$5,AF55:AF57)</f>
        <v>0.38024045331612633</v>
      </c>
      <c r="AT55">
        <f t="array" ref="AT55:AT57">MMULT($B$3:$D$5,AG55:AG57)</f>
        <v>0.12763059842936422</v>
      </c>
      <c r="AU55">
        <f t="array" ref="AU55:AU57">MMULT($B$3:$D$5,AH55:AH57)</f>
        <v>0.28141575872301844</v>
      </c>
      <c r="AV55">
        <f t="array" ref="AV55:AV57">MMULT($B$3:$D$5,AI55:AI57)</f>
        <v>8.1329714411322876E-2</v>
      </c>
      <c r="AW55">
        <f t="array" ref="AW55:AW57">MMULT($B$3:$D$5,AJ55:AJ57)</f>
        <v>0.32727661290860105</v>
      </c>
      <c r="AX55">
        <f t="array" ref="AX55:AX57">MMULT($B$3:$D$5,AK55:AK57)</f>
        <v>0.45249333337873726</v>
      </c>
      <c r="AY55">
        <f>AM55/(AM55+AM56+AM57)</f>
        <v>0.40321384117860237</v>
      </c>
      <c r="AZ55">
        <f t="shared" ref="AZ55:BJ55" si="222">AN55/(AN55+AN56+AN57)</f>
        <v>0.39039074572284888</v>
      </c>
      <c r="BA55">
        <f t="shared" si="222"/>
        <v>0.24573824630958993</v>
      </c>
      <c r="BB55">
        <f t="shared" si="222"/>
        <v>0.34001314622069628</v>
      </c>
      <c r="BC55">
        <f t="shared" si="222"/>
        <v>0.26747953736837393</v>
      </c>
      <c r="BD55">
        <f t="shared" si="222"/>
        <v>0.25592802340293064</v>
      </c>
      <c r="BE55">
        <f t="shared" si="222"/>
        <v>0.51215226408896475</v>
      </c>
      <c r="BF55">
        <f t="shared" si="222"/>
        <v>0.20617889679166562</v>
      </c>
      <c r="BG55">
        <f t="shared" si="222"/>
        <v>0.4754305760289298</v>
      </c>
      <c r="BH55">
        <f t="shared" si="222"/>
        <v>0.2936818418365999</v>
      </c>
      <c r="BI55">
        <f t="shared" si="222"/>
        <v>0.37467417619803506</v>
      </c>
      <c r="BJ55">
        <f t="shared" si="222"/>
        <v>0.47781697540671042</v>
      </c>
    </row>
    <row r="56" spans="1:116" s="53" customFormat="1">
      <c r="A56" s="53" t="s">
        <v>34</v>
      </c>
      <c r="B56" s="53">
        <v>87</v>
      </c>
      <c r="C56" s="53">
        <v>142</v>
      </c>
      <c r="D56" s="53">
        <v>121</v>
      </c>
      <c r="E56" s="53">
        <v>109</v>
      </c>
      <c r="F56" s="53">
        <v>126</v>
      </c>
      <c r="G56" s="53">
        <v>178</v>
      </c>
      <c r="H56" s="53">
        <v>122</v>
      </c>
      <c r="I56" s="53">
        <v>95</v>
      </c>
      <c r="J56" s="53">
        <v>88</v>
      </c>
      <c r="K56" s="53">
        <v>69</v>
      </c>
      <c r="L56" s="53">
        <v>178</v>
      </c>
      <c r="M56" s="53">
        <v>154</v>
      </c>
      <c r="N56">
        <f t="shared" ref="N56:N57" si="223">(B56-16)/219</f>
        <v>0.32420091324200911</v>
      </c>
      <c r="O56">
        <f t="shared" ref="O56:O57" si="224">(C56-16)/219</f>
        <v>0.57534246575342463</v>
      </c>
      <c r="P56">
        <f t="shared" ref="P56:P57" si="225">(D56-16)/219</f>
        <v>0.47945205479452052</v>
      </c>
      <c r="Q56">
        <f t="shared" ref="Q56:Q57" si="226">(E56-16)/219</f>
        <v>0.42465753424657532</v>
      </c>
      <c r="R56">
        <f t="shared" ref="R56:R57" si="227">(F56-16)/219</f>
        <v>0.50228310502283102</v>
      </c>
      <c r="S56">
        <f t="shared" ref="S56:S57" si="228">(G56-16)/219</f>
        <v>0.73972602739726023</v>
      </c>
      <c r="T56">
        <f t="shared" ref="T56:T57" si="229">(H56-16)/219</f>
        <v>0.48401826484018262</v>
      </c>
      <c r="U56">
        <f t="shared" ref="U56:U57" si="230">(I56-16)/219</f>
        <v>0.36073059360730592</v>
      </c>
      <c r="V56">
        <f t="shared" ref="V56:V57" si="231">(J56-16)/219</f>
        <v>0.32876712328767121</v>
      </c>
      <c r="W56">
        <f t="shared" ref="W56:W57" si="232">(K56-16)/219</f>
        <v>0.24200913242009131</v>
      </c>
      <c r="X56">
        <f t="shared" ref="X56:X57" si="233">(L56-16)/219</f>
        <v>0.73972602739726023</v>
      </c>
      <c r="Y56">
        <f t="shared" ref="Y56:Y57" si="234">(M56-16)/219</f>
        <v>0.63013698630136983</v>
      </c>
      <c r="Z56">
        <f>N56^IF('Color Targets'!$AA$1=1,$N$1,INDEX(Calculation!$G$263:$G$372,MATCH(N56,Calculation!$H$263:$H$372)))</f>
        <v>7.5660194969986952E-2</v>
      </c>
      <c r="AA56">
        <f>O56^IF('Color Targets'!$AA$1=1,$N$1,INDEX(Calculation!$G$263:$G$372,MATCH(O56,Calculation!$H$263:$H$372)))</f>
        <v>0.28270760579391102</v>
      </c>
      <c r="AB56">
        <f>P56^IF('Color Targets'!$AA$1=1,$N$1,INDEX(Calculation!$G$263:$G$372,MATCH(P56,Calculation!$H$263:$H$372)))</f>
        <v>0.18765307456634558</v>
      </c>
      <c r="AC56">
        <f>Q56^IF('Color Targets'!$AA$1=1,$N$1,INDEX(Calculation!$G$263:$G$372,MATCH(Q56,Calculation!$H$263:$H$372)))</f>
        <v>0.14134339049158876</v>
      </c>
      <c r="AD56">
        <f>R56^IF('Color Targets'!$AA$1=1,$N$1,INDEX(Calculation!$G$263:$G$372,MATCH(R56,Calculation!$H$263:$H$372)))</f>
        <v>0.20921506678313687</v>
      </c>
      <c r="AE56">
        <f>S56^IF('Color Targets'!$AA$1=1,$N$1,INDEX(Calculation!$G$263:$G$372,MATCH(S56,Calculation!$H$263:$H$372)))</f>
        <v>0.50467886781039173</v>
      </c>
      <c r="AF56">
        <f>T56^IF('Color Targets'!$AA$1=1,$N$1,INDEX(Calculation!$G$263:$G$372,MATCH(T56,Calculation!$H$263:$H$372)))</f>
        <v>0.19203725694641388</v>
      </c>
      <c r="AG56">
        <f>U56^IF('Color Targets'!$AA$1=1,$N$1,INDEX(Calculation!$G$263:$G$372,MATCH(U56,Calculation!$H$263:$H$372)))</f>
        <v>9.678401332274475E-2</v>
      </c>
      <c r="AH56">
        <f>V56^IF('Color Targets'!$AA$1=1,$N$1,INDEX(Calculation!$G$263:$G$372,MATCH(V56,Calculation!$H$263:$H$372)))</f>
        <v>7.8124705639605607E-2</v>
      </c>
      <c r="AI56">
        <f>W56^IF('Color Targets'!$AA$1=1,$N$1,INDEX(Calculation!$G$263:$G$372,MATCH(W56,Calculation!$H$263:$H$372)))</f>
        <v>4.1398085012838939E-2</v>
      </c>
      <c r="AJ56">
        <f>X56^IF('Color Targets'!$AA$1=1,$N$1,INDEX(Calculation!$G$263:$G$372,MATCH(X56,Calculation!$H$263:$H$372)))</f>
        <v>0.50467886781039173</v>
      </c>
      <c r="AK56">
        <f>Y56^IF('Color Targets'!$AA$1=1,$N$1,INDEX(Calculation!$G$263:$G$372,MATCH(Y56,Calculation!$H$263:$H$372)))</f>
        <v>0.34720395115563996</v>
      </c>
      <c r="AL56">
        <f>Z56^IF('Color Targets'!$AA$1=1,$N$1,INDEX(Calculation!$G$263:$G$372,MATCH(Z56,Calculation!$H$263:$H$372)))</f>
        <v>5.7244651028964385E-3</v>
      </c>
      <c r="AM56" s="53">
        <v>9.3552266027916331E-2</v>
      </c>
      <c r="AN56" s="53">
        <v>0.33962993545525066</v>
      </c>
      <c r="AO56" s="53">
        <v>0.17780171384872101</v>
      </c>
      <c r="AP56" s="53">
        <v>0.12468342960299562</v>
      </c>
      <c r="AQ56" s="53">
        <v>0.22545804013241325</v>
      </c>
      <c r="AR56" s="53">
        <v>0.41108936883738545</v>
      </c>
      <c r="AS56" s="53">
        <v>0.29738540978418271</v>
      </c>
      <c r="AT56" s="53">
        <v>0.10906318811781189</v>
      </c>
      <c r="AU56" s="53">
        <v>0.18424454535393442</v>
      </c>
      <c r="AV56" s="53">
        <v>6.1107966463616679E-2</v>
      </c>
      <c r="AW56" s="53">
        <v>0.43565985193703738</v>
      </c>
      <c r="AX56" s="53">
        <v>0.41714884143767178</v>
      </c>
      <c r="AY56">
        <f>AM56/(AM55+AM56+AM57)</f>
        <v>0.3568480417211552</v>
      </c>
      <c r="AZ56">
        <f t="shared" ref="AZ56:BJ56" si="235">AN56/(AN55+AN56+AN57)</f>
        <v>0.35233529576468203</v>
      </c>
      <c r="BA56">
        <f t="shared" si="235"/>
        <v>0.26550553042538205</v>
      </c>
      <c r="BB56">
        <f t="shared" si="235"/>
        <v>0.43110872972249525</v>
      </c>
      <c r="BC56">
        <f t="shared" si="235"/>
        <v>0.25241969427484034</v>
      </c>
      <c r="BD56">
        <f t="shared" si="235"/>
        <v>0.35785157671749884</v>
      </c>
      <c r="BE56">
        <f t="shared" si="235"/>
        <v>0.400553411925817</v>
      </c>
      <c r="BF56">
        <f t="shared" si="235"/>
        <v>0.17618445798604693</v>
      </c>
      <c r="BG56">
        <f t="shared" si="235"/>
        <v>0.31126718249643082</v>
      </c>
      <c r="BH56">
        <f t="shared" si="235"/>
        <v>0.22066104955393287</v>
      </c>
      <c r="BI56">
        <f t="shared" si="235"/>
        <v>0.49875392768334781</v>
      </c>
      <c r="BJ56">
        <f t="shared" si="235"/>
        <v>0.4404944404856681</v>
      </c>
    </row>
    <row r="57" spans="1:116" s="53" customFormat="1">
      <c r="A57" s="53" t="s">
        <v>35</v>
      </c>
      <c r="B57" s="53">
        <v>76</v>
      </c>
      <c r="C57" s="53">
        <v>127</v>
      </c>
      <c r="D57" s="53">
        <v>149</v>
      </c>
      <c r="E57" s="53">
        <v>74</v>
      </c>
      <c r="F57" s="53">
        <v>166</v>
      </c>
      <c r="G57" s="53">
        <v>163</v>
      </c>
      <c r="H57" s="53">
        <v>60</v>
      </c>
      <c r="I57" s="53">
        <v>161</v>
      </c>
      <c r="J57" s="53">
        <v>100</v>
      </c>
      <c r="K57" s="53">
        <v>107</v>
      </c>
      <c r="L57" s="53">
        <v>72</v>
      </c>
      <c r="M57" s="53">
        <v>54</v>
      </c>
      <c r="N57">
        <f t="shared" si="223"/>
        <v>0.27397260273972601</v>
      </c>
      <c r="O57">
        <f t="shared" si="224"/>
        <v>0.50684931506849318</v>
      </c>
      <c r="P57">
        <f t="shared" si="225"/>
        <v>0.60730593607305938</v>
      </c>
      <c r="Q57">
        <f t="shared" si="226"/>
        <v>0.26484018264840181</v>
      </c>
      <c r="R57">
        <f t="shared" si="227"/>
        <v>0.68493150684931503</v>
      </c>
      <c r="S57">
        <f t="shared" si="228"/>
        <v>0.67123287671232879</v>
      </c>
      <c r="T57">
        <f t="shared" si="229"/>
        <v>0.20091324200913241</v>
      </c>
      <c r="U57">
        <f t="shared" si="230"/>
        <v>0.66210045662100458</v>
      </c>
      <c r="V57">
        <f t="shared" si="231"/>
        <v>0.38356164383561642</v>
      </c>
      <c r="W57">
        <f t="shared" si="232"/>
        <v>0.41552511415525112</v>
      </c>
      <c r="X57">
        <f t="shared" si="233"/>
        <v>0.25570776255707761</v>
      </c>
      <c r="Y57">
        <f t="shared" si="234"/>
        <v>0.17351598173515981</v>
      </c>
      <c r="Z57">
        <f>N57^IF('Color Targets'!$AA$1=1,$N$1,INDEX(Calculation!$G$263:$G$372,MATCH(N57,Calculation!$H$263:$H$372)))</f>
        <v>5.3297317359004337E-2</v>
      </c>
      <c r="AA57">
        <f>O57^IF('Color Targets'!$AA$1=1,$N$1,INDEX(Calculation!$G$263:$G$372,MATCH(O57,Calculation!$H$263:$H$372)))</f>
        <v>0.21383425269453077</v>
      </c>
      <c r="AB57">
        <f>P57^IF('Color Targets'!$AA$1=1,$N$1,INDEX(Calculation!$G$263:$G$372,MATCH(P57,Calculation!$H$263:$H$372)))</f>
        <v>0.31891746378729707</v>
      </c>
      <c r="AC57">
        <f>Q57^IF('Color Targets'!$AA$1=1,$N$1,INDEX(Calculation!$G$263:$G$372,MATCH(Q57,Calculation!$H$263:$H$372)))</f>
        <v>5.0016356429877597E-2</v>
      </c>
      <c r="AD57">
        <f>R57^IF('Color Targets'!$AA$1=1,$N$1,INDEX(Calculation!$G$263:$G$372,MATCH(R57,Calculation!$H$263:$H$372)))</f>
        <v>0.42065360872084939</v>
      </c>
      <c r="AE57">
        <f>S57^IF('Color Targets'!$AA$1=1,$N$1,INDEX(Calculation!$G$263:$G$372,MATCH(S57,Calculation!$H$263:$H$372)))</f>
        <v>0.40155467059146116</v>
      </c>
      <c r="AF57">
        <f>T57^IF('Color Targets'!$AA$1=1,$N$1,INDEX(Calculation!$G$263:$G$372,MATCH(T57,Calculation!$H$263:$H$372)))</f>
        <v>2.9002835526253927E-2</v>
      </c>
      <c r="AG57">
        <f>U57^IF('Color Targets'!$AA$1=1,$N$1,INDEX(Calculation!$G$263:$G$372,MATCH(U57,Calculation!$H$263:$H$372)))</f>
        <v>0.38906389655720114</v>
      </c>
      <c r="AH57">
        <f>V57^IF('Color Targets'!$AA$1=1,$N$1,INDEX(Calculation!$G$263:$G$372,MATCH(V57,Calculation!$H$263:$H$372)))</f>
        <v>0.11155074839238421</v>
      </c>
      <c r="AI57">
        <f>W57^IF('Color Targets'!$AA$1=1,$N$1,INDEX(Calculation!$G$263:$G$372,MATCH(W57,Calculation!$H$263:$H$372)))</f>
        <v>0.13424796928643026</v>
      </c>
      <c r="AJ57">
        <f>X57^IF('Color Targets'!$AA$1=1,$N$1,INDEX(Calculation!$G$263:$G$372,MATCH(X57,Calculation!$H$263:$H$372)))</f>
        <v>4.6211856051490349E-2</v>
      </c>
      <c r="AK57">
        <f>Y57^IF('Color Targets'!$AA$1=1,$N$1,INDEX(Calculation!$G$263:$G$372,MATCH(Y57,Calculation!$H$263:$H$372)))</f>
        <v>2.1855222150899366E-2</v>
      </c>
      <c r="AL57">
        <f>Z57^IF('Color Targets'!$AA$1=1,$N$1,INDEX(Calculation!$G$263:$G$372,MATCH(Z57,Calculation!$H$263:$H$372)))</f>
        <v>2.8406040376664251E-3</v>
      </c>
      <c r="AM57" s="53">
        <v>6.2902838006154316E-2</v>
      </c>
      <c r="AN57" s="53">
        <v>0.24799655037190693</v>
      </c>
      <c r="AO57" s="53">
        <v>0.32730653109756241</v>
      </c>
      <c r="AP57" s="53">
        <v>6.619515565567935E-2</v>
      </c>
      <c r="AQ57" s="53">
        <v>0.42881986134540534</v>
      </c>
      <c r="AR57" s="53">
        <v>0.44367863871102897</v>
      </c>
      <c r="AS57" s="53">
        <v>6.4810478546080103E-2</v>
      </c>
      <c r="AT57" s="53">
        <v>0.38233464175181286</v>
      </c>
      <c r="AU57" s="53">
        <v>0.12625736574051044</v>
      </c>
      <c r="AV57" s="53">
        <v>0.13449368778820539</v>
      </c>
      <c r="AW57" s="53">
        <v>0.11056011885170733</v>
      </c>
      <c r="AX57" s="53">
        <v>7.735920158630645E-2</v>
      </c>
      <c r="AY57">
        <f>AM56</f>
        <v>9.3552266027916331E-2</v>
      </c>
      <c r="AZ57">
        <f t="shared" ref="AZ57:BJ57" si="236">AN56</f>
        <v>0.33962993545525066</v>
      </c>
      <c r="BA57">
        <f t="shared" si="236"/>
        <v>0.17780171384872101</v>
      </c>
      <c r="BB57">
        <f t="shared" si="236"/>
        <v>0.12468342960299562</v>
      </c>
      <c r="BC57">
        <f t="shared" si="236"/>
        <v>0.22545804013241325</v>
      </c>
      <c r="BD57">
        <f t="shared" si="236"/>
        <v>0.41108936883738545</v>
      </c>
      <c r="BE57">
        <f t="shared" si="236"/>
        <v>0.29738540978418271</v>
      </c>
      <c r="BF57">
        <f t="shared" si="236"/>
        <v>0.10906318811781189</v>
      </c>
      <c r="BG57">
        <f t="shared" si="236"/>
        <v>0.18424454535393442</v>
      </c>
      <c r="BH57">
        <f t="shared" si="236"/>
        <v>6.1107966463616679E-2</v>
      </c>
      <c r="BI57">
        <f t="shared" si="236"/>
        <v>0.43565985193703738</v>
      </c>
      <c r="BJ57">
        <f t="shared" si="236"/>
        <v>0.41714884143767178</v>
      </c>
    </row>
    <row r="59" spans="1:116">
      <c r="A59" t="s">
        <v>172</v>
      </c>
    </row>
    <row r="60" spans="1:116">
      <c r="A60" t="s">
        <v>33</v>
      </c>
      <c r="B60">
        <v>152</v>
      </c>
      <c r="C60">
        <v>176</v>
      </c>
      <c r="D60">
        <v>196</v>
      </c>
      <c r="E60">
        <v>213</v>
      </c>
      <c r="F60">
        <v>235</v>
      </c>
      <c r="G60">
        <v>115</v>
      </c>
      <c r="H60">
        <v>182</v>
      </c>
      <c r="I60">
        <v>97</v>
      </c>
      <c r="J60">
        <v>93</v>
      </c>
      <c r="K60">
        <v>128</v>
      </c>
      <c r="L60">
        <v>101</v>
      </c>
      <c r="M60">
        <v>202</v>
      </c>
      <c r="N60">
        <v>80</v>
      </c>
      <c r="O60">
        <v>182</v>
      </c>
      <c r="P60">
        <v>95</v>
      </c>
      <c r="Q60">
        <v>152</v>
      </c>
      <c r="R60">
        <v>213</v>
      </c>
      <c r="S60">
        <v>60</v>
      </c>
      <c r="T60">
        <v>77</v>
      </c>
      <c r="U60">
        <v>167</v>
      </c>
      <c r="V60">
        <v>220</v>
      </c>
      <c r="W60">
        <v>176</v>
      </c>
      <c r="X60">
        <v>16</v>
      </c>
      <c r="Y60">
        <f>(B60-16)/219</f>
        <v>0.62100456621004563</v>
      </c>
      <c r="Z60">
        <f t="shared" ref="Z60:AU62" si="237">(C60-16)/219</f>
        <v>0.73059360730593603</v>
      </c>
      <c r="AA60">
        <f t="shared" si="237"/>
        <v>0.82191780821917804</v>
      </c>
      <c r="AB60">
        <f t="shared" si="237"/>
        <v>0.8995433789954338</v>
      </c>
      <c r="AC60">
        <f t="shared" si="237"/>
        <v>1</v>
      </c>
      <c r="AD60">
        <f t="shared" si="237"/>
        <v>0.45205479452054792</v>
      </c>
      <c r="AE60">
        <f t="shared" si="237"/>
        <v>0.75799086757990863</v>
      </c>
      <c r="AF60">
        <f t="shared" si="237"/>
        <v>0.36986301369863012</v>
      </c>
      <c r="AG60">
        <f t="shared" si="237"/>
        <v>0.35159817351598172</v>
      </c>
      <c r="AH60">
        <f t="shared" si="237"/>
        <v>0.51141552511415522</v>
      </c>
      <c r="AI60">
        <f t="shared" si="237"/>
        <v>0.38812785388127852</v>
      </c>
      <c r="AJ60">
        <f t="shared" si="237"/>
        <v>0.84931506849315064</v>
      </c>
      <c r="AK60">
        <f t="shared" si="237"/>
        <v>0.29223744292237441</v>
      </c>
      <c r="AL60">
        <f t="shared" si="237"/>
        <v>0.75799086757990863</v>
      </c>
      <c r="AM60">
        <f t="shared" si="237"/>
        <v>0.36073059360730592</v>
      </c>
      <c r="AN60">
        <f t="shared" si="237"/>
        <v>0.62100456621004563</v>
      </c>
      <c r="AO60">
        <f t="shared" si="237"/>
        <v>0.8995433789954338</v>
      </c>
      <c r="AP60">
        <f t="shared" si="237"/>
        <v>0.20091324200913241</v>
      </c>
      <c r="AQ60">
        <f t="shared" si="237"/>
        <v>0.27853881278538811</v>
      </c>
      <c r="AR60">
        <f t="shared" si="237"/>
        <v>0.68949771689497719</v>
      </c>
      <c r="AS60">
        <f t="shared" si="237"/>
        <v>0.93150684931506844</v>
      </c>
      <c r="AT60">
        <f t="shared" si="237"/>
        <v>0.73059360730593603</v>
      </c>
      <c r="AU60">
        <f t="shared" si="237"/>
        <v>0</v>
      </c>
      <c r="AV60">
        <f>Y60^IF('Color Targets'!$AA$1=1,$N$1,INDEX(Calculation!$G$263:$G$372,MATCH(Y60,Calculation!$H$263:$H$372)))</f>
        <v>0.33573769210092241</v>
      </c>
      <c r="AW60">
        <f>Z60^IF('Color Targets'!$AA$1=1,$N$1,INDEX(Calculation!$G$263:$G$372,MATCH(Z60,Calculation!$H$263:$H$372)))</f>
        <v>0.49015865236880951</v>
      </c>
      <c r="AX60">
        <f>AA60^IF('Color Targets'!$AA$1=1,$N$1,INDEX(Calculation!$G$263:$G$372,MATCH(AA60,Calculation!$H$263:$H$372)))</f>
        <v>0.64438987847718132</v>
      </c>
      <c r="AY60">
        <f>AB60^IF('Color Targets'!$AA$1=1,$N$1,INDEX(Calculation!$G$263:$G$372,MATCH(AB60,Calculation!$H$263:$H$372)))</f>
        <v>0.78650251753412015</v>
      </c>
      <c r="AZ60">
        <f>AC60^IF('Color Targets'!$AA$1=1,$N$1,INDEX(Calculation!$G$263:$G$372,MATCH(AC60,Calculation!$H$263:$H$372)))</f>
        <v>1</v>
      </c>
      <c r="BA60">
        <f>AD60^IF('Color Targets'!$AA$1=1,$N$1,INDEX(Calculation!$G$263:$G$372,MATCH(AD60,Calculation!$H$263:$H$372)))</f>
        <v>0.16358674210707125</v>
      </c>
      <c r="BB60">
        <f>AE60^IF('Color Targets'!$AA$1=1,$N$1,INDEX(Calculation!$G$263:$G$372,MATCH(AE60,Calculation!$H$263:$H$372)))</f>
        <v>0.53482413422683395</v>
      </c>
      <c r="BC60">
        <f>AF60^IF('Color Targets'!$AA$1=1,$N$1,INDEX(Calculation!$G$263:$G$372,MATCH(AF60,Calculation!$H$263:$H$372)))</f>
        <v>0.10256449085732022</v>
      </c>
      <c r="BD60">
        <f>AG60^IF('Color Targets'!$AA$1=1,$N$1,INDEX(Calculation!$G$263:$G$372,MATCH(AG60,Calculation!$H$263:$H$372)))</f>
        <v>9.1263620200233972E-2</v>
      </c>
      <c r="BE60">
        <f>AH60^IF('Color Targets'!$AA$1=1,$N$1,INDEX(Calculation!$G$263:$G$372,MATCH(AH60,Calculation!$H$263:$H$372)))</f>
        <v>0.21823228154937566</v>
      </c>
      <c r="BF60">
        <f>AI60^IF('Color Targets'!$AA$1=1,$N$1,INDEX(Calculation!$G$263:$G$372,MATCH(AI60,Calculation!$H$263:$H$372)))</f>
        <v>0.11461361540826716</v>
      </c>
      <c r="BG60">
        <f>AJ60^IF('Color Targets'!$AA$1=1,$N$1,INDEX(Calculation!$G$263:$G$372,MATCH(AJ60,Calculation!$H$263:$H$372)))</f>
        <v>0.69239977735094305</v>
      </c>
      <c r="BH60">
        <f>AK60^IF('Color Targets'!$AA$1=1,$N$1,INDEX(Calculation!$G$263:$G$372,MATCH(AK60,Calculation!$H$263:$H$372)))</f>
        <v>6.0191202836616428E-2</v>
      </c>
      <c r="BI60">
        <f>AL60^IF('Color Targets'!$AA$1=1,$N$1,INDEX(Calculation!$G$263:$G$372,MATCH(AL60,Calculation!$H$263:$H$372)))</f>
        <v>0.53482413422683395</v>
      </c>
      <c r="BJ60">
        <f>AM60^IF('Color Targets'!$AA$1=1,$N$1,INDEX(Calculation!$G$263:$G$372,MATCH(AM60,Calculation!$H$263:$H$372)))</f>
        <v>9.678401332274475E-2</v>
      </c>
      <c r="BK60">
        <f>AN60^IF('Color Targets'!$AA$1=1,$N$1,INDEX(Calculation!$G$263:$G$372,MATCH(AN60,Calculation!$H$263:$H$372)))</f>
        <v>0.33573769210092241</v>
      </c>
      <c r="BL60">
        <f>AO60^IF('Color Targets'!$AA$1=1,$N$1,INDEX(Calculation!$G$263:$G$372,MATCH(AO60,Calculation!$H$263:$H$372)))</f>
        <v>0.78650251753412015</v>
      </c>
      <c r="BM60">
        <f>AP60^IF('Color Targets'!$AA$1=1,$N$1,INDEX(Calculation!$G$263:$G$372,MATCH(AP60,Calculation!$H$263:$H$372)))</f>
        <v>2.9002835526253927E-2</v>
      </c>
      <c r="BN60">
        <f>AQ60^IF('Color Targets'!$AA$1=1,$N$1,INDEX(Calculation!$G$263:$G$372,MATCH(AQ60,Calculation!$H$263:$H$372)))</f>
        <v>5.5330045958867743E-2</v>
      </c>
      <c r="BO60">
        <f>AR60^IF('Color Targets'!$AA$1=1,$N$1,INDEX(Calculation!$G$263:$G$372,MATCH(AR60,Calculation!$H$263:$H$372)))</f>
        <v>0.42709816607647866</v>
      </c>
      <c r="BP60">
        <f>AS60^IF('Color Targets'!$AA$1=1,$N$1,INDEX(Calculation!$G$263:$G$372,MATCH(AS60,Calculation!$H$263:$H$372)))</f>
        <v>0.85133247834126546</v>
      </c>
      <c r="BQ60">
        <f>AT60^IF('Color Targets'!$AA$1=1,$N$1,INDEX(Calculation!$G$263:$G$372,MATCH(AT60,Calculation!$H$263:$H$372)))</f>
        <v>0.49015865236880951</v>
      </c>
      <c r="BR60">
        <v>0</v>
      </c>
      <c r="BS60">
        <f t="array" ref="BS60:BS62">MMULT($B$3:$D$5,AV60:AV62)</f>
        <v>0.31910860421116372</v>
      </c>
      <c r="BT60">
        <f t="array" ref="BT60:BT62">MMULT($B$3:$D$5,AW60:AW62)</f>
        <v>0.46588109431698244</v>
      </c>
      <c r="BU60">
        <f t="array" ref="BU60:BU62">MMULT($B$3:$D$5,AX60:AX62)</f>
        <v>0.61247324779620649</v>
      </c>
      <c r="BV60">
        <f t="array" ref="BV60:BV62">MMULT($B$3:$D$5,AY60:AY62)</f>
        <v>0.74754704784065518</v>
      </c>
      <c r="BW60">
        <f t="array" ref="BW60:BW62">MMULT($B$3:$D$5,AZ60:AZ62)</f>
        <v>0.95047000000000004</v>
      </c>
      <c r="BX60">
        <f t="array" ref="BX60:BX62">MMULT($B$3:$D$5,BA60:BA62)</f>
        <v>0.1023391274528483</v>
      </c>
      <c r="BY60">
        <f t="array" ref="BY60:BY62">MMULT($B$3:$D$5,BB60:BB62)</f>
        <v>0.36651932306956736</v>
      </c>
      <c r="BZ60">
        <f t="array" ref="BZ60:BZ62">MMULT($B$3:$D$5,BC60:BC62)</f>
        <v>0.16795315599144556</v>
      </c>
      <c r="CA60">
        <f t="array" ref="CA60:CA62">MMULT($B$3:$D$5,BD60:BD62)</f>
        <v>9.5538660564042602E-2</v>
      </c>
      <c r="CB60">
        <f t="array" ref="CB60:CB62">MMULT($B$3:$D$5,BE60:BE62)</f>
        <v>0.24188613419462013</v>
      </c>
      <c r="CC60">
        <f t="array" ref="CC60:CC62">MMULT($B$3:$D$5,BF60:BF62)</f>
        <v>0.2979359373413738</v>
      </c>
      <c r="CD60">
        <f t="array" ref="CD60:CD62">MMULT($B$3:$D$5,BG60:BG62)</f>
        <v>0.35314785168380475</v>
      </c>
      <c r="CE60">
        <f t="array" ref="CE60:CE62">MMULT($B$3:$D$5,BH60:BH62)</f>
        <v>0.12419038588985594</v>
      </c>
      <c r="CF60">
        <f t="array" ref="CF60:CF62">MMULT($B$3:$D$5,BI60:BI62)</f>
        <v>0.2680965628402644</v>
      </c>
      <c r="CG60">
        <f t="array" ref="CG60:CG62">MMULT($B$3:$D$5,BJ60:BJ62)</f>
        <v>7.9558482317133306E-2</v>
      </c>
      <c r="CH60">
        <f t="array" ref="CH60:CH62">MMULT($B$3:$D$5,BK60:BK62)</f>
        <v>0.32186353725147382</v>
      </c>
      <c r="CI60">
        <f t="array" ref="CI60:CI62">MMULT($B$3:$D$5,BL60:BL62)</f>
        <v>0.45272339814060891</v>
      </c>
      <c r="CJ60">
        <f t="array" ref="CJ60:CJ62">MMULT($B$3:$D$5,BM60:BM62)</f>
        <v>8.0532072805546667E-2</v>
      </c>
      <c r="CK60">
        <f t="array" ref="CK60:CK62">MMULT($B$3:$D$5,BN60:BN62)</f>
        <v>0.13573725472452414</v>
      </c>
      <c r="CL60">
        <f t="array" ref="CL60:CL62">MMULT($B$3:$D$5,BO60:BO62)</f>
        <v>0.1921697440107783</v>
      </c>
      <c r="CM60">
        <f t="array" ref="CM60:CM62">MMULT($B$3:$D$5,BP60:BP62)</f>
        <v>0.55851734678478548</v>
      </c>
      <c r="CN60">
        <f t="array" ref="CN60:CN62">MMULT($B$3:$D$5,BQ60:BQ62)</f>
        <v>0.28025696622141533</v>
      </c>
      <c r="CO60">
        <f t="array" ref="CO60:CO62">MMULT($B$3:$D$5,BR60:BR62)</f>
        <v>0.1458736417555139</v>
      </c>
      <c r="CP60">
        <f>BS60/(BS60+BS61+BS62)</f>
        <v>0.3127266043915834</v>
      </c>
      <c r="CQ60">
        <f t="shared" ref="CQ60:DL60" si="238">BT60/(BT60+BT61+BT62)</f>
        <v>0.31272660439158345</v>
      </c>
      <c r="CR60">
        <f t="shared" si="238"/>
        <v>0.3127266043915834</v>
      </c>
      <c r="CS60">
        <f t="shared" si="238"/>
        <v>0.31272660439158345</v>
      </c>
      <c r="CT60">
        <f t="shared" si="238"/>
        <v>0.31272660439158345</v>
      </c>
      <c r="CU60">
        <f t="shared" si="238"/>
        <v>0.40841861950891123</v>
      </c>
      <c r="CV60">
        <f t="shared" si="238"/>
        <v>0.38085560676072677</v>
      </c>
      <c r="CW60">
        <f t="shared" si="238"/>
        <v>0.24695482929456081</v>
      </c>
      <c r="CX60">
        <f t="shared" si="238"/>
        <v>0.34032215499999768</v>
      </c>
      <c r="CY60">
        <f t="shared" si="238"/>
        <v>0.26764011662486759</v>
      </c>
      <c r="CZ60">
        <f t="shared" si="238"/>
        <v>0.26056728825094683</v>
      </c>
      <c r="DA60">
        <f t="shared" si="238"/>
        <v>0.51713211665374426</v>
      </c>
      <c r="DB60">
        <f t="shared" si="238"/>
        <v>0.21197972081967825</v>
      </c>
      <c r="DC60">
        <f t="shared" si="238"/>
        <v>0.47178873306638264</v>
      </c>
      <c r="DD60">
        <f t="shared" si="238"/>
        <v>0.2869117893607584</v>
      </c>
      <c r="DE60">
        <f t="shared" si="238"/>
        <v>0.37657351006519185</v>
      </c>
      <c r="DF60">
        <f t="shared" si="238"/>
        <v>0.4772869010144497</v>
      </c>
      <c r="DG60">
        <f t="shared" si="238"/>
        <v>0.18883004050218732</v>
      </c>
      <c r="DH60">
        <f t="shared" si="238"/>
        <v>0.3048058686241773</v>
      </c>
      <c r="DI60">
        <f t="shared" si="238"/>
        <v>0.54782395010281282</v>
      </c>
      <c r="DJ60">
        <f t="shared" si="238"/>
        <v>0.44776658013536197</v>
      </c>
      <c r="DK60">
        <f t="shared" si="238"/>
        <v>0.377015446761506</v>
      </c>
      <c r="DL60">
        <f t="shared" si="238"/>
        <v>0.20776749426159455</v>
      </c>
    </row>
    <row r="61" spans="1:116">
      <c r="A61" t="s">
        <v>34</v>
      </c>
      <c r="B61">
        <v>152</v>
      </c>
      <c r="C61">
        <v>176</v>
      </c>
      <c r="D61">
        <v>196</v>
      </c>
      <c r="E61">
        <v>213</v>
      </c>
      <c r="F61">
        <v>235</v>
      </c>
      <c r="G61">
        <v>86</v>
      </c>
      <c r="H61">
        <v>145</v>
      </c>
      <c r="I61">
        <v>121</v>
      </c>
      <c r="J61">
        <v>108</v>
      </c>
      <c r="K61">
        <v>126</v>
      </c>
      <c r="L61">
        <v>178</v>
      </c>
      <c r="M61">
        <v>119</v>
      </c>
      <c r="N61">
        <v>95</v>
      </c>
      <c r="O61">
        <v>88</v>
      </c>
      <c r="P61">
        <v>69</v>
      </c>
      <c r="Q61">
        <v>176</v>
      </c>
      <c r="R61">
        <v>154</v>
      </c>
      <c r="S61">
        <v>69</v>
      </c>
      <c r="T61">
        <v>143</v>
      </c>
      <c r="U61">
        <v>58</v>
      </c>
      <c r="V61">
        <v>187</v>
      </c>
      <c r="W61">
        <v>88</v>
      </c>
      <c r="X61">
        <v>130</v>
      </c>
      <c r="Y61">
        <f t="shared" ref="Y61:Y62" si="239">(B61-16)/219</f>
        <v>0.62100456621004563</v>
      </c>
      <c r="Z61">
        <f t="shared" si="237"/>
        <v>0.73059360730593603</v>
      </c>
      <c r="AA61">
        <f t="shared" si="237"/>
        <v>0.82191780821917804</v>
      </c>
      <c r="AB61">
        <f t="shared" si="237"/>
        <v>0.8995433789954338</v>
      </c>
      <c r="AC61">
        <f t="shared" si="237"/>
        <v>1</v>
      </c>
      <c r="AD61">
        <f t="shared" si="237"/>
        <v>0.31963470319634701</v>
      </c>
      <c r="AE61">
        <f t="shared" si="237"/>
        <v>0.58904109589041098</v>
      </c>
      <c r="AF61">
        <f t="shared" si="237"/>
        <v>0.47945205479452052</v>
      </c>
      <c r="AG61">
        <f t="shared" si="237"/>
        <v>0.42009132420091322</v>
      </c>
      <c r="AH61">
        <f t="shared" si="237"/>
        <v>0.50228310502283102</v>
      </c>
      <c r="AI61">
        <f t="shared" si="237"/>
        <v>0.73972602739726023</v>
      </c>
      <c r="AJ61">
        <f t="shared" si="237"/>
        <v>0.47031963470319632</v>
      </c>
      <c r="AK61">
        <f t="shared" si="237"/>
        <v>0.36073059360730592</v>
      </c>
      <c r="AL61">
        <f t="shared" si="237"/>
        <v>0.32876712328767121</v>
      </c>
      <c r="AM61">
        <f t="shared" si="237"/>
        <v>0.24200913242009131</v>
      </c>
      <c r="AN61">
        <f t="shared" si="237"/>
        <v>0.73059360730593603</v>
      </c>
      <c r="AO61">
        <f t="shared" si="237"/>
        <v>0.63013698630136983</v>
      </c>
      <c r="AP61">
        <f t="shared" si="237"/>
        <v>0.24200913242009131</v>
      </c>
      <c r="AQ61">
        <f t="shared" si="237"/>
        <v>0.57990867579908678</v>
      </c>
      <c r="AR61">
        <f t="shared" si="237"/>
        <v>0.19178082191780821</v>
      </c>
      <c r="AS61">
        <f t="shared" si="237"/>
        <v>0.78082191780821919</v>
      </c>
      <c r="AT61">
        <f t="shared" si="237"/>
        <v>0.32876712328767121</v>
      </c>
      <c r="AU61">
        <f t="shared" si="237"/>
        <v>0.52054794520547942</v>
      </c>
      <c r="AV61">
        <f>Y61^IF('Color Targets'!$AA$1=1,$N$1,INDEX(Calculation!$G$263:$G$372,MATCH(Y61,Calculation!$H$263:$H$372)))</f>
        <v>0.33573769210092241</v>
      </c>
      <c r="AW61">
        <f>Z61^IF('Color Targets'!$AA$1=1,$N$1,INDEX(Calculation!$G$263:$G$372,MATCH(Z61,Calculation!$H$263:$H$372)))</f>
        <v>0.49015865236880951</v>
      </c>
      <c r="AX61">
        <f>AA61^IF('Color Targets'!$AA$1=1,$N$1,INDEX(Calculation!$G$263:$G$372,MATCH(AA61,Calculation!$H$263:$H$372)))</f>
        <v>0.64438987847718132</v>
      </c>
      <c r="AY61">
        <f>AB61^IF('Color Targets'!$AA$1=1,$N$1,INDEX(Calculation!$G$263:$G$372,MATCH(AB61,Calculation!$H$263:$H$372)))</f>
        <v>0.78650251753412015</v>
      </c>
      <c r="AZ61">
        <f>AC61^IF('Color Targets'!$AA$1=1,$N$1,INDEX(Calculation!$G$263:$G$372,MATCH(AC61,Calculation!$H$263:$H$372)))</f>
        <v>1</v>
      </c>
      <c r="BA61">
        <f>AD61^IF('Color Targets'!$AA$1=1,$N$1,INDEX(Calculation!$G$263:$G$372,MATCH(AD61,Calculation!$H$263:$H$372)))</f>
        <v>7.3240120725621305E-2</v>
      </c>
      <c r="BB61">
        <f>AE61^IF('Color Targets'!$AA$1=1,$N$1,INDEX(Calculation!$G$263:$G$372,MATCH(AE61,Calculation!$H$263:$H$372)))</f>
        <v>0.29797964330162224</v>
      </c>
      <c r="BC61">
        <f>AF61^IF('Color Targets'!$AA$1=1,$N$1,INDEX(Calculation!$G$263:$G$372,MATCH(AF61,Calculation!$H$263:$H$372)))</f>
        <v>0.18765307456634558</v>
      </c>
      <c r="BD61">
        <f>AG61^IF('Color Targets'!$AA$1=1,$N$1,INDEX(Calculation!$G$263:$G$372,MATCH(AG61,Calculation!$H$263:$H$372)))</f>
        <v>0.13764506168685875</v>
      </c>
      <c r="BE61">
        <f>AH61^IF('Color Targets'!$AA$1=1,$N$1,INDEX(Calculation!$G$263:$G$372,MATCH(AH61,Calculation!$H$263:$H$372)))</f>
        <v>0.20921506678313687</v>
      </c>
      <c r="BF61">
        <f>AI61^IF('Color Targets'!$AA$1=1,$N$1,INDEX(Calculation!$G$263:$G$372,MATCH(AI61,Calculation!$H$263:$H$372)))</f>
        <v>0.50467886781039173</v>
      </c>
      <c r="BG61">
        <f>AJ61^IF('Color Targets'!$AA$1=1,$N$1,INDEX(Calculation!$G$263:$G$372,MATCH(AJ61,Calculation!$H$263:$H$372)))</f>
        <v>0.17933269100790511</v>
      </c>
      <c r="BH61">
        <f>AK61^IF('Color Targets'!$AA$1=1,$N$1,INDEX(Calculation!$G$263:$G$372,MATCH(AK61,Calculation!$H$263:$H$372)))</f>
        <v>9.678401332274475E-2</v>
      </c>
      <c r="BI61">
        <f>AL61^IF('Color Targets'!$AA$1=1,$N$1,INDEX(Calculation!$G$263:$G$372,MATCH(AL61,Calculation!$H$263:$H$372)))</f>
        <v>7.8124705639605607E-2</v>
      </c>
      <c r="BJ61">
        <f>AM61^IF('Color Targets'!$AA$1=1,$N$1,INDEX(Calculation!$G$263:$G$372,MATCH(AM61,Calculation!$H$263:$H$372)))</f>
        <v>4.1398085012838939E-2</v>
      </c>
      <c r="BK61">
        <f>AN61^IF('Color Targets'!$AA$1=1,$N$1,INDEX(Calculation!$G$263:$G$372,MATCH(AN61,Calculation!$H$263:$H$372)))</f>
        <v>0.49015865236880951</v>
      </c>
      <c r="BL61">
        <f>AO61^IF('Color Targets'!$AA$1=1,$N$1,INDEX(Calculation!$G$263:$G$372,MATCH(AO61,Calculation!$H$263:$H$372)))</f>
        <v>0.34720395115563996</v>
      </c>
      <c r="BM61">
        <f>AP61^IF('Color Targets'!$AA$1=1,$N$1,INDEX(Calculation!$G$263:$G$372,MATCH(AP61,Calculation!$H$263:$H$372)))</f>
        <v>4.1398085012838939E-2</v>
      </c>
      <c r="BN61">
        <f>AQ61^IF('Color Targets'!$AA$1=1,$N$1,INDEX(Calculation!$G$263:$G$372,MATCH(AQ61,Calculation!$H$263:$H$372)))</f>
        <v>0.28786154328768565</v>
      </c>
      <c r="BO61">
        <f>AR61^IF('Color Targets'!$AA$1=1,$N$1,INDEX(Calculation!$G$263:$G$372,MATCH(AR61,Calculation!$H$263:$H$372)))</f>
        <v>2.6174108211637095E-2</v>
      </c>
      <c r="BP61">
        <f>AS61^IF('Color Targets'!$AA$1=1,$N$1,INDEX(Calculation!$G$263:$G$372,MATCH(AS61,Calculation!$H$263:$H$372)))</f>
        <v>0.57373309917142568</v>
      </c>
      <c r="BQ61">
        <f>AT61^IF('Color Targets'!$AA$1=1,$N$1,INDEX(Calculation!$G$263:$G$372,MATCH(AT61,Calculation!$H$263:$H$372)))</f>
        <v>7.8124705639605607E-2</v>
      </c>
      <c r="BR61">
        <f>AU61^IF('Color Targets'!$AA$1=1,$N$1,INDEX(Calculation!$G$263:$G$372,MATCH(AU61,Calculation!$H$263:$H$372)))</f>
        <v>0.22685283699221973</v>
      </c>
      <c r="BS61">
        <v>0.33573772567469162</v>
      </c>
      <c r="BT61">
        <v>0.49015870138467477</v>
      </c>
      <c r="BU61">
        <v>0.64438994291616913</v>
      </c>
      <c r="BV61">
        <v>0.7865025961843719</v>
      </c>
      <c r="BW61">
        <v>1.0000001000000001</v>
      </c>
      <c r="BX61">
        <v>9.0639425103872809E-2</v>
      </c>
      <c r="BY61">
        <v>0.34259431199920665</v>
      </c>
      <c r="BZ61">
        <v>0.17943300512779958</v>
      </c>
      <c r="CA61">
        <v>0.12131759225019126</v>
      </c>
      <c r="CB61">
        <v>0.2268585176103993</v>
      </c>
      <c r="CC61">
        <v>0.41337809931048763</v>
      </c>
      <c r="CD61">
        <v>0.27688005627629153</v>
      </c>
      <c r="CE61">
        <v>0.10791893332630176</v>
      </c>
      <c r="CF61">
        <v>0.17744141402760219</v>
      </c>
      <c r="CG61">
        <v>6.0123800686954589E-2</v>
      </c>
      <c r="CH61">
        <v>0.42518729046016934</v>
      </c>
      <c r="CI61">
        <v>0.41724086734242044</v>
      </c>
      <c r="CJ61">
        <v>5.7280729467604832E-2</v>
      </c>
      <c r="CK61">
        <v>0.22162546337587058</v>
      </c>
      <c r="CL61">
        <v>0.11221113121434734</v>
      </c>
      <c r="CM61">
        <v>0.59225246452726243</v>
      </c>
      <c r="CN61">
        <v>0.1801754633639896</v>
      </c>
      <c r="CO61">
        <v>0.18813690106318742</v>
      </c>
      <c r="CP61">
        <f>BS61/(BS60+BS61+BS62)</f>
        <v>0.32902315240275221</v>
      </c>
      <c r="CQ61">
        <f t="shared" ref="CQ61:DL61" si="240">BT61/(BT60+BT61+BT62)</f>
        <v>0.32902315240275221</v>
      </c>
      <c r="CR61">
        <f t="shared" si="240"/>
        <v>0.32902315240275221</v>
      </c>
      <c r="CS61">
        <f t="shared" si="240"/>
        <v>0.32902315240275221</v>
      </c>
      <c r="CT61">
        <f t="shared" si="240"/>
        <v>0.32902315240275221</v>
      </c>
      <c r="CU61">
        <f t="shared" si="240"/>
        <v>0.36172703242033338</v>
      </c>
      <c r="CV61">
        <f t="shared" si="240"/>
        <v>0.35599477669139418</v>
      </c>
      <c r="CW61">
        <f t="shared" si="240"/>
        <v>0.26383456083077567</v>
      </c>
      <c r="CX61">
        <f t="shared" si="240"/>
        <v>0.43215033778205497</v>
      </c>
      <c r="CY61">
        <f t="shared" si="240"/>
        <v>0.25101248698174555</v>
      </c>
      <c r="CZ61">
        <f t="shared" si="240"/>
        <v>0.36153010382311634</v>
      </c>
      <c r="DA61">
        <f t="shared" si="240"/>
        <v>0.40544935748205435</v>
      </c>
      <c r="DB61">
        <f t="shared" si="240"/>
        <v>0.1842060896562164</v>
      </c>
      <c r="DC61">
        <f t="shared" si="240"/>
        <v>0.31225637147563268</v>
      </c>
      <c r="DD61">
        <f t="shared" si="240"/>
        <v>0.21682448855046615</v>
      </c>
      <c r="DE61">
        <f t="shared" si="240"/>
        <v>0.49746010924684531</v>
      </c>
      <c r="DF61">
        <f t="shared" si="240"/>
        <v>0.43987918753117777</v>
      </c>
      <c r="DG61">
        <f t="shared" si="240"/>
        <v>0.13431074214965044</v>
      </c>
      <c r="DH61">
        <f t="shared" si="240"/>
        <v>0.49767281657946355</v>
      </c>
      <c r="DI61">
        <f t="shared" si="240"/>
        <v>0.31988357721859173</v>
      </c>
      <c r="DJ61">
        <f t="shared" si="240"/>
        <v>0.47481221871573948</v>
      </c>
      <c r="DK61">
        <f t="shared" si="240"/>
        <v>0.24238088969381427</v>
      </c>
      <c r="DL61">
        <f t="shared" si="240"/>
        <v>0.26796295781490936</v>
      </c>
    </row>
    <row r="62" spans="1:116">
      <c r="A62" t="s">
        <v>35</v>
      </c>
      <c r="B62">
        <v>152</v>
      </c>
      <c r="C62">
        <v>176</v>
      </c>
      <c r="D62">
        <v>196</v>
      </c>
      <c r="E62">
        <v>213</v>
      </c>
      <c r="F62">
        <v>235</v>
      </c>
      <c r="G62">
        <v>73</v>
      </c>
      <c r="H62">
        <v>128</v>
      </c>
      <c r="I62">
        <v>150</v>
      </c>
      <c r="J62">
        <v>73</v>
      </c>
      <c r="K62">
        <v>167</v>
      </c>
      <c r="L62">
        <v>161</v>
      </c>
      <c r="M62">
        <v>51</v>
      </c>
      <c r="N62">
        <v>156</v>
      </c>
      <c r="O62">
        <v>99</v>
      </c>
      <c r="P62">
        <v>108</v>
      </c>
      <c r="Q62">
        <v>71</v>
      </c>
      <c r="R62">
        <v>55</v>
      </c>
      <c r="S62">
        <v>145</v>
      </c>
      <c r="T62">
        <v>77</v>
      </c>
      <c r="U62">
        <v>66</v>
      </c>
      <c r="V62">
        <v>44</v>
      </c>
      <c r="W62">
        <v>141</v>
      </c>
      <c r="X62">
        <v>156</v>
      </c>
      <c r="Y62">
        <f t="shared" si="239"/>
        <v>0.62100456621004563</v>
      </c>
      <c r="Z62">
        <f t="shared" si="237"/>
        <v>0.73059360730593603</v>
      </c>
      <c r="AA62">
        <f t="shared" si="237"/>
        <v>0.82191780821917804</v>
      </c>
      <c r="AB62">
        <f t="shared" si="237"/>
        <v>0.8995433789954338</v>
      </c>
      <c r="AC62">
        <f t="shared" si="237"/>
        <v>1</v>
      </c>
      <c r="AD62">
        <f t="shared" si="237"/>
        <v>0.26027397260273971</v>
      </c>
      <c r="AE62">
        <f t="shared" si="237"/>
        <v>0.51141552511415522</v>
      </c>
      <c r="AF62">
        <f t="shared" si="237"/>
        <v>0.61187214611872143</v>
      </c>
      <c r="AG62">
        <f t="shared" si="237"/>
        <v>0.26027397260273971</v>
      </c>
      <c r="AH62">
        <f t="shared" si="237"/>
        <v>0.68949771689497719</v>
      </c>
      <c r="AI62">
        <f t="shared" si="237"/>
        <v>0.66210045662100458</v>
      </c>
      <c r="AJ62">
        <f t="shared" si="237"/>
        <v>0.15981735159817351</v>
      </c>
      <c r="AK62">
        <f t="shared" si="237"/>
        <v>0.63926940639269403</v>
      </c>
      <c r="AL62">
        <f t="shared" si="237"/>
        <v>0.37899543378995432</v>
      </c>
      <c r="AM62">
        <f t="shared" si="237"/>
        <v>0.42009132420091322</v>
      </c>
      <c r="AN62">
        <f t="shared" si="237"/>
        <v>0.25114155251141551</v>
      </c>
      <c r="AO62">
        <f t="shared" si="237"/>
        <v>0.17808219178082191</v>
      </c>
      <c r="AP62">
        <f t="shared" si="237"/>
        <v>0.58904109589041098</v>
      </c>
      <c r="AQ62">
        <f t="shared" si="237"/>
        <v>0.27853881278538811</v>
      </c>
      <c r="AR62">
        <f t="shared" si="237"/>
        <v>0.22831050228310501</v>
      </c>
      <c r="AS62">
        <f t="shared" si="237"/>
        <v>0.12785388127853881</v>
      </c>
      <c r="AT62">
        <f t="shared" si="237"/>
        <v>0.57077625570776258</v>
      </c>
      <c r="AU62">
        <f t="shared" si="237"/>
        <v>0.63926940639269403</v>
      </c>
      <c r="AV62">
        <f>Y62^IF('Color Targets'!$AA$1=1,$N$1,INDEX(Calculation!$G$263:$G$372,MATCH(Y62,Calculation!$H$263:$H$372)))</f>
        <v>0.33573769210092241</v>
      </c>
      <c r="AW62">
        <f>Z62^IF('Color Targets'!$AA$1=1,$N$1,INDEX(Calculation!$G$263:$G$372,MATCH(Z62,Calculation!$H$263:$H$372)))</f>
        <v>0.49015865236880951</v>
      </c>
      <c r="AX62">
        <f>AA62^IF('Color Targets'!$AA$1=1,$N$1,INDEX(Calculation!$G$263:$G$372,MATCH(AA62,Calculation!$H$263:$H$372)))</f>
        <v>0.64438987847718132</v>
      </c>
      <c r="AY62">
        <f>AB62^IF('Color Targets'!$AA$1=1,$N$1,INDEX(Calculation!$G$263:$G$372,MATCH(AB62,Calculation!$H$263:$H$372)))</f>
        <v>0.78650251753412015</v>
      </c>
      <c r="AZ62">
        <f>AC62^IF('Color Targets'!$AA$1=1,$N$1,INDEX(Calculation!$G$263:$G$372,MATCH(AC62,Calculation!$H$263:$H$372)))</f>
        <v>1</v>
      </c>
      <c r="BA62">
        <f>AD62^IF('Color Targets'!$AA$1=1,$N$1,INDEX(Calculation!$G$263:$G$372,MATCH(AD62,Calculation!$H$263:$H$372)))</f>
        <v>4.8093173442551859E-2</v>
      </c>
      <c r="BB62">
        <f>AE62^IF('Color Targets'!$AA$1=1,$N$1,INDEX(Calculation!$G$263:$G$372,MATCH(AE62,Calculation!$H$263:$H$372)))</f>
        <v>0.21823228154937566</v>
      </c>
      <c r="BC62">
        <f>AF62^IF('Color Targets'!$AA$1=1,$N$1,INDEX(Calculation!$G$263:$G$372,MATCH(AF62,Calculation!$H$263:$H$372)))</f>
        <v>0.32448643307604752</v>
      </c>
      <c r="BD62">
        <f>AG62^IF('Color Targets'!$AA$1=1,$N$1,INDEX(Calculation!$G$263:$G$372,MATCH(AG62,Calculation!$H$263:$H$372)))</f>
        <v>4.8093173442551859E-2</v>
      </c>
      <c r="BE62">
        <f>AH62^IF('Color Targets'!$AA$1=1,$N$1,INDEX(Calculation!$G$263:$G$372,MATCH(AH62,Calculation!$H$263:$H$372)))</f>
        <v>0.42709816607647866</v>
      </c>
      <c r="BF62">
        <f>AI62^IF('Color Targets'!$AA$1=1,$N$1,INDEX(Calculation!$G$263:$G$372,MATCH(AI62,Calculation!$H$263:$H$372)))</f>
        <v>0.38906389655720114</v>
      </c>
      <c r="BG62">
        <f>AJ62^IF('Color Targets'!$AA$1=1,$N$1,INDEX(Calculation!$G$263:$G$372,MATCH(AJ62,Calculation!$H$263:$H$372)))</f>
        <v>1.9053954436973632E-2</v>
      </c>
      <c r="BH62">
        <f>AK62^IF('Color Targets'!$AA$1=1,$N$1,INDEX(Calculation!$G$263:$G$372,MATCH(AK62,Calculation!$H$263:$H$372)))</f>
        <v>0.35888598007565076</v>
      </c>
      <c r="BI62">
        <f>AL62^IF('Color Targets'!$AA$1=1,$N$1,INDEX(Calculation!$G$263:$G$372,MATCH(AL62,Calculation!$H$263:$H$372)))</f>
        <v>0.10845527258851111</v>
      </c>
      <c r="BJ62">
        <f>AM62^IF('Color Targets'!$AA$1=1,$N$1,INDEX(Calculation!$G$263:$G$372,MATCH(AM62,Calculation!$H$263:$H$372)))</f>
        <v>0.13764506168685875</v>
      </c>
      <c r="BK62">
        <f>AN62^IF('Color Targets'!$AA$1=1,$N$1,INDEX(Calculation!$G$263:$G$372,MATCH(AN62,Calculation!$H$263:$H$372)))</f>
        <v>4.498709042147131E-2</v>
      </c>
      <c r="BL62">
        <f>AO62^IF('Color Targets'!$AA$1=1,$N$1,INDEX(Calculation!$G$263:$G$372,MATCH(AO62,Calculation!$H$263:$H$372)))</f>
        <v>2.3130260664909384E-2</v>
      </c>
      <c r="BM62">
        <f>AP62^IF('Color Targets'!$AA$1=1,$N$1,INDEX(Calculation!$G$263:$G$372,MATCH(AP62,Calculation!$H$263:$H$372)))</f>
        <v>0.29797964330162224</v>
      </c>
      <c r="BN62">
        <f>AQ62^IF('Color Targets'!$AA$1=1,$N$1,INDEX(Calculation!$G$263:$G$372,MATCH(AQ62,Calculation!$H$263:$H$372)))</f>
        <v>5.5330045958867743E-2</v>
      </c>
      <c r="BO62">
        <f>AR62^IF('Color Targets'!$AA$1=1,$N$1,INDEX(Calculation!$G$263:$G$372,MATCH(AR62,Calculation!$H$263:$H$372)))</f>
        <v>3.6861164940639492E-2</v>
      </c>
      <c r="BP62">
        <f>AS62^IF('Color Targets'!$AA$1=1,$N$1,INDEX(Calculation!$G$263:$G$372,MATCH(AS62,Calculation!$H$263:$H$372)))</f>
        <v>1.2339860186699391E-2</v>
      </c>
      <c r="BQ62">
        <f>AT62^IF('Color Targets'!$AA$1=1,$N$1,INDEX(Calculation!$G$263:$G$372,MATCH(AT62,Calculation!$H$263:$H$372)))</f>
        <v>0.27794868295263758</v>
      </c>
      <c r="BR62">
        <f>AU62^IF('Color Targets'!$AA$1=1,$N$1,INDEX(Calculation!$G$263:$G$372,MATCH(AU62,Calculation!$H$263:$H$372)))</f>
        <v>0.35888598007565076</v>
      </c>
      <c r="BS62">
        <v>0.36556127129024735</v>
      </c>
      <c r="BT62">
        <v>0.53369944545873083</v>
      </c>
      <c r="BU62">
        <v>0.70163103138230931</v>
      </c>
      <c r="BV62">
        <v>0.85636753616667605</v>
      </c>
      <c r="BW62">
        <v>1.08883</v>
      </c>
      <c r="BX62">
        <v>5.7595546087220305E-2</v>
      </c>
      <c r="BY62">
        <v>0.25324405788186116</v>
      </c>
      <c r="BZ62">
        <v>0.33271050462004176</v>
      </c>
      <c r="CA62">
        <v>6.387381180363752E-2</v>
      </c>
      <c r="CB62">
        <v>0.43502918167322169</v>
      </c>
      <c r="CC62">
        <v>0.43209862785128222</v>
      </c>
      <c r="CD62">
        <v>5.2868861184608859E-2</v>
      </c>
      <c r="CE62">
        <v>0.35375042911089666</v>
      </c>
      <c r="CF62">
        <v>0.12271756645080377</v>
      </c>
      <c r="CG62">
        <v>0.13761019944980571</v>
      </c>
      <c r="CH62">
        <v>0.10766552553304809</v>
      </c>
      <c r="CI62">
        <v>7.8570875913828081E-2</v>
      </c>
      <c r="CJ62">
        <v>0.28866633521670049</v>
      </c>
      <c r="CK62">
        <v>8.7960908171010432E-2</v>
      </c>
      <c r="CL62">
        <v>4.6406533712933448E-2</v>
      </c>
      <c r="CM62">
        <v>9.6570592288289958E-2</v>
      </c>
      <c r="CN62">
        <v>0.2829242912831208</v>
      </c>
      <c r="CO62">
        <v>0.36808986164518587</v>
      </c>
      <c r="CP62">
        <f>BS61</f>
        <v>0.33573772567469162</v>
      </c>
      <c r="CQ62">
        <f t="shared" ref="CQ62:DL62" si="241">BT61</f>
        <v>0.49015870138467477</v>
      </c>
      <c r="CR62">
        <f t="shared" si="241"/>
        <v>0.64438994291616913</v>
      </c>
      <c r="CS62">
        <f t="shared" si="241"/>
        <v>0.7865025961843719</v>
      </c>
      <c r="CT62">
        <f t="shared" si="241"/>
        <v>1.0000001000000001</v>
      </c>
      <c r="CU62">
        <f t="shared" si="241"/>
        <v>9.0639425103872809E-2</v>
      </c>
      <c r="CV62">
        <f t="shared" si="241"/>
        <v>0.34259431199920665</v>
      </c>
      <c r="CW62">
        <f t="shared" si="241"/>
        <v>0.17943300512779958</v>
      </c>
      <c r="CX62">
        <f t="shared" si="241"/>
        <v>0.12131759225019126</v>
      </c>
      <c r="CY62">
        <f t="shared" si="241"/>
        <v>0.2268585176103993</v>
      </c>
      <c r="CZ62">
        <f t="shared" si="241"/>
        <v>0.41337809931048763</v>
      </c>
      <c r="DA62">
        <f t="shared" si="241"/>
        <v>0.27688005627629153</v>
      </c>
      <c r="DB62">
        <f t="shared" si="241"/>
        <v>0.10791893332630176</v>
      </c>
      <c r="DC62">
        <f t="shared" si="241"/>
        <v>0.17744141402760219</v>
      </c>
      <c r="DD62">
        <f t="shared" si="241"/>
        <v>6.0123800686954589E-2</v>
      </c>
      <c r="DE62">
        <f t="shared" si="241"/>
        <v>0.42518729046016934</v>
      </c>
      <c r="DF62">
        <f t="shared" si="241"/>
        <v>0.41724086734242044</v>
      </c>
      <c r="DG62">
        <f t="shared" si="241"/>
        <v>5.7280729467604832E-2</v>
      </c>
      <c r="DH62">
        <f t="shared" si="241"/>
        <v>0.22162546337587058</v>
      </c>
      <c r="DI62">
        <f t="shared" si="241"/>
        <v>0.11221113121434734</v>
      </c>
      <c r="DJ62">
        <f t="shared" si="241"/>
        <v>0.59225246452726243</v>
      </c>
      <c r="DK62">
        <f t="shared" si="241"/>
        <v>0.1801754633639896</v>
      </c>
      <c r="DL62">
        <f t="shared" si="241"/>
        <v>0.18813690106318742</v>
      </c>
    </row>
    <row r="67" spans="1:11">
      <c r="A67" t="s">
        <v>159</v>
      </c>
    </row>
    <row r="68" spans="1:11">
      <c r="A68" s="45" t="s">
        <v>36</v>
      </c>
      <c r="B68" s="45"/>
      <c r="C68" s="45"/>
      <c r="E68" s="117" t="s">
        <v>72</v>
      </c>
      <c r="F68" s="117"/>
      <c r="G68" s="117"/>
      <c r="I68" s="117" t="s">
        <v>150</v>
      </c>
      <c r="J68" s="117"/>
      <c r="K68" s="117"/>
    </row>
    <row r="69" spans="1:11">
      <c r="A69" s="45" t="s">
        <v>33</v>
      </c>
      <c r="B69" s="45" t="s">
        <v>34</v>
      </c>
      <c r="C69" s="45" t="s">
        <v>35</v>
      </c>
      <c r="E69" s="117">
        <v>0.4124564</v>
      </c>
      <c r="F69" s="117">
        <v>0.35757610000000001</v>
      </c>
      <c r="G69" s="117">
        <v>0.1804375</v>
      </c>
      <c r="I69" s="117">
        <v>0.39358910000000003</v>
      </c>
      <c r="J69" s="117">
        <v>0.36524970000000001</v>
      </c>
      <c r="K69" s="117">
        <v>0.1916313</v>
      </c>
    </row>
    <row r="70" spans="1:11">
      <c r="A70" s="45">
        <v>116</v>
      </c>
      <c r="B70" s="45">
        <v>87</v>
      </c>
      <c r="C70" s="45">
        <v>76</v>
      </c>
      <c r="E70" s="117">
        <v>0.2126729</v>
      </c>
      <c r="F70" s="117">
        <v>0.71515220000000002</v>
      </c>
      <c r="G70" s="117">
        <v>7.2175000000000003E-2</v>
      </c>
      <c r="I70" s="117">
        <v>0.2124132</v>
      </c>
      <c r="J70" s="117">
        <v>0.70104370000000005</v>
      </c>
      <c r="K70" s="117">
        <v>8.6543200000000001E-2</v>
      </c>
    </row>
    <row r="71" spans="1:11">
      <c r="A71" s="45">
        <v>187</v>
      </c>
      <c r="B71" s="45">
        <v>142</v>
      </c>
      <c r="C71" s="45">
        <v>127</v>
      </c>
      <c r="E71" s="117">
        <v>1.9333900000000001E-2</v>
      </c>
      <c r="F71" s="117">
        <v>0.11919200000000001</v>
      </c>
      <c r="G71" s="117">
        <v>0.95030409999999998</v>
      </c>
      <c r="I71" s="117">
        <v>1.87423E-2</v>
      </c>
      <c r="J71" s="117">
        <v>0.1119313</v>
      </c>
      <c r="K71" s="117">
        <v>0.95815629999999996</v>
      </c>
    </row>
    <row r="72" spans="1:11">
      <c r="A72" s="45">
        <v>95</v>
      </c>
      <c r="B72" s="45">
        <v>121</v>
      </c>
      <c r="C72" s="45">
        <v>149</v>
      </c>
    </row>
    <row r="73" spans="1:11">
      <c r="A73" s="45">
        <v>94</v>
      </c>
      <c r="B73" s="45">
        <v>109</v>
      </c>
      <c r="C73" s="45">
        <v>74</v>
      </c>
    </row>
    <row r="74" spans="1:11">
      <c r="A74" s="45">
        <v>127</v>
      </c>
      <c r="B74" s="45">
        <v>126</v>
      </c>
      <c r="C74" s="45">
        <v>166</v>
      </c>
    </row>
    <row r="75" spans="1:11">
      <c r="A75" s="45">
        <v>96</v>
      </c>
      <c r="B75" s="45">
        <v>178</v>
      </c>
      <c r="C75" s="45">
        <v>163</v>
      </c>
    </row>
    <row r="76" spans="1:11">
      <c r="A76" s="45">
        <v>208</v>
      </c>
      <c r="B76" s="45">
        <v>122</v>
      </c>
      <c r="C76" s="45">
        <v>60</v>
      </c>
    </row>
    <row r="77" spans="1:11">
      <c r="A77" s="45">
        <v>77</v>
      </c>
      <c r="B77" s="45">
        <v>95</v>
      </c>
      <c r="C77" s="45">
        <v>161</v>
      </c>
    </row>
    <row r="78" spans="1:11">
      <c r="A78" s="45">
        <v>186</v>
      </c>
      <c r="B78" s="45">
        <v>88</v>
      </c>
      <c r="C78" s="45">
        <v>100</v>
      </c>
    </row>
    <row r="79" spans="1:11">
      <c r="A79" s="45">
        <v>97</v>
      </c>
      <c r="B79" s="45">
        <v>69</v>
      </c>
      <c r="C79" s="45">
        <v>107</v>
      </c>
    </row>
    <row r="80" spans="1:11">
      <c r="A80" s="45">
        <v>152</v>
      </c>
      <c r="B80" s="45">
        <v>178</v>
      </c>
      <c r="C80" s="45">
        <v>72</v>
      </c>
    </row>
    <row r="81" spans="1:8">
      <c r="A81" s="45">
        <v>213</v>
      </c>
      <c r="B81" s="45">
        <v>154</v>
      </c>
      <c r="C81" s="45">
        <v>54</v>
      </c>
    </row>
    <row r="84" spans="1:8">
      <c r="A84">
        <v>16</v>
      </c>
      <c r="B84">
        <v>16</v>
      </c>
      <c r="C84">
        <v>16</v>
      </c>
      <c r="D84" t="s">
        <v>50</v>
      </c>
      <c r="F84">
        <f>(A84-16)*255/219</f>
        <v>0</v>
      </c>
      <c r="G84">
        <f t="shared" ref="G84:G89" si="242">(B84-16)*255/219</f>
        <v>0</v>
      </c>
      <c r="H84">
        <f t="shared" ref="H84:H89" si="243">(C84-16)*255/219</f>
        <v>0</v>
      </c>
    </row>
    <row r="85" spans="1:8">
      <c r="A85">
        <v>152</v>
      </c>
      <c r="B85">
        <v>152</v>
      </c>
      <c r="C85">
        <v>152</v>
      </c>
      <c r="D85" s="138" t="s">
        <v>160</v>
      </c>
      <c r="F85">
        <f t="shared" ref="F85:F89" si="244">(A85-16)*255/219</f>
        <v>158.35616438356163</v>
      </c>
      <c r="G85">
        <f t="shared" si="242"/>
        <v>158.35616438356163</v>
      </c>
      <c r="H85">
        <f t="shared" si="243"/>
        <v>158.35616438356163</v>
      </c>
    </row>
    <row r="86" spans="1:8">
      <c r="A86">
        <v>176</v>
      </c>
      <c r="B86">
        <v>176</v>
      </c>
      <c r="C86">
        <v>176</v>
      </c>
      <c r="D86" s="139" t="s">
        <v>161</v>
      </c>
      <c r="F86">
        <f t="shared" si="244"/>
        <v>186.30136986301369</v>
      </c>
      <c r="G86">
        <f t="shared" si="242"/>
        <v>186.30136986301369</v>
      </c>
      <c r="H86">
        <f t="shared" si="243"/>
        <v>186.30136986301369</v>
      </c>
    </row>
    <row r="87" spans="1:8">
      <c r="A87">
        <v>196</v>
      </c>
      <c r="B87">
        <v>196</v>
      </c>
      <c r="C87">
        <v>196</v>
      </c>
      <c r="D87" s="137" t="s">
        <v>162</v>
      </c>
      <c r="F87">
        <f t="shared" si="244"/>
        <v>209.58904109589042</v>
      </c>
      <c r="G87">
        <f t="shared" si="242"/>
        <v>209.58904109589042</v>
      </c>
      <c r="H87">
        <f t="shared" si="243"/>
        <v>209.58904109589042</v>
      </c>
    </row>
    <row r="88" spans="1:8">
      <c r="A88">
        <v>213</v>
      </c>
      <c r="B88">
        <v>213</v>
      </c>
      <c r="C88">
        <v>213</v>
      </c>
      <c r="D88" s="140" t="s">
        <v>163</v>
      </c>
      <c r="F88">
        <f t="shared" si="244"/>
        <v>229.38356164383561</v>
      </c>
      <c r="G88">
        <f t="shared" si="242"/>
        <v>229.38356164383561</v>
      </c>
      <c r="H88">
        <f t="shared" si="243"/>
        <v>229.38356164383561</v>
      </c>
    </row>
    <row r="89" spans="1:8">
      <c r="A89">
        <v>235</v>
      </c>
      <c r="B89">
        <v>235</v>
      </c>
      <c r="C89">
        <v>235</v>
      </c>
      <c r="D89" t="s">
        <v>48</v>
      </c>
      <c r="F89">
        <f t="shared" si="244"/>
        <v>255</v>
      </c>
      <c r="G89">
        <f t="shared" si="242"/>
        <v>255</v>
      </c>
      <c r="H89">
        <f t="shared" si="243"/>
        <v>255</v>
      </c>
    </row>
    <row r="90" spans="1:8">
      <c r="A90">
        <v>115</v>
      </c>
      <c r="B90">
        <v>86</v>
      </c>
      <c r="C90">
        <v>73</v>
      </c>
      <c r="D90" s="69" t="s">
        <v>21</v>
      </c>
    </row>
    <row r="91" spans="1:8">
      <c r="A91">
        <v>182</v>
      </c>
      <c r="B91">
        <v>145</v>
      </c>
      <c r="C91">
        <v>128</v>
      </c>
      <c r="D91" s="70" t="s">
        <v>22</v>
      </c>
    </row>
    <row r="92" spans="1:8">
      <c r="A92">
        <v>97</v>
      </c>
      <c r="B92">
        <v>121</v>
      </c>
      <c r="C92">
        <v>150</v>
      </c>
      <c r="D92" s="71" t="s">
        <v>23</v>
      </c>
    </row>
    <row r="93" spans="1:8">
      <c r="A93">
        <v>93</v>
      </c>
      <c r="B93">
        <v>108</v>
      </c>
      <c r="C93">
        <v>73</v>
      </c>
      <c r="D93" s="72" t="s">
        <v>24</v>
      </c>
    </row>
    <row r="94" spans="1:8">
      <c r="A94">
        <v>128</v>
      </c>
      <c r="B94">
        <v>126</v>
      </c>
      <c r="C94">
        <v>167</v>
      </c>
      <c r="D94" s="73" t="s">
        <v>25</v>
      </c>
    </row>
    <row r="95" spans="1:8">
      <c r="A95">
        <v>101</v>
      </c>
      <c r="B95">
        <v>178</v>
      </c>
      <c r="C95">
        <v>161</v>
      </c>
      <c r="D95" s="74" t="s">
        <v>26</v>
      </c>
    </row>
    <row r="96" spans="1:8">
      <c r="A96">
        <v>202</v>
      </c>
      <c r="B96">
        <v>119</v>
      </c>
      <c r="C96">
        <v>51</v>
      </c>
      <c r="D96" s="75" t="s">
        <v>27</v>
      </c>
    </row>
    <row r="97" spans="1:9">
      <c r="A97">
        <v>80</v>
      </c>
      <c r="B97">
        <v>95</v>
      </c>
      <c r="C97">
        <v>156</v>
      </c>
      <c r="D97" s="76" t="s">
        <v>28</v>
      </c>
    </row>
    <row r="98" spans="1:9">
      <c r="A98">
        <v>182</v>
      </c>
      <c r="B98">
        <v>88</v>
      </c>
      <c r="C98">
        <v>99</v>
      </c>
      <c r="D98" s="77" t="s">
        <v>29</v>
      </c>
    </row>
    <row r="99" spans="1:9">
      <c r="A99">
        <v>95</v>
      </c>
      <c r="B99">
        <v>69</v>
      </c>
      <c r="C99">
        <v>108</v>
      </c>
      <c r="D99" s="78" t="s">
        <v>30</v>
      </c>
    </row>
    <row r="100" spans="1:9">
      <c r="A100">
        <v>152</v>
      </c>
      <c r="B100">
        <v>176</v>
      </c>
      <c r="C100">
        <v>71</v>
      </c>
      <c r="D100" s="79" t="s">
        <v>31</v>
      </c>
    </row>
    <row r="101" spans="1:9">
      <c r="A101">
        <v>213</v>
      </c>
      <c r="B101">
        <v>154</v>
      </c>
      <c r="C101">
        <v>55</v>
      </c>
      <c r="D101" s="80" t="s">
        <v>32</v>
      </c>
    </row>
    <row r="102" spans="1:9">
      <c r="A102">
        <v>60</v>
      </c>
      <c r="B102">
        <v>69</v>
      </c>
      <c r="C102">
        <v>145</v>
      </c>
      <c r="D102" s="136" t="s">
        <v>164</v>
      </c>
      <c r="F102">
        <f>(A102-16)*255/219</f>
        <v>51.232876712328768</v>
      </c>
      <c r="G102">
        <f t="shared" ref="G102:H102" si="245">(B102-16)*255/219</f>
        <v>61.712328767123289</v>
      </c>
      <c r="H102">
        <f t="shared" si="245"/>
        <v>150.20547945205479</v>
      </c>
    </row>
    <row r="103" spans="1:9">
      <c r="A103">
        <v>77</v>
      </c>
      <c r="B103">
        <v>143</v>
      </c>
      <c r="C103">
        <v>77</v>
      </c>
      <c r="D103" s="135" t="s">
        <v>165</v>
      </c>
      <c r="F103">
        <f t="shared" ref="F103:F107" si="246">(A103-16)*255/219</f>
        <v>71.027397260273972</v>
      </c>
      <c r="G103">
        <f t="shared" ref="G103:G107" si="247">(B103-16)*255/219</f>
        <v>147.87671232876713</v>
      </c>
      <c r="H103">
        <f t="shared" ref="H103:H107" si="248">(C103-16)*255/219</f>
        <v>71.027397260273972</v>
      </c>
    </row>
    <row r="104" spans="1:9">
      <c r="A104">
        <v>167</v>
      </c>
      <c r="B104">
        <v>58</v>
      </c>
      <c r="C104">
        <v>66</v>
      </c>
      <c r="D104" s="134" t="s">
        <v>166</v>
      </c>
      <c r="F104">
        <f t="shared" si="246"/>
        <v>175.82191780821918</v>
      </c>
      <c r="G104">
        <f t="shared" si="247"/>
        <v>48.904109589041099</v>
      </c>
      <c r="H104">
        <f t="shared" si="248"/>
        <v>58.219178082191782</v>
      </c>
    </row>
    <row r="105" spans="1:9">
      <c r="A105">
        <v>220</v>
      </c>
      <c r="B105">
        <v>187</v>
      </c>
      <c r="C105">
        <v>44</v>
      </c>
      <c r="D105" s="133" t="s">
        <v>167</v>
      </c>
      <c r="F105">
        <f t="shared" si="246"/>
        <v>237.53424657534248</v>
      </c>
      <c r="G105">
        <f t="shared" si="247"/>
        <v>199.10958904109589</v>
      </c>
      <c r="H105">
        <f t="shared" si="248"/>
        <v>32.602739726027394</v>
      </c>
    </row>
    <row r="106" spans="1:9">
      <c r="A106">
        <v>176</v>
      </c>
      <c r="B106">
        <v>88</v>
      </c>
      <c r="C106">
        <v>141</v>
      </c>
      <c r="D106" s="132" t="s">
        <v>168</v>
      </c>
      <c r="F106">
        <f t="shared" si="246"/>
        <v>186.30136986301369</v>
      </c>
      <c r="G106">
        <f t="shared" si="247"/>
        <v>83.835616438356169</v>
      </c>
      <c r="H106">
        <f t="shared" si="248"/>
        <v>145.54794520547946</v>
      </c>
    </row>
    <row r="107" spans="1:9">
      <c r="A107">
        <v>16</v>
      </c>
      <c r="B107">
        <v>130</v>
      </c>
      <c r="C107">
        <v>156</v>
      </c>
      <c r="D107" s="131" t="s">
        <v>169</v>
      </c>
      <c r="F107">
        <f t="shared" si="246"/>
        <v>0</v>
      </c>
      <c r="G107">
        <f t="shared" si="247"/>
        <v>132.73972602739727</v>
      </c>
      <c r="H107">
        <f t="shared" si="248"/>
        <v>163.01369863013699</v>
      </c>
    </row>
    <row r="112" spans="1:9">
      <c r="H112" t="s">
        <v>98</v>
      </c>
      <c r="I112" s="19" t="s">
        <v>47</v>
      </c>
    </row>
    <row r="113" spans="1:20">
      <c r="A113" t="s">
        <v>114</v>
      </c>
      <c r="D113" t="s">
        <v>97</v>
      </c>
      <c r="E113">
        <v>0.95047000000000004</v>
      </c>
      <c r="F113">
        <v>1</v>
      </c>
      <c r="G113">
        <v>1.08883</v>
      </c>
      <c r="H113">
        <v>8.8559999999999993E-3</v>
      </c>
      <c r="I113">
        <v>903.3</v>
      </c>
      <c r="Q113" t="s">
        <v>158</v>
      </c>
    </row>
    <row r="114" spans="1:20">
      <c r="A114" t="s">
        <v>116</v>
      </c>
      <c r="B114" t="s">
        <v>84</v>
      </c>
      <c r="C114" t="s">
        <v>3</v>
      </c>
      <c r="D114" t="s">
        <v>85</v>
      </c>
      <c r="E114" t="s">
        <v>86</v>
      </c>
      <c r="F114" t="s">
        <v>87</v>
      </c>
      <c r="G114" t="s">
        <v>88</v>
      </c>
      <c r="H114" t="s">
        <v>89</v>
      </c>
      <c r="I114" t="s">
        <v>90</v>
      </c>
      <c r="J114" t="s">
        <v>91</v>
      </c>
      <c r="K114" t="s">
        <v>83</v>
      </c>
      <c r="L114" t="s">
        <v>42</v>
      </c>
      <c r="M114" t="s">
        <v>43</v>
      </c>
      <c r="N114" t="s">
        <v>94</v>
      </c>
      <c r="O114" t="s">
        <v>95</v>
      </c>
      <c r="P114" t="s">
        <v>96</v>
      </c>
      <c r="Q114" t="s">
        <v>154</v>
      </c>
      <c r="R114" t="s">
        <v>155</v>
      </c>
      <c r="S114" t="s">
        <v>156</v>
      </c>
      <c r="T114" t="s">
        <v>157</v>
      </c>
    </row>
    <row r="115" spans="1:20">
      <c r="B115">
        <f>'Color Targets'!B34*'Color Targets'!D34/'Color Targets'!C34</f>
        <v>0.10570765178965069</v>
      </c>
      <c r="C115" s="67">
        <f>'Color Targets'!D34</f>
        <v>9.3552266027916331E-2</v>
      </c>
      <c r="D115">
        <f>(1-'Color Targets'!B34-'Color Targets'!C34)*'Color Targets'!D34/'Color Targets'!C34</f>
        <v>6.2902838006154316E-2</v>
      </c>
      <c r="E115">
        <f t="shared" ref="E115:E126" si="249">B115/$E$113</f>
        <v>0.11121618966369343</v>
      </c>
      <c r="F115">
        <f t="shared" ref="F115:F126" si="250">C115/$F$113</f>
        <v>9.3552266027916331E-2</v>
      </c>
      <c r="G115">
        <f t="shared" ref="G115:G126" si="251">D115/$G$113</f>
        <v>5.7771036806622079E-2</v>
      </c>
      <c r="H115">
        <f t="shared" ref="H115:H126" si="252">IF(E115&gt;$H$113,E115^(1/3),($I$113*E115+16)/116)</f>
        <v>0.48090135851772525</v>
      </c>
      <c r="I115">
        <f t="shared" ref="I115:I126" si="253">IF(F115&gt;$H$113,F115^(1/3),($I$113*F115+16)/116)</f>
        <v>0.45396053986946666</v>
      </c>
      <c r="J115">
        <f t="shared" ref="J115:J126" si="254">IF(G115&gt;$H$113,G115^(1/3),($I$113*G115+16)/116)</f>
        <v>0.38657763125203615</v>
      </c>
      <c r="K115">
        <f t="shared" ref="K115:K126" si="255">116*I115-16</f>
        <v>36.659422624858131</v>
      </c>
      <c r="L115">
        <f t="shared" ref="L115:L126" si="256">500*(H115-I115)</f>
        <v>13.470409324129296</v>
      </c>
      <c r="M115">
        <f t="shared" ref="M115:M126" si="257">200*(I115-J115)</f>
        <v>13.476581723486103</v>
      </c>
      <c r="N115">
        <v>1</v>
      </c>
      <c r="O115">
        <f t="shared" ref="O115:O126" si="258">1+0.045*SQRT(L115^2+M115^2)</f>
        <v>1.8574480270993181</v>
      </c>
      <c r="P115">
        <f t="shared" ref="P115:P126" si="259">1+0.015*SQRT(L115^2+M115^2)</f>
        <v>1.2858160090331059</v>
      </c>
      <c r="Q115">
        <f>4*B115/(B115+15*C115+3*D115)</f>
        <v>0.24906082832574186</v>
      </c>
      <c r="R115">
        <f>9*C115/(B115+15*C115+3*D115)</f>
        <v>0.49594764491423948</v>
      </c>
      <c r="S115">
        <f t="shared" ref="S115:S126" si="260">Q115-Q130</f>
        <v>-1.8494007973511029E-3</v>
      </c>
      <c r="T115">
        <f t="shared" ref="T115:T126" si="261">R115-R130</f>
        <v>-2.5745478433070734E-3</v>
      </c>
    </row>
    <row r="116" spans="1:20">
      <c r="B116">
        <f>'Color Targets'!B35*'Color Targets'!D35/'Color Targets'!C35</f>
        <v>0.3763130897357827</v>
      </c>
      <c r="C116" s="67">
        <f>'Color Targets'!D35</f>
        <v>0.33962993545525066</v>
      </c>
      <c r="D116">
        <f>(1-'Color Targets'!B35-'Color Targets'!C35)*'Color Targets'!D35/'Color Targets'!C35</f>
        <v>0.24799655037190704</v>
      </c>
      <c r="E116">
        <f t="shared" si="249"/>
        <v>0.39592316405124062</v>
      </c>
      <c r="F116">
        <f t="shared" si="250"/>
        <v>0.33962993545525066</v>
      </c>
      <c r="G116">
        <f t="shared" si="251"/>
        <v>0.22776425187761823</v>
      </c>
      <c r="H116">
        <f t="shared" si="252"/>
        <v>0.73429454829461038</v>
      </c>
      <c r="I116">
        <f t="shared" si="253"/>
        <v>0.69769988949421291</v>
      </c>
      <c r="J116">
        <f t="shared" si="254"/>
        <v>0.61070084445809258</v>
      </c>
      <c r="K116">
        <f t="shared" si="255"/>
        <v>64.933187181328691</v>
      </c>
      <c r="L116">
        <f t="shared" si="256"/>
        <v>18.297329400198738</v>
      </c>
      <c r="M116">
        <f t="shared" si="257"/>
        <v>17.399809007224064</v>
      </c>
      <c r="N116">
        <v>1</v>
      </c>
      <c r="O116">
        <f t="shared" si="258"/>
        <v>2.1362349553464663</v>
      </c>
      <c r="P116">
        <f t="shared" si="259"/>
        <v>1.3787449851154889</v>
      </c>
      <c r="Q116">
        <f t="shared" ref="Q116:Q126" si="262">4*B116/(B116+15*C116+3*D116)</f>
        <v>0.24220635256264689</v>
      </c>
      <c r="R116">
        <f t="shared" ref="R116:R126" si="263">9*C116/(B116+15*C116+3*D116)</f>
        <v>0.49184095051619287</v>
      </c>
      <c r="S116">
        <f t="shared" si="260"/>
        <v>-5.0663611454988267E-3</v>
      </c>
      <c r="T116">
        <f t="shared" si="261"/>
        <v>-1.1744486185111813E-3</v>
      </c>
    </row>
    <row r="117" spans="1:20">
      <c r="B117">
        <f>'Color Targets'!B36*'Color Targets'!D36/'Color Targets'!C36</f>
        <v>0.1645641101412148</v>
      </c>
      <c r="C117" s="67">
        <f>'Color Targets'!D36</f>
        <v>0.17780171384872101</v>
      </c>
      <c r="D117">
        <f>(1-'Color Targets'!B36-'Color Targets'!C36)*'Color Targets'!D36/'Color Targets'!C36</f>
        <v>0.32730653109756241</v>
      </c>
      <c r="E117">
        <f t="shared" si="249"/>
        <v>0.17313972049745369</v>
      </c>
      <c r="F117">
        <f t="shared" si="250"/>
        <v>0.17780171384872101</v>
      </c>
      <c r="G117">
        <f t="shared" si="251"/>
        <v>0.30060388774883356</v>
      </c>
      <c r="H117">
        <f t="shared" si="252"/>
        <v>0.5573554310173473</v>
      </c>
      <c r="I117">
        <f t="shared" si="253"/>
        <v>0.56231367798214871</v>
      </c>
      <c r="J117">
        <f t="shared" si="254"/>
        <v>0.66988182942174923</v>
      </c>
      <c r="K117">
        <f t="shared" si="255"/>
        <v>49.228386645929248</v>
      </c>
      <c r="L117">
        <f t="shared" si="256"/>
        <v>-2.4791234824007025</v>
      </c>
      <c r="M117">
        <f t="shared" si="257"/>
        <v>-21.513630287920105</v>
      </c>
      <c r="N117">
        <v>1</v>
      </c>
      <c r="O117">
        <f t="shared" si="258"/>
        <v>1.9745200056170038</v>
      </c>
      <c r="P117">
        <f t="shared" si="259"/>
        <v>1.3248400018723347</v>
      </c>
      <c r="Q117">
        <f t="shared" si="262"/>
        <v>0.17261172573422739</v>
      </c>
      <c r="R117">
        <f t="shared" si="263"/>
        <v>0.41961753652779199</v>
      </c>
      <c r="S117">
        <f t="shared" si="260"/>
        <v>2.4287922410259344E-3</v>
      </c>
      <c r="T117">
        <f t="shared" si="261"/>
        <v>1.1351637794952962E-3</v>
      </c>
    </row>
    <row r="118" spans="1:20">
      <c r="A118" s="47"/>
      <c r="B118">
        <f>'Color Targets'!B37*'Color Targets'!D37/'Color Targets'!C37</f>
        <v>9.8337153154356843E-2</v>
      </c>
      <c r="C118" s="67">
        <f>'Color Targets'!D37</f>
        <v>0.12468342960299562</v>
      </c>
      <c r="D118">
        <f>(1-'Color Targets'!B37-'Color Targets'!C37)*'Color Targets'!D37/'Color Targets'!C37</f>
        <v>6.619515565567935E-2</v>
      </c>
      <c r="E118">
        <f t="shared" si="249"/>
        <v>0.10346160652556824</v>
      </c>
      <c r="F118">
        <f t="shared" si="250"/>
        <v>0.12468342960299562</v>
      </c>
      <c r="G118">
        <f t="shared" si="251"/>
        <v>6.0794757359440274E-2</v>
      </c>
      <c r="H118">
        <f t="shared" si="252"/>
        <v>0.46945403107378203</v>
      </c>
      <c r="I118">
        <f t="shared" si="253"/>
        <v>0.49957754930867759</v>
      </c>
      <c r="J118">
        <f t="shared" si="254"/>
        <v>0.39320772655536218</v>
      </c>
      <c r="K118">
        <f t="shared" si="255"/>
        <v>41.950995719806599</v>
      </c>
      <c r="L118">
        <f t="shared" si="256"/>
        <v>-15.061759117447782</v>
      </c>
      <c r="M118">
        <f t="shared" si="257"/>
        <v>21.273964550663081</v>
      </c>
      <c r="N118">
        <v>1</v>
      </c>
      <c r="O118">
        <f t="shared" si="258"/>
        <v>2.1729715532420868</v>
      </c>
      <c r="P118">
        <f t="shared" si="259"/>
        <v>1.3909905177473623</v>
      </c>
      <c r="Q118">
        <f t="shared" si="262"/>
        <v>0.18150300851295076</v>
      </c>
      <c r="R118">
        <f t="shared" si="263"/>
        <v>0.51779452559046324</v>
      </c>
      <c r="S118">
        <f t="shared" si="260"/>
        <v>2.647897590431908E-3</v>
      </c>
      <c r="T118">
        <f t="shared" si="261"/>
        <v>-3.8713787130982835E-3</v>
      </c>
    </row>
    <row r="119" spans="1:20">
      <c r="A119" s="47"/>
      <c r="B119">
        <f>'Color Targets'!B38*'Color Targets'!D38/'Color Targets'!C38</f>
        <v>0.23890929922819834</v>
      </c>
      <c r="C119" s="67">
        <f>'Color Targets'!D38</f>
        <v>0.22545804013241325</v>
      </c>
      <c r="D119">
        <f>(1-'Color Targets'!B38-'Color Targets'!C38)*'Color Targets'!D38/'Color Targets'!C38</f>
        <v>0.42881986134540528</v>
      </c>
      <c r="E119">
        <f t="shared" si="249"/>
        <v>0.25135911625637669</v>
      </c>
      <c r="F119">
        <f t="shared" si="250"/>
        <v>0.22545804013241325</v>
      </c>
      <c r="G119">
        <f t="shared" si="251"/>
        <v>0.39383545764297945</v>
      </c>
      <c r="H119">
        <f t="shared" si="252"/>
        <v>0.63110004856241997</v>
      </c>
      <c r="I119">
        <f t="shared" si="253"/>
        <v>0.60863264463840405</v>
      </c>
      <c r="J119">
        <f t="shared" si="254"/>
        <v>0.73300162583958028</v>
      </c>
      <c r="K119">
        <f t="shared" si="255"/>
        <v>54.601386778054874</v>
      </c>
      <c r="L119">
        <f t="shared" si="256"/>
        <v>11.233701962007958</v>
      </c>
      <c r="M119">
        <f t="shared" si="257"/>
        <v>-24.873796240235247</v>
      </c>
      <c r="N119">
        <v>1</v>
      </c>
      <c r="O119">
        <f t="shared" si="258"/>
        <v>2.2281800125890436</v>
      </c>
      <c r="P119">
        <f t="shared" si="259"/>
        <v>1.4093933375296812</v>
      </c>
      <c r="Q119">
        <f t="shared" si="262"/>
        <v>0.19474028112650568</v>
      </c>
      <c r="R119">
        <f t="shared" si="263"/>
        <v>0.41349568678898335</v>
      </c>
      <c r="S119">
        <f t="shared" si="260"/>
        <v>-8.6519501550241795E-4</v>
      </c>
      <c r="T119">
        <f t="shared" si="261"/>
        <v>3.5219519287346679E-3</v>
      </c>
    </row>
    <row r="120" spans="1:20">
      <c r="A120" s="47"/>
      <c r="B120">
        <f>'Color Targets'!B39*'Color Targets'!D39/'Color Targets'!C39</f>
        <v>0.29400258781468619</v>
      </c>
      <c r="C120" s="67">
        <f>'Color Targets'!D39</f>
        <v>0.41108936883738545</v>
      </c>
      <c r="D120">
        <f>(1-'Color Targets'!B39-'Color Targets'!C39)*'Color Targets'!D39/'Color Targets'!C39</f>
        <v>0.44367863871102903</v>
      </c>
      <c r="E120">
        <f t="shared" si="249"/>
        <v>0.30932337455646802</v>
      </c>
      <c r="F120">
        <f t="shared" si="250"/>
        <v>0.41108936883738545</v>
      </c>
      <c r="G120">
        <f t="shared" si="251"/>
        <v>0.40748201161892034</v>
      </c>
      <c r="H120">
        <f t="shared" si="252"/>
        <v>0.67629718513246717</v>
      </c>
      <c r="I120">
        <f t="shared" si="253"/>
        <v>0.74355325969217168</v>
      </c>
      <c r="J120">
        <f t="shared" si="254"/>
        <v>0.74137194453493505</v>
      </c>
      <c r="K120">
        <f t="shared" si="255"/>
        <v>70.252178124291916</v>
      </c>
      <c r="L120">
        <f t="shared" si="256"/>
        <v>-33.628037279852251</v>
      </c>
      <c r="M120">
        <f t="shared" si="257"/>
        <v>0.43626303144732592</v>
      </c>
      <c r="N120">
        <v>1</v>
      </c>
      <c r="O120">
        <f t="shared" si="258"/>
        <v>2.5133890160410424</v>
      </c>
      <c r="P120">
        <f t="shared" si="259"/>
        <v>1.504463005347014</v>
      </c>
      <c r="Q120">
        <f t="shared" si="262"/>
        <v>0.15093738165583256</v>
      </c>
      <c r="R120">
        <f t="shared" si="263"/>
        <v>0.47485872554782188</v>
      </c>
      <c r="S120">
        <f t="shared" si="260"/>
        <v>-8.3751681139579426E-4</v>
      </c>
      <c r="T120">
        <f t="shared" si="261"/>
        <v>-1.5400477063370888E-4</v>
      </c>
    </row>
    <row r="121" spans="1:20">
      <c r="A121" s="47"/>
      <c r="B121">
        <f>'Color Targets'!B40*'Color Targets'!D40/'Color Targets'!C40</f>
        <v>0.38024045331612633</v>
      </c>
      <c r="C121" s="67">
        <f>'Color Targets'!D40</f>
        <v>0.29738540978418271</v>
      </c>
      <c r="D121">
        <f>(1-'Color Targets'!B40-'Color Targets'!C40)*'Color Targets'!D40/'Color Targets'!C40</f>
        <v>6.4810478546080075E-2</v>
      </c>
      <c r="E121">
        <f t="shared" si="249"/>
        <v>0.40005518671407442</v>
      </c>
      <c r="F121">
        <f t="shared" si="250"/>
        <v>0.29738540978418271</v>
      </c>
      <c r="G121">
        <f t="shared" si="251"/>
        <v>5.9523046339722524E-2</v>
      </c>
      <c r="H121">
        <f t="shared" si="252"/>
        <v>0.73684018310202448</v>
      </c>
      <c r="I121">
        <f t="shared" si="253"/>
        <v>0.66748250299195833</v>
      </c>
      <c r="J121">
        <f t="shared" si="254"/>
        <v>0.39044666409226358</v>
      </c>
      <c r="K121">
        <f t="shared" si="255"/>
        <v>61.427970347067159</v>
      </c>
      <c r="L121">
        <f t="shared" si="256"/>
        <v>34.678840055033078</v>
      </c>
      <c r="M121">
        <f t="shared" si="257"/>
        <v>55.407167779938945</v>
      </c>
      <c r="N121">
        <v>1</v>
      </c>
      <c r="O121">
        <f t="shared" si="258"/>
        <v>3.9414225780458105</v>
      </c>
      <c r="P121">
        <f t="shared" si="259"/>
        <v>1.9804741926819367</v>
      </c>
      <c r="Q121">
        <f t="shared" si="262"/>
        <v>0.3020506402256421</v>
      </c>
      <c r="R121">
        <f t="shared" si="263"/>
        <v>0.5315249033350351</v>
      </c>
      <c r="S121">
        <f t="shared" si="260"/>
        <v>1.5244357501165151E-3</v>
      </c>
      <c r="T121">
        <f t="shared" si="261"/>
        <v>6.735517485015885E-4</v>
      </c>
    </row>
    <row r="122" spans="1:20">
      <c r="A122" s="47"/>
      <c r="B122">
        <f>'Color Targets'!B41*'Color Targets'!D41/'Color Targets'!C41</f>
        <v>0.12763059842936422</v>
      </c>
      <c r="C122" s="67">
        <f>'Color Targets'!D41</f>
        <v>0.10906318811781189</v>
      </c>
      <c r="D122">
        <f>(1-'Color Targets'!B41-'Color Targets'!C41)*'Color Targets'!D41/'Color Targets'!C41</f>
        <v>0.38233464175181286</v>
      </c>
      <c r="E122">
        <f t="shared" si="249"/>
        <v>0.13428156430961968</v>
      </c>
      <c r="F122">
        <f t="shared" si="250"/>
        <v>0.10906318811781189</v>
      </c>
      <c r="G122">
        <f t="shared" si="251"/>
        <v>0.35114264095571657</v>
      </c>
      <c r="H122">
        <f t="shared" si="252"/>
        <v>0.5120811591996971</v>
      </c>
      <c r="I122">
        <f t="shared" si="253"/>
        <v>0.47777790625136235</v>
      </c>
      <c r="J122">
        <f t="shared" si="254"/>
        <v>0.7054959479697861</v>
      </c>
      <c r="K122">
        <f t="shared" si="255"/>
        <v>39.422237125158034</v>
      </c>
      <c r="L122">
        <f t="shared" si="256"/>
        <v>17.151626474167376</v>
      </c>
      <c r="M122">
        <f t="shared" si="257"/>
        <v>-45.543608343684753</v>
      </c>
      <c r="N122">
        <v>1</v>
      </c>
      <c r="O122">
        <f t="shared" si="258"/>
        <v>3.1899787823484567</v>
      </c>
      <c r="P122">
        <f t="shared" si="259"/>
        <v>1.7299929274494854</v>
      </c>
      <c r="Q122">
        <f t="shared" si="262"/>
        <v>0.17540214744832391</v>
      </c>
      <c r="R122">
        <f t="shared" si="263"/>
        <v>0.33724134092755936</v>
      </c>
      <c r="S122">
        <f t="shared" si="260"/>
        <v>-1.3127933737291653E-3</v>
      </c>
      <c r="T122">
        <f t="shared" si="261"/>
        <v>-9.4561387401148611E-4</v>
      </c>
    </row>
    <row r="123" spans="1:20">
      <c r="A123" s="47"/>
      <c r="B123">
        <f>'Color Targets'!B42*'Color Targets'!D42/'Color Targets'!C42</f>
        <v>0.28141575872301844</v>
      </c>
      <c r="C123" s="67">
        <f>'Color Targets'!D42</f>
        <v>0.18424454535393442</v>
      </c>
      <c r="D123">
        <f>(1-'Color Targets'!B42-'Color Targets'!C42)*'Color Targets'!D42/'Color Targets'!C42</f>
        <v>0.12625736574051041</v>
      </c>
      <c r="E123">
        <f t="shared" si="249"/>
        <v>0.29608063244817662</v>
      </c>
      <c r="F123">
        <f t="shared" si="250"/>
        <v>0.18424454535393442</v>
      </c>
      <c r="G123">
        <f t="shared" si="251"/>
        <v>0.11595691314577153</v>
      </c>
      <c r="H123">
        <f t="shared" si="252"/>
        <v>0.66650487952113235</v>
      </c>
      <c r="I123">
        <f t="shared" si="253"/>
        <v>0.56902526067549697</v>
      </c>
      <c r="J123">
        <f t="shared" si="254"/>
        <v>0.48763950514008297</v>
      </c>
      <c r="K123">
        <f t="shared" si="255"/>
        <v>50.006930238357654</v>
      </c>
      <c r="L123">
        <f t="shared" si="256"/>
        <v>48.739809422817693</v>
      </c>
      <c r="M123">
        <f t="shared" si="257"/>
        <v>16.277151107082798</v>
      </c>
      <c r="N123">
        <v>1</v>
      </c>
      <c r="O123">
        <f t="shared" si="258"/>
        <v>3.3123672304024665</v>
      </c>
      <c r="P123">
        <f t="shared" si="259"/>
        <v>1.7707890768008223</v>
      </c>
      <c r="Q123">
        <f t="shared" si="262"/>
        <v>0.32877055079798007</v>
      </c>
      <c r="R123">
        <f t="shared" si="263"/>
        <v>0.48430801138468366</v>
      </c>
      <c r="S123">
        <f t="shared" si="260"/>
        <v>2.0641348772908463E-3</v>
      </c>
      <c r="T123">
        <f t="shared" si="261"/>
        <v>1.8429173757447681E-3</v>
      </c>
    </row>
    <row r="124" spans="1:20">
      <c r="A124" s="47"/>
      <c r="B124">
        <f>'Color Targets'!B43*'Color Targets'!D43/'Color Targets'!C43</f>
        <v>8.1329714411322862E-2</v>
      </c>
      <c r="C124" s="67">
        <f>'Color Targets'!D43</f>
        <v>6.1107966463616679E-2</v>
      </c>
      <c r="D124">
        <f>(1-'Color Targets'!B43-'Color Targets'!C43)*'Color Targets'!D43/'Color Targets'!C43</f>
        <v>0.13449368778820542</v>
      </c>
      <c r="E124">
        <f t="shared" si="249"/>
        <v>8.556789210740251E-2</v>
      </c>
      <c r="F124">
        <f t="shared" si="250"/>
        <v>6.1107966463616679E-2</v>
      </c>
      <c r="G124">
        <f t="shared" si="251"/>
        <v>0.12352129146717616</v>
      </c>
      <c r="H124">
        <f t="shared" si="252"/>
        <v>0.44065998082187852</v>
      </c>
      <c r="I124">
        <f t="shared" si="253"/>
        <v>0.39388182715101966</v>
      </c>
      <c r="J124">
        <f t="shared" si="254"/>
        <v>0.49802056261924865</v>
      </c>
      <c r="K124">
        <f t="shared" si="255"/>
        <v>29.690291949518283</v>
      </c>
      <c r="L124">
        <f t="shared" si="256"/>
        <v>23.389076835429428</v>
      </c>
      <c r="M124">
        <f t="shared" si="257"/>
        <v>-20.827747093645797</v>
      </c>
      <c r="N124">
        <v>1</v>
      </c>
      <c r="O124">
        <f t="shared" si="258"/>
        <v>2.4093292828598454</v>
      </c>
      <c r="P124">
        <f t="shared" si="259"/>
        <v>1.4697764276199485</v>
      </c>
      <c r="Q124">
        <f t="shared" si="262"/>
        <v>0.23213345930315624</v>
      </c>
      <c r="R124">
        <f t="shared" si="263"/>
        <v>0.39243600490822389</v>
      </c>
      <c r="S124">
        <f t="shared" si="260"/>
        <v>-3.3250824898978237E-3</v>
      </c>
      <c r="T124">
        <f t="shared" si="261"/>
        <v>5.8212970904272798E-3</v>
      </c>
    </row>
    <row r="125" spans="1:20">
      <c r="A125" s="47"/>
      <c r="B125">
        <f>'Color Targets'!B44*'Color Targets'!D44/'Color Targets'!C44</f>
        <v>0.32727661290860105</v>
      </c>
      <c r="C125" s="67">
        <f>'Color Targets'!D44</f>
        <v>0.43565985193703738</v>
      </c>
      <c r="D125">
        <f>(1-'Color Targets'!B44-'Color Targets'!C44)*'Color Targets'!D44/'Color Targets'!C44</f>
        <v>0.11056011885170745</v>
      </c>
      <c r="E125">
        <f t="shared" si="249"/>
        <v>0.34433134439656277</v>
      </c>
      <c r="F125">
        <f t="shared" si="250"/>
        <v>0.43565985193703738</v>
      </c>
      <c r="G125">
        <f t="shared" si="251"/>
        <v>0.10154029449198447</v>
      </c>
      <c r="H125">
        <f t="shared" si="252"/>
        <v>0.70090450719503206</v>
      </c>
      <c r="I125">
        <f t="shared" si="253"/>
        <v>0.75808140947776981</v>
      </c>
      <c r="J125">
        <f t="shared" si="254"/>
        <v>0.46652988912622773</v>
      </c>
      <c r="K125">
        <f t="shared" si="255"/>
        <v>71.937443499421292</v>
      </c>
      <c r="L125">
        <f t="shared" si="256"/>
        <v>-28.588451141368875</v>
      </c>
      <c r="M125">
        <f t="shared" si="257"/>
        <v>58.310304070308419</v>
      </c>
      <c r="N125">
        <v>1</v>
      </c>
      <c r="O125">
        <f t="shared" si="258"/>
        <v>3.9223649628946724</v>
      </c>
      <c r="P125">
        <f t="shared" si="259"/>
        <v>1.9741216542982243</v>
      </c>
      <c r="Q125">
        <f t="shared" si="262"/>
        <v>0.18197565803005106</v>
      </c>
      <c r="R125">
        <f t="shared" si="263"/>
        <v>0.54504001046732087</v>
      </c>
      <c r="S125">
        <f t="shared" si="260"/>
        <v>-9.8474701050366154E-4</v>
      </c>
      <c r="T125">
        <f t="shared" si="261"/>
        <v>1.5799866014101216E-3</v>
      </c>
    </row>
    <row r="126" spans="1:20">
      <c r="B126">
        <f>'Color Targets'!B45*'Color Targets'!D45/'Color Targets'!C45</f>
        <v>0.45249333337873726</v>
      </c>
      <c r="C126" s="67">
        <f>'Color Targets'!D45</f>
        <v>0.41714884143767178</v>
      </c>
      <c r="D126">
        <f>(1-'Color Targets'!B45-'Color Targets'!C45)*'Color Targets'!D45/'Color Targets'!C45</f>
        <v>7.7359201586306534E-2</v>
      </c>
      <c r="E126">
        <f t="shared" si="249"/>
        <v>0.47607324100575216</v>
      </c>
      <c r="F126">
        <f t="shared" si="250"/>
        <v>0.41714884143767178</v>
      </c>
      <c r="G126">
        <f t="shared" si="251"/>
        <v>7.1048007114339742E-2</v>
      </c>
      <c r="H126">
        <f t="shared" si="252"/>
        <v>0.78083257636394032</v>
      </c>
      <c r="I126">
        <f t="shared" si="253"/>
        <v>0.74718878940332423</v>
      </c>
      <c r="J126">
        <f t="shared" si="254"/>
        <v>0.41417508194880348</v>
      </c>
      <c r="K126">
        <f t="shared" si="255"/>
        <v>70.673899570785608</v>
      </c>
      <c r="L126">
        <f t="shared" si="256"/>
        <v>16.821893480308049</v>
      </c>
      <c r="M126">
        <f t="shared" si="257"/>
        <v>66.602741490904151</v>
      </c>
      <c r="N126">
        <v>1</v>
      </c>
      <c r="O126">
        <f t="shared" si="258"/>
        <v>4.0912416729517034</v>
      </c>
      <c r="P126">
        <f t="shared" si="259"/>
        <v>2.0304138909839011</v>
      </c>
      <c r="Q126">
        <f t="shared" si="262"/>
        <v>0.26073531438167874</v>
      </c>
      <c r="R126">
        <f t="shared" si="263"/>
        <v>0.54083056955587727</v>
      </c>
      <c r="S126">
        <f t="shared" si="260"/>
        <v>-2.1544902321473658E-3</v>
      </c>
      <c r="T126">
        <f t="shared" si="261"/>
        <v>1.0981582922775512E-3</v>
      </c>
    </row>
    <row r="127" spans="1:20">
      <c r="B127" s="47"/>
      <c r="C127" s="47"/>
      <c r="D127" s="47"/>
      <c r="N127" t="s">
        <v>92</v>
      </c>
      <c r="O127" t="s">
        <v>93</v>
      </c>
    </row>
    <row r="128" spans="1:20" ht="22" customHeight="1">
      <c r="J128" s="47"/>
      <c r="N128">
        <v>1</v>
      </c>
      <c r="Q128" t="s">
        <v>82</v>
      </c>
    </row>
    <row r="129" spans="1:26">
      <c r="A129" t="s">
        <v>117</v>
      </c>
      <c r="B129" t="s">
        <v>84</v>
      </c>
      <c r="C129" t="s">
        <v>3</v>
      </c>
      <c r="D129" t="s">
        <v>85</v>
      </c>
      <c r="E129" t="s">
        <v>86</v>
      </c>
      <c r="F129" t="s">
        <v>87</v>
      </c>
      <c r="G129" t="s">
        <v>88</v>
      </c>
      <c r="H129" t="s">
        <v>89</v>
      </c>
      <c r="I129" t="s">
        <v>90</v>
      </c>
      <c r="J129" t="s">
        <v>91</v>
      </c>
      <c r="K129" t="s">
        <v>83</v>
      </c>
      <c r="L129" t="s">
        <v>42</v>
      </c>
      <c r="M129" t="s">
        <v>43</v>
      </c>
      <c r="Q129" t="s">
        <v>154</v>
      </c>
      <c r="R129" t="s">
        <v>155</v>
      </c>
    </row>
    <row r="130" spans="1:26">
      <c r="B130">
        <f>'Color Targets'!H34*'Color Targets'!J34/'Color Targets'!I34</f>
        <v>0.1037496008193533</v>
      </c>
      <c r="C130" s="67">
        <f>'Color Targets'!J34</f>
        <v>9.1615729885980393E-2</v>
      </c>
      <c r="D130">
        <f>(1-'Color Targets'!H34-'Color Targets'!I34)*'Color Targets'!J34/'Color Targets'!I34</f>
        <v>5.8662030458944421E-2</v>
      </c>
      <c r="E130">
        <f t="shared" ref="E130:E141" si="264">B130/$E$113</f>
        <v>0.10915610258014803</v>
      </c>
      <c r="F130">
        <f t="shared" ref="F130:F141" si="265">C130/$F$113</f>
        <v>9.1615729885980393E-2</v>
      </c>
      <c r="G130">
        <f t="shared" ref="G130:G141" si="266">D130/$G$113</f>
        <v>5.3876206991857703E-2</v>
      </c>
      <c r="H130">
        <f t="shared" ref="H130:H141" si="267">IF(E130&gt;$H$113,E130^(1/3),($I$113*E130+16)/116)</f>
        <v>0.47791354589764284</v>
      </c>
      <c r="I130">
        <f t="shared" ref="I130:I141" si="268">IF(F130&gt;$H$113,F130^(1/3),($I$113*F130+16)/116)</f>
        <v>0.45080634010340981</v>
      </c>
      <c r="J130">
        <f t="shared" ref="J130:J141" si="269">IF(G130&gt;$H$113,G130^(1/3),($I$113*G130+16)/116)</f>
        <v>0.37768726172119377</v>
      </c>
      <c r="K130">
        <f t="shared" ref="K130:K141" si="270">116*I130-16</f>
        <v>36.293535451995538</v>
      </c>
      <c r="L130">
        <f t="shared" ref="L130:L141" si="271">500*(H130-I130)</f>
        <v>13.553602897116518</v>
      </c>
      <c r="M130">
        <f t="shared" ref="M130:M141" si="272">200*(I130-J130)</f>
        <v>14.623815676443208</v>
      </c>
      <c r="Q130">
        <f t="shared" ref="Q130:Q141" si="273">4*B130/(B130+15*C130+3*D130)</f>
        <v>0.25091022912309296</v>
      </c>
      <c r="R130">
        <f t="shared" ref="R130:R141" si="274">9*C130/(B130+15*C130+3*D130)</f>
        <v>0.49852219275754656</v>
      </c>
    </row>
    <row r="131" spans="1:26">
      <c r="B131">
        <f>'Color Targets'!H35*'Color Targets'!J35/'Color Targets'!I35</f>
        <v>0.36419103854430906</v>
      </c>
      <c r="C131" s="67">
        <f>'Color Targets'!J35</f>
        <v>0.32272382367110969</v>
      </c>
      <c r="D131">
        <f>(1-'Color Targets'!H35-'Color Targets'!I35)*'Color Targets'!J35/'Color Targets'!I35</f>
        <v>0.22875918435966758</v>
      </c>
      <c r="E131">
        <f t="shared" si="264"/>
        <v>0.38316941991257908</v>
      </c>
      <c r="F131">
        <f t="shared" si="265"/>
        <v>0.32272382367110969</v>
      </c>
      <c r="G131">
        <f t="shared" si="266"/>
        <v>0.21009632758067612</v>
      </c>
      <c r="H131">
        <f t="shared" si="267"/>
        <v>0.72632380878070435</v>
      </c>
      <c r="I131">
        <f t="shared" si="268"/>
        <v>0.68592559525813979</v>
      </c>
      <c r="J131">
        <f t="shared" si="269"/>
        <v>0.59448306449825505</v>
      </c>
      <c r="K131">
        <f t="shared" si="270"/>
        <v>63.567369049944219</v>
      </c>
      <c r="L131">
        <f t="shared" si="271"/>
        <v>20.19910676128228</v>
      </c>
      <c r="M131">
        <f t="shared" si="272"/>
        <v>18.288506151976947</v>
      </c>
      <c r="Q131">
        <f t="shared" si="273"/>
        <v>0.24727271370814571</v>
      </c>
      <c r="R131">
        <f t="shared" si="274"/>
        <v>0.49301539913470405</v>
      </c>
    </row>
    <row r="132" spans="1:26">
      <c r="B132">
        <f>'Color Targets'!H36*'Color Targets'!J36/'Color Targets'!I36</f>
        <v>0.15320116316271146</v>
      </c>
      <c r="C132" s="67">
        <f>'Color Targets'!J36</f>
        <v>0.1674328649429902</v>
      </c>
      <c r="D132">
        <f>(1-'Color Targets'!H36-'Color Targets'!I36)*'Color Targets'!J36/'Color Targets'!I36</f>
        <v>0.31205476803010018</v>
      </c>
      <c r="E132">
        <f t="shared" si="264"/>
        <v>0.16118463829759114</v>
      </c>
      <c r="F132">
        <f t="shared" si="265"/>
        <v>0.1674328649429902</v>
      </c>
      <c r="G132">
        <f t="shared" si="266"/>
        <v>0.28659640901711031</v>
      </c>
      <c r="H132">
        <f t="shared" si="267"/>
        <v>0.54422006475682383</v>
      </c>
      <c r="I132">
        <f t="shared" si="268"/>
        <v>0.55116322947589935</v>
      </c>
      <c r="J132">
        <f t="shared" si="269"/>
        <v>0.65931088850055686</v>
      </c>
      <c r="K132">
        <f t="shared" si="270"/>
        <v>47.934934619204327</v>
      </c>
      <c r="L132">
        <f t="shared" si="271"/>
        <v>-3.4715823595377615</v>
      </c>
      <c r="M132">
        <f t="shared" si="272"/>
        <v>-21.629531804931503</v>
      </c>
      <c r="Q132">
        <f t="shared" si="273"/>
        <v>0.17018293349320146</v>
      </c>
      <c r="R132">
        <f t="shared" si="274"/>
        <v>0.41848237274829669</v>
      </c>
    </row>
    <row r="133" spans="1:26">
      <c r="B133">
        <f>'Color Targets'!H37*'Color Targets'!J37/'Color Targets'!I37</f>
        <v>9.4028091411475903E-2</v>
      </c>
      <c r="C133" s="67">
        <f>'Color Targets'!J37</f>
        <v>0.1218894732616027</v>
      </c>
      <c r="D133">
        <f>(1-'Color Targets'!H37-'Color Targets'!I37)*'Color Targets'!J37/'Color Targets'!I37</f>
        <v>6.0172788004714234E-2</v>
      </c>
      <c r="E133">
        <f t="shared" si="264"/>
        <v>9.8927995004025271E-2</v>
      </c>
      <c r="F133">
        <f t="shared" si="265"/>
        <v>0.1218894732616027</v>
      </c>
      <c r="G133">
        <f t="shared" si="266"/>
        <v>5.5263712429593451E-2</v>
      </c>
      <c r="H133">
        <f t="shared" si="267"/>
        <v>0.46249431890410569</v>
      </c>
      <c r="I133">
        <f t="shared" si="268"/>
        <v>0.49581774605649581</v>
      </c>
      <c r="J133">
        <f t="shared" si="269"/>
        <v>0.38090208681533055</v>
      </c>
      <c r="K133">
        <f t="shared" si="270"/>
        <v>41.514858542553512</v>
      </c>
      <c r="L133">
        <f t="shared" si="271"/>
        <v>-16.661713576195059</v>
      </c>
      <c r="M133">
        <f t="shared" si="272"/>
        <v>22.98313184823305</v>
      </c>
      <c r="Q133">
        <f t="shared" si="273"/>
        <v>0.17885511092251885</v>
      </c>
      <c r="R133">
        <f t="shared" si="274"/>
        <v>0.52166590430356152</v>
      </c>
    </row>
    <row r="134" spans="1:26">
      <c r="B134">
        <f>'Color Targets'!H38*'Color Targets'!J38/'Color Targets'!I38</f>
        <v>0.2256657255833851</v>
      </c>
      <c r="C134" s="67">
        <f>'Color Targets'!J38</f>
        <v>0.21021229323911997</v>
      </c>
      <c r="D134">
        <f>(1-'Color Targets'!H38-'Color Targets'!I38)*'Color Targets'!J38/'Color Targets'!I38</f>
        <v>0.41195389779927183</v>
      </c>
      <c r="E134">
        <f t="shared" si="264"/>
        <v>0.23742540593957209</v>
      </c>
      <c r="F134">
        <f t="shared" si="265"/>
        <v>0.21021229323911997</v>
      </c>
      <c r="G134">
        <f t="shared" si="266"/>
        <v>0.3783454697237143</v>
      </c>
      <c r="H134">
        <f t="shared" si="267"/>
        <v>0.6192163233642014</v>
      </c>
      <c r="I134">
        <f t="shared" si="268"/>
        <v>0.5945924221765827</v>
      </c>
      <c r="J134">
        <f t="shared" si="269"/>
        <v>0.72326288498066993</v>
      </c>
      <c r="K134">
        <f t="shared" si="270"/>
        <v>52.9727209724836</v>
      </c>
      <c r="L134">
        <f t="shared" si="271"/>
        <v>12.311950593809351</v>
      </c>
      <c r="M134">
        <f t="shared" si="272"/>
        <v>-25.734092560817444</v>
      </c>
      <c r="Q134">
        <f t="shared" si="273"/>
        <v>0.1956054761420081</v>
      </c>
      <c r="R134">
        <f t="shared" si="274"/>
        <v>0.40997373486024868</v>
      </c>
    </row>
    <row r="135" spans="1:26">
      <c r="B135">
        <f>'Color Targets'!H39*'Color Targets'!J39/'Color Targets'!I39</f>
        <v>0.28101297249212981</v>
      </c>
      <c r="C135" s="67">
        <f>'Color Targets'!J39</f>
        <v>0.39088512927573466</v>
      </c>
      <c r="D135">
        <f>(1-'Color Targets'!H39-'Color Targets'!I39)*'Color Targets'!J39/'Color Targets'!I39</f>
        <v>0.4205853853567032</v>
      </c>
      <c r="E135">
        <f t="shared" si="264"/>
        <v>0.29565685659950319</v>
      </c>
      <c r="F135">
        <f t="shared" si="265"/>
        <v>0.39088512927573466</v>
      </c>
      <c r="G135">
        <f t="shared" si="266"/>
        <v>0.38627277477356725</v>
      </c>
      <c r="H135">
        <f t="shared" si="267"/>
        <v>0.66618674148470669</v>
      </c>
      <c r="I135">
        <f t="shared" si="268"/>
        <v>0.73116666470536607</v>
      </c>
      <c r="J135">
        <f t="shared" si="269"/>
        <v>0.72827941236219929</v>
      </c>
      <c r="K135">
        <f t="shared" si="270"/>
        <v>68.815333105822461</v>
      </c>
      <c r="L135">
        <f t="shared" si="271"/>
        <v>-32.489961610329686</v>
      </c>
      <c r="M135">
        <f t="shared" si="272"/>
        <v>0.57745046863335592</v>
      </c>
      <c r="Q135">
        <f t="shared" si="273"/>
        <v>0.15177489846722836</v>
      </c>
      <c r="R135">
        <f t="shared" si="274"/>
        <v>0.47501273031845559</v>
      </c>
    </row>
    <row r="136" spans="1:26">
      <c r="B136">
        <f>'Color Targets'!H40*'Color Targets'!J40/'Color Targets'!I40</f>
        <v>0.37894380911120873</v>
      </c>
      <c r="C136" s="67">
        <f>'Color Targets'!J40</f>
        <v>0.29749719768748994</v>
      </c>
      <c r="D136">
        <f>(1-'Color Targets'!H40-'Color Targets'!I40)*'Color Targets'!J40/'Color Targets'!I40</f>
        <v>6.7445185512046035E-2</v>
      </c>
      <c r="E136">
        <f t="shared" si="264"/>
        <v>0.39869097300410189</v>
      </c>
      <c r="F136">
        <f t="shared" si="265"/>
        <v>0.29749719768748994</v>
      </c>
      <c r="G136">
        <f t="shared" si="266"/>
        <v>6.1942806050573583E-2</v>
      </c>
      <c r="H136">
        <f t="shared" si="267"/>
        <v>0.73600167190818588</v>
      </c>
      <c r="I136">
        <f t="shared" si="268"/>
        <v>0.66756612861659281</v>
      </c>
      <c r="J136">
        <f t="shared" si="269"/>
        <v>0.39566742059440235</v>
      </c>
      <c r="K136">
        <f t="shared" si="270"/>
        <v>61.437670919524763</v>
      </c>
      <c r="L136">
        <f t="shared" si="271"/>
        <v>34.217771645796532</v>
      </c>
      <c r="M136">
        <f t="shared" si="272"/>
        <v>54.379741604438095</v>
      </c>
      <c r="Q136">
        <f t="shared" si="273"/>
        <v>0.30052620447552558</v>
      </c>
      <c r="R136">
        <f t="shared" si="274"/>
        <v>0.53085135158653352</v>
      </c>
    </row>
    <row r="137" spans="1:26">
      <c r="B137">
        <f>'Color Targets'!H41*'Color Targets'!J41/'Color Targets'!I41</f>
        <v>0.12385652150671626</v>
      </c>
      <c r="C137" s="67">
        <f>'Color Targets'!J41</f>
        <v>0.10534645896900593</v>
      </c>
      <c r="D137">
        <f>(1-'Color Targets'!H41-'Color Targets'!I41)*'Color Targets'!J41/'Color Targets'!I41</f>
        <v>0.36649304300802038</v>
      </c>
      <c r="E137">
        <f t="shared" si="264"/>
        <v>0.13031081623482726</v>
      </c>
      <c r="F137">
        <f t="shared" si="265"/>
        <v>0.10534645896900593</v>
      </c>
      <c r="G137">
        <f t="shared" si="266"/>
        <v>0.33659344710195382</v>
      </c>
      <c r="H137">
        <f t="shared" si="267"/>
        <v>0.50698310672383462</v>
      </c>
      <c r="I137">
        <f t="shared" si="268"/>
        <v>0.4722877132562508</v>
      </c>
      <c r="J137">
        <f t="shared" si="269"/>
        <v>0.69561438148910582</v>
      </c>
      <c r="K137">
        <f t="shared" si="270"/>
        <v>38.785374737725093</v>
      </c>
      <c r="L137">
        <f t="shared" si="271"/>
        <v>17.347696733791913</v>
      </c>
      <c r="M137">
        <f t="shared" si="272"/>
        <v>-44.665333646571007</v>
      </c>
      <c r="Q137">
        <f t="shared" si="273"/>
        <v>0.17671494082205308</v>
      </c>
      <c r="R137">
        <f t="shared" si="274"/>
        <v>0.33818695480157085</v>
      </c>
    </row>
    <row r="138" spans="1:26">
      <c r="B138">
        <f>'Color Targets'!H42*'Color Targets'!J42/'Color Targets'!I42</f>
        <v>0.28227962989611499</v>
      </c>
      <c r="C138" s="67">
        <f>'Color Targets'!J42</f>
        <v>0.18527006584229963</v>
      </c>
      <c r="D138">
        <f>(1-'Color Targets'!H42-'Color Targets'!I42)*'Color Targets'!J42/'Color Targets'!I42</f>
        <v>0.13157803591473899</v>
      </c>
      <c r="E138">
        <f t="shared" si="264"/>
        <v>0.29698952086453539</v>
      </c>
      <c r="F138">
        <f t="shared" si="265"/>
        <v>0.18527006584229963</v>
      </c>
      <c r="G138">
        <f t="shared" si="266"/>
        <v>0.12084350717259719</v>
      </c>
      <c r="H138">
        <f t="shared" si="267"/>
        <v>0.66718618014630249</v>
      </c>
      <c r="I138">
        <f t="shared" si="268"/>
        <v>0.57007905525265434</v>
      </c>
      <c r="J138">
        <f t="shared" si="269"/>
        <v>0.49439542169699252</v>
      </c>
      <c r="K138">
        <f t="shared" si="270"/>
        <v>50.129170409307903</v>
      </c>
      <c r="L138">
        <f t="shared" si="271"/>
        <v>48.553562446824074</v>
      </c>
      <c r="M138">
        <f t="shared" si="272"/>
        <v>15.136726711132365</v>
      </c>
      <c r="Q138">
        <f t="shared" si="273"/>
        <v>0.32670641592068922</v>
      </c>
      <c r="R138">
        <f t="shared" si="274"/>
        <v>0.48246509400893889</v>
      </c>
    </row>
    <row r="139" spans="1:26">
      <c r="B139">
        <f>'Color Targets'!H43*'Color Targets'!J43/'Color Targets'!I43</f>
        <v>7.868971839871329E-2</v>
      </c>
      <c r="C139" s="67">
        <f>'Color Targets'!J43</f>
        <v>5.7424787216958408E-2</v>
      </c>
      <c r="D139">
        <f>(1-'Color Targets'!H43-'Color Targets'!I43)*'Color Targets'!J43/'Color Targets'!I43</f>
        <v>0.13224317767649885</v>
      </c>
      <c r="E139">
        <f t="shared" si="264"/>
        <v>8.2790323101953014E-2</v>
      </c>
      <c r="F139">
        <f t="shared" si="265"/>
        <v>5.7424787216958408E-2</v>
      </c>
      <c r="G139">
        <f t="shared" si="266"/>
        <v>0.12145438468493598</v>
      </c>
      <c r="H139">
        <f t="shared" si="267"/>
        <v>0.43583943794297714</v>
      </c>
      <c r="I139">
        <f t="shared" si="268"/>
        <v>0.38580376796109417</v>
      </c>
      <c r="J139">
        <f t="shared" si="269"/>
        <v>0.49522709667376608</v>
      </c>
      <c r="K139">
        <f t="shared" si="270"/>
        <v>28.753237083486923</v>
      </c>
      <c r="L139">
        <f t="shared" si="271"/>
        <v>25.017834990941484</v>
      </c>
      <c r="M139">
        <f t="shared" si="272"/>
        <v>-21.884665742534381</v>
      </c>
      <c r="Q139">
        <f t="shared" si="273"/>
        <v>0.23545854179305406</v>
      </c>
      <c r="R139">
        <f t="shared" si="274"/>
        <v>0.38661470781779661</v>
      </c>
    </row>
    <row r="140" spans="1:26">
      <c r="B140">
        <f>'Color Targets'!H44*'Color Targets'!J44/'Color Targets'!I44</f>
        <v>0.32115660159880782</v>
      </c>
      <c r="C140" s="67">
        <f>'Color Targets'!J44</f>
        <v>0.42397946844387341</v>
      </c>
      <c r="D140">
        <f>(1-'Color Targets'!H44-'Color Targets'!I44)*'Color Targets'!J44/'Color Targets'!I44</f>
        <v>0.11349565924004995</v>
      </c>
      <c r="E140">
        <f t="shared" si="264"/>
        <v>0.33789241280504151</v>
      </c>
      <c r="F140">
        <f t="shared" si="265"/>
        <v>0.42397946844387341</v>
      </c>
      <c r="G140">
        <f t="shared" si="266"/>
        <v>0.10423634473705716</v>
      </c>
      <c r="H140">
        <f t="shared" si="267"/>
        <v>0.69650806036423341</v>
      </c>
      <c r="I140">
        <f t="shared" si="268"/>
        <v>0.75124502448624764</v>
      </c>
      <c r="J140">
        <f t="shared" si="269"/>
        <v>0.47062290237660126</v>
      </c>
      <c r="K140">
        <f t="shared" si="270"/>
        <v>71.144422840404729</v>
      </c>
      <c r="L140">
        <f t="shared" si="271"/>
        <v>-27.368482061007114</v>
      </c>
      <c r="M140">
        <f t="shared" si="272"/>
        <v>56.124424421929277</v>
      </c>
      <c r="Q140">
        <f t="shared" si="273"/>
        <v>0.18296040504055472</v>
      </c>
      <c r="R140">
        <f t="shared" si="274"/>
        <v>0.54346002386591075</v>
      </c>
    </row>
    <row r="141" spans="1:26">
      <c r="B141">
        <f>'Color Targets'!H45*'Color Targets'!J45/'Color Targets'!I45</f>
        <v>0.44435582327018341</v>
      </c>
      <c r="C141" s="67">
        <f>'Color Targets'!J45</f>
        <v>0.40546475831058293</v>
      </c>
      <c r="D141">
        <f>(1-'Color Targets'!H45-'Color Targets'!I45)*'Color Targets'!J45/'Color Targets'!I45</f>
        <v>7.8256377245160991E-2</v>
      </c>
      <c r="E141">
        <f t="shared" si="264"/>
        <v>0.46751167661281617</v>
      </c>
      <c r="F141">
        <f t="shared" si="265"/>
        <v>0.40546475831058293</v>
      </c>
      <c r="G141">
        <f t="shared" si="266"/>
        <v>7.1871988506158904E-2</v>
      </c>
      <c r="H141">
        <f t="shared" si="267"/>
        <v>0.77612347725403297</v>
      </c>
      <c r="I141">
        <f t="shared" si="268"/>
        <v>0.74014652461968999</v>
      </c>
      <c r="J141">
        <f t="shared" si="269"/>
        <v>0.41577006775842917</v>
      </c>
      <c r="K141">
        <f t="shared" si="270"/>
        <v>69.856996855884034</v>
      </c>
      <c r="L141">
        <f t="shared" si="271"/>
        <v>17.988476317171486</v>
      </c>
      <c r="M141">
        <f t="shared" si="272"/>
        <v>64.875291372252164</v>
      </c>
      <c r="Q141">
        <f t="shared" si="273"/>
        <v>0.26288980461382611</v>
      </c>
      <c r="R141">
        <f t="shared" si="274"/>
        <v>0.53973241126359972</v>
      </c>
    </row>
    <row r="142" spans="1:26">
      <c r="A142" t="s">
        <v>115</v>
      </c>
      <c r="B142" t="s">
        <v>138</v>
      </c>
      <c r="C142" t="s">
        <v>118</v>
      </c>
      <c r="D142" s="19" t="s">
        <v>119</v>
      </c>
      <c r="E142" t="s">
        <v>120</v>
      </c>
      <c r="F142" t="s">
        <v>1</v>
      </c>
      <c r="G142" t="s">
        <v>121</v>
      </c>
      <c r="H142" t="s">
        <v>122</v>
      </c>
      <c r="I142" s="19" t="s">
        <v>123</v>
      </c>
      <c r="J142" t="s">
        <v>124</v>
      </c>
      <c r="K142" t="s">
        <v>125</v>
      </c>
      <c r="L142" t="s">
        <v>126</v>
      </c>
      <c r="M142" t="s">
        <v>127</v>
      </c>
      <c r="N142" s="19" t="s">
        <v>128</v>
      </c>
      <c r="O142" t="s">
        <v>129</v>
      </c>
      <c r="P142" t="s">
        <v>130</v>
      </c>
      <c r="Q142" t="s">
        <v>131</v>
      </c>
      <c r="R142" t="s">
        <v>132</v>
      </c>
      <c r="S142" t="s">
        <v>133</v>
      </c>
      <c r="T142" t="s">
        <v>92</v>
      </c>
      <c r="U142" t="s">
        <v>93</v>
      </c>
      <c r="V142" t="s">
        <v>134</v>
      </c>
      <c r="W142" t="s">
        <v>135</v>
      </c>
      <c r="X142" t="s">
        <v>136</v>
      </c>
      <c r="Y142" t="s">
        <v>137</v>
      </c>
      <c r="Z142" t="s">
        <v>139</v>
      </c>
    </row>
    <row r="143" spans="1:26">
      <c r="A143" s="47"/>
      <c r="B143" s="47">
        <f t="shared" ref="B143:B154" si="275">(K115+K130)/2</f>
        <v>36.476479038426831</v>
      </c>
      <c r="C143" s="47">
        <f t="shared" ref="C143:C154" si="276">SQRT(L115^2+M115^2)</f>
        <v>19.054400602207068</v>
      </c>
      <c r="D143" s="47">
        <f t="shared" ref="D143:D154" si="277">SQRT(L130^2+M130^2)</f>
        <v>19.93880980478302</v>
      </c>
      <c r="E143" s="47">
        <f t="shared" ref="E143:E154" si="278">(C143+D143)/2</f>
        <v>19.496605203495044</v>
      </c>
      <c r="F143" s="47">
        <f t="shared" ref="F143:F154" si="279">(1-SQRT(E143^7/(E143^7+25^7)))/2</f>
        <v>0.30683167614789397</v>
      </c>
      <c r="G143" s="47">
        <f t="shared" ref="G143:G154" si="280">L115*(1+F143)</f>
        <v>17.603557595450109</v>
      </c>
      <c r="H143" s="47">
        <f t="shared" ref="H143:H154" si="281">L130*(1+F143)</f>
        <v>17.71227759188173</v>
      </c>
      <c r="I143" s="47">
        <f t="shared" ref="I143:I154" si="282">SQRT(G143^2+M115^2)</f>
        <v>22.169878099938412</v>
      </c>
      <c r="J143" s="47">
        <f t="shared" ref="J143:J154" si="283">SQRT(H143^2+M130^2)</f>
        <v>22.969126287920965</v>
      </c>
      <c r="K143" s="47">
        <f t="shared" ref="K143:K154" si="284">(I143+J143)/2</f>
        <v>22.569502193929686</v>
      </c>
      <c r="L143" s="47">
        <f t="shared" ref="L143:L154" si="285">IF(ATAN2(M115,G143)&lt;0,ATAN2(M115,G143)+PI()*2,ATAN2(M115,G143))</f>
        <v>0.91741088806749715</v>
      </c>
      <c r="M143" s="47">
        <f t="shared" ref="M143:M154" si="286">IF(ATAN2(M130,H143)&lt;0,ATAN2(M130,H143)+PI()*2,ATAN2(M130,H143))</f>
        <v>0.88062059980338991</v>
      </c>
      <c r="N143" s="47">
        <f t="shared" ref="N143:N154" si="287">IF(ABS(L143-M143)&gt;PI(),(L143+M143+2*PI())/2,(L143+M143)/2)</f>
        <v>0.89901574393544359</v>
      </c>
      <c r="O143" s="47">
        <f t="shared" ref="O143:O154" si="288">1-0.17*COS(N143-PI()/180*30)+0.24*COS(2*N143)+0.32*COS(3*N143+PI()/180*6)-0.2*COS(4*N143-PI()/180*63)</f>
        <v>0.64588075774289377</v>
      </c>
      <c r="P143" s="47">
        <f t="shared" ref="P143:P154" si="289">IF(ABS(M143-L143)&gt;PI(),IF(M143&gt;L143,M143-L143-2*PI(),M143-L143+2*PI()),M143-L143)</f>
        <v>-3.679028826410724E-2</v>
      </c>
      <c r="Q143" s="47">
        <f t="shared" ref="Q143:Q154" si="290">K130-K115</f>
        <v>-0.36588717286259254</v>
      </c>
      <c r="R143" s="47">
        <f t="shared" ref="R143:R154" si="291">J143-I143</f>
        <v>0.79924818798255259</v>
      </c>
      <c r="S143" s="47">
        <f t="shared" ref="S143:S154" si="292">2*SQRT(I143*J143)*SIN(P143/2)</f>
        <v>-0.83016149901587921</v>
      </c>
      <c r="T143" s="47">
        <f t="shared" ref="T143:T154" si="293">1+(0.015*(B143-50)^2)/SQRT(20+(B143-50)^2)</f>
        <v>1.1925950778719645</v>
      </c>
      <c r="U143" s="47">
        <f t="shared" ref="U143:U154" si="294">1+0.045*K143</f>
        <v>2.0156275987268359</v>
      </c>
      <c r="V143" s="47">
        <f t="shared" ref="V143:V154" si="295">1+0.015*K143*O143</f>
        <v>1.2186581076834282</v>
      </c>
      <c r="W143" s="108">
        <f>30*EXP((-1*((N143*180/PI()-275)/25)^2))</f>
        <v>5.8855780435305921E-34</v>
      </c>
      <c r="X143" s="47">
        <f t="shared" ref="X143:X154" si="296">2*SQRT(K143^7/(K143^2+25^7))</f>
        <v>1.3981922084335725</v>
      </c>
      <c r="Y143" s="47">
        <f t="shared" ref="Y143:Y154" si="297">-1*X143*SIN(2*W143*PI()/180)</f>
        <v>-2.8725220016295338E-35</v>
      </c>
      <c r="Z143" s="47">
        <f t="shared" ref="Z143:Z154" si="298">SQRT(Q143^2/T143^2+R143^2/U143^2+S143^2/V143^2+Y143*(R143/U143)*(S143/V143))</f>
        <v>0.84581604312020797</v>
      </c>
    </row>
    <row r="144" spans="1:26">
      <c r="A144" s="47"/>
      <c r="B144" s="47">
        <f t="shared" si="275"/>
        <v>64.250278115636462</v>
      </c>
      <c r="C144" s="47">
        <f t="shared" si="276"/>
        <v>25.249665674365922</v>
      </c>
      <c r="D144" s="47">
        <f t="shared" si="277"/>
        <v>27.248364560548918</v>
      </c>
      <c r="E144" s="47">
        <f t="shared" si="278"/>
        <v>26.249015117457418</v>
      </c>
      <c r="F144" s="47">
        <f t="shared" si="279"/>
        <v>0.11773745083674414</v>
      </c>
      <c r="G144" s="47">
        <f t="shared" si="280"/>
        <v>20.45161032089835</v>
      </c>
      <c r="H144" s="47">
        <f t="shared" si="281"/>
        <v>22.5772981005349</v>
      </c>
      <c r="I144" s="47">
        <f t="shared" si="282"/>
        <v>26.851847575274061</v>
      </c>
      <c r="J144" s="47">
        <f t="shared" si="283"/>
        <v>29.05518622881835</v>
      </c>
      <c r="K144" s="47">
        <f t="shared" si="284"/>
        <v>27.953516902046204</v>
      </c>
      <c r="L144" s="47">
        <f t="shared" si="285"/>
        <v>0.86584994761420686</v>
      </c>
      <c r="M144" s="47">
        <f t="shared" si="286"/>
        <v>0.88996356990633119</v>
      </c>
      <c r="N144" s="47">
        <f t="shared" si="287"/>
        <v>0.87790675876026902</v>
      </c>
      <c r="O144" s="47">
        <f t="shared" si="288"/>
        <v>0.65116130313076481</v>
      </c>
      <c r="P144" s="47">
        <f t="shared" si="289"/>
        <v>2.4113622292124326E-2</v>
      </c>
      <c r="Q144" s="47">
        <f t="shared" si="290"/>
        <v>-1.3658181313844722</v>
      </c>
      <c r="R144" s="47">
        <f t="shared" si="291"/>
        <v>2.2033386535442894</v>
      </c>
      <c r="S144" s="47">
        <f t="shared" si="292"/>
        <v>0.67352054859947885</v>
      </c>
      <c r="T144" s="47">
        <f t="shared" si="293"/>
        <v>1.2039468214015931</v>
      </c>
      <c r="U144" s="47">
        <f t="shared" si="294"/>
        <v>2.2579082605920791</v>
      </c>
      <c r="V144" s="47">
        <f t="shared" si="295"/>
        <v>1.273033727395364</v>
      </c>
      <c r="W144" s="108">
        <f t="shared" ref="W144:W154" si="299">EXP((-1*((N144*180/PI()-275)/25)^2))</f>
        <v>8.241418765080463E-36</v>
      </c>
      <c r="X144" s="47">
        <f t="shared" si="296"/>
        <v>2.9564295276719221</v>
      </c>
      <c r="Y144" s="47">
        <f t="shared" si="297"/>
        <v>-8.5050501080729891E-37</v>
      </c>
      <c r="Z144" s="47">
        <f t="shared" si="298"/>
        <v>1.5871792455134521</v>
      </c>
    </row>
    <row r="145" spans="1:26">
      <c r="A145" s="47"/>
      <c r="B145" s="47">
        <f t="shared" si="275"/>
        <v>48.581660632566788</v>
      </c>
      <c r="C145" s="47">
        <f t="shared" si="276"/>
        <v>21.65600012482231</v>
      </c>
      <c r="D145" s="47">
        <f t="shared" si="277"/>
        <v>21.906358213532371</v>
      </c>
      <c r="E145" s="47">
        <f t="shared" si="278"/>
        <v>21.781179169177342</v>
      </c>
      <c r="F145" s="47">
        <f t="shared" si="279"/>
        <v>0.23736108912071835</v>
      </c>
      <c r="G145" s="47">
        <f t="shared" si="280"/>
        <v>-3.0675709322480813</v>
      </c>
      <c r="H145" s="47">
        <f t="shared" si="281"/>
        <v>-4.2956009293699173</v>
      </c>
      <c r="I145" s="47">
        <f t="shared" si="282"/>
        <v>21.731228211716122</v>
      </c>
      <c r="J145" s="47">
        <f t="shared" si="283"/>
        <v>22.05195758759179</v>
      </c>
      <c r="K145" s="47">
        <f t="shared" si="284"/>
        <v>21.891592899653958</v>
      </c>
      <c r="L145" s="47">
        <f t="shared" si="285"/>
        <v>3.2832252739075924</v>
      </c>
      <c r="M145" s="47">
        <f t="shared" si="286"/>
        <v>3.3376406265196583</v>
      </c>
      <c r="N145" s="47">
        <f t="shared" si="287"/>
        <v>3.3104329502136256</v>
      </c>
      <c r="O145" s="47">
        <f t="shared" si="288"/>
        <v>0.9415266183060067</v>
      </c>
      <c r="P145" s="47">
        <f t="shared" si="289"/>
        <v>5.441535261206587E-2</v>
      </c>
      <c r="Q145" s="47">
        <f t="shared" si="290"/>
        <v>-1.2934520267249212</v>
      </c>
      <c r="R145" s="47">
        <f t="shared" si="291"/>
        <v>0.32072937587566841</v>
      </c>
      <c r="S145" s="47">
        <f t="shared" si="292"/>
        <v>1.1910598234039294</v>
      </c>
      <c r="T145" s="47">
        <f t="shared" si="293"/>
        <v>1.0064316871861174</v>
      </c>
      <c r="U145" s="47">
        <f t="shared" si="294"/>
        <v>1.9851216804844281</v>
      </c>
      <c r="V145" s="47">
        <f t="shared" si="295"/>
        <v>1.3091727614821447</v>
      </c>
      <c r="W145" s="108">
        <f t="shared" si="299"/>
        <v>8.728764607901079E-6</v>
      </c>
      <c r="X145" s="47">
        <f t="shared" si="296"/>
        <v>1.2566395378836352</v>
      </c>
      <c r="Y145" s="47">
        <f t="shared" si="297"/>
        <v>-3.828872149531763E-7</v>
      </c>
      <c r="Z145" s="47">
        <f t="shared" si="298"/>
        <v>1.5828795203619273</v>
      </c>
    </row>
    <row r="146" spans="1:26">
      <c r="A146" s="47"/>
      <c r="B146" s="47">
        <f t="shared" si="275"/>
        <v>41.732927131180055</v>
      </c>
      <c r="C146" s="47">
        <f t="shared" si="276"/>
        <v>26.06603451649082</v>
      </c>
      <c r="D146" s="47">
        <f t="shared" si="277"/>
        <v>28.387269133335579</v>
      </c>
      <c r="E146" s="47">
        <f t="shared" si="278"/>
        <v>27.226651824913198</v>
      </c>
      <c r="F146" s="47">
        <f t="shared" si="279"/>
        <v>9.8432622737703979E-2</v>
      </c>
      <c r="G146" s="47">
        <f t="shared" si="280"/>
        <v>-16.544327570421693</v>
      </c>
      <c r="H146" s="47">
        <f t="shared" si="281"/>
        <v>-18.301769742804346</v>
      </c>
      <c r="I146" s="47">
        <f t="shared" si="282"/>
        <v>26.949885759688939</v>
      </c>
      <c r="J146" s="47">
        <f t="shared" si="283"/>
        <v>29.379910232536332</v>
      </c>
      <c r="K146" s="47">
        <f t="shared" si="284"/>
        <v>28.164897996112636</v>
      </c>
      <c r="L146" s="47">
        <f t="shared" si="285"/>
        <v>5.6222033332234469</v>
      </c>
      <c r="M146" s="47">
        <f t="shared" si="286"/>
        <v>5.6106965008042593</v>
      </c>
      <c r="N146" s="47">
        <f t="shared" si="287"/>
        <v>5.6164499170138527</v>
      </c>
      <c r="O146" s="47">
        <f t="shared" si="288"/>
        <v>1.0534142769063504</v>
      </c>
      <c r="P146" s="47">
        <f t="shared" si="289"/>
        <v>-1.1506832419187596E-2</v>
      </c>
      <c r="Q146" s="47">
        <f t="shared" si="290"/>
        <v>-0.43613717725308732</v>
      </c>
      <c r="R146" s="47">
        <f t="shared" si="291"/>
        <v>2.4300244728473928</v>
      </c>
      <c r="S146" s="47">
        <f t="shared" si="292"/>
        <v>-0.32378527099676485</v>
      </c>
      <c r="T146" s="47">
        <f t="shared" si="293"/>
        <v>1.1090699331664871</v>
      </c>
      <c r="U146" s="47">
        <f t="shared" si="294"/>
        <v>2.2674204098250685</v>
      </c>
      <c r="V146" s="47">
        <f t="shared" si="295"/>
        <v>1.4450395848507416</v>
      </c>
      <c r="W146" s="108">
        <f t="shared" si="299"/>
        <v>3.0070348708725821E-2</v>
      </c>
      <c r="X146" s="47">
        <f t="shared" si="296"/>
        <v>3.035418498981648</v>
      </c>
      <c r="Y146" s="47">
        <f t="shared" si="297"/>
        <v>-3.1861361083166994E-3</v>
      </c>
      <c r="Z146" s="47">
        <f t="shared" si="298"/>
        <v>1.163693508856426</v>
      </c>
    </row>
    <row r="147" spans="1:26">
      <c r="A147" s="47"/>
      <c r="B147" s="47">
        <f t="shared" si="275"/>
        <v>53.787053875269237</v>
      </c>
      <c r="C147" s="47">
        <f t="shared" si="276"/>
        <v>27.29288916864542</v>
      </c>
      <c r="D147" s="47">
        <f t="shared" si="277"/>
        <v>28.527664596898259</v>
      </c>
      <c r="E147" s="47">
        <f t="shared" si="278"/>
        <v>27.910276882771839</v>
      </c>
      <c r="F147" s="47">
        <f t="shared" si="279"/>
        <v>8.6568845644453774E-2</v>
      </c>
      <c r="G147" s="47">
        <f t="shared" si="280"/>
        <v>12.206190573172822</v>
      </c>
      <c r="H147" s="47">
        <f t="shared" si="281"/>
        <v>13.377781944346975</v>
      </c>
      <c r="I147" s="47">
        <f t="shared" si="282"/>
        <v>27.707342487314698</v>
      </c>
      <c r="J147" s="47">
        <f t="shared" si="283"/>
        <v>29.003595806024048</v>
      </c>
      <c r="K147" s="47">
        <f t="shared" si="284"/>
        <v>28.355469146669371</v>
      </c>
      <c r="L147" s="47">
        <f t="shared" si="285"/>
        <v>2.6853926376182931</v>
      </c>
      <c r="M147" s="47">
        <f t="shared" si="286"/>
        <v>2.6621940750316919</v>
      </c>
      <c r="N147" s="47">
        <f t="shared" si="287"/>
        <v>2.6737933563249925</v>
      </c>
      <c r="O147" s="47">
        <f t="shared" si="288"/>
        <v>1.3465606870781266</v>
      </c>
      <c r="P147" s="47">
        <f t="shared" si="289"/>
        <v>-2.3198562586601135E-2</v>
      </c>
      <c r="Q147" s="47">
        <f t="shared" si="290"/>
        <v>-1.6286658055712735</v>
      </c>
      <c r="R147" s="47">
        <f t="shared" si="291"/>
        <v>1.2962533187093506</v>
      </c>
      <c r="S147" s="47">
        <f t="shared" si="292"/>
        <v>-0.65761952065916618</v>
      </c>
      <c r="T147" s="47">
        <f t="shared" si="293"/>
        <v>1.0367098697716002</v>
      </c>
      <c r="U147" s="47">
        <f t="shared" si="294"/>
        <v>2.2759961116001217</v>
      </c>
      <c r="V147" s="47">
        <f t="shared" si="295"/>
        <v>1.5727354002484257</v>
      </c>
      <c r="W147" s="108">
        <f t="shared" si="299"/>
        <v>4.9082222462823828E-11</v>
      </c>
      <c r="X147" s="47">
        <f t="shared" si="296"/>
        <v>3.1079130982095302</v>
      </c>
      <c r="Y147" s="47">
        <f t="shared" si="297"/>
        <v>-5.3247650482393405E-12</v>
      </c>
      <c r="Z147" s="47">
        <f t="shared" si="298"/>
        <v>1.7225651179185435</v>
      </c>
    </row>
    <row r="148" spans="1:26">
      <c r="A148" s="47"/>
      <c r="B148" s="47">
        <f t="shared" si="275"/>
        <v>69.533755615057188</v>
      </c>
      <c r="C148" s="47">
        <f t="shared" si="276"/>
        <v>33.630867023134272</v>
      </c>
      <c r="D148" s="47">
        <f t="shared" si="277"/>
        <v>32.495092775439517</v>
      </c>
      <c r="E148" s="47">
        <f t="shared" si="278"/>
        <v>33.062979899286894</v>
      </c>
      <c r="F148" s="47">
        <f t="shared" si="279"/>
        <v>3.1976807069370949E-2</v>
      </c>
      <c r="G148" s="47">
        <f t="shared" si="280"/>
        <v>-34.7033545400717</v>
      </c>
      <c r="H148" s="47">
        <f t="shared" si="281"/>
        <v>-33.528886844434467</v>
      </c>
      <c r="I148" s="47">
        <f t="shared" si="282"/>
        <v>34.706096608038806</v>
      </c>
      <c r="J148" s="47">
        <f t="shared" si="283"/>
        <v>33.533859039344328</v>
      </c>
      <c r="K148" s="47">
        <f t="shared" si="284"/>
        <v>34.119977823691571</v>
      </c>
      <c r="L148" s="47">
        <f t="shared" si="285"/>
        <v>4.7249595245803446</v>
      </c>
      <c r="M148" s="47">
        <f t="shared" si="286"/>
        <v>4.7296097544661846</v>
      </c>
      <c r="N148" s="47">
        <f t="shared" si="287"/>
        <v>4.7272846395232646</v>
      </c>
      <c r="O148" s="47">
        <f t="shared" si="288"/>
        <v>0.69402326347973919</v>
      </c>
      <c r="P148" s="47">
        <f t="shared" si="289"/>
        <v>4.6502298858399627E-3</v>
      </c>
      <c r="Q148" s="47">
        <f t="shared" si="290"/>
        <v>-1.4368450184694552</v>
      </c>
      <c r="R148" s="47">
        <f t="shared" si="291"/>
        <v>-1.1722375686944773</v>
      </c>
      <c r="S148" s="47">
        <f t="shared" si="292"/>
        <v>0.15864218561235627</v>
      </c>
      <c r="T148" s="47">
        <f t="shared" si="293"/>
        <v>1.2856165848807755</v>
      </c>
      <c r="U148" s="47">
        <f t="shared" si="294"/>
        <v>2.5353990020661206</v>
      </c>
      <c r="V148" s="47">
        <f t="shared" si="295"/>
        <v>1.3552008753858213</v>
      </c>
      <c r="W148" s="108">
        <f t="shared" si="299"/>
        <v>0.9728648647776067</v>
      </c>
      <c r="X148" s="47">
        <f t="shared" si="296"/>
        <v>5.9397821196437484</v>
      </c>
      <c r="Y148" s="47">
        <f t="shared" si="297"/>
        <v>-0.20167261027382352</v>
      </c>
      <c r="Z148" s="47">
        <f t="shared" si="298"/>
        <v>1.2196244584376958</v>
      </c>
    </row>
    <row r="149" spans="1:26">
      <c r="A149" s="47"/>
      <c r="B149" s="47">
        <f t="shared" si="275"/>
        <v>61.432820633295961</v>
      </c>
      <c r="C149" s="47">
        <f t="shared" si="276"/>
        <v>65.36494617879579</v>
      </c>
      <c r="D149" s="47">
        <f t="shared" si="277"/>
        <v>64.249608507518019</v>
      </c>
      <c r="E149" s="47">
        <f t="shared" si="278"/>
        <v>64.807277343156898</v>
      </c>
      <c r="F149" s="47">
        <f t="shared" si="279"/>
        <v>3.1749714126616535E-4</v>
      </c>
      <c r="G149" s="47">
        <f t="shared" si="280"/>
        <v>34.689850487612979</v>
      </c>
      <c r="H149" s="47">
        <f t="shared" si="281"/>
        <v>34.228635690474576</v>
      </c>
      <c r="I149" s="47">
        <f t="shared" si="282"/>
        <v>65.370788340414308</v>
      </c>
      <c r="J149" s="47">
        <f t="shared" si="283"/>
        <v>64.255395090192124</v>
      </c>
      <c r="K149" s="47">
        <f t="shared" si="284"/>
        <v>64.813091715303216</v>
      </c>
      <c r="L149" s="47">
        <f t="shared" si="285"/>
        <v>0.55938245096533612</v>
      </c>
      <c r="M149" s="47">
        <f t="shared" si="286"/>
        <v>0.56178379427303871</v>
      </c>
      <c r="N149" s="47">
        <f t="shared" si="287"/>
        <v>0.56058312261918741</v>
      </c>
      <c r="O149" s="47">
        <f t="shared" si="288"/>
        <v>0.78293225573027458</v>
      </c>
      <c r="P149" s="47">
        <f t="shared" si="289"/>
        <v>2.4013433077025859E-3</v>
      </c>
      <c r="Q149" s="47">
        <f t="shared" si="290"/>
        <v>9.7005724576035846E-3</v>
      </c>
      <c r="R149" s="47">
        <f t="shared" si="291"/>
        <v>-1.1153932502221835</v>
      </c>
      <c r="S149" s="47">
        <f t="shared" si="292"/>
        <v>0.15563268475005157</v>
      </c>
      <c r="T149" s="47">
        <f t="shared" si="293"/>
        <v>1.1597084469376684</v>
      </c>
      <c r="U149" s="47">
        <f t="shared" si="294"/>
        <v>3.9165891271886446</v>
      </c>
      <c r="V149" s="47">
        <f t="shared" si="295"/>
        <v>1.7611639014627327</v>
      </c>
      <c r="W149" s="108">
        <f t="shared" si="299"/>
        <v>1.0203411972861976E-41</v>
      </c>
      <c r="X149" s="47">
        <f t="shared" si="296"/>
        <v>56.112471936730373</v>
      </c>
      <c r="Y149" s="47">
        <f t="shared" si="297"/>
        <v>-1.9985369702680763E-41</v>
      </c>
      <c r="Z149" s="47">
        <f t="shared" si="298"/>
        <v>0.2982996174297205</v>
      </c>
    </row>
    <row r="150" spans="1:26">
      <c r="A150" s="47"/>
      <c r="B150" s="47">
        <f t="shared" si="275"/>
        <v>39.103805931441563</v>
      </c>
      <c r="C150" s="47">
        <f t="shared" si="276"/>
        <v>48.666195163299037</v>
      </c>
      <c r="D150" s="47">
        <f t="shared" si="277"/>
        <v>47.915911884541259</v>
      </c>
      <c r="E150" s="47">
        <f t="shared" si="278"/>
        <v>48.291053523920148</v>
      </c>
      <c r="F150" s="47">
        <f t="shared" si="279"/>
        <v>2.4729877478728013E-3</v>
      </c>
      <c r="G150" s="47">
        <f t="shared" si="280"/>
        <v>17.194042236294084</v>
      </c>
      <c r="H150" s="47">
        <f t="shared" si="281"/>
        <v>17.390597375268396</v>
      </c>
      <c r="I150" s="47">
        <f t="shared" si="282"/>
        <v>48.681160107236721</v>
      </c>
      <c r="J150" s="47">
        <f t="shared" si="283"/>
        <v>47.931460512154231</v>
      </c>
      <c r="K150" s="47">
        <f t="shared" si="284"/>
        <v>48.306310309695476</v>
      </c>
      <c r="L150" s="47">
        <f t="shared" si="285"/>
        <v>2.7806064442850835</v>
      </c>
      <c r="M150" s="47">
        <f t="shared" si="286"/>
        <v>2.7702979802041652</v>
      </c>
      <c r="N150" s="47">
        <f t="shared" si="287"/>
        <v>2.7754522122446241</v>
      </c>
      <c r="O150" s="47">
        <f t="shared" si="288"/>
        <v>1.2784904666183816</v>
      </c>
      <c r="P150" s="47">
        <f t="shared" si="289"/>
        <v>-1.0308464080918345E-2</v>
      </c>
      <c r="Q150" s="47">
        <f t="shared" si="290"/>
        <v>-0.63686238743294155</v>
      </c>
      <c r="R150" s="47">
        <f t="shared" si="291"/>
        <v>-0.74969959508248962</v>
      </c>
      <c r="S150" s="47">
        <f t="shared" si="292"/>
        <v>-0.49794666720501568</v>
      </c>
      <c r="T150" s="47">
        <f t="shared" si="293"/>
        <v>1.1512029799453787</v>
      </c>
      <c r="U150" s="47">
        <f t="shared" si="294"/>
        <v>3.1737839639362964</v>
      </c>
      <c r="V150" s="47">
        <f t="shared" si="295"/>
        <v>1.9263873581268236</v>
      </c>
      <c r="W150" s="108">
        <f t="shared" si="299"/>
        <v>4.501021967798595E-10</v>
      </c>
      <c r="X150" s="47">
        <f t="shared" si="296"/>
        <v>20.056420032398385</v>
      </c>
      <c r="Y150" s="47">
        <f t="shared" si="297"/>
        <v>-3.1511705723668051E-10</v>
      </c>
      <c r="Z150" s="47">
        <f t="shared" si="298"/>
        <v>0.65472155881182381</v>
      </c>
    </row>
    <row r="151" spans="1:26">
      <c r="A151" s="47"/>
      <c r="B151" s="47">
        <f t="shared" si="275"/>
        <v>50.068050323832779</v>
      </c>
      <c r="C151" s="47">
        <f t="shared" si="276"/>
        <v>51.38593845338815</v>
      </c>
      <c r="D151" s="47">
        <f t="shared" si="277"/>
        <v>50.858322050625631</v>
      </c>
      <c r="E151" s="47">
        <f t="shared" si="278"/>
        <v>51.12213025200689</v>
      </c>
      <c r="F151" s="47">
        <f t="shared" si="279"/>
        <v>1.6637405214210421E-3</v>
      </c>
      <c r="G151" s="47">
        <f t="shared" si="280"/>
        <v>48.820899818760772</v>
      </c>
      <c r="H151" s="47">
        <f t="shared" si="281"/>
        <v>48.634342976126206</v>
      </c>
      <c r="I151" s="47">
        <f t="shared" si="282"/>
        <v>51.462859493777479</v>
      </c>
      <c r="J151" s="47">
        <f t="shared" si="283"/>
        <v>50.935447502176558</v>
      </c>
      <c r="K151" s="47">
        <f t="shared" si="284"/>
        <v>51.199153497977022</v>
      </c>
      <c r="L151" s="47">
        <f t="shared" si="285"/>
        <v>1.2489809234848734</v>
      </c>
      <c r="M151" s="47">
        <f t="shared" si="286"/>
        <v>1.2690640104144113</v>
      </c>
      <c r="N151" s="47">
        <f t="shared" si="287"/>
        <v>1.2590224669496424</v>
      </c>
      <c r="O151" s="47">
        <f t="shared" si="288"/>
        <v>0.58289979037481288</v>
      </c>
      <c r="P151" s="47">
        <f t="shared" si="289"/>
        <v>2.0083086929537863E-2</v>
      </c>
      <c r="Q151" s="47">
        <f t="shared" si="290"/>
        <v>0.12224017095024919</v>
      </c>
      <c r="R151" s="47">
        <f t="shared" si="291"/>
        <v>-0.52741199160092123</v>
      </c>
      <c r="S151" s="47">
        <f t="shared" si="292"/>
        <v>1.0282061318277746</v>
      </c>
      <c r="T151" s="47">
        <f t="shared" si="293"/>
        <v>1.0000155305337144</v>
      </c>
      <c r="U151" s="47">
        <f t="shared" si="294"/>
        <v>3.3039619074089659</v>
      </c>
      <c r="V151" s="47">
        <f t="shared" si="295"/>
        <v>1.4476596376200801</v>
      </c>
      <c r="W151" s="108">
        <f t="shared" si="299"/>
        <v>2.5327888915312557E-29</v>
      </c>
      <c r="X151" s="47">
        <f t="shared" si="296"/>
        <v>24.58439947562789</v>
      </c>
      <c r="Y151" s="47">
        <f t="shared" si="297"/>
        <v>-2.1735316082965492E-29</v>
      </c>
      <c r="Z151" s="47">
        <f t="shared" si="298"/>
        <v>0.73816313377091747</v>
      </c>
    </row>
    <row r="152" spans="1:26">
      <c r="A152" s="47"/>
      <c r="B152" s="47">
        <f t="shared" si="275"/>
        <v>29.221764516502603</v>
      </c>
      <c r="C152" s="47">
        <f t="shared" si="276"/>
        <v>31.318428507996572</v>
      </c>
      <c r="D152" s="47">
        <f t="shared" si="277"/>
        <v>33.238993099918567</v>
      </c>
      <c r="E152" s="47">
        <f t="shared" si="278"/>
        <v>32.278710803957566</v>
      </c>
      <c r="F152" s="47">
        <f t="shared" si="279"/>
        <v>3.7190419152563547E-2</v>
      </c>
      <c r="G152" s="47">
        <f t="shared" si="280"/>
        <v>24.258926406530563</v>
      </c>
      <c r="H152" s="47">
        <f t="shared" si="281"/>
        <v>25.94825876054427</v>
      </c>
      <c r="I152" s="47">
        <f t="shared" si="282"/>
        <v>31.973278833962851</v>
      </c>
      <c r="J152" s="47">
        <f t="shared" si="283"/>
        <v>33.944818858945474</v>
      </c>
      <c r="K152" s="47">
        <f t="shared" si="284"/>
        <v>32.959048846454166</v>
      </c>
      <c r="L152" s="47">
        <f t="shared" si="285"/>
        <v>2.2802390451058812</v>
      </c>
      <c r="M152" s="47">
        <f t="shared" si="286"/>
        <v>2.2714440948556431</v>
      </c>
      <c r="N152" s="47">
        <f t="shared" si="287"/>
        <v>2.2758415699807619</v>
      </c>
      <c r="O152" s="47">
        <f t="shared" si="288"/>
        <v>1.2770556876259276</v>
      </c>
      <c r="P152" s="47">
        <f t="shared" si="289"/>
        <v>-8.7949502502380206E-3</v>
      </c>
      <c r="Q152" s="47">
        <f t="shared" si="290"/>
        <v>-0.93705486603136023</v>
      </c>
      <c r="R152" s="47">
        <f t="shared" si="291"/>
        <v>1.9715400249826232</v>
      </c>
      <c r="S152" s="47">
        <f t="shared" si="292"/>
        <v>-0.28974257984886104</v>
      </c>
      <c r="T152" s="47">
        <f t="shared" si="293"/>
        <v>1.3046959509518792</v>
      </c>
      <c r="U152" s="47">
        <f t="shared" si="294"/>
        <v>2.4831571980904377</v>
      </c>
      <c r="V152" s="47">
        <f t="shared" si="295"/>
        <v>1.6313581118215759</v>
      </c>
      <c r="W152" s="108">
        <f t="shared" si="299"/>
        <v>2.9515295769278531E-15</v>
      </c>
      <c r="X152" s="47">
        <f t="shared" si="296"/>
        <v>5.2620051870295468</v>
      </c>
      <c r="Y152" s="47">
        <f t="shared" si="297"/>
        <v>-5.4213291364399037E-16</v>
      </c>
      <c r="Z152" s="47">
        <f t="shared" si="298"/>
        <v>1.0852469258358528</v>
      </c>
    </row>
    <row r="153" spans="1:26">
      <c r="A153" s="47"/>
      <c r="B153" s="47">
        <f t="shared" si="275"/>
        <v>71.540933169913018</v>
      </c>
      <c r="C153" s="47">
        <f t="shared" si="276"/>
        <v>64.941443619881611</v>
      </c>
      <c r="D153" s="47">
        <f t="shared" si="277"/>
        <v>62.441851566209337</v>
      </c>
      <c r="E153" s="47">
        <f t="shared" si="278"/>
        <v>63.691647593045474</v>
      </c>
      <c r="F153" s="47">
        <f t="shared" si="279"/>
        <v>3.5848865864734902E-4</v>
      </c>
      <c r="G153" s="47">
        <f t="shared" si="280"/>
        <v>-28.598699776871349</v>
      </c>
      <c r="H153" s="47">
        <f t="shared" si="281"/>
        <v>-27.378293351430379</v>
      </c>
      <c r="I153" s="47">
        <f t="shared" si="282"/>
        <v>64.945955914894711</v>
      </c>
      <c r="J153" s="47">
        <f t="shared" si="283"/>
        <v>62.44615251182276</v>
      </c>
      <c r="K153" s="47">
        <f t="shared" si="284"/>
        <v>63.696054213358735</v>
      </c>
      <c r="L153" s="47">
        <f t="shared" si="285"/>
        <v>5.8272011607443064</v>
      </c>
      <c r="M153" s="47">
        <f t="shared" si="286"/>
        <v>5.8293337445889755</v>
      </c>
      <c r="N153" s="47">
        <f t="shared" si="287"/>
        <v>5.8282674526666405</v>
      </c>
      <c r="O153" s="47">
        <f t="shared" si="288"/>
        <v>1.3453538346739065</v>
      </c>
      <c r="P153" s="47">
        <f t="shared" si="289"/>
        <v>2.1325838446690781E-3</v>
      </c>
      <c r="Q153" s="47">
        <f t="shared" si="290"/>
        <v>-0.79302065901656249</v>
      </c>
      <c r="R153" s="47">
        <f t="shared" si="291"/>
        <v>-2.4998034030719509</v>
      </c>
      <c r="S153" s="47">
        <f t="shared" si="292"/>
        <v>0.1358109953045307</v>
      </c>
      <c r="T153" s="47">
        <f t="shared" si="293"/>
        <v>1.3163678259416194</v>
      </c>
      <c r="U153" s="47">
        <f t="shared" si="294"/>
        <v>3.8663224396011429</v>
      </c>
      <c r="V153" s="47">
        <f t="shared" si="295"/>
        <v>2.2854059618430882</v>
      </c>
      <c r="W153" s="108">
        <f t="shared" si="299"/>
        <v>3.8589556292886176E-3</v>
      </c>
      <c r="X153" s="47">
        <f t="shared" si="296"/>
        <v>52.799969972066904</v>
      </c>
      <c r="Y153" s="47">
        <f t="shared" si="297"/>
        <v>-7.1123123715343224E-3</v>
      </c>
      <c r="Z153" s="47">
        <f t="shared" si="298"/>
        <v>0.88586988194093941</v>
      </c>
    </row>
    <row r="154" spans="1:26">
      <c r="B154" s="47">
        <f t="shared" si="275"/>
        <v>70.265448213334821</v>
      </c>
      <c r="C154" s="47">
        <f t="shared" si="276"/>
        <v>68.694259398926746</v>
      </c>
      <c r="D154" s="47">
        <f t="shared" si="277"/>
        <v>67.323017689702951</v>
      </c>
      <c r="E154" s="47">
        <f t="shared" si="278"/>
        <v>68.008638544314849</v>
      </c>
      <c r="F154" s="47">
        <f t="shared" si="279"/>
        <v>2.2660849208383516E-4</v>
      </c>
      <c r="G154" s="47">
        <f t="shared" si="280"/>
        <v>16.825705464223617</v>
      </c>
      <c r="H154" s="47">
        <f t="shared" si="281"/>
        <v>17.992552658664607</v>
      </c>
      <c r="I154" s="47">
        <f t="shared" si="282"/>
        <v>68.695192979370901</v>
      </c>
      <c r="J154" s="47">
        <f t="shared" si="283"/>
        <v>67.32410698857754</v>
      </c>
      <c r="K154" s="47">
        <f t="shared" si="284"/>
        <v>68.009649983974214</v>
      </c>
      <c r="L154" s="47">
        <f t="shared" si="285"/>
        <v>0.2474503732228121</v>
      </c>
      <c r="M154" s="47">
        <f t="shared" si="286"/>
        <v>0.27054094935424383</v>
      </c>
      <c r="N154" s="47">
        <f t="shared" si="287"/>
        <v>0.25899566128852797</v>
      </c>
      <c r="O154" s="47">
        <f t="shared" si="288"/>
        <v>1.0483035012083388</v>
      </c>
      <c r="P154" s="47">
        <f t="shared" si="289"/>
        <v>2.3090576131431728E-2</v>
      </c>
      <c r="Q154" s="47">
        <f t="shared" si="290"/>
        <v>-0.81690271490157329</v>
      </c>
      <c r="R154" s="47">
        <f t="shared" si="291"/>
        <v>-1.371085990793361</v>
      </c>
      <c r="S154" s="47">
        <f t="shared" si="292"/>
        <v>1.5702673318437679</v>
      </c>
      <c r="T154" s="47">
        <f t="shared" si="293"/>
        <v>1.2968397814084607</v>
      </c>
      <c r="U154" s="47">
        <f t="shared" si="294"/>
        <v>4.0604342492788401</v>
      </c>
      <c r="V154" s="47">
        <f t="shared" si="295"/>
        <v>2.0694213129123069</v>
      </c>
      <c r="W154" s="108">
        <f t="shared" si="299"/>
        <v>9.303487068297141E-48</v>
      </c>
      <c r="X154" s="47">
        <f t="shared" si="296"/>
        <v>66.410490791068227</v>
      </c>
      <c r="Y154" s="47">
        <f t="shared" si="297"/>
        <v>-2.1567003626607311E-47</v>
      </c>
      <c r="Z154" s="47">
        <f t="shared" si="298"/>
        <v>1.0423953176073182</v>
      </c>
    </row>
    <row r="158" spans="1:26">
      <c r="H158" t="s">
        <v>98</v>
      </c>
      <c r="I158" s="19" t="s">
        <v>47</v>
      </c>
    </row>
    <row r="159" spans="1:26">
      <c r="A159" t="s">
        <v>114</v>
      </c>
      <c r="D159" t="s">
        <v>97</v>
      </c>
      <c r="E159">
        <v>0.95047000000000004</v>
      </c>
      <c r="F159">
        <v>1</v>
      </c>
      <c r="G159">
        <v>1.08883</v>
      </c>
      <c r="H159">
        <v>8.8559999999999993E-3</v>
      </c>
      <c r="I159">
        <v>903.3</v>
      </c>
    </row>
    <row r="160" spans="1:26">
      <c r="A160" t="s">
        <v>116</v>
      </c>
      <c r="B160" t="s">
        <v>84</v>
      </c>
      <c r="C160" t="s">
        <v>3</v>
      </c>
      <c r="D160" t="s">
        <v>85</v>
      </c>
      <c r="E160" t="s">
        <v>86</v>
      </c>
      <c r="F160" t="s">
        <v>87</v>
      </c>
      <c r="G160" t="s">
        <v>88</v>
      </c>
      <c r="H160" t="s">
        <v>89</v>
      </c>
      <c r="I160" t="s">
        <v>90</v>
      </c>
      <c r="J160" t="s">
        <v>91</v>
      </c>
      <c r="K160" t="s">
        <v>83</v>
      </c>
      <c r="L160" t="s">
        <v>42</v>
      </c>
      <c r="M160" t="s">
        <v>43</v>
      </c>
      <c r="N160" t="s">
        <v>94</v>
      </c>
      <c r="O160" t="s">
        <v>95</v>
      </c>
      <c r="P160" t="s">
        <v>96</v>
      </c>
    </row>
    <row r="161" spans="1:16">
      <c r="A161" s="138" t="s">
        <v>160</v>
      </c>
      <c r="B161">
        <f>'Color Targets'!B71*'Color Targets'!D71/'Color Targets'!C71</f>
        <v>0.31910860421116372</v>
      </c>
      <c r="C161" s="67">
        <f>'Color Targets'!D71</f>
        <v>0.33573772567469162</v>
      </c>
      <c r="D161">
        <f>(1-'Color Targets'!B71-'Color Targets'!C71)*'Color Targets'!D71/'Color Targets'!C71</f>
        <v>0.3655612712902474</v>
      </c>
      <c r="E161">
        <f>B161/$E$113</f>
        <v>0.33573769210092241</v>
      </c>
      <c r="F161">
        <f>C161/$F$113</f>
        <v>0.33573772567469162</v>
      </c>
      <c r="G161">
        <f>D161/$G$113</f>
        <v>0.33573769210092247</v>
      </c>
      <c r="H161">
        <f>IF(E161&gt;$H$113,E161^(1/3),($I$113*E161+16)/116)</f>
        <v>0.69502437131445882</v>
      </c>
      <c r="I161">
        <f>IF(F161&gt;$H$113,F161^(1/3),($I$113*F161+16)/116)</f>
        <v>0.69502439448193709</v>
      </c>
      <c r="J161">
        <f>IF(G161&gt;$H$113,G161^(1/3),($I$113*G161+16)/116)</f>
        <v>0.69502437131445882</v>
      </c>
      <c r="K161">
        <f t="shared" ref="K161" si="300">116*I161-16</f>
        <v>64.622829759904704</v>
      </c>
      <c r="L161">
        <f t="shared" ref="L161" si="301">500*(H161-I161)</f>
        <v>-1.158373913456856E-5</v>
      </c>
      <c r="M161">
        <f t="shared" ref="M161" si="302">200*(I161-J161)</f>
        <v>4.6334956538274241E-6</v>
      </c>
      <c r="N161">
        <v>1</v>
      </c>
      <c r="O161">
        <f t="shared" ref="O161" si="303">1+0.045*SQRT(L161^2+M161^2)</f>
        <v>1.0000005614230989</v>
      </c>
      <c r="P161">
        <f t="shared" ref="P161" si="304">1+0.015*SQRT(L161^2+M161^2)</f>
        <v>1.0000001871410329</v>
      </c>
    </row>
    <row r="162" spans="1:16">
      <c r="A162" s="139" t="s">
        <v>161</v>
      </c>
      <c r="B162">
        <f>'Color Targets'!B72*'Color Targets'!D72/'Color Targets'!C72</f>
        <v>0.46588109431698244</v>
      </c>
      <c r="C162" s="67">
        <f>'Color Targets'!D72</f>
        <v>0.49015870138467477</v>
      </c>
      <c r="D162">
        <f>(1-'Color Targets'!B72-'Color Targets'!C72)*'Color Targets'!D72/'Color Targets'!C72</f>
        <v>0.53369944545873083</v>
      </c>
      <c r="E162">
        <f t="shared" ref="E162:E183" si="305">B162/$E$113</f>
        <v>0.49015865236880957</v>
      </c>
      <c r="F162">
        <f t="shared" ref="F162:F183" si="306">C162/$F$113</f>
        <v>0.49015870138467477</v>
      </c>
      <c r="G162">
        <f t="shared" ref="G162:G183" si="307">D162/$G$113</f>
        <v>0.49015865236880951</v>
      </c>
      <c r="H162">
        <f t="shared" ref="H162:H183" si="308">IF(E162&gt;$H$113,E162^(1/3),($I$113*E162+16)/116)</f>
        <v>0.78845859374528882</v>
      </c>
      <c r="I162">
        <f t="shared" ref="I162:I183" si="309">IF(F162&gt;$H$113,F162^(1/3),($I$113*F162+16)/116)</f>
        <v>0.7884586200272411</v>
      </c>
      <c r="J162">
        <f t="shared" ref="J162:J183" si="310">IF(G162&gt;$H$113,G162^(1/3),($I$113*G162+16)/116)</f>
        <v>0.78845859374528882</v>
      </c>
      <c r="K162">
        <f t="shared" ref="K162:K183" si="311">116*I162-16</f>
        <v>75.461199923159967</v>
      </c>
      <c r="L162">
        <f t="shared" ref="L162:L183" si="312">500*(H162-I162)</f>
        <v>-1.3140976140579852E-5</v>
      </c>
      <c r="M162">
        <f t="shared" ref="M162:M183" si="313">200*(I162-J162)</f>
        <v>5.2563904562319408E-6</v>
      </c>
      <c r="N162">
        <v>1</v>
      </c>
      <c r="O162">
        <f t="shared" ref="O162:O183" si="314">1+0.045*SQRT(L162^2+M162^2)</f>
        <v>1.0000006368969001</v>
      </c>
      <c r="P162">
        <f t="shared" ref="P162:P183" si="315">1+0.015*SQRT(L162^2+M162^2)</f>
        <v>1.0000002122989666</v>
      </c>
    </row>
    <row r="163" spans="1:16">
      <c r="A163" s="137" t="s">
        <v>162</v>
      </c>
      <c r="B163">
        <f>'Color Targets'!B73*'Color Targets'!D73/'Color Targets'!C73</f>
        <v>0.61247324779620638</v>
      </c>
      <c r="C163" s="67">
        <f>'Color Targets'!D73</f>
        <v>0.64438994291616913</v>
      </c>
      <c r="D163">
        <f>(1-'Color Targets'!B73-'Color Targets'!C73)*'Color Targets'!D73/'Color Targets'!C73</f>
        <v>0.70163103138230942</v>
      </c>
      <c r="E163">
        <f t="shared" si="305"/>
        <v>0.6443898784771811</v>
      </c>
      <c r="F163">
        <f t="shared" si="306"/>
        <v>0.64438994291616913</v>
      </c>
      <c r="G163">
        <f t="shared" si="307"/>
        <v>0.64438987847718143</v>
      </c>
      <c r="H163">
        <f t="shared" si="308"/>
        <v>0.86373974360651251</v>
      </c>
      <c r="I163">
        <f t="shared" si="309"/>
        <v>0.86373977239783639</v>
      </c>
      <c r="J163">
        <f t="shared" si="310"/>
        <v>0.86373974360651262</v>
      </c>
      <c r="K163">
        <f t="shared" si="311"/>
        <v>84.193813598149021</v>
      </c>
      <c r="L163">
        <f t="shared" si="312"/>
        <v>-1.4395661940280746E-5</v>
      </c>
      <c r="M163">
        <f t="shared" si="313"/>
        <v>5.758264753907838E-6</v>
      </c>
      <c r="N163">
        <v>1</v>
      </c>
      <c r="O163">
        <f t="shared" si="314"/>
        <v>1.0000006977071081</v>
      </c>
      <c r="P163">
        <f t="shared" si="315"/>
        <v>1.000000232569036</v>
      </c>
    </row>
    <row r="164" spans="1:16">
      <c r="A164" s="140" t="s">
        <v>163</v>
      </c>
      <c r="B164">
        <f>'Color Targets'!B74*'Color Targets'!D74/'Color Targets'!C74</f>
        <v>0.74754704784065518</v>
      </c>
      <c r="C164" s="67">
        <f>'Color Targets'!D74</f>
        <v>0.7865025961843719</v>
      </c>
      <c r="D164">
        <f>(1-'Color Targets'!B74-'Color Targets'!C74)*'Color Targets'!D74/'Color Targets'!C74</f>
        <v>0.85636753616667582</v>
      </c>
      <c r="E164">
        <f t="shared" si="305"/>
        <v>0.78650251753412015</v>
      </c>
      <c r="F164">
        <f t="shared" si="306"/>
        <v>0.7865025961843719</v>
      </c>
      <c r="G164">
        <f t="shared" si="307"/>
        <v>0.78650251753411993</v>
      </c>
      <c r="H164">
        <f t="shared" si="308"/>
        <v>0.92306731311620338</v>
      </c>
      <c r="I164">
        <f t="shared" si="309"/>
        <v>0.9230673438851128</v>
      </c>
      <c r="J164">
        <f t="shared" si="310"/>
        <v>0.92306731311620338</v>
      </c>
      <c r="K164">
        <f t="shared" si="311"/>
        <v>91.07581189067308</v>
      </c>
      <c r="L164">
        <f t="shared" si="312"/>
        <v>-1.5384454710165585E-5</v>
      </c>
      <c r="M164">
        <f t="shared" si="313"/>
        <v>6.1537818840662339E-6</v>
      </c>
      <c r="N164">
        <v>1</v>
      </c>
      <c r="O164">
        <f t="shared" si="314"/>
        <v>1.0000007456304167</v>
      </c>
      <c r="P164">
        <f t="shared" si="315"/>
        <v>1.0000002485434722</v>
      </c>
    </row>
    <row r="165" spans="1:16">
      <c r="A165" t="s">
        <v>48</v>
      </c>
      <c r="B165">
        <f>'Color Targets'!B75*'Color Targets'!D75/'Color Targets'!C75</f>
        <v>0.95047000000000004</v>
      </c>
      <c r="C165" s="67">
        <f>'Color Targets'!D75</f>
        <v>1.0000001000000001</v>
      </c>
      <c r="D165">
        <f>(1-'Color Targets'!B75-'Color Targets'!C75)*'Color Targets'!D75/'Color Targets'!C75</f>
        <v>1.0888299999999997</v>
      </c>
      <c r="E165">
        <f t="shared" si="305"/>
        <v>1</v>
      </c>
      <c r="F165">
        <f t="shared" si="306"/>
        <v>1.0000001000000001</v>
      </c>
      <c r="G165">
        <f t="shared" si="307"/>
        <v>0.99999999999999978</v>
      </c>
      <c r="H165">
        <f t="shared" si="308"/>
        <v>1</v>
      </c>
      <c r="I165">
        <f t="shared" si="309"/>
        <v>1.0000000333333323</v>
      </c>
      <c r="J165">
        <f t="shared" si="310"/>
        <v>0.99999999999999989</v>
      </c>
      <c r="K165">
        <f t="shared" si="311"/>
        <v>100.00000386666655</v>
      </c>
      <c r="L165">
        <f t="shared" si="312"/>
        <v>-1.6666666158293708E-5</v>
      </c>
      <c r="M165">
        <f t="shared" si="313"/>
        <v>6.6666664855219437E-6</v>
      </c>
      <c r="N165">
        <v>1</v>
      </c>
      <c r="O165">
        <f t="shared" si="314"/>
        <v>1.0000008077746969</v>
      </c>
      <c r="P165">
        <f t="shared" si="315"/>
        <v>1.0000002692582324</v>
      </c>
    </row>
    <row r="166" spans="1:16">
      <c r="A166" s="69" t="s">
        <v>21</v>
      </c>
      <c r="B166">
        <f>'Color Targets'!B76*'Color Targets'!D76/'Color Targets'!C76</f>
        <v>0.1023391274528483</v>
      </c>
      <c r="C166" s="67">
        <f>'Color Targets'!D76</f>
        <v>9.0639425103872809E-2</v>
      </c>
      <c r="D166">
        <f>(1-'Color Targets'!B76-'Color Targets'!C76)*'Color Targets'!D76/'Color Targets'!C76</f>
        <v>5.7595546087220312E-2</v>
      </c>
      <c r="E166">
        <f t="shared" si="305"/>
        <v>0.10767212795022284</v>
      </c>
      <c r="F166">
        <f t="shared" si="306"/>
        <v>9.0639425103872809E-2</v>
      </c>
      <c r="G166">
        <f t="shared" si="307"/>
        <v>5.2896729597109109E-2</v>
      </c>
      <c r="H166">
        <f t="shared" si="308"/>
        <v>0.47573791558007578</v>
      </c>
      <c r="I166">
        <f t="shared" si="309"/>
        <v>0.44919927580625191</v>
      </c>
      <c r="J166">
        <f t="shared" si="310"/>
        <v>0.37538444626132039</v>
      </c>
      <c r="K166">
        <f t="shared" si="311"/>
        <v>36.10711599352522</v>
      </c>
      <c r="L166">
        <f t="shared" si="312"/>
        <v>13.269319886911934</v>
      </c>
      <c r="M166">
        <f t="shared" si="313"/>
        <v>14.762965908986303</v>
      </c>
      <c r="N166">
        <v>1</v>
      </c>
      <c r="O166">
        <f t="shared" si="314"/>
        <v>1.8932471806277666</v>
      </c>
      <c r="P166">
        <f t="shared" si="315"/>
        <v>1.2977490602092554</v>
      </c>
    </row>
    <row r="167" spans="1:16">
      <c r="A167" s="70" t="s">
        <v>22</v>
      </c>
      <c r="B167">
        <f>'Color Targets'!B77*'Color Targets'!D77/'Color Targets'!C77</f>
        <v>0.36651932306956736</v>
      </c>
      <c r="C167" s="67">
        <f>'Color Targets'!D77</f>
        <v>0.34259431199920665</v>
      </c>
      <c r="D167">
        <f>(1-'Color Targets'!B77-'Color Targets'!C77)*'Color Targets'!D77/'Color Targets'!C77</f>
        <v>0.25324405788186122</v>
      </c>
      <c r="E167">
        <f t="shared" si="305"/>
        <v>0.38561903381439427</v>
      </c>
      <c r="F167">
        <f t="shared" si="306"/>
        <v>0.34259431199920665</v>
      </c>
      <c r="G167">
        <f t="shared" si="307"/>
        <v>0.23258365206860687</v>
      </c>
      <c r="H167">
        <f t="shared" si="308"/>
        <v>0.72786832555330983</v>
      </c>
      <c r="I167">
        <f t="shared" si="309"/>
        <v>0.69972391289092406</v>
      </c>
      <c r="J167">
        <f t="shared" si="310"/>
        <v>0.61497821067059522</v>
      </c>
      <c r="K167">
        <f t="shared" si="311"/>
        <v>65.167973895347188</v>
      </c>
      <c r="L167">
        <f t="shared" si="312"/>
        <v>14.072206331192882</v>
      </c>
      <c r="M167">
        <f t="shared" si="313"/>
        <v>16.949140444065769</v>
      </c>
      <c r="N167">
        <v>1</v>
      </c>
      <c r="O167">
        <f t="shared" si="314"/>
        <v>1.9913290142335036</v>
      </c>
      <c r="P167">
        <f t="shared" si="315"/>
        <v>1.3304430047445013</v>
      </c>
    </row>
    <row r="168" spans="1:16">
      <c r="A168" s="71" t="s">
        <v>23</v>
      </c>
      <c r="B168">
        <f>'Color Targets'!B78*'Color Targets'!D78/'Color Targets'!C78</f>
        <v>0.16795315599144556</v>
      </c>
      <c r="C168" s="67">
        <f>'Color Targets'!D78</f>
        <v>0.17943300512779958</v>
      </c>
      <c r="D168">
        <f>(1-'Color Targets'!B78-'Color Targets'!C78)*'Color Targets'!D78/'Color Targets'!C78</f>
        <v>0.3327105046200417</v>
      </c>
      <c r="E168">
        <f t="shared" si="305"/>
        <v>0.17670537312218751</v>
      </c>
      <c r="F168">
        <f t="shared" si="306"/>
        <v>0.17943300512779958</v>
      </c>
      <c r="G168">
        <f t="shared" si="307"/>
        <v>0.30556698898821827</v>
      </c>
      <c r="H168">
        <f t="shared" si="308"/>
        <v>0.56115553607182389</v>
      </c>
      <c r="I168">
        <f t="shared" si="309"/>
        <v>0.56402814641632271</v>
      </c>
      <c r="J168">
        <f t="shared" si="310"/>
        <v>0.67354840428600471</v>
      </c>
      <c r="K168">
        <f t="shared" si="311"/>
        <v>49.42726498429343</v>
      </c>
      <c r="L168">
        <f t="shared" si="312"/>
        <v>-1.436305172249408</v>
      </c>
      <c r="M168">
        <f t="shared" si="313"/>
        <v>-21.9040515739364</v>
      </c>
      <c r="N168">
        <v>1</v>
      </c>
      <c r="O168">
        <f t="shared" si="314"/>
        <v>1.9877991481068049</v>
      </c>
      <c r="P168">
        <f t="shared" si="315"/>
        <v>1.3292663827022684</v>
      </c>
    </row>
    <row r="169" spans="1:16">
      <c r="A169" s="72" t="s">
        <v>24</v>
      </c>
      <c r="B169">
        <f>'Color Targets'!B79*'Color Targets'!D79/'Color Targets'!C79</f>
        <v>9.5538660564042616E-2</v>
      </c>
      <c r="C169" s="67">
        <f>'Color Targets'!D79</f>
        <v>0.12131759225019126</v>
      </c>
      <c r="D169">
        <f>(1-'Color Targets'!B79-'Color Targets'!C79)*'Color Targets'!D79/'Color Targets'!C79</f>
        <v>6.3873811803637548E-2</v>
      </c>
      <c r="E169">
        <f t="shared" si="305"/>
        <v>0.10051728151760983</v>
      </c>
      <c r="F169">
        <f t="shared" si="306"/>
        <v>0.12131759225019126</v>
      </c>
      <c r="G169">
        <f t="shared" si="307"/>
        <v>5.8662795664738802E-2</v>
      </c>
      <c r="H169">
        <f t="shared" si="308"/>
        <v>0.4649578433553242</v>
      </c>
      <c r="I169">
        <f t="shared" si="309"/>
        <v>0.49504110429700432</v>
      </c>
      <c r="J169">
        <f t="shared" si="310"/>
        <v>0.38855656579981962</v>
      </c>
      <c r="K169">
        <f t="shared" si="311"/>
        <v>41.424768098452503</v>
      </c>
      <c r="L169">
        <f t="shared" si="312"/>
        <v>-15.041630470840062</v>
      </c>
      <c r="M169">
        <f t="shared" si="313"/>
        <v>21.29690769943694</v>
      </c>
      <c r="N169">
        <v>1</v>
      </c>
      <c r="O169">
        <f t="shared" si="314"/>
        <v>2.1732915548484835</v>
      </c>
      <c r="P169">
        <f t="shared" si="315"/>
        <v>1.3910971849494946</v>
      </c>
    </row>
    <row r="170" spans="1:16">
      <c r="A170" s="73" t="s">
        <v>25</v>
      </c>
      <c r="B170">
        <f>'Color Targets'!B80*'Color Targets'!D80/'Color Targets'!C80</f>
        <v>0.24188613419462013</v>
      </c>
      <c r="C170" s="67">
        <f>'Color Targets'!D80</f>
        <v>0.2268585176103993</v>
      </c>
      <c r="D170">
        <f>(1-'Color Targets'!B80-'Color Targets'!C80)*'Color Targets'!D80/'Color Targets'!C80</f>
        <v>0.43502918167322169</v>
      </c>
      <c r="E170">
        <f t="shared" si="305"/>
        <v>0.25449107725085496</v>
      </c>
      <c r="F170">
        <f t="shared" si="306"/>
        <v>0.2268585176103993</v>
      </c>
      <c r="G170">
        <f t="shared" si="307"/>
        <v>0.3995382030925137</v>
      </c>
      <c r="H170">
        <f t="shared" si="308"/>
        <v>0.6337104274996842</v>
      </c>
      <c r="I170">
        <f t="shared" si="309"/>
        <v>0.60989025850817347</v>
      </c>
      <c r="J170">
        <f t="shared" si="310"/>
        <v>0.73652264481539564</v>
      </c>
      <c r="K170">
        <f t="shared" si="311"/>
        <v>54.747269986948126</v>
      </c>
      <c r="L170">
        <f t="shared" si="312"/>
        <v>11.910084495755369</v>
      </c>
      <c r="M170">
        <f t="shared" si="313"/>
        <v>-25.326477261444435</v>
      </c>
      <c r="N170">
        <v>1</v>
      </c>
      <c r="O170">
        <f t="shared" si="314"/>
        <v>2.2594217484307038</v>
      </c>
      <c r="P170">
        <f t="shared" si="315"/>
        <v>1.4198072494769012</v>
      </c>
    </row>
    <row r="171" spans="1:16">
      <c r="A171" s="74" t="s">
        <v>26</v>
      </c>
      <c r="B171">
        <f>'Color Targets'!B81*'Color Targets'!D81/'Color Targets'!C81</f>
        <v>0.2979359373413738</v>
      </c>
      <c r="C171" s="67">
        <f>'Color Targets'!D81</f>
        <v>0.41337809931048763</v>
      </c>
      <c r="D171">
        <f>(1-'Color Targets'!B81-'Color Targets'!C81)*'Color Targets'!D81/'Color Targets'!C81</f>
        <v>0.43209862785128222</v>
      </c>
      <c r="E171">
        <f t="shared" si="305"/>
        <v>0.31346169509965993</v>
      </c>
      <c r="F171">
        <f t="shared" si="306"/>
        <v>0.41337809931048763</v>
      </c>
      <c r="G171">
        <f t="shared" si="307"/>
        <v>0.39684673259487913</v>
      </c>
      <c r="H171">
        <f t="shared" si="308"/>
        <v>0.67929980918244759</v>
      </c>
      <c r="I171">
        <f t="shared" si="309"/>
        <v>0.74493061186429277</v>
      </c>
      <c r="J171">
        <f t="shared" si="310"/>
        <v>0.73486506699436105</v>
      </c>
      <c r="K171">
        <f t="shared" si="311"/>
        <v>70.411950976257955</v>
      </c>
      <c r="L171">
        <f t="shared" si="312"/>
        <v>-32.815401340922591</v>
      </c>
      <c r="M171">
        <f t="shared" si="313"/>
        <v>2.0131089739863439</v>
      </c>
      <c r="N171">
        <v>1</v>
      </c>
      <c r="O171">
        <f t="shared" si="314"/>
        <v>2.4794691362568573</v>
      </c>
      <c r="P171">
        <f t="shared" si="315"/>
        <v>1.4931563787522859</v>
      </c>
    </row>
    <row r="172" spans="1:16">
      <c r="A172" s="75" t="s">
        <v>27</v>
      </c>
      <c r="B172">
        <f>'Color Targets'!B82*'Color Targets'!D82/'Color Targets'!C82</f>
        <v>0.35314785168380475</v>
      </c>
      <c r="C172" s="67">
        <f>'Color Targets'!D82</f>
        <v>0.27688005627629153</v>
      </c>
      <c r="D172">
        <f>(1-'Color Targets'!B82-'Color Targets'!C82)*'Color Targets'!D82/'Color Targets'!C82</f>
        <v>5.2868861184608935E-2</v>
      </c>
      <c r="E172">
        <f t="shared" si="305"/>
        <v>0.37155076086967997</v>
      </c>
      <c r="F172">
        <f t="shared" si="306"/>
        <v>0.27688005627629153</v>
      </c>
      <c r="G172">
        <f t="shared" si="307"/>
        <v>4.8555661751245774E-2</v>
      </c>
      <c r="H172">
        <f t="shared" si="308"/>
        <v>0.71890700988956524</v>
      </c>
      <c r="I172">
        <f t="shared" si="309"/>
        <v>0.65177428945927351</v>
      </c>
      <c r="J172">
        <f t="shared" si="310"/>
        <v>0.36482110893793068</v>
      </c>
      <c r="K172">
        <f t="shared" si="311"/>
        <v>59.605817577275729</v>
      </c>
      <c r="L172">
        <f t="shared" si="312"/>
        <v>33.566360215145863</v>
      </c>
      <c r="M172">
        <f t="shared" si="313"/>
        <v>57.390636104268566</v>
      </c>
      <c r="N172">
        <v>1</v>
      </c>
      <c r="O172">
        <f t="shared" si="314"/>
        <v>3.9918691385745202</v>
      </c>
      <c r="P172">
        <f t="shared" si="315"/>
        <v>1.9972897128581732</v>
      </c>
    </row>
    <row r="173" spans="1:16">
      <c r="A173" s="76" t="s">
        <v>28</v>
      </c>
      <c r="B173">
        <f>'Color Targets'!B83*'Color Targets'!D83/'Color Targets'!C83</f>
        <v>0.12419038588985595</v>
      </c>
      <c r="C173" s="67">
        <f>'Color Targets'!D83</f>
        <v>0.10791893332630176</v>
      </c>
      <c r="D173">
        <f>(1-'Color Targets'!B83-'Color Targets'!C83)*'Color Targets'!D83/'Color Targets'!C83</f>
        <v>0.35375042911089666</v>
      </c>
      <c r="E173">
        <f t="shared" si="305"/>
        <v>0.13066207864515023</v>
      </c>
      <c r="F173">
        <f t="shared" si="306"/>
        <v>0.10791893332630176</v>
      </c>
      <c r="G173">
        <f t="shared" si="307"/>
        <v>0.32489041366503191</v>
      </c>
      <c r="H173">
        <f t="shared" si="308"/>
        <v>0.50743823480261152</v>
      </c>
      <c r="I173">
        <f t="shared" si="309"/>
        <v>0.47610113268828047</v>
      </c>
      <c r="J173">
        <f t="shared" si="310"/>
        <v>0.68745714856399631</v>
      </c>
      <c r="K173">
        <f t="shared" si="311"/>
        <v>39.227731391840535</v>
      </c>
      <c r="L173">
        <f t="shared" si="312"/>
        <v>15.668551057165525</v>
      </c>
      <c r="M173">
        <f t="shared" si="313"/>
        <v>-42.271203175143171</v>
      </c>
      <c r="N173">
        <v>1</v>
      </c>
      <c r="O173">
        <f t="shared" si="314"/>
        <v>3.0286757190253706</v>
      </c>
      <c r="P173">
        <f t="shared" si="315"/>
        <v>1.6762252396751234</v>
      </c>
    </row>
    <row r="174" spans="1:16">
      <c r="A174" s="77" t="s">
        <v>29</v>
      </c>
      <c r="B174">
        <f>'Color Targets'!B84*'Color Targets'!D84/'Color Targets'!C84</f>
        <v>0.2680965628402644</v>
      </c>
      <c r="C174" s="67">
        <f>'Color Targets'!D84</f>
        <v>0.17744141402760219</v>
      </c>
      <c r="D174">
        <f>(1-'Color Targets'!B84-'Color Targets'!C84)*'Color Targets'!D84/'Color Targets'!C84</f>
        <v>0.12271756645080376</v>
      </c>
      <c r="E174">
        <f t="shared" si="305"/>
        <v>0.28206735913838876</v>
      </c>
      <c r="F174">
        <f t="shared" si="306"/>
        <v>0.17744141402760219</v>
      </c>
      <c r="G174">
        <f t="shared" si="307"/>
        <v>0.11270590124335642</v>
      </c>
      <c r="H174">
        <f t="shared" si="308"/>
        <v>0.65581942712559549</v>
      </c>
      <c r="I174">
        <f t="shared" si="309"/>
        <v>0.5619335944254551</v>
      </c>
      <c r="J174">
        <f t="shared" si="310"/>
        <v>0.48303902460979831</v>
      </c>
      <c r="K174">
        <f t="shared" si="311"/>
        <v>49.184296953352785</v>
      </c>
      <c r="L174">
        <f t="shared" si="312"/>
        <v>46.942916350070199</v>
      </c>
      <c r="M174">
        <f t="shared" si="313"/>
        <v>15.778913963131359</v>
      </c>
      <c r="N174">
        <v>1</v>
      </c>
      <c r="O174">
        <f t="shared" si="314"/>
        <v>3.2285731602628216</v>
      </c>
      <c r="P174">
        <f t="shared" si="315"/>
        <v>1.7428577200876072</v>
      </c>
    </row>
    <row r="175" spans="1:16">
      <c r="A175" s="78" t="s">
        <v>30</v>
      </c>
      <c r="B175">
        <f>'Color Targets'!B85*'Color Targets'!D85/'Color Targets'!C85</f>
        <v>7.9558482317133306E-2</v>
      </c>
      <c r="C175" s="67">
        <f>'Color Targets'!D85</f>
        <v>6.0123800686954589E-2</v>
      </c>
      <c r="D175">
        <f>(1-'Color Targets'!B85-'Color Targets'!C85)*'Color Targets'!D85/'Color Targets'!C85</f>
        <v>0.13761019944980568</v>
      </c>
      <c r="E175">
        <f t="shared" si="305"/>
        <v>8.3704359229784531E-2</v>
      </c>
      <c r="F175">
        <f t="shared" si="306"/>
        <v>6.0123800686954589E-2</v>
      </c>
      <c r="G175">
        <f t="shared" si="307"/>
        <v>0.12638354880909389</v>
      </c>
      <c r="H175">
        <f t="shared" si="308"/>
        <v>0.43743751463266528</v>
      </c>
      <c r="I175">
        <f t="shared" si="309"/>
        <v>0.39175583652933094</v>
      </c>
      <c r="J175">
        <f t="shared" si="310"/>
        <v>0.50183796721994833</v>
      </c>
      <c r="K175">
        <f t="shared" si="311"/>
        <v>29.443677037402388</v>
      </c>
      <c r="L175">
        <f t="shared" si="312"/>
        <v>22.840839051667171</v>
      </c>
      <c r="M175">
        <f t="shared" si="313"/>
        <v>-22.016426138123478</v>
      </c>
      <c r="N175">
        <v>1</v>
      </c>
      <c r="O175">
        <f t="shared" si="314"/>
        <v>2.4275904772276995</v>
      </c>
      <c r="P175">
        <f t="shared" si="315"/>
        <v>1.4758634924092333</v>
      </c>
    </row>
    <row r="176" spans="1:16">
      <c r="A176" s="79" t="s">
        <v>31</v>
      </c>
      <c r="B176">
        <f>'Color Targets'!B86*'Color Targets'!D86/'Color Targets'!C86</f>
        <v>0.32186353725147382</v>
      </c>
      <c r="C176" s="67">
        <f>'Color Targets'!D86</f>
        <v>0.42518729046016934</v>
      </c>
      <c r="D176">
        <f>(1-'Color Targets'!B86-'Color Targets'!C86)*'Color Targets'!D86/'Color Targets'!C86</f>
        <v>0.10766552553304805</v>
      </c>
      <c r="E176">
        <f t="shared" si="305"/>
        <v>0.33863618762451608</v>
      </c>
      <c r="F176">
        <f t="shared" si="306"/>
        <v>0.42518729046016934</v>
      </c>
      <c r="G176">
        <f t="shared" si="307"/>
        <v>9.8881850732481708E-2</v>
      </c>
      <c r="H176">
        <f t="shared" si="308"/>
        <v>0.69701874117199991</v>
      </c>
      <c r="I176">
        <f t="shared" si="309"/>
        <v>0.7519577240999209</v>
      </c>
      <c r="J176">
        <f t="shared" si="310"/>
        <v>0.46242239864031442</v>
      </c>
      <c r="K176">
        <f t="shared" si="311"/>
        <v>71.22709599559083</v>
      </c>
      <c r="L176">
        <f t="shared" si="312"/>
        <v>-27.469491463960495</v>
      </c>
      <c r="M176">
        <f t="shared" si="313"/>
        <v>57.907065091921297</v>
      </c>
      <c r="N176">
        <v>1</v>
      </c>
      <c r="O176">
        <f t="shared" si="314"/>
        <v>3.8841458573412044</v>
      </c>
      <c r="P176">
        <f t="shared" si="315"/>
        <v>1.9613819524470681</v>
      </c>
    </row>
    <row r="177" spans="1:16">
      <c r="A177" s="80" t="s">
        <v>32</v>
      </c>
      <c r="B177">
        <f>'Color Targets'!B87*'Color Targets'!D87/'Color Targets'!C87</f>
        <v>0.45272339814060891</v>
      </c>
      <c r="C177" s="67">
        <f>'Color Targets'!D87</f>
        <v>0.41724086734242044</v>
      </c>
      <c r="D177">
        <f>(1-'Color Targets'!B87-'Color Targets'!C87)*'Color Targets'!D87/'Color Targets'!C87</f>
        <v>7.8570875913827998E-2</v>
      </c>
      <c r="E177">
        <f t="shared" si="305"/>
        <v>0.47631529468642764</v>
      </c>
      <c r="F177">
        <f t="shared" si="306"/>
        <v>0.41724086734242044</v>
      </c>
      <c r="G177">
        <f t="shared" si="307"/>
        <v>7.2160829435107404E-2</v>
      </c>
      <c r="H177">
        <f t="shared" si="308"/>
        <v>0.78096488890166516</v>
      </c>
      <c r="I177">
        <f t="shared" si="309"/>
        <v>0.74724373035947678</v>
      </c>
      <c r="J177">
        <f t="shared" si="310"/>
        <v>0.41632629231762325</v>
      </c>
      <c r="K177">
        <f t="shared" si="311"/>
        <v>70.680272721699311</v>
      </c>
      <c r="L177">
        <f t="shared" si="312"/>
        <v>16.860579271094188</v>
      </c>
      <c r="M177">
        <f t="shared" si="313"/>
        <v>66.183487608370712</v>
      </c>
      <c r="N177">
        <v>1</v>
      </c>
      <c r="O177">
        <f t="shared" si="314"/>
        <v>4.0733824460783481</v>
      </c>
      <c r="P177">
        <f t="shared" si="315"/>
        <v>2.0244608153594492</v>
      </c>
    </row>
    <row r="178" spans="1:16">
      <c r="A178" s="136" t="s">
        <v>164</v>
      </c>
      <c r="B178">
        <f>'Color Targets'!B88*'Color Targets'!D88/'Color Targets'!C88</f>
        <v>8.0532072805546681E-2</v>
      </c>
      <c r="C178" s="67">
        <f>'Color Targets'!D88</f>
        <v>5.7280729467604832E-2</v>
      </c>
      <c r="D178">
        <f>(1-'Color Targets'!B88-'Color Targets'!C88)*'Color Targets'!D88/'Color Targets'!C88</f>
        <v>0.28866633521670049</v>
      </c>
      <c r="E178">
        <f t="shared" si="305"/>
        <v>8.4728684551376346E-2</v>
      </c>
      <c r="F178">
        <f t="shared" si="306"/>
        <v>5.7280729467604832E-2</v>
      </c>
      <c r="G178">
        <f t="shared" si="307"/>
        <v>0.26511607433364298</v>
      </c>
      <c r="H178">
        <f t="shared" si="308"/>
        <v>0.43921465375522978</v>
      </c>
      <c r="I178">
        <f t="shared" si="309"/>
        <v>0.38548088438273681</v>
      </c>
      <c r="J178">
        <f t="shared" si="310"/>
        <v>0.64240959677929699</v>
      </c>
      <c r="K178">
        <f t="shared" si="311"/>
        <v>28.715782588397467</v>
      </c>
      <c r="L178">
        <f t="shared" si="312"/>
        <v>26.866884686246483</v>
      </c>
      <c r="M178">
        <f t="shared" si="313"/>
        <v>-51.385742479312036</v>
      </c>
      <c r="N178">
        <v>1</v>
      </c>
      <c r="O178">
        <f t="shared" si="314"/>
        <v>3.609349755467985</v>
      </c>
      <c r="P178">
        <f t="shared" si="315"/>
        <v>1.8697832518226618</v>
      </c>
    </row>
    <row r="179" spans="1:16">
      <c r="A179" s="135" t="s">
        <v>165</v>
      </c>
      <c r="B179">
        <f>'Color Targets'!B89*'Color Targets'!D89/'Color Targets'!C89</f>
        <v>0.13573725472452414</v>
      </c>
      <c r="C179" s="67">
        <f>'Color Targets'!D89</f>
        <v>0.22162546337587058</v>
      </c>
      <c r="D179">
        <f>(1-'Color Targets'!B89-'Color Targets'!C89)*'Color Targets'!D89/'Color Targets'!C89</f>
        <v>8.7960908171010432E-2</v>
      </c>
      <c r="E179">
        <f t="shared" si="305"/>
        <v>0.14281066706421469</v>
      </c>
      <c r="F179">
        <f t="shared" si="306"/>
        <v>0.22162546337587058</v>
      </c>
      <c r="G179">
        <f t="shared" si="307"/>
        <v>8.0784794844934865E-2</v>
      </c>
      <c r="H179">
        <f t="shared" si="308"/>
        <v>0.52270126271448725</v>
      </c>
      <c r="I179">
        <f t="shared" si="309"/>
        <v>0.6051641868214126</v>
      </c>
      <c r="J179">
        <f t="shared" si="310"/>
        <v>0.43229134661499563</v>
      </c>
      <c r="K179">
        <f t="shared" si="311"/>
        <v>54.199045671283855</v>
      </c>
      <c r="L179">
        <f t="shared" si="312"/>
        <v>-41.231462053462678</v>
      </c>
      <c r="M179">
        <f t="shared" si="313"/>
        <v>34.574568041283392</v>
      </c>
      <c r="N179">
        <v>1</v>
      </c>
      <c r="O179">
        <f t="shared" si="314"/>
        <v>3.4214157619195884</v>
      </c>
      <c r="P179">
        <f t="shared" si="315"/>
        <v>1.8071385873065295</v>
      </c>
    </row>
    <row r="180" spans="1:16">
      <c r="A180" s="134" t="s">
        <v>166</v>
      </c>
      <c r="B180">
        <f>'Color Targets'!B90*'Color Targets'!D90/'Color Targets'!C90</f>
        <v>0.19216974401077827</v>
      </c>
      <c r="C180" s="67">
        <f>'Color Targets'!D90</f>
        <v>0.11221113121434734</v>
      </c>
      <c r="D180">
        <f>(1-'Color Targets'!B90-'Color Targets'!C90)*'Color Targets'!D90/'Color Targets'!C90</f>
        <v>4.6406533712933469E-2</v>
      </c>
      <c r="E180">
        <f t="shared" si="305"/>
        <v>0.20218391323321963</v>
      </c>
      <c r="F180">
        <f t="shared" si="306"/>
        <v>0.11221113121434734</v>
      </c>
      <c r="G180">
        <f t="shared" si="307"/>
        <v>4.2620550235512866E-2</v>
      </c>
      <c r="H180">
        <f t="shared" si="308"/>
        <v>0.58692444685135436</v>
      </c>
      <c r="I180">
        <f t="shared" si="309"/>
        <v>0.48233115334045956</v>
      </c>
      <c r="J180">
        <f t="shared" si="310"/>
        <v>0.34930624546746863</v>
      </c>
      <c r="K180">
        <f t="shared" si="311"/>
        <v>39.950413787493311</v>
      </c>
      <c r="L180">
        <f t="shared" si="312"/>
        <v>52.296646755447398</v>
      </c>
      <c r="M180">
        <f t="shared" si="313"/>
        <v>26.604981574598185</v>
      </c>
      <c r="N180">
        <v>1</v>
      </c>
      <c r="O180">
        <f t="shared" si="314"/>
        <v>3.6403783290579268</v>
      </c>
      <c r="P180">
        <f t="shared" si="315"/>
        <v>1.8801261096859756</v>
      </c>
    </row>
    <row r="181" spans="1:16">
      <c r="A181" s="133" t="s">
        <v>167</v>
      </c>
      <c r="B181">
        <f>'Color Targets'!B91*'Color Targets'!D91/'Color Targets'!C91</f>
        <v>0.55851734678478548</v>
      </c>
      <c r="C181" s="67">
        <f>'Color Targets'!D91</f>
        <v>0.59225246452726243</v>
      </c>
      <c r="D181">
        <f>(1-'Color Targets'!B91-'Color Targets'!C91)*'Color Targets'!D91/'Color Targets'!C91</f>
        <v>9.6570592288290083E-2</v>
      </c>
      <c r="E181">
        <f t="shared" si="305"/>
        <v>0.58762227822528379</v>
      </c>
      <c r="F181">
        <f t="shared" si="306"/>
        <v>0.59225246452726243</v>
      </c>
      <c r="G181">
        <f t="shared" si="307"/>
        <v>8.8692075244335741E-2</v>
      </c>
      <c r="H181">
        <f t="shared" si="308"/>
        <v>0.83759244399040822</v>
      </c>
      <c r="I181">
        <f t="shared" si="309"/>
        <v>0.8397866354003003</v>
      </c>
      <c r="J181">
        <f t="shared" si="310"/>
        <v>0.44595900613977796</v>
      </c>
      <c r="K181">
        <f t="shared" si="311"/>
        <v>81.415249706434835</v>
      </c>
      <c r="L181">
        <f t="shared" si="312"/>
        <v>-1.0970957049460384</v>
      </c>
      <c r="M181">
        <f t="shared" si="313"/>
        <v>78.765525852104474</v>
      </c>
      <c r="N181">
        <v>1</v>
      </c>
      <c r="O181">
        <f t="shared" si="314"/>
        <v>4.5447924700230766</v>
      </c>
      <c r="P181">
        <f t="shared" si="315"/>
        <v>2.1815974900076922</v>
      </c>
    </row>
    <row r="182" spans="1:16">
      <c r="A182" s="132" t="s">
        <v>168</v>
      </c>
      <c r="B182">
        <f>'Color Targets'!B92*'Color Targets'!D92/'Color Targets'!C92</f>
        <v>0.28025696622141527</v>
      </c>
      <c r="C182" s="67">
        <f>'Color Targets'!D92</f>
        <v>0.1801754633639896</v>
      </c>
      <c r="D182">
        <f>(1-'Color Targets'!B92-'Color Targets'!C92)*'Color Targets'!D92/'Color Targets'!C92</f>
        <v>0.28292429128312074</v>
      </c>
      <c r="E182">
        <f t="shared" si="305"/>
        <v>0.29486145404001735</v>
      </c>
      <c r="F182">
        <f t="shared" si="306"/>
        <v>0.1801754633639896</v>
      </c>
      <c r="G182">
        <f t="shared" si="307"/>
        <v>0.25984248347595196</v>
      </c>
      <c r="H182">
        <f t="shared" si="308"/>
        <v>0.66558879319684616</v>
      </c>
      <c r="I182">
        <f t="shared" si="309"/>
        <v>0.56480502146679912</v>
      </c>
      <c r="J182">
        <f t="shared" si="310"/>
        <v>0.6381215128366472</v>
      </c>
      <c r="K182">
        <f t="shared" si="311"/>
        <v>49.517382490148691</v>
      </c>
      <c r="L182">
        <f t="shared" si="312"/>
        <v>50.391885865023525</v>
      </c>
      <c r="M182">
        <f t="shared" si="313"/>
        <v>-14.663298273969616</v>
      </c>
      <c r="N182">
        <v>1</v>
      </c>
      <c r="O182">
        <f t="shared" si="314"/>
        <v>3.3616874934128225</v>
      </c>
      <c r="P182">
        <f t="shared" si="315"/>
        <v>1.7872291644709408</v>
      </c>
    </row>
    <row r="183" spans="1:16">
      <c r="A183" s="131" t="s">
        <v>169</v>
      </c>
      <c r="B183">
        <f>'Color Targets'!B93*'Color Targets'!D93/'Color Targets'!C93</f>
        <v>0.1458736417555139</v>
      </c>
      <c r="C183" s="67">
        <f>'Color Targets'!D93</f>
        <v>0.18813690106318742</v>
      </c>
      <c r="D183">
        <f>(1-'Color Targets'!B93-'Color Targets'!C93)*'Color Targets'!D93/'Color Targets'!C93</f>
        <v>0.36808986164518587</v>
      </c>
      <c r="E183">
        <f t="shared" si="305"/>
        <v>0.15347527197651045</v>
      </c>
      <c r="F183">
        <f t="shared" si="306"/>
        <v>0.18813690106318742</v>
      </c>
      <c r="G183">
        <f t="shared" si="307"/>
        <v>0.33805999251047997</v>
      </c>
      <c r="H183">
        <f t="shared" si="308"/>
        <v>0.53540136065659372</v>
      </c>
      <c r="I183">
        <f t="shared" si="309"/>
        <v>0.57300445084974105</v>
      </c>
      <c r="J183">
        <f t="shared" si="310"/>
        <v>0.6966231870735986</v>
      </c>
      <c r="K183">
        <f t="shared" si="311"/>
        <v>50.468516298569966</v>
      </c>
      <c r="L183">
        <f t="shared" si="312"/>
        <v>-18.801545096573669</v>
      </c>
      <c r="M183">
        <f t="shared" si="313"/>
        <v>-24.723747244771509</v>
      </c>
      <c r="N183">
        <v>1</v>
      </c>
      <c r="O183">
        <f t="shared" si="314"/>
        <v>2.397727654473405</v>
      </c>
      <c r="P183">
        <f t="shared" si="315"/>
        <v>1.4659092181578017</v>
      </c>
    </row>
    <row r="186" spans="1:16">
      <c r="B186" s="47"/>
      <c r="C186" s="47"/>
      <c r="D186" s="47"/>
      <c r="N186" t="s">
        <v>92</v>
      </c>
      <c r="O186" t="s">
        <v>93</v>
      </c>
    </row>
    <row r="187" spans="1:16">
      <c r="J187" s="47"/>
      <c r="N187">
        <v>1</v>
      </c>
    </row>
    <row r="188" spans="1:16">
      <c r="A188" t="s">
        <v>117</v>
      </c>
      <c r="B188" t="s">
        <v>84</v>
      </c>
      <c r="C188" t="s">
        <v>3</v>
      </c>
      <c r="D188" t="s">
        <v>85</v>
      </c>
      <c r="E188" t="s">
        <v>86</v>
      </c>
      <c r="F188" t="s">
        <v>87</v>
      </c>
      <c r="G188" t="s">
        <v>88</v>
      </c>
      <c r="H188" t="s">
        <v>89</v>
      </c>
      <c r="I188" t="s">
        <v>90</v>
      </c>
      <c r="J188" t="s">
        <v>91</v>
      </c>
      <c r="K188" t="s">
        <v>83</v>
      </c>
      <c r="L188" t="s">
        <v>42</v>
      </c>
      <c r="M188" t="s">
        <v>43</v>
      </c>
    </row>
    <row r="189" spans="1:16">
      <c r="A189" s="138" t="s">
        <v>160</v>
      </c>
      <c r="B189">
        <f>'Color Targets'!H71*'Color Targets'!J71/'Color Targets'!I71</f>
        <v>0.32773417565142937</v>
      </c>
      <c r="C189" s="67">
        <f>'Color Targets'!J71</f>
        <v>0.34505766018949735</v>
      </c>
      <c r="D189">
        <f>(1-'Color Targets'!H71-'Color Targets'!I71)*'Color Targets'!J71/'Color Targets'!I71</f>
        <v>0.37160947470757177</v>
      </c>
      <c r="E189">
        <f>B189/$E$113</f>
        <v>0.34481275121932242</v>
      </c>
      <c r="F189">
        <f>C189/$F$113</f>
        <v>0.34505766018949735</v>
      </c>
      <c r="G189">
        <f>D189/$G$113</f>
        <v>0.34129246503822613</v>
      </c>
      <c r="H189">
        <f>IF(E189&gt;$H$113,E189^(1/3),($I$113*E189+16)/116)</f>
        <v>0.70123099803129296</v>
      </c>
      <c r="I189">
        <f>IF(F189&gt;$H$113,F189^(1/3),($I$113*F189+16)/116)</f>
        <v>0.7013969790525364</v>
      </c>
      <c r="J189">
        <f>IF(G189&gt;$H$113,G189^(1/3),($I$113*G189+16)/116)</f>
        <v>0.69883647868810161</v>
      </c>
      <c r="K189">
        <f t="shared" ref="K189" si="316">116*I189-16</f>
        <v>65.362049570094229</v>
      </c>
      <c r="L189">
        <f t="shared" ref="L189" si="317">500*(H189-I189)</f>
        <v>-8.2990510621716584E-2</v>
      </c>
      <c r="M189">
        <f t="shared" ref="M189" si="318">200*(I189-J189)</f>
        <v>0.51210007288695625</v>
      </c>
      <c r="N189">
        <v>1</v>
      </c>
      <c r="O189">
        <f t="shared" ref="O189:O211" si="319">1+0.045*SQRT(L189^2+M189^2)</f>
        <v>1.0233451529604276</v>
      </c>
      <c r="P189">
        <f t="shared" ref="P189:P211" si="320">1+0.015*SQRT(L189^2+M189^2)</f>
        <v>1.0077817176534758</v>
      </c>
    </row>
    <row r="190" spans="1:16">
      <c r="A190" s="139" t="s">
        <v>161</v>
      </c>
      <c r="B190">
        <f>'Color Targets'!H72*'Color Targets'!J72/'Color Targets'!I72</f>
        <v>0.47213220105154502</v>
      </c>
      <c r="C190" s="67">
        <f>'Color Targets'!J72</f>
        <v>0.49519718162839249</v>
      </c>
      <c r="D190">
        <f>(1-'Color Targets'!H72-'Color Targets'!I72)*'Color Targets'!J72/'Color Targets'!I72</f>
        <v>0.5443353556112871</v>
      </c>
      <c r="E190">
        <f t="shared" ref="E190:E211" si="321">B190/$E$113</f>
        <v>0.49673551090675666</v>
      </c>
      <c r="F190">
        <f t="shared" ref="F190:F211" si="322">C190/$F$113</f>
        <v>0.49519718162839249</v>
      </c>
      <c r="G190">
        <f t="shared" ref="G190:G211" si="323">D190/$G$113</f>
        <v>0.4999268532381429</v>
      </c>
      <c r="H190">
        <f t="shared" ref="H190:H211" si="324">IF(E190&gt;$H$113,E190^(1/3),($I$113*E190+16)/116)</f>
        <v>0.79196940186921072</v>
      </c>
      <c r="I190">
        <f t="shared" ref="I190:I211" si="325">IF(F190&gt;$H$113,F190^(1/3),($I$113*F190+16)/116)</f>
        <v>0.79115101226204609</v>
      </c>
      <c r="J190">
        <f t="shared" ref="J190:J211" si="326">IF(G190&gt;$H$113,G190^(1/3),($I$113*G190+16)/116)</f>
        <v>0.79366181968097127</v>
      </c>
      <c r="K190">
        <f t="shared" ref="K190:K211" si="327">116*I190-16</f>
        <v>75.773517422397347</v>
      </c>
      <c r="L190">
        <f t="shared" ref="L190:L211" si="328">500*(H190-I190)</f>
        <v>0.40919480358231342</v>
      </c>
      <c r="M190">
        <f t="shared" ref="M190:M211" si="329">200*(I190-J190)</f>
        <v>-0.50216148378503522</v>
      </c>
      <c r="N190">
        <v>1</v>
      </c>
      <c r="O190">
        <f t="shared" si="319"/>
        <v>1.029149669804799</v>
      </c>
      <c r="P190">
        <f t="shared" si="320"/>
        <v>1.0097165566015998</v>
      </c>
    </row>
    <row r="191" spans="1:16">
      <c r="A191" s="137" t="s">
        <v>162</v>
      </c>
      <c r="B191">
        <f>'Color Targets'!H73*'Color Targets'!J73/'Color Targets'!I73</f>
        <v>0.64302968264274885</v>
      </c>
      <c r="C191" s="67">
        <f>'Color Targets'!J73</f>
        <v>0.67419885980407901</v>
      </c>
      <c r="D191">
        <f>(1-'Color Targets'!H73-'Color Targets'!I73)*'Color Targets'!J73/'Color Targets'!I73</f>
        <v>0.74709208549741823</v>
      </c>
      <c r="E191">
        <f t="shared" si="321"/>
        <v>0.67653864155917476</v>
      </c>
      <c r="F191">
        <f t="shared" si="322"/>
        <v>0.67419885980407901</v>
      </c>
      <c r="G191">
        <f t="shared" si="323"/>
        <v>0.68614208416136424</v>
      </c>
      <c r="H191">
        <f t="shared" si="324"/>
        <v>0.87787133643853321</v>
      </c>
      <c r="I191">
        <f t="shared" si="325"/>
        <v>0.87685813990454808</v>
      </c>
      <c r="J191">
        <f t="shared" si="326"/>
        <v>0.88200562011961248</v>
      </c>
      <c r="K191">
        <f t="shared" si="327"/>
        <v>85.715544228927584</v>
      </c>
      <c r="L191">
        <f t="shared" si="328"/>
        <v>0.50659826699256394</v>
      </c>
      <c r="M191">
        <f t="shared" si="329"/>
        <v>-1.0294960430128786</v>
      </c>
      <c r="N191">
        <v>1</v>
      </c>
      <c r="O191">
        <f t="shared" si="319"/>
        <v>1.0516325518550611</v>
      </c>
      <c r="P191">
        <f t="shared" si="320"/>
        <v>1.0172108506183537</v>
      </c>
    </row>
    <row r="192" spans="1:16">
      <c r="A192" s="140" t="s">
        <v>163</v>
      </c>
      <c r="B192">
        <f>'Color Targets'!H74*'Color Targets'!J74/'Color Targets'!I74</f>
        <v>0.80449648532396523</v>
      </c>
      <c r="C192" s="67">
        <f>'Color Targets'!J74</f>
        <v>0.84384660350088325</v>
      </c>
      <c r="D192">
        <f>(1-'Color Targets'!H74-'Color Targets'!I74)*'Color Targets'!J74/'Color Targets'!I74</f>
        <v>0.94184373166738622</v>
      </c>
      <c r="E192">
        <f t="shared" si="321"/>
        <v>0.84641965061913071</v>
      </c>
      <c r="F192">
        <f t="shared" si="322"/>
        <v>0.84384660350088325</v>
      </c>
      <c r="G192">
        <f t="shared" si="323"/>
        <v>0.86500530998171088</v>
      </c>
      <c r="H192">
        <f t="shared" si="324"/>
        <v>0.9459363452808347</v>
      </c>
      <c r="I192">
        <f t="shared" si="325"/>
        <v>0.94497684909210689</v>
      </c>
      <c r="J192">
        <f t="shared" si="326"/>
        <v>0.95280989312024456</v>
      </c>
      <c r="K192">
        <f t="shared" si="327"/>
        <v>93.617314494684393</v>
      </c>
      <c r="L192">
        <f t="shared" si="328"/>
        <v>0.47974809436390764</v>
      </c>
      <c r="M192">
        <f t="shared" si="329"/>
        <v>-1.566608805627534</v>
      </c>
      <c r="N192">
        <v>1</v>
      </c>
      <c r="O192">
        <f t="shared" si="319"/>
        <v>1.0737289176811171</v>
      </c>
      <c r="P192">
        <f t="shared" si="320"/>
        <v>1.0245763058937056</v>
      </c>
    </row>
    <row r="193" spans="1:16">
      <c r="A193" t="s">
        <v>48</v>
      </c>
      <c r="B193">
        <f>'Color Targets'!H75*'Color Targets'!J75/'Color Targets'!I75</f>
        <v>0.99220381768878718</v>
      </c>
      <c r="C193" s="67">
        <f>'Color Targets'!J75</f>
        <v>1.0432224987955676</v>
      </c>
      <c r="D193">
        <f>(1-'Color Targets'!H75-'Color Targets'!I75)*'Color Targets'!J75/'Color Targets'!I75</f>
        <v>1.1393515993078398</v>
      </c>
      <c r="E193">
        <f t="shared" si="321"/>
        <v>1.0439086112016025</v>
      </c>
      <c r="F193">
        <f t="shared" si="322"/>
        <v>1.0432224987955676</v>
      </c>
      <c r="G193">
        <f t="shared" si="323"/>
        <v>1.0463998965016026</v>
      </c>
      <c r="H193">
        <f t="shared" si="324"/>
        <v>1.014427062646984</v>
      </c>
      <c r="I193">
        <f t="shared" si="325"/>
        <v>1.0142047687519973</v>
      </c>
      <c r="J193">
        <f t="shared" si="326"/>
        <v>1.0152333974340413</v>
      </c>
      <c r="K193">
        <f t="shared" si="327"/>
        <v>101.64775317523168</v>
      </c>
      <c r="L193">
        <f t="shared" si="328"/>
        <v>0.11114694749336795</v>
      </c>
      <c r="M193">
        <f t="shared" si="329"/>
        <v>-0.20572573640880165</v>
      </c>
      <c r="N193">
        <v>1</v>
      </c>
      <c r="O193">
        <f t="shared" si="319"/>
        <v>1.0105223744078999</v>
      </c>
      <c r="P193">
        <f t="shared" si="320"/>
        <v>1.0035074581359666</v>
      </c>
    </row>
    <row r="194" spans="1:16">
      <c r="A194" s="69" t="s">
        <v>21</v>
      </c>
      <c r="B194">
        <f>'Color Targets'!H76*'Color Targets'!J76/'Color Targets'!I76</f>
        <v>8.4285261119616442E-2</v>
      </c>
      <c r="C194" s="67">
        <f>'Color Targets'!J76</f>
        <v>7.2858920828649434E-2</v>
      </c>
      <c r="D194">
        <f>(1-'Color Targets'!H76-'Color Targets'!I76)*'Color Targets'!J76/'Color Targets'!I76</f>
        <v>4.1016483498076656E-2</v>
      </c>
      <c r="E194">
        <f t="shared" si="321"/>
        <v>8.8677455490038026E-2</v>
      </c>
      <c r="F194">
        <f t="shared" si="322"/>
        <v>7.2858920828649434E-2</v>
      </c>
      <c r="G194">
        <f t="shared" si="323"/>
        <v>3.76702363987736E-2</v>
      </c>
      <c r="H194">
        <f t="shared" si="324"/>
        <v>0.4459345012470643</v>
      </c>
      <c r="I194">
        <f t="shared" si="325"/>
        <v>0.41766451418196326</v>
      </c>
      <c r="J194">
        <f t="shared" si="326"/>
        <v>0.33522220766221267</v>
      </c>
      <c r="K194">
        <f t="shared" si="327"/>
        <v>32.449083645107741</v>
      </c>
      <c r="L194">
        <f t="shared" si="328"/>
        <v>14.134993532550515</v>
      </c>
      <c r="M194">
        <f t="shared" si="329"/>
        <v>16.488461303950118</v>
      </c>
      <c r="N194">
        <v>1</v>
      </c>
      <c r="O194">
        <f t="shared" si="319"/>
        <v>1.9773057257750197</v>
      </c>
      <c r="P194">
        <f t="shared" si="320"/>
        <v>1.3257685752583399</v>
      </c>
    </row>
    <row r="195" spans="1:16">
      <c r="A195" s="70" t="s">
        <v>22</v>
      </c>
      <c r="B195">
        <f>'Color Targets'!H77*'Color Targets'!J77/'Color Targets'!I77</f>
        <v>0.36506560076246858</v>
      </c>
      <c r="C195" s="67">
        <f>'Color Targets'!J77</f>
        <v>0.33292100529950214</v>
      </c>
      <c r="D195">
        <f>(1-'Color Targets'!H77-'Color Targets'!I77)*'Color Targets'!J77/'Color Targets'!I77</f>
        <v>0.21679740779631723</v>
      </c>
      <c r="E195">
        <f t="shared" si="321"/>
        <v>0.38408955649570059</v>
      </c>
      <c r="F195">
        <f t="shared" si="322"/>
        <v>0.33292100529950214</v>
      </c>
      <c r="G195">
        <f t="shared" si="323"/>
        <v>0.19911042843815585</v>
      </c>
      <c r="H195">
        <f t="shared" si="324"/>
        <v>0.72690473793257149</v>
      </c>
      <c r="I195">
        <f t="shared" si="325"/>
        <v>0.69307526409716425</v>
      </c>
      <c r="J195">
        <f t="shared" si="326"/>
        <v>0.58393521795617753</v>
      </c>
      <c r="K195">
        <f t="shared" si="327"/>
        <v>64.396730635271055</v>
      </c>
      <c r="L195">
        <f t="shared" si="328"/>
        <v>16.914736917703621</v>
      </c>
      <c r="M195">
        <f t="shared" si="329"/>
        <v>21.828009228197342</v>
      </c>
      <c r="N195">
        <v>1</v>
      </c>
      <c r="O195">
        <f t="shared" si="319"/>
        <v>2.2426604047443224</v>
      </c>
      <c r="P195">
        <f t="shared" si="320"/>
        <v>1.4142201349147741</v>
      </c>
    </row>
    <row r="196" spans="1:16">
      <c r="A196" s="71" t="s">
        <v>23</v>
      </c>
      <c r="B196">
        <f>'Color Targets'!H78*'Color Targets'!J78/'Color Targets'!I78</f>
        <v>0.15169605939907072</v>
      </c>
      <c r="C196" s="67">
        <f>'Color Targets'!J78</f>
        <v>0.15729430704994379</v>
      </c>
      <c r="D196">
        <f>(1-'Color Targets'!H78-'Color Targets'!I78)*'Color Targets'!J78/'Color Targets'!I78</f>
        <v>0.34646539410280419</v>
      </c>
      <c r="E196">
        <f t="shared" si="321"/>
        <v>0.1596011019801474</v>
      </c>
      <c r="F196">
        <f t="shared" si="322"/>
        <v>0.15729430704994379</v>
      </c>
      <c r="G196">
        <f t="shared" si="323"/>
        <v>0.31819971354830801</v>
      </c>
      <c r="H196">
        <f t="shared" si="324"/>
        <v>0.54243199128229214</v>
      </c>
      <c r="I196">
        <f t="shared" si="325"/>
        <v>0.53980595113879137</v>
      </c>
      <c r="J196">
        <f t="shared" si="326"/>
        <v>0.68270527965117811</v>
      </c>
      <c r="K196">
        <f t="shared" si="327"/>
        <v>46.617490332099798</v>
      </c>
      <c r="L196">
        <f t="shared" si="328"/>
        <v>1.3130200717503815</v>
      </c>
      <c r="M196">
        <f t="shared" si="329"/>
        <v>-28.579865702477349</v>
      </c>
      <c r="N196">
        <v>1</v>
      </c>
      <c r="O196">
        <f t="shared" si="319"/>
        <v>2.2874505074731735</v>
      </c>
      <c r="P196">
        <f t="shared" si="320"/>
        <v>1.4291501691577246</v>
      </c>
    </row>
    <row r="197" spans="1:16">
      <c r="A197" s="72" t="s">
        <v>24</v>
      </c>
      <c r="B197">
        <f>'Color Targets'!H79*'Color Targets'!J79/'Color Targets'!I79</f>
        <v>8.0030403799108502E-2</v>
      </c>
      <c r="C197" s="67">
        <f>'Color Targets'!J79</f>
        <v>0.10567640115625503</v>
      </c>
      <c r="D197">
        <f>(1-'Color Targets'!H79-'Color Targets'!I79)*'Color Targets'!J79/'Color Targets'!I79</f>
        <v>4.5536126897542398E-2</v>
      </c>
      <c r="E197">
        <f t="shared" si="321"/>
        <v>8.4200873040820329E-2</v>
      </c>
      <c r="F197">
        <f t="shared" si="322"/>
        <v>0.10567640115625503</v>
      </c>
      <c r="G197">
        <f t="shared" si="323"/>
        <v>4.1821153805040638E-2</v>
      </c>
      <c r="H197">
        <f t="shared" si="324"/>
        <v>0.43830073423205779</v>
      </c>
      <c r="I197">
        <f t="shared" si="325"/>
        <v>0.47278026340144208</v>
      </c>
      <c r="J197">
        <f t="shared" si="326"/>
        <v>0.34710857032546616</v>
      </c>
      <c r="K197">
        <f t="shared" si="327"/>
        <v>38.842510554567284</v>
      </c>
      <c r="L197">
        <f t="shared" si="328"/>
        <v>-17.239764584692146</v>
      </c>
      <c r="M197">
        <f t="shared" si="329"/>
        <v>25.134338615195183</v>
      </c>
      <c r="N197">
        <v>1</v>
      </c>
      <c r="O197">
        <f t="shared" si="319"/>
        <v>2.3715365589847641</v>
      </c>
      <c r="P197">
        <f t="shared" si="320"/>
        <v>1.4571788529949212</v>
      </c>
    </row>
    <row r="198" spans="1:16">
      <c r="A198" s="73" t="s">
        <v>25</v>
      </c>
      <c r="B198">
        <f>'Color Targets'!H80*'Color Targets'!J80/'Color Targets'!I80</f>
        <v>0.21995289932786943</v>
      </c>
      <c r="C198" s="67">
        <f>'Color Targets'!J80</f>
        <v>0.19572474706921469</v>
      </c>
      <c r="D198">
        <f>(1-'Color Targets'!H80-'Color Targets'!I80)*'Color Targets'!J80/'Color Targets'!I80</f>
        <v>0.45646606341770213</v>
      </c>
      <c r="E198">
        <f t="shared" si="321"/>
        <v>0.23141487824746643</v>
      </c>
      <c r="F198">
        <f t="shared" si="322"/>
        <v>0.19572474706921469</v>
      </c>
      <c r="G198">
        <f t="shared" si="323"/>
        <v>0.41922620006585248</v>
      </c>
      <c r="H198">
        <f t="shared" si="324"/>
        <v>0.61394635570570022</v>
      </c>
      <c r="I198">
        <f t="shared" si="325"/>
        <v>0.58060652669859503</v>
      </c>
      <c r="J198">
        <f t="shared" si="326"/>
        <v>0.74842704416593686</v>
      </c>
      <c r="K198">
        <f t="shared" si="327"/>
        <v>51.350357097037019</v>
      </c>
      <c r="L198">
        <f t="shared" si="328"/>
        <v>16.669914503552597</v>
      </c>
      <c r="M198">
        <f t="shared" si="329"/>
        <v>-33.564103493468366</v>
      </c>
      <c r="N198">
        <v>1</v>
      </c>
      <c r="O198">
        <f t="shared" si="319"/>
        <v>2.6864107041506577</v>
      </c>
      <c r="P198">
        <f t="shared" si="320"/>
        <v>1.5621369013835524</v>
      </c>
    </row>
    <row r="199" spans="1:16">
      <c r="A199" s="74" t="s">
        <v>26</v>
      </c>
      <c r="B199">
        <f>'Color Targets'!H81*'Color Targets'!J81/'Color Targets'!I81</f>
        <v>0.28396963441929757</v>
      </c>
      <c r="C199" s="67">
        <f>'Color Targets'!J81</f>
        <v>0.40831759274128793</v>
      </c>
      <c r="D199">
        <f>(1-'Color Targets'!H81-'Color Targets'!I81)*'Color Targets'!J81/'Color Targets'!I81</f>
        <v>0.42925796298652458</v>
      </c>
      <c r="E199">
        <f t="shared" si="321"/>
        <v>0.29876759331625147</v>
      </c>
      <c r="F199">
        <f t="shared" si="322"/>
        <v>0.40831759274128793</v>
      </c>
      <c r="G199">
        <f t="shared" si="323"/>
        <v>0.39423781764510951</v>
      </c>
      <c r="H199">
        <f t="shared" si="324"/>
        <v>0.66851501013529213</v>
      </c>
      <c r="I199">
        <f t="shared" si="325"/>
        <v>0.74187835008050862</v>
      </c>
      <c r="J199">
        <f t="shared" si="326"/>
        <v>0.73325116334641127</v>
      </c>
      <c r="K199">
        <f t="shared" si="327"/>
        <v>70.057888609339003</v>
      </c>
      <c r="L199">
        <f t="shared" si="328"/>
        <v>-36.681669972608248</v>
      </c>
      <c r="M199">
        <f t="shared" si="329"/>
        <v>1.7254373468194695</v>
      </c>
      <c r="N199">
        <v>1</v>
      </c>
      <c r="O199">
        <f t="shared" si="319"/>
        <v>2.6525002702525429</v>
      </c>
      <c r="P199">
        <f t="shared" si="320"/>
        <v>1.5508334234175143</v>
      </c>
    </row>
    <row r="200" spans="1:16">
      <c r="A200" s="75" t="s">
        <v>27</v>
      </c>
      <c r="B200">
        <f>'Color Targets'!H82*'Color Targets'!J82/'Color Targets'!I82</f>
        <v>0.35167242257970749</v>
      </c>
      <c r="C200" s="67">
        <f>'Color Targets'!J82</f>
        <v>0.26480209571222096</v>
      </c>
      <c r="D200">
        <f>(1-'Color Targets'!H82-'Color Targets'!I82)*'Color Targets'!J82/'Color Targets'!I82</f>
        <v>3.3008684832387093E-2</v>
      </c>
      <c r="E200">
        <f t="shared" si="321"/>
        <v>0.36999844558976874</v>
      </c>
      <c r="F200">
        <f t="shared" si="322"/>
        <v>0.26480209571222096</v>
      </c>
      <c r="G200">
        <f t="shared" si="323"/>
        <v>3.0315737840055007E-2</v>
      </c>
      <c r="H200">
        <f t="shared" si="324"/>
        <v>0.71790442987249292</v>
      </c>
      <c r="I200">
        <f t="shared" si="325"/>
        <v>0.64215589336716405</v>
      </c>
      <c r="J200">
        <f t="shared" si="326"/>
        <v>0.31180952734303635</v>
      </c>
      <c r="K200">
        <f t="shared" si="327"/>
        <v>58.49008363059103</v>
      </c>
      <c r="L200">
        <f t="shared" si="328"/>
        <v>37.874268252664436</v>
      </c>
      <c r="M200">
        <f t="shared" si="329"/>
        <v>66.069273204825535</v>
      </c>
      <c r="N200">
        <v>1</v>
      </c>
      <c r="O200">
        <f t="shared" si="319"/>
        <v>4.4269823958425203</v>
      </c>
      <c r="P200">
        <f t="shared" si="320"/>
        <v>2.1423274652808399</v>
      </c>
    </row>
    <row r="201" spans="1:16">
      <c r="A201" s="76" t="s">
        <v>28</v>
      </c>
      <c r="B201">
        <f>'Color Targets'!H83*'Color Targets'!J83/'Color Targets'!I83</f>
        <v>0.11117442824223837</v>
      </c>
      <c r="C201" s="67">
        <f>'Color Targets'!J83</f>
        <v>9.072586317648948E-2</v>
      </c>
      <c r="D201">
        <f>(1-'Color Targets'!H83-'Color Targets'!I83)*'Color Targets'!J83/'Color Targets'!I83</f>
        <v>0.36681049581424841</v>
      </c>
      <c r="E201">
        <f t="shared" si="321"/>
        <v>0.11696784563662016</v>
      </c>
      <c r="F201">
        <f t="shared" si="322"/>
        <v>9.072586317648948E-2</v>
      </c>
      <c r="G201">
        <f t="shared" si="323"/>
        <v>0.33688500116110726</v>
      </c>
      <c r="H201">
        <f t="shared" si="324"/>
        <v>0.48905251538020106</v>
      </c>
      <c r="I201">
        <f t="shared" si="325"/>
        <v>0.44934202304673909</v>
      </c>
      <c r="J201">
        <f t="shared" si="326"/>
        <v>0.69581516839221902</v>
      </c>
      <c r="K201">
        <f t="shared" si="327"/>
        <v>36.123674673421732</v>
      </c>
      <c r="L201">
        <f t="shared" si="328"/>
        <v>19.855246166730982</v>
      </c>
      <c r="M201">
        <f t="shared" si="329"/>
        <v>-49.294629069095983</v>
      </c>
      <c r="N201">
        <v>1</v>
      </c>
      <c r="O201">
        <f t="shared" si="319"/>
        <v>3.3914404220443224</v>
      </c>
      <c r="P201">
        <f t="shared" si="320"/>
        <v>1.7971468073481076</v>
      </c>
    </row>
    <row r="202" spans="1:16">
      <c r="A202" s="77" t="s">
        <v>29</v>
      </c>
      <c r="B202">
        <f>'Color Targets'!H84*'Color Targets'!J84/'Color Targets'!I84</f>
        <v>0.26065828486266962</v>
      </c>
      <c r="C202" s="67">
        <f>'Color Targets'!J84</f>
        <v>0.16282679460414323</v>
      </c>
      <c r="D202">
        <f>(1-'Color Targets'!H84-'Color Targets'!I84)*'Color Targets'!J84/'Color Targets'!I84</f>
        <v>0.10547388944131099</v>
      </c>
      <c r="E202">
        <f t="shared" si="321"/>
        <v>0.27424146460453208</v>
      </c>
      <c r="F202">
        <f t="shared" si="322"/>
        <v>0.16282679460414323</v>
      </c>
      <c r="G202">
        <f t="shared" si="323"/>
        <v>9.686901485200719E-2</v>
      </c>
      <c r="H202">
        <f t="shared" si="324"/>
        <v>0.64969726699810604</v>
      </c>
      <c r="I202">
        <f t="shared" si="325"/>
        <v>0.54606200305341179</v>
      </c>
      <c r="J202">
        <f t="shared" si="326"/>
        <v>0.45926317902161051</v>
      </c>
      <c r="K202">
        <f t="shared" si="327"/>
        <v>47.343192354195764</v>
      </c>
      <c r="L202">
        <f t="shared" si="328"/>
        <v>51.817631972347122</v>
      </c>
      <c r="M202">
        <f t="shared" si="329"/>
        <v>17.359764806360257</v>
      </c>
      <c r="N202">
        <v>1</v>
      </c>
      <c r="O202">
        <f t="shared" si="319"/>
        <v>3.4591700927632791</v>
      </c>
      <c r="P202">
        <f t="shared" si="320"/>
        <v>1.8197233642544264</v>
      </c>
    </row>
    <row r="203" spans="1:16">
      <c r="A203" s="78" t="s">
        <v>30</v>
      </c>
      <c r="B203">
        <f>'Color Targets'!H85*'Color Targets'!J85/'Color Targets'!I85</f>
        <v>6.0763491583823812E-2</v>
      </c>
      <c r="C203" s="67">
        <f>'Color Targets'!J85</f>
        <v>4.215202344628232E-2</v>
      </c>
      <c r="D203">
        <f>(1-'Color Targets'!H85-'Color Targets'!I85)*'Color Targets'!J85/'Color Targets'!I85</f>
        <v>0.1215624506862308</v>
      </c>
      <c r="E203">
        <f t="shared" si="321"/>
        <v>6.3929941590816969E-2</v>
      </c>
      <c r="F203">
        <f t="shared" si="322"/>
        <v>4.215202344628232E-2</v>
      </c>
      <c r="G203">
        <f t="shared" si="323"/>
        <v>0.1116450232692255</v>
      </c>
      <c r="H203">
        <f t="shared" si="324"/>
        <v>0.39985399169128782</v>
      </c>
      <c r="I203">
        <f t="shared" si="325"/>
        <v>0.34802155436990645</v>
      </c>
      <c r="J203">
        <f t="shared" si="326"/>
        <v>0.48151866123938969</v>
      </c>
      <c r="K203">
        <f t="shared" si="327"/>
        <v>24.37050030690915</v>
      </c>
      <c r="L203">
        <f t="shared" si="328"/>
        <v>25.916218660690689</v>
      </c>
      <c r="M203">
        <f t="shared" si="329"/>
        <v>-26.699421373896648</v>
      </c>
      <c r="N203">
        <v>1</v>
      </c>
      <c r="O203">
        <f t="shared" si="319"/>
        <v>2.6744048853319446</v>
      </c>
      <c r="P203">
        <f t="shared" si="320"/>
        <v>1.558134961777315</v>
      </c>
    </row>
    <row r="204" spans="1:16">
      <c r="A204" s="79" t="s">
        <v>31</v>
      </c>
      <c r="B204">
        <f>'Color Targets'!H86*'Color Targets'!J86/'Color Targets'!I86</f>
        <v>0.32423713854795827</v>
      </c>
      <c r="C204" s="67">
        <f>'Color Targets'!J86</f>
        <v>0.4294524570419142</v>
      </c>
      <c r="D204">
        <f>(1-'Color Targets'!H86-'Color Targets'!I86)*'Color Targets'!J86/'Color Targets'!I86</f>
        <v>9.9880505363000402E-2</v>
      </c>
      <c r="E204">
        <f t="shared" si="321"/>
        <v>0.34113347980258002</v>
      </c>
      <c r="F204">
        <f t="shared" si="322"/>
        <v>0.4294524570419142</v>
      </c>
      <c r="G204">
        <f t="shared" si="323"/>
        <v>9.1731955735055437E-2</v>
      </c>
      <c r="H204">
        <f t="shared" si="324"/>
        <v>0.69872794817526063</v>
      </c>
      <c r="I204">
        <f t="shared" si="325"/>
        <v>0.7544637257457244</v>
      </c>
      <c r="J204">
        <f t="shared" si="326"/>
        <v>0.45099689402051929</v>
      </c>
      <c r="K204">
        <f t="shared" si="327"/>
        <v>71.517792186504025</v>
      </c>
      <c r="L204">
        <f t="shared" si="328"/>
        <v>-27.867888785231887</v>
      </c>
      <c r="M204">
        <f t="shared" si="329"/>
        <v>60.693366345041021</v>
      </c>
      <c r="N204">
        <v>1</v>
      </c>
      <c r="O204">
        <f t="shared" si="319"/>
        <v>4.0053478144583874</v>
      </c>
      <c r="P204">
        <f t="shared" si="320"/>
        <v>2.0017826048194625</v>
      </c>
    </row>
    <row r="205" spans="1:16">
      <c r="A205" s="80" t="s">
        <v>32</v>
      </c>
      <c r="B205">
        <f>'Color Targets'!H87*'Color Targets'!J87/'Color Targets'!I87</f>
        <v>0.45858677093121508</v>
      </c>
      <c r="C205" s="67">
        <f>'Color Targets'!J87</f>
        <v>0.4261174803276056</v>
      </c>
      <c r="D205">
        <f>(1-'Color Targets'!H87-'Color Targets'!I87)*'Color Targets'!J87/'Color Targets'!I87</f>
        <v>6.0847180163454896E-2</v>
      </c>
      <c r="E205">
        <f t="shared" si="321"/>
        <v>0.48248421405327369</v>
      </c>
      <c r="F205">
        <f t="shared" si="322"/>
        <v>0.4261174803276056</v>
      </c>
      <c r="G205">
        <f t="shared" si="323"/>
        <v>5.5883085663928161E-2</v>
      </c>
      <c r="H205">
        <f t="shared" si="324"/>
        <v>0.78432195039732877</v>
      </c>
      <c r="I205">
        <f t="shared" si="325"/>
        <v>0.75250568183852329</v>
      </c>
      <c r="J205">
        <f t="shared" si="326"/>
        <v>0.38231980214789596</v>
      </c>
      <c r="K205">
        <f t="shared" si="327"/>
        <v>71.290659093268701</v>
      </c>
      <c r="L205">
        <f t="shared" si="328"/>
        <v>15.908134279402741</v>
      </c>
      <c r="M205">
        <f t="shared" si="329"/>
        <v>74.037175938125472</v>
      </c>
      <c r="N205">
        <v>1</v>
      </c>
      <c r="O205">
        <f t="shared" si="319"/>
        <v>4.4077131067942794</v>
      </c>
      <c r="P205">
        <f t="shared" si="320"/>
        <v>2.1359043689314263</v>
      </c>
    </row>
    <row r="206" spans="1:16">
      <c r="A206" s="136" t="s">
        <v>164</v>
      </c>
      <c r="B206">
        <f>'Color Targets'!H88*'Color Targets'!J88/'Color Targets'!I88</f>
        <v>7.084441908503876E-2</v>
      </c>
      <c r="C206" s="67">
        <f>'Color Targets'!J88</f>
        <v>4.4123293720892888E-2</v>
      </c>
      <c r="D206">
        <f>(1-'Color Targets'!H88-'Color Targets'!I88)*'Color Targets'!J88/'Color Targets'!I88</f>
        <v>0.29032768176627927</v>
      </c>
      <c r="E206">
        <f t="shared" si="321"/>
        <v>7.4536196918407474E-2</v>
      </c>
      <c r="F206">
        <f t="shared" si="322"/>
        <v>4.4123293720892888E-2</v>
      </c>
      <c r="G206">
        <f t="shared" si="323"/>
        <v>0.26664188327496419</v>
      </c>
      <c r="H206">
        <f t="shared" si="324"/>
        <v>0.4208452308229032</v>
      </c>
      <c r="I206">
        <f t="shared" si="325"/>
        <v>0.35336427584563534</v>
      </c>
      <c r="J206">
        <f t="shared" si="326"/>
        <v>0.64363964903465654</v>
      </c>
      <c r="K206">
        <f t="shared" si="327"/>
        <v>24.990255998093701</v>
      </c>
      <c r="L206">
        <f t="shared" si="328"/>
        <v>33.740477488633928</v>
      </c>
      <c r="M206">
        <f t="shared" si="329"/>
        <v>-58.055074637804239</v>
      </c>
      <c r="N206">
        <v>1</v>
      </c>
      <c r="O206">
        <f t="shared" si="319"/>
        <v>4.0216457953461582</v>
      </c>
      <c r="P206">
        <f t="shared" si="320"/>
        <v>2.0072152651153861</v>
      </c>
    </row>
    <row r="207" spans="1:16">
      <c r="A207" s="135" t="s">
        <v>165</v>
      </c>
      <c r="B207">
        <f>'Color Targets'!H89*'Color Targets'!J89/'Color Targets'!I89</f>
        <v>0.12365273456808529</v>
      </c>
      <c r="C207" s="67">
        <f>'Color Targets'!J89</f>
        <v>0.21679998394090252</v>
      </c>
      <c r="D207">
        <f>(1-'Color Targets'!H89-'Color Targets'!I89)*'Color Targets'!J89/'Color Targets'!I89</f>
        <v>7.1571987659034872E-2</v>
      </c>
      <c r="E207">
        <f t="shared" si="321"/>
        <v>0.13009640974263814</v>
      </c>
      <c r="F207">
        <f t="shared" si="322"/>
        <v>0.21679998394090252</v>
      </c>
      <c r="G207">
        <f t="shared" si="323"/>
        <v>6.5732931365809974E-2</v>
      </c>
      <c r="H207">
        <f t="shared" si="324"/>
        <v>0.50670489973159016</v>
      </c>
      <c r="I207">
        <f t="shared" si="325"/>
        <v>0.60073981329010895</v>
      </c>
      <c r="J207">
        <f t="shared" si="326"/>
        <v>0.40357816998519397</v>
      </c>
      <c r="K207">
        <f t="shared" si="327"/>
        <v>53.685818341652634</v>
      </c>
      <c r="L207">
        <f t="shared" si="328"/>
        <v>-47.01745677925939</v>
      </c>
      <c r="M207">
        <f t="shared" si="329"/>
        <v>39.432328660982996</v>
      </c>
      <c r="N207">
        <v>1</v>
      </c>
      <c r="O207">
        <f t="shared" si="319"/>
        <v>3.7613834061707268</v>
      </c>
      <c r="P207">
        <f t="shared" si="320"/>
        <v>1.9204611353902421</v>
      </c>
    </row>
    <row r="208" spans="1:16">
      <c r="A208" s="134" t="s">
        <v>166</v>
      </c>
      <c r="B208">
        <f>'Color Targets'!H90*'Color Targets'!J90/'Color Targets'!I90</f>
        <v>0.17997198043281007</v>
      </c>
      <c r="C208" s="67">
        <f>'Color Targets'!J90</f>
        <v>9.9188060061024569E-2</v>
      </c>
      <c r="D208">
        <f>(1-'Color Targets'!H90-'Color Targets'!I90)*'Color Targets'!J90/'Color Targets'!I90</f>
        <v>3.1909861629738225E-2</v>
      </c>
      <c r="E208">
        <f t="shared" si="321"/>
        <v>0.18935051125528429</v>
      </c>
      <c r="F208">
        <f t="shared" si="322"/>
        <v>9.9188060061024569E-2</v>
      </c>
      <c r="G208">
        <f t="shared" si="323"/>
        <v>2.9306559912693649E-2</v>
      </c>
      <c r="H208">
        <f t="shared" si="324"/>
        <v>0.57423389972102468</v>
      </c>
      <c r="I208">
        <f t="shared" si="325"/>
        <v>0.46289923754434326</v>
      </c>
      <c r="J208">
        <f t="shared" si="326"/>
        <v>0.30831047539569584</v>
      </c>
      <c r="K208">
        <f t="shared" si="327"/>
        <v>37.696311555143815</v>
      </c>
      <c r="L208">
        <f t="shared" si="328"/>
        <v>55.66733108834071</v>
      </c>
      <c r="M208">
        <f t="shared" si="329"/>
        <v>30.917752429729482</v>
      </c>
      <c r="N208">
        <v>1</v>
      </c>
      <c r="O208">
        <f t="shared" si="319"/>
        <v>3.8654645889899073</v>
      </c>
      <c r="P208">
        <f t="shared" si="320"/>
        <v>1.9551548629966358</v>
      </c>
    </row>
    <row r="209" spans="1:26">
      <c r="A209" s="133" t="s">
        <v>167</v>
      </c>
      <c r="B209">
        <f>'Color Targets'!H91*'Color Targets'!J91/'Color Targets'!I91</f>
        <v>0.59667531818862884</v>
      </c>
      <c r="C209" s="67">
        <f>'Color Targets'!J91</f>
        <v>0.6374563031957603</v>
      </c>
      <c r="D209">
        <f>(1-'Color Targets'!H91-'Color Targets'!I91)*'Color Targets'!J91/'Color Targets'!I91</f>
        <v>9.3504052904491528E-2</v>
      </c>
      <c r="E209">
        <f t="shared" si="321"/>
        <v>0.62776870199862045</v>
      </c>
      <c r="F209">
        <f t="shared" si="322"/>
        <v>0.6374563031957603</v>
      </c>
      <c r="G209">
        <f t="shared" si="323"/>
        <v>8.5875713292700911E-2</v>
      </c>
      <c r="H209">
        <f t="shared" si="324"/>
        <v>0.85624862399062596</v>
      </c>
      <c r="I209">
        <f t="shared" si="325"/>
        <v>0.86063064577365544</v>
      </c>
      <c r="J209">
        <f t="shared" si="326"/>
        <v>0.44118775723875869</v>
      </c>
      <c r="K209">
        <f t="shared" si="327"/>
        <v>83.833154909744025</v>
      </c>
      <c r="L209">
        <f t="shared" si="328"/>
        <v>-2.1910108915147442</v>
      </c>
      <c r="M209">
        <f t="shared" si="329"/>
        <v>83.888577706979348</v>
      </c>
      <c r="N209">
        <v>1</v>
      </c>
      <c r="O209">
        <f t="shared" si="319"/>
        <v>4.7762733411147504</v>
      </c>
      <c r="P209">
        <f t="shared" si="320"/>
        <v>2.2587577803715835</v>
      </c>
    </row>
    <row r="210" spans="1:26">
      <c r="A210" s="132" t="s">
        <v>168</v>
      </c>
      <c r="B210">
        <f>'Color Targets'!H92*'Color Targets'!J92/'Color Targets'!I92</f>
        <v>0.27292807829072441</v>
      </c>
      <c r="C210" s="67">
        <f>'Color Targets'!J92</f>
        <v>0.16577623253573148</v>
      </c>
      <c r="D210">
        <f>(1-'Color Targets'!H92-'Color Targets'!I92)*'Color Targets'!J92/'Color Targets'!I92</f>
        <v>0.27794895104338452</v>
      </c>
      <c r="E210">
        <f t="shared" si="321"/>
        <v>0.28715064998445444</v>
      </c>
      <c r="F210">
        <f t="shared" si="322"/>
        <v>0.16577623253573148</v>
      </c>
      <c r="G210">
        <f t="shared" si="323"/>
        <v>0.2552730463372469</v>
      </c>
      <c r="H210">
        <f t="shared" si="324"/>
        <v>0.65973562259719865</v>
      </c>
      <c r="I210">
        <f t="shared" si="325"/>
        <v>0.54933940803760828</v>
      </c>
      <c r="J210">
        <f t="shared" si="326"/>
        <v>0.63435882650195674</v>
      </c>
      <c r="K210">
        <f t="shared" si="327"/>
        <v>47.723371332362561</v>
      </c>
      <c r="L210">
        <f t="shared" si="328"/>
        <v>55.198107279795181</v>
      </c>
      <c r="M210">
        <f t="shared" si="329"/>
        <v>-17.003883692869692</v>
      </c>
      <c r="N210">
        <v>1</v>
      </c>
      <c r="O210">
        <f t="shared" si="319"/>
        <v>3.5991008625143128</v>
      </c>
      <c r="P210">
        <f t="shared" si="320"/>
        <v>1.8663669541714376</v>
      </c>
    </row>
    <row r="211" spans="1:26">
      <c r="A211" s="131" t="s">
        <v>169</v>
      </c>
      <c r="B211">
        <f>'Color Targets'!H93*'Color Targets'!J93/'Color Targets'!I93</f>
        <v>0.13647926153610945</v>
      </c>
      <c r="C211" s="67">
        <f>'Color Targets'!J93</f>
        <v>0.17113176489481291</v>
      </c>
      <c r="D211">
        <f>(1-'Color Targets'!H93-'Color Targets'!I93)*'Color Targets'!J93/'Color Targets'!I93</f>
        <v>0.37422958115444288</v>
      </c>
      <c r="E211">
        <f t="shared" si="321"/>
        <v>0.14359134063790488</v>
      </c>
      <c r="F211">
        <f t="shared" si="322"/>
        <v>0.17113176489481291</v>
      </c>
      <c r="G211">
        <f t="shared" si="323"/>
        <v>0.3436988153838918</v>
      </c>
      <c r="H211">
        <f t="shared" si="324"/>
        <v>0.52365198012307468</v>
      </c>
      <c r="I211">
        <f t="shared" si="325"/>
        <v>0.55519243917216254</v>
      </c>
      <c r="J211">
        <f t="shared" si="326"/>
        <v>0.70047506213619593</v>
      </c>
      <c r="K211">
        <f t="shared" si="327"/>
        <v>48.402322943970859</v>
      </c>
      <c r="L211">
        <f t="shared" si="328"/>
        <v>-15.770229524543932</v>
      </c>
      <c r="M211">
        <f t="shared" si="329"/>
        <v>-29.056524592806674</v>
      </c>
      <c r="N211">
        <v>1</v>
      </c>
      <c r="O211">
        <f t="shared" si="319"/>
        <v>2.4877123597507289</v>
      </c>
      <c r="P211">
        <f t="shared" si="320"/>
        <v>1.4959041199169096</v>
      </c>
    </row>
    <row r="214" spans="1:26">
      <c r="A214" t="s">
        <v>115</v>
      </c>
      <c r="B214" t="s">
        <v>138</v>
      </c>
      <c r="C214" t="s">
        <v>118</v>
      </c>
      <c r="D214" s="19" t="s">
        <v>119</v>
      </c>
      <c r="E214" t="s">
        <v>120</v>
      </c>
      <c r="F214" t="s">
        <v>1</v>
      </c>
      <c r="G214" t="s">
        <v>121</v>
      </c>
      <c r="H214" t="s">
        <v>122</v>
      </c>
      <c r="I214" s="19" t="s">
        <v>123</v>
      </c>
      <c r="J214" t="s">
        <v>124</v>
      </c>
      <c r="K214" t="s">
        <v>125</v>
      </c>
      <c r="L214" t="s">
        <v>126</v>
      </c>
      <c r="M214" t="s">
        <v>127</v>
      </c>
      <c r="N214" s="19" t="s">
        <v>128</v>
      </c>
      <c r="O214" t="s">
        <v>129</v>
      </c>
      <c r="P214" t="s">
        <v>130</v>
      </c>
      <c r="Q214" t="s">
        <v>131</v>
      </c>
      <c r="R214" t="s">
        <v>132</v>
      </c>
      <c r="S214" t="s">
        <v>133</v>
      </c>
      <c r="T214" t="s">
        <v>92</v>
      </c>
      <c r="U214" t="s">
        <v>93</v>
      </c>
      <c r="V214" t="s">
        <v>134</v>
      </c>
      <c r="W214" t="s">
        <v>135</v>
      </c>
      <c r="X214" t="s">
        <v>136</v>
      </c>
      <c r="Y214" t="s">
        <v>137</v>
      </c>
      <c r="Z214" t="s">
        <v>139</v>
      </c>
    </row>
    <row r="215" spans="1:26">
      <c r="A215" s="47"/>
      <c r="B215" s="47">
        <f>(K161+K189)/2</f>
        <v>64.992439664999466</v>
      </c>
      <c r="C215" s="47">
        <f>SQRT(L161^2+M161^2)</f>
        <v>1.2476068864501062E-5</v>
      </c>
      <c r="D215" s="47">
        <f>SQRT(L189^2+M189^2)</f>
        <v>0.51878117689839054</v>
      </c>
      <c r="E215" s="47">
        <f>(C215+D215)/2</f>
        <v>0.2593968264836275</v>
      </c>
      <c r="F215" s="47">
        <f>(1-SQRT(E215^7/(E215^7+25^7)))/2</f>
        <v>0.49999994310733487</v>
      </c>
      <c r="G215" s="47">
        <f>L161*(1+F215)</f>
        <v>-1.7375608042823047E-5</v>
      </c>
      <c r="H215" s="47">
        <f>L189*(1+F215)</f>
        <v>-0.12448576121102353</v>
      </c>
      <c r="I215" s="47">
        <f>SQRT(G215^2+M161^2)</f>
        <v>1.7982798359317012E-5</v>
      </c>
      <c r="J215" s="47">
        <f>SQRT(H215^2+M189^2)</f>
        <v>0.52701346225225965</v>
      </c>
      <c r="K215" s="47">
        <f>(I215+J215)/2</f>
        <v>0.26351572252530947</v>
      </c>
      <c r="L215" s="47">
        <f>IF(ATAN2(M161,G215)&lt;0,ATAN2(M161,G215)+PI()*2,ATAN2(M161,G215))</f>
        <v>4.972991381574797</v>
      </c>
      <c r="M215" s="47">
        <f>IF(ATAN2(M189,H215)&lt;0,ATAN2(M189,H215)+PI()*2,ATAN2(M189,H215))</f>
        <v>6.044721862700043</v>
      </c>
      <c r="N215" s="47">
        <f>IF(ABS(L215-M215)&gt;PI(),(L215+M215+2*PI())/2,(L215+M215)/2)</f>
        <v>5.5088566221374204</v>
      </c>
      <c r="O215" s="47">
        <f>1-0.17*COS(N215-PI()/180*30)+0.24*COS(2*N215)+0.32*COS(3*N215+PI()/180*6)-0.2*COS(4*N215-PI()/180*63)</f>
        <v>0.86508111819151323</v>
      </c>
      <c r="P215" s="47">
        <f>IF(ABS(M215-L215)&gt;PI(),IF(M215&gt;L215,M215-L215-2*PI(),M215-L215+2*PI()),M215-L215)</f>
        <v>1.0717304811252459</v>
      </c>
      <c r="Q215" s="47">
        <f>K189-K161</f>
        <v>0.73921981018952465</v>
      </c>
      <c r="R215" s="47">
        <f>J215-I215</f>
        <v>0.52699547945390035</v>
      </c>
      <c r="S215" s="47">
        <f>2*SQRT(I215*J215)*SIN(P215/2)</f>
        <v>3.1436754185399885E-3</v>
      </c>
      <c r="T215" s="47">
        <f>1+(0.015*(B215-50)^2)/SQRT(20+(B215-50)^2)</f>
        <v>1.2155032896288469</v>
      </c>
      <c r="U215" s="47">
        <f>1+0.045*K215</f>
        <v>1.0118582075136389</v>
      </c>
      <c r="V215" s="47">
        <f>1+0.015*K215*O215</f>
        <v>1.0034194371385485</v>
      </c>
      <c r="W215" s="108">
        <f>30*EXP((-1*((N215*180/PI()-275)/25)^2))</f>
        <v>2.1369333224406053</v>
      </c>
      <c r="X215" s="47">
        <f>2*SQRT(K215^7/(K215^2+25^7))</f>
        <v>2.4047106581011124E-7</v>
      </c>
      <c r="Y215" s="47">
        <f>-1*X215*SIN(2*W215*PI()/180)</f>
        <v>-1.792083922027474E-8</v>
      </c>
      <c r="Z215" s="47">
        <f>SQRT(Q215^2/T215^2+R215^2/U215^2+S215^2/V215^2+Y215*(R215/U215)*(S215/V215))</f>
        <v>0.80070011570192745</v>
      </c>
    </row>
    <row r="216" spans="1:26">
      <c r="A216" s="47"/>
      <c r="B216" s="47">
        <f t="shared" ref="B216:B235" si="330">(K162+K190)/2</f>
        <v>75.617358672778664</v>
      </c>
      <c r="C216" s="47">
        <f t="shared" ref="C216:C235" si="331">SQRT(L162^2+M162^2)</f>
        <v>1.4153264448728964E-5</v>
      </c>
      <c r="D216" s="47">
        <f t="shared" ref="D216:D235" si="332">SQRT(L190^2+M190^2)</f>
        <v>0.64777044010664475</v>
      </c>
      <c r="E216" s="47">
        <f t="shared" ref="E216:E235" si="333">(C216+D216)/2</f>
        <v>0.32389229668554675</v>
      </c>
      <c r="F216" s="47">
        <f t="shared" ref="F216:F237" si="334">(1-SQRT(E216^7/(E216^7+25^7)))/2</f>
        <v>0.49999987623947567</v>
      </c>
      <c r="G216" s="47">
        <f t="shared" ref="G216:G235" si="335">L162*(1+F216)</f>
        <v>-1.971146258453568E-5</v>
      </c>
      <c r="H216" s="47">
        <f t="shared" ref="H216:H235" si="336">L190*(1+F216)</f>
        <v>0.61379215473130666</v>
      </c>
      <c r="I216" s="47">
        <f t="shared" ref="I216:I235" si="337">SQRT(G216^2+M162^2)</f>
        <v>2.0400279357153818E-5</v>
      </c>
      <c r="J216" s="47">
        <f t="shared" ref="J216:J235" si="338">SQRT(H216^2+M190^2)</f>
        <v>0.79303654708146243</v>
      </c>
      <c r="K216" s="47">
        <f t="shared" ref="K216:K235" si="339">(I216+J216)/2</f>
        <v>0.39652847368040978</v>
      </c>
      <c r="L216" s="47">
        <f t="shared" ref="L216:L235" si="340">IF(ATAN2(M162,G216)&lt;0,ATAN2(M162,G216)+PI()*2,ATAN2(M162,G216))</f>
        <v>4.9729913926731983</v>
      </c>
      <c r="M216" s="47">
        <f t="shared" ref="M216:M235" si="341">IF(ATAN2(M190,H216)&lt;0,ATAN2(M190,H216)+PI()*2,ATAN2(M190,H216))</f>
        <v>2.2564945125558364</v>
      </c>
      <c r="N216" s="47">
        <f t="shared" ref="N216:N235" si="342">IF(ABS(L216-M216)&gt;PI(),(L216+M216+2*PI())/2,(L216+M216)/2)</f>
        <v>3.6147429526145176</v>
      </c>
      <c r="O216" s="47">
        <f t="shared" ref="O216:O237" si="343">1-0.17*COS(N216-PI()/180*30)+0.24*COS(2*N216)+0.32*COS(3*N216+PI()/180*6)-0.2*COS(4*N216-PI()/180*63)</f>
        <v>1.1548581053067508</v>
      </c>
      <c r="P216" s="47">
        <f t="shared" ref="P216:P235" si="344">IF(ABS(M216-L216)&gt;PI(),IF(M216&gt;L216,M216-L216-2*PI(),M216-L216+2*PI()),M216-L216)</f>
        <v>-2.7164968801173619</v>
      </c>
      <c r="Q216" s="47">
        <f t="shared" ref="Q216:Q235" si="345">K190-K162</f>
        <v>0.3123174992373805</v>
      </c>
      <c r="R216" s="47">
        <f t="shared" ref="R216:R235" si="346">J216-I216</f>
        <v>0.7930161468021053</v>
      </c>
      <c r="S216" s="47">
        <f t="shared" ref="S216:S235" si="347">2*SQRT(I216*J216)*SIN(P216/2)</f>
        <v>-7.8633917649341516E-3</v>
      </c>
      <c r="T216" s="47">
        <f t="shared" ref="T216:T235" si="348">1+(0.015*(B216-50)^2)/SQRT(20+(B216-50)^2)</f>
        <v>1.3785355026523858</v>
      </c>
      <c r="U216" s="47">
        <f t="shared" ref="U216:U235" si="349">1+0.045*K216</f>
        <v>1.0178437813156185</v>
      </c>
      <c r="V216" s="47">
        <f t="shared" ref="V216:V235" si="350">1+0.015*K216*O216</f>
        <v>1.006869011827221</v>
      </c>
      <c r="W216" s="108">
        <f t="shared" ref="W216:W235" si="351">30*EXP((-1*((N216*180/PI()-275)/25)^2))</f>
        <v>1.8809536098117103E-2</v>
      </c>
      <c r="X216" s="47">
        <f t="shared" ref="X216:X235" si="352">2*SQRT(K216^7/(K216^2+25^7))</f>
        <v>1.0050792094075658E-6</v>
      </c>
      <c r="Y216" s="47">
        <f t="shared" ref="Y216:Y235" si="353">-1*X216*SIN(2*W216*PI()/180)</f>
        <v>-6.5991151436188411E-10</v>
      </c>
      <c r="Z216" s="47">
        <f t="shared" ref="Z216:Z235" si="354">SQRT(Q216^2/T216^2+R216^2/U216^2+S216^2/V216^2+Y216*(R216/U216)*(S216/V216))</f>
        <v>0.81142319624016035</v>
      </c>
    </row>
    <row r="217" spans="1:26">
      <c r="A217" s="47"/>
      <c r="B217" s="47">
        <f t="shared" si="330"/>
        <v>84.954678913538302</v>
      </c>
      <c r="C217" s="47">
        <f t="shared" si="331"/>
        <v>1.5504602402994566E-5</v>
      </c>
      <c r="D217" s="47">
        <f t="shared" si="332"/>
        <v>1.147390041223578</v>
      </c>
      <c r="E217" s="47">
        <f t="shared" si="333"/>
        <v>0.57370277291299054</v>
      </c>
      <c r="F217" s="47">
        <f t="shared" si="334"/>
        <v>0.49999908465609205</v>
      </c>
      <c r="G217" s="47">
        <f t="shared" si="335"/>
        <v>-2.1593479733439661E-5</v>
      </c>
      <c r="H217" s="47">
        <f t="shared" si="336"/>
        <v>0.75989693677720838</v>
      </c>
      <c r="I217" s="47">
        <f t="shared" si="337"/>
        <v>2.2348064345141096E-5</v>
      </c>
      <c r="J217" s="47">
        <f t="shared" si="338"/>
        <v>1.2795723727490209</v>
      </c>
      <c r="K217" s="47">
        <f t="shared" si="339"/>
        <v>0.639797360406683</v>
      </c>
      <c r="L217" s="47">
        <f t="shared" si="340"/>
        <v>4.9729915230963915</v>
      </c>
      <c r="M217" s="47">
        <f t="shared" si="341"/>
        <v>2.5057348573754696</v>
      </c>
      <c r="N217" s="47">
        <f t="shared" si="342"/>
        <v>3.7393631902359306</v>
      </c>
      <c r="O217" s="47">
        <f t="shared" si="343"/>
        <v>1.3052202157490369</v>
      </c>
      <c r="P217" s="47">
        <f t="shared" si="344"/>
        <v>-2.4672566657209218</v>
      </c>
      <c r="Q217" s="47">
        <f t="shared" si="345"/>
        <v>1.5217306307785634</v>
      </c>
      <c r="R217" s="47">
        <f t="shared" si="346"/>
        <v>1.2795500246846758</v>
      </c>
      <c r="S217" s="47">
        <f t="shared" si="347"/>
        <v>-1.0092858425939617E-2</v>
      </c>
      <c r="T217" s="47">
        <f t="shared" si="348"/>
        <v>1.5200808867388629</v>
      </c>
      <c r="U217" s="47">
        <f t="shared" si="349"/>
        <v>1.0287908812183006</v>
      </c>
      <c r="V217" s="47">
        <f t="shared" si="350"/>
        <v>1.0125261467317852</v>
      </c>
      <c r="W217" s="108">
        <f t="shared" si="351"/>
        <v>8.1777320714639182E-2</v>
      </c>
      <c r="X217" s="47">
        <f t="shared" si="352"/>
        <v>5.3627619497552278E-6</v>
      </c>
      <c r="Y217" s="47">
        <f t="shared" si="353"/>
        <v>-1.5308342499714995E-8</v>
      </c>
      <c r="Z217" s="47">
        <f t="shared" si="354"/>
        <v>1.596610261248701</v>
      </c>
    </row>
    <row r="218" spans="1:26">
      <c r="A218" s="47"/>
      <c r="B218" s="47">
        <f t="shared" si="330"/>
        <v>92.34656319267873</v>
      </c>
      <c r="C218" s="47">
        <f t="shared" si="331"/>
        <v>1.6569564816427671E-5</v>
      </c>
      <c r="D218" s="47">
        <f t="shared" si="332"/>
        <v>1.6384203929137142</v>
      </c>
      <c r="E218" s="47">
        <f t="shared" si="333"/>
        <v>0.81921848123926533</v>
      </c>
      <c r="F218" s="47">
        <f t="shared" si="334"/>
        <v>0.49999681522270534</v>
      </c>
      <c r="G218" s="47">
        <f t="shared" si="335"/>
        <v>-2.3076633069186324E-5</v>
      </c>
      <c r="H218" s="47">
        <f t="shared" si="336"/>
        <v>0.71962061365502328</v>
      </c>
      <c r="I218" s="47">
        <f t="shared" si="337"/>
        <v>2.3883048911027367E-5</v>
      </c>
      <c r="J218" s="47">
        <f t="shared" si="338"/>
        <v>1.7239828820110021</v>
      </c>
      <c r="K218" s="47">
        <f t="shared" si="339"/>
        <v>0.86200338252995656</v>
      </c>
      <c r="L218" s="47">
        <f t="shared" si="340"/>
        <v>4.9729919007268197</v>
      </c>
      <c r="M218" s="47">
        <f t="shared" si="341"/>
        <v>2.7109911274660825</v>
      </c>
      <c r="N218" s="47">
        <f t="shared" si="342"/>
        <v>3.8419915140964509</v>
      </c>
      <c r="O218" s="47">
        <f t="shared" si="343"/>
        <v>1.4239741655959837</v>
      </c>
      <c r="P218" s="47">
        <f t="shared" si="344"/>
        <v>-2.2620007732607372</v>
      </c>
      <c r="Q218" s="47">
        <f t="shared" si="345"/>
        <v>2.5415026040113133</v>
      </c>
      <c r="R218" s="47">
        <f t="shared" si="346"/>
        <v>1.7239589989620911</v>
      </c>
      <c r="S218" s="47">
        <f t="shared" si="347"/>
        <v>-1.1612145127466474E-2</v>
      </c>
      <c r="T218" s="47">
        <f t="shared" si="348"/>
        <v>1.6316856048263237</v>
      </c>
      <c r="U218" s="47">
        <f t="shared" si="349"/>
        <v>1.0387901522138481</v>
      </c>
      <c r="V218" s="47">
        <f t="shared" si="350"/>
        <v>1.0184120582106853</v>
      </c>
      <c r="W218" s="108">
        <f t="shared" si="351"/>
        <v>0.24269070918902594</v>
      </c>
      <c r="X218" s="47">
        <f t="shared" si="352"/>
        <v>1.522374007464071E-5</v>
      </c>
      <c r="Y218" s="47">
        <f t="shared" si="353"/>
        <v>-1.2896643050208049E-7</v>
      </c>
      <c r="Z218" s="47">
        <f t="shared" si="354"/>
        <v>2.2760589568479883</v>
      </c>
    </row>
    <row r="219" spans="1:26">
      <c r="A219" s="47"/>
      <c r="B219" s="47">
        <f t="shared" si="330"/>
        <v>100.82387852094911</v>
      </c>
      <c r="C219" s="47">
        <f t="shared" si="331"/>
        <v>1.7950548817827111E-5</v>
      </c>
      <c r="D219" s="47">
        <f t="shared" si="332"/>
        <v>0.23383054239777409</v>
      </c>
      <c r="E219" s="47">
        <f t="shared" si="333"/>
        <v>0.11692424647329595</v>
      </c>
      <c r="F219" s="47">
        <f t="shared" si="334"/>
        <v>0.499999996501789</v>
      </c>
      <c r="G219" s="47">
        <f t="shared" si="335"/>
        <v>-2.4999999179137045E-5</v>
      </c>
      <c r="H219" s="47">
        <f t="shared" si="336"/>
        <v>0.16672042085123645</v>
      </c>
      <c r="I219" s="47">
        <f t="shared" si="337"/>
        <v>2.5873623653946009E-5</v>
      </c>
      <c r="J219" s="47">
        <f t="shared" si="338"/>
        <v>0.26479950405874464</v>
      </c>
      <c r="K219" s="47">
        <f t="shared" si="339"/>
        <v>0.13241268884119931</v>
      </c>
      <c r="L219" s="47">
        <f t="shared" si="340"/>
        <v>4.9729913735418592</v>
      </c>
      <c r="M219" s="47">
        <f t="shared" si="341"/>
        <v>2.4605415071764916</v>
      </c>
      <c r="N219" s="47">
        <f t="shared" si="342"/>
        <v>3.7167664403591756</v>
      </c>
      <c r="O219" s="47">
        <f t="shared" si="343"/>
        <v>1.2775694341941362</v>
      </c>
      <c r="P219" s="47">
        <f t="shared" si="344"/>
        <v>-2.5124498663653676</v>
      </c>
      <c r="Q219" s="47">
        <f t="shared" si="345"/>
        <v>1.6477493085651389</v>
      </c>
      <c r="R219" s="47">
        <f t="shared" si="346"/>
        <v>0.26477363043509067</v>
      </c>
      <c r="S219" s="47">
        <f t="shared" si="347"/>
        <v>-4.9781197189942474E-3</v>
      </c>
      <c r="T219" s="47">
        <f t="shared" si="348"/>
        <v>1.7594238381069367</v>
      </c>
      <c r="U219" s="47">
        <f t="shared" si="349"/>
        <v>1.005958570997854</v>
      </c>
      <c r="V219" s="47">
        <f t="shared" si="350"/>
        <v>1.0025374960594446</v>
      </c>
      <c r="W219" s="108">
        <f t="shared" si="351"/>
        <v>6.3410373629145533E-2</v>
      </c>
      <c r="X219" s="47">
        <f t="shared" si="352"/>
        <v>2.1626865614958151E-8</v>
      </c>
      <c r="Y219" s="47">
        <f t="shared" si="353"/>
        <v>-4.7869721676980872E-11</v>
      </c>
      <c r="Z219" s="47">
        <f t="shared" si="354"/>
        <v>0.97282371396871692</v>
      </c>
    </row>
    <row r="220" spans="1:26">
      <c r="A220" s="47"/>
      <c r="B220" s="47">
        <f t="shared" si="330"/>
        <v>34.278099819316481</v>
      </c>
      <c r="C220" s="47">
        <f t="shared" si="331"/>
        <v>19.849937347283703</v>
      </c>
      <c r="D220" s="47">
        <f t="shared" si="332"/>
        <v>21.717905017222662</v>
      </c>
      <c r="E220" s="47">
        <f t="shared" si="333"/>
        <v>20.783921182253181</v>
      </c>
      <c r="F220" s="47">
        <f t="shared" si="334"/>
        <v>0.26796179958052724</v>
      </c>
      <c r="G220" s="47">
        <f t="shared" si="335"/>
        <v>16.824990723018534</v>
      </c>
      <c r="H220" s="47">
        <f t="shared" si="336"/>
        <v>17.922631836591865</v>
      </c>
      <c r="I220" s="47">
        <f t="shared" si="337"/>
        <v>22.383598353695312</v>
      </c>
      <c r="J220" s="47">
        <f t="shared" si="338"/>
        <v>24.353440991405645</v>
      </c>
      <c r="K220" s="47">
        <f t="shared" si="339"/>
        <v>23.368519672550477</v>
      </c>
      <c r="L220" s="47">
        <f t="shared" si="340"/>
        <v>0.85058450380613926</v>
      </c>
      <c r="M220" s="47">
        <f t="shared" si="341"/>
        <v>0.82705162082124406</v>
      </c>
      <c r="N220" s="47">
        <f t="shared" si="342"/>
        <v>0.8388180623136916</v>
      </c>
      <c r="O220" s="47">
        <f t="shared" si="343"/>
        <v>0.66166981221916599</v>
      </c>
      <c r="P220" s="47">
        <f t="shared" si="344"/>
        <v>-2.3532882984895198E-2</v>
      </c>
      <c r="Q220" s="47">
        <f t="shared" si="345"/>
        <v>-3.6580323484174784</v>
      </c>
      <c r="R220" s="47">
        <f t="shared" si="346"/>
        <v>1.9698426377103324</v>
      </c>
      <c r="S220" s="47">
        <f t="shared" si="347"/>
        <v>-0.54942729719794514</v>
      </c>
      <c r="T220" s="47">
        <f t="shared" si="348"/>
        <v>1.2268301932937407</v>
      </c>
      <c r="U220" s="47">
        <f t="shared" si="349"/>
        <v>2.0515833852647711</v>
      </c>
      <c r="V220" s="47">
        <f t="shared" si="350"/>
        <v>1.2319336603536455</v>
      </c>
      <c r="W220" s="108">
        <f t="shared" si="351"/>
        <v>4.900746090324095E-35</v>
      </c>
      <c r="X220" s="47">
        <f t="shared" si="352"/>
        <v>1.5792436990645169</v>
      </c>
      <c r="Y220" s="47">
        <f t="shared" si="353"/>
        <v>-2.7015855093104167E-36</v>
      </c>
      <c r="Z220" s="47">
        <f t="shared" si="354"/>
        <v>3.1640648983872186</v>
      </c>
    </row>
    <row r="221" spans="1:26">
      <c r="A221" s="47"/>
      <c r="B221" s="47">
        <f t="shared" si="330"/>
        <v>64.782352265309129</v>
      </c>
      <c r="C221" s="47">
        <f t="shared" si="331"/>
        <v>22.029533649633418</v>
      </c>
      <c r="D221" s="47">
        <f t="shared" si="332"/>
        <v>27.61467566098494</v>
      </c>
      <c r="E221" s="47">
        <f t="shared" si="333"/>
        <v>24.822104655309179</v>
      </c>
      <c r="F221" s="47">
        <f t="shared" si="334"/>
        <v>0.15089206150889545</v>
      </c>
      <c r="G221" s="47">
        <f t="shared" si="335"/>
        <v>16.195590554485108</v>
      </c>
      <c r="H221" s="47">
        <f t="shared" si="336"/>
        <v>19.467036441096543</v>
      </c>
      <c r="I221" s="47">
        <f t="shared" si="337"/>
        <v>23.442920364178036</v>
      </c>
      <c r="J221" s="47">
        <f t="shared" si="338"/>
        <v>29.247692125452378</v>
      </c>
      <c r="K221" s="47">
        <f t="shared" si="339"/>
        <v>26.345306244815205</v>
      </c>
      <c r="L221" s="47">
        <f t="shared" si="340"/>
        <v>0.76266694567663851</v>
      </c>
      <c r="M221" s="47">
        <f t="shared" si="341"/>
        <v>0.7282870673785059</v>
      </c>
      <c r="N221" s="47">
        <f t="shared" si="342"/>
        <v>0.74547700652757221</v>
      </c>
      <c r="O221" s="47">
        <f t="shared" si="343"/>
        <v>0.69177220950716922</v>
      </c>
      <c r="P221" s="47">
        <f t="shared" si="344"/>
        <v>-3.4379878298132605E-2</v>
      </c>
      <c r="Q221" s="47">
        <f t="shared" si="345"/>
        <v>-0.7712432600761332</v>
      </c>
      <c r="R221" s="47">
        <f t="shared" si="346"/>
        <v>5.8047717612743419</v>
      </c>
      <c r="S221" s="47">
        <f t="shared" si="347"/>
        <v>-0.90019086937844961</v>
      </c>
      <c r="T221" s="47">
        <f t="shared" si="348"/>
        <v>1.2122354029648632</v>
      </c>
      <c r="U221" s="47">
        <f t="shared" si="349"/>
        <v>2.1855387810166844</v>
      </c>
      <c r="V221" s="47">
        <f t="shared" si="350"/>
        <v>1.2733742606667826</v>
      </c>
      <c r="W221" s="108">
        <f t="shared" si="351"/>
        <v>9.6312399551341459E-37</v>
      </c>
      <c r="X221" s="47">
        <f t="shared" si="352"/>
        <v>2.4027098021338533</v>
      </c>
      <c r="Y221" s="47">
        <f t="shared" si="353"/>
        <v>-8.0777589007651884E-38</v>
      </c>
      <c r="Z221" s="47">
        <f t="shared" si="354"/>
        <v>2.8211371169952386</v>
      </c>
    </row>
    <row r="222" spans="1:26">
      <c r="A222" s="47"/>
      <c r="B222" s="47">
        <f t="shared" si="330"/>
        <v>48.022377658196618</v>
      </c>
      <c r="C222" s="47">
        <f t="shared" si="331"/>
        <v>21.951092180151221</v>
      </c>
      <c r="D222" s="47">
        <f t="shared" si="332"/>
        <v>28.610011277181638</v>
      </c>
      <c r="E222" s="47">
        <f t="shared" si="333"/>
        <v>25.280551728666431</v>
      </c>
      <c r="F222" s="47">
        <f t="shared" si="334"/>
        <v>0.13961155659792235</v>
      </c>
      <c r="G222" s="47">
        <f t="shared" si="335"/>
        <v>-1.6368299730967948</v>
      </c>
      <c r="H222" s="47">
        <f t="shared" si="336"/>
        <v>1.4963328478117679</v>
      </c>
      <c r="I222" s="47">
        <f t="shared" si="337"/>
        <v>21.965124350080373</v>
      </c>
      <c r="J222" s="47">
        <f t="shared" si="338"/>
        <v>28.619010038138665</v>
      </c>
      <c r="K222" s="47">
        <f t="shared" si="339"/>
        <v>25.292067194109521</v>
      </c>
      <c r="L222" s="47">
        <f t="shared" si="340"/>
        <v>3.2161812911813725</v>
      </c>
      <c r="M222" s="47">
        <f t="shared" si="341"/>
        <v>3.0892842252304948</v>
      </c>
      <c r="N222" s="47">
        <f t="shared" si="342"/>
        <v>3.1527327582059339</v>
      </c>
      <c r="O222" s="47">
        <f t="shared" si="343"/>
        <v>0.97250481633702313</v>
      </c>
      <c r="P222" s="47">
        <f t="shared" si="344"/>
        <v>-0.12689706595087769</v>
      </c>
      <c r="Q222" s="47">
        <f t="shared" si="345"/>
        <v>-2.8097746521936315</v>
      </c>
      <c r="R222" s="47">
        <f t="shared" si="346"/>
        <v>6.6538856880582919</v>
      </c>
      <c r="S222" s="47">
        <f t="shared" si="347"/>
        <v>-3.1794667463906112</v>
      </c>
      <c r="T222" s="47">
        <f t="shared" si="348"/>
        <v>1.0119971806555121</v>
      </c>
      <c r="U222" s="47">
        <f t="shared" si="349"/>
        <v>2.1381430237349281</v>
      </c>
      <c r="V222" s="47">
        <f t="shared" si="350"/>
        <v>1.3689498574208669</v>
      </c>
      <c r="W222" s="108">
        <f t="shared" si="351"/>
        <v>1.9493742423655202E-5</v>
      </c>
      <c r="X222" s="47">
        <f t="shared" si="352"/>
        <v>2.0829799368116482</v>
      </c>
      <c r="Y222" s="47">
        <f t="shared" si="353"/>
        <v>-1.4173844812626517E-6</v>
      </c>
      <c r="Z222" s="47">
        <f t="shared" si="354"/>
        <v>4.7736303632193779</v>
      </c>
    </row>
    <row r="223" spans="1:26">
      <c r="A223" s="47"/>
      <c r="B223" s="47">
        <f t="shared" si="330"/>
        <v>40.133639326509893</v>
      </c>
      <c r="C223" s="47">
        <f t="shared" si="331"/>
        <v>26.073145663299638</v>
      </c>
      <c r="D223" s="47">
        <f t="shared" si="332"/>
        <v>30.478590199661422</v>
      </c>
      <c r="E223" s="47">
        <f t="shared" si="333"/>
        <v>28.27586793148053</v>
      </c>
      <c r="F223" s="47">
        <f t="shared" si="334"/>
        <v>8.075550662824621E-2</v>
      </c>
      <c r="G223" s="47">
        <f t="shared" si="335"/>
        <v>-16.256324960027616</v>
      </c>
      <c r="H223" s="47">
        <f t="shared" si="336"/>
        <v>-18.631970507880656</v>
      </c>
      <c r="I223" s="47">
        <f t="shared" si="337"/>
        <v>26.792282074589188</v>
      </c>
      <c r="J223" s="47">
        <f t="shared" si="338"/>
        <v>31.287142768712936</v>
      </c>
      <c r="K223" s="47">
        <f t="shared" si="339"/>
        <v>29.03971242165106</v>
      </c>
      <c r="L223" s="47">
        <f t="shared" si="340"/>
        <v>5.6312146674730483</v>
      </c>
      <c r="M223" s="47">
        <f t="shared" si="341"/>
        <v>5.6452784348761682</v>
      </c>
      <c r="N223" s="47">
        <f t="shared" si="342"/>
        <v>5.6382465511746087</v>
      </c>
      <c r="O223" s="47">
        <f t="shared" si="343"/>
        <v>1.0897090374108374</v>
      </c>
      <c r="P223" s="47">
        <f t="shared" si="344"/>
        <v>1.4063767403119876E-2</v>
      </c>
      <c r="Q223" s="47">
        <f t="shared" si="345"/>
        <v>-2.5822575438852198</v>
      </c>
      <c r="R223" s="47">
        <f t="shared" si="346"/>
        <v>4.4948606941237479</v>
      </c>
      <c r="S223" s="47">
        <f t="shared" si="347"/>
        <v>0.40717949687147653</v>
      </c>
      <c r="T223" s="47">
        <f t="shared" si="348"/>
        <v>1.1347946962162618</v>
      </c>
      <c r="U223" s="47">
        <f t="shared" si="349"/>
        <v>2.3067870589742974</v>
      </c>
      <c r="V223" s="47">
        <f t="shared" si="350"/>
        <v>1.4746725560452738</v>
      </c>
      <c r="W223" s="108">
        <f t="shared" si="351"/>
        <v>0.74636704563864498</v>
      </c>
      <c r="X223" s="47">
        <f t="shared" si="352"/>
        <v>3.3784152182114173</v>
      </c>
      <c r="Y223" s="47">
        <f t="shared" si="353"/>
        <v>-8.8008316182052154E-2</v>
      </c>
      <c r="Z223" s="47">
        <f t="shared" si="354"/>
        <v>3.000619345622717</v>
      </c>
    </row>
    <row r="224" spans="1:26">
      <c r="A224" s="47"/>
      <c r="B224" s="47">
        <f t="shared" si="330"/>
        <v>53.048813541992573</v>
      </c>
      <c r="C224" s="47">
        <f t="shared" si="331"/>
        <v>27.987149965126751</v>
      </c>
      <c r="D224" s="47">
        <f t="shared" si="332"/>
        <v>37.475793425570174</v>
      </c>
      <c r="E224" s="47">
        <f t="shared" si="333"/>
        <v>32.731471695348461</v>
      </c>
      <c r="F224" s="47">
        <f t="shared" si="334"/>
        <v>3.4080232596734372E-2</v>
      </c>
      <c r="G224" s="47">
        <f t="shared" si="335"/>
        <v>12.315982945617472</v>
      </c>
      <c r="H224" s="47">
        <f t="shared" si="336"/>
        <v>17.238029067201346</v>
      </c>
      <c r="I224" s="47">
        <f t="shared" si="337"/>
        <v>28.162277720227149</v>
      </c>
      <c r="J224" s="47">
        <f t="shared" si="338"/>
        <v>37.731931960104212</v>
      </c>
      <c r="K224" s="47">
        <f t="shared" si="339"/>
        <v>32.947104840165679</v>
      </c>
      <c r="L224" s="47">
        <f t="shared" si="340"/>
        <v>2.6889740255142751</v>
      </c>
      <c r="M224" s="47">
        <f t="shared" si="341"/>
        <v>2.667135991500404</v>
      </c>
      <c r="N224" s="47">
        <f t="shared" si="342"/>
        <v>2.6780550085073394</v>
      </c>
      <c r="O224" s="47">
        <f t="shared" si="343"/>
        <v>1.3442657676522212</v>
      </c>
      <c r="P224" s="47">
        <f t="shared" si="344"/>
        <v>-2.1838034013871077E-2</v>
      </c>
      <c r="Q224" s="47">
        <f t="shared" si="345"/>
        <v>-3.396912889911107</v>
      </c>
      <c r="R224" s="47">
        <f t="shared" si="346"/>
        <v>9.5696542398770639</v>
      </c>
      <c r="S224" s="47">
        <f t="shared" si="347"/>
        <v>-0.71185791470667215</v>
      </c>
      <c r="T224" s="47">
        <f t="shared" si="348"/>
        <v>1.0257604995399043</v>
      </c>
      <c r="U224" s="47">
        <f t="shared" si="349"/>
        <v>2.4826197178074554</v>
      </c>
      <c r="V224" s="47">
        <f t="shared" si="350"/>
        <v>1.6643449776982528</v>
      </c>
      <c r="W224" s="108">
        <f t="shared" si="351"/>
        <v>1.6193347559787966E-9</v>
      </c>
      <c r="X224" s="47">
        <f t="shared" si="352"/>
        <v>5.2553340799916102</v>
      </c>
      <c r="Y224" s="47">
        <f t="shared" si="353"/>
        <v>-2.9706010468248011E-10</v>
      </c>
      <c r="Z224" s="47">
        <f t="shared" si="354"/>
        <v>5.0998098999653347</v>
      </c>
    </row>
    <row r="225" spans="1:26">
      <c r="A225" s="47"/>
      <c r="B225" s="47">
        <f t="shared" si="330"/>
        <v>70.234919792798479</v>
      </c>
      <c r="C225" s="47">
        <f t="shared" si="331"/>
        <v>32.877091916819055</v>
      </c>
      <c r="D225" s="47">
        <f t="shared" si="332"/>
        <v>36.722228227834286</v>
      </c>
      <c r="E225" s="47">
        <f t="shared" si="333"/>
        <v>34.799660072326674</v>
      </c>
      <c r="F225" s="47">
        <f t="shared" si="334"/>
        <v>2.2998489936095434E-2</v>
      </c>
      <c r="G225" s="47">
        <f t="shared" si="335"/>
        <v>-33.570106018410733</v>
      </c>
      <c r="H225" s="47">
        <f t="shared" si="336"/>
        <v>-37.525292990312458</v>
      </c>
      <c r="I225" s="47">
        <f t="shared" si="337"/>
        <v>33.630412216154603</v>
      </c>
      <c r="J225" s="47">
        <f t="shared" si="338"/>
        <v>37.564940410528976</v>
      </c>
      <c r="K225" s="47">
        <f t="shared" si="339"/>
        <v>35.597676313341793</v>
      </c>
      <c r="L225" s="47">
        <f t="shared" si="340"/>
        <v>4.7722845632872763</v>
      </c>
      <c r="M225" s="47">
        <f t="shared" si="341"/>
        <v>4.758337266588919</v>
      </c>
      <c r="N225" s="47">
        <f t="shared" si="342"/>
        <v>4.7653109149380981</v>
      </c>
      <c r="O225" s="47">
        <f t="shared" si="343"/>
        <v>0.62887996806159074</v>
      </c>
      <c r="P225" s="47">
        <f t="shared" si="344"/>
        <v>-1.394729669835737E-2</v>
      </c>
      <c r="Q225" s="47">
        <f t="shared" si="345"/>
        <v>-0.35406236691895288</v>
      </c>
      <c r="R225" s="47">
        <f t="shared" si="346"/>
        <v>3.9345281943743728</v>
      </c>
      <c r="S225" s="47">
        <f t="shared" si="347"/>
        <v>-0.49572859051214929</v>
      </c>
      <c r="T225" s="47">
        <f t="shared" si="348"/>
        <v>1.2963718351913514</v>
      </c>
      <c r="U225" s="47">
        <f t="shared" si="349"/>
        <v>2.6018954341003804</v>
      </c>
      <c r="V225" s="47">
        <f t="shared" si="350"/>
        <v>1.3357999831450185</v>
      </c>
      <c r="W225" s="108">
        <f t="shared" si="351"/>
        <v>29.814707878294417</v>
      </c>
      <c r="X225" s="47">
        <f t="shared" si="352"/>
        <v>6.8899440354716477</v>
      </c>
      <c r="Y225" s="47">
        <f t="shared" si="353"/>
        <v>-5.9444601255424017</v>
      </c>
      <c r="Z225" s="47">
        <f t="shared" si="354"/>
        <v>2.4155607564777872</v>
      </c>
    </row>
    <row r="226" spans="1:26">
      <c r="B226" s="47">
        <f t="shared" si="330"/>
        <v>59.04795060393338</v>
      </c>
      <c r="C226" s="47">
        <f t="shared" si="331"/>
        <v>66.485980857211558</v>
      </c>
      <c r="D226" s="47">
        <f t="shared" si="332"/>
        <v>76.155164352056005</v>
      </c>
      <c r="E226" s="47">
        <f t="shared" si="333"/>
        <v>71.320572604633782</v>
      </c>
      <c r="F226" s="47">
        <f t="shared" si="334"/>
        <v>1.6248174903543688E-4</v>
      </c>
      <c r="G226" s="47">
        <f t="shared" si="335"/>
        <v>33.571814136062372</v>
      </c>
      <c r="H226" s="47">
        <f t="shared" si="336"/>
        <v>37.880422130013564</v>
      </c>
      <c r="I226" s="47">
        <f t="shared" si="337"/>
        <v>66.488734510734162</v>
      </c>
      <c r="J226" s="47">
        <f t="shared" si="338"/>
        <v>76.158225048657073</v>
      </c>
      <c r="K226" s="47">
        <f t="shared" si="339"/>
        <v>71.323479779695617</v>
      </c>
      <c r="L226" s="47">
        <f t="shared" si="340"/>
        <v>0.52929489677777664</v>
      </c>
      <c r="M226" s="47">
        <f t="shared" si="341"/>
        <v>0.52058886986961062</v>
      </c>
      <c r="N226" s="47">
        <f t="shared" si="342"/>
        <v>0.52494188332369363</v>
      </c>
      <c r="O226" s="47">
        <f t="shared" si="343"/>
        <v>0.80668514896540533</v>
      </c>
      <c r="P226" s="47">
        <f t="shared" si="344"/>
        <v>-8.7060269081660202E-3</v>
      </c>
      <c r="Q226" s="47">
        <f t="shared" si="345"/>
        <v>-1.1157339466846992</v>
      </c>
      <c r="R226" s="47">
        <f t="shared" si="346"/>
        <v>9.6694905379229112</v>
      </c>
      <c r="S226" s="47">
        <f t="shared" si="347"/>
        <v>-0.61951392698077568</v>
      </c>
      <c r="T226" s="47">
        <f t="shared" si="348"/>
        <v>1.1216685498854113</v>
      </c>
      <c r="U226" s="47">
        <f t="shared" si="349"/>
        <v>4.2095565900863026</v>
      </c>
      <c r="V226" s="47">
        <f t="shared" si="350"/>
        <v>1.8630338786622225</v>
      </c>
      <c r="W226" s="108">
        <f t="shared" si="351"/>
        <v>6.2183771979609633E-41</v>
      </c>
      <c r="X226" s="47">
        <f t="shared" si="352"/>
        <v>78.442895709433515</v>
      </c>
      <c r="Y226" s="47">
        <f t="shared" si="353"/>
        <v>-1.7026996339588848E-40</v>
      </c>
      <c r="Z226" s="47">
        <f t="shared" si="354"/>
        <v>2.5251500833339442</v>
      </c>
    </row>
    <row r="227" spans="1:26">
      <c r="B227" s="47">
        <f t="shared" si="330"/>
        <v>37.675703032631134</v>
      </c>
      <c r="C227" s="47">
        <f t="shared" si="331"/>
        <v>45.081682645008236</v>
      </c>
      <c r="D227" s="47">
        <f t="shared" si="332"/>
        <v>53.143120489873837</v>
      </c>
      <c r="E227" s="47">
        <f t="shared" si="333"/>
        <v>49.11240156744104</v>
      </c>
      <c r="F227" s="47">
        <f t="shared" si="334"/>
        <v>2.1994237005155681E-3</v>
      </c>
      <c r="G227" s="47">
        <f t="shared" si="335"/>
        <v>15.703012839713393</v>
      </c>
      <c r="H227" s="47">
        <f t="shared" si="336"/>
        <v>19.898916265729664</v>
      </c>
      <c r="I227" s="47">
        <f t="shared" si="337"/>
        <v>45.09367173028204</v>
      </c>
      <c r="J227" s="47">
        <f t="shared" si="338"/>
        <v>53.159451874622292</v>
      </c>
      <c r="K227" s="47">
        <f t="shared" si="339"/>
        <v>49.126561802452166</v>
      </c>
      <c r="L227" s="47">
        <f t="shared" si="340"/>
        <v>2.7859093669188777</v>
      </c>
      <c r="M227" s="47">
        <f t="shared" si="341"/>
        <v>2.757923817680247</v>
      </c>
      <c r="N227" s="47">
        <f t="shared" si="342"/>
        <v>2.7719165922995623</v>
      </c>
      <c r="O227" s="47">
        <f t="shared" si="343"/>
        <v>1.2812653263208791</v>
      </c>
      <c r="P227" s="47">
        <f t="shared" si="344"/>
        <v>-2.7985549238630725E-2</v>
      </c>
      <c r="Q227" s="47">
        <f t="shared" si="345"/>
        <v>-3.1040567184188035</v>
      </c>
      <c r="R227" s="47">
        <f t="shared" si="346"/>
        <v>8.0657801443402519</v>
      </c>
      <c r="S227" s="47">
        <f t="shared" si="347"/>
        <v>-1.3701487187413417</v>
      </c>
      <c r="T227" s="47">
        <f t="shared" si="348"/>
        <v>1.1737770479703564</v>
      </c>
      <c r="U227" s="47">
        <f t="shared" si="349"/>
        <v>3.2106952811103473</v>
      </c>
      <c r="V227" s="47">
        <f t="shared" si="350"/>
        <v>1.9441624035826255</v>
      </c>
      <c r="W227" s="108">
        <f t="shared" si="351"/>
        <v>1.2524277006335016E-8</v>
      </c>
      <c r="X227" s="47">
        <f t="shared" si="352"/>
        <v>21.27390306174815</v>
      </c>
      <c r="Y227" s="47">
        <f t="shared" si="353"/>
        <v>-9.3005194175049589E-9</v>
      </c>
      <c r="Z227" s="47">
        <f t="shared" si="354"/>
        <v>3.7149718232045132</v>
      </c>
    </row>
    <row r="228" spans="1:26">
      <c r="B228" s="47">
        <f t="shared" si="330"/>
        <v>48.263744653774275</v>
      </c>
      <c r="C228" s="47">
        <f t="shared" si="331"/>
        <v>49.523848005840478</v>
      </c>
      <c r="D228" s="47">
        <f t="shared" si="332"/>
        <v>54.648224283628423</v>
      </c>
      <c r="E228" s="47">
        <f t="shared" si="333"/>
        <v>52.08603614473445</v>
      </c>
      <c r="F228" s="47">
        <f t="shared" si="334"/>
        <v>1.4607117619228616E-3</v>
      </c>
      <c r="G228" s="47">
        <f t="shared" si="335"/>
        <v>47.011486420121713</v>
      </c>
      <c r="H228" s="47">
        <f t="shared" si="336"/>
        <v>51.893322596844129</v>
      </c>
      <c r="I228" s="47">
        <f t="shared" si="337"/>
        <v>49.58884936440036</v>
      </c>
      <c r="J228" s="47">
        <f t="shared" si="338"/>
        <v>54.719999673540549</v>
      </c>
      <c r="K228" s="47">
        <f t="shared" si="339"/>
        <v>52.154424518970458</v>
      </c>
      <c r="L228" s="47">
        <f t="shared" si="340"/>
        <v>1.2469716189242386</v>
      </c>
      <c r="M228" s="47">
        <f t="shared" si="341"/>
        <v>1.2479710380130171</v>
      </c>
      <c r="N228" s="47">
        <f t="shared" si="342"/>
        <v>1.2474713284686278</v>
      </c>
      <c r="O228" s="47">
        <f t="shared" si="343"/>
        <v>0.58398909410853006</v>
      </c>
      <c r="P228" s="47">
        <f t="shared" si="344"/>
        <v>9.9941908877854146E-4</v>
      </c>
      <c r="Q228" s="47">
        <f t="shared" si="345"/>
        <v>-1.8411045991570205</v>
      </c>
      <c r="R228" s="47">
        <f t="shared" si="346"/>
        <v>5.1311503091401889</v>
      </c>
      <c r="S228" s="47">
        <f t="shared" si="347"/>
        <v>5.206102096395137E-2</v>
      </c>
      <c r="T228" s="47">
        <f t="shared" si="348"/>
        <v>1.0094257713277979</v>
      </c>
      <c r="U228" s="47">
        <f t="shared" si="349"/>
        <v>3.3469491033536705</v>
      </c>
      <c r="V228" s="47">
        <f t="shared" si="350"/>
        <v>1.456864226928779</v>
      </c>
      <c r="W228" s="108">
        <f t="shared" si="351"/>
        <v>4.9411406412831872E-28</v>
      </c>
      <c r="X228" s="47">
        <f t="shared" si="352"/>
        <v>26.227622275985592</v>
      </c>
      <c r="Y228" s="47">
        <f t="shared" si="353"/>
        <v>-4.5236969093860198E-28</v>
      </c>
      <c r="Z228" s="47">
        <f t="shared" si="354"/>
        <v>2.3829137632430646</v>
      </c>
    </row>
    <row r="229" spans="1:26">
      <c r="B229" s="47">
        <f t="shared" si="330"/>
        <v>26.907088672155769</v>
      </c>
      <c r="C229" s="47">
        <f t="shared" si="331"/>
        <v>31.724232827282218</v>
      </c>
      <c r="D229" s="47">
        <f t="shared" si="332"/>
        <v>37.208997451820998</v>
      </c>
      <c r="E229" s="47">
        <f t="shared" si="333"/>
        <v>34.466615139551607</v>
      </c>
      <c r="F229" s="47">
        <f t="shared" si="334"/>
        <v>2.4484163111764989E-2</v>
      </c>
      <c r="G229" s="47">
        <f t="shared" si="335"/>
        <v>23.400077880617761</v>
      </c>
      <c r="H229" s="47">
        <f t="shared" si="336"/>
        <v>26.550755585619207</v>
      </c>
      <c r="I229" s="47">
        <f t="shared" si="337"/>
        <v>32.129218240013614</v>
      </c>
      <c r="J229" s="47">
        <f t="shared" si="338"/>
        <v>37.653707969709686</v>
      </c>
      <c r="K229" s="47">
        <f t="shared" si="339"/>
        <v>34.89146310486165</v>
      </c>
      <c r="L229" s="47">
        <f t="shared" si="340"/>
        <v>2.3257380751966927</v>
      </c>
      <c r="M229" s="47">
        <f t="shared" si="341"/>
        <v>2.3589863194503238</v>
      </c>
      <c r="N229" s="47">
        <f t="shared" si="342"/>
        <v>2.3423621973235083</v>
      </c>
      <c r="O229" s="47">
        <f t="shared" si="343"/>
        <v>1.3274154575165957</v>
      </c>
      <c r="P229" s="47">
        <f t="shared" si="344"/>
        <v>3.3248244253631043E-2</v>
      </c>
      <c r="Q229" s="47">
        <f t="shared" si="345"/>
        <v>-5.0731767304932376</v>
      </c>
      <c r="R229" s="47">
        <f t="shared" si="346"/>
        <v>5.5244897296960715</v>
      </c>
      <c r="S229" s="47">
        <f t="shared" si="347"/>
        <v>1.1563855782350319</v>
      </c>
      <c r="T229" s="47">
        <f t="shared" si="348"/>
        <v>1.3400753447243003</v>
      </c>
      <c r="U229" s="47">
        <f t="shared" si="349"/>
        <v>2.570115839718774</v>
      </c>
      <c r="V229" s="47">
        <f t="shared" si="350"/>
        <v>1.6947320119114502</v>
      </c>
      <c r="W229" s="108">
        <f t="shared" si="351"/>
        <v>5.0467490441834183E-13</v>
      </c>
      <c r="X229" s="47">
        <f t="shared" si="352"/>
        <v>6.4232829869264947</v>
      </c>
      <c r="Y229" s="47">
        <f t="shared" si="353"/>
        <v>-1.1315562001347483E-13</v>
      </c>
      <c r="Z229" s="47">
        <f t="shared" si="354"/>
        <v>4.4065643808707131</v>
      </c>
    </row>
    <row r="230" spans="1:26">
      <c r="B230" s="47">
        <f t="shared" si="330"/>
        <v>71.372444091047427</v>
      </c>
      <c r="C230" s="47">
        <f t="shared" si="331"/>
        <v>64.092130163137881</v>
      </c>
      <c r="D230" s="47">
        <f t="shared" si="332"/>
        <v>66.785506987964169</v>
      </c>
      <c r="E230" s="47">
        <f t="shared" si="333"/>
        <v>65.438818575551025</v>
      </c>
      <c r="F230" s="47">
        <f t="shared" si="334"/>
        <v>2.9667793570697931E-4</v>
      </c>
      <c r="G230" s="47">
        <f t="shared" si="335"/>
        <v>-27.477641055982943</v>
      </c>
      <c r="H230" s="47">
        <f t="shared" si="336"/>
        <v>-27.876156572949203</v>
      </c>
      <c r="I230" s="47">
        <f t="shared" si="337"/>
        <v>64.095623450914729</v>
      </c>
      <c r="J230" s="47">
        <f t="shared" si="338"/>
        <v>66.788957347550621</v>
      </c>
      <c r="K230" s="47">
        <f t="shared" si="339"/>
        <v>65.442290399232675</v>
      </c>
      <c r="L230" s="47">
        <f t="shared" si="340"/>
        <v>5.8401345930942039</v>
      </c>
      <c r="M230" s="47">
        <f t="shared" si="341"/>
        <v>5.8526286398741716</v>
      </c>
      <c r="N230" s="47">
        <f t="shared" si="342"/>
        <v>5.8463816164841873</v>
      </c>
      <c r="O230" s="47">
        <f t="shared" si="343"/>
        <v>1.3622793185847502</v>
      </c>
      <c r="P230" s="47">
        <f t="shared" si="344"/>
        <v>1.2494046779967682E-2</v>
      </c>
      <c r="Q230" s="47">
        <f t="shared" si="345"/>
        <v>0.2906961909131951</v>
      </c>
      <c r="R230" s="47">
        <f t="shared" si="346"/>
        <v>2.6933338966358917</v>
      </c>
      <c r="S230" s="47">
        <f t="shared" si="347"/>
        <v>0.81746058720375581</v>
      </c>
      <c r="T230" s="47">
        <f t="shared" si="348"/>
        <v>1.3137906518874209</v>
      </c>
      <c r="U230" s="47">
        <f t="shared" si="349"/>
        <v>3.9449030679654702</v>
      </c>
      <c r="V230" s="47">
        <f t="shared" si="350"/>
        <v>2.3372601815753802</v>
      </c>
      <c r="W230" s="108">
        <f t="shared" si="351"/>
        <v>9.5024715455469977E-2</v>
      </c>
      <c r="X230" s="47">
        <f t="shared" si="352"/>
        <v>58.04228888231281</v>
      </c>
      <c r="Y230" s="47">
        <f t="shared" si="353"/>
        <v>-0.1925252407219106</v>
      </c>
      <c r="Z230" s="47">
        <f t="shared" si="354"/>
        <v>0.76905291884482785</v>
      </c>
    </row>
    <row r="231" spans="1:26">
      <c r="B231" s="47">
        <f t="shared" si="330"/>
        <v>70.985465907484013</v>
      </c>
      <c r="C231" s="47">
        <f t="shared" si="331"/>
        <v>68.297387690629947</v>
      </c>
      <c r="D231" s="47">
        <f t="shared" si="332"/>
        <v>75.726957928761763</v>
      </c>
      <c r="E231" s="47">
        <f t="shared" si="333"/>
        <v>72.012172809695855</v>
      </c>
      <c r="F231" s="47">
        <f t="shared" si="334"/>
        <v>1.5187306454716998E-4</v>
      </c>
      <c r="G231" s="47">
        <f t="shared" si="335"/>
        <v>16.863139938938129</v>
      </c>
      <c r="H231" s="47">
        <f t="shared" si="336"/>
        <v>15.910550296506981</v>
      </c>
      <c r="I231" s="47">
        <f t="shared" si="337"/>
        <v>68.29801988789697</v>
      </c>
      <c r="J231" s="47">
        <f t="shared" si="338"/>
        <v>75.72746550380927</v>
      </c>
      <c r="K231" s="47">
        <f t="shared" si="339"/>
        <v>72.01274269585312</v>
      </c>
      <c r="L231" s="47">
        <f t="shared" si="340"/>
        <v>0.24948532743246321</v>
      </c>
      <c r="M231" s="47">
        <f t="shared" si="341"/>
        <v>0.21168007523181306</v>
      </c>
      <c r="N231" s="47">
        <f t="shared" si="342"/>
        <v>0.23058270133213815</v>
      </c>
      <c r="O231" s="47">
        <f t="shared" si="343"/>
        <v>1.0790624679848271</v>
      </c>
      <c r="P231" s="47">
        <f t="shared" si="344"/>
        <v>-3.7805252200650147E-2</v>
      </c>
      <c r="Q231" s="47">
        <f t="shared" si="345"/>
        <v>0.61038637156939046</v>
      </c>
      <c r="R231" s="47">
        <f t="shared" si="346"/>
        <v>7.4294456159123001</v>
      </c>
      <c r="S231" s="47">
        <f t="shared" si="347"/>
        <v>-2.71867343533471</v>
      </c>
      <c r="T231" s="47">
        <f t="shared" si="348"/>
        <v>1.3078687819246881</v>
      </c>
      <c r="U231" s="47">
        <f t="shared" si="349"/>
        <v>4.2405734213133908</v>
      </c>
      <c r="V231" s="47">
        <f t="shared" si="350"/>
        <v>2.165593717896154</v>
      </c>
      <c r="W231" s="108">
        <f t="shared" si="351"/>
        <v>7.1669206799152288E-47</v>
      </c>
      <c r="X231" s="47">
        <f t="shared" si="352"/>
        <v>81.128325546241541</v>
      </c>
      <c r="Y231" s="47">
        <f t="shared" si="353"/>
        <v>-2.0296094372936962E-46</v>
      </c>
      <c r="Z231" s="47">
        <f t="shared" si="354"/>
        <v>2.205288573977878</v>
      </c>
    </row>
    <row r="232" spans="1:26">
      <c r="B232" s="47">
        <f t="shared" si="330"/>
        <v>26.853019293245584</v>
      </c>
      <c r="C232" s="47">
        <f t="shared" si="331"/>
        <v>57.985550121510784</v>
      </c>
      <c r="D232" s="47">
        <f t="shared" si="332"/>
        <v>67.147684341025737</v>
      </c>
      <c r="E232" s="47">
        <f t="shared" si="333"/>
        <v>62.56661723126826</v>
      </c>
      <c r="F232" s="47">
        <f t="shared" si="334"/>
        <v>4.0606171471535557E-4</v>
      </c>
      <c r="G232" s="47">
        <f t="shared" si="335"/>
        <v>26.877794299511244</v>
      </c>
      <c r="H232" s="47">
        <f t="shared" si="336"/>
        <v>33.754178204778285</v>
      </c>
      <c r="I232" s="47">
        <f t="shared" si="337"/>
        <v>57.99060576125251</v>
      </c>
      <c r="J232" s="47">
        <f t="shared" si="338"/>
        <v>67.154569743845059</v>
      </c>
      <c r="K232" s="47">
        <f t="shared" si="339"/>
        <v>62.572587752548785</v>
      </c>
      <c r="L232" s="47">
        <f t="shared" si="340"/>
        <v>2.6596681806529872</v>
      </c>
      <c r="M232" s="47">
        <f t="shared" si="341"/>
        <v>2.6149495757665715</v>
      </c>
      <c r="N232" s="47">
        <f t="shared" si="342"/>
        <v>2.6373088782097796</v>
      </c>
      <c r="O232" s="47">
        <f t="shared" si="343"/>
        <v>1.3638797057352436</v>
      </c>
      <c r="P232" s="47">
        <f t="shared" si="344"/>
        <v>-4.4718604886415658E-2</v>
      </c>
      <c r="Q232" s="47">
        <f t="shared" si="345"/>
        <v>-3.7255265903037653</v>
      </c>
      <c r="R232" s="47">
        <f t="shared" si="346"/>
        <v>9.1639639825925485</v>
      </c>
      <c r="S232" s="47">
        <f t="shared" si="347"/>
        <v>-2.7904141589843277</v>
      </c>
      <c r="T232" s="47">
        <f t="shared" si="348"/>
        <v>1.3409003444569672</v>
      </c>
      <c r="U232" s="47">
        <f t="shared" si="349"/>
        <v>3.8157664488646952</v>
      </c>
      <c r="V232" s="47">
        <f t="shared" si="350"/>
        <v>2.2801222385655842</v>
      </c>
      <c r="W232" s="108">
        <f t="shared" si="351"/>
        <v>6.4737527700524611E-10</v>
      </c>
      <c r="X232" s="47">
        <f t="shared" si="352"/>
        <v>49.611714081297912</v>
      </c>
      <c r="Y232" s="47">
        <f t="shared" si="353"/>
        <v>-1.1211086547396376E-9</v>
      </c>
      <c r="Z232" s="47">
        <f t="shared" si="354"/>
        <v>3.8710169560110588</v>
      </c>
    </row>
    <row r="233" spans="1:26">
      <c r="B233" s="47">
        <f t="shared" si="330"/>
        <v>53.942432006468245</v>
      </c>
      <c r="C233" s="47">
        <f t="shared" si="331"/>
        <v>53.809239153768637</v>
      </c>
      <c r="D233" s="47">
        <f t="shared" si="332"/>
        <v>61.364075692682817</v>
      </c>
      <c r="E233" s="47">
        <f t="shared" si="333"/>
        <v>57.586657423225731</v>
      </c>
      <c r="F233" s="47">
        <f t="shared" si="334"/>
        <v>7.2497264214022028E-4</v>
      </c>
      <c r="G233" s="47">
        <f t="shared" si="335"/>
        <v>-41.261353735446875</v>
      </c>
      <c r="H233" s="47">
        <f t="shared" si="336"/>
        <v>-47.051543149127362</v>
      </c>
      <c r="I233" s="47">
        <f t="shared" si="337"/>
        <v>53.832147155050492</v>
      </c>
      <c r="J233" s="47">
        <f t="shared" si="338"/>
        <v>61.390196744610414</v>
      </c>
      <c r="K233" s="47">
        <f t="shared" si="339"/>
        <v>57.61117194983045</v>
      </c>
      <c r="L233" s="47">
        <f t="shared" si="340"/>
        <v>5.4098402100599161</v>
      </c>
      <c r="M233" s="47">
        <f t="shared" si="341"/>
        <v>5.4099141884985675</v>
      </c>
      <c r="N233" s="47">
        <f t="shared" si="342"/>
        <v>5.4098771992792418</v>
      </c>
      <c r="O233" s="47">
        <f t="shared" si="343"/>
        <v>0.69322262352771091</v>
      </c>
      <c r="P233" s="47">
        <f t="shared" si="344"/>
        <v>7.3978438651423062E-5</v>
      </c>
      <c r="Q233" s="47">
        <f t="shared" si="345"/>
        <v>-0.51322732963122064</v>
      </c>
      <c r="R233" s="47">
        <f t="shared" si="346"/>
        <v>7.5580495895599213</v>
      </c>
      <c r="S233" s="47">
        <f t="shared" si="347"/>
        <v>4.2528055384189823E-3</v>
      </c>
      <c r="T233" s="47">
        <f t="shared" si="348"/>
        <v>1.0391060585897283</v>
      </c>
      <c r="U233" s="47">
        <f t="shared" si="349"/>
        <v>3.5925027377423699</v>
      </c>
      <c r="V233" s="47">
        <f t="shared" si="350"/>
        <v>1.599060516453513</v>
      </c>
      <c r="W233" s="108">
        <f t="shared" si="351"/>
        <v>4.243228898374384</v>
      </c>
      <c r="X233" s="47">
        <f t="shared" si="352"/>
        <v>37.154663461363995</v>
      </c>
      <c r="Y233" s="47">
        <f t="shared" si="353"/>
        <v>-5.4831235044100515</v>
      </c>
      <c r="Z233" s="47">
        <f t="shared" si="354"/>
        <v>2.1539308078177584</v>
      </c>
    </row>
    <row r="234" spans="1:26">
      <c r="B234" s="47">
        <f t="shared" si="330"/>
        <v>38.823362671318563</v>
      </c>
      <c r="C234" s="47">
        <f t="shared" si="331"/>
        <v>58.67507397906504</v>
      </c>
      <c r="D234" s="47">
        <f t="shared" si="332"/>
        <v>63.676990866442388</v>
      </c>
      <c r="E234" s="47">
        <f t="shared" si="333"/>
        <v>61.176032422753714</v>
      </c>
      <c r="F234" s="47">
        <f t="shared" si="334"/>
        <v>4.7515084760352266E-4</v>
      </c>
      <c r="G234" s="47">
        <f t="shared" si="335"/>
        <v>52.321495551480069</v>
      </c>
      <c r="H234" s="47">
        <f t="shared" si="336"/>
        <v>55.693781467891164</v>
      </c>
      <c r="I234" s="47">
        <f t="shared" si="337"/>
        <v>58.697222603188457</v>
      </c>
      <c r="J234" s="47">
        <f t="shared" si="338"/>
        <v>63.700115459073231</v>
      </c>
      <c r="K234" s="47">
        <f t="shared" si="339"/>
        <v>61.198669031130848</v>
      </c>
      <c r="L234" s="47">
        <f t="shared" si="340"/>
        <v>1.10037943969583</v>
      </c>
      <c r="M234" s="47">
        <f t="shared" si="341"/>
        <v>1.0640167077438865</v>
      </c>
      <c r="N234" s="47">
        <f t="shared" si="342"/>
        <v>1.0821980737198582</v>
      </c>
      <c r="O234" s="47">
        <f t="shared" si="343"/>
        <v>0.60784051647334403</v>
      </c>
      <c r="P234" s="47">
        <f t="shared" si="344"/>
        <v>-3.6362731951943505E-2</v>
      </c>
      <c r="Q234" s="47">
        <f t="shared" si="345"/>
        <v>-2.2541022323494957</v>
      </c>
      <c r="R234" s="47">
        <f t="shared" si="346"/>
        <v>5.0028928558847738</v>
      </c>
      <c r="S234" s="47">
        <f t="shared" si="347"/>
        <v>-2.2233685757048098</v>
      </c>
      <c r="T234" s="47">
        <f t="shared" si="348"/>
        <v>1.1556515953772841</v>
      </c>
      <c r="U234" s="47">
        <f t="shared" si="349"/>
        <v>3.7539401064008882</v>
      </c>
      <c r="V234" s="47">
        <f t="shared" si="350"/>
        <v>1.5579854588704571</v>
      </c>
      <c r="W234" s="108">
        <f t="shared" si="351"/>
        <v>8.9764433482461439E-31</v>
      </c>
      <c r="X234" s="47">
        <f t="shared" si="352"/>
        <v>45.902543601869915</v>
      </c>
      <c r="Y234" s="47">
        <f t="shared" si="353"/>
        <v>-1.4382964528425779E-30</v>
      </c>
      <c r="Z234" s="47">
        <f t="shared" si="354"/>
        <v>2.7599129073070667</v>
      </c>
    </row>
    <row r="235" spans="1:26">
      <c r="B235" s="47">
        <f t="shared" si="330"/>
        <v>82.624202308089423</v>
      </c>
      <c r="C235" s="47">
        <f t="shared" si="331"/>
        <v>78.773166000512816</v>
      </c>
      <c r="D235" s="47">
        <f t="shared" si="332"/>
        <v>83.91718535810557</v>
      </c>
      <c r="E235" s="47">
        <f t="shared" si="333"/>
        <v>81.345175679309193</v>
      </c>
      <c r="F235" s="47">
        <f t="shared" si="334"/>
        <v>6.4731119182093177E-5</v>
      </c>
      <c r="G235" s="47">
        <f t="shared" si="335"/>
        <v>-1.0971667211788694</v>
      </c>
      <c r="H235" s="47">
        <f t="shared" si="336"/>
        <v>-2.1911527181018924</v>
      </c>
      <c r="I235" s="47">
        <f t="shared" si="337"/>
        <v>78.773166989607574</v>
      </c>
      <c r="J235" s="47">
        <f t="shared" si="338"/>
        <v>83.91718906120461</v>
      </c>
      <c r="K235" s="47">
        <f t="shared" si="339"/>
        <v>81.345178025406085</v>
      </c>
      <c r="L235" s="47">
        <f t="shared" si="340"/>
        <v>6.2692566784320727</v>
      </c>
      <c r="M235" s="47">
        <f t="shared" si="341"/>
        <v>6.2570714466076289</v>
      </c>
      <c r="N235" s="47">
        <f t="shared" si="342"/>
        <v>6.2631640625198504</v>
      </c>
      <c r="O235" s="47">
        <f t="shared" si="343"/>
        <v>1.3377443984470136</v>
      </c>
      <c r="P235" s="47">
        <f t="shared" si="344"/>
        <v>-1.2185231824443754E-2</v>
      </c>
      <c r="Q235" s="47">
        <f t="shared" si="345"/>
        <v>2.4179052033091892</v>
      </c>
      <c r="R235" s="47">
        <f t="shared" si="346"/>
        <v>5.1440220715970355</v>
      </c>
      <c r="S235" s="47">
        <f t="shared" si="347"/>
        <v>-0.9907081286247118</v>
      </c>
      <c r="T235" s="47">
        <f t="shared" si="348"/>
        <v>1.4848290209547075</v>
      </c>
      <c r="U235" s="47">
        <f t="shared" si="349"/>
        <v>4.6605330111432739</v>
      </c>
      <c r="V235" s="47">
        <f t="shared" si="350"/>
        <v>2.632285843662431</v>
      </c>
      <c r="W235" s="108">
        <f t="shared" si="351"/>
        <v>3.9018563171135503E-4</v>
      </c>
      <c r="X235" s="47">
        <f t="shared" si="352"/>
        <v>124.2799525393584</v>
      </c>
      <c r="Y235" s="47">
        <f t="shared" si="353"/>
        <v>-1.6926989108527724E-3</v>
      </c>
      <c r="Z235" s="47">
        <f t="shared" si="354"/>
        <v>2.003074694958487</v>
      </c>
    </row>
    <row r="236" spans="1:26">
      <c r="B236" s="47">
        <f>(K182+K210)/2</f>
        <v>48.620376911255626</v>
      </c>
      <c r="C236" s="47">
        <f>SQRT(L182^2+M182^2)</f>
        <v>52.481944298062722</v>
      </c>
      <c r="D236" s="47">
        <f>SQRT(L210^2+M210^2)</f>
        <v>57.757796944762511</v>
      </c>
      <c r="E236" s="47">
        <f>(C236+D236)/2</f>
        <v>55.119870621412616</v>
      </c>
      <c r="F236" s="47">
        <f>(1-SQRT(E236^7/(E236^7+25^7)))/2</f>
        <v>9.84190080169145E-4</v>
      </c>
      <c r="G236" s="47">
        <f>L182*(1+F236)</f>
        <v>50.441481059212904</v>
      </c>
      <c r="H236" s="47">
        <f>L210*(1+F236)</f>
        <v>55.25243270942407</v>
      </c>
      <c r="I236" s="47">
        <f>SQRT(G236^2+M182^2)</f>
        <v>52.529566224349644</v>
      </c>
      <c r="J236" s="47">
        <f>SQRT(H236^2+M210^2)</f>
        <v>57.809717011503132</v>
      </c>
      <c r="K236" s="47">
        <f>(I236+J236)/2</f>
        <v>55.169641617926388</v>
      </c>
      <c r="L236" s="47">
        <f>IF(ATAN2(M182,G236)&lt;0,ATAN2(M182,G236)+PI()*2,ATAN2(M182,G236))</f>
        <v>1.8536985885514643</v>
      </c>
      <c r="M236" s="47">
        <f>IF(ATAN2(M210,H236)&lt;0,ATAN2(M210,H236)+PI()*2,ATAN2(M210,H236))</f>
        <v>1.8693470926895877</v>
      </c>
      <c r="N236" s="47">
        <f>IF(ABS(L236-M236)&gt;PI(),(L236+M236+2*PI())/2,(L236+M236)/2)</f>
        <v>1.861522840620526</v>
      </c>
      <c r="O236" s="47">
        <f>1-0.17*COS(N236-PI()/180*30)+0.24*COS(2*N236)+0.32*COS(3*N236+PI()/180*6)-0.2*COS(4*N236-PI()/180*63)</f>
        <v>0.8258152025359129</v>
      </c>
      <c r="P236" s="47">
        <f>IF(ABS(M236-L236)&gt;PI(),IF(M236&gt;L236,M236-L236-2*PI(),M236-L236+2*PI()),M236-L236)</f>
        <v>1.5648504138123354E-2</v>
      </c>
      <c r="Q236" s="47">
        <f>K210-K182</f>
        <v>-1.7940111577861302</v>
      </c>
      <c r="R236" s="47">
        <f>J236-I236</f>
        <v>5.2801507871534881</v>
      </c>
      <c r="S236" s="47">
        <f>2*SQRT(I236*J236)*SIN(P236/2)</f>
        <v>0.86232450316543818</v>
      </c>
      <c r="T236" s="47">
        <f>1+(0.015*(B236-50)^2)/SQRT(20+(B236-50)^2)</f>
        <v>1.0061003787219271</v>
      </c>
      <c r="U236" s="47">
        <f>1+0.045*K236</f>
        <v>3.4826338728066872</v>
      </c>
      <c r="V236" s="47">
        <f>1+0.015*K236*O236</f>
        <v>1.6833989314981239</v>
      </c>
      <c r="W236" s="108">
        <f>30*EXP((-1*((N236*180/PI()-275)/25)^2))</f>
        <v>6.095469515061237E-19</v>
      </c>
      <c r="X236" s="47">
        <f>2*SQRT(K236^7/(K236^2+25^7))</f>
        <v>31.929375679434262</v>
      </c>
      <c r="Y236" s="47">
        <f>-1*X236*SIN(2*W236*PI()/180)</f>
        <v>-6.7936779198366836E-19</v>
      </c>
      <c r="Z236" s="47">
        <f>SQRT(Q236^2/T236^2+R236^2/U236^2+S236^2/V236^2+Y236*(R236/U236)*(S236/V236))</f>
        <v>2.3959630149100302</v>
      </c>
    </row>
    <row r="237" spans="1:26">
      <c r="B237" s="47">
        <f t="shared" ref="B237" si="355">(K183+K211)/2</f>
        <v>49.435419621270412</v>
      </c>
      <c r="C237" s="47">
        <f t="shared" ref="C237" si="356">SQRT(L183^2+M183^2)</f>
        <v>31.060614543853447</v>
      </c>
      <c r="D237" s="47">
        <f t="shared" ref="D237" si="357">SQRT(L211^2+M211^2)</f>
        <v>33.060274661127309</v>
      </c>
      <c r="E237" s="47">
        <f t="shared" ref="E237" si="358">(C237+D237)/2</f>
        <v>32.060444602490378</v>
      </c>
      <c r="F237" s="47">
        <f t="shared" si="334"/>
        <v>3.8794169360858333E-2</v>
      </c>
      <c r="G237" s="47">
        <f t="shared" ref="G237" si="359">L183*(1+F237)</f>
        <v>-19.530935421295965</v>
      </c>
      <c r="H237" s="47">
        <f t="shared" ref="H237" si="360">L211*(1+F237)</f>
        <v>-16.382022479578701</v>
      </c>
      <c r="I237" s="47">
        <f t="shared" ref="I237" si="361">SQRT(G237^2+M183^2)</f>
        <v>31.507477148356074</v>
      </c>
      <c r="J237" s="47">
        <f t="shared" ref="J237" si="362">SQRT(H237^2+M211^2)</f>
        <v>33.356442884903075</v>
      </c>
      <c r="K237" s="47">
        <f t="shared" ref="K237" si="363">(I237+J237)/2</f>
        <v>32.431960016629574</v>
      </c>
      <c r="L237" s="47">
        <f t="shared" ref="L237" si="364">IF(ATAN2(M183,G237)&lt;0,ATAN2(M183,G237)+PI()*2,ATAN2(M183,G237))</f>
        <v>3.81018567764175</v>
      </c>
      <c r="M237" s="47">
        <f t="shared" ref="M237" si="365">IF(ATAN2(M211,H237)&lt;0,ATAN2(M211,H237)+PI()*2,ATAN2(M211,H237))</f>
        <v>3.6549678988950833</v>
      </c>
      <c r="N237" s="47">
        <f t="shared" ref="N237" si="366">IF(ABS(L237-M237)&gt;PI(),(L237+M237+2*PI())/2,(L237+M237)/2)</f>
        <v>3.7325767882684167</v>
      </c>
      <c r="O237" s="47">
        <f t="shared" si="343"/>
        <v>1.2969364631936711</v>
      </c>
      <c r="P237" s="47">
        <f t="shared" ref="P237" si="367">IF(ABS(M237-L237)&gt;PI(),IF(M237&gt;L237,M237-L237-2*PI(),M237-L237+2*PI()),M237-L237)</f>
        <v>-0.15521777874666665</v>
      </c>
      <c r="Q237" s="47">
        <f t="shared" ref="Q237" si="368">K211-K183</f>
        <v>-2.0661933545991076</v>
      </c>
      <c r="R237" s="47">
        <f t="shared" ref="R237" si="369">J237-I237</f>
        <v>1.8489657365470009</v>
      </c>
      <c r="S237" s="47">
        <f t="shared" ref="S237" si="370">2*SQRT(I237*J237)*SIN(P237/2)</f>
        <v>-5.0269213209713577</v>
      </c>
      <c r="T237" s="47">
        <f t="shared" ref="T237" si="371">1+(0.015*(B237-50)^2)/SQRT(20+(B237-50)^2)</f>
        <v>1.0010607042680169</v>
      </c>
      <c r="U237" s="47">
        <f t="shared" ref="U237" si="372">1+0.045*K237</f>
        <v>2.4594382007483309</v>
      </c>
      <c r="V237" s="47">
        <f t="shared" ref="V237" si="373">1+0.015*K237*O237</f>
        <v>1.6309328727760917</v>
      </c>
      <c r="W237" s="108">
        <f t="shared" ref="W237" si="374">30*EXP((-1*((N237*180/PI()-275)/25)^2))</f>
        <v>7.5805339511978015E-2</v>
      </c>
      <c r="X237" s="47">
        <f t="shared" ref="X237" si="375">2*SQRT(K237^7/(K237^2+25^7))</f>
        <v>4.9733166741824366</v>
      </c>
      <c r="Y237" s="47">
        <f t="shared" ref="Y237" si="376">-1*X237*SIN(2*W237*PI()/180)</f>
        <v>-1.3159905397406137E-2</v>
      </c>
      <c r="Z237" s="47">
        <f t="shared" ref="Z237" si="377">SQRT(Q237^2/T237^2+R237^2/U237^2+S237^2/V237^2+Y237*(R237/U237)*(S237/V237))</f>
        <v>3.7889271704251466</v>
      </c>
    </row>
    <row r="260" spans="1:8">
      <c r="A260" t="s">
        <v>79</v>
      </c>
    </row>
    <row r="262" spans="1:8" ht="30">
      <c r="A262" s="55" t="s">
        <v>80</v>
      </c>
      <c r="B262" s="55" t="s">
        <v>103</v>
      </c>
      <c r="C262" s="55" t="s">
        <v>102</v>
      </c>
      <c r="D262" s="55" t="s">
        <v>100</v>
      </c>
      <c r="E262" s="55" t="s">
        <v>99</v>
      </c>
      <c r="F262" s="55" t="s">
        <v>101</v>
      </c>
      <c r="G262" s="55" t="s">
        <v>76</v>
      </c>
      <c r="H262" s="55" t="s">
        <v>104</v>
      </c>
    </row>
    <row r="263" spans="1:8">
      <c r="A263">
        <v>1E-3</v>
      </c>
      <c r="B263">
        <f>SMALL('Gamma Target'!$K$14:$K$36,COUNTIF('Gamma Target'!$K$14:$K$36,"&lt;"&amp;A263)+1)</f>
        <v>7.5640049720083636E-3</v>
      </c>
      <c r="C263" t="e">
        <f>LARGE('Gamma Target'!$K$14:$K$36,COUNTIF('Gamma Target'!$K$14:$K$36,"&gt;"&amp;A263)+1)</f>
        <v>#NUM!</v>
      </c>
      <c r="D263">
        <f>INDEX('Gamma Target'!$L$14:$L$36,MATCH(B263,'Gamma Target'!$K$14:$K$36))</f>
        <v>2.1254535444338782</v>
      </c>
      <c r="E263" t="e">
        <f>INDEX('Gamma Target'!$L$14:$L$36,MATCH(C263,'Gamma Target'!$K$14:$K$36))</f>
        <v>#NUM!</v>
      </c>
      <c r="F263" t="e">
        <f t="shared" ref="F263:F294" si="378">(A263-C263)/(B263-C263)</f>
        <v>#NUM!</v>
      </c>
      <c r="G263">
        <f t="shared" ref="G263:G300" si="379">IFERROR(F263*(D263-E263)+E263,2)</f>
        <v>2</v>
      </c>
      <c r="H263">
        <f t="shared" ref="H263:H294" si="380">A263^(1/G263)</f>
        <v>3.1622776601683791E-2</v>
      </c>
    </row>
    <row r="264" spans="1:8">
      <c r="A264">
        <v>2E-3</v>
      </c>
      <c r="B264">
        <f>SMALL('Gamma Target'!$K$14:$K$36,COUNTIF('Gamma Target'!$K$14:$K$36,"&lt;"&amp;A264)+1)</f>
        <v>7.5640049720083636E-3</v>
      </c>
      <c r="C264" t="e">
        <f>LARGE('Gamma Target'!$K$14:$K$36,COUNTIF('Gamma Target'!$K$14:$K$36,"&gt;"&amp;A264)+1)</f>
        <v>#NUM!</v>
      </c>
      <c r="D264">
        <f>INDEX('Gamma Target'!$L$14:$L$36,MATCH(B264,'Gamma Target'!$K$14:$K$36))</f>
        <v>2.1254535444338782</v>
      </c>
      <c r="E264" t="e">
        <f>INDEX('Gamma Target'!$L$14:$L$36,MATCH(C264,'Gamma Target'!$K$14:$K$36))</f>
        <v>#NUM!</v>
      </c>
      <c r="F264" t="e">
        <f t="shared" si="378"/>
        <v>#NUM!</v>
      </c>
      <c r="G264">
        <f t="shared" si="379"/>
        <v>2</v>
      </c>
      <c r="H264">
        <f t="shared" si="380"/>
        <v>4.4721359549995794E-2</v>
      </c>
    </row>
    <row r="265" spans="1:8">
      <c r="A265">
        <v>3.0000000000000001E-3</v>
      </c>
      <c r="B265">
        <f>SMALL('Gamma Target'!$K$14:$K$36,COUNTIF('Gamma Target'!$K$14:$K$36,"&lt;"&amp;A265)+1)</f>
        <v>7.5640049720083636E-3</v>
      </c>
      <c r="C265" t="e">
        <f>LARGE('Gamma Target'!$K$14:$K$36,COUNTIF('Gamma Target'!$K$14:$K$36,"&gt;"&amp;A265)+1)</f>
        <v>#NUM!</v>
      </c>
      <c r="D265">
        <f>INDEX('Gamma Target'!$L$14:$L$36,MATCH(B265,'Gamma Target'!$K$14:$K$36))</f>
        <v>2.1254535444338782</v>
      </c>
      <c r="E265" t="e">
        <f>INDEX('Gamma Target'!$L$14:$L$36,MATCH(C265,'Gamma Target'!$K$14:$K$36))</f>
        <v>#NUM!</v>
      </c>
      <c r="F265" t="e">
        <f t="shared" si="378"/>
        <v>#NUM!</v>
      </c>
      <c r="G265">
        <f t="shared" si="379"/>
        <v>2</v>
      </c>
      <c r="H265">
        <f t="shared" si="380"/>
        <v>5.4772255750516613E-2</v>
      </c>
    </row>
    <row r="266" spans="1:8">
      <c r="A266">
        <v>4.0000000000000001E-3</v>
      </c>
      <c r="B266">
        <f>SMALL('Gamma Target'!$K$14:$K$36,COUNTIF('Gamma Target'!$K$14:$K$36,"&lt;"&amp;A266)+1)</f>
        <v>7.5640049720083636E-3</v>
      </c>
      <c r="C266" t="e">
        <f>LARGE('Gamma Target'!$K$14:$K$36,COUNTIF('Gamma Target'!$K$14:$K$36,"&gt;"&amp;A266)+1)</f>
        <v>#NUM!</v>
      </c>
      <c r="D266">
        <f>INDEX('Gamma Target'!$L$14:$L$36,MATCH(B266,'Gamma Target'!$K$14:$K$36))</f>
        <v>2.1254535444338782</v>
      </c>
      <c r="E266" t="e">
        <f>INDEX('Gamma Target'!$L$14:$L$36,MATCH(C266,'Gamma Target'!$K$14:$K$36))</f>
        <v>#NUM!</v>
      </c>
      <c r="F266" t="e">
        <f t="shared" si="378"/>
        <v>#NUM!</v>
      </c>
      <c r="G266">
        <f t="shared" si="379"/>
        <v>2</v>
      </c>
      <c r="H266">
        <f t="shared" si="380"/>
        <v>6.3245553203367583E-2</v>
      </c>
    </row>
    <row r="267" spans="1:8">
      <c r="A267">
        <v>5.0000000000000001E-3</v>
      </c>
      <c r="B267">
        <f>SMALL('Gamma Target'!$K$14:$K$36,COUNTIF('Gamma Target'!$K$14:$K$36,"&lt;"&amp;A267)+1)</f>
        <v>7.5640049720083636E-3</v>
      </c>
      <c r="C267" t="e">
        <f>LARGE('Gamma Target'!$K$14:$K$36,COUNTIF('Gamma Target'!$K$14:$K$36,"&gt;"&amp;A267)+1)</f>
        <v>#NUM!</v>
      </c>
      <c r="D267">
        <f>INDEX('Gamma Target'!$L$14:$L$36,MATCH(B267,'Gamma Target'!$K$14:$K$36))</f>
        <v>2.1254535444338782</v>
      </c>
      <c r="E267" t="e">
        <f>INDEX('Gamma Target'!$L$14:$L$36,MATCH(C267,'Gamma Target'!$K$14:$K$36))</f>
        <v>#NUM!</v>
      </c>
      <c r="F267" t="e">
        <f t="shared" si="378"/>
        <v>#NUM!</v>
      </c>
      <c r="G267">
        <f t="shared" si="379"/>
        <v>2</v>
      </c>
      <c r="H267">
        <f t="shared" si="380"/>
        <v>7.0710678118654752E-2</v>
      </c>
    </row>
    <row r="268" spans="1:8">
      <c r="A268">
        <v>0.01</v>
      </c>
      <c r="B268">
        <f>SMALL('Gamma Target'!$K$14:$K$36,COUNTIF('Gamma Target'!$K$14:$K$36,"&lt;"&amp;A268)+1)</f>
        <v>2.8301583783801144E-2</v>
      </c>
      <c r="C268">
        <f>LARGE('Gamma Target'!$K$14:$K$36,COUNTIF('Gamma Target'!$K$14:$K$36,"&gt;"&amp;A268)+1)</f>
        <v>7.5640049720083636E-3</v>
      </c>
      <c r="D268">
        <f>INDEX('Gamma Target'!$L$14:$L$36,MATCH(B268,'Gamma Target'!$K$14:$K$36))</f>
        <v>2.2212457356948403</v>
      </c>
      <c r="E268">
        <f>INDEX('Gamma Target'!$L$14:$L$36,MATCH(C268,'Gamma Target'!$K$14:$K$36))</f>
        <v>2.1254535444338782</v>
      </c>
      <c r="F268">
        <f t="shared" si="378"/>
        <v>0.11746766824130725</v>
      </c>
      <c r="G268">
        <f t="shared" si="379"/>
        <v>2.1367060297770286</v>
      </c>
      <c r="H268">
        <f t="shared" si="380"/>
        <v>0.11587234667618565</v>
      </c>
    </row>
    <row r="269" spans="1:8">
      <c r="A269">
        <v>1.4999999999999999E-2</v>
      </c>
      <c r="B269">
        <f>SMALL('Gamma Target'!$K$14:$K$36,COUNTIF('Gamma Target'!$K$14:$K$36,"&lt;"&amp;A269)+1)</f>
        <v>2.8301583783801144E-2</v>
      </c>
      <c r="C269">
        <f>LARGE('Gamma Target'!$K$14:$K$36,COUNTIF('Gamma Target'!$K$14:$K$36,"&gt;"&amp;A269)+1)</f>
        <v>7.5640049720083636E-3</v>
      </c>
      <c r="D269">
        <f>INDEX('Gamma Target'!$L$14:$L$36,MATCH(B269,'Gamma Target'!$K$14:$K$36))</f>
        <v>2.2212457356948403</v>
      </c>
      <c r="E269">
        <f>INDEX('Gamma Target'!$L$14:$L$36,MATCH(C269,'Gamma Target'!$K$14:$K$36))</f>
        <v>2.1254535444338782</v>
      </c>
      <c r="F269">
        <f t="shared" si="378"/>
        <v>0.35857585379075352</v>
      </c>
      <c r="G269">
        <f t="shared" si="379"/>
        <v>2.1598023112017648</v>
      </c>
      <c r="H269">
        <f t="shared" si="380"/>
        <v>0.14306075614411748</v>
      </c>
    </row>
    <row r="270" spans="1:8">
      <c r="A270">
        <v>0.02</v>
      </c>
      <c r="B270">
        <f>SMALL('Gamma Target'!$K$14:$K$36,COUNTIF('Gamma Target'!$K$14:$K$36,"&lt;"&amp;A270)+1)</f>
        <v>2.8301583783801144E-2</v>
      </c>
      <c r="C270">
        <f>LARGE('Gamma Target'!$K$14:$K$36,COUNTIF('Gamma Target'!$K$14:$K$36,"&gt;"&amp;A270)+1)</f>
        <v>7.5640049720083636E-3</v>
      </c>
      <c r="D270">
        <f>INDEX('Gamma Target'!$L$14:$L$36,MATCH(B270,'Gamma Target'!$K$14:$K$36))</f>
        <v>2.2212457356948403</v>
      </c>
      <c r="E270">
        <f>INDEX('Gamma Target'!$L$14:$L$36,MATCH(C270,'Gamma Target'!$K$14:$K$36))</f>
        <v>2.1254535444338782</v>
      </c>
      <c r="F270">
        <f t="shared" si="378"/>
        <v>0.59968403934019987</v>
      </c>
      <c r="G270">
        <f t="shared" si="379"/>
        <v>2.182898592626501</v>
      </c>
      <c r="H270">
        <f t="shared" si="380"/>
        <v>0.16660607159205917</v>
      </c>
    </row>
    <row r="271" spans="1:8">
      <c r="A271">
        <v>2.5000000000000001E-2</v>
      </c>
      <c r="B271">
        <f>SMALL('Gamma Target'!$K$14:$K$36,COUNTIF('Gamma Target'!$K$14:$K$36,"&lt;"&amp;A271)+1)</f>
        <v>2.8301583783801144E-2</v>
      </c>
      <c r="C271">
        <f>LARGE('Gamma Target'!$K$14:$K$36,COUNTIF('Gamma Target'!$K$14:$K$36,"&gt;"&amp;A271)+1)</f>
        <v>7.5640049720083636E-3</v>
      </c>
      <c r="D271">
        <f>INDEX('Gamma Target'!$L$14:$L$36,MATCH(B271,'Gamma Target'!$K$14:$K$36))</f>
        <v>2.2212457356948403</v>
      </c>
      <c r="E271">
        <f>INDEX('Gamma Target'!$L$14:$L$36,MATCH(C271,'Gamma Target'!$K$14:$K$36))</f>
        <v>2.1254535444338782</v>
      </c>
      <c r="F271">
        <f t="shared" si="378"/>
        <v>0.84079222488964633</v>
      </c>
      <c r="G271">
        <f t="shared" si="379"/>
        <v>2.2059948740512372</v>
      </c>
      <c r="H271">
        <f t="shared" si="380"/>
        <v>0.1878321149596914</v>
      </c>
    </row>
    <row r="272" spans="1:8">
      <c r="A272">
        <v>0.03</v>
      </c>
      <c r="B272">
        <f>SMALL('Gamma Target'!$K$14:$K$36,COUNTIF('Gamma Target'!$K$14:$K$36,"&lt;"&amp;A272)+1)</f>
        <v>6.3965626334942488E-2</v>
      </c>
      <c r="C272">
        <f>LARGE('Gamma Target'!$K$14:$K$36,COUNTIF('Gamma Target'!$K$14:$K$36,"&gt;"&amp;A272)+1)</f>
        <v>2.8301583783801144E-2</v>
      </c>
      <c r="D272">
        <f>INDEX('Gamma Target'!$L$14:$L$36,MATCH(B272,'Gamma Target'!$K$14:$K$36))</f>
        <v>2.292288217034907</v>
      </c>
      <c r="E272">
        <f>INDEX('Gamma Target'!$L$14:$L$36,MATCH(C272,'Gamma Target'!$K$14:$K$36))</f>
        <v>2.2212457356948403</v>
      </c>
      <c r="F272">
        <f t="shared" si="378"/>
        <v>4.7622650005628743E-2</v>
      </c>
      <c r="G272">
        <f t="shared" si="379"/>
        <v>2.2246289669192296</v>
      </c>
      <c r="H272">
        <f t="shared" si="380"/>
        <v>0.20675021063787197</v>
      </c>
    </row>
    <row r="273" spans="1:8">
      <c r="A273">
        <v>3.5000000000000003E-2</v>
      </c>
      <c r="B273">
        <f>SMALL('Gamma Target'!$K$14:$K$36,COUNTIF('Gamma Target'!$K$14:$K$36,"&lt;"&amp;A273)+1)</f>
        <v>6.3965626334942488E-2</v>
      </c>
      <c r="C273">
        <f>LARGE('Gamma Target'!$K$14:$K$36,COUNTIF('Gamma Target'!$K$14:$K$36,"&gt;"&amp;A273)+1)</f>
        <v>2.8301583783801144E-2</v>
      </c>
      <c r="D273">
        <f>INDEX('Gamma Target'!$L$14:$L$36,MATCH(B273,'Gamma Target'!$K$14:$K$36))</f>
        <v>2.292288217034907</v>
      </c>
      <c r="E273">
        <f>INDEX('Gamma Target'!$L$14:$L$36,MATCH(C273,'Gamma Target'!$K$14:$K$36))</f>
        <v>2.2212457356948403</v>
      </c>
      <c r="F273">
        <f t="shared" si="378"/>
        <v>0.18781988067094463</v>
      </c>
      <c r="G273">
        <f t="shared" si="379"/>
        <v>2.2345889260626994</v>
      </c>
      <c r="H273">
        <f t="shared" si="380"/>
        <v>0.22307786049968117</v>
      </c>
    </row>
    <row r="274" spans="1:8">
      <c r="A274">
        <v>0.04</v>
      </c>
      <c r="B274">
        <f>SMALL('Gamma Target'!$K$14:$K$36,COUNTIF('Gamma Target'!$K$14:$K$36,"&lt;"&amp;A274)+1)</f>
        <v>6.3965626334942488E-2</v>
      </c>
      <c r="C274">
        <f>LARGE('Gamma Target'!$K$14:$K$36,COUNTIF('Gamma Target'!$K$14:$K$36,"&gt;"&amp;A274)+1)</f>
        <v>2.8301583783801144E-2</v>
      </c>
      <c r="D274">
        <f>INDEX('Gamma Target'!$L$14:$L$36,MATCH(B274,'Gamma Target'!$K$14:$K$36))</f>
        <v>2.292288217034907</v>
      </c>
      <c r="E274">
        <f>INDEX('Gamma Target'!$L$14:$L$36,MATCH(C274,'Gamma Target'!$K$14:$K$36))</f>
        <v>2.2212457356948403</v>
      </c>
      <c r="F274">
        <f t="shared" si="378"/>
        <v>0.32801711133626033</v>
      </c>
      <c r="G274">
        <f t="shared" si="379"/>
        <v>2.2445488852061692</v>
      </c>
      <c r="H274">
        <f t="shared" si="380"/>
        <v>0.23833313362284192</v>
      </c>
    </row>
    <row r="275" spans="1:8">
      <c r="A275">
        <v>4.4999999999999998E-2</v>
      </c>
      <c r="B275">
        <f>SMALL('Gamma Target'!$K$14:$K$36,COUNTIF('Gamma Target'!$K$14:$K$36,"&lt;"&amp;A275)+1)</f>
        <v>6.3965626334942488E-2</v>
      </c>
      <c r="C275">
        <f>LARGE('Gamma Target'!$K$14:$K$36,COUNTIF('Gamma Target'!$K$14:$K$36,"&gt;"&amp;A275)+1)</f>
        <v>2.8301583783801144E-2</v>
      </c>
      <c r="D275">
        <f>INDEX('Gamma Target'!$L$14:$L$36,MATCH(B275,'Gamma Target'!$K$14:$K$36))</f>
        <v>2.292288217034907</v>
      </c>
      <c r="E275">
        <f>INDEX('Gamma Target'!$L$14:$L$36,MATCH(C275,'Gamma Target'!$K$14:$K$36))</f>
        <v>2.2212457356948403</v>
      </c>
      <c r="F275">
        <f t="shared" si="378"/>
        <v>0.46821434200157602</v>
      </c>
      <c r="G275">
        <f t="shared" si="379"/>
        <v>2.2545088443496391</v>
      </c>
      <c r="H275">
        <f t="shared" si="380"/>
        <v>0.25271142828015647</v>
      </c>
    </row>
    <row r="276" spans="1:8">
      <c r="A276">
        <v>0.05</v>
      </c>
      <c r="B276">
        <f>SMALL('Gamma Target'!$K$14:$K$36,COUNTIF('Gamma Target'!$K$14:$K$36,"&lt;"&amp;A276)+1)</f>
        <v>6.3965626334942488E-2</v>
      </c>
      <c r="C276">
        <f>LARGE('Gamma Target'!$K$14:$K$36,COUNTIF('Gamma Target'!$K$14:$K$36,"&gt;"&amp;A276)+1)</f>
        <v>2.8301583783801144E-2</v>
      </c>
      <c r="D276">
        <f>INDEX('Gamma Target'!$L$14:$L$36,MATCH(B276,'Gamma Target'!$K$14:$K$36))</f>
        <v>2.292288217034907</v>
      </c>
      <c r="E276">
        <f>INDEX('Gamma Target'!$L$14:$L$36,MATCH(C276,'Gamma Target'!$K$14:$K$36))</f>
        <v>2.2212457356948403</v>
      </c>
      <c r="F276">
        <f t="shared" si="378"/>
        <v>0.60841157266689194</v>
      </c>
      <c r="G276">
        <f t="shared" si="379"/>
        <v>2.2644688034931084</v>
      </c>
      <c r="H276">
        <f t="shared" si="380"/>
        <v>0.2663539105307724</v>
      </c>
    </row>
    <row r="277" spans="1:8">
      <c r="A277">
        <v>5.5E-2</v>
      </c>
      <c r="B277">
        <f>SMALL('Gamma Target'!$K$14:$K$36,COUNTIF('Gamma Target'!$K$14:$K$36,"&lt;"&amp;A277)+1)</f>
        <v>6.3965626334942488E-2</v>
      </c>
      <c r="C277">
        <f>LARGE('Gamma Target'!$K$14:$K$36,COUNTIF('Gamma Target'!$K$14:$K$36,"&gt;"&amp;A277)+1)</f>
        <v>2.8301583783801144E-2</v>
      </c>
      <c r="D277">
        <f>INDEX('Gamma Target'!$L$14:$L$36,MATCH(B277,'Gamma Target'!$K$14:$K$36))</f>
        <v>2.292288217034907</v>
      </c>
      <c r="E277">
        <f>INDEX('Gamma Target'!$L$14:$L$36,MATCH(C277,'Gamma Target'!$K$14:$K$36))</f>
        <v>2.2212457356948403</v>
      </c>
      <c r="F277">
        <f t="shared" si="378"/>
        <v>0.74860880333220758</v>
      </c>
      <c r="G277">
        <f t="shared" si="379"/>
        <v>2.2744287626365782</v>
      </c>
      <c r="H277">
        <f t="shared" si="380"/>
        <v>0.2793664236410765</v>
      </c>
    </row>
    <row r="278" spans="1:8">
      <c r="A278">
        <v>0.06</v>
      </c>
      <c r="B278">
        <f>SMALL('Gamma Target'!$K$14:$K$36,COUNTIF('Gamma Target'!$K$14:$K$36,"&lt;"&amp;A278)+1)</f>
        <v>6.3965626334942488E-2</v>
      </c>
      <c r="C278">
        <f>LARGE('Gamma Target'!$K$14:$K$36,COUNTIF('Gamma Target'!$K$14:$K$36,"&gt;"&amp;A278)+1)</f>
        <v>2.8301583783801144E-2</v>
      </c>
      <c r="D278">
        <f>INDEX('Gamma Target'!$L$14:$L$36,MATCH(B278,'Gamma Target'!$K$14:$K$36))</f>
        <v>2.292288217034907</v>
      </c>
      <c r="E278">
        <f>INDEX('Gamma Target'!$L$14:$L$36,MATCH(C278,'Gamma Target'!$K$14:$K$36))</f>
        <v>2.2212457356948403</v>
      </c>
      <c r="F278">
        <f t="shared" si="378"/>
        <v>0.88880603399752334</v>
      </c>
      <c r="G278">
        <f t="shared" si="379"/>
        <v>2.284388721780048</v>
      </c>
      <c r="H278">
        <f t="shared" si="380"/>
        <v>0.29183070425584218</v>
      </c>
    </row>
    <row r="279" spans="1:8">
      <c r="A279">
        <f t="shared" ref="A279:A310" si="381">A278+0.01</f>
        <v>6.9999999999999993E-2</v>
      </c>
      <c r="B279">
        <f>SMALL('Gamma Target'!$K$14:$K$36,COUNTIF('Gamma Target'!$K$14:$K$36,"&lt;"&amp;A279)+1)</f>
        <v>0.12420465531584136</v>
      </c>
      <c r="C279">
        <f>LARGE('Gamma Target'!$K$14:$K$36,COUNTIF('Gamma Target'!$K$14:$K$36,"&gt;"&amp;A279)+1)</f>
        <v>6.3965626334942488E-2</v>
      </c>
      <c r="D279">
        <f>INDEX('Gamma Target'!$L$14:$L$36,MATCH(B279,'Gamma Target'!$K$14:$K$36))</f>
        <v>2.2877533729166122</v>
      </c>
      <c r="E279">
        <f>INDEX('Gamma Target'!$L$14:$L$36,MATCH(C279,'Gamma Target'!$K$14:$K$36))</f>
        <v>2.292288217034907</v>
      </c>
      <c r="F279">
        <f t="shared" si="378"/>
        <v>0.10017382031458272</v>
      </c>
      <c r="G279">
        <f t="shared" si="379"/>
        <v>2.2918339443750462</v>
      </c>
      <c r="H279">
        <f t="shared" si="380"/>
        <v>0.31338598054548777</v>
      </c>
    </row>
    <row r="280" spans="1:8">
      <c r="A280">
        <f t="shared" si="381"/>
        <v>7.9999999999999988E-2</v>
      </c>
      <c r="B280">
        <f>SMALL('Gamma Target'!$K$14:$K$36,COUNTIF('Gamma Target'!$K$14:$K$36,"&lt;"&amp;A280)+1)</f>
        <v>0.12420465531584136</v>
      </c>
      <c r="C280">
        <f>LARGE('Gamma Target'!$K$14:$K$36,COUNTIF('Gamma Target'!$K$14:$K$36,"&gt;"&amp;A280)+1)</f>
        <v>6.3965626334942488E-2</v>
      </c>
      <c r="D280">
        <f>INDEX('Gamma Target'!$L$14:$L$36,MATCH(B280,'Gamma Target'!$K$14:$K$36))</f>
        <v>2.2877533729166122</v>
      </c>
      <c r="E280">
        <f>INDEX('Gamma Target'!$L$14:$L$36,MATCH(C280,'Gamma Target'!$K$14:$K$36))</f>
        <v>2.292288217034907</v>
      </c>
      <c r="F280">
        <f t="shared" si="378"/>
        <v>0.26617915222607291</v>
      </c>
      <c r="G280">
        <f t="shared" si="379"/>
        <v>2.2910811360720218</v>
      </c>
      <c r="H280">
        <f t="shared" si="380"/>
        <v>0.33206723744566108</v>
      </c>
    </row>
    <row r="281" spans="1:8">
      <c r="A281">
        <f t="shared" si="381"/>
        <v>8.9999999999999983E-2</v>
      </c>
      <c r="B281">
        <f>SMALL('Gamma Target'!$K$14:$K$36,COUNTIF('Gamma Target'!$K$14:$K$36,"&lt;"&amp;A281)+1)</f>
        <v>0.12420465531584136</v>
      </c>
      <c r="C281">
        <f>LARGE('Gamma Target'!$K$14:$K$36,COUNTIF('Gamma Target'!$K$14:$K$36,"&gt;"&amp;A281)+1)</f>
        <v>6.3965626334942488E-2</v>
      </c>
      <c r="D281">
        <f>INDEX('Gamma Target'!$L$14:$L$36,MATCH(B281,'Gamma Target'!$K$14:$K$36))</f>
        <v>2.2877533729166122</v>
      </c>
      <c r="E281">
        <f>INDEX('Gamma Target'!$L$14:$L$36,MATCH(C281,'Gamma Target'!$K$14:$K$36))</f>
        <v>2.292288217034907</v>
      </c>
      <c r="F281">
        <f t="shared" si="378"/>
        <v>0.43218448413756311</v>
      </c>
      <c r="G281">
        <f t="shared" si="379"/>
        <v>2.2903283277689974</v>
      </c>
      <c r="H281">
        <f t="shared" si="380"/>
        <v>0.34946429065656026</v>
      </c>
    </row>
    <row r="282" spans="1:8">
      <c r="A282">
        <f t="shared" si="381"/>
        <v>9.9999999999999978E-2</v>
      </c>
      <c r="B282">
        <f>SMALL('Gamma Target'!$K$14:$K$36,COUNTIF('Gamma Target'!$K$14:$K$36,"&lt;"&amp;A282)+1)</f>
        <v>0.12420465531584136</v>
      </c>
      <c r="C282">
        <f>LARGE('Gamma Target'!$K$14:$K$36,COUNTIF('Gamma Target'!$K$14:$K$36,"&gt;"&amp;A282)+1)</f>
        <v>6.3965626334942488E-2</v>
      </c>
      <c r="D282">
        <f>INDEX('Gamma Target'!$L$14:$L$36,MATCH(B282,'Gamma Target'!$K$14:$K$36))</f>
        <v>2.2877533729166122</v>
      </c>
      <c r="E282">
        <f>INDEX('Gamma Target'!$L$14:$L$36,MATCH(C282,'Gamma Target'!$K$14:$K$36))</f>
        <v>2.292288217034907</v>
      </c>
      <c r="F282">
        <f t="shared" si="378"/>
        <v>0.5981898160490533</v>
      </c>
      <c r="G282">
        <f t="shared" si="379"/>
        <v>2.289575519465973</v>
      </c>
      <c r="H282">
        <f t="shared" si="380"/>
        <v>0.36579504465175045</v>
      </c>
    </row>
    <row r="283" spans="1:8">
      <c r="A283">
        <f t="shared" si="381"/>
        <v>0.10999999999999997</v>
      </c>
      <c r="B283">
        <f>SMALL('Gamma Target'!$K$14:$K$36,COUNTIF('Gamma Target'!$K$14:$K$36,"&lt;"&amp;A283)+1)</f>
        <v>0.12420465531584136</v>
      </c>
      <c r="C283">
        <f>LARGE('Gamma Target'!$K$14:$K$36,COUNTIF('Gamma Target'!$K$14:$K$36,"&gt;"&amp;A283)+1)</f>
        <v>6.3965626334942488E-2</v>
      </c>
      <c r="D283">
        <f>INDEX('Gamma Target'!$L$14:$L$36,MATCH(B283,'Gamma Target'!$K$14:$K$36))</f>
        <v>2.2877533729166122</v>
      </c>
      <c r="E283">
        <f>INDEX('Gamma Target'!$L$14:$L$36,MATCH(C283,'Gamma Target'!$K$14:$K$36))</f>
        <v>2.292288217034907</v>
      </c>
      <c r="F283">
        <f t="shared" si="378"/>
        <v>0.76419514796054355</v>
      </c>
      <c r="G283">
        <f t="shared" si="379"/>
        <v>2.2888227111629487</v>
      </c>
      <c r="H283">
        <f t="shared" si="380"/>
        <v>0.38122280255902002</v>
      </c>
    </row>
    <row r="284" spans="1:8">
      <c r="A284">
        <f t="shared" si="381"/>
        <v>0.11999999999999997</v>
      </c>
      <c r="B284">
        <f>SMALL('Gamma Target'!$K$14:$K$36,COUNTIF('Gamma Target'!$K$14:$K$36,"&lt;"&amp;A284)+1)</f>
        <v>0.12420465531584136</v>
      </c>
      <c r="C284">
        <f>LARGE('Gamma Target'!$K$14:$K$36,COUNTIF('Gamma Target'!$K$14:$K$36,"&gt;"&amp;A284)+1)</f>
        <v>6.3965626334942488E-2</v>
      </c>
      <c r="D284">
        <f>INDEX('Gamma Target'!$L$14:$L$36,MATCH(B284,'Gamma Target'!$K$14:$K$36))</f>
        <v>2.2877533729166122</v>
      </c>
      <c r="E284">
        <f>INDEX('Gamma Target'!$L$14:$L$36,MATCH(C284,'Gamma Target'!$K$14:$K$36))</f>
        <v>2.292288217034907</v>
      </c>
      <c r="F284">
        <f t="shared" si="378"/>
        <v>0.93020047987203369</v>
      </c>
      <c r="G284">
        <f t="shared" si="379"/>
        <v>2.2880699028599243</v>
      </c>
      <c r="H284">
        <f t="shared" si="380"/>
        <v>0.39587360530421511</v>
      </c>
    </row>
    <row r="285" spans="1:8">
      <c r="A285">
        <f t="shared" si="381"/>
        <v>0.12999999999999998</v>
      </c>
      <c r="B285">
        <f>SMALL('Gamma Target'!$K$14:$K$36,COUNTIF('Gamma Target'!$K$14:$K$36,"&lt;"&amp;A285)+1)</f>
        <v>0.20950206042853062</v>
      </c>
      <c r="C285">
        <f>LARGE('Gamma Target'!$K$14:$K$36,COUNTIF('Gamma Target'!$K$14:$K$36,"&gt;"&amp;A285)+1)</f>
        <v>0.12420465531584136</v>
      </c>
      <c r="D285">
        <f>INDEX('Gamma Target'!$L$14:$L$36,MATCH(B285,'Gamma Target'!$K$14:$K$36))</f>
        <v>2.2698828163528715</v>
      </c>
      <c r="E285">
        <f>INDEX('Gamma Target'!$L$14:$L$36,MATCH(C285,'Gamma Target'!$K$14:$K$36))</f>
        <v>2.2877533729166122</v>
      </c>
      <c r="F285">
        <f t="shared" si="378"/>
        <v>6.7942801735904973E-2</v>
      </c>
      <c r="G285">
        <f t="shared" si="379"/>
        <v>2.2865391972350917</v>
      </c>
      <c r="H285">
        <f t="shared" si="380"/>
        <v>0.40972274011582482</v>
      </c>
    </row>
    <row r="286" spans="1:8">
      <c r="A286">
        <f t="shared" si="381"/>
        <v>0.13999999999999999</v>
      </c>
      <c r="B286">
        <f>SMALL('Gamma Target'!$K$14:$K$36,COUNTIF('Gamma Target'!$K$14:$K$36,"&lt;"&amp;A286)+1)</f>
        <v>0.20950206042853062</v>
      </c>
      <c r="C286">
        <f>LARGE('Gamma Target'!$K$14:$K$36,COUNTIF('Gamma Target'!$K$14:$K$36,"&gt;"&amp;A286)+1)</f>
        <v>0.12420465531584136</v>
      </c>
      <c r="D286">
        <f>INDEX('Gamma Target'!$L$14:$L$36,MATCH(B286,'Gamma Target'!$K$14:$K$36))</f>
        <v>2.2698828163528715</v>
      </c>
      <c r="E286">
        <f>INDEX('Gamma Target'!$L$14:$L$36,MATCH(C286,'Gamma Target'!$K$14:$K$36))</f>
        <v>2.2877533729166122</v>
      </c>
      <c r="F286">
        <f t="shared" si="378"/>
        <v>0.18517966242104159</v>
      </c>
      <c r="G286">
        <f t="shared" si="379"/>
        <v>2.2844441092848626</v>
      </c>
      <c r="H286">
        <f t="shared" si="380"/>
        <v>0.42288599940192384</v>
      </c>
    </row>
    <row r="287" spans="1:8">
      <c r="A287">
        <f t="shared" si="381"/>
        <v>0.15</v>
      </c>
      <c r="B287">
        <f>SMALL('Gamma Target'!$K$14:$K$36,COUNTIF('Gamma Target'!$K$14:$K$36,"&lt;"&amp;A287)+1)</f>
        <v>0.20950206042853062</v>
      </c>
      <c r="C287">
        <f>LARGE('Gamma Target'!$K$14:$K$36,COUNTIF('Gamma Target'!$K$14:$K$36,"&gt;"&amp;A287)+1)</f>
        <v>0.12420465531584136</v>
      </c>
      <c r="D287">
        <f>INDEX('Gamma Target'!$L$14:$L$36,MATCH(B287,'Gamma Target'!$K$14:$K$36))</f>
        <v>2.2698828163528715</v>
      </c>
      <c r="E287">
        <f>INDEX('Gamma Target'!$L$14:$L$36,MATCH(C287,'Gamma Target'!$K$14:$K$36))</f>
        <v>2.2877533729166122</v>
      </c>
      <c r="F287">
        <f t="shared" si="378"/>
        <v>0.30241652310617817</v>
      </c>
      <c r="G287">
        <f t="shared" si="379"/>
        <v>2.2823490213346336</v>
      </c>
      <c r="H287">
        <f t="shared" si="380"/>
        <v>0.43552033423284076</v>
      </c>
    </row>
    <row r="288" spans="1:8">
      <c r="A288">
        <f t="shared" si="381"/>
        <v>0.16</v>
      </c>
      <c r="B288">
        <f>SMALL('Gamma Target'!$K$14:$K$36,COUNTIF('Gamma Target'!$K$14:$K$36,"&lt;"&amp;A288)+1)</f>
        <v>0.20950206042853062</v>
      </c>
      <c r="C288">
        <f>LARGE('Gamma Target'!$K$14:$K$36,COUNTIF('Gamma Target'!$K$14:$K$36,"&gt;"&amp;A288)+1)</f>
        <v>0.12420465531584136</v>
      </c>
      <c r="D288">
        <f>INDEX('Gamma Target'!$L$14:$L$36,MATCH(B288,'Gamma Target'!$K$14:$K$36))</f>
        <v>2.2698828163528715</v>
      </c>
      <c r="E288">
        <f>INDEX('Gamma Target'!$L$14:$L$36,MATCH(C288,'Gamma Target'!$K$14:$K$36))</f>
        <v>2.2877533729166122</v>
      </c>
      <c r="F288">
        <f t="shared" si="378"/>
        <v>0.41965338379131478</v>
      </c>
      <c r="G288">
        <f t="shared" si="379"/>
        <v>2.2802539333844045</v>
      </c>
      <c r="H288">
        <f t="shared" si="380"/>
        <v>0.44768102799538673</v>
      </c>
    </row>
    <row r="289" spans="1:8">
      <c r="A289">
        <f t="shared" si="381"/>
        <v>0.17</v>
      </c>
      <c r="B289">
        <f>SMALL('Gamma Target'!$K$14:$K$36,COUNTIF('Gamma Target'!$K$14:$K$36,"&lt;"&amp;A289)+1)</f>
        <v>0.20950206042853062</v>
      </c>
      <c r="C289">
        <f>LARGE('Gamma Target'!$K$14:$K$36,COUNTIF('Gamma Target'!$K$14:$K$36,"&gt;"&amp;A289)+1)</f>
        <v>0.12420465531584136</v>
      </c>
      <c r="D289">
        <f>INDEX('Gamma Target'!$L$14:$L$36,MATCH(B289,'Gamma Target'!$K$14:$K$36))</f>
        <v>2.2698828163528715</v>
      </c>
      <c r="E289">
        <f>INDEX('Gamma Target'!$L$14:$L$36,MATCH(C289,'Gamma Target'!$K$14:$K$36))</f>
        <v>2.2877533729166122</v>
      </c>
      <c r="F289">
        <f t="shared" si="378"/>
        <v>0.53689024447645139</v>
      </c>
      <c r="G289">
        <f t="shared" si="379"/>
        <v>2.278158845434175</v>
      </c>
      <c r="H289">
        <f t="shared" si="380"/>
        <v>0.45941462817187656</v>
      </c>
    </row>
    <row r="290" spans="1:8">
      <c r="A290">
        <f t="shared" si="381"/>
        <v>0.18000000000000002</v>
      </c>
      <c r="B290">
        <f>SMALL('Gamma Target'!$K$14:$K$36,COUNTIF('Gamma Target'!$K$14:$K$36,"&lt;"&amp;A290)+1)</f>
        <v>0.20950206042853062</v>
      </c>
      <c r="C290">
        <f>LARGE('Gamma Target'!$K$14:$K$36,COUNTIF('Gamma Target'!$K$14:$K$36,"&gt;"&amp;A290)+1)</f>
        <v>0.12420465531584136</v>
      </c>
      <c r="D290">
        <f>INDEX('Gamma Target'!$L$14:$L$36,MATCH(B290,'Gamma Target'!$K$14:$K$36))</f>
        <v>2.2698828163528715</v>
      </c>
      <c r="E290">
        <f>INDEX('Gamma Target'!$L$14:$L$36,MATCH(C290,'Gamma Target'!$K$14:$K$36))</f>
        <v>2.2877533729166122</v>
      </c>
      <c r="F290">
        <f t="shared" si="378"/>
        <v>0.65412710516158801</v>
      </c>
      <c r="G290">
        <f t="shared" si="379"/>
        <v>2.276063757483946</v>
      </c>
      <c r="H290">
        <f t="shared" si="380"/>
        <v>0.47076075307476284</v>
      </c>
    </row>
    <row r="291" spans="1:8">
      <c r="A291">
        <f t="shared" si="381"/>
        <v>0.19000000000000003</v>
      </c>
      <c r="B291">
        <f>SMALL('Gamma Target'!$K$14:$K$36,COUNTIF('Gamma Target'!$K$14:$K$36,"&lt;"&amp;A291)+1)</f>
        <v>0.20950206042853062</v>
      </c>
      <c r="C291">
        <f>LARGE('Gamma Target'!$K$14:$K$36,COUNTIF('Gamma Target'!$K$14:$K$36,"&gt;"&amp;A291)+1)</f>
        <v>0.12420465531584136</v>
      </c>
      <c r="D291">
        <f>INDEX('Gamma Target'!$L$14:$L$36,MATCH(B291,'Gamma Target'!$K$14:$K$36))</f>
        <v>2.2698828163528715</v>
      </c>
      <c r="E291">
        <f>INDEX('Gamma Target'!$L$14:$L$36,MATCH(C291,'Gamma Target'!$K$14:$K$36))</f>
        <v>2.2877533729166122</v>
      </c>
      <c r="F291">
        <f t="shared" si="378"/>
        <v>0.77136396584672462</v>
      </c>
      <c r="G291">
        <f t="shared" si="379"/>
        <v>2.2739686695337169</v>
      </c>
      <c r="H291">
        <f t="shared" si="380"/>
        <v>0.48175344629201994</v>
      </c>
    </row>
    <row r="292" spans="1:8">
      <c r="A292">
        <f t="shared" si="381"/>
        <v>0.20000000000000004</v>
      </c>
      <c r="B292">
        <f>SMALL('Gamma Target'!$K$14:$K$36,COUNTIF('Gamma Target'!$K$14:$K$36,"&lt;"&amp;A292)+1)</f>
        <v>0.20950206042853062</v>
      </c>
      <c r="C292">
        <f>LARGE('Gamma Target'!$K$14:$K$36,COUNTIF('Gamma Target'!$K$14:$K$36,"&gt;"&amp;A292)+1)</f>
        <v>0.12420465531584136</v>
      </c>
      <c r="D292">
        <f>INDEX('Gamma Target'!$L$14:$L$36,MATCH(B292,'Gamma Target'!$K$14:$K$36))</f>
        <v>2.2698828163528715</v>
      </c>
      <c r="E292">
        <f>INDEX('Gamma Target'!$L$14:$L$36,MATCH(C292,'Gamma Target'!$K$14:$K$36))</f>
        <v>2.2877533729166122</v>
      </c>
      <c r="F292">
        <f t="shared" si="378"/>
        <v>0.88860082653186123</v>
      </c>
      <c r="G292">
        <f t="shared" si="379"/>
        <v>2.2718735815834878</v>
      </c>
      <c r="H292">
        <f t="shared" si="380"/>
        <v>0.49242220972604006</v>
      </c>
    </row>
    <row r="293" spans="1:8">
      <c r="A293">
        <f t="shared" si="381"/>
        <v>0.21000000000000005</v>
      </c>
      <c r="B293">
        <f>SMALL('Gamma Target'!$K$14:$K$36,COUNTIF('Gamma Target'!$K$14:$K$36,"&lt;"&amp;A293)+1)</f>
        <v>0.30802523262125692</v>
      </c>
      <c r="C293">
        <f>LARGE('Gamma Target'!$K$14:$K$36,COUNTIF('Gamma Target'!$K$14:$K$36,"&gt;"&amp;A293)+1)</f>
        <v>0.20950206042853062</v>
      </c>
      <c r="D293">
        <f>INDEX('Gamma Target'!$L$14:$L$36,MATCH(B293,'Gamma Target'!$K$14:$K$36))</f>
        <v>2.2915591049285666</v>
      </c>
      <c r="E293">
        <f>INDEX('Gamma Target'!$L$14:$L$36,MATCH(C293,'Gamma Target'!$K$14:$K$36))</f>
        <v>2.2698828163528715</v>
      </c>
      <c r="F293">
        <f t="shared" si="378"/>
        <v>5.0540351105969735E-3</v>
      </c>
      <c r="G293">
        <f t="shared" si="379"/>
        <v>2.2699923690764003</v>
      </c>
      <c r="H293">
        <f t="shared" si="380"/>
        <v>0.50282537687335405</v>
      </c>
    </row>
    <row r="294" spans="1:8">
      <c r="A294">
        <f t="shared" si="381"/>
        <v>0.22000000000000006</v>
      </c>
      <c r="B294">
        <f>SMALL('Gamma Target'!$K$14:$K$36,COUNTIF('Gamma Target'!$K$14:$K$36,"&lt;"&amp;A294)+1)</f>
        <v>0.30802523262125692</v>
      </c>
      <c r="C294">
        <f>LARGE('Gamma Target'!$K$14:$K$36,COUNTIF('Gamma Target'!$K$14:$K$36,"&gt;"&amp;A294)+1)</f>
        <v>0.20950206042853062</v>
      </c>
      <c r="D294">
        <f>INDEX('Gamma Target'!$L$14:$L$36,MATCH(B294,'Gamma Target'!$K$14:$K$36))</f>
        <v>2.2915591049285666</v>
      </c>
      <c r="E294">
        <f>INDEX('Gamma Target'!$L$14:$L$36,MATCH(C294,'Gamma Target'!$K$14:$K$36))</f>
        <v>2.2698828163528715</v>
      </c>
      <c r="F294">
        <f t="shared" si="378"/>
        <v>0.10655300004890092</v>
      </c>
      <c r="G294">
        <f t="shared" si="379"/>
        <v>2.2721924899305375</v>
      </c>
      <c r="H294">
        <f t="shared" si="380"/>
        <v>0.51356791318971085</v>
      </c>
    </row>
    <row r="295" spans="1:8">
      <c r="A295">
        <f t="shared" si="381"/>
        <v>0.23000000000000007</v>
      </c>
      <c r="B295">
        <f>SMALL('Gamma Target'!$K$14:$K$36,COUNTIF('Gamma Target'!$K$14:$K$36,"&lt;"&amp;A295)+1)</f>
        <v>0.30802523262125692</v>
      </c>
      <c r="C295">
        <f>LARGE('Gamma Target'!$K$14:$K$36,COUNTIF('Gamma Target'!$K$14:$K$36,"&gt;"&amp;A295)+1)</f>
        <v>0.20950206042853062</v>
      </c>
      <c r="D295">
        <f>INDEX('Gamma Target'!$L$14:$L$36,MATCH(B295,'Gamma Target'!$K$14:$K$36))</f>
        <v>2.2915591049285666</v>
      </c>
      <c r="E295">
        <f>INDEX('Gamma Target'!$L$14:$L$36,MATCH(C295,'Gamma Target'!$K$14:$K$36))</f>
        <v>2.2698828163528715</v>
      </c>
      <c r="F295">
        <f t="shared" ref="F295:F326" si="382">(A295-C295)/(B295-C295)</f>
        <v>0.20805196498720485</v>
      </c>
      <c r="G295">
        <f t="shared" si="379"/>
        <v>2.2743926107846746</v>
      </c>
      <c r="H295">
        <f t="shared" ref="H295:H326" si="383">A295^(1/G295)</f>
        <v>0.52404174261370617</v>
      </c>
    </row>
    <row r="296" spans="1:8">
      <c r="A296">
        <f t="shared" si="381"/>
        <v>0.24000000000000007</v>
      </c>
      <c r="B296">
        <f>SMALL('Gamma Target'!$K$14:$K$36,COUNTIF('Gamma Target'!$K$14:$K$36,"&lt;"&amp;A296)+1)</f>
        <v>0.30802523262125692</v>
      </c>
      <c r="C296">
        <f>LARGE('Gamma Target'!$K$14:$K$36,COUNTIF('Gamma Target'!$K$14:$K$36,"&gt;"&amp;A296)+1)</f>
        <v>0.20950206042853062</v>
      </c>
      <c r="D296">
        <f>INDEX('Gamma Target'!$L$14:$L$36,MATCH(B296,'Gamma Target'!$K$14:$K$36))</f>
        <v>2.2915591049285666</v>
      </c>
      <c r="E296">
        <f>INDEX('Gamma Target'!$L$14:$L$36,MATCH(C296,'Gamma Target'!$K$14:$K$36))</f>
        <v>2.2698828163528715</v>
      </c>
      <c r="F296">
        <f t="shared" si="382"/>
        <v>0.30955092992550881</v>
      </c>
      <c r="G296">
        <f t="shared" si="379"/>
        <v>2.2765927316388117</v>
      </c>
      <c r="H296">
        <f t="shared" si="383"/>
        <v>0.53426408383678192</v>
      </c>
    </row>
    <row r="297" spans="1:8">
      <c r="A297">
        <f t="shared" si="381"/>
        <v>0.25000000000000006</v>
      </c>
      <c r="B297">
        <f>SMALL('Gamma Target'!$K$14:$K$36,COUNTIF('Gamma Target'!$K$14:$K$36,"&lt;"&amp;A297)+1)</f>
        <v>0.30802523262125692</v>
      </c>
      <c r="C297">
        <f>LARGE('Gamma Target'!$K$14:$K$36,COUNTIF('Gamma Target'!$K$14:$K$36,"&gt;"&amp;A297)+1)</f>
        <v>0.20950206042853062</v>
      </c>
      <c r="D297">
        <f>INDEX('Gamma Target'!$L$14:$L$36,MATCH(B297,'Gamma Target'!$K$14:$K$36))</f>
        <v>2.2915591049285666</v>
      </c>
      <c r="E297">
        <f>INDEX('Gamma Target'!$L$14:$L$36,MATCH(C297,'Gamma Target'!$K$14:$K$36))</f>
        <v>2.2698828163528715</v>
      </c>
      <c r="F297">
        <f t="shared" si="382"/>
        <v>0.41104989486381249</v>
      </c>
      <c r="G297">
        <f t="shared" si="379"/>
        <v>2.2787928524929488</v>
      </c>
      <c r="H297">
        <f t="shared" si="383"/>
        <v>0.54425035219264972</v>
      </c>
    </row>
    <row r="298" spans="1:8">
      <c r="A298">
        <f t="shared" si="381"/>
        <v>0.26000000000000006</v>
      </c>
      <c r="B298">
        <f>SMALL('Gamma Target'!$K$14:$K$36,COUNTIF('Gamma Target'!$K$14:$K$36,"&lt;"&amp;A298)+1)</f>
        <v>0.30802523262125692</v>
      </c>
      <c r="C298">
        <f>LARGE('Gamma Target'!$K$14:$K$36,COUNTIF('Gamma Target'!$K$14:$K$36,"&gt;"&amp;A298)+1)</f>
        <v>0.20950206042853062</v>
      </c>
      <c r="D298">
        <f>INDEX('Gamma Target'!$L$14:$L$36,MATCH(B298,'Gamma Target'!$K$14:$K$36))</f>
        <v>2.2915591049285666</v>
      </c>
      <c r="E298">
        <f>INDEX('Gamma Target'!$L$14:$L$36,MATCH(C298,'Gamma Target'!$K$14:$K$36))</f>
        <v>2.2698828163528715</v>
      </c>
      <c r="F298">
        <f t="shared" si="382"/>
        <v>0.5125488598021164</v>
      </c>
      <c r="G298">
        <f t="shared" si="379"/>
        <v>2.2809929733470855</v>
      </c>
      <c r="H298">
        <f t="shared" si="383"/>
        <v>0.55401441322946654</v>
      </c>
    </row>
    <row r="299" spans="1:8">
      <c r="A299">
        <f t="shared" si="381"/>
        <v>0.27000000000000007</v>
      </c>
      <c r="B299">
        <f>SMALL('Gamma Target'!$K$14:$K$36,COUNTIF('Gamma Target'!$K$14:$K$36,"&lt;"&amp;A299)+1)</f>
        <v>0.30802523262125692</v>
      </c>
      <c r="C299">
        <f>LARGE('Gamma Target'!$K$14:$K$36,COUNTIF('Gamma Target'!$K$14:$K$36,"&gt;"&amp;A299)+1)</f>
        <v>0.20950206042853062</v>
      </c>
      <c r="D299">
        <f>INDEX('Gamma Target'!$L$14:$L$36,MATCH(B299,'Gamma Target'!$K$14:$K$36))</f>
        <v>2.2915591049285666</v>
      </c>
      <c r="E299">
        <f>INDEX('Gamma Target'!$L$14:$L$36,MATCH(C299,'Gamma Target'!$K$14:$K$36))</f>
        <v>2.2698828163528715</v>
      </c>
      <c r="F299">
        <f t="shared" si="382"/>
        <v>0.61404782474042041</v>
      </c>
      <c r="G299">
        <f t="shared" si="379"/>
        <v>2.2831930942012226</v>
      </c>
      <c r="H299">
        <f t="shared" si="383"/>
        <v>0.56356879230305368</v>
      </c>
    </row>
    <row r="300" spans="1:8">
      <c r="A300">
        <f t="shared" si="381"/>
        <v>0.28000000000000008</v>
      </c>
      <c r="B300">
        <f>SMALL('Gamma Target'!$K$14:$K$36,COUNTIF('Gamma Target'!$K$14:$K$36,"&lt;"&amp;A300)+1)</f>
        <v>0.30802523262125692</v>
      </c>
      <c r="C300">
        <f>LARGE('Gamma Target'!$K$14:$K$36,COUNTIF('Gamma Target'!$K$14:$K$36,"&gt;"&amp;A300)+1)</f>
        <v>0.20950206042853062</v>
      </c>
      <c r="D300">
        <f>INDEX('Gamma Target'!$L$14:$L$36,MATCH(B300,'Gamma Target'!$K$14:$K$36))</f>
        <v>2.2915591049285666</v>
      </c>
      <c r="E300">
        <f>INDEX('Gamma Target'!$L$14:$L$36,MATCH(C300,'Gamma Target'!$K$14:$K$36))</f>
        <v>2.2698828163528715</v>
      </c>
      <c r="F300">
        <f t="shared" si="382"/>
        <v>0.71554678967872432</v>
      </c>
      <c r="G300">
        <f t="shared" si="379"/>
        <v>2.2853932150553598</v>
      </c>
      <c r="H300">
        <f t="shared" si="383"/>
        <v>0.57292484915490882</v>
      </c>
    </row>
    <row r="301" spans="1:8">
      <c r="A301">
        <f t="shared" si="381"/>
        <v>0.29000000000000009</v>
      </c>
      <c r="B301">
        <f>SMALL('Gamma Target'!$K$14:$K$36,COUNTIF('Gamma Target'!$K$14:$K$36,"&lt;"&amp;A301)+1)</f>
        <v>0.30802523262125692</v>
      </c>
      <c r="C301">
        <f>LARGE('Gamma Target'!$K$14:$K$36,COUNTIF('Gamma Target'!$K$14:$K$36,"&gt;"&amp;A301)+1)</f>
        <v>0.20950206042853062</v>
      </c>
      <c r="D301">
        <f>INDEX('Gamma Target'!$L$14:$L$36,MATCH(B301,'Gamma Target'!$K$14:$K$36))</f>
        <v>2.2915591049285666</v>
      </c>
      <c r="E301">
        <f>INDEX('Gamma Target'!$L$14:$L$36,MATCH(C301,'Gamma Target'!$K$14:$K$36))</f>
        <v>2.2698828163528715</v>
      </c>
      <c r="F301">
        <f t="shared" si="382"/>
        <v>0.81704575461702822</v>
      </c>
      <c r="G301">
        <f t="shared" ref="G301:G332" si="384">IFERROR(F301*(D301-E301)+E301,G300)</f>
        <v>2.2875933359094969</v>
      </c>
      <c r="H301">
        <f t="shared" si="383"/>
        <v>0.58209292435874538</v>
      </c>
    </row>
    <row r="302" spans="1:8">
      <c r="A302">
        <f t="shared" si="381"/>
        <v>0.3000000000000001</v>
      </c>
      <c r="B302">
        <f>SMALL('Gamma Target'!$K$14:$K$36,COUNTIF('Gamma Target'!$K$14:$K$36,"&lt;"&amp;A302)+1)</f>
        <v>0.30802523262125692</v>
      </c>
      <c r="C302">
        <f>LARGE('Gamma Target'!$K$14:$K$36,COUNTIF('Gamma Target'!$K$14:$K$36,"&gt;"&amp;A302)+1)</f>
        <v>0.20950206042853062</v>
      </c>
      <c r="D302">
        <f>INDEX('Gamma Target'!$L$14:$L$36,MATCH(B302,'Gamma Target'!$K$14:$K$36))</f>
        <v>2.2915591049285666</v>
      </c>
      <c r="E302">
        <f>INDEX('Gamma Target'!$L$14:$L$36,MATCH(C302,'Gamma Target'!$K$14:$K$36))</f>
        <v>2.2698828163528715</v>
      </c>
      <c r="F302">
        <f t="shared" si="382"/>
        <v>0.91854471955533223</v>
      </c>
      <c r="G302">
        <f t="shared" si="384"/>
        <v>2.289793456763634</v>
      </c>
      <c r="H302">
        <f t="shared" si="383"/>
        <v>0.59108246297664846</v>
      </c>
    </row>
    <row r="303" spans="1:8">
      <c r="A303">
        <f t="shared" si="381"/>
        <v>0.31000000000000011</v>
      </c>
      <c r="B303">
        <f>SMALL('Gamma Target'!$K$14:$K$36,COUNTIF('Gamma Target'!$K$14:$K$36,"&lt;"&amp;A303)+1)</f>
        <v>0.44024837558576874</v>
      </c>
      <c r="C303">
        <f>LARGE('Gamma Target'!$K$14:$K$36,COUNTIF('Gamma Target'!$K$14:$K$36,"&gt;"&amp;A303)+1)</f>
        <v>0.30802523262125692</v>
      </c>
      <c r="D303">
        <f>INDEX('Gamma Target'!$L$14:$L$36,MATCH(B303,'Gamma Target'!$K$14:$K$36))</f>
        <v>2.2876153951347629</v>
      </c>
      <c r="E303">
        <f>INDEX('Gamma Target'!$L$14:$L$36,MATCH(C303,'Gamma Target'!$K$14:$K$36))</f>
        <v>2.2915591049285666</v>
      </c>
      <c r="F303">
        <f t="shared" si="382"/>
        <v>1.4935111467386703E-2</v>
      </c>
      <c r="G303">
        <f t="shared" si="384"/>
        <v>2.2915002051832012</v>
      </c>
      <c r="H303">
        <f t="shared" si="383"/>
        <v>0.59983612281388765</v>
      </c>
    </row>
    <row r="304" spans="1:8">
      <c r="A304">
        <f t="shared" si="381"/>
        <v>0.32000000000000012</v>
      </c>
      <c r="B304">
        <f>SMALL('Gamma Target'!$K$14:$K$36,COUNTIF('Gamma Target'!$K$14:$K$36,"&lt;"&amp;A304)+1)</f>
        <v>0.44024837558576874</v>
      </c>
      <c r="C304">
        <f>LARGE('Gamma Target'!$K$14:$K$36,COUNTIF('Gamma Target'!$K$14:$K$36,"&gt;"&amp;A304)+1)</f>
        <v>0.30802523262125692</v>
      </c>
      <c r="D304">
        <f>INDEX('Gamma Target'!$L$14:$L$36,MATCH(B304,'Gamma Target'!$K$14:$K$36))</f>
        <v>2.2876153951347629</v>
      </c>
      <c r="E304">
        <f>INDEX('Gamma Target'!$L$14:$L$36,MATCH(C304,'Gamma Target'!$K$14:$K$36))</f>
        <v>2.2915591049285666</v>
      </c>
      <c r="F304">
        <f t="shared" si="382"/>
        <v>9.0564836913286664E-2</v>
      </c>
      <c r="G304">
        <f t="shared" si="384"/>
        <v>2.2912019434942574</v>
      </c>
      <c r="H304">
        <f t="shared" si="383"/>
        <v>0.60816531423628983</v>
      </c>
    </row>
    <row r="305" spans="1:8">
      <c r="A305">
        <f t="shared" si="381"/>
        <v>0.33000000000000013</v>
      </c>
      <c r="B305">
        <f>SMALL('Gamma Target'!$K$14:$K$36,COUNTIF('Gamma Target'!$K$14:$K$36,"&lt;"&amp;A305)+1)</f>
        <v>0.44024837558576874</v>
      </c>
      <c r="C305">
        <f>LARGE('Gamma Target'!$K$14:$K$36,COUNTIF('Gamma Target'!$K$14:$K$36,"&gt;"&amp;A305)+1)</f>
        <v>0.30802523262125692</v>
      </c>
      <c r="D305">
        <f>INDEX('Gamma Target'!$L$14:$L$36,MATCH(B305,'Gamma Target'!$K$14:$K$36))</f>
        <v>2.2876153951347629</v>
      </c>
      <c r="E305">
        <f>INDEX('Gamma Target'!$L$14:$L$36,MATCH(C305,'Gamma Target'!$K$14:$K$36))</f>
        <v>2.2915591049285666</v>
      </c>
      <c r="F305">
        <f t="shared" si="382"/>
        <v>0.16619456235918664</v>
      </c>
      <c r="G305">
        <f t="shared" si="384"/>
        <v>2.2909036818053137</v>
      </c>
      <c r="H305">
        <f t="shared" si="383"/>
        <v>0.61634945627451276</v>
      </c>
    </row>
    <row r="306" spans="1:8">
      <c r="A306">
        <f t="shared" si="381"/>
        <v>0.34000000000000014</v>
      </c>
      <c r="B306">
        <f>SMALL('Gamma Target'!$K$14:$K$36,COUNTIF('Gamma Target'!$K$14:$K$36,"&lt;"&amp;A306)+1)</f>
        <v>0.44024837558576874</v>
      </c>
      <c r="C306">
        <f>LARGE('Gamma Target'!$K$14:$K$36,COUNTIF('Gamma Target'!$K$14:$K$36,"&gt;"&amp;A306)+1)</f>
        <v>0.30802523262125692</v>
      </c>
      <c r="D306">
        <f>INDEX('Gamma Target'!$L$14:$L$36,MATCH(B306,'Gamma Target'!$K$14:$K$36))</f>
        <v>2.2876153951347629</v>
      </c>
      <c r="E306">
        <f>INDEX('Gamma Target'!$L$14:$L$36,MATCH(C306,'Gamma Target'!$K$14:$K$36))</f>
        <v>2.2915591049285666</v>
      </c>
      <c r="F306">
        <f t="shared" si="382"/>
        <v>0.24182428780508661</v>
      </c>
      <c r="G306">
        <f t="shared" si="384"/>
        <v>2.2906054201163699</v>
      </c>
      <c r="H306">
        <f t="shared" si="383"/>
        <v>0.6243954304649304</v>
      </c>
    </row>
    <row r="307" spans="1:8">
      <c r="A307">
        <f t="shared" si="381"/>
        <v>0.35000000000000014</v>
      </c>
      <c r="B307">
        <f>SMALL('Gamma Target'!$K$14:$K$36,COUNTIF('Gamma Target'!$K$14:$K$36,"&lt;"&amp;A307)+1)</f>
        <v>0.44024837558576874</v>
      </c>
      <c r="C307">
        <f>LARGE('Gamma Target'!$K$14:$K$36,COUNTIF('Gamma Target'!$K$14:$K$36,"&gt;"&amp;A307)+1)</f>
        <v>0.30802523262125692</v>
      </c>
      <c r="D307">
        <f>INDEX('Gamma Target'!$L$14:$L$36,MATCH(B307,'Gamma Target'!$K$14:$K$36))</f>
        <v>2.2876153951347629</v>
      </c>
      <c r="E307">
        <f>INDEX('Gamma Target'!$L$14:$L$36,MATCH(C307,'Gamma Target'!$K$14:$K$36))</f>
        <v>2.2915591049285666</v>
      </c>
      <c r="F307">
        <f t="shared" si="382"/>
        <v>0.3174540132509866</v>
      </c>
      <c r="G307">
        <f t="shared" si="384"/>
        <v>2.2903071584274266</v>
      </c>
      <c r="H307">
        <f t="shared" si="383"/>
        <v>0.63230960287730997</v>
      </c>
    </row>
    <row r="308" spans="1:8">
      <c r="A308">
        <f t="shared" si="381"/>
        <v>0.36000000000000015</v>
      </c>
      <c r="B308">
        <f>SMALL('Gamma Target'!$K$14:$K$36,COUNTIF('Gamma Target'!$K$14:$K$36,"&lt;"&amp;A308)+1)</f>
        <v>0.44024837558576874</v>
      </c>
      <c r="C308">
        <f>LARGE('Gamma Target'!$K$14:$K$36,COUNTIF('Gamma Target'!$K$14:$K$36,"&gt;"&amp;A308)+1)</f>
        <v>0.30802523262125692</v>
      </c>
      <c r="D308">
        <f>INDEX('Gamma Target'!$L$14:$L$36,MATCH(B308,'Gamma Target'!$K$14:$K$36))</f>
        <v>2.2876153951347629</v>
      </c>
      <c r="E308">
        <f>INDEX('Gamma Target'!$L$14:$L$36,MATCH(C308,'Gamma Target'!$K$14:$K$36))</f>
        <v>2.2915591049285666</v>
      </c>
      <c r="F308">
        <f t="shared" si="382"/>
        <v>0.39308373869688656</v>
      </c>
      <c r="G308">
        <f t="shared" si="384"/>
        <v>2.2900088967384828</v>
      </c>
      <c r="H308">
        <f t="shared" si="383"/>
        <v>0.64009787623486392</v>
      </c>
    </row>
    <row r="309" spans="1:8">
      <c r="A309">
        <f t="shared" si="381"/>
        <v>0.37000000000000016</v>
      </c>
      <c r="B309">
        <f>SMALL('Gamma Target'!$K$14:$K$36,COUNTIF('Gamma Target'!$K$14:$K$36,"&lt;"&amp;A309)+1)</f>
        <v>0.44024837558576874</v>
      </c>
      <c r="C309">
        <f>LARGE('Gamma Target'!$K$14:$K$36,COUNTIF('Gamma Target'!$K$14:$K$36,"&gt;"&amp;A309)+1)</f>
        <v>0.30802523262125692</v>
      </c>
      <c r="D309">
        <f>INDEX('Gamma Target'!$L$14:$L$36,MATCH(B309,'Gamma Target'!$K$14:$K$36))</f>
        <v>2.2876153951347629</v>
      </c>
      <c r="E309">
        <f>INDEX('Gamma Target'!$L$14:$L$36,MATCH(C309,'Gamma Target'!$K$14:$K$36))</f>
        <v>2.2915591049285666</v>
      </c>
      <c r="F309">
        <f t="shared" si="382"/>
        <v>0.46871346414278653</v>
      </c>
      <c r="G309">
        <f t="shared" si="384"/>
        <v>2.2897106350495391</v>
      </c>
      <c r="H309">
        <f t="shared" si="383"/>
        <v>0.64776573547248439</v>
      </c>
    </row>
    <row r="310" spans="1:8">
      <c r="A310">
        <f t="shared" si="381"/>
        <v>0.38000000000000017</v>
      </c>
      <c r="B310">
        <f>SMALL('Gamma Target'!$K$14:$K$36,COUNTIF('Gamma Target'!$K$14:$K$36,"&lt;"&amp;A310)+1)</f>
        <v>0.44024837558576874</v>
      </c>
      <c r="C310">
        <f>LARGE('Gamma Target'!$K$14:$K$36,COUNTIF('Gamma Target'!$K$14:$K$36,"&gt;"&amp;A310)+1)</f>
        <v>0.30802523262125692</v>
      </c>
      <c r="D310">
        <f>INDEX('Gamma Target'!$L$14:$L$36,MATCH(B310,'Gamma Target'!$K$14:$K$36))</f>
        <v>2.2876153951347629</v>
      </c>
      <c r="E310">
        <f>INDEX('Gamma Target'!$L$14:$L$36,MATCH(C310,'Gamma Target'!$K$14:$K$36))</f>
        <v>2.2915591049285666</v>
      </c>
      <c r="F310">
        <f t="shared" si="382"/>
        <v>0.54434318958868644</v>
      </c>
      <c r="G310">
        <f t="shared" si="384"/>
        <v>2.2894123733605953</v>
      </c>
      <c r="H310">
        <f t="shared" si="383"/>
        <v>0.65531828771325562</v>
      </c>
    </row>
    <row r="311" spans="1:8">
      <c r="A311">
        <f t="shared" ref="A311:A342" si="385">A310+0.01</f>
        <v>0.39000000000000018</v>
      </c>
      <c r="B311">
        <f>SMALL('Gamma Target'!$K$14:$K$36,COUNTIF('Gamma Target'!$K$14:$K$36,"&lt;"&amp;A311)+1)</f>
        <v>0.44024837558576874</v>
      </c>
      <c r="C311">
        <f>LARGE('Gamma Target'!$K$14:$K$36,COUNTIF('Gamma Target'!$K$14:$K$36,"&gt;"&amp;A311)+1)</f>
        <v>0.30802523262125692</v>
      </c>
      <c r="D311">
        <f>INDEX('Gamma Target'!$L$14:$L$36,MATCH(B311,'Gamma Target'!$K$14:$K$36))</f>
        <v>2.2876153951347629</v>
      </c>
      <c r="E311">
        <f>INDEX('Gamma Target'!$L$14:$L$36,MATCH(C311,'Gamma Target'!$K$14:$K$36))</f>
        <v>2.2915591049285666</v>
      </c>
      <c r="F311">
        <f t="shared" si="382"/>
        <v>0.6199729150345864</v>
      </c>
      <c r="G311">
        <f t="shared" si="384"/>
        <v>2.2891141116716516</v>
      </c>
      <c r="H311">
        <f t="shared" si="383"/>
        <v>0.66276029747515308</v>
      </c>
    </row>
    <row r="312" spans="1:8">
      <c r="A312">
        <f t="shared" si="385"/>
        <v>0.40000000000000019</v>
      </c>
      <c r="B312">
        <f>SMALL('Gamma Target'!$K$14:$K$36,COUNTIF('Gamma Target'!$K$14:$K$36,"&lt;"&amp;A312)+1)</f>
        <v>0.44024837558576874</v>
      </c>
      <c r="C312">
        <f>LARGE('Gamma Target'!$K$14:$K$36,COUNTIF('Gamma Target'!$K$14:$K$36,"&gt;"&amp;A312)+1)</f>
        <v>0.30802523262125692</v>
      </c>
      <c r="D312">
        <f>INDEX('Gamma Target'!$L$14:$L$36,MATCH(B312,'Gamma Target'!$K$14:$K$36))</f>
        <v>2.2876153951347629</v>
      </c>
      <c r="E312">
        <f>INDEX('Gamma Target'!$L$14:$L$36,MATCH(C312,'Gamma Target'!$K$14:$K$36))</f>
        <v>2.2915591049285666</v>
      </c>
      <c r="F312">
        <f t="shared" si="382"/>
        <v>0.69560264048048637</v>
      </c>
      <c r="G312">
        <f t="shared" si="384"/>
        <v>2.2888158499827078</v>
      </c>
      <c r="H312">
        <f t="shared" si="383"/>
        <v>0.67009621778405581</v>
      </c>
    </row>
    <row r="313" spans="1:8">
      <c r="A313">
        <f t="shared" si="385"/>
        <v>0.4100000000000002</v>
      </c>
      <c r="B313">
        <f>SMALL('Gamma Target'!$K$14:$K$36,COUNTIF('Gamma Target'!$K$14:$K$36,"&lt;"&amp;A313)+1)</f>
        <v>0.44024837558576874</v>
      </c>
      <c r="C313">
        <f>LARGE('Gamma Target'!$K$14:$K$36,COUNTIF('Gamma Target'!$K$14:$K$36,"&gt;"&amp;A313)+1)</f>
        <v>0.30802523262125692</v>
      </c>
      <c r="D313">
        <f>INDEX('Gamma Target'!$L$14:$L$36,MATCH(B313,'Gamma Target'!$K$14:$K$36))</f>
        <v>2.2876153951347629</v>
      </c>
      <c r="E313">
        <f>INDEX('Gamma Target'!$L$14:$L$36,MATCH(C313,'Gamma Target'!$K$14:$K$36))</f>
        <v>2.2915591049285666</v>
      </c>
      <c r="F313">
        <f t="shared" si="382"/>
        <v>0.77123236592638633</v>
      </c>
      <c r="G313">
        <f t="shared" si="384"/>
        <v>2.2885175882937645</v>
      </c>
      <c r="H313">
        <f t="shared" si="383"/>
        <v>0.67733021775893665</v>
      </c>
    </row>
    <row r="314" spans="1:8">
      <c r="A314">
        <f t="shared" si="385"/>
        <v>0.42000000000000021</v>
      </c>
      <c r="B314">
        <f>SMALL('Gamma Target'!$K$14:$K$36,COUNTIF('Gamma Target'!$K$14:$K$36,"&lt;"&amp;A314)+1)</f>
        <v>0.44024837558576874</v>
      </c>
      <c r="C314">
        <f>LARGE('Gamma Target'!$K$14:$K$36,COUNTIF('Gamma Target'!$K$14:$K$36,"&gt;"&amp;A314)+1)</f>
        <v>0.30802523262125692</v>
      </c>
      <c r="D314">
        <f>INDEX('Gamma Target'!$L$14:$L$36,MATCH(B314,'Gamma Target'!$K$14:$K$36))</f>
        <v>2.2876153951347629</v>
      </c>
      <c r="E314">
        <f>INDEX('Gamma Target'!$L$14:$L$36,MATCH(C314,'Gamma Target'!$K$14:$K$36))</f>
        <v>2.2915591049285666</v>
      </c>
      <c r="F314">
        <f t="shared" si="382"/>
        <v>0.8468620913722863</v>
      </c>
      <c r="G314">
        <f t="shared" si="384"/>
        <v>2.2882193266048207</v>
      </c>
      <c r="H314">
        <f t="shared" si="383"/>
        <v>0.68446620714505479</v>
      </c>
    </row>
    <row r="315" spans="1:8">
      <c r="A315">
        <f t="shared" si="385"/>
        <v>0.43000000000000022</v>
      </c>
      <c r="B315">
        <f>SMALL('Gamma Target'!$K$14:$K$36,COUNTIF('Gamma Target'!$K$14:$K$36,"&lt;"&amp;A315)+1)</f>
        <v>0.44024837558576874</v>
      </c>
      <c r="C315">
        <f>LARGE('Gamma Target'!$K$14:$K$36,COUNTIF('Gamma Target'!$K$14:$K$36,"&gt;"&amp;A315)+1)</f>
        <v>0.30802523262125692</v>
      </c>
      <c r="D315">
        <f>INDEX('Gamma Target'!$L$14:$L$36,MATCH(B315,'Gamma Target'!$K$14:$K$36))</f>
        <v>2.2876153951347629</v>
      </c>
      <c r="E315">
        <f>INDEX('Gamma Target'!$L$14:$L$36,MATCH(C315,'Gamma Target'!$K$14:$K$36))</f>
        <v>2.2915591049285666</v>
      </c>
      <c r="F315">
        <f t="shared" si="382"/>
        <v>0.92249181681818637</v>
      </c>
      <c r="G315">
        <f t="shared" si="384"/>
        <v>2.287921064915877</v>
      </c>
      <c r="H315">
        <f t="shared" si="383"/>
        <v>0.69150785819705107</v>
      </c>
    </row>
    <row r="316" spans="1:8">
      <c r="A316">
        <f t="shared" si="385"/>
        <v>0.44000000000000022</v>
      </c>
      <c r="B316">
        <f>SMALL('Gamma Target'!$K$14:$K$36,COUNTIF('Gamma Target'!$K$14:$K$36,"&lt;"&amp;A316)+1)</f>
        <v>0.44024837558576874</v>
      </c>
      <c r="C316">
        <f>LARGE('Gamma Target'!$K$14:$K$36,COUNTIF('Gamma Target'!$K$14:$K$36,"&gt;"&amp;A316)+1)</f>
        <v>0.30802523262125692</v>
      </c>
      <c r="D316">
        <f>INDEX('Gamma Target'!$L$14:$L$36,MATCH(B316,'Gamma Target'!$K$14:$K$36))</f>
        <v>2.2876153951347629</v>
      </c>
      <c r="E316">
        <f>INDEX('Gamma Target'!$L$14:$L$36,MATCH(C316,'Gamma Target'!$K$14:$K$36))</f>
        <v>2.2915591049285666</v>
      </c>
      <c r="F316">
        <f t="shared" si="382"/>
        <v>0.99812154226408634</v>
      </c>
      <c r="G316">
        <f t="shared" si="384"/>
        <v>2.2876228032269332</v>
      </c>
      <c r="H316">
        <f t="shared" si="383"/>
        <v>0.69845862525285518</v>
      </c>
    </row>
    <row r="317" spans="1:8">
      <c r="A317">
        <f t="shared" si="385"/>
        <v>0.45000000000000023</v>
      </c>
      <c r="B317">
        <f>SMALL('Gamma Target'!$K$14:$K$36,COUNTIF('Gamma Target'!$K$14:$K$36,"&lt;"&amp;A317)+1)</f>
        <v>0.60588643393299346</v>
      </c>
      <c r="C317">
        <f>LARGE('Gamma Target'!$K$14:$K$36,COUNTIF('Gamma Target'!$K$14:$K$36,"&gt;"&amp;A317)+1)</f>
        <v>0.44024837558576874</v>
      </c>
      <c r="D317">
        <f>INDEX('Gamma Target'!$L$14:$L$36,MATCH(B317,'Gamma Target'!$K$14:$K$36))</f>
        <v>2.2340371604553422</v>
      </c>
      <c r="E317">
        <f>INDEX('Gamma Target'!$L$14:$L$36,MATCH(C317,'Gamma Target'!$K$14:$K$36))</f>
        <v>2.2876153951347629</v>
      </c>
      <c r="F317">
        <f t="shared" si="382"/>
        <v>5.8873090590021916E-2</v>
      </c>
      <c r="G317">
        <f t="shared" si="384"/>
        <v>2.2844610788708279</v>
      </c>
      <c r="H317">
        <f t="shared" si="383"/>
        <v>0.70501319396130158</v>
      </c>
    </row>
    <row r="318" spans="1:8">
      <c r="A318">
        <f t="shared" si="385"/>
        <v>0.46000000000000024</v>
      </c>
      <c r="B318">
        <f>SMALL('Gamma Target'!$K$14:$K$36,COUNTIF('Gamma Target'!$K$14:$K$36,"&lt;"&amp;A318)+1)</f>
        <v>0.60588643393299346</v>
      </c>
      <c r="C318">
        <f>LARGE('Gamma Target'!$K$14:$K$36,COUNTIF('Gamma Target'!$K$14:$K$36,"&gt;"&amp;A318)+1)</f>
        <v>0.44024837558576874</v>
      </c>
      <c r="D318">
        <f>INDEX('Gamma Target'!$L$14:$L$36,MATCH(B318,'Gamma Target'!$K$14:$K$36))</f>
        <v>2.2340371604553422</v>
      </c>
      <c r="E318">
        <f>INDEX('Gamma Target'!$L$14:$L$36,MATCH(C318,'Gamma Target'!$K$14:$K$36))</f>
        <v>2.2876153951347629</v>
      </c>
      <c r="F318">
        <f t="shared" si="382"/>
        <v>0.11924568913278646</v>
      </c>
      <c r="G318">
        <f t="shared" si="384"/>
        <v>2.2812264216178972</v>
      </c>
      <c r="H318">
        <f t="shared" si="383"/>
        <v>0.71148588502943133</v>
      </c>
    </row>
    <row r="319" spans="1:8">
      <c r="A319">
        <f t="shared" si="385"/>
        <v>0.47000000000000025</v>
      </c>
      <c r="B319">
        <f>SMALL('Gamma Target'!$K$14:$K$36,COUNTIF('Gamma Target'!$K$14:$K$36,"&lt;"&amp;A319)+1)</f>
        <v>0.60588643393299346</v>
      </c>
      <c r="C319">
        <f>LARGE('Gamma Target'!$K$14:$K$36,COUNTIF('Gamma Target'!$K$14:$K$36,"&gt;"&amp;A319)+1)</f>
        <v>0.44024837558576874</v>
      </c>
      <c r="D319">
        <f>INDEX('Gamma Target'!$L$14:$L$36,MATCH(B319,'Gamma Target'!$K$14:$K$36))</f>
        <v>2.2340371604553422</v>
      </c>
      <c r="E319">
        <f>INDEX('Gamma Target'!$L$14:$L$36,MATCH(C319,'Gamma Target'!$K$14:$K$36))</f>
        <v>2.2876153951347629</v>
      </c>
      <c r="F319">
        <f t="shared" si="382"/>
        <v>0.17961828767555102</v>
      </c>
      <c r="G319">
        <f t="shared" si="384"/>
        <v>2.2779917643649665</v>
      </c>
      <c r="H319">
        <f t="shared" si="383"/>
        <v>0.71788765449694536</v>
      </c>
    </row>
    <row r="320" spans="1:8">
      <c r="A320">
        <f t="shared" si="385"/>
        <v>0.48000000000000026</v>
      </c>
      <c r="B320">
        <f>SMALL('Gamma Target'!$K$14:$K$36,COUNTIF('Gamma Target'!$K$14:$K$36,"&lt;"&amp;A320)+1)</f>
        <v>0.60588643393299346</v>
      </c>
      <c r="C320">
        <f>LARGE('Gamma Target'!$K$14:$K$36,COUNTIF('Gamma Target'!$K$14:$K$36,"&gt;"&amp;A320)+1)</f>
        <v>0.44024837558576874</v>
      </c>
      <c r="D320">
        <f>INDEX('Gamma Target'!$L$14:$L$36,MATCH(B320,'Gamma Target'!$K$14:$K$36))</f>
        <v>2.2340371604553422</v>
      </c>
      <c r="E320">
        <f>INDEX('Gamma Target'!$L$14:$L$36,MATCH(C320,'Gamma Target'!$K$14:$K$36))</f>
        <v>2.2876153951347629</v>
      </c>
      <c r="F320">
        <f t="shared" si="382"/>
        <v>0.23999088621831557</v>
      </c>
      <c r="G320">
        <f t="shared" si="384"/>
        <v>2.2747571071120358</v>
      </c>
      <c r="H320">
        <f t="shared" si="383"/>
        <v>0.72422130588833289</v>
      </c>
    </row>
    <row r="321" spans="1:8">
      <c r="A321">
        <f t="shared" si="385"/>
        <v>0.49000000000000027</v>
      </c>
      <c r="B321">
        <f>SMALL('Gamma Target'!$K$14:$K$36,COUNTIF('Gamma Target'!$K$14:$K$36,"&lt;"&amp;A321)+1)</f>
        <v>0.60588643393299346</v>
      </c>
      <c r="C321">
        <f>LARGE('Gamma Target'!$K$14:$K$36,COUNTIF('Gamma Target'!$K$14:$K$36,"&gt;"&amp;A321)+1)</f>
        <v>0.44024837558576874</v>
      </c>
      <c r="D321">
        <f>INDEX('Gamma Target'!$L$14:$L$36,MATCH(B321,'Gamma Target'!$K$14:$K$36))</f>
        <v>2.2340371604553422</v>
      </c>
      <c r="E321">
        <f>INDEX('Gamma Target'!$L$14:$L$36,MATCH(C321,'Gamma Target'!$K$14:$K$36))</f>
        <v>2.2876153951347629</v>
      </c>
      <c r="F321">
        <f t="shared" si="382"/>
        <v>0.3003634847610801</v>
      </c>
      <c r="G321">
        <f t="shared" si="384"/>
        <v>2.2715224498591051</v>
      </c>
      <c r="H321">
        <f t="shared" si="383"/>
        <v>0.73048949356052084</v>
      </c>
    </row>
    <row r="322" spans="1:8">
      <c r="A322">
        <f t="shared" si="385"/>
        <v>0.50000000000000022</v>
      </c>
      <c r="B322">
        <f>SMALL('Gamma Target'!$K$14:$K$36,COUNTIF('Gamma Target'!$K$14:$K$36,"&lt;"&amp;A322)+1)</f>
        <v>0.60588643393299346</v>
      </c>
      <c r="C322">
        <f>LARGE('Gamma Target'!$K$14:$K$36,COUNTIF('Gamma Target'!$K$14:$K$36,"&gt;"&amp;A322)+1)</f>
        <v>0.44024837558576874</v>
      </c>
      <c r="D322">
        <f>INDEX('Gamma Target'!$L$14:$L$36,MATCH(B322,'Gamma Target'!$K$14:$K$36))</f>
        <v>2.2340371604553422</v>
      </c>
      <c r="E322">
        <f>INDEX('Gamma Target'!$L$14:$L$36,MATCH(C322,'Gamma Target'!$K$14:$K$36))</f>
        <v>2.2876153951347629</v>
      </c>
      <c r="F322">
        <f t="shared" si="382"/>
        <v>0.36073608330384432</v>
      </c>
      <c r="G322">
        <f t="shared" si="384"/>
        <v>2.2682877926061744</v>
      </c>
      <c r="H322">
        <f t="shared" si="383"/>
        <v>0.73669473363758597</v>
      </c>
    </row>
    <row r="323" spans="1:8">
      <c r="A323">
        <f t="shared" si="385"/>
        <v>0.51000000000000023</v>
      </c>
      <c r="B323">
        <f>SMALL('Gamma Target'!$K$14:$K$36,COUNTIF('Gamma Target'!$K$14:$K$36,"&lt;"&amp;A323)+1)</f>
        <v>0.60588643393299346</v>
      </c>
      <c r="C323">
        <f>LARGE('Gamma Target'!$K$14:$K$36,COUNTIF('Gamma Target'!$K$14:$K$36,"&gt;"&amp;A323)+1)</f>
        <v>0.44024837558576874</v>
      </c>
      <c r="D323">
        <f>INDEX('Gamma Target'!$L$14:$L$36,MATCH(B323,'Gamma Target'!$K$14:$K$36))</f>
        <v>2.2340371604553422</v>
      </c>
      <c r="E323">
        <f>INDEX('Gamma Target'!$L$14:$L$36,MATCH(C323,'Gamma Target'!$K$14:$K$36))</f>
        <v>2.2876153951347629</v>
      </c>
      <c r="F323">
        <f t="shared" si="382"/>
        <v>0.42110868184660888</v>
      </c>
      <c r="G323">
        <f t="shared" si="384"/>
        <v>2.2650531353532437</v>
      </c>
      <c r="H323">
        <f t="shared" si="383"/>
        <v>0.7428394139463117</v>
      </c>
    </row>
    <row r="324" spans="1:8">
      <c r="A324">
        <f t="shared" si="385"/>
        <v>0.52000000000000024</v>
      </c>
      <c r="B324">
        <f>SMALL('Gamma Target'!$K$14:$K$36,COUNTIF('Gamma Target'!$K$14:$K$36,"&lt;"&amp;A324)+1)</f>
        <v>0.60588643393299346</v>
      </c>
      <c r="C324">
        <f>LARGE('Gamma Target'!$K$14:$K$36,COUNTIF('Gamma Target'!$K$14:$K$36,"&gt;"&amp;A324)+1)</f>
        <v>0.44024837558576874</v>
      </c>
      <c r="D324">
        <f>INDEX('Gamma Target'!$L$14:$L$36,MATCH(B324,'Gamma Target'!$K$14:$K$36))</f>
        <v>2.2340371604553422</v>
      </c>
      <c r="E324">
        <f>INDEX('Gamma Target'!$L$14:$L$36,MATCH(C324,'Gamma Target'!$K$14:$K$36))</f>
        <v>2.2876153951347629</v>
      </c>
      <c r="F324">
        <f t="shared" si="382"/>
        <v>0.48148128038937343</v>
      </c>
      <c r="G324">
        <f t="shared" si="384"/>
        <v>2.261818478100313</v>
      </c>
      <c r="H324">
        <f t="shared" si="383"/>
        <v>0.74892580306156431</v>
      </c>
    </row>
    <row r="325" spans="1:8">
      <c r="A325">
        <f t="shared" si="385"/>
        <v>0.53000000000000025</v>
      </c>
      <c r="B325">
        <f>SMALL('Gamma Target'!$K$14:$K$36,COUNTIF('Gamma Target'!$K$14:$K$36,"&lt;"&amp;A325)+1)</f>
        <v>0.60588643393299346</v>
      </c>
      <c r="C325">
        <f>LARGE('Gamma Target'!$K$14:$K$36,COUNTIF('Gamma Target'!$K$14:$K$36,"&gt;"&amp;A325)+1)</f>
        <v>0.44024837558576874</v>
      </c>
      <c r="D325">
        <f>INDEX('Gamma Target'!$L$14:$L$36,MATCH(B325,'Gamma Target'!$K$14:$K$36))</f>
        <v>2.2340371604553422</v>
      </c>
      <c r="E325">
        <f>INDEX('Gamma Target'!$L$14:$L$36,MATCH(C325,'Gamma Target'!$K$14:$K$36))</f>
        <v>2.2876153951347629</v>
      </c>
      <c r="F325">
        <f t="shared" si="382"/>
        <v>0.54185387893213799</v>
      </c>
      <c r="G325">
        <f t="shared" si="384"/>
        <v>2.2585838208473823</v>
      </c>
      <c r="H325">
        <f t="shared" si="383"/>
        <v>0.75495605855672276</v>
      </c>
    </row>
    <row r="326" spans="1:8">
      <c r="A326">
        <f t="shared" si="385"/>
        <v>0.54000000000000026</v>
      </c>
      <c r="B326">
        <f>SMALL('Gamma Target'!$K$14:$K$36,COUNTIF('Gamma Target'!$K$14:$K$36,"&lt;"&amp;A326)+1)</f>
        <v>0.60588643393299346</v>
      </c>
      <c r="C326">
        <f>LARGE('Gamma Target'!$K$14:$K$36,COUNTIF('Gamma Target'!$K$14:$K$36,"&gt;"&amp;A326)+1)</f>
        <v>0.44024837558576874</v>
      </c>
      <c r="D326">
        <f>INDEX('Gamma Target'!$L$14:$L$36,MATCH(B326,'Gamma Target'!$K$14:$K$36))</f>
        <v>2.2340371604553422</v>
      </c>
      <c r="E326">
        <f>INDEX('Gamma Target'!$L$14:$L$36,MATCH(C326,'Gamma Target'!$K$14:$K$36))</f>
        <v>2.2876153951347629</v>
      </c>
      <c r="F326">
        <f t="shared" si="382"/>
        <v>0.60222647747490254</v>
      </c>
      <c r="G326">
        <f t="shared" si="384"/>
        <v>2.2553491635944516</v>
      </c>
      <c r="H326">
        <f t="shared" si="383"/>
        <v>0.76093223454261616</v>
      </c>
    </row>
    <row r="327" spans="1:8">
      <c r="A327">
        <f t="shared" si="385"/>
        <v>0.55000000000000027</v>
      </c>
      <c r="B327">
        <f>SMALL('Gamma Target'!$K$14:$K$36,COUNTIF('Gamma Target'!$K$14:$K$36,"&lt;"&amp;A327)+1)</f>
        <v>0.60588643393299346</v>
      </c>
      <c r="C327">
        <f>LARGE('Gamma Target'!$K$14:$K$36,COUNTIF('Gamma Target'!$K$14:$K$36,"&gt;"&amp;A327)+1)</f>
        <v>0.44024837558576874</v>
      </c>
      <c r="D327">
        <f>INDEX('Gamma Target'!$L$14:$L$36,MATCH(B327,'Gamma Target'!$K$14:$K$36))</f>
        <v>2.2340371604553422</v>
      </c>
      <c r="E327">
        <f>INDEX('Gamma Target'!$L$14:$L$36,MATCH(C327,'Gamma Target'!$K$14:$K$36))</f>
        <v>2.2876153951347629</v>
      </c>
      <c r="F327">
        <f t="shared" ref="F327:F358" si="386">(A327-C327)/(B327-C327)</f>
        <v>0.6625990760176671</v>
      </c>
      <c r="G327">
        <f t="shared" si="384"/>
        <v>2.2521145063415209</v>
      </c>
      <c r="H327">
        <f t="shared" ref="H327:H358" si="387">A327^(1/G327)</f>
        <v>0.76685628856829169</v>
      </c>
    </row>
    <row r="328" spans="1:8">
      <c r="A328">
        <f t="shared" si="385"/>
        <v>0.56000000000000028</v>
      </c>
      <c r="B328">
        <f>SMALL('Gamma Target'!$K$14:$K$36,COUNTIF('Gamma Target'!$K$14:$K$36,"&lt;"&amp;A328)+1)</f>
        <v>0.60588643393299346</v>
      </c>
      <c r="C328">
        <f>LARGE('Gamma Target'!$K$14:$K$36,COUNTIF('Gamma Target'!$K$14:$K$36,"&gt;"&amp;A328)+1)</f>
        <v>0.44024837558576874</v>
      </c>
      <c r="D328">
        <f>INDEX('Gamma Target'!$L$14:$L$36,MATCH(B328,'Gamma Target'!$K$14:$K$36))</f>
        <v>2.2340371604553422</v>
      </c>
      <c r="E328">
        <f>INDEX('Gamma Target'!$L$14:$L$36,MATCH(C328,'Gamma Target'!$K$14:$K$36))</f>
        <v>2.2876153951347629</v>
      </c>
      <c r="F328">
        <f t="shared" si="386"/>
        <v>0.72297167456043165</v>
      </c>
      <c r="G328">
        <f t="shared" si="384"/>
        <v>2.2488798490885902</v>
      </c>
      <c r="H328">
        <f t="shared" si="387"/>
        <v>0.77273008794818754</v>
      </c>
    </row>
    <row r="329" spans="1:8">
      <c r="A329">
        <f t="shared" si="385"/>
        <v>0.57000000000000028</v>
      </c>
      <c r="B329">
        <f>SMALL('Gamma Target'!$K$14:$K$36,COUNTIF('Gamma Target'!$K$14:$K$36,"&lt;"&amp;A329)+1)</f>
        <v>0.60588643393299346</v>
      </c>
      <c r="C329">
        <f>LARGE('Gamma Target'!$K$14:$K$36,COUNTIF('Gamma Target'!$K$14:$K$36,"&gt;"&amp;A329)+1)</f>
        <v>0.44024837558576874</v>
      </c>
      <c r="D329">
        <f>INDEX('Gamma Target'!$L$14:$L$36,MATCH(B329,'Gamma Target'!$K$14:$K$36))</f>
        <v>2.2340371604553422</v>
      </c>
      <c r="E329">
        <f>INDEX('Gamma Target'!$L$14:$L$36,MATCH(C329,'Gamma Target'!$K$14:$K$36))</f>
        <v>2.2876153951347629</v>
      </c>
      <c r="F329">
        <f t="shared" si="386"/>
        <v>0.78334427310319621</v>
      </c>
      <c r="G329">
        <f t="shared" si="384"/>
        <v>2.2456451918356595</v>
      </c>
      <c r="H329">
        <f t="shared" si="387"/>
        <v>0.77855541557272911</v>
      </c>
    </row>
    <row r="330" spans="1:8">
      <c r="A330">
        <f t="shared" si="385"/>
        <v>0.58000000000000029</v>
      </c>
      <c r="B330">
        <f>SMALL('Gamma Target'!$K$14:$K$36,COUNTIF('Gamma Target'!$K$14:$K$36,"&lt;"&amp;A330)+1)</f>
        <v>0.60588643393299346</v>
      </c>
      <c r="C330">
        <f>LARGE('Gamma Target'!$K$14:$K$36,COUNTIF('Gamma Target'!$K$14:$K$36,"&gt;"&amp;A330)+1)</f>
        <v>0.44024837558576874</v>
      </c>
      <c r="D330">
        <f>INDEX('Gamma Target'!$L$14:$L$36,MATCH(B330,'Gamma Target'!$K$14:$K$36))</f>
        <v>2.2340371604553422</v>
      </c>
      <c r="E330">
        <f>INDEX('Gamma Target'!$L$14:$L$36,MATCH(C330,'Gamma Target'!$K$14:$K$36))</f>
        <v>2.2876153951347629</v>
      </c>
      <c r="F330">
        <f t="shared" si="386"/>
        <v>0.84371687164596076</v>
      </c>
      <c r="G330">
        <f t="shared" si="384"/>
        <v>2.2424105345827288</v>
      </c>
      <c r="H330">
        <f t="shared" si="387"/>
        <v>0.78433397525280002</v>
      </c>
    </row>
    <row r="331" spans="1:8">
      <c r="A331">
        <f t="shared" si="385"/>
        <v>0.5900000000000003</v>
      </c>
      <c r="B331">
        <f>SMALL('Gamma Target'!$K$14:$K$36,COUNTIF('Gamma Target'!$K$14:$K$36,"&lt;"&amp;A331)+1)</f>
        <v>0.60588643393299346</v>
      </c>
      <c r="C331">
        <f>LARGE('Gamma Target'!$K$14:$K$36,COUNTIF('Gamma Target'!$K$14:$K$36,"&gt;"&amp;A331)+1)</f>
        <v>0.44024837558576874</v>
      </c>
      <c r="D331">
        <f>INDEX('Gamma Target'!$L$14:$L$36,MATCH(B331,'Gamma Target'!$K$14:$K$36))</f>
        <v>2.2340371604553422</v>
      </c>
      <c r="E331">
        <f>INDEX('Gamma Target'!$L$14:$L$36,MATCH(C331,'Gamma Target'!$K$14:$K$36))</f>
        <v>2.2876153951347629</v>
      </c>
      <c r="F331">
        <f t="shared" si="386"/>
        <v>0.90408947018872532</v>
      </c>
      <c r="G331">
        <f t="shared" si="384"/>
        <v>2.2391758773297981</v>
      </c>
      <c r="H331">
        <f t="shared" si="387"/>
        <v>0.79006739664283565</v>
      </c>
    </row>
    <row r="332" spans="1:8">
      <c r="A332">
        <f t="shared" si="385"/>
        <v>0.60000000000000031</v>
      </c>
      <c r="B332">
        <f>SMALL('Gamma Target'!$K$14:$K$36,COUNTIF('Gamma Target'!$K$14:$K$36,"&lt;"&amp;A332)+1)</f>
        <v>0.60588643393299346</v>
      </c>
      <c r="C332">
        <f>LARGE('Gamma Target'!$K$14:$K$36,COUNTIF('Gamma Target'!$K$14:$K$36,"&gt;"&amp;A332)+1)</f>
        <v>0.44024837558576874</v>
      </c>
      <c r="D332">
        <f>INDEX('Gamma Target'!$L$14:$L$36,MATCH(B332,'Gamma Target'!$K$14:$K$36))</f>
        <v>2.2340371604553422</v>
      </c>
      <c r="E332">
        <f>INDEX('Gamma Target'!$L$14:$L$36,MATCH(C332,'Gamma Target'!$K$14:$K$36))</f>
        <v>2.2876153951347629</v>
      </c>
      <c r="F332">
        <f t="shared" si="386"/>
        <v>0.96446206873148976</v>
      </c>
      <c r="G332">
        <f t="shared" si="384"/>
        <v>2.2359412200768674</v>
      </c>
      <c r="H332">
        <f t="shared" si="387"/>
        <v>0.79575723978231228</v>
      </c>
    </row>
    <row r="333" spans="1:8">
      <c r="A333">
        <f t="shared" si="385"/>
        <v>0.61000000000000032</v>
      </c>
      <c r="B333">
        <f>SMALL('Gamma Target'!$K$14:$K$36,COUNTIF('Gamma Target'!$K$14:$K$36,"&lt;"&amp;A333)+1)</f>
        <v>0.78639715683346023</v>
      </c>
      <c r="C333">
        <f>LARGE('Gamma Target'!$K$14:$K$36,COUNTIF('Gamma Target'!$K$14:$K$36,"&gt;"&amp;A333)+1)</f>
        <v>0.60588643393299346</v>
      </c>
      <c r="D333">
        <f>INDEX('Gamma Target'!$L$14:$L$36,MATCH(B333,'Gamma Target'!$K$14:$K$36))</f>
        <v>2.2697446171467162</v>
      </c>
      <c r="E333">
        <f>INDEX('Gamma Target'!$L$14:$L$36,MATCH(C333,'Gamma Target'!$K$14:$K$36))</f>
        <v>2.2340371604553422</v>
      </c>
      <c r="F333">
        <f t="shared" si="386"/>
        <v>2.2788485918784279E-2</v>
      </c>
      <c r="G333">
        <f t="shared" ref="G333:G364" si="388">IFERROR(F333*(D333-E333)+E333,G332)</f>
        <v>2.2348508793293491</v>
      </c>
      <c r="H333">
        <f t="shared" si="387"/>
        <v>0.80157525208310387</v>
      </c>
    </row>
    <row r="334" spans="1:8">
      <c r="A334">
        <f t="shared" si="385"/>
        <v>0.62000000000000033</v>
      </c>
      <c r="B334">
        <f>SMALL('Gamma Target'!$K$14:$K$36,COUNTIF('Gamma Target'!$K$14:$K$36,"&lt;"&amp;A334)+1)</f>
        <v>0.78639715683346023</v>
      </c>
      <c r="C334">
        <f>LARGE('Gamma Target'!$K$14:$K$36,COUNTIF('Gamma Target'!$K$14:$K$36,"&gt;"&amp;A334)+1)</f>
        <v>0.60588643393299346</v>
      </c>
      <c r="D334">
        <f>INDEX('Gamma Target'!$L$14:$L$36,MATCH(B334,'Gamma Target'!$K$14:$K$36))</f>
        <v>2.2697446171467162</v>
      </c>
      <c r="E334">
        <f>INDEX('Gamma Target'!$L$14:$L$36,MATCH(C334,'Gamma Target'!$K$14:$K$36))</f>
        <v>2.2340371604553422</v>
      </c>
      <c r="F334">
        <f t="shared" si="386"/>
        <v>7.8186856936964658E-2</v>
      </c>
      <c r="G334">
        <f t="shared" si="388"/>
        <v>2.2368290142632534</v>
      </c>
      <c r="H334">
        <f t="shared" si="387"/>
        <v>0.80758144078547467</v>
      </c>
    </row>
    <row r="335" spans="1:8">
      <c r="A335">
        <f t="shared" si="385"/>
        <v>0.63000000000000034</v>
      </c>
      <c r="B335">
        <f>SMALL('Gamma Target'!$K$14:$K$36,COUNTIF('Gamma Target'!$K$14:$K$36,"&lt;"&amp;A335)+1)</f>
        <v>0.78639715683346023</v>
      </c>
      <c r="C335">
        <f>LARGE('Gamma Target'!$K$14:$K$36,COUNTIF('Gamma Target'!$K$14:$K$36,"&gt;"&amp;A335)+1)</f>
        <v>0.60588643393299346</v>
      </c>
      <c r="D335">
        <f>INDEX('Gamma Target'!$L$14:$L$36,MATCH(B335,'Gamma Target'!$K$14:$K$36))</f>
        <v>2.2697446171467162</v>
      </c>
      <c r="E335">
        <f>INDEX('Gamma Target'!$L$14:$L$36,MATCH(C335,'Gamma Target'!$K$14:$K$36))</f>
        <v>2.2340371604553422</v>
      </c>
      <c r="F335">
        <f t="shared" si="386"/>
        <v>0.13358522795514505</v>
      </c>
      <c r="G335">
        <f t="shared" si="388"/>
        <v>2.2388071491971577</v>
      </c>
      <c r="H335">
        <f t="shared" si="387"/>
        <v>0.81352735227347783</v>
      </c>
    </row>
    <row r="336" spans="1:8">
      <c r="A336">
        <f t="shared" si="385"/>
        <v>0.64000000000000035</v>
      </c>
      <c r="B336">
        <f>SMALL('Gamma Target'!$K$14:$K$36,COUNTIF('Gamma Target'!$K$14:$K$36,"&lt;"&amp;A336)+1)</f>
        <v>0.78639715683346023</v>
      </c>
      <c r="C336">
        <f>LARGE('Gamma Target'!$K$14:$K$36,COUNTIF('Gamma Target'!$K$14:$K$36,"&gt;"&amp;A336)+1)</f>
        <v>0.60588643393299346</v>
      </c>
      <c r="D336">
        <f>INDEX('Gamma Target'!$L$14:$L$36,MATCH(B336,'Gamma Target'!$K$14:$K$36))</f>
        <v>2.2697446171467162</v>
      </c>
      <c r="E336">
        <f>INDEX('Gamma Target'!$L$14:$L$36,MATCH(C336,'Gamma Target'!$K$14:$K$36))</f>
        <v>2.2340371604553422</v>
      </c>
      <c r="F336">
        <f t="shared" si="386"/>
        <v>0.18898359897332542</v>
      </c>
      <c r="G336">
        <f t="shared" si="388"/>
        <v>2.240785284131062</v>
      </c>
      <c r="H336">
        <f t="shared" si="387"/>
        <v>0.81941427595220617</v>
      </c>
    </row>
    <row r="337" spans="1:8">
      <c r="A337">
        <f t="shared" si="385"/>
        <v>0.65000000000000036</v>
      </c>
      <c r="B337">
        <f>SMALL('Gamma Target'!$K$14:$K$36,COUNTIF('Gamma Target'!$K$14:$K$36,"&lt;"&amp;A337)+1)</f>
        <v>0.78639715683346023</v>
      </c>
      <c r="C337">
        <f>LARGE('Gamma Target'!$K$14:$K$36,COUNTIF('Gamma Target'!$K$14:$K$36,"&gt;"&amp;A337)+1)</f>
        <v>0.60588643393299346</v>
      </c>
      <c r="D337">
        <f>INDEX('Gamma Target'!$L$14:$L$36,MATCH(B337,'Gamma Target'!$K$14:$K$36))</f>
        <v>2.2697446171467162</v>
      </c>
      <c r="E337">
        <f>INDEX('Gamma Target'!$L$14:$L$36,MATCH(C337,'Gamma Target'!$K$14:$K$36))</f>
        <v>2.2340371604553422</v>
      </c>
      <c r="F337">
        <f t="shared" si="386"/>
        <v>0.24438196999150583</v>
      </c>
      <c r="G337">
        <f t="shared" si="388"/>
        <v>2.2427634190649663</v>
      </c>
      <c r="H337">
        <f t="shared" si="387"/>
        <v>0.82524345225431106</v>
      </c>
    </row>
    <row r="338" spans="1:8">
      <c r="A338">
        <f t="shared" si="385"/>
        <v>0.66000000000000036</v>
      </c>
      <c r="B338">
        <f>SMALL('Gamma Target'!$K$14:$K$36,COUNTIF('Gamma Target'!$K$14:$K$36,"&lt;"&amp;A338)+1)</f>
        <v>0.78639715683346023</v>
      </c>
      <c r="C338">
        <f>LARGE('Gamma Target'!$K$14:$K$36,COUNTIF('Gamma Target'!$K$14:$K$36,"&gt;"&amp;A338)+1)</f>
        <v>0.60588643393299346</v>
      </c>
      <c r="D338">
        <f>INDEX('Gamma Target'!$L$14:$L$36,MATCH(B338,'Gamma Target'!$K$14:$K$36))</f>
        <v>2.2697446171467162</v>
      </c>
      <c r="E338">
        <f>INDEX('Gamma Target'!$L$14:$L$36,MATCH(C338,'Gamma Target'!$K$14:$K$36))</f>
        <v>2.2340371604553422</v>
      </c>
      <c r="F338">
        <f t="shared" si="386"/>
        <v>0.2997803410096862</v>
      </c>
      <c r="G338">
        <f t="shared" si="388"/>
        <v>2.2447415539988707</v>
      </c>
      <c r="H338">
        <f t="shared" si="387"/>
        <v>0.83101607527160604</v>
      </c>
    </row>
    <row r="339" spans="1:8">
      <c r="A339">
        <f t="shared" si="385"/>
        <v>0.67000000000000037</v>
      </c>
      <c r="B339">
        <f>SMALL('Gamma Target'!$K$14:$K$36,COUNTIF('Gamma Target'!$K$14:$K$36,"&lt;"&amp;A339)+1)</f>
        <v>0.78639715683346023</v>
      </c>
      <c r="C339">
        <f>LARGE('Gamma Target'!$K$14:$K$36,COUNTIF('Gamma Target'!$K$14:$K$36,"&gt;"&amp;A339)+1)</f>
        <v>0.60588643393299346</v>
      </c>
      <c r="D339">
        <f>INDEX('Gamma Target'!$L$14:$L$36,MATCH(B339,'Gamma Target'!$K$14:$K$36))</f>
        <v>2.2697446171467162</v>
      </c>
      <c r="E339">
        <f>INDEX('Gamma Target'!$L$14:$L$36,MATCH(C339,'Gamma Target'!$K$14:$K$36))</f>
        <v>2.2340371604553422</v>
      </c>
      <c r="F339">
        <f t="shared" si="386"/>
        <v>0.35517871202786661</v>
      </c>
      <c r="G339">
        <f t="shared" si="388"/>
        <v>2.2467196889327754</v>
      </c>
      <c r="H339">
        <f t="shared" si="387"/>
        <v>0.83673329520698259</v>
      </c>
    </row>
    <row r="340" spans="1:8">
      <c r="A340">
        <f t="shared" si="385"/>
        <v>0.68000000000000038</v>
      </c>
      <c r="B340">
        <f>SMALL('Gamma Target'!$K$14:$K$36,COUNTIF('Gamma Target'!$K$14:$K$36,"&lt;"&amp;A340)+1)</f>
        <v>0.78639715683346023</v>
      </c>
      <c r="C340">
        <f>LARGE('Gamma Target'!$K$14:$K$36,COUNTIF('Gamma Target'!$K$14:$K$36,"&gt;"&amp;A340)+1)</f>
        <v>0.60588643393299346</v>
      </c>
      <c r="D340">
        <f>INDEX('Gamma Target'!$L$14:$L$36,MATCH(B340,'Gamma Target'!$K$14:$K$36))</f>
        <v>2.2697446171467162</v>
      </c>
      <c r="E340">
        <f>INDEX('Gamma Target'!$L$14:$L$36,MATCH(C340,'Gamma Target'!$K$14:$K$36))</f>
        <v>2.2340371604553422</v>
      </c>
      <c r="F340">
        <f t="shared" si="386"/>
        <v>0.41057708304604701</v>
      </c>
      <c r="G340">
        <f t="shared" si="388"/>
        <v>2.2486978238666797</v>
      </c>
      <c r="H340">
        <f t="shared" si="387"/>
        <v>0.84239622066140929</v>
      </c>
    </row>
    <row r="341" spans="1:8">
      <c r="A341">
        <f t="shared" si="385"/>
        <v>0.69000000000000039</v>
      </c>
      <c r="B341">
        <f>SMALL('Gamma Target'!$K$14:$K$36,COUNTIF('Gamma Target'!$K$14:$K$36,"&lt;"&amp;A341)+1)</f>
        <v>0.78639715683346023</v>
      </c>
      <c r="C341">
        <f>LARGE('Gamma Target'!$K$14:$K$36,COUNTIF('Gamma Target'!$K$14:$K$36,"&gt;"&amp;A341)+1)</f>
        <v>0.60588643393299346</v>
      </c>
      <c r="D341">
        <f>INDEX('Gamma Target'!$L$14:$L$36,MATCH(B341,'Gamma Target'!$K$14:$K$36))</f>
        <v>2.2697446171467162</v>
      </c>
      <c r="E341">
        <f>INDEX('Gamma Target'!$L$14:$L$36,MATCH(C341,'Gamma Target'!$K$14:$K$36))</f>
        <v>2.2340371604553422</v>
      </c>
      <c r="F341">
        <f t="shared" si="386"/>
        <v>0.46597545406422736</v>
      </c>
      <c r="G341">
        <f t="shared" si="388"/>
        <v>2.250675958800584</v>
      </c>
      <c r="H341">
        <f t="shared" si="387"/>
        <v>0.84800592076936987</v>
      </c>
    </row>
    <row r="342" spans="1:8">
      <c r="A342">
        <f t="shared" si="385"/>
        <v>0.7000000000000004</v>
      </c>
      <c r="B342">
        <f>SMALL('Gamma Target'!$K$14:$K$36,COUNTIF('Gamma Target'!$K$14:$K$36,"&lt;"&amp;A342)+1)</f>
        <v>0.78639715683346023</v>
      </c>
      <c r="C342">
        <f>LARGE('Gamma Target'!$K$14:$K$36,COUNTIF('Gamma Target'!$K$14:$K$36,"&gt;"&amp;A342)+1)</f>
        <v>0.60588643393299346</v>
      </c>
      <c r="D342">
        <f>INDEX('Gamma Target'!$L$14:$L$36,MATCH(B342,'Gamma Target'!$K$14:$K$36))</f>
        <v>2.2697446171467162</v>
      </c>
      <c r="E342">
        <f>INDEX('Gamma Target'!$L$14:$L$36,MATCH(C342,'Gamma Target'!$K$14:$K$36))</f>
        <v>2.2340371604553422</v>
      </c>
      <c r="F342">
        <f t="shared" si="386"/>
        <v>0.5213738250824077</v>
      </c>
      <c r="G342">
        <f t="shared" si="388"/>
        <v>2.2526540937344883</v>
      </c>
      <c r="H342">
        <f t="shared" si="387"/>
        <v>0.85356342719483691</v>
      </c>
    </row>
    <row r="343" spans="1:8">
      <c r="A343">
        <f t="shared" ref="A343:A372" si="389">A342+0.01</f>
        <v>0.71000000000000041</v>
      </c>
      <c r="B343">
        <f>SMALL('Gamma Target'!$K$14:$K$36,COUNTIF('Gamma Target'!$K$14:$K$36,"&lt;"&amp;A343)+1)</f>
        <v>0.78639715683346023</v>
      </c>
      <c r="C343">
        <f>LARGE('Gamma Target'!$K$14:$K$36,COUNTIF('Gamma Target'!$K$14:$K$36,"&gt;"&amp;A343)+1)</f>
        <v>0.60588643393299346</v>
      </c>
      <c r="D343">
        <f>INDEX('Gamma Target'!$L$14:$L$36,MATCH(B343,'Gamma Target'!$K$14:$K$36))</f>
        <v>2.2697446171467162</v>
      </c>
      <c r="E343">
        <f>INDEX('Gamma Target'!$L$14:$L$36,MATCH(C343,'Gamma Target'!$K$14:$K$36))</f>
        <v>2.2340371604553422</v>
      </c>
      <c r="F343">
        <f t="shared" si="386"/>
        <v>0.57677219610058816</v>
      </c>
      <c r="G343">
        <f t="shared" si="388"/>
        <v>2.2546322286683926</v>
      </c>
      <c r="H343">
        <f t="shared" si="387"/>
        <v>0.85906973599875525</v>
      </c>
    </row>
    <row r="344" spans="1:8">
      <c r="A344">
        <f t="shared" si="389"/>
        <v>0.72000000000000042</v>
      </c>
      <c r="B344">
        <f>SMALL('Gamma Target'!$K$14:$K$36,COUNTIF('Gamma Target'!$K$14:$K$36,"&lt;"&amp;A344)+1)</f>
        <v>0.78639715683346023</v>
      </c>
      <c r="C344">
        <f>LARGE('Gamma Target'!$K$14:$K$36,COUNTIF('Gamma Target'!$K$14:$K$36,"&gt;"&amp;A344)+1)</f>
        <v>0.60588643393299346</v>
      </c>
      <c r="D344">
        <f>INDEX('Gamma Target'!$L$14:$L$36,MATCH(B344,'Gamma Target'!$K$14:$K$36))</f>
        <v>2.2697446171467162</v>
      </c>
      <c r="E344">
        <f>INDEX('Gamma Target'!$L$14:$L$36,MATCH(C344,'Gamma Target'!$K$14:$K$36))</f>
        <v>2.2340371604553422</v>
      </c>
      <c r="F344">
        <f t="shared" si="386"/>
        <v>0.63217056711876851</v>
      </c>
      <c r="G344">
        <f t="shared" si="388"/>
        <v>2.2566103636022969</v>
      </c>
      <c r="H344">
        <f t="shared" si="387"/>
        <v>0.86452580938800128</v>
      </c>
    </row>
    <row r="345" spans="1:8">
      <c r="A345">
        <f t="shared" si="389"/>
        <v>0.73000000000000043</v>
      </c>
      <c r="B345">
        <f>SMALL('Gamma Target'!$K$14:$K$36,COUNTIF('Gamma Target'!$K$14:$K$36,"&lt;"&amp;A345)+1)</f>
        <v>0.78639715683346023</v>
      </c>
      <c r="C345">
        <f>LARGE('Gamma Target'!$K$14:$K$36,COUNTIF('Gamma Target'!$K$14:$K$36,"&gt;"&amp;A345)+1)</f>
        <v>0.60588643393299346</v>
      </c>
      <c r="D345">
        <f>INDEX('Gamma Target'!$L$14:$L$36,MATCH(B345,'Gamma Target'!$K$14:$K$36))</f>
        <v>2.2697446171467162</v>
      </c>
      <c r="E345">
        <f>INDEX('Gamma Target'!$L$14:$L$36,MATCH(C345,'Gamma Target'!$K$14:$K$36))</f>
        <v>2.2340371604553422</v>
      </c>
      <c r="F345">
        <f t="shared" si="386"/>
        <v>0.68756893813694897</v>
      </c>
      <c r="G345">
        <f t="shared" si="388"/>
        <v>2.2585884985362013</v>
      </c>
      <c r="H345">
        <f t="shared" si="387"/>
        <v>0.86993257735488683</v>
      </c>
    </row>
    <row r="346" spans="1:8">
      <c r="A346">
        <f t="shared" si="389"/>
        <v>0.74000000000000044</v>
      </c>
      <c r="B346">
        <f>SMALL('Gamma Target'!$K$14:$K$36,COUNTIF('Gamma Target'!$K$14:$K$36,"&lt;"&amp;A346)+1)</f>
        <v>0.78639715683346023</v>
      </c>
      <c r="C346">
        <f>LARGE('Gamma Target'!$K$14:$K$36,COUNTIF('Gamma Target'!$K$14:$K$36,"&gt;"&amp;A346)+1)</f>
        <v>0.60588643393299346</v>
      </c>
      <c r="D346">
        <f>INDEX('Gamma Target'!$L$14:$L$36,MATCH(B346,'Gamma Target'!$K$14:$K$36))</f>
        <v>2.2697446171467162</v>
      </c>
      <c r="E346">
        <f>INDEX('Gamma Target'!$L$14:$L$36,MATCH(C346,'Gamma Target'!$K$14:$K$36))</f>
        <v>2.2340371604553422</v>
      </c>
      <c r="F346">
        <f t="shared" si="386"/>
        <v>0.74296730915512932</v>
      </c>
      <c r="G346">
        <f t="shared" si="388"/>
        <v>2.2605666334701056</v>
      </c>
      <c r="H346">
        <f t="shared" si="387"/>
        <v>0.87529093921546341</v>
      </c>
    </row>
    <row r="347" spans="1:8">
      <c r="A347">
        <f t="shared" si="389"/>
        <v>0.75000000000000044</v>
      </c>
      <c r="B347">
        <f>SMALL('Gamma Target'!$K$14:$K$36,COUNTIF('Gamma Target'!$K$14:$K$36,"&lt;"&amp;A347)+1)</f>
        <v>0.78639715683346023</v>
      </c>
      <c r="C347">
        <f>LARGE('Gamma Target'!$K$14:$K$36,COUNTIF('Gamma Target'!$K$14:$K$36,"&gt;"&amp;A347)+1)</f>
        <v>0.60588643393299346</v>
      </c>
      <c r="D347">
        <f>INDEX('Gamma Target'!$L$14:$L$36,MATCH(B347,'Gamma Target'!$K$14:$K$36))</f>
        <v>2.2697446171467162</v>
      </c>
      <c r="E347">
        <f>INDEX('Gamma Target'!$L$14:$L$36,MATCH(C347,'Gamma Target'!$K$14:$K$36))</f>
        <v>2.2340371604553422</v>
      </c>
      <c r="F347">
        <f t="shared" si="386"/>
        <v>0.79836568017330967</v>
      </c>
      <c r="G347">
        <f t="shared" si="388"/>
        <v>2.2625447684040099</v>
      </c>
      <c r="H347">
        <f t="shared" si="387"/>
        <v>0.88060176505416221</v>
      </c>
    </row>
    <row r="348" spans="1:8">
      <c r="A348">
        <f t="shared" si="389"/>
        <v>0.76000000000000045</v>
      </c>
      <c r="B348">
        <f>SMALL('Gamma Target'!$K$14:$K$36,COUNTIF('Gamma Target'!$K$14:$K$36,"&lt;"&amp;A348)+1)</f>
        <v>0.78639715683346023</v>
      </c>
      <c r="C348">
        <f>LARGE('Gamma Target'!$K$14:$K$36,COUNTIF('Gamma Target'!$K$14:$K$36,"&gt;"&amp;A348)+1)</f>
        <v>0.60588643393299346</v>
      </c>
      <c r="D348">
        <f>INDEX('Gamma Target'!$L$14:$L$36,MATCH(B348,'Gamma Target'!$K$14:$K$36))</f>
        <v>2.2697446171467162</v>
      </c>
      <c r="E348">
        <f>INDEX('Gamma Target'!$L$14:$L$36,MATCH(C348,'Gamma Target'!$K$14:$K$36))</f>
        <v>2.2340371604553422</v>
      </c>
      <c r="F348">
        <f t="shared" si="386"/>
        <v>0.85376405119149013</v>
      </c>
      <c r="G348">
        <f t="shared" si="388"/>
        <v>2.2645229033379142</v>
      </c>
      <c r="H348">
        <f t="shared" si="387"/>
        <v>0.88586589708164731</v>
      </c>
    </row>
    <row r="349" spans="1:8">
      <c r="A349">
        <f t="shared" si="389"/>
        <v>0.77000000000000046</v>
      </c>
      <c r="B349">
        <f>SMALL('Gamma Target'!$K$14:$K$36,COUNTIF('Gamma Target'!$K$14:$K$36,"&lt;"&amp;A349)+1)</f>
        <v>0.78639715683346023</v>
      </c>
      <c r="C349">
        <f>LARGE('Gamma Target'!$K$14:$K$36,COUNTIF('Gamma Target'!$K$14:$K$36,"&gt;"&amp;A349)+1)</f>
        <v>0.60588643393299346</v>
      </c>
      <c r="D349">
        <f>INDEX('Gamma Target'!$L$14:$L$36,MATCH(B349,'Gamma Target'!$K$14:$K$36))</f>
        <v>2.2697446171467162</v>
      </c>
      <c r="E349">
        <f>INDEX('Gamma Target'!$L$14:$L$36,MATCH(C349,'Gamma Target'!$K$14:$K$36))</f>
        <v>2.2340371604553422</v>
      </c>
      <c r="F349">
        <f t="shared" si="386"/>
        <v>0.90916242220967047</v>
      </c>
      <c r="G349">
        <f t="shared" si="388"/>
        <v>2.2665010382718185</v>
      </c>
      <c r="H349">
        <f t="shared" si="387"/>
        <v>0.89108415091217186</v>
      </c>
    </row>
    <row r="350" spans="1:8">
      <c r="A350">
        <f t="shared" si="389"/>
        <v>0.78000000000000047</v>
      </c>
      <c r="B350">
        <f>SMALL('Gamma Target'!$K$14:$K$36,COUNTIF('Gamma Target'!$K$14:$K$36,"&lt;"&amp;A350)+1)</f>
        <v>0.78639715683346023</v>
      </c>
      <c r="C350">
        <f>LARGE('Gamma Target'!$K$14:$K$36,COUNTIF('Gamma Target'!$K$14:$K$36,"&gt;"&amp;A350)+1)</f>
        <v>0.60588643393299346</v>
      </c>
      <c r="D350">
        <f>INDEX('Gamma Target'!$L$14:$L$36,MATCH(B350,'Gamma Target'!$K$14:$K$36))</f>
        <v>2.2697446171467162</v>
      </c>
      <c r="E350">
        <f>INDEX('Gamma Target'!$L$14:$L$36,MATCH(C350,'Gamma Target'!$K$14:$K$36))</f>
        <v>2.2340371604553422</v>
      </c>
      <c r="F350">
        <f t="shared" si="386"/>
        <v>0.96456079322785082</v>
      </c>
      <c r="G350">
        <f t="shared" si="388"/>
        <v>2.2684791732057228</v>
      </c>
      <c r="H350">
        <f t="shared" si="387"/>
        <v>0.89625731676619702</v>
      </c>
    </row>
    <row r="351" spans="1:8">
      <c r="A351">
        <f t="shared" si="389"/>
        <v>0.79000000000000048</v>
      </c>
      <c r="B351" t="e">
        <f>SMALL('Gamma Target'!$K$14:$K$36,COUNTIF('Gamma Target'!$K$14:$K$36,"&lt;"&amp;A351)+1)</f>
        <v>#NUM!</v>
      </c>
      <c r="C351">
        <f>LARGE('Gamma Target'!$K$14:$K$36,COUNTIF('Gamma Target'!$K$14:$K$36,"&gt;"&amp;A351)+1)</f>
        <v>0.78639715683346023</v>
      </c>
      <c r="D351" t="e">
        <f>INDEX('Gamma Target'!$L$14:$L$36,MATCH(B351,'Gamma Target'!$K$14:$K$36))</f>
        <v>#NUM!</v>
      </c>
      <c r="E351">
        <f>INDEX('Gamma Target'!$L$14:$L$36,MATCH(C351,'Gamma Target'!$K$14:$K$36))</f>
        <v>2.2697446171467162</v>
      </c>
      <c r="F351" t="e">
        <f t="shared" si="386"/>
        <v>#NUM!</v>
      </c>
      <c r="G351">
        <f t="shared" si="388"/>
        <v>2.2684791732057228</v>
      </c>
      <c r="H351">
        <f t="shared" si="387"/>
        <v>0.90130455880428573</v>
      </c>
    </row>
    <row r="352" spans="1:8">
      <c r="A352">
        <f t="shared" si="389"/>
        <v>0.80000000000000049</v>
      </c>
      <c r="B352" t="e">
        <f>SMALL('Gamma Target'!$K$14:$K$36,COUNTIF('Gamma Target'!$K$14:$K$36,"&lt;"&amp;A352)+1)</f>
        <v>#NUM!</v>
      </c>
      <c r="C352">
        <f>LARGE('Gamma Target'!$K$14:$K$36,COUNTIF('Gamma Target'!$K$14:$K$36,"&gt;"&amp;A352)+1)</f>
        <v>0.78639715683346023</v>
      </c>
      <c r="D352" t="e">
        <f>INDEX('Gamma Target'!$L$14:$L$36,MATCH(B352,'Gamma Target'!$K$14:$K$36))</f>
        <v>#NUM!</v>
      </c>
      <c r="E352">
        <f>INDEX('Gamma Target'!$L$14:$L$36,MATCH(C352,'Gamma Target'!$K$14:$K$36))</f>
        <v>2.2697446171467162</v>
      </c>
      <c r="F352" t="e">
        <f t="shared" si="386"/>
        <v>#NUM!</v>
      </c>
      <c r="G352">
        <f t="shared" si="388"/>
        <v>2.2684791732057228</v>
      </c>
      <c r="H352">
        <f t="shared" si="387"/>
        <v>0.90631620049187334</v>
      </c>
    </row>
    <row r="353" spans="1:8">
      <c r="A353">
        <f t="shared" si="389"/>
        <v>0.8100000000000005</v>
      </c>
      <c r="B353" t="e">
        <f>SMALL('Gamma Target'!$K$14:$K$36,COUNTIF('Gamma Target'!$K$14:$K$36,"&lt;"&amp;A353)+1)</f>
        <v>#NUM!</v>
      </c>
      <c r="C353">
        <f>LARGE('Gamma Target'!$K$14:$K$36,COUNTIF('Gamma Target'!$K$14:$K$36,"&gt;"&amp;A353)+1)</f>
        <v>0.78639715683346023</v>
      </c>
      <c r="D353" t="e">
        <f>INDEX('Gamma Target'!$L$14:$L$36,MATCH(B353,'Gamma Target'!$K$14:$K$36))</f>
        <v>#NUM!</v>
      </c>
      <c r="E353">
        <f>INDEX('Gamma Target'!$L$14:$L$36,MATCH(C353,'Gamma Target'!$K$14:$K$36))</f>
        <v>2.2697446171467162</v>
      </c>
      <c r="F353" t="e">
        <f t="shared" si="386"/>
        <v>#NUM!</v>
      </c>
      <c r="G353">
        <f t="shared" si="388"/>
        <v>2.2684791732057228</v>
      </c>
      <c r="H353">
        <f t="shared" si="387"/>
        <v>0.91129293328599481</v>
      </c>
    </row>
    <row r="354" spans="1:8">
      <c r="A354">
        <f t="shared" si="389"/>
        <v>0.82000000000000051</v>
      </c>
      <c r="B354" t="e">
        <f>SMALL('Gamma Target'!$K$14:$K$36,COUNTIF('Gamma Target'!$K$14:$K$36,"&lt;"&amp;A354)+1)</f>
        <v>#NUM!</v>
      </c>
      <c r="C354">
        <f>LARGE('Gamma Target'!$K$14:$K$36,COUNTIF('Gamma Target'!$K$14:$K$36,"&gt;"&amp;A354)+1)</f>
        <v>0.78639715683346023</v>
      </c>
      <c r="D354" t="e">
        <f>INDEX('Gamma Target'!$L$14:$L$36,MATCH(B354,'Gamma Target'!$K$14:$K$36))</f>
        <v>#NUM!</v>
      </c>
      <c r="E354">
        <f>INDEX('Gamma Target'!$L$14:$L$36,MATCH(C354,'Gamma Target'!$K$14:$K$36))</f>
        <v>2.2697446171467162</v>
      </c>
      <c r="F354" t="e">
        <f t="shared" si="386"/>
        <v>#NUM!</v>
      </c>
      <c r="G354">
        <f t="shared" si="388"/>
        <v>2.2684791732057228</v>
      </c>
      <c r="H354">
        <f t="shared" si="387"/>
        <v>0.91623542687097903</v>
      </c>
    </row>
    <row r="355" spans="1:8">
      <c r="A355">
        <f t="shared" si="389"/>
        <v>0.83000000000000052</v>
      </c>
      <c r="B355" t="e">
        <f>SMALL('Gamma Target'!$K$14:$K$36,COUNTIF('Gamma Target'!$K$14:$K$36,"&lt;"&amp;A355)+1)</f>
        <v>#NUM!</v>
      </c>
      <c r="C355">
        <f>LARGE('Gamma Target'!$K$14:$K$36,COUNTIF('Gamma Target'!$K$14:$K$36,"&gt;"&amp;A355)+1)</f>
        <v>0.78639715683346023</v>
      </c>
      <c r="D355" t="e">
        <f>INDEX('Gamma Target'!$L$14:$L$36,MATCH(B355,'Gamma Target'!$K$14:$K$36))</f>
        <v>#NUM!</v>
      </c>
      <c r="E355">
        <f>INDEX('Gamma Target'!$L$14:$L$36,MATCH(C355,'Gamma Target'!$K$14:$K$36))</f>
        <v>2.2697446171467162</v>
      </c>
      <c r="F355" t="e">
        <f t="shared" si="386"/>
        <v>#NUM!</v>
      </c>
      <c r="G355">
        <f t="shared" si="388"/>
        <v>2.2684791732057228</v>
      </c>
      <c r="H355">
        <f t="shared" si="387"/>
        <v>0.92114433010035057</v>
      </c>
    </row>
    <row r="356" spans="1:8">
      <c r="A356">
        <f t="shared" si="389"/>
        <v>0.84000000000000052</v>
      </c>
      <c r="B356" t="e">
        <f>SMALL('Gamma Target'!$K$14:$K$36,COUNTIF('Gamma Target'!$K$14:$K$36,"&lt;"&amp;A356)+1)</f>
        <v>#NUM!</v>
      </c>
      <c r="C356">
        <f>LARGE('Gamma Target'!$K$14:$K$36,COUNTIF('Gamma Target'!$K$14:$K$36,"&gt;"&amp;A356)+1)</f>
        <v>0.78639715683346023</v>
      </c>
      <c r="D356" t="e">
        <f>INDEX('Gamma Target'!$L$14:$L$36,MATCH(B356,'Gamma Target'!$K$14:$K$36))</f>
        <v>#NUM!</v>
      </c>
      <c r="E356">
        <f>INDEX('Gamma Target'!$L$14:$L$36,MATCH(C356,'Gamma Target'!$K$14:$K$36))</f>
        <v>2.2697446171467162</v>
      </c>
      <c r="F356" t="e">
        <f t="shared" si="386"/>
        <v>#NUM!</v>
      </c>
      <c r="G356">
        <f t="shared" si="388"/>
        <v>2.2684791732057228</v>
      </c>
      <c r="H356">
        <f t="shared" si="387"/>
        <v>0.92602027188716141</v>
      </c>
    </row>
    <row r="357" spans="1:8">
      <c r="A357">
        <f t="shared" si="389"/>
        <v>0.85000000000000053</v>
      </c>
      <c r="B357" t="e">
        <f>SMALL('Gamma Target'!$K$14:$K$36,COUNTIF('Gamma Target'!$K$14:$K$36,"&lt;"&amp;A357)+1)</f>
        <v>#NUM!</v>
      </c>
      <c r="C357">
        <f>LARGE('Gamma Target'!$K$14:$K$36,COUNTIF('Gamma Target'!$K$14:$K$36,"&gt;"&amp;A357)+1)</f>
        <v>0.78639715683346023</v>
      </c>
      <c r="D357" t="e">
        <f>INDEX('Gamma Target'!$L$14:$L$36,MATCH(B357,'Gamma Target'!$K$14:$K$36))</f>
        <v>#NUM!</v>
      </c>
      <c r="E357">
        <f>INDEX('Gamma Target'!$L$14:$L$36,MATCH(C357,'Gamma Target'!$K$14:$K$36))</f>
        <v>2.2697446171467162</v>
      </c>
      <c r="F357" t="e">
        <f t="shared" si="386"/>
        <v>#NUM!</v>
      </c>
      <c r="G357">
        <f t="shared" si="388"/>
        <v>2.2684791732057228</v>
      </c>
      <c r="H357">
        <f t="shared" si="387"/>
        <v>0.93086386204615557</v>
      </c>
    </row>
    <row r="358" spans="1:8">
      <c r="A358">
        <f t="shared" si="389"/>
        <v>0.86000000000000054</v>
      </c>
      <c r="B358" t="e">
        <f>SMALL('Gamma Target'!$K$14:$K$36,COUNTIF('Gamma Target'!$K$14:$K$36,"&lt;"&amp;A358)+1)</f>
        <v>#NUM!</v>
      </c>
      <c r="C358">
        <f>LARGE('Gamma Target'!$K$14:$K$36,COUNTIF('Gamma Target'!$K$14:$K$36,"&gt;"&amp;A358)+1)</f>
        <v>0.78639715683346023</v>
      </c>
      <c r="D358" t="e">
        <f>INDEX('Gamma Target'!$L$14:$L$36,MATCH(B358,'Gamma Target'!$K$14:$K$36))</f>
        <v>#NUM!</v>
      </c>
      <c r="E358">
        <f>INDEX('Gamma Target'!$L$14:$L$36,MATCH(C358,'Gamma Target'!$K$14:$K$36))</f>
        <v>2.2697446171467162</v>
      </c>
      <c r="F358" t="e">
        <f t="shared" si="386"/>
        <v>#NUM!</v>
      </c>
      <c r="G358">
        <f t="shared" si="388"/>
        <v>2.2684791732057228</v>
      </c>
      <c r="H358">
        <f t="shared" si="387"/>
        <v>0.93567569209090506</v>
      </c>
    </row>
    <row r="359" spans="1:8">
      <c r="A359">
        <f t="shared" si="389"/>
        <v>0.87000000000000055</v>
      </c>
      <c r="B359" t="e">
        <f>SMALL('Gamma Target'!$K$14:$K$36,COUNTIF('Gamma Target'!$K$14:$K$36,"&lt;"&amp;A359)+1)</f>
        <v>#NUM!</v>
      </c>
      <c r="C359">
        <f>LARGE('Gamma Target'!$K$14:$K$36,COUNTIF('Gamma Target'!$K$14:$K$36,"&gt;"&amp;A359)+1)</f>
        <v>0.78639715683346023</v>
      </c>
      <c r="D359" t="e">
        <f>INDEX('Gamma Target'!$L$14:$L$36,MATCH(B359,'Gamma Target'!$K$14:$K$36))</f>
        <v>#NUM!</v>
      </c>
      <c r="E359">
        <f>INDEX('Gamma Target'!$L$14:$L$36,MATCH(C359,'Gamma Target'!$K$14:$K$36))</f>
        <v>2.2697446171467162</v>
      </c>
      <c r="F359" t="e">
        <f t="shared" ref="F359:F372" si="390">(A359-C359)/(B359-C359)</f>
        <v>#NUM!</v>
      </c>
      <c r="G359">
        <f t="shared" si="388"/>
        <v>2.2684791732057228</v>
      </c>
      <c r="H359">
        <f t="shared" ref="H359:H372" si="391">A359^(1/G359)</f>
        <v>0.94045633598882028</v>
      </c>
    </row>
    <row r="360" spans="1:8">
      <c r="A360">
        <f t="shared" si="389"/>
        <v>0.88000000000000056</v>
      </c>
      <c r="B360" t="e">
        <f>SMALL('Gamma Target'!$K$14:$K$36,COUNTIF('Gamma Target'!$K$14:$K$36,"&lt;"&amp;A360)+1)</f>
        <v>#NUM!</v>
      </c>
      <c r="C360">
        <f>LARGE('Gamma Target'!$K$14:$K$36,COUNTIF('Gamma Target'!$K$14:$K$36,"&gt;"&amp;A360)+1)</f>
        <v>0.78639715683346023</v>
      </c>
      <c r="D360" t="e">
        <f>INDEX('Gamma Target'!$L$14:$L$36,MATCH(B360,'Gamma Target'!$K$14:$K$36))</f>
        <v>#NUM!</v>
      </c>
      <c r="E360">
        <f>INDEX('Gamma Target'!$L$14:$L$36,MATCH(C360,'Gamma Target'!$K$14:$K$36))</f>
        <v>2.2697446171467162</v>
      </c>
      <c r="F360" t="e">
        <f t="shared" si="390"/>
        <v>#NUM!</v>
      </c>
      <c r="G360">
        <f t="shared" si="388"/>
        <v>2.2684791732057228</v>
      </c>
      <c r="H360">
        <f t="shared" si="391"/>
        <v>0.94520635087671823</v>
      </c>
    </row>
    <row r="361" spans="1:8">
      <c r="A361">
        <f t="shared" si="389"/>
        <v>0.89000000000000057</v>
      </c>
      <c r="B361" t="e">
        <f>SMALL('Gamma Target'!$K$14:$K$36,COUNTIF('Gamma Target'!$K$14:$K$36,"&lt;"&amp;A361)+1)</f>
        <v>#NUM!</v>
      </c>
      <c r="C361">
        <f>LARGE('Gamma Target'!$K$14:$K$36,COUNTIF('Gamma Target'!$K$14:$K$36,"&gt;"&amp;A361)+1)</f>
        <v>0.78639715683346023</v>
      </c>
      <c r="D361" t="e">
        <f>INDEX('Gamma Target'!$L$14:$L$36,MATCH(B361,'Gamma Target'!$K$14:$K$36))</f>
        <v>#NUM!</v>
      </c>
      <c r="E361">
        <f>INDEX('Gamma Target'!$L$14:$L$36,MATCH(C361,'Gamma Target'!$K$14:$K$36))</f>
        <v>2.2697446171467162</v>
      </c>
      <c r="F361" t="e">
        <f t="shared" si="390"/>
        <v>#NUM!</v>
      </c>
      <c r="G361">
        <f t="shared" si="388"/>
        <v>2.2684791732057228</v>
      </c>
      <c r="H361">
        <f t="shared" si="391"/>
        <v>0.94992627773943117</v>
      </c>
    </row>
    <row r="362" spans="1:8">
      <c r="A362">
        <f t="shared" si="389"/>
        <v>0.90000000000000058</v>
      </c>
      <c r="B362" t="e">
        <f>SMALL('Gamma Target'!$K$14:$K$36,COUNTIF('Gamma Target'!$K$14:$K$36,"&lt;"&amp;A362)+1)</f>
        <v>#NUM!</v>
      </c>
      <c r="C362">
        <f>LARGE('Gamma Target'!$K$14:$K$36,COUNTIF('Gamma Target'!$K$14:$K$36,"&gt;"&amp;A362)+1)</f>
        <v>0.78639715683346023</v>
      </c>
      <c r="D362" t="e">
        <f>INDEX('Gamma Target'!$L$14:$L$36,MATCH(B362,'Gamma Target'!$K$14:$K$36))</f>
        <v>#NUM!</v>
      </c>
      <c r="E362">
        <f>INDEX('Gamma Target'!$L$14:$L$36,MATCH(C362,'Gamma Target'!$K$14:$K$36))</f>
        <v>2.2697446171467162</v>
      </c>
      <c r="F362" t="e">
        <f t="shared" si="390"/>
        <v>#NUM!</v>
      </c>
      <c r="G362">
        <f t="shared" si="388"/>
        <v>2.2684791732057228</v>
      </c>
      <c r="H362">
        <f t="shared" si="391"/>
        <v>0.95461664205375918</v>
      </c>
    </row>
    <row r="363" spans="1:8">
      <c r="A363">
        <f t="shared" si="389"/>
        <v>0.91000000000000059</v>
      </c>
      <c r="B363" t="e">
        <f>SMALL('Gamma Target'!$K$14:$K$36,COUNTIF('Gamma Target'!$K$14:$K$36,"&lt;"&amp;A363)+1)</f>
        <v>#NUM!</v>
      </c>
      <c r="C363">
        <f>LARGE('Gamma Target'!$K$14:$K$36,COUNTIF('Gamma Target'!$K$14:$K$36,"&gt;"&amp;A363)+1)</f>
        <v>0.78639715683346023</v>
      </c>
      <c r="D363" t="e">
        <f>INDEX('Gamma Target'!$L$14:$L$36,MATCH(B363,'Gamma Target'!$K$14:$K$36))</f>
        <v>#NUM!</v>
      </c>
      <c r="E363">
        <f>INDEX('Gamma Target'!$L$14:$L$36,MATCH(C363,'Gamma Target'!$K$14:$K$36))</f>
        <v>2.2697446171467162</v>
      </c>
      <c r="F363" t="e">
        <f t="shared" si="390"/>
        <v>#NUM!</v>
      </c>
      <c r="G363">
        <f t="shared" si="388"/>
        <v>2.2684791732057228</v>
      </c>
      <c r="H363">
        <f t="shared" si="391"/>
        <v>0.9592779543998996</v>
      </c>
    </row>
    <row r="364" spans="1:8">
      <c r="A364">
        <f t="shared" si="389"/>
        <v>0.9200000000000006</v>
      </c>
      <c r="B364" t="e">
        <f>SMALL('Gamma Target'!$K$14:$K$36,COUNTIF('Gamma Target'!$K$14:$K$36,"&lt;"&amp;A364)+1)</f>
        <v>#NUM!</v>
      </c>
      <c r="C364">
        <f>LARGE('Gamma Target'!$K$14:$K$36,COUNTIF('Gamma Target'!$K$14:$K$36,"&gt;"&amp;A364)+1)</f>
        <v>0.78639715683346023</v>
      </c>
      <c r="D364" t="e">
        <f>INDEX('Gamma Target'!$L$14:$L$36,MATCH(B364,'Gamma Target'!$K$14:$K$36))</f>
        <v>#NUM!</v>
      </c>
      <c r="E364">
        <f>INDEX('Gamma Target'!$L$14:$L$36,MATCH(C364,'Gamma Target'!$K$14:$K$36))</f>
        <v>2.2697446171467162</v>
      </c>
      <c r="F364" t="e">
        <f t="shared" si="390"/>
        <v>#NUM!</v>
      </c>
      <c r="G364">
        <f t="shared" si="388"/>
        <v>2.2684791732057228</v>
      </c>
      <c r="H364">
        <f t="shared" si="391"/>
        <v>0.96391071104233439</v>
      </c>
    </row>
    <row r="365" spans="1:8">
      <c r="A365">
        <f t="shared" si="389"/>
        <v>0.9300000000000006</v>
      </c>
      <c r="B365" t="e">
        <f>SMALL('Gamma Target'!$K$14:$K$36,COUNTIF('Gamma Target'!$K$14:$K$36,"&lt;"&amp;A365)+1)</f>
        <v>#NUM!</v>
      </c>
      <c r="C365">
        <f>LARGE('Gamma Target'!$K$14:$K$36,COUNTIF('Gamma Target'!$K$14:$K$36,"&gt;"&amp;A365)+1)</f>
        <v>0.78639715683346023</v>
      </c>
      <c r="D365" t="e">
        <f>INDEX('Gamma Target'!$L$14:$L$36,MATCH(B365,'Gamma Target'!$K$14:$K$36))</f>
        <v>#NUM!</v>
      </c>
      <c r="E365">
        <f>INDEX('Gamma Target'!$L$14:$L$36,MATCH(C365,'Gamma Target'!$K$14:$K$36))</f>
        <v>2.2697446171467162</v>
      </c>
      <c r="F365" t="e">
        <f t="shared" si="390"/>
        <v>#NUM!</v>
      </c>
      <c r="G365">
        <f t="shared" ref="G365:G372" si="392">IFERROR(F365*(D365-E365)+E365,G364)</f>
        <v>2.2684791732057228</v>
      </c>
      <c r="H365">
        <f t="shared" si="391"/>
        <v>0.96851539448201629</v>
      </c>
    </row>
    <row r="366" spans="1:8">
      <c r="A366">
        <f t="shared" si="389"/>
        <v>0.94000000000000061</v>
      </c>
      <c r="B366" t="e">
        <f>SMALL('Gamma Target'!$K$14:$K$36,COUNTIF('Gamma Target'!$K$14:$K$36,"&lt;"&amp;A366)+1)</f>
        <v>#NUM!</v>
      </c>
      <c r="C366">
        <f>LARGE('Gamma Target'!$K$14:$K$36,COUNTIF('Gamma Target'!$K$14:$K$36,"&gt;"&amp;A366)+1)</f>
        <v>0.78639715683346023</v>
      </c>
      <c r="D366" t="e">
        <f>INDEX('Gamma Target'!$L$14:$L$36,MATCH(B366,'Gamma Target'!$K$14:$K$36))</f>
        <v>#NUM!</v>
      </c>
      <c r="E366">
        <f>INDEX('Gamma Target'!$L$14:$L$36,MATCH(C366,'Gamma Target'!$K$14:$K$36))</f>
        <v>2.2697446171467162</v>
      </c>
      <c r="F366" t="e">
        <f t="shared" si="390"/>
        <v>#NUM!</v>
      </c>
      <c r="G366">
        <f t="shared" si="392"/>
        <v>2.2684791732057228</v>
      </c>
      <c r="H366">
        <f t="shared" si="391"/>
        <v>0.97309247398156362</v>
      </c>
    </row>
    <row r="367" spans="1:8">
      <c r="A367">
        <f t="shared" si="389"/>
        <v>0.95000000000000062</v>
      </c>
      <c r="B367" t="e">
        <f>SMALL('Gamma Target'!$K$14:$K$36,COUNTIF('Gamma Target'!$K$14:$K$36,"&lt;"&amp;A367)+1)</f>
        <v>#NUM!</v>
      </c>
      <c r="C367">
        <f>LARGE('Gamma Target'!$K$14:$K$36,COUNTIF('Gamma Target'!$K$14:$K$36,"&gt;"&amp;A367)+1)</f>
        <v>0.78639715683346023</v>
      </c>
      <c r="D367" t="e">
        <f>INDEX('Gamma Target'!$L$14:$L$36,MATCH(B367,'Gamma Target'!$K$14:$K$36))</f>
        <v>#NUM!</v>
      </c>
      <c r="E367">
        <f>INDEX('Gamma Target'!$L$14:$L$36,MATCH(C367,'Gamma Target'!$K$14:$K$36))</f>
        <v>2.2697446171467162</v>
      </c>
      <c r="F367" t="e">
        <f t="shared" si="390"/>
        <v>#NUM!</v>
      </c>
      <c r="G367">
        <f t="shared" si="392"/>
        <v>2.2684791732057228</v>
      </c>
      <c r="H367">
        <f t="shared" si="391"/>
        <v>0.97764240606505626</v>
      </c>
    </row>
    <row r="368" spans="1:8">
      <c r="A368">
        <f t="shared" si="389"/>
        <v>0.96000000000000063</v>
      </c>
      <c r="B368" t="e">
        <f>SMALL('Gamma Target'!$K$14:$K$36,COUNTIF('Gamma Target'!$K$14:$K$36,"&lt;"&amp;A368)+1)</f>
        <v>#NUM!</v>
      </c>
      <c r="C368">
        <f>LARGE('Gamma Target'!$K$14:$K$36,COUNTIF('Gamma Target'!$K$14:$K$36,"&gt;"&amp;A368)+1)</f>
        <v>0.78639715683346023</v>
      </c>
      <c r="D368" t="e">
        <f>INDEX('Gamma Target'!$L$14:$L$36,MATCH(B368,'Gamma Target'!$K$14:$K$36))</f>
        <v>#NUM!</v>
      </c>
      <c r="E368">
        <f>INDEX('Gamma Target'!$L$14:$L$36,MATCH(C368,'Gamma Target'!$K$14:$K$36))</f>
        <v>2.2697446171467162</v>
      </c>
      <c r="F368" t="e">
        <f t="shared" si="390"/>
        <v>#NUM!</v>
      </c>
      <c r="G368">
        <f t="shared" si="392"/>
        <v>2.2684791732057228</v>
      </c>
      <c r="H368">
        <f t="shared" si="391"/>
        <v>0.98216563499391329</v>
      </c>
    </row>
    <row r="369" spans="1:8">
      <c r="A369">
        <f t="shared" si="389"/>
        <v>0.97000000000000064</v>
      </c>
      <c r="B369" t="e">
        <f>SMALL('Gamma Target'!$K$14:$K$36,COUNTIF('Gamma Target'!$K$14:$K$36,"&lt;"&amp;A369)+1)</f>
        <v>#NUM!</v>
      </c>
      <c r="C369">
        <f>LARGE('Gamma Target'!$K$14:$K$36,COUNTIF('Gamma Target'!$K$14:$K$36,"&gt;"&amp;A369)+1)</f>
        <v>0.78639715683346023</v>
      </c>
      <c r="D369" t="e">
        <f>INDEX('Gamma Target'!$L$14:$L$36,MATCH(B369,'Gamma Target'!$K$14:$K$36))</f>
        <v>#NUM!</v>
      </c>
      <c r="E369">
        <f>INDEX('Gamma Target'!$L$14:$L$36,MATCH(C369,'Gamma Target'!$K$14:$K$36))</f>
        <v>2.2697446171467162</v>
      </c>
      <c r="F369" t="e">
        <f t="shared" si="390"/>
        <v>#NUM!</v>
      </c>
      <c r="G369">
        <f t="shared" si="392"/>
        <v>2.2684791732057228</v>
      </c>
      <c r="H369">
        <f t="shared" si="391"/>
        <v>0.98666259322023564</v>
      </c>
    </row>
    <row r="370" spans="1:8">
      <c r="A370">
        <f t="shared" si="389"/>
        <v>0.98000000000000065</v>
      </c>
      <c r="B370" t="e">
        <f>SMALL('Gamma Target'!$K$14:$K$36,COUNTIF('Gamma Target'!$K$14:$K$36,"&lt;"&amp;A370)+1)</f>
        <v>#NUM!</v>
      </c>
      <c r="C370">
        <f>LARGE('Gamma Target'!$K$14:$K$36,COUNTIF('Gamma Target'!$K$14:$K$36,"&gt;"&amp;A370)+1)</f>
        <v>0.78639715683346023</v>
      </c>
      <c r="D370" t="e">
        <f>INDEX('Gamma Target'!$L$14:$L$36,MATCH(B370,'Gamma Target'!$K$14:$K$36))</f>
        <v>#NUM!</v>
      </c>
      <c r="E370">
        <f>INDEX('Gamma Target'!$L$14:$L$36,MATCH(C370,'Gamma Target'!$K$14:$K$36))</f>
        <v>2.2697446171467162</v>
      </c>
      <c r="F370" t="e">
        <f t="shared" si="390"/>
        <v>#NUM!</v>
      </c>
      <c r="G370">
        <f t="shared" si="392"/>
        <v>2.2684791732057228</v>
      </c>
      <c r="H370">
        <f t="shared" si="391"/>
        <v>0.99113370181889981</v>
      </c>
    </row>
    <row r="371" spans="1:8">
      <c r="A371">
        <f t="shared" si="389"/>
        <v>0.99000000000000066</v>
      </c>
      <c r="B371" t="e">
        <f>SMALL('Gamma Target'!$K$14:$K$36,COUNTIF('Gamma Target'!$K$14:$K$36,"&lt;"&amp;A371)+1)</f>
        <v>#NUM!</v>
      </c>
      <c r="C371">
        <f>LARGE('Gamma Target'!$K$14:$K$36,COUNTIF('Gamma Target'!$K$14:$K$36,"&gt;"&amp;A371)+1)</f>
        <v>0.78639715683346023</v>
      </c>
      <c r="D371" t="e">
        <f>INDEX('Gamma Target'!$L$14:$L$36,MATCH(B371,'Gamma Target'!$K$14:$K$36))</f>
        <v>#NUM!</v>
      </c>
      <c r="E371">
        <f>INDEX('Gamma Target'!$L$14:$L$36,MATCH(C371,'Gamma Target'!$K$14:$K$36))</f>
        <v>2.2697446171467162</v>
      </c>
      <c r="F371" t="e">
        <f t="shared" si="390"/>
        <v>#NUM!</v>
      </c>
      <c r="G371">
        <f t="shared" si="392"/>
        <v>2.2684791732057228</v>
      </c>
      <c r="H371">
        <f t="shared" si="391"/>
        <v>0.99557937089960558</v>
      </c>
    </row>
    <row r="372" spans="1:8">
      <c r="A372">
        <f t="shared" si="389"/>
        <v>1.0000000000000007</v>
      </c>
      <c r="B372" t="e">
        <f>SMALL('Gamma Target'!$K$14:$K$36,COUNTIF('Gamma Target'!$K$14:$K$36,"&lt;"&amp;A372)+1)</f>
        <v>#NUM!</v>
      </c>
      <c r="C372">
        <f>LARGE('Gamma Target'!$K$14:$K$36,COUNTIF('Gamma Target'!$K$14:$K$36,"&gt;"&amp;A372)+1)</f>
        <v>0.78639715683346023</v>
      </c>
      <c r="D372" t="e">
        <f>INDEX('Gamma Target'!$L$14:$L$36,MATCH(B372,'Gamma Target'!$K$14:$K$36))</f>
        <v>#NUM!</v>
      </c>
      <c r="E372">
        <f>INDEX('Gamma Target'!$L$14:$L$36,MATCH(C372,'Gamma Target'!$K$14:$K$36))</f>
        <v>2.2697446171467162</v>
      </c>
      <c r="F372" t="e">
        <f t="shared" si="390"/>
        <v>#NUM!</v>
      </c>
      <c r="G372">
        <f t="shared" si="392"/>
        <v>2.2684791732057228</v>
      </c>
      <c r="H372">
        <f t="shared" si="391"/>
        <v>1.0000000000000002</v>
      </c>
    </row>
  </sheetData>
  <sheetProtection password="8C41" sheet="1" objects="1" scenarios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28"/>
  <sheetViews>
    <sheetView workbookViewId="0">
      <selection activeCell="K25" sqref="K25"/>
    </sheetView>
  </sheetViews>
  <sheetFormatPr baseColWidth="10" defaultColWidth="11" defaultRowHeight="15" x14ac:dyDescent="0"/>
  <cols>
    <col min="4" max="4" width="17" customWidth="1"/>
    <col min="5" max="5" width="16.1640625" customWidth="1"/>
    <col min="6" max="6" width="14.1640625" customWidth="1"/>
    <col min="10" max="10" width="10.83203125" customWidth="1"/>
    <col min="11" max="11" width="13.33203125" customWidth="1"/>
  </cols>
  <sheetData>
    <row r="2" spans="2:14"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</row>
    <row r="3" spans="2:14">
      <c r="B3" s="47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4" spans="2:14">
      <c r="B4" s="47"/>
    </row>
    <row r="5" spans="2:14">
      <c r="B5" s="47"/>
    </row>
    <row r="6" spans="2:14">
      <c r="B6" s="47"/>
    </row>
    <row r="7" spans="2:14">
      <c r="B7" s="47"/>
    </row>
    <row r="8" spans="2:14">
      <c r="B8" s="47"/>
    </row>
    <row r="9" spans="2:14">
      <c r="B9" s="47"/>
    </row>
    <row r="10" spans="2:14">
      <c r="B10" s="47"/>
    </row>
    <row r="11" spans="2:14">
      <c r="B11" s="47"/>
    </row>
    <row r="12" spans="2:14">
      <c r="B12" s="47"/>
    </row>
    <row r="13" spans="2:14">
      <c r="B13" s="47"/>
    </row>
    <row r="14" spans="2:14">
      <c r="B14" s="47"/>
    </row>
    <row r="15" spans="2:14">
      <c r="B15" s="47"/>
    </row>
    <row r="16" spans="2:14">
      <c r="B16" s="47"/>
    </row>
    <row r="17" spans="2:13">
      <c r="B17" s="47"/>
    </row>
    <row r="18" spans="2:13">
      <c r="B18" s="47"/>
    </row>
    <row r="19" spans="2:13">
      <c r="B19" s="47"/>
    </row>
    <row r="20" spans="2:13">
      <c r="B20" s="47"/>
    </row>
    <row r="21" spans="2:13">
      <c r="B21" s="47"/>
    </row>
    <row r="22" spans="2:13">
      <c r="B22" s="47"/>
    </row>
    <row r="23" spans="2:13">
      <c r="B23" s="47"/>
    </row>
    <row r="24" spans="2:13">
      <c r="B24" s="47"/>
    </row>
    <row r="25" spans="2:13">
      <c r="B25" s="47"/>
    </row>
    <row r="26" spans="2:13">
      <c r="B26" s="47"/>
      <c r="C26" s="47"/>
      <c r="D26" s="47"/>
      <c r="G26" s="107"/>
      <c r="H26" s="107"/>
      <c r="I26" s="107"/>
      <c r="J26" s="107"/>
      <c r="K26" s="107"/>
      <c r="L26" s="107"/>
      <c r="M26" s="107"/>
    </row>
    <row r="27" spans="2:13">
      <c r="B27" s="47"/>
      <c r="C27" s="47"/>
      <c r="D27" s="47"/>
      <c r="G27" s="107"/>
      <c r="H27" s="107"/>
      <c r="I27" s="107"/>
      <c r="J27" s="107"/>
      <c r="K27" s="107"/>
      <c r="L27" s="107"/>
      <c r="M27" s="107"/>
    </row>
    <row r="28" spans="2:13">
      <c r="B28" s="47"/>
      <c r="C28" s="47"/>
      <c r="D28" s="47"/>
      <c r="G28" s="107"/>
      <c r="H28" s="107"/>
      <c r="I28" s="107"/>
      <c r="J28" s="107"/>
      <c r="K28" s="107"/>
      <c r="L28" s="107"/>
      <c r="M28" s="107"/>
    </row>
    <row r="29" spans="2:13">
      <c r="B29" s="47"/>
      <c r="C29" s="47"/>
      <c r="D29" s="47"/>
    </row>
    <row r="30" spans="2:13">
      <c r="B30" s="47"/>
      <c r="C30" s="47"/>
      <c r="D30" s="47"/>
    </row>
    <row r="31" spans="2:13">
      <c r="B31" s="47"/>
      <c r="C31" s="47"/>
      <c r="D31" s="47"/>
    </row>
    <row r="32" spans="2:13">
      <c r="B32" s="47"/>
      <c r="C32" s="47"/>
      <c r="D32" s="47"/>
    </row>
    <row r="34" spans="1:16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</row>
    <row r="35" spans="1:16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</row>
    <row r="36" spans="1:16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</row>
    <row r="37" spans="1:16">
      <c r="A37" s="126"/>
      <c r="B37" s="126"/>
      <c r="C37" s="127"/>
      <c r="D37" s="126"/>
      <c r="E37" s="127"/>
      <c r="F37" s="128"/>
      <c r="G37" s="127"/>
      <c r="H37" s="126"/>
      <c r="I37" s="127"/>
      <c r="J37" s="126"/>
      <c r="K37" s="127"/>
      <c r="L37" s="126"/>
      <c r="M37" s="127"/>
      <c r="N37" s="128"/>
      <c r="O37" s="127"/>
      <c r="P37" s="126"/>
    </row>
    <row r="38" spans="1:16">
      <c r="A38" s="126"/>
      <c r="B38" s="126"/>
      <c r="C38" s="126"/>
      <c r="D38" s="126"/>
      <c r="E38" s="126"/>
      <c r="F38" s="128"/>
      <c r="G38" s="126"/>
      <c r="H38" s="126"/>
      <c r="I38" s="126"/>
      <c r="J38" s="126"/>
      <c r="K38" s="126"/>
      <c r="L38" s="126"/>
      <c r="M38" s="126"/>
      <c r="N38" s="126"/>
      <c r="O38" s="126"/>
      <c r="P38" s="126"/>
    </row>
    <row r="39" spans="1:16">
      <c r="A39" s="126"/>
      <c r="B39" s="126"/>
      <c r="C39" s="127"/>
      <c r="D39" s="129"/>
      <c r="E39" s="127"/>
      <c r="F39" s="128"/>
      <c r="G39" s="127"/>
      <c r="H39" s="129"/>
      <c r="I39" s="127"/>
      <c r="J39" s="129"/>
      <c r="K39" s="127"/>
      <c r="L39" s="129"/>
      <c r="M39" s="127"/>
      <c r="N39" s="127"/>
      <c r="O39" s="127"/>
      <c r="P39" s="126"/>
    </row>
    <row r="40" spans="1:16">
      <c r="A40" s="126"/>
      <c r="B40" s="126"/>
      <c r="C40" s="126"/>
      <c r="D40" s="126"/>
      <c r="E40" s="126"/>
      <c r="F40" s="128"/>
      <c r="G40" s="126"/>
      <c r="H40" s="126"/>
      <c r="I40" s="126"/>
      <c r="J40" s="126"/>
      <c r="K40" s="126"/>
      <c r="L40" s="126"/>
      <c r="M40" s="126"/>
      <c r="N40" s="126"/>
      <c r="O40" s="126"/>
      <c r="P40" s="126"/>
    </row>
    <row r="41" spans="1:16">
      <c r="A41" s="126"/>
      <c r="B41" s="126"/>
      <c r="C41" s="127"/>
      <c r="D41" s="129"/>
      <c r="E41" s="127"/>
      <c r="F41" s="128"/>
      <c r="G41" s="127"/>
      <c r="H41" s="129"/>
      <c r="I41" s="127"/>
      <c r="J41" s="129"/>
      <c r="K41" s="127"/>
      <c r="L41" s="129"/>
      <c r="M41" s="127"/>
      <c r="N41" s="130"/>
      <c r="O41" s="127"/>
      <c r="P41" s="126"/>
    </row>
    <row r="111" spans="24:27">
      <c r="X111" s="67"/>
      <c r="Y111" s="67"/>
      <c r="Z111" s="67"/>
      <c r="AA111" s="67"/>
    </row>
    <row r="112" spans="24:27">
      <c r="X112" s="67"/>
      <c r="Y112" s="67"/>
      <c r="Z112" s="67"/>
      <c r="AA112" s="67"/>
    </row>
    <row r="113" spans="17:27">
      <c r="X113" s="67"/>
      <c r="Y113" s="67"/>
      <c r="Z113" s="67"/>
      <c r="AA113" s="67"/>
    </row>
    <row r="114" spans="17:27">
      <c r="X114" s="67"/>
      <c r="Y114" s="67"/>
      <c r="Z114" s="67"/>
      <c r="AA114" s="67"/>
    </row>
    <row r="128" spans="17:27">
      <c r="Q128" s="125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Targets</vt:lpstr>
      <vt:lpstr>Gamma Target</vt:lpstr>
      <vt:lpstr>Calculation</vt:lpstr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2012-04-30T18:14:38Z</cp:lastPrinted>
  <dcterms:created xsi:type="dcterms:W3CDTF">2012-04-30T17:31:39Z</dcterms:created>
  <dcterms:modified xsi:type="dcterms:W3CDTF">2013-01-05T22:55:34Z</dcterms:modified>
</cp:coreProperties>
</file>